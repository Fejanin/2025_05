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00" i="1"/>
  <c r="W99"/>
  <c r="W97"/>
  <c r="W96"/>
  <c r="W95"/>
  <c r="W78"/>
  <c r="W79"/>
  <c r="W80"/>
  <c r="W81"/>
  <c r="W82"/>
  <c r="W83"/>
  <c r="W84"/>
  <c r="W85"/>
  <c r="W86"/>
  <c r="W87"/>
  <c r="W88"/>
  <c r="W89"/>
  <c r="W90"/>
  <c r="W91"/>
  <c r="W92"/>
  <c r="W93"/>
  <c r="W94"/>
  <c r="W98"/>
  <c r="W77"/>
  <c r="W72"/>
  <c r="W73"/>
  <c r="W74"/>
  <c r="W75"/>
  <c r="W76"/>
  <c r="W71"/>
  <c r="U103" l="1"/>
  <c r="U104"/>
  <c r="U105"/>
  <c r="U106"/>
  <c r="U107"/>
  <c r="U108"/>
  <c r="U109"/>
  <c r="U110"/>
  <c r="U111"/>
  <c r="U112"/>
  <c r="U113"/>
  <c r="V104"/>
  <c r="V105"/>
  <c r="V106"/>
  <c r="V107"/>
  <c r="V108"/>
  <c r="V109"/>
  <c r="V110"/>
  <c r="V111"/>
  <c r="V112"/>
  <c r="V113"/>
  <c r="V103"/>
  <c r="V102"/>
  <c r="U102"/>
  <c r="V101"/>
  <c r="U101"/>
  <c r="V100"/>
  <c r="U100"/>
  <c r="V99"/>
  <c r="U99"/>
  <c r="V98"/>
  <c r="U98"/>
  <c r="V97"/>
  <c r="U97"/>
  <c r="V96"/>
  <c r="U96"/>
  <c r="V95"/>
  <c r="U95"/>
  <c r="V94"/>
  <c r="U94"/>
  <c r="V93"/>
  <c r="U93"/>
  <c r="V92"/>
  <c r="U92"/>
  <c r="V91"/>
  <c r="U91"/>
  <c r="V90"/>
  <c r="U90"/>
  <c r="V89"/>
  <c r="U89"/>
  <c r="V88"/>
  <c r="U88"/>
  <c r="V87"/>
  <c r="U87"/>
  <c r="V86"/>
  <c r="U86"/>
  <c r="V85"/>
  <c r="U85"/>
  <c r="V84"/>
  <c r="U84"/>
  <c r="V83"/>
  <c r="U83"/>
  <c r="V82"/>
  <c r="U82"/>
  <c r="V81"/>
  <c r="U81"/>
  <c r="V80"/>
  <c r="U80"/>
  <c r="V79"/>
  <c r="U79"/>
  <c r="V78"/>
  <c r="U78"/>
  <c r="V77"/>
  <c r="U77"/>
  <c r="V76"/>
  <c r="U76"/>
  <c r="V75"/>
  <c r="U75"/>
  <c r="V74"/>
  <c r="U74"/>
  <c r="V73"/>
  <c r="U73"/>
  <c r="V72"/>
  <c r="U72"/>
  <c r="V71"/>
  <c r="U71"/>
  <c r="V70"/>
  <c r="U70"/>
  <c r="V69"/>
  <c r="U69"/>
  <c r="V68"/>
  <c r="U68"/>
  <c r="V67"/>
  <c r="U67"/>
  <c r="V66"/>
  <c r="U66"/>
  <c r="V65"/>
  <c r="U65"/>
  <c r="V64"/>
  <c r="U64"/>
  <c r="V63"/>
  <c r="U63"/>
  <c r="V62"/>
  <c r="U62"/>
  <c r="V61"/>
  <c r="U61"/>
  <c r="V60"/>
  <c r="U60"/>
  <c r="V59"/>
  <c r="U59"/>
  <c r="V58"/>
  <c r="U58"/>
  <c r="V57"/>
  <c r="U57"/>
  <c r="V56"/>
  <c r="U56"/>
  <c r="V55"/>
  <c r="U55"/>
  <c r="V54"/>
  <c r="U54"/>
  <c r="V53"/>
  <c r="U53"/>
  <c r="V52"/>
  <c r="U52"/>
  <c r="V51"/>
  <c r="U51"/>
  <c r="V50"/>
  <c r="U50"/>
  <c r="V49"/>
  <c r="U49"/>
  <c r="V48"/>
  <c r="U48"/>
  <c r="V47"/>
  <c r="U47"/>
  <c r="V46"/>
  <c r="U46"/>
  <c r="V45"/>
  <c r="U45"/>
  <c r="V44"/>
  <c r="U44"/>
  <c r="V43"/>
  <c r="U43"/>
  <c r="V42"/>
  <c r="U42"/>
  <c r="V41"/>
  <c r="U41"/>
  <c r="V40"/>
  <c r="U40"/>
  <c r="V39"/>
  <c r="U39"/>
  <c r="V38"/>
  <c r="U38"/>
  <c r="V37"/>
  <c r="U37"/>
  <c r="V36"/>
  <c r="U36"/>
  <c r="V35"/>
  <c r="U35"/>
  <c r="V34"/>
  <c r="U34"/>
  <c r="V33"/>
  <c r="U33"/>
  <c r="V32"/>
  <c r="U32"/>
  <c r="V31"/>
  <c r="U31"/>
  <c r="V30"/>
  <c r="U30"/>
  <c r="V29"/>
  <c r="U29"/>
  <c r="V28"/>
  <c r="U28"/>
  <c r="V27"/>
  <c r="U27"/>
  <c r="V26"/>
  <c r="U26"/>
  <c r="V25"/>
  <c r="U25"/>
  <c r="V24"/>
  <c r="U24"/>
  <c r="V23"/>
  <c r="U23"/>
  <c r="V22"/>
  <c r="U22"/>
  <c r="V21"/>
  <c r="U21"/>
  <c r="V20"/>
  <c r="U20"/>
  <c r="V19"/>
  <c r="U19"/>
  <c r="V18"/>
  <c r="U18"/>
  <c r="V17"/>
  <c r="U17"/>
  <c r="V16"/>
  <c r="U16"/>
  <c r="V15"/>
  <c r="U15"/>
  <c r="V14"/>
  <c r="U14"/>
  <c r="V13"/>
  <c r="U13"/>
  <c r="V12"/>
  <c r="U12"/>
  <c r="V11"/>
  <c r="U11"/>
  <c r="V10"/>
  <c r="U10"/>
  <c r="V9"/>
  <c r="U9"/>
  <c r="V8"/>
  <c r="U8"/>
  <c r="V7"/>
  <c r="U7"/>
  <c r="V6"/>
  <c r="U6"/>
  <c r="V5"/>
  <c r="U5"/>
  <c r="V4"/>
  <c r="U4"/>
  <c r="V3"/>
  <c r="U3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71"/>
  <c r="N103" l="1"/>
  <c r="M103"/>
  <c r="N102"/>
  <c r="M102"/>
  <c r="N101"/>
  <c r="M101"/>
  <c r="N100"/>
  <c r="M100"/>
  <c r="N99"/>
  <c r="M99"/>
  <c r="N98"/>
  <c r="M98"/>
  <c r="N97"/>
  <c r="M97"/>
  <c r="N96"/>
  <c r="M96"/>
  <c r="N95"/>
  <c r="M95"/>
  <c r="N94"/>
  <c r="M94"/>
  <c r="N93"/>
  <c r="M93"/>
  <c r="N92"/>
  <c r="M92"/>
  <c r="N91"/>
  <c r="M91"/>
  <c r="N90"/>
  <c r="M90"/>
  <c r="N89"/>
  <c r="M89"/>
  <c r="N88"/>
  <c r="M88"/>
  <c r="N87"/>
  <c r="M87"/>
  <c r="N86"/>
  <c r="M86"/>
  <c r="N85"/>
  <c r="M85"/>
  <c r="N84"/>
  <c r="M84"/>
  <c r="N83"/>
  <c r="M83"/>
  <c r="N82"/>
  <c r="M82"/>
  <c r="N81"/>
  <c r="M81"/>
  <c r="N80"/>
  <c r="M80"/>
  <c r="N79"/>
  <c r="M79"/>
  <c r="N78"/>
  <c r="M78"/>
  <c r="N77"/>
  <c r="M77"/>
  <c r="N76"/>
  <c r="M76"/>
  <c r="N75"/>
  <c r="M75"/>
  <c r="N74"/>
  <c r="M74"/>
  <c r="N73"/>
  <c r="M73"/>
  <c r="N72"/>
  <c r="M72"/>
  <c r="N71"/>
  <c r="M71"/>
  <c r="N70"/>
  <c r="M70"/>
  <c r="N69"/>
  <c r="M69"/>
  <c r="N68"/>
  <c r="M68"/>
  <c r="N67"/>
  <c r="M67"/>
  <c r="N66"/>
  <c r="M66"/>
  <c r="N65"/>
  <c r="M65"/>
  <c r="N64"/>
  <c r="M64"/>
  <c r="N63"/>
  <c r="M63"/>
  <c r="N62"/>
  <c r="M62"/>
  <c r="N61"/>
  <c r="M61"/>
  <c r="N60"/>
  <c r="M60"/>
  <c r="N59"/>
  <c r="M59"/>
  <c r="N58"/>
  <c r="M58"/>
  <c r="N57"/>
  <c r="M57"/>
  <c r="N56"/>
  <c r="M56"/>
  <c r="N55"/>
  <c r="M55"/>
  <c r="N54"/>
  <c r="M54"/>
  <c r="N53"/>
  <c r="M53"/>
  <c r="N52"/>
  <c r="M52"/>
  <c r="N51"/>
  <c r="M51"/>
  <c r="N50"/>
  <c r="M50"/>
  <c r="N49"/>
  <c r="M49"/>
  <c r="N48"/>
  <c r="M48"/>
  <c r="N47"/>
  <c r="M47"/>
  <c r="N46"/>
  <c r="M46"/>
  <c r="N45"/>
  <c r="M45"/>
  <c r="N44"/>
  <c r="M44"/>
  <c r="N43"/>
  <c r="M43"/>
  <c r="N42"/>
  <c r="M42"/>
  <c r="N41"/>
  <c r="M41"/>
  <c r="N40"/>
  <c r="M40"/>
  <c r="N39"/>
  <c r="M39"/>
  <c r="N38"/>
  <c r="M38"/>
  <c r="N37"/>
  <c r="M37"/>
  <c r="N36"/>
  <c r="M36"/>
  <c r="N35"/>
  <c r="M35"/>
  <c r="N34"/>
  <c r="M34"/>
  <c r="N33"/>
  <c r="M33"/>
  <c r="N32"/>
  <c r="M32"/>
  <c r="N31"/>
  <c r="M31"/>
  <c r="N30"/>
  <c r="M30"/>
  <c r="N29"/>
  <c r="M29"/>
  <c r="N28"/>
  <c r="M28"/>
  <c r="N27"/>
  <c r="M27"/>
  <c r="N26"/>
  <c r="M26"/>
  <c r="N25"/>
  <c r="M25"/>
  <c r="N24"/>
  <c r="M24"/>
  <c r="N23"/>
  <c r="M23"/>
  <c r="N22"/>
  <c r="M22"/>
  <c r="N21"/>
  <c r="M21"/>
  <c r="N20"/>
  <c r="M20"/>
  <c r="N19"/>
  <c r="M19"/>
  <c r="N18"/>
  <c r="M18"/>
  <c r="N17"/>
  <c r="M17"/>
  <c r="N16"/>
  <c r="M16"/>
  <c r="N15"/>
  <c r="M15"/>
  <c r="N14"/>
  <c r="M14"/>
  <c r="N13"/>
  <c r="M13"/>
  <c r="N12"/>
  <c r="M12"/>
  <c r="N11"/>
  <c r="M11"/>
  <c r="N10"/>
  <c r="M10"/>
  <c r="N9"/>
  <c r="M9"/>
  <c r="N8"/>
  <c r="M8"/>
  <c r="N7"/>
  <c r="M7"/>
  <c r="N6"/>
  <c r="M6"/>
  <c r="N5"/>
  <c r="M5"/>
  <c r="N4"/>
  <c r="M4"/>
  <c r="N3"/>
  <c r="M3"/>
  <c r="G92" l="1"/>
  <c r="H92"/>
  <c r="H71" l="1"/>
  <c r="H95"/>
  <c r="H97"/>
  <c r="H99"/>
  <c r="H101"/>
  <c r="H103"/>
  <c r="H96"/>
  <c r="H98"/>
  <c r="H100"/>
  <c r="H102"/>
  <c r="G71"/>
  <c r="G95"/>
  <c r="G97"/>
  <c r="G99"/>
  <c r="G101"/>
  <c r="G103"/>
  <c r="G96"/>
  <c r="G98"/>
  <c r="G100"/>
  <c r="G102"/>
  <c r="H94"/>
  <c r="G94"/>
  <c r="H93"/>
  <c r="H91"/>
  <c r="G93"/>
  <c r="G91"/>
  <c r="G90"/>
  <c r="H90"/>
  <c r="H89"/>
  <c r="G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<sst xmlns="http://schemas.openxmlformats.org/spreadsheetml/2006/main" count="403" uniqueCount="103">
  <si>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</si>
  <si>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</si>
  <si>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</si>
  <si>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</si>
  <si>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</si>
  <si>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</si>
  <si>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</si>
  <si>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</si>
  <si>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</si>
  <si>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</si>
  <si>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</si>
  <si>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</si>
  <si>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</si>
  <si>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</si>
  <si>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</si>
  <si>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</si>
  <si>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</si>
  <si>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</si>
  <si>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</si>
  <si>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</si>
  <si>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</si>
  <si>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</si>
  <si>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</si>
  <si>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</si>
  <si>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</si>
  <si>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</si>
  <si>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</si>
  <si>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</si>
  <si>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</si>
  <si>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</si>
  <si>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</si>
  <si>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</si>
  <si>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</si>
  <si>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</si>
  <si>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</si>
  <si>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</si>
  <si>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</si>
  <si>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</si>
  <si>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</si>
  <si>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</si>
  <si>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</si>
  <si>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</si>
  <si>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</si>
  <si>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</si>
  <si>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</si>
  <si>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</si>
  <si>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</si>
  <si>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</si>
  <si>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</si>
  <si>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</si>
  <si>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</si>
  <si>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</si>
  <si>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</si>
  <si>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</si>
  <si>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</si>
  <si>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</si>
  <si>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</si>
  <si>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</si>
  <si>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</si>
  <si>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</si>
  <si>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</si>
  <si>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</si>
  <si>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</si>
  <si>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</si>
  <si>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</si>
  <si>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</si>
  <si>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</si>
  <si>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</si>
  <si>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</si>
  <si>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</si>
  <si>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</si>
  <si>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</si>
  <si>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</si>
  <si>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</si>
  <si>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</si>
  <si>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</si>
  <si>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</si>
  <si>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7149 БАЛЫКОВАЯ Коровино п/к в/у 0,84кг_50с  Останкино, 1001303637149</t>
  </si>
  <si>
    <t>7131 БАЛЫКОВАЯ в/к в/у 0,84кг  Останкино, 1001303637131</t>
  </si>
  <si>
    <t>6527 ШПИКАЧКИ СОЧНЫЕ ПМ сар б/о мгс 1*3 45с ОСТАНКИНО, 1001031076527</t>
  </si>
  <si>
    <t>кгг</t>
  </si>
  <si>
    <t>6608 С ГОВЯДИНОЙ ОРИГИН. сар б/о мгс 1*3_45с  ОСТАНКИНО, 1001033856608</t>
  </si>
  <si>
    <t>7082 СЛИВОЧНЫЕ ПМ сос п/о мгс 1,5*4_50с  Останкино, 1001022467082</t>
  </si>
  <si>
    <t>7001 КЛАССИЧЕСКИЕ Папа может сар б/о мгс 1*3  Останкино, 1001035937001</t>
  </si>
  <si>
    <t>6765 РУБЛЕНЫЕ сос ц/о мгс 0,36кг 6шт  Останкино, 1001023696765</t>
  </si>
  <si>
    <t>6787 СЕРВЕЛАТ КРЕМЛЕВСКИЙ в/к в/у 0,33кг 8шт  Останкино, 1001300456787</t>
  </si>
  <si>
    <t>6791 СЕРВЕЛАТ ПРЕМИУМ в/к в/у 0,33кг 8шт  Останкино, 1001304096791</t>
  </si>
  <si>
    <t>6807 СЕРВЕЛАТ ЕВРОПЕЙСКИЙ в/к в/у 0,33кг 8шт  Останкино, 1001300366807</t>
  </si>
  <si>
    <t>С ИНДЕЙКОЙ Папа может вар п/о 0,4кг 8шт. Останкино, 1001015026797</t>
  </si>
  <si>
    <t>7333 СЕРВЕЛАТ ОХОТНИЧИЙ ПМ в/к в/у 0,28кг ОСТАНКИНО, 1001303987333</t>
  </si>
  <si>
    <t>6829  МОЛОЧНЫЕ КЛАССИЧЕСКИЕ сос п/о мгс 2*4 С  Останккино, 1001024976829</t>
  </si>
  <si>
    <t>7284 ДЛЯ ДЕТЕЙ сос п/о мгс 0,33кг 6шт  Останкино, 1001025767284</t>
  </si>
  <si>
    <t>6303 Мясные Папа может сос п/о мгс 1,5*3  Останкино, 1001022726303</t>
  </si>
  <si>
    <t>Сыр ПАПА МОЖЕТ "Тильзитер" фасованный массовая доля жира в сухом веществе 45%, 180г  Останкино, 5038398</t>
  </si>
  <si>
    <t>Сыр полутвердый "Голландский" с массовой долей жира в пересчете на сухое  Останкино, 8785235</t>
  </si>
  <si>
    <t>6834 ПОСОЛЬСКАЯ с/к с/н в/у 1/100 10шт  Останкино, 1001203146834</t>
  </si>
  <si>
    <t>ши</t>
  </si>
  <si>
    <t>7075 МОЛОЧ.ПРЕМИУМ ПМ сос п/о мгс 1,5*4_О_50с  Останкино, 1001022657075</t>
  </si>
  <si>
    <t>Продано</t>
  </si>
  <si>
    <t>Списано</t>
  </si>
  <si>
    <t>ШТ</t>
  </si>
  <si>
    <t>6661 СОЧНЫЙ ГРИЛЬ ПМ сос п/о мгс 1,5*4_Маяк Останкино, 1001022246661</t>
  </si>
  <si>
    <t>КГ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</si>
</sst>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/>
  </cellStyleXfs>
  <cellXfs count="95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" fontId="6" fillId="0" borderId="1" xfId="1" applyNumberFormat="1" applyFont="1" applyBorder="1" applyAlignment="1">
      <alignment horizontal="center" vertical="center"/>
    </xf>
    <xf numFmtId="0" fontId="7" fillId="0" borderId="2" xfId="2" applyNumberFormat="1" applyFont="1" applyBorder="1" applyAlignment="1">
      <alignment vertical="top" wrapText="1" indent="6"/>
    </xf>
    <xf numFmtId="1" fontId="6" fillId="0" borderId="5" xfId="1" applyNumberFormat="1" applyFont="1" applyBorder="1" applyAlignment="1">
      <alignment horizontal="center" vertical="center"/>
    </xf>
    <xf numFmtId="0" fontId="7" fillId="5" borderId="2" xfId="2" applyFill="1" applyBorder="1" applyAlignment="1">
      <alignment vertical="top" wrapText="1" indent="4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6" borderId="0" xfId="0" applyNumberForma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6" fontId="7" fillId="0" borderId="2" xfId="2" applyNumberFormat="1" applyBorder="1" applyAlignment="1">
      <alignment horizontal="center" vertical="center"/>
    </xf>
    <xf numFmtId="167" fontId="7" fillId="0" borderId="2" xfId="2" applyNumberForma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66" fontId="7" fillId="0" borderId="4" xfId="2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66" fontId="7" fillId="8" borderId="2" xfId="2" applyNumberFormat="1" applyFill="1" applyBorder="1" applyAlignment="1">
      <alignment horizontal="center" vertical="center"/>
    </xf>
    <xf numFmtId="2" fontId="0" fillId="6" borderId="0" xfId="0" applyNumberFormat="1" applyFill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center" vertical="center" wrapText="1"/>
    </xf>
    <xf numFmtId="164" fontId="0" fillId="7" borderId="1" xfId="0" applyNumberFormat="1" applyFont="1" applyFill="1" applyBorder="1" applyAlignment="1">
      <alignment horizontal="center" vertical="center" wrapText="1"/>
    </xf>
    <xf numFmtId="0" fontId="7" fillId="7" borderId="2" xfId="2" applyNumberFormat="1" applyFont="1" applyFill="1" applyBorder="1" applyAlignment="1">
      <alignment vertical="top" wrapText="1" indent="6"/>
    </xf>
    <xf numFmtId="164" fontId="0" fillId="6" borderId="0" xfId="0" applyNumberFormat="1" applyFill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4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 vertical="center" wrapText="1"/>
    </xf>
    <xf numFmtId="2" fontId="0" fillId="0" borderId="12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0" fontId="0" fillId="0" borderId="8" xfId="0" applyBorder="1"/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/>
    <xf numFmtId="14" fontId="0" fillId="0" borderId="11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 wrapText="1"/>
    </xf>
    <xf numFmtId="0" fontId="0" fillId="0" borderId="11" xfId="0" applyBorder="1"/>
    <xf numFmtId="0" fontId="0" fillId="0" borderId="11" xfId="0" applyBorder="1" applyAlignment="1">
      <alignment horizontal="center" vertical="center" wrapText="1"/>
    </xf>
    <xf numFmtId="0" fontId="0" fillId="0" borderId="14" xfId="0" applyBorder="1"/>
    <xf numFmtId="0" fontId="0" fillId="0" borderId="11" xfId="0" applyBorder="1" applyAlignment="1">
      <alignment wrapText="1"/>
    </xf>
    <xf numFmtId="0" fontId="0" fillId="0" borderId="10" xfId="0" applyBorder="1" applyAlignment="1">
      <alignment wrapText="1"/>
    </xf>
    <xf numFmtId="14" fontId="0" fillId="0" borderId="16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" fontId="6" fillId="0" borderId="17" xfId="1" applyNumberFormat="1" applyFon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 wrapText="1"/>
    </xf>
    <xf numFmtId="164" fontId="0" fillId="8" borderId="1" xfId="0" applyNumberFormat="1" applyFont="1" applyFill="1" applyBorder="1" applyAlignment="1">
      <alignment horizontal="center" vertical="center" wrapText="1"/>
    </xf>
    <xf numFmtId="0" fontId="7" fillId="4" borderId="2" xfId="2" applyNumberFormat="1" applyFont="1" applyFill="1" applyBorder="1" applyAlignment="1">
      <alignment vertical="top" wrapText="1" indent="6"/>
    </xf>
    <xf numFmtId="164" fontId="0" fillId="5" borderId="1" xfId="0" applyNumberFormat="1" applyFont="1" applyFill="1" applyBorder="1" applyAlignment="1">
      <alignment horizontal="center" vertical="center" wrapText="1"/>
    </xf>
    <xf numFmtId="0" fontId="7" fillId="5" borderId="2" xfId="2" applyNumberFormat="1" applyFont="1" applyFill="1" applyBorder="1" applyAlignment="1">
      <alignment vertical="top" wrapText="1" indent="6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 wrapText="1"/>
    </xf>
    <xf numFmtId="1" fontId="6" fillId="5" borderId="5" xfId="1" applyNumberFormat="1" applyFon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 wrapText="1"/>
    </xf>
    <xf numFmtId="0" fontId="7" fillId="8" borderId="2" xfId="2" applyNumberFormat="1" applyFont="1" applyFill="1" applyBorder="1" applyAlignment="1">
      <alignment vertical="top" wrapText="1" indent="6"/>
    </xf>
  </cellXfs>
  <cellStyles count="3">
    <cellStyle name="Обычный" xfId="0" builtinId="0"/>
    <cellStyle name="Обычный_Лист1" xfId="2"/>
    <cellStyle name="Процентный" xfId="1" builtinId="5"/>
  </cellStyles>
  <dxfs count="27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199"/>
  <sheetViews>
    <sheetView tabSelected="1" topLeftCell="A83" zoomScale="85" zoomScaleNormal="85" workbookViewId="0">
      <pane xSplit="2" topLeftCell="Q1" activePane="topRight" state="frozen"/>
      <selection activeCell="A2" sqref="A2"/>
      <selection pane="topRight" activeCell="W101" sqref="W101"/>
    </sheetView>
  </sheetViews>
  <sheetFormatPr defaultColWidth="8.85546875" defaultRowHeight="15"/>
  <cols>
    <col min="1" max="1" width="3.85546875" style="1" customWidth="1"/>
    <col min="2" max="2" width="44.7109375" style="1" customWidth="1"/>
    <col min="3" max="3" width="4.85546875" style="11" customWidth="1"/>
    <col min="4" max="4" width="9" style="11" customWidth="1"/>
    <col min="5" max="5" width="12.7109375" style="12" customWidth="1"/>
    <col min="6" max="6" width="10.5703125" style="12" customWidth="1"/>
    <col min="7" max="7" width="13.28515625" style="11" customWidth="1"/>
    <col min="8" max="8" width="13" style="11" customWidth="1"/>
    <col min="9" max="9" width="4.85546875" style="11" customWidth="1"/>
    <col min="10" max="10" width="9" style="11" customWidth="1"/>
    <col min="11" max="11" width="12.7109375" style="12" customWidth="1"/>
    <col min="12" max="12" width="10.5703125" style="12" customWidth="1"/>
    <col min="13" max="13" width="13.28515625" style="11" customWidth="1"/>
    <col min="14" max="14" width="13" style="11" customWidth="1"/>
    <col min="15" max="15" width="23.42578125" style="50" customWidth="1"/>
    <col min="16" max="16" width="23.42578125" style="42" customWidth="1"/>
    <col min="17" max="17" width="4.85546875" style="11" customWidth="1"/>
    <col min="18" max="18" width="9" style="11" customWidth="1"/>
    <col min="19" max="19" width="12.7109375" style="12" customWidth="1"/>
    <col min="20" max="20" width="10.5703125" style="12" customWidth="1"/>
    <col min="21" max="21" width="13.28515625" style="11" customWidth="1"/>
    <col min="22" max="22" width="13" style="11" customWidth="1"/>
    <col min="23" max="23" width="23.42578125" style="50" customWidth="1"/>
    <col min="24" max="24" width="23.42578125" style="42" customWidth="1"/>
    <col min="25" max="34" width="23.42578125" style="11" customWidth="1"/>
    <col min="35" max="100" width="8.85546875" style="1"/>
    <col min="101" max="101" width="4" style="1" customWidth="1"/>
    <col min="102" max="102" width="59.7109375" style="1" customWidth="1"/>
    <col min="103" max="103" width="4.85546875" style="1" customWidth="1"/>
    <col min="104" max="104" width="9" style="1" customWidth="1"/>
    <col min="105" max="105" width="15.85546875" style="1" customWidth="1"/>
    <col min="106" max="106" width="15.7109375" style="1" customWidth="1"/>
    <col min="107" max="107" width="15.42578125" style="1" customWidth="1"/>
    <col min="108" max="108" width="17.140625" style="1" customWidth="1"/>
    <col min="109" max="109" width="37.85546875" style="1" customWidth="1"/>
    <col min="110" max="110" width="36.5703125" style="1" customWidth="1"/>
    <col min="111" max="111" width="29.42578125" style="1" customWidth="1"/>
    <col min="112" max="356" width="8.85546875" style="1"/>
    <col min="357" max="357" width="4" style="1" customWidth="1"/>
    <col min="358" max="358" width="59.7109375" style="1" customWidth="1"/>
    <col min="359" max="359" width="4.85546875" style="1" customWidth="1"/>
    <col min="360" max="360" width="9" style="1" customWidth="1"/>
    <col min="361" max="361" width="15.85546875" style="1" customWidth="1"/>
    <col min="362" max="362" width="15.7109375" style="1" customWidth="1"/>
    <col min="363" max="363" width="15.42578125" style="1" customWidth="1"/>
    <col min="364" max="364" width="17.140625" style="1" customWidth="1"/>
    <col min="365" max="365" width="37.85546875" style="1" customWidth="1"/>
    <col min="366" max="366" width="36.5703125" style="1" customWidth="1"/>
    <col min="367" max="367" width="29.42578125" style="1" customWidth="1"/>
    <col min="368" max="612" width="8.85546875" style="1"/>
    <col min="613" max="613" width="4" style="1" customWidth="1"/>
    <col min="614" max="614" width="59.7109375" style="1" customWidth="1"/>
    <col min="615" max="615" width="4.85546875" style="1" customWidth="1"/>
    <col min="616" max="616" width="9" style="1" customWidth="1"/>
    <col min="617" max="617" width="15.85546875" style="1" customWidth="1"/>
    <col min="618" max="618" width="15.7109375" style="1" customWidth="1"/>
    <col min="619" max="619" width="15.42578125" style="1" customWidth="1"/>
    <col min="620" max="620" width="17.140625" style="1" customWidth="1"/>
    <col min="621" max="621" width="37.85546875" style="1" customWidth="1"/>
    <col min="622" max="622" width="36.5703125" style="1" customWidth="1"/>
    <col min="623" max="623" width="29.42578125" style="1" customWidth="1"/>
    <col min="624" max="868" width="8.85546875" style="1"/>
    <col min="869" max="869" width="4" style="1" customWidth="1"/>
    <col min="870" max="870" width="59.7109375" style="1" customWidth="1"/>
    <col min="871" max="871" width="4.85546875" style="1" customWidth="1"/>
    <col min="872" max="872" width="9" style="1" customWidth="1"/>
    <col min="873" max="873" width="15.85546875" style="1" customWidth="1"/>
    <col min="874" max="874" width="15.7109375" style="1" customWidth="1"/>
    <col min="875" max="875" width="15.42578125" style="1" customWidth="1"/>
    <col min="876" max="876" width="17.140625" style="1" customWidth="1"/>
    <col min="877" max="877" width="37.85546875" style="1" customWidth="1"/>
    <col min="878" max="878" width="36.5703125" style="1" customWidth="1"/>
    <col min="879" max="879" width="29.42578125" style="1" customWidth="1"/>
    <col min="880" max="1124" width="8.85546875" style="1"/>
    <col min="1125" max="1125" width="4" style="1" customWidth="1"/>
    <col min="1126" max="1126" width="59.7109375" style="1" customWidth="1"/>
    <col min="1127" max="1127" width="4.85546875" style="1" customWidth="1"/>
    <col min="1128" max="1128" width="9" style="1" customWidth="1"/>
    <col min="1129" max="1129" width="15.85546875" style="1" customWidth="1"/>
    <col min="1130" max="1130" width="15.7109375" style="1" customWidth="1"/>
    <col min="1131" max="1131" width="15.42578125" style="1" customWidth="1"/>
    <col min="1132" max="1132" width="17.140625" style="1" customWidth="1"/>
    <col min="1133" max="1133" width="37.85546875" style="1" customWidth="1"/>
    <col min="1134" max="1134" width="36.5703125" style="1" customWidth="1"/>
    <col min="1135" max="1135" width="29.42578125" style="1" customWidth="1"/>
    <col min="1136" max="1380" width="8.85546875" style="1"/>
    <col min="1381" max="1381" width="4" style="1" customWidth="1"/>
    <col min="1382" max="1382" width="59.7109375" style="1" customWidth="1"/>
    <col min="1383" max="1383" width="4.85546875" style="1" customWidth="1"/>
    <col min="1384" max="1384" width="9" style="1" customWidth="1"/>
    <col min="1385" max="1385" width="15.85546875" style="1" customWidth="1"/>
    <col min="1386" max="1386" width="15.7109375" style="1" customWidth="1"/>
    <col min="1387" max="1387" width="15.42578125" style="1" customWidth="1"/>
    <col min="1388" max="1388" width="17.140625" style="1" customWidth="1"/>
    <col min="1389" max="1389" width="37.85546875" style="1" customWidth="1"/>
    <col min="1390" max="1390" width="36.5703125" style="1" customWidth="1"/>
    <col min="1391" max="1391" width="29.42578125" style="1" customWidth="1"/>
    <col min="1392" max="1636" width="8.85546875" style="1"/>
    <col min="1637" max="1637" width="4" style="1" customWidth="1"/>
    <col min="1638" max="1638" width="59.7109375" style="1" customWidth="1"/>
    <col min="1639" max="1639" width="4.85546875" style="1" customWidth="1"/>
    <col min="1640" max="1640" width="9" style="1" customWidth="1"/>
    <col min="1641" max="1641" width="15.85546875" style="1" customWidth="1"/>
    <col min="1642" max="1642" width="15.7109375" style="1" customWidth="1"/>
    <col min="1643" max="1643" width="15.42578125" style="1" customWidth="1"/>
    <col min="1644" max="1644" width="17.140625" style="1" customWidth="1"/>
    <col min="1645" max="1645" width="37.85546875" style="1" customWidth="1"/>
    <col min="1646" max="1646" width="36.5703125" style="1" customWidth="1"/>
    <col min="1647" max="1647" width="29.42578125" style="1" customWidth="1"/>
    <col min="1648" max="1892" width="8.85546875" style="1"/>
    <col min="1893" max="1893" width="4" style="1" customWidth="1"/>
    <col min="1894" max="1894" width="59.7109375" style="1" customWidth="1"/>
    <col min="1895" max="1895" width="4.85546875" style="1" customWidth="1"/>
    <col min="1896" max="1896" width="9" style="1" customWidth="1"/>
    <col min="1897" max="1897" width="15.85546875" style="1" customWidth="1"/>
    <col min="1898" max="1898" width="15.7109375" style="1" customWidth="1"/>
    <col min="1899" max="1899" width="15.42578125" style="1" customWidth="1"/>
    <col min="1900" max="1900" width="17.140625" style="1" customWidth="1"/>
    <col min="1901" max="1901" width="37.85546875" style="1" customWidth="1"/>
    <col min="1902" max="1902" width="36.5703125" style="1" customWidth="1"/>
    <col min="1903" max="1903" width="29.42578125" style="1" customWidth="1"/>
    <col min="1904" max="2148" width="8.85546875" style="1"/>
    <col min="2149" max="2149" width="4" style="1" customWidth="1"/>
    <col min="2150" max="2150" width="59.7109375" style="1" customWidth="1"/>
    <col min="2151" max="2151" width="4.85546875" style="1" customWidth="1"/>
    <col min="2152" max="2152" width="9" style="1" customWidth="1"/>
    <col min="2153" max="2153" width="15.85546875" style="1" customWidth="1"/>
    <col min="2154" max="2154" width="15.7109375" style="1" customWidth="1"/>
    <col min="2155" max="2155" width="15.42578125" style="1" customWidth="1"/>
    <col min="2156" max="2156" width="17.140625" style="1" customWidth="1"/>
    <col min="2157" max="2157" width="37.85546875" style="1" customWidth="1"/>
    <col min="2158" max="2158" width="36.5703125" style="1" customWidth="1"/>
    <col min="2159" max="2159" width="29.42578125" style="1" customWidth="1"/>
    <col min="2160" max="2404" width="8.85546875" style="1"/>
    <col min="2405" max="2405" width="4" style="1" customWidth="1"/>
    <col min="2406" max="2406" width="59.7109375" style="1" customWidth="1"/>
    <col min="2407" max="2407" width="4.85546875" style="1" customWidth="1"/>
    <col min="2408" max="2408" width="9" style="1" customWidth="1"/>
    <col min="2409" max="2409" width="15.85546875" style="1" customWidth="1"/>
    <col min="2410" max="2410" width="15.7109375" style="1" customWidth="1"/>
    <col min="2411" max="2411" width="15.42578125" style="1" customWidth="1"/>
    <col min="2412" max="2412" width="17.140625" style="1" customWidth="1"/>
    <col min="2413" max="2413" width="37.85546875" style="1" customWidth="1"/>
    <col min="2414" max="2414" width="36.5703125" style="1" customWidth="1"/>
    <col min="2415" max="2415" width="29.42578125" style="1" customWidth="1"/>
    <col min="2416" max="2660" width="8.85546875" style="1"/>
    <col min="2661" max="2661" width="4" style="1" customWidth="1"/>
    <col min="2662" max="2662" width="59.7109375" style="1" customWidth="1"/>
    <col min="2663" max="2663" width="4.85546875" style="1" customWidth="1"/>
    <col min="2664" max="2664" width="9" style="1" customWidth="1"/>
    <col min="2665" max="2665" width="15.85546875" style="1" customWidth="1"/>
    <col min="2666" max="2666" width="15.7109375" style="1" customWidth="1"/>
    <col min="2667" max="2667" width="15.42578125" style="1" customWidth="1"/>
    <col min="2668" max="2668" width="17.140625" style="1" customWidth="1"/>
    <col min="2669" max="2669" width="37.85546875" style="1" customWidth="1"/>
    <col min="2670" max="2670" width="36.5703125" style="1" customWidth="1"/>
    <col min="2671" max="2671" width="29.42578125" style="1" customWidth="1"/>
    <col min="2672" max="2916" width="8.85546875" style="1"/>
    <col min="2917" max="2917" width="4" style="1" customWidth="1"/>
    <col min="2918" max="2918" width="59.7109375" style="1" customWidth="1"/>
    <col min="2919" max="2919" width="4.85546875" style="1" customWidth="1"/>
    <col min="2920" max="2920" width="9" style="1" customWidth="1"/>
    <col min="2921" max="2921" width="15.85546875" style="1" customWidth="1"/>
    <col min="2922" max="2922" width="15.7109375" style="1" customWidth="1"/>
    <col min="2923" max="2923" width="15.42578125" style="1" customWidth="1"/>
    <col min="2924" max="2924" width="17.140625" style="1" customWidth="1"/>
    <col min="2925" max="2925" width="37.85546875" style="1" customWidth="1"/>
    <col min="2926" max="2926" width="36.5703125" style="1" customWidth="1"/>
    <col min="2927" max="2927" width="29.42578125" style="1" customWidth="1"/>
    <col min="2928" max="3172" width="8.85546875" style="1"/>
    <col min="3173" max="3173" width="4" style="1" customWidth="1"/>
    <col min="3174" max="3174" width="59.7109375" style="1" customWidth="1"/>
    <col min="3175" max="3175" width="4.85546875" style="1" customWidth="1"/>
    <col min="3176" max="3176" width="9" style="1" customWidth="1"/>
    <col min="3177" max="3177" width="15.85546875" style="1" customWidth="1"/>
    <col min="3178" max="3178" width="15.7109375" style="1" customWidth="1"/>
    <col min="3179" max="3179" width="15.42578125" style="1" customWidth="1"/>
    <col min="3180" max="3180" width="17.140625" style="1" customWidth="1"/>
    <col min="3181" max="3181" width="37.85546875" style="1" customWidth="1"/>
    <col min="3182" max="3182" width="36.5703125" style="1" customWidth="1"/>
    <col min="3183" max="3183" width="29.42578125" style="1" customWidth="1"/>
    <col min="3184" max="3428" width="8.85546875" style="1"/>
    <col min="3429" max="3429" width="4" style="1" customWidth="1"/>
    <col min="3430" max="3430" width="59.7109375" style="1" customWidth="1"/>
    <col min="3431" max="3431" width="4.85546875" style="1" customWidth="1"/>
    <col min="3432" max="3432" width="9" style="1" customWidth="1"/>
    <col min="3433" max="3433" width="15.85546875" style="1" customWidth="1"/>
    <col min="3434" max="3434" width="15.7109375" style="1" customWidth="1"/>
    <col min="3435" max="3435" width="15.42578125" style="1" customWidth="1"/>
    <col min="3436" max="3436" width="17.140625" style="1" customWidth="1"/>
    <col min="3437" max="3437" width="37.85546875" style="1" customWidth="1"/>
    <col min="3438" max="3438" width="36.5703125" style="1" customWidth="1"/>
    <col min="3439" max="3439" width="29.42578125" style="1" customWidth="1"/>
    <col min="3440" max="3684" width="8.85546875" style="1"/>
    <col min="3685" max="3685" width="4" style="1" customWidth="1"/>
    <col min="3686" max="3686" width="59.7109375" style="1" customWidth="1"/>
    <col min="3687" max="3687" width="4.85546875" style="1" customWidth="1"/>
    <col min="3688" max="3688" width="9" style="1" customWidth="1"/>
    <col min="3689" max="3689" width="15.85546875" style="1" customWidth="1"/>
    <col min="3690" max="3690" width="15.7109375" style="1" customWidth="1"/>
    <col min="3691" max="3691" width="15.42578125" style="1" customWidth="1"/>
    <col min="3692" max="3692" width="17.140625" style="1" customWidth="1"/>
    <col min="3693" max="3693" width="37.85546875" style="1" customWidth="1"/>
    <col min="3694" max="3694" width="36.5703125" style="1" customWidth="1"/>
    <col min="3695" max="3695" width="29.42578125" style="1" customWidth="1"/>
    <col min="3696" max="3940" width="8.85546875" style="1"/>
    <col min="3941" max="3941" width="4" style="1" customWidth="1"/>
    <col min="3942" max="3942" width="59.7109375" style="1" customWidth="1"/>
    <col min="3943" max="3943" width="4.85546875" style="1" customWidth="1"/>
    <col min="3944" max="3944" width="9" style="1" customWidth="1"/>
    <col min="3945" max="3945" width="15.85546875" style="1" customWidth="1"/>
    <col min="3946" max="3946" width="15.7109375" style="1" customWidth="1"/>
    <col min="3947" max="3947" width="15.42578125" style="1" customWidth="1"/>
    <col min="3948" max="3948" width="17.140625" style="1" customWidth="1"/>
    <col min="3949" max="3949" width="37.85546875" style="1" customWidth="1"/>
    <col min="3950" max="3950" width="36.5703125" style="1" customWidth="1"/>
    <col min="3951" max="3951" width="29.42578125" style="1" customWidth="1"/>
    <col min="3952" max="4196" width="8.85546875" style="1"/>
    <col min="4197" max="4197" width="4" style="1" customWidth="1"/>
    <col min="4198" max="4198" width="59.7109375" style="1" customWidth="1"/>
    <col min="4199" max="4199" width="4.85546875" style="1" customWidth="1"/>
    <col min="4200" max="4200" width="9" style="1" customWidth="1"/>
    <col min="4201" max="4201" width="15.85546875" style="1" customWidth="1"/>
    <col min="4202" max="4202" width="15.7109375" style="1" customWidth="1"/>
    <col min="4203" max="4203" width="15.42578125" style="1" customWidth="1"/>
    <col min="4204" max="4204" width="17.140625" style="1" customWidth="1"/>
    <col min="4205" max="4205" width="37.85546875" style="1" customWidth="1"/>
    <col min="4206" max="4206" width="36.5703125" style="1" customWidth="1"/>
    <col min="4207" max="4207" width="29.42578125" style="1" customWidth="1"/>
    <col min="4208" max="4452" width="8.85546875" style="1"/>
    <col min="4453" max="4453" width="4" style="1" customWidth="1"/>
    <col min="4454" max="4454" width="59.7109375" style="1" customWidth="1"/>
    <col min="4455" max="4455" width="4.85546875" style="1" customWidth="1"/>
    <col min="4456" max="4456" width="9" style="1" customWidth="1"/>
    <col min="4457" max="4457" width="15.85546875" style="1" customWidth="1"/>
    <col min="4458" max="4458" width="15.7109375" style="1" customWidth="1"/>
    <col min="4459" max="4459" width="15.42578125" style="1" customWidth="1"/>
    <col min="4460" max="4460" width="17.140625" style="1" customWidth="1"/>
    <col min="4461" max="4461" width="37.85546875" style="1" customWidth="1"/>
    <col min="4462" max="4462" width="36.5703125" style="1" customWidth="1"/>
    <col min="4463" max="4463" width="29.42578125" style="1" customWidth="1"/>
    <col min="4464" max="4708" width="8.85546875" style="1"/>
    <col min="4709" max="4709" width="4" style="1" customWidth="1"/>
    <col min="4710" max="4710" width="59.7109375" style="1" customWidth="1"/>
    <col min="4711" max="4711" width="4.85546875" style="1" customWidth="1"/>
    <col min="4712" max="4712" width="9" style="1" customWidth="1"/>
    <col min="4713" max="4713" width="15.85546875" style="1" customWidth="1"/>
    <col min="4714" max="4714" width="15.7109375" style="1" customWidth="1"/>
    <col min="4715" max="4715" width="15.42578125" style="1" customWidth="1"/>
    <col min="4716" max="4716" width="17.140625" style="1" customWidth="1"/>
    <col min="4717" max="4717" width="37.85546875" style="1" customWidth="1"/>
    <col min="4718" max="4718" width="36.5703125" style="1" customWidth="1"/>
    <col min="4719" max="4719" width="29.42578125" style="1" customWidth="1"/>
    <col min="4720" max="4964" width="8.85546875" style="1"/>
    <col min="4965" max="4965" width="4" style="1" customWidth="1"/>
    <col min="4966" max="4966" width="59.7109375" style="1" customWidth="1"/>
    <col min="4967" max="4967" width="4.85546875" style="1" customWidth="1"/>
    <col min="4968" max="4968" width="9" style="1" customWidth="1"/>
    <col min="4969" max="4969" width="15.85546875" style="1" customWidth="1"/>
    <col min="4970" max="4970" width="15.7109375" style="1" customWidth="1"/>
    <col min="4971" max="4971" width="15.42578125" style="1" customWidth="1"/>
    <col min="4972" max="4972" width="17.140625" style="1" customWidth="1"/>
    <col min="4973" max="4973" width="37.85546875" style="1" customWidth="1"/>
    <col min="4974" max="4974" width="36.5703125" style="1" customWidth="1"/>
    <col min="4975" max="4975" width="29.42578125" style="1" customWidth="1"/>
    <col min="4976" max="5220" width="8.85546875" style="1"/>
    <col min="5221" max="5221" width="4" style="1" customWidth="1"/>
    <col min="5222" max="5222" width="59.7109375" style="1" customWidth="1"/>
    <col min="5223" max="5223" width="4.85546875" style="1" customWidth="1"/>
    <col min="5224" max="5224" width="9" style="1" customWidth="1"/>
    <col min="5225" max="5225" width="15.85546875" style="1" customWidth="1"/>
    <col min="5226" max="5226" width="15.7109375" style="1" customWidth="1"/>
    <col min="5227" max="5227" width="15.42578125" style="1" customWidth="1"/>
    <col min="5228" max="5228" width="17.140625" style="1" customWidth="1"/>
    <col min="5229" max="5229" width="37.85546875" style="1" customWidth="1"/>
    <col min="5230" max="5230" width="36.5703125" style="1" customWidth="1"/>
    <col min="5231" max="5231" width="29.42578125" style="1" customWidth="1"/>
    <col min="5232" max="5476" width="8.85546875" style="1"/>
    <col min="5477" max="5477" width="4" style="1" customWidth="1"/>
    <col min="5478" max="5478" width="59.7109375" style="1" customWidth="1"/>
    <col min="5479" max="5479" width="4.85546875" style="1" customWidth="1"/>
    <col min="5480" max="5480" width="9" style="1" customWidth="1"/>
    <col min="5481" max="5481" width="15.85546875" style="1" customWidth="1"/>
    <col min="5482" max="5482" width="15.7109375" style="1" customWidth="1"/>
    <col min="5483" max="5483" width="15.42578125" style="1" customWidth="1"/>
    <col min="5484" max="5484" width="17.140625" style="1" customWidth="1"/>
    <col min="5485" max="5485" width="37.85546875" style="1" customWidth="1"/>
    <col min="5486" max="5486" width="36.5703125" style="1" customWidth="1"/>
    <col min="5487" max="5487" width="29.42578125" style="1" customWidth="1"/>
    <col min="5488" max="5732" width="8.85546875" style="1"/>
    <col min="5733" max="5733" width="4" style="1" customWidth="1"/>
    <col min="5734" max="5734" width="59.7109375" style="1" customWidth="1"/>
    <col min="5735" max="5735" width="4.85546875" style="1" customWidth="1"/>
    <col min="5736" max="5736" width="9" style="1" customWidth="1"/>
    <col min="5737" max="5737" width="15.85546875" style="1" customWidth="1"/>
    <col min="5738" max="5738" width="15.7109375" style="1" customWidth="1"/>
    <col min="5739" max="5739" width="15.42578125" style="1" customWidth="1"/>
    <col min="5740" max="5740" width="17.140625" style="1" customWidth="1"/>
    <col min="5741" max="5741" width="37.85546875" style="1" customWidth="1"/>
    <col min="5742" max="5742" width="36.5703125" style="1" customWidth="1"/>
    <col min="5743" max="5743" width="29.42578125" style="1" customWidth="1"/>
    <col min="5744" max="5988" width="8.85546875" style="1"/>
    <col min="5989" max="5989" width="4" style="1" customWidth="1"/>
    <col min="5990" max="5990" width="59.7109375" style="1" customWidth="1"/>
    <col min="5991" max="5991" width="4.85546875" style="1" customWidth="1"/>
    <col min="5992" max="5992" width="9" style="1" customWidth="1"/>
    <col min="5993" max="5993" width="15.85546875" style="1" customWidth="1"/>
    <col min="5994" max="5994" width="15.7109375" style="1" customWidth="1"/>
    <col min="5995" max="5995" width="15.42578125" style="1" customWidth="1"/>
    <col min="5996" max="5996" width="17.140625" style="1" customWidth="1"/>
    <col min="5997" max="5997" width="37.85546875" style="1" customWidth="1"/>
    <col min="5998" max="5998" width="36.5703125" style="1" customWidth="1"/>
    <col min="5999" max="5999" width="29.42578125" style="1" customWidth="1"/>
    <col min="6000" max="6244" width="8.85546875" style="1"/>
    <col min="6245" max="6245" width="4" style="1" customWidth="1"/>
    <col min="6246" max="6246" width="59.7109375" style="1" customWidth="1"/>
    <col min="6247" max="6247" width="4.85546875" style="1" customWidth="1"/>
    <col min="6248" max="6248" width="9" style="1" customWidth="1"/>
    <col min="6249" max="6249" width="15.85546875" style="1" customWidth="1"/>
    <col min="6250" max="6250" width="15.7109375" style="1" customWidth="1"/>
    <col min="6251" max="6251" width="15.42578125" style="1" customWidth="1"/>
    <col min="6252" max="6252" width="17.140625" style="1" customWidth="1"/>
    <col min="6253" max="6253" width="37.85546875" style="1" customWidth="1"/>
    <col min="6254" max="6254" width="36.5703125" style="1" customWidth="1"/>
    <col min="6255" max="6255" width="29.42578125" style="1" customWidth="1"/>
    <col min="6256" max="6500" width="8.85546875" style="1"/>
    <col min="6501" max="6501" width="4" style="1" customWidth="1"/>
    <col min="6502" max="6502" width="59.7109375" style="1" customWidth="1"/>
    <col min="6503" max="6503" width="4.85546875" style="1" customWidth="1"/>
    <col min="6504" max="6504" width="9" style="1" customWidth="1"/>
    <col min="6505" max="6505" width="15.85546875" style="1" customWidth="1"/>
    <col min="6506" max="6506" width="15.7109375" style="1" customWidth="1"/>
    <col min="6507" max="6507" width="15.42578125" style="1" customWidth="1"/>
    <col min="6508" max="6508" width="17.140625" style="1" customWidth="1"/>
    <col min="6509" max="6509" width="37.85546875" style="1" customWidth="1"/>
    <col min="6510" max="6510" width="36.5703125" style="1" customWidth="1"/>
    <col min="6511" max="6511" width="29.42578125" style="1" customWidth="1"/>
    <col min="6512" max="6756" width="8.85546875" style="1"/>
    <col min="6757" max="6757" width="4" style="1" customWidth="1"/>
    <col min="6758" max="6758" width="59.7109375" style="1" customWidth="1"/>
    <col min="6759" max="6759" width="4.85546875" style="1" customWidth="1"/>
    <col min="6760" max="6760" width="9" style="1" customWidth="1"/>
    <col min="6761" max="6761" width="15.85546875" style="1" customWidth="1"/>
    <col min="6762" max="6762" width="15.7109375" style="1" customWidth="1"/>
    <col min="6763" max="6763" width="15.42578125" style="1" customWidth="1"/>
    <col min="6764" max="6764" width="17.140625" style="1" customWidth="1"/>
    <col min="6765" max="6765" width="37.85546875" style="1" customWidth="1"/>
    <col min="6766" max="6766" width="36.5703125" style="1" customWidth="1"/>
    <col min="6767" max="6767" width="29.42578125" style="1" customWidth="1"/>
    <col min="6768" max="7012" width="8.85546875" style="1"/>
    <col min="7013" max="7013" width="4" style="1" customWidth="1"/>
    <col min="7014" max="7014" width="59.7109375" style="1" customWidth="1"/>
    <col min="7015" max="7015" width="4.85546875" style="1" customWidth="1"/>
    <col min="7016" max="7016" width="9" style="1" customWidth="1"/>
    <col min="7017" max="7017" width="15.85546875" style="1" customWidth="1"/>
    <col min="7018" max="7018" width="15.7109375" style="1" customWidth="1"/>
    <col min="7019" max="7019" width="15.42578125" style="1" customWidth="1"/>
    <col min="7020" max="7020" width="17.140625" style="1" customWidth="1"/>
    <col min="7021" max="7021" width="37.85546875" style="1" customWidth="1"/>
    <col min="7022" max="7022" width="36.5703125" style="1" customWidth="1"/>
    <col min="7023" max="7023" width="29.42578125" style="1" customWidth="1"/>
    <col min="7024" max="7268" width="8.85546875" style="1"/>
    <col min="7269" max="7269" width="4" style="1" customWidth="1"/>
    <col min="7270" max="7270" width="59.7109375" style="1" customWidth="1"/>
    <col min="7271" max="7271" width="4.85546875" style="1" customWidth="1"/>
    <col min="7272" max="7272" width="9" style="1" customWidth="1"/>
    <col min="7273" max="7273" width="15.85546875" style="1" customWidth="1"/>
    <col min="7274" max="7274" width="15.7109375" style="1" customWidth="1"/>
    <col min="7275" max="7275" width="15.42578125" style="1" customWidth="1"/>
    <col min="7276" max="7276" width="17.140625" style="1" customWidth="1"/>
    <col min="7277" max="7277" width="37.85546875" style="1" customWidth="1"/>
    <col min="7278" max="7278" width="36.5703125" style="1" customWidth="1"/>
    <col min="7279" max="7279" width="29.42578125" style="1" customWidth="1"/>
    <col min="7280" max="7524" width="8.85546875" style="1"/>
    <col min="7525" max="7525" width="4" style="1" customWidth="1"/>
    <col min="7526" max="7526" width="59.7109375" style="1" customWidth="1"/>
    <col min="7527" max="7527" width="4.85546875" style="1" customWidth="1"/>
    <col min="7528" max="7528" width="9" style="1" customWidth="1"/>
    <col min="7529" max="7529" width="15.85546875" style="1" customWidth="1"/>
    <col min="7530" max="7530" width="15.7109375" style="1" customWidth="1"/>
    <col min="7531" max="7531" width="15.42578125" style="1" customWidth="1"/>
    <col min="7532" max="7532" width="17.140625" style="1" customWidth="1"/>
    <col min="7533" max="7533" width="37.85546875" style="1" customWidth="1"/>
    <col min="7534" max="7534" width="36.5703125" style="1" customWidth="1"/>
    <col min="7535" max="7535" width="29.42578125" style="1" customWidth="1"/>
    <col min="7536" max="7780" width="8.85546875" style="1"/>
    <col min="7781" max="7781" width="4" style="1" customWidth="1"/>
    <col min="7782" max="7782" width="59.7109375" style="1" customWidth="1"/>
    <col min="7783" max="7783" width="4.85546875" style="1" customWidth="1"/>
    <col min="7784" max="7784" width="9" style="1" customWidth="1"/>
    <col min="7785" max="7785" width="15.85546875" style="1" customWidth="1"/>
    <col min="7786" max="7786" width="15.7109375" style="1" customWidth="1"/>
    <col min="7787" max="7787" width="15.42578125" style="1" customWidth="1"/>
    <col min="7788" max="7788" width="17.140625" style="1" customWidth="1"/>
    <col min="7789" max="7789" width="37.85546875" style="1" customWidth="1"/>
    <col min="7790" max="7790" width="36.5703125" style="1" customWidth="1"/>
    <col min="7791" max="7791" width="29.42578125" style="1" customWidth="1"/>
    <col min="7792" max="8036" width="8.85546875" style="1"/>
    <col min="8037" max="8037" width="4" style="1" customWidth="1"/>
    <col min="8038" max="8038" width="59.7109375" style="1" customWidth="1"/>
    <col min="8039" max="8039" width="4.85546875" style="1" customWidth="1"/>
    <col min="8040" max="8040" width="9" style="1" customWidth="1"/>
    <col min="8041" max="8041" width="15.85546875" style="1" customWidth="1"/>
    <col min="8042" max="8042" width="15.7109375" style="1" customWidth="1"/>
    <col min="8043" max="8043" width="15.42578125" style="1" customWidth="1"/>
    <col min="8044" max="8044" width="17.140625" style="1" customWidth="1"/>
    <col min="8045" max="8045" width="37.85546875" style="1" customWidth="1"/>
    <col min="8046" max="8046" width="36.5703125" style="1" customWidth="1"/>
    <col min="8047" max="8047" width="29.42578125" style="1" customWidth="1"/>
    <col min="8048" max="8292" width="8.85546875" style="1"/>
    <col min="8293" max="8293" width="4" style="1" customWidth="1"/>
    <col min="8294" max="8294" width="59.7109375" style="1" customWidth="1"/>
    <col min="8295" max="8295" width="4.85546875" style="1" customWidth="1"/>
    <col min="8296" max="8296" width="9" style="1" customWidth="1"/>
    <col min="8297" max="8297" width="15.85546875" style="1" customWidth="1"/>
    <col min="8298" max="8298" width="15.7109375" style="1" customWidth="1"/>
    <col min="8299" max="8299" width="15.42578125" style="1" customWidth="1"/>
    <col min="8300" max="8300" width="17.140625" style="1" customWidth="1"/>
    <col min="8301" max="8301" width="37.85546875" style="1" customWidth="1"/>
    <col min="8302" max="8302" width="36.5703125" style="1" customWidth="1"/>
    <col min="8303" max="8303" width="29.42578125" style="1" customWidth="1"/>
    <col min="8304" max="8548" width="8.85546875" style="1"/>
    <col min="8549" max="8549" width="4" style="1" customWidth="1"/>
    <col min="8550" max="8550" width="59.7109375" style="1" customWidth="1"/>
    <col min="8551" max="8551" width="4.85546875" style="1" customWidth="1"/>
    <col min="8552" max="8552" width="9" style="1" customWidth="1"/>
    <col min="8553" max="8553" width="15.85546875" style="1" customWidth="1"/>
    <col min="8554" max="8554" width="15.7109375" style="1" customWidth="1"/>
    <col min="8555" max="8555" width="15.42578125" style="1" customWidth="1"/>
    <col min="8556" max="8556" width="17.140625" style="1" customWidth="1"/>
    <col min="8557" max="8557" width="37.85546875" style="1" customWidth="1"/>
    <col min="8558" max="8558" width="36.5703125" style="1" customWidth="1"/>
    <col min="8559" max="8559" width="29.42578125" style="1" customWidth="1"/>
    <col min="8560" max="8804" width="8.85546875" style="1"/>
    <col min="8805" max="8805" width="4" style="1" customWidth="1"/>
    <col min="8806" max="8806" width="59.7109375" style="1" customWidth="1"/>
    <col min="8807" max="8807" width="4.85546875" style="1" customWidth="1"/>
    <col min="8808" max="8808" width="9" style="1" customWidth="1"/>
    <col min="8809" max="8809" width="15.85546875" style="1" customWidth="1"/>
    <col min="8810" max="8810" width="15.7109375" style="1" customWidth="1"/>
    <col min="8811" max="8811" width="15.42578125" style="1" customWidth="1"/>
    <col min="8812" max="8812" width="17.140625" style="1" customWidth="1"/>
    <col min="8813" max="8813" width="37.85546875" style="1" customWidth="1"/>
    <col min="8814" max="8814" width="36.5703125" style="1" customWidth="1"/>
    <col min="8815" max="8815" width="29.42578125" style="1" customWidth="1"/>
    <col min="8816" max="9060" width="8.85546875" style="1"/>
    <col min="9061" max="9061" width="4" style="1" customWidth="1"/>
    <col min="9062" max="9062" width="59.7109375" style="1" customWidth="1"/>
    <col min="9063" max="9063" width="4.85546875" style="1" customWidth="1"/>
    <col min="9064" max="9064" width="9" style="1" customWidth="1"/>
    <col min="9065" max="9065" width="15.85546875" style="1" customWidth="1"/>
    <col min="9066" max="9066" width="15.7109375" style="1" customWidth="1"/>
    <col min="9067" max="9067" width="15.42578125" style="1" customWidth="1"/>
    <col min="9068" max="9068" width="17.140625" style="1" customWidth="1"/>
    <col min="9069" max="9069" width="37.85546875" style="1" customWidth="1"/>
    <col min="9070" max="9070" width="36.5703125" style="1" customWidth="1"/>
    <col min="9071" max="9071" width="29.42578125" style="1" customWidth="1"/>
    <col min="9072" max="9316" width="8.85546875" style="1"/>
    <col min="9317" max="9317" width="4" style="1" customWidth="1"/>
    <col min="9318" max="9318" width="59.7109375" style="1" customWidth="1"/>
    <col min="9319" max="9319" width="4.85546875" style="1" customWidth="1"/>
    <col min="9320" max="9320" width="9" style="1" customWidth="1"/>
    <col min="9321" max="9321" width="15.85546875" style="1" customWidth="1"/>
    <col min="9322" max="9322" width="15.7109375" style="1" customWidth="1"/>
    <col min="9323" max="9323" width="15.42578125" style="1" customWidth="1"/>
    <col min="9324" max="9324" width="17.140625" style="1" customWidth="1"/>
    <col min="9325" max="9325" width="37.85546875" style="1" customWidth="1"/>
    <col min="9326" max="9326" width="36.5703125" style="1" customWidth="1"/>
    <col min="9327" max="9327" width="29.42578125" style="1" customWidth="1"/>
    <col min="9328" max="9572" width="8.85546875" style="1"/>
    <col min="9573" max="9573" width="4" style="1" customWidth="1"/>
    <col min="9574" max="9574" width="59.7109375" style="1" customWidth="1"/>
    <col min="9575" max="9575" width="4.85546875" style="1" customWidth="1"/>
    <col min="9576" max="9576" width="9" style="1" customWidth="1"/>
    <col min="9577" max="9577" width="15.85546875" style="1" customWidth="1"/>
    <col min="9578" max="9578" width="15.7109375" style="1" customWidth="1"/>
    <col min="9579" max="9579" width="15.42578125" style="1" customWidth="1"/>
    <col min="9580" max="9580" width="17.140625" style="1" customWidth="1"/>
    <col min="9581" max="9581" width="37.85546875" style="1" customWidth="1"/>
    <col min="9582" max="9582" width="36.5703125" style="1" customWidth="1"/>
    <col min="9583" max="9583" width="29.42578125" style="1" customWidth="1"/>
    <col min="9584" max="9828" width="8.85546875" style="1"/>
    <col min="9829" max="9829" width="4" style="1" customWidth="1"/>
    <col min="9830" max="9830" width="59.7109375" style="1" customWidth="1"/>
    <col min="9831" max="9831" width="4.85546875" style="1" customWidth="1"/>
    <col min="9832" max="9832" width="9" style="1" customWidth="1"/>
    <col min="9833" max="9833" width="15.85546875" style="1" customWidth="1"/>
    <col min="9834" max="9834" width="15.7109375" style="1" customWidth="1"/>
    <col min="9835" max="9835" width="15.42578125" style="1" customWidth="1"/>
    <col min="9836" max="9836" width="17.140625" style="1" customWidth="1"/>
    <col min="9837" max="9837" width="37.85546875" style="1" customWidth="1"/>
    <col min="9838" max="9838" width="36.5703125" style="1" customWidth="1"/>
    <col min="9839" max="9839" width="29.42578125" style="1" customWidth="1"/>
    <col min="9840" max="10084" width="8.85546875" style="1"/>
    <col min="10085" max="10085" width="4" style="1" customWidth="1"/>
    <col min="10086" max="10086" width="59.7109375" style="1" customWidth="1"/>
    <col min="10087" max="10087" width="4.85546875" style="1" customWidth="1"/>
    <col min="10088" max="10088" width="9" style="1" customWidth="1"/>
    <col min="10089" max="10089" width="15.85546875" style="1" customWidth="1"/>
    <col min="10090" max="10090" width="15.7109375" style="1" customWidth="1"/>
    <col min="10091" max="10091" width="15.42578125" style="1" customWidth="1"/>
    <col min="10092" max="10092" width="17.140625" style="1" customWidth="1"/>
    <col min="10093" max="10093" width="37.85546875" style="1" customWidth="1"/>
    <col min="10094" max="10094" width="36.5703125" style="1" customWidth="1"/>
    <col min="10095" max="10095" width="29.42578125" style="1" customWidth="1"/>
    <col min="10096" max="10340" width="8.85546875" style="1"/>
    <col min="10341" max="10341" width="4" style="1" customWidth="1"/>
    <col min="10342" max="10342" width="59.7109375" style="1" customWidth="1"/>
    <col min="10343" max="10343" width="4.85546875" style="1" customWidth="1"/>
    <col min="10344" max="10344" width="9" style="1" customWidth="1"/>
    <col min="10345" max="10345" width="15.85546875" style="1" customWidth="1"/>
    <col min="10346" max="10346" width="15.7109375" style="1" customWidth="1"/>
    <col min="10347" max="10347" width="15.42578125" style="1" customWidth="1"/>
    <col min="10348" max="10348" width="17.140625" style="1" customWidth="1"/>
    <col min="10349" max="10349" width="37.85546875" style="1" customWidth="1"/>
    <col min="10350" max="10350" width="36.5703125" style="1" customWidth="1"/>
    <col min="10351" max="10351" width="29.42578125" style="1" customWidth="1"/>
    <col min="10352" max="10596" width="8.85546875" style="1"/>
    <col min="10597" max="10597" width="4" style="1" customWidth="1"/>
    <col min="10598" max="10598" width="59.7109375" style="1" customWidth="1"/>
    <col min="10599" max="10599" width="4.85546875" style="1" customWidth="1"/>
    <col min="10600" max="10600" width="9" style="1" customWidth="1"/>
    <col min="10601" max="10601" width="15.85546875" style="1" customWidth="1"/>
    <col min="10602" max="10602" width="15.7109375" style="1" customWidth="1"/>
    <col min="10603" max="10603" width="15.42578125" style="1" customWidth="1"/>
    <col min="10604" max="10604" width="17.140625" style="1" customWidth="1"/>
    <col min="10605" max="10605" width="37.85546875" style="1" customWidth="1"/>
    <col min="10606" max="10606" width="36.5703125" style="1" customWidth="1"/>
    <col min="10607" max="10607" width="29.42578125" style="1" customWidth="1"/>
    <col min="10608" max="10852" width="8.85546875" style="1"/>
    <col min="10853" max="10853" width="4" style="1" customWidth="1"/>
    <col min="10854" max="10854" width="59.7109375" style="1" customWidth="1"/>
    <col min="10855" max="10855" width="4.85546875" style="1" customWidth="1"/>
    <col min="10856" max="10856" width="9" style="1" customWidth="1"/>
    <col min="10857" max="10857" width="15.85546875" style="1" customWidth="1"/>
    <col min="10858" max="10858" width="15.7109375" style="1" customWidth="1"/>
    <col min="10859" max="10859" width="15.42578125" style="1" customWidth="1"/>
    <col min="10860" max="10860" width="17.140625" style="1" customWidth="1"/>
    <col min="10861" max="10861" width="37.85546875" style="1" customWidth="1"/>
    <col min="10862" max="10862" width="36.5703125" style="1" customWidth="1"/>
    <col min="10863" max="10863" width="29.42578125" style="1" customWidth="1"/>
    <col min="10864" max="11108" width="8.85546875" style="1"/>
    <col min="11109" max="11109" width="4" style="1" customWidth="1"/>
    <col min="11110" max="11110" width="59.7109375" style="1" customWidth="1"/>
    <col min="11111" max="11111" width="4.85546875" style="1" customWidth="1"/>
    <col min="11112" max="11112" width="9" style="1" customWidth="1"/>
    <col min="11113" max="11113" width="15.85546875" style="1" customWidth="1"/>
    <col min="11114" max="11114" width="15.7109375" style="1" customWidth="1"/>
    <col min="11115" max="11115" width="15.42578125" style="1" customWidth="1"/>
    <col min="11116" max="11116" width="17.140625" style="1" customWidth="1"/>
    <col min="11117" max="11117" width="37.85546875" style="1" customWidth="1"/>
    <col min="11118" max="11118" width="36.5703125" style="1" customWidth="1"/>
    <col min="11119" max="11119" width="29.42578125" style="1" customWidth="1"/>
    <col min="11120" max="11364" width="8.85546875" style="1"/>
    <col min="11365" max="11365" width="4" style="1" customWidth="1"/>
    <col min="11366" max="11366" width="59.7109375" style="1" customWidth="1"/>
    <col min="11367" max="11367" width="4.85546875" style="1" customWidth="1"/>
    <col min="11368" max="11368" width="9" style="1" customWidth="1"/>
    <col min="11369" max="11369" width="15.85546875" style="1" customWidth="1"/>
    <col min="11370" max="11370" width="15.7109375" style="1" customWidth="1"/>
    <col min="11371" max="11371" width="15.42578125" style="1" customWidth="1"/>
    <col min="11372" max="11372" width="17.140625" style="1" customWidth="1"/>
    <col min="11373" max="11373" width="37.85546875" style="1" customWidth="1"/>
    <col min="11374" max="11374" width="36.5703125" style="1" customWidth="1"/>
    <col min="11375" max="11375" width="29.42578125" style="1" customWidth="1"/>
    <col min="11376" max="11620" width="8.85546875" style="1"/>
    <col min="11621" max="11621" width="4" style="1" customWidth="1"/>
    <col min="11622" max="11622" width="59.7109375" style="1" customWidth="1"/>
    <col min="11623" max="11623" width="4.85546875" style="1" customWidth="1"/>
    <col min="11624" max="11624" width="9" style="1" customWidth="1"/>
    <col min="11625" max="11625" width="15.85546875" style="1" customWidth="1"/>
    <col min="11626" max="11626" width="15.7109375" style="1" customWidth="1"/>
    <col min="11627" max="11627" width="15.42578125" style="1" customWidth="1"/>
    <col min="11628" max="11628" width="17.140625" style="1" customWidth="1"/>
    <col min="11629" max="11629" width="37.85546875" style="1" customWidth="1"/>
    <col min="11630" max="11630" width="36.5703125" style="1" customWidth="1"/>
    <col min="11631" max="11631" width="29.42578125" style="1" customWidth="1"/>
    <col min="11632" max="11876" width="8.85546875" style="1"/>
    <col min="11877" max="11877" width="4" style="1" customWidth="1"/>
    <col min="11878" max="11878" width="59.7109375" style="1" customWidth="1"/>
    <col min="11879" max="11879" width="4.85546875" style="1" customWidth="1"/>
    <col min="11880" max="11880" width="9" style="1" customWidth="1"/>
    <col min="11881" max="11881" width="15.85546875" style="1" customWidth="1"/>
    <col min="11882" max="11882" width="15.7109375" style="1" customWidth="1"/>
    <col min="11883" max="11883" width="15.42578125" style="1" customWidth="1"/>
    <col min="11884" max="11884" width="17.140625" style="1" customWidth="1"/>
    <col min="11885" max="11885" width="37.85546875" style="1" customWidth="1"/>
    <col min="11886" max="11886" width="36.5703125" style="1" customWidth="1"/>
    <col min="11887" max="11887" width="29.42578125" style="1" customWidth="1"/>
    <col min="11888" max="12132" width="8.85546875" style="1"/>
    <col min="12133" max="12133" width="4" style="1" customWidth="1"/>
    <col min="12134" max="12134" width="59.7109375" style="1" customWidth="1"/>
    <col min="12135" max="12135" width="4.85546875" style="1" customWidth="1"/>
    <col min="12136" max="12136" width="9" style="1" customWidth="1"/>
    <col min="12137" max="12137" width="15.85546875" style="1" customWidth="1"/>
    <col min="12138" max="12138" width="15.7109375" style="1" customWidth="1"/>
    <col min="12139" max="12139" width="15.42578125" style="1" customWidth="1"/>
    <col min="12140" max="12140" width="17.140625" style="1" customWidth="1"/>
    <col min="12141" max="12141" width="37.85546875" style="1" customWidth="1"/>
    <col min="12142" max="12142" width="36.5703125" style="1" customWidth="1"/>
    <col min="12143" max="12143" width="29.42578125" style="1" customWidth="1"/>
    <col min="12144" max="12388" width="8.85546875" style="1"/>
    <col min="12389" max="12389" width="4" style="1" customWidth="1"/>
    <col min="12390" max="12390" width="59.7109375" style="1" customWidth="1"/>
    <col min="12391" max="12391" width="4.85546875" style="1" customWidth="1"/>
    <col min="12392" max="12392" width="9" style="1" customWidth="1"/>
    <col min="12393" max="12393" width="15.85546875" style="1" customWidth="1"/>
    <col min="12394" max="12394" width="15.7109375" style="1" customWidth="1"/>
    <col min="12395" max="12395" width="15.42578125" style="1" customWidth="1"/>
    <col min="12396" max="12396" width="17.140625" style="1" customWidth="1"/>
    <col min="12397" max="12397" width="37.85546875" style="1" customWidth="1"/>
    <col min="12398" max="12398" width="36.5703125" style="1" customWidth="1"/>
    <col min="12399" max="12399" width="29.42578125" style="1" customWidth="1"/>
    <col min="12400" max="12644" width="8.85546875" style="1"/>
    <col min="12645" max="12645" width="4" style="1" customWidth="1"/>
    <col min="12646" max="12646" width="59.7109375" style="1" customWidth="1"/>
    <col min="12647" max="12647" width="4.85546875" style="1" customWidth="1"/>
    <col min="12648" max="12648" width="9" style="1" customWidth="1"/>
    <col min="12649" max="12649" width="15.85546875" style="1" customWidth="1"/>
    <col min="12650" max="12650" width="15.7109375" style="1" customWidth="1"/>
    <col min="12651" max="12651" width="15.42578125" style="1" customWidth="1"/>
    <col min="12652" max="12652" width="17.140625" style="1" customWidth="1"/>
    <col min="12653" max="12653" width="37.85546875" style="1" customWidth="1"/>
    <col min="12654" max="12654" width="36.5703125" style="1" customWidth="1"/>
    <col min="12655" max="12655" width="29.42578125" style="1" customWidth="1"/>
    <col min="12656" max="12900" width="8.85546875" style="1"/>
    <col min="12901" max="12901" width="4" style="1" customWidth="1"/>
    <col min="12902" max="12902" width="59.7109375" style="1" customWidth="1"/>
    <col min="12903" max="12903" width="4.85546875" style="1" customWidth="1"/>
    <col min="12904" max="12904" width="9" style="1" customWidth="1"/>
    <col min="12905" max="12905" width="15.85546875" style="1" customWidth="1"/>
    <col min="12906" max="12906" width="15.7109375" style="1" customWidth="1"/>
    <col min="12907" max="12907" width="15.42578125" style="1" customWidth="1"/>
    <col min="12908" max="12908" width="17.140625" style="1" customWidth="1"/>
    <col min="12909" max="12909" width="37.85546875" style="1" customWidth="1"/>
    <col min="12910" max="12910" width="36.5703125" style="1" customWidth="1"/>
    <col min="12911" max="12911" width="29.42578125" style="1" customWidth="1"/>
    <col min="12912" max="13156" width="8.85546875" style="1"/>
    <col min="13157" max="13157" width="4" style="1" customWidth="1"/>
    <col min="13158" max="13158" width="59.7109375" style="1" customWidth="1"/>
    <col min="13159" max="13159" width="4.85546875" style="1" customWidth="1"/>
    <col min="13160" max="13160" width="9" style="1" customWidth="1"/>
    <col min="13161" max="13161" width="15.85546875" style="1" customWidth="1"/>
    <col min="13162" max="13162" width="15.7109375" style="1" customWidth="1"/>
    <col min="13163" max="13163" width="15.42578125" style="1" customWidth="1"/>
    <col min="13164" max="13164" width="17.140625" style="1" customWidth="1"/>
    <col min="13165" max="13165" width="37.85546875" style="1" customWidth="1"/>
    <col min="13166" max="13166" width="36.5703125" style="1" customWidth="1"/>
    <col min="13167" max="13167" width="29.42578125" style="1" customWidth="1"/>
    <col min="13168" max="13412" width="8.85546875" style="1"/>
    <col min="13413" max="13413" width="4" style="1" customWidth="1"/>
    <col min="13414" max="13414" width="59.7109375" style="1" customWidth="1"/>
    <col min="13415" max="13415" width="4.85546875" style="1" customWidth="1"/>
    <col min="13416" max="13416" width="9" style="1" customWidth="1"/>
    <col min="13417" max="13417" width="15.85546875" style="1" customWidth="1"/>
    <col min="13418" max="13418" width="15.7109375" style="1" customWidth="1"/>
    <col min="13419" max="13419" width="15.42578125" style="1" customWidth="1"/>
    <col min="13420" max="13420" width="17.140625" style="1" customWidth="1"/>
    <col min="13421" max="13421" width="37.85546875" style="1" customWidth="1"/>
    <col min="13422" max="13422" width="36.5703125" style="1" customWidth="1"/>
    <col min="13423" max="13423" width="29.42578125" style="1" customWidth="1"/>
    <col min="13424" max="13668" width="8.85546875" style="1"/>
    <col min="13669" max="13669" width="4" style="1" customWidth="1"/>
    <col min="13670" max="13670" width="59.7109375" style="1" customWidth="1"/>
    <col min="13671" max="13671" width="4.85546875" style="1" customWidth="1"/>
    <col min="13672" max="13672" width="9" style="1" customWidth="1"/>
    <col min="13673" max="13673" width="15.85546875" style="1" customWidth="1"/>
    <col min="13674" max="13674" width="15.7109375" style="1" customWidth="1"/>
    <col min="13675" max="13675" width="15.42578125" style="1" customWidth="1"/>
    <col min="13676" max="13676" width="17.140625" style="1" customWidth="1"/>
    <col min="13677" max="13677" width="37.85546875" style="1" customWidth="1"/>
    <col min="13678" max="13678" width="36.5703125" style="1" customWidth="1"/>
    <col min="13679" max="13679" width="29.42578125" style="1" customWidth="1"/>
    <col min="13680" max="13924" width="8.85546875" style="1"/>
    <col min="13925" max="13925" width="4" style="1" customWidth="1"/>
    <col min="13926" max="13926" width="59.7109375" style="1" customWidth="1"/>
    <col min="13927" max="13927" width="4.85546875" style="1" customWidth="1"/>
    <col min="13928" max="13928" width="9" style="1" customWidth="1"/>
    <col min="13929" max="13929" width="15.85546875" style="1" customWidth="1"/>
    <col min="13930" max="13930" width="15.7109375" style="1" customWidth="1"/>
    <col min="13931" max="13931" width="15.42578125" style="1" customWidth="1"/>
    <col min="13932" max="13932" width="17.140625" style="1" customWidth="1"/>
    <col min="13933" max="13933" width="37.85546875" style="1" customWidth="1"/>
    <col min="13934" max="13934" width="36.5703125" style="1" customWidth="1"/>
    <col min="13935" max="13935" width="29.42578125" style="1" customWidth="1"/>
    <col min="13936" max="14180" width="8.85546875" style="1"/>
    <col min="14181" max="14181" width="4" style="1" customWidth="1"/>
    <col min="14182" max="14182" width="59.7109375" style="1" customWidth="1"/>
    <col min="14183" max="14183" width="4.85546875" style="1" customWidth="1"/>
    <col min="14184" max="14184" width="9" style="1" customWidth="1"/>
    <col min="14185" max="14185" width="15.85546875" style="1" customWidth="1"/>
    <col min="14186" max="14186" width="15.7109375" style="1" customWidth="1"/>
    <col min="14187" max="14187" width="15.42578125" style="1" customWidth="1"/>
    <col min="14188" max="14188" width="17.140625" style="1" customWidth="1"/>
    <col min="14189" max="14189" width="37.85546875" style="1" customWidth="1"/>
    <col min="14190" max="14190" width="36.5703125" style="1" customWidth="1"/>
    <col min="14191" max="14191" width="29.42578125" style="1" customWidth="1"/>
    <col min="14192" max="14436" width="8.85546875" style="1"/>
    <col min="14437" max="14437" width="4" style="1" customWidth="1"/>
    <col min="14438" max="14438" width="59.7109375" style="1" customWidth="1"/>
    <col min="14439" max="14439" width="4.85546875" style="1" customWidth="1"/>
    <col min="14440" max="14440" width="9" style="1" customWidth="1"/>
    <col min="14441" max="14441" width="15.85546875" style="1" customWidth="1"/>
    <col min="14442" max="14442" width="15.7109375" style="1" customWidth="1"/>
    <col min="14443" max="14443" width="15.42578125" style="1" customWidth="1"/>
    <col min="14444" max="14444" width="17.140625" style="1" customWidth="1"/>
    <col min="14445" max="14445" width="37.85546875" style="1" customWidth="1"/>
    <col min="14446" max="14446" width="36.5703125" style="1" customWidth="1"/>
    <col min="14447" max="14447" width="29.42578125" style="1" customWidth="1"/>
    <col min="14448" max="14692" width="8.85546875" style="1"/>
    <col min="14693" max="14693" width="4" style="1" customWidth="1"/>
    <col min="14694" max="14694" width="59.7109375" style="1" customWidth="1"/>
    <col min="14695" max="14695" width="4.85546875" style="1" customWidth="1"/>
    <col min="14696" max="14696" width="9" style="1" customWidth="1"/>
    <col min="14697" max="14697" width="15.85546875" style="1" customWidth="1"/>
    <col min="14698" max="14698" width="15.7109375" style="1" customWidth="1"/>
    <col min="14699" max="14699" width="15.42578125" style="1" customWidth="1"/>
    <col min="14700" max="14700" width="17.140625" style="1" customWidth="1"/>
    <col min="14701" max="14701" width="37.85546875" style="1" customWidth="1"/>
    <col min="14702" max="14702" width="36.5703125" style="1" customWidth="1"/>
    <col min="14703" max="14703" width="29.42578125" style="1" customWidth="1"/>
    <col min="14704" max="14948" width="8.85546875" style="1"/>
    <col min="14949" max="14949" width="4" style="1" customWidth="1"/>
    <col min="14950" max="14950" width="59.7109375" style="1" customWidth="1"/>
    <col min="14951" max="14951" width="4.85546875" style="1" customWidth="1"/>
    <col min="14952" max="14952" width="9" style="1" customWidth="1"/>
    <col min="14953" max="14953" width="15.85546875" style="1" customWidth="1"/>
    <col min="14954" max="14954" width="15.7109375" style="1" customWidth="1"/>
    <col min="14955" max="14955" width="15.42578125" style="1" customWidth="1"/>
    <col min="14956" max="14956" width="17.140625" style="1" customWidth="1"/>
    <col min="14957" max="14957" width="37.85546875" style="1" customWidth="1"/>
    <col min="14958" max="14958" width="36.5703125" style="1" customWidth="1"/>
    <col min="14959" max="14959" width="29.42578125" style="1" customWidth="1"/>
    <col min="14960" max="15204" width="8.85546875" style="1"/>
    <col min="15205" max="15205" width="4" style="1" customWidth="1"/>
    <col min="15206" max="15206" width="59.7109375" style="1" customWidth="1"/>
    <col min="15207" max="15207" width="4.85546875" style="1" customWidth="1"/>
    <col min="15208" max="15208" width="9" style="1" customWidth="1"/>
    <col min="15209" max="15209" width="15.85546875" style="1" customWidth="1"/>
    <col min="15210" max="15210" width="15.7109375" style="1" customWidth="1"/>
    <col min="15211" max="15211" width="15.42578125" style="1" customWidth="1"/>
    <col min="15212" max="15212" width="17.140625" style="1" customWidth="1"/>
    <col min="15213" max="15213" width="37.85546875" style="1" customWidth="1"/>
    <col min="15214" max="15214" width="36.5703125" style="1" customWidth="1"/>
    <col min="15215" max="15215" width="29.42578125" style="1" customWidth="1"/>
    <col min="15216" max="15460" width="8.85546875" style="1"/>
    <col min="15461" max="15461" width="4" style="1" customWidth="1"/>
    <col min="15462" max="15462" width="59.7109375" style="1" customWidth="1"/>
    <col min="15463" max="15463" width="4.85546875" style="1" customWidth="1"/>
    <col min="15464" max="15464" width="9" style="1" customWidth="1"/>
    <col min="15465" max="15465" width="15.85546875" style="1" customWidth="1"/>
    <col min="15466" max="15466" width="15.7109375" style="1" customWidth="1"/>
    <col min="15467" max="15467" width="15.42578125" style="1" customWidth="1"/>
    <col min="15468" max="15468" width="17.140625" style="1" customWidth="1"/>
    <col min="15469" max="15469" width="37.85546875" style="1" customWidth="1"/>
    <col min="15470" max="15470" width="36.5703125" style="1" customWidth="1"/>
    <col min="15471" max="15471" width="29.42578125" style="1" customWidth="1"/>
    <col min="15472" max="15716" width="8.85546875" style="1"/>
    <col min="15717" max="15717" width="4" style="1" customWidth="1"/>
    <col min="15718" max="15718" width="59.7109375" style="1" customWidth="1"/>
    <col min="15719" max="15719" width="4.85546875" style="1" customWidth="1"/>
    <col min="15720" max="15720" width="9" style="1" customWidth="1"/>
    <col min="15721" max="15721" width="15.85546875" style="1" customWidth="1"/>
    <col min="15722" max="15722" width="15.7109375" style="1" customWidth="1"/>
    <col min="15723" max="15723" width="15.42578125" style="1" customWidth="1"/>
    <col min="15724" max="15724" width="17.140625" style="1" customWidth="1"/>
    <col min="15725" max="15725" width="37.85546875" style="1" customWidth="1"/>
    <col min="15726" max="15726" width="36.5703125" style="1" customWidth="1"/>
    <col min="15727" max="15727" width="29.42578125" style="1" customWidth="1"/>
    <col min="15728" max="15972" width="8.85546875" style="1"/>
    <col min="15973" max="15973" width="4" style="1" customWidth="1"/>
    <col min="15974" max="15974" width="59.7109375" style="1" customWidth="1"/>
    <col min="15975" max="15975" width="4.85546875" style="1" customWidth="1"/>
    <col min="15976" max="15976" width="9" style="1" customWidth="1"/>
    <col min="15977" max="15977" width="15.85546875" style="1" customWidth="1"/>
    <col min="15978" max="15978" width="15.7109375" style="1" customWidth="1"/>
    <col min="15979" max="15979" width="15.42578125" style="1" customWidth="1"/>
    <col min="15980" max="15980" width="17.140625" style="1" customWidth="1"/>
    <col min="15981" max="15981" width="37.85546875" style="1" customWidth="1"/>
    <col min="15982" max="15982" width="36.5703125" style="1" customWidth="1"/>
    <col min="15983" max="15983" width="29.42578125" style="1" customWidth="1"/>
    <col min="15984" max="16384" width="8.85546875" style="1"/>
  </cols>
  <sheetData>
    <row r="1" spans="1:34" ht="22.15" customHeight="1">
      <c r="G1" s="13">
        <v>46027</v>
      </c>
      <c r="H1" s="13">
        <v>46027</v>
      </c>
      <c r="M1" s="13">
        <v>46030</v>
      </c>
      <c r="N1" s="13">
        <v>46030</v>
      </c>
      <c r="O1" s="47"/>
      <c r="P1" s="39"/>
      <c r="U1" s="13">
        <v>46034</v>
      </c>
      <c r="V1" s="13">
        <v>46034</v>
      </c>
      <c r="W1" s="47"/>
      <c r="X1" s="39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ht="30" customHeight="1">
      <c r="A2"/>
      <c r="B2" s="2" t="s">
        <v>0</v>
      </c>
      <c r="C2" s="3" t="s">
        <v>1</v>
      </c>
      <c r="D2" s="3" t="s">
        <v>2</v>
      </c>
      <c r="E2" s="4" t="s">
        <v>3</v>
      </c>
      <c r="F2" s="4" t="s">
        <v>4</v>
      </c>
      <c r="G2" s="5" t="s">
        <v>5</v>
      </c>
      <c r="H2" s="5" t="s">
        <v>6</v>
      </c>
      <c r="I2" s="3" t="s">
        <v>1</v>
      </c>
      <c r="J2" s="3" t="s">
        <v>2</v>
      </c>
      <c r="K2" s="4" t="s">
        <v>3</v>
      </c>
      <c r="L2" s="4" t="s">
        <v>4</v>
      </c>
      <c r="M2" s="5" t="s">
        <v>5</v>
      </c>
      <c r="N2" s="5" t="s">
        <v>6</v>
      </c>
      <c r="O2" s="48" t="s">
        <v>98</v>
      </c>
      <c r="P2" s="40" t="s">
        <v>99</v>
      </c>
      <c r="Q2" s="3" t="s">
        <v>1</v>
      </c>
      <c r="R2" s="3" t="s">
        <v>2</v>
      </c>
      <c r="S2" s="4" t="s">
        <v>3</v>
      </c>
      <c r="T2" s="4" t="s">
        <v>4</v>
      </c>
      <c r="U2" s="5" t="s">
        <v>5</v>
      </c>
      <c r="V2" s="5" t="s">
        <v>6</v>
      </c>
      <c r="W2" s="48" t="s">
        <v>98</v>
      </c>
      <c r="X2" s="40" t="s">
        <v>99</v>
      </c>
      <c r="Y2" s="36"/>
      <c r="Z2" s="36"/>
      <c r="AA2" s="36"/>
      <c r="AB2" s="36"/>
      <c r="AC2" s="36"/>
      <c r="AD2" s="36"/>
      <c r="AE2" s="36"/>
      <c r="AF2" s="36"/>
      <c r="AG2" s="36"/>
      <c r="AH2" s="36"/>
    </row>
    <row r="3" spans="1:34" ht="22.15" hidden="1" customHeight="1">
      <c r="A3"/>
      <c r="B3" s="6" t="s">
        <v>7</v>
      </c>
      <c r="C3" s="15" t="s">
        <v>8</v>
      </c>
      <c r="D3" s="16">
        <v>124</v>
      </c>
      <c r="E3" s="17">
        <v>45254</v>
      </c>
      <c r="F3" s="17">
        <v>45299</v>
      </c>
      <c r="G3" s="7">
        <f t="shared" ref="G3:G37" si="0">IFERROR((F3-$G$1)/(F3-E3)*100,"")</f>
        <v>-1617.7777777777778</v>
      </c>
      <c r="H3" s="7">
        <f t="shared" ref="H3:H37" si="1">F3-$H$1</f>
        <v>-728</v>
      </c>
      <c r="I3" s="15" t="s">
        <v>8</v>
      </c>
      <c r="J3" s="16">
        <v>124</v>
      </c>
      <c r="K3" s="17">
        <v>45254</v>
      </c>
      <c r="L3" s="17">
        <v>45299</v>
      </c>
      <c r="M3" s="7">
        <f t="shared" ref="M3:M37" si="2">IFERROR((L3-$G$1)/(L3-K3)*100,"")</f>
        <v>-1617.7777777777778</v>
      </c>
      <c r="N3" s="7">
        <f t="shared" ref="N3:N37" si="3">L3-$H$1</f>
        <v>-728</v>
      </c>
      <c r="O3" s="48"/>
      <c r="P3" s="40"/>
      <c r="Q3" s="15" t="s">
        <v>8</v>
      </c>
      <c r="R3" s="16">
        <v>124</v>
      </c>
      <c r="S3" s="17">
        <v>45254</v>
      </c>
      <c r="T3" s="17">
        <v>45299</v>
      </c>
      <c r="U3" s="7">
        <f t="shared" ref="U3:U37" si="4">IFERROR((T3-$G$1)/(T3-S3)*100,"")</f>
        <v>-1617.7777777777778</v>
      </c>
      <c r="V3" s="7">
        <f t="shared" ref="V3:V37" si="5">T3-$H$1</f>
        <v>-728</v>
      </c>
      <c r="W3" s="48"/>
      <c r="X3" s="40"/>
      <c r="Y3" s="36"/>
      <c r="Z3" s="36"/>
      <c r="AA3" s="36"/>
      <c r="AB3" s="36"/>
      <c r="AC3" s="36"/>
      <c r="AD3" s="36"/>
      <c r="AE3" s="36"/>
      <c r="AF3" s="36"/>
      <c r="AG3" s="36"/>
      <c r="AH3" s="36"/>
    </row>
    <row r="4" spans="1:34" ht="22.15" hidden="1" customHeight="1">
      <c r="A4"/>
      <c r="B4" s="6" t="s">
        <v>9</v>
      </c>
      <c r="C4" s="15" t="s">
        <v>8</v>
      </c>
      <c r="D4" s="16">
        <v>115</v>
      </c>
      <c r="E4" s="17">
        <v>45254</v>
      </c>
      <c r="F4" s="17">
        <v>45299</v>
      </c>
      <c r="G4" s="7">
        <f t="shared" si="0"/>
        <v>-1617.7777777777778</v>
      </c>
      <c r="H4" s="7">
        <f t="shared" si="1"/>
        <v>-728</v>
      </c>
      <c r="I4" s="15" t="s">
        <v>8</v>
      </c>
      <c r="J4" s="16">
        <v>115</v>
      </c>
      <c r="K4" s="17">
        <v>45254</v>
      </c>
      <c r="L4" s="17">
        <v>45299</v>
      </c>
      <c r="M4" s="7">
        <f t="shared" si="2"/>
        <v>-1617.7777777777778</v>
      </c>
      <c r="N4" s="7">
        <f t="shared" si="3"/>
        <v>-728</v>
      </c>
      <c r="O4" s="48"/>
      <c r="P4" s="40"/>
      <c r="Q4" s="15" t="s">
        <v>8</v>
      </c>
      <c r="R4" s="16">
        <v>115</v>
      </c>
      <c r="S4" s="17">
        <v>45254</v>
      </c>
      <c r="T4" s="17">
        <v>45299</v>
      </c>
      <c r="U4" s="7">
        <f t="shared" si="4"/>
        <v>-1617.7777777777778</v>
      </c>
      <c r="V4" s="7">
        <f t="shared" si="5"/>
        <v>-728</v>
      </c>
      <c r="W4" s="48"/>
      <c r="X4" s="40"/>
      <c r="Y4" s="36"/>
      <c r="Z4" s="36"/>
      <c r="AA4" s="36"/>
      <c r="AB4" s="36"/>
      <c r="AC4" s="36"/>
      <c r="AD4" s="36"/>
      <c r="AE4" s="36"/>
      <c r="AF4" s="36"/>
      <c r="AG4" s="36"/>
      <c r="AH4" s="36"/>
    </row>
    <row r="5" spans="1:34" ht="22.15" hidden="1" customHeight="1">
      <c r="A5"/>
      <c r="B5" s="6" t="s">
        <v>10</v>
      </c>
      <c r="C5" s="15" t="s">
        <v>8</v>
      </c>
      <c r="D5" s="16">
        <v>54</v>
      </c>
      <c r="E5" s="18">
        <v>45256</v>
      </c>
      <c r="F5" s="18">
        <v>45301</v>
      </c>
      <c r="G5" s="7">
        <f t="shared" si="0"/>
        <v>-1613.3333333333333</v>
      </c>
      <c r="H5" s="7">
        <f t="shared" si="1"/>
        <v>-726</v>
      </c>
      <c r="I5" s="15" t="s">
        <v>8</v>
      </c>
      <c r="J5" s="16">
        <v>54</v>
      </c>
      <c r="K5" s="18">
        <v>45256</v>
      </c>
      <c r="L5" s="18">
        <v>45301</v>
      </c>
      <c r="M5" s="7">
        <f t="shared" si="2"/>
        <v>-1613.3333333333333</v>
      </c>
      <c r="N5" s="7">
        <f t="shared" si="3"/>
        <v>-726</v>
      </c>
      <c r="O5" s="48"/>
      <c r="P5" s="40"/>
      <c r="Q5" s="15" t="s">
        <v>8</v>
      </c>
      <c r="R5" s="16">
        <v>54</v>
      </c>
      <c r="S5" s="18">
        <v>45256</v>
      </c>
      <c r="T5" s="18">
        <v>45301</v>
      </c>
      <c r="U5" s="7">
        <f t="shared" si="4"/>
        <v>-1613.3333333333333</v>
      </c>
      <c r="V5" s="7">
        <f t="shared" si="5"/>
        <v>-726</v>
      </c>
      <c r="W5" s="48"/>
      <c r="X5" s="40"/>
      <c r="Y5" s="36"/>
      <c r="Z5" s="36"/>
      <c r="AA5" s="36"/>
      <c r="AB5" s="36"/>
      <c r="AC5" s="36"/>
      <c r="AD5" s="36"/>
      <c r="AE5" s="36"/>
      <c r="AF5" s="36"/>
      <c r="AG5" s="36"/>
      <c r="AH5" s="36"/>
    </row>
    <row r="6" spans="1:34" ht="22.15" hidden="1" customHeight="1">
      <c r="A6"/>
      <c r="B6" s="6" t="s">
        <v>11</v>
      </c>
      <c r="C6" s="15" t="s">
        <v>8</v>
      </c>
      <c r="D6" s="16">
        <v>65</v>
      </c>
      <c r="E6" s="18">
        <v>45268</v>
      </c>
      <c r="F6" s="18">
        <v>45303</v>
      </c>
      <c r="G6" s="7">
        <f t="shared" si="0"/>
        <v>-2068.5714285714289</v>
      </c>
      <c r="H6" s="7">
        <f t="shared" si="1"/>
        <v>-724</v>
      </c>
      <c r="I6" s="15" t="s">
        <v>8</v>
      </c>
      <c r="J6" s="16">
        <v>65</v>
      </c>
      <c r="K6" s="18">
        <v>45268</v>
      </c>
      <c r="L6" s="18">
        <v>45303</v>
      </c>
      <c r="M6" s="7">
        <f t="shared" si="2"/>
        <v>-2068.5714285714289</v>
      </c>
      <c r="N6" s="7">
        <f t="shared" si="3"/>
        <v>-724</v>
      </c>
      <c r="O6" s="48"/>
      <c r="P6" s="40"/>
      <c r="Q6" s="15" t="s">
        <v>8</v>
      </c>
      <c r="R6" s="16">
        <v>65</v>
      </c>
      <c r="S6" s="18">
        <v>45268</v>
      </c>
      <c r="T6" s="18">
        <v>45303</v>
      </c>
      <c r="U6" s="7">
        <f t="shared" si="4"/>
        <v>-2068.5714285714289</v>
      </c>
      <c r="V6" s="7">
        <f t="shared" si="5"/>
        <v>-724</v>
      </c>
      <c r="W6" s="48"/>
      <c r="X6" s="40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7" spans="1:34" ht="22.15" hidden="1" customHeight="1">
      <c r="A7"/>
      <c r="B7" s="6" t="s">
        <v>12</v>
      </c>
      <c r="C7" s="15" t="s">
        <v>8</v>
      </c>
      <c r="D7" s="16">
        <v>32</v>
      </c>
      <c r="E7" s="18">
        <v>45269</v>
      </c>
      <c r="F7" s="18">
        <v>45304</v>
      </c>
      <c r="G7" s="7">
        <f t="shared" si="0"/>
        <v>-2065.7142857142858</v>
      </c>
      <c r="H7" s="7">
        <f t="shared" si="1"/>
        <v>-723</v>
      </c>
      <c r="I7" s="15" t="s">
        <v>8</v>
      </c>
      <c r="J7" s="16">
        <v>32</v>
      </c>
      <c r="K7" s="18">
        <v>45269</v>
      </c>
      <c r="L7" s="18">
        <v>45304</v>
      </c>
      <c r="M7" s="7">
        <f t="shared" si="2"/>
        <v>-2065.7142857142858</v>
      </c>
      <c r="N7" s="7">
        <f t="shared" si="3"/>
        <v>-723</v>
      </c>
      <c r="O7" s="48"/>
      <c r="P7" s="40"/>
      <c r="Q7" s="15" t="s">
        <v>8</v>
      </c>
      <c r="R7" s="16">
        <v>32</v>
      </c>
      <c r="S7" s="18">
        <v>45269</v>
      </c>
      <c r="T7" s="18">
        <v>45304</v>
      </c>
      <c r="U7" s="7">
        <f t="shared" si="4"/>
        <v>-2065.7142857142858</v>
      </c>
      <c r="V7" s="7">
        <f t="shared" si="5"/>
        <v>-723</v>
      </c>
      <c r="W7" s="48"/>
      <c r="X7" s="40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8" spans="1:34" ht="22.15" hidden="1" customHeight="1">
      <c r="A8"/>
      <c r="B8" s="6" t="s">
        <v>13</v>
      </c>
      <c r="C8" s="15" t="s">
        <v>14</v>
      </c>
      <c r="D8" s="16">
        <v>217.8</v>
      </c>
      <c r="E8" s="18">
        <v>45275</v>
      </c>
      <c r="F8" s="18">
        <v>45305</v>
      </c>
      <c r="G8" s="7">
        <f t="shared" si="0"/>
        <v>-2406.6666666666665</v>
      </c>
      <c r="H8" s="7">
        <f t="shared" si="1"/>
        <v>-722</v>
      </c>
      <c r="I8" s="15" t="s">
        <v>14</v>
      </c>
      <c r="J8" s="16">
        <v>217.8</v>
      </c>
      <c r="K8" s="18">
        <v>45275</v>
      </c>
      <c r="L8" s="18">
        <v>45305</v>
      </c>
      <c r="M8" s="7">
        <f t="shared" si="2"/>
        <v>-2406.6666666666665</v>
      </c>
      <c r="N8" s="7">
        <f t="shared" si="3"/>
        <v>-722</v>
      </c>
      <c r="O8" s="48"/>
      <c r="P8" s="40"/>
      <c r="Q8" s="15" t="s">
        <v>14</v>
      </c>
      <c r="R8" s="16">
        <v>217.8</v>
      </c>
      <c r="S8" s="18">
        <v>45275</v>
      </c>
      <c r="T8" s="18">
        <v>45305</v>
      </c>
      <c r="U8" s="7">
        <f t="shared" si="4"/>
        <v>-2406.6666666666665</v>
      </c>
      <c r="V8" s="7">
        <f t="shared" si="5"/>
        <v>-722</v>
      </c>
      <c r="W8" s="48"/>
      <c r="X8" s="40"/>
      <c r="Y8" s="36"/>
      <c r="Z8" s="36"/>
      <c r="AA8" s="36"/>
      <c r="AB8" s="36"/>
      <c r="AC8" s="36"/>
      <c r="AD8" s="36"/>
      <c r="AE8" s="36"/>
      <c r="AF8" s="36"/>
      <c r="AG8" s="36"/>
      <c r="AH8" s="36"/>
    </row>
    <row r="9" spans="1:34" ht="22.15" hidden="1" customHeight="1">
      <c r="A9"/>
      <c r="B9" s="6" t="s">
        <v>15</v>
      </c>
      <c r="C9" s="15" t="s">
        <v>14</v>
      </c>
      <c r="D9" s="16">
        <v>68.8</v>
      </c>
      <c r="E9" s="18">
        <v>45265</v>
      </c>
      <c r="F9" s="18">
        <v>45305</v>
      </c>
      <c r="G9" s="7">
        <f t="shared" si="0"/>
        <v>-1805</v>
      </c>
      <c r="H9" s="7">
        <f t="shared" si="1"/>
        <v>-722</v>
      </c>
      <c r="I9" s="15" t="s">
        <v>14</v>
      </c>
      <c r="J9" s="16">
        <v>68.8</v>
      </c>
      <c r="K9" s="18">
        <v>45265</v>
      </c>
      <c r="L9" s="18">
        <v>45305</v>
      </c>
      <c r="M9" s="7">
        <f t="shared" si="2"/>
        <v>-1805</v>
      </c>
      <c r="N9" s="7">
        <f t="shared" si="3"/>
        <v>-722</v>
      </c>
      <c r="O9" s="48"/>
      <c r="P9" s="40"/>
      <c r="Q9" s="15" t="s">
        <v>14</v>
      </c>
      <c r="R9" s="16">
        <v>68.8</v>
      </c>
      <c r="S9" s="18">
        <v>45265</v>
      </c>
      <c r="T9" s="18">
        <v>45305</v>
      </c>
      <c r="U9" s="7">
        <f t="shared" si="4"/>
        <v>-1805</v>
      </c>
      <c r="V9" s="7">
        <f t="shared" si="5"/>
        <v>-722</v>
      </c>
      <c r="W9" s="48"/>
      <c r="X9" s="40"/>
      <c r="Y9" s="36"/>
      <c r="Z9" s="36"/>
      <c r="AA9" s="36"/>
      <c r="AB9" s="36"/>
      <c r="AC9" s="36"/>
      <c r="AD9" s="36"/>
      <c r="AE9" s="36"/>
      <c r="AF9" s="36"/>
      <c r="AG9" s="36"/>
      <c r="AH9" s="36"/>
    </row>
    <row r="10" spans="1:34" ht="22.15" hidden="1" customHeight="1">
      <c r="A10"/>
      <c r="B10" s="6" t="s">
        <v>16</v>
      </c>
      <c r="C10" s="15" t="s">
        <v>14</v>
      </c>
      <c r="D10" s="16">
        <v>42.16</v>
      </c>
      <c r="E10" s="18">
        <v>45260</v>
      </c>
      <c r="F10" s="18">
        <v>45305</v>
      </c>
      <c r="G10" s="7">
        <f t="shared" si="0"/>
        <v>-1604.4444444444443</v>
      </c>
      <c r="H10" s="7">
        <f t="shared" si="1"/>
        <v>-722</v>
      </c>
      <c r="I10" s="15" t="s">
        <v>14</v>
      </c>
      <c r="J10" s="16">
        <v>42.16</v>
      </c>
      <c r="K10" s="18">
        <v>45260</v>
      </c>
      <c r="L10" s="18">
        <v>45305</v>
      </c>
      <c r="M10" s="7">
        <f t="shared" si="2"/>
        <v>-1604.4444444444443</v>
      </c>
      <c r="N10" s="7">
        <f t="shared" si="3"/>
        <v>-722</v>
      </c>
      <c r="O10" s="48"/>
      <c r="P10" s="40"/>
      <c r="Q10" s="15" t="s">
        <v>14</v>
      </c>
      <c r="R10" s="16">
        <v>42.16</v>
      </c>
      <c r="S10" s="18">
        <v>45260</v>
      </c>
      <c r="T10" s="18">
        <v>45305</v>
      </c>
      <c r="U10" s="7">
        <f t="shared" si="4"/>
        <v>-1604.4444444444443</v>
      </c>
      <c r="V10" s="7">
        <f t="shared" si="5"/>
        <v>-722</v>
      </c>
      <c r="W10" s="48"/>
      <c r="X10" s="40"/>
      <c r="Y10" s="36"/>
      <c r="Z10" s="36"/>
      <c r="AA10" s="36"/>
      <c r="AB10" s="36"/>
      <c r="AC10" s="36"/>
      <c r="AD10" s="36"/>
      <c r="AE10" s="36"/>
      <c r="AF10" s="36"/>
      <c r="AG10" s="36"/>
      <c r="AH10" s="36"/>
    </row>
    <row r="11" spans="1:34" ht="22.15" hidden="1" customHeight="1">
      <c r="A11"/>
      <c r="B11" s="6" t="s">
        <v>17</v>
      </c>
      <c r="C11" s="15" t="s">
        <v>14</v>
      </c>
      <c r="D11" s="16">
        <v>205.58</v>
      </c>
      <c r="E11" s="18">
        <v>45276</v>
      </c>
      <c r="F11" s="18">
        <v>45306</v>
      </c>
      <c r="G11" s="7">
        <f t="shared" si="0"/>
        <v>-2403.3333333333335</v>
      </c>
      <c r="H11" s="7">
        <f t="shared" si="1"/>
        <v>-721</v>
      </c>
      <c r="I11" s="15" t="s">
        <v>14</v>
      </c>
      <c r="J11" s="16">
        <v>205.58</v>
      </c>
      <c r="K11" s="18">
        <v>45276</v>
      </c>
      <c r="L11" s="18">
        <v>45306</v>
      </c>
      <c r="M11" s="7">
        <f t="shared" si="2"/>
        <v>-2403.3333333333335</v>
      </c>
      <c r="N11" s="7">
        <f t="shared" si="3"/>
        <v>-721</v>
      </c>
      <c r="O11" s="48"/>
      <c r="P11" s="40"/>
      <c r="Q11" s="15" t="s">
        <v>14</v>
      </c>
      <c r="R11" s="16">
        <v>205.58</v>
      </c>
      <c r="S11" s="18">
        <v>45276</v>
      </c>
      <c r="T11" s="18">
        <v>45306</v>
      </c>
      <c r="U11" s="7">
        <f t="shared" si="4"/>
        <v>-2403.3333333333335</v>
      </c>
      <c r="V11" s="7">
        <f t="shared" si="5"/>
        <v>-721</v>
      </c>
      <c r="W11" s="48"/>
      <c r="X11" s="40"/>
      <c r="Y11" s="36"/>
      <c r="Z11" s="36"/>
      <c r="AA11" s="36"/>
      <c r="AB11" s="36"/>
      <c r="AC11" s="36"/>
      <c r="AD11" s="36"/>
      <c r="AE11" s="36"/>
      <c r="AF11" s="36"/>
      <c r="AG11" s="36"/>
      <c r="AH11" s="36"/>
    </row>
    <row r="12" spans="1:34" ht="22.15" hidden="1" customHeight="1">
      <c r="A12"/>
      <c r="B12" s="6" t="s">
        <v>18</v>
      </c>
      <c r="C12" s="15" t="s">
        <v>14</v>
      </c>
      <c r="D12" s="16">
        <v>12</v>
      </c>
      <c r="E12" s="18">
        <v>45256</v>
      </c>
      <c r="F12" s="18">
        <v>45306</v>
      </c>
      <c r="G12" s="7">
        <f t="shared" si="0"/>
        <v>-1442</v>
      </c>
      <c r="H12" s="7">
        <f t="shared" si="1"/>
        <v>-721</v>
      </c>
      <c r="I12" s="15" t="s">
        <v>14</v>
      </c>
      <c r="J12" s="16">
        <v>12</v>
      </c>
      <c r="K12" s="18">
        <v>45256</v>
      </c>
      <c r="L12" s="18">
        <v>45306</v>
      </c>
      <c r="M12" s="7">
        <f t="shared" si="2"/>
        <v>-1442</v>
      </c>
      <c r="N12" s="7">
        <f t="shared" si="3"/>
        <v>-721</v>
      </c>
      <c r="O12" s="48"/>
      <c r="P12" s="40"/>
      <c r="Q12" s="15" t="s">
        <v>14</v>
      </c>
      <c r="R12" s="16">
        <v>12</v>
      </c>
      <c r="S12" s="18">
        <v>45256</v>
      </c>
      <c r="T12" s="18">
        <v>45306</v>
      </c>
      <c r="U12" s="7">
        <f t="shared" si="4"/>
        <v>-1442</v>
      </c>
      <c r="V12" s="7">
        <f t="shared" si="5"/>
        <v>-721</v>
      </c>
      <c r="W12" s="48"/>
      <c r="X12" s="40"/>
      <c r="Y12" s="36"/>
      <c r="Z12" s="36"/>
      <c r="AA12" s="36"/>
      <c r="AB12" s="36"/>
      <c r="AC12" s="36"/>
      <c r="AD12" s="36"/>
      <c r="AE12" s="36"/>
      <c r="AF12" s="36"/>
      <c r="AG12" s="36"/>
      <c r="AH12" s="36"/>
    </row>
    <row r="13" spans="1:34" ht="22.15" hidden="1" customHeight="1">
      <c r="A13"/>
      <c r="B13" s="6" t="s">
        <v>19</v>
      </c>
      <c r="C13" s="15" t="s">
        <v>14</v>
      </c>
      <c r="D13" s="16">
        <v>89.266999999999996</v>
      </c>
      <c r="E13" s="18">
        <v>45276</v>
      </c>
      <c r="F13" s="18">
        <v>45306</v>
      </c>
      <c r="G13" s="7">
        <f t="shared" si="0"/>
        <v>-2403.3333333333335</v>
      </c>
      <c r="H13" s="7">
        <f t="shared" si="1"/>
        <v>-721</v>
      </c>
      <c r="I13" s="15" t="s">
        <v>14</v>
      </c>
      <c r="J13" s="16">
        <v>89.266999999999996</v>
      </c>
      <c r="K13" s="18">
        <v>45276</v>
      </c>
      <c r="L13" s="18">
        <v>45306</v>
      </c>
      <c r="M13" s="7">
        <f t="shared" si="2"/>
        <v>-2403.3333333333335</v>
      </c>
      <c r="N13" s="7">
        <f t="shared" si="3"/>
        <v>-721</v>
      </c>
      <c r="O13" s="48"/>
      <c r="P13" s="40"/>
      <c r="Q13" s="15" t="s">
        <v>14</v>
      </c>
      <c r="R13" s="16">
        <v>89.266999999999996</v>
      </c>
      <c r="S13" s="18">
        <v>45276</v>
      </c>
      <c r="T13" s="18">
        <v>45306</v>
      </c>
      <c r="U13" s="7">
        <f t="shared" si="4"/>
        <v>-2403.3333333333335</v>
      </c>
      <c r="V13" s="7">
        <f t="shared" si="5"/>
        <v>-721</v>
      </c>
      <c r="W13" s="48"/>
      <c r="X13" s="40"/>
      <c r="Y13" s="36"/>
      <c r="Z13" s="36"/>
      <c r="AA13" s="36"/>
      <c r="AB13" s="36"/>
      <c r="AC13" s="36"/>
      <c r="AD13" s="36"/>
      <c r="AE13" s="36"/>
      <c r="AF13" s="36"/>
      <c r="AG13" s="36"/>
      <c r="AH13" s="36"/>
    </row>
    <row r="14" spans="1:34" ht="22.15" hidden="1" customHeight="1">
      <c r="A14"/>
      <c r="B14" s="6" t="s">
        <v>20</v>
      </c>
      <c r="C14" s="15" t="s">
        <v>14</v>
      </c>
      <c r="D14" s="16">
        <v>57.1</v>
      </c>
      <c r="E14" s="18">
        <v>45229</v>
      </c>
      <c r="F14" s="18">
        <v>45306</v>
      </c>
      <c r="G14" s="7">
        <f t="shared" si="0"/>
        <v>-936.36363636363637</v>
      </c>
      <c r="H14" s="7">
        <f t="shared" si="1"/>
        <v>-721</v>
      </c>
      <c r="I14" s="15" t="s">
        <v>14</v>
      </c>
      <c r="J14" s="16">
        <v>57.1</v>
      </c>
      <c r="K14" s="18">
        <v>45229</v>
      </c>
      <c r="L14" s="18">
        <v>45306</v>
      </c>
      <c r="M14" s="7">
        <f t="shared" si="2"/>
        <v>-936.36363636363637</v>
      </c>
      <c r="N14" s="7">
        <f t="shared" si="3"/>
        <v>-721</v>
      </c>
      <c r="O14" s="48"/>
      <c r="P14" s="40"/>
      <c r="Q14" s="15" t="s">
        <v>14</v>
      </c>
      <c r="R14" s="16">
        <v>57.1</v>
      </c>
      <c r="S14" s="18">
        <v>45229</v>
      </c>
      <c r="T14" s="18">
        <v>45306</v>
      </c>
      <c r="U14" s="7">
        <f t="shared" si="4"/>
        <v>-936.36363636363637</v>
      </c>
      <c r="V14" s="7">
        <f t="shared" si="5"/>
        <v>-721</v>
      </c>
      <c r="W14" s="48"/>
      <c r="X14" s="40"/>
      <c r="Y14" s="36"/>
      <c r="Z14" s="36"/>
      <c r="AA14" s="36"/>
      <c r="AB14" s="36"/>
      <c r="AC14" s="36"/>
      <c r="AD14" s="36"/>
      <c r="AE14" s="36"/>
      <c r="AF14" s="36"/>
      <c r="AG14" s="36"/>
      <c r="AH14" s="36"/>
    </row>
    <row r="15" spans="1:34" ht="22.15" hidden="1" customHeight="1">
      <c r="A15"/>
      <c r="B15" s="6" t="s">
        <v>21</v>
      </c>
      <c r="C15" s="15" t="s">
        <v>14</v>
      </c>
      <c r="D15" s="16">
        <v>159.1</v>
      </c>
      <c r="E15" s="18">
        <v>45262</v>
      </c>
      <c r="F15" s="18">
        <v>45307</v>
      </c>
      <c r="G15" s="7">
        <f t="shared" si="0"/>
        <v>-1600</v>
      </c>
      <c r="H15" s="7">
        <f t="shared" si="1"/>
        <v>-720</v>
      </c>
      <c r="I15" s="15" t="s">
        <v>14</v>
      </c>
      <c r="J15" s="16">
        <v>159.1</v>
      </c>
      <c r="K15" s="18">
        <v>45262</v>
      </c>
      <c r="L15" s="18">
        <v>45307</v>
      </c>
      <c r="M15" s="7">
        <f t="shared" si="2"/>
        <v>-1600</v>
      </c>
      <c r="N15" s="7">
        <f t="shared" si="3"/>
        <v>-720</v>
      </c>
      <c r="O15" s="48"/>
      <c r="P15" s="40"/>
      <c r="Q15" s="15" t="s">
        <v>14</v>
      </c>
      <c r="R15" s="16">
        <v>159.1</v>
      </c>
      <c r="S15" s="18">
        <v>45262</v>
      </c>
      <c r="T15" s="18">
        <v>45307</v>
      </c>
      <c r="U15" s="7">
        <f t="shared" si="4"/>
        <v>-1600</v>
      </c>
      <c r="V15" s="7">
        <f t="shared" si="5"/>
        <v>-720</v>
      </c>
      <c r="W15" s="48"/>
      <c r="X15" s="40"/>
      <c r="Y15" s="36"/>
      <c r="Z15" s="36"/>
      <c r="AA15" s="36"/>
      <c r="AB15" s="36"/>
      <c r="AC15" s="36"/>
      <c r="AD15" s="36"/>
      <c r="AE15" s="36"/>
      <c r="AF15" s="36"/>
      <c r="AG15" s="36"/>
      <c r="AH15" s="36"/>
    </row>
    <row r="16" spans="1:34" ht="22.15" hidden="1" customHeight="1">
      <c r="A16"/>
      <c r="B16" s="6" t="s">
        <v>22</v>
      </c>
      <c r="C16" s="15" t="s">
        <v>14</v>
      </c>
      <c r="D16" s="16">
        <v>218.5</v>
      </c>
      <c r="E16" s="18">
        <v>45277</v>
      </c>
      <c r="F16" s="18">
        <v>45307</v>
      </c>
      <c r="G16" s="7">
        <f t="shared" si="0"/>
        <v>-2400</v>
      </c>
      <c r="H16" s="7">
        <f t="shared" si="1"/>
        <v>-720</v>
      </c>
      <c r="I16" s="15" t="s">
        <v>14</v>
      </c>
      <c r="J16" s="16">
        <v>218.5</v>
      </c>
      <c r="K16" s="18">
        <v>45277</v>
      </c>
      <c r="L16" s="18">
        <v>45307</v>
      </c>
      <c r="M16" s="7">
        <f t="shared" si="2"/>
        <v>-2400</v>
      </c>
      <c r="N16" s="7">
        <f t="shared" si="3"/>
        <v>-720</v>
      </c>
      <c r="O16" s="48"/>
      <c r="P16" s="40"/>
      <c r="Q16" s="15" t="s">
        <v>14</v>
      </c>
      <c r="R16" s="16">
        <v>218.5</v>
      </c>
      <c r="S16" s="18">
        <v>45277</v>
      </c>
      <c r="T16" s="18">
        <v>45307</v>
      </c>
      <c r="U16" s="7">
        <f t="shared" si="4"/>
        <v>-2400</v>
      </c>
      <c r="V16" s="7">
        <f t="shared" si="5"/>
        <v>-720</v>
      </c>
      <c r="W16" s="48"/>
      <c r="X16" s="40"/>
      <c r="Y16" s="36"/>
      <c r="Z16" s="36"/>
      <c r="AA16" s="36"/>
      <c r="AB16" s="36"/>
      <c r="AC16" s="36"/>
      <c r="AD16" s="36"/>
      <c r="AE16" s="36"/>
      <c r="AF16" s="36"/>
      <c r="AG16" s="36"/>
      <c r="AH16" s="36"/>
    </row>
    <row r="17" spans="1:34" ht="22.15" hidden="1" customHeight="1">
      <c r="A17"/>
      <c r="B17" s="6" t="s">
        <v>23</v>
      </c>
      <c r="C17" s="15" t="s">
        <v>14</v>
      </c>
      <c r="D17" s="16">
        <v>187.7</v>
      </c>
      <c r="E17" s="18">
        <v>45267</v>
      </c>
      <c r="F17" s="18">
        <v>45307</v>
      </c>
      <c r="G17" s="7">
        <f t="shared" si="0"/>
        <v>-1800</v>
      </c>
      <c r="H17" s="7">
        <f t="shared" si="1"/>
        <v>-720</v>
      </c>
      <c r="I17" s="15" t="s">
        <v>14</v>
      </c>
      <c r="J17" s="16">
        <v>187.7</v>
      </c>
      <c r="K17" s="18">
        <v>45267</v>
      </c>
      <c r="L17" s="18">
        <v>45307</v>
      </c>
      <c r="M17" s="7">
        <f t="shared" si="2"/>
        <v>-1800</v>
      </c>
      <c r="N17" s="7">
        <f t="shared" si="3"/>
        <v>-720</v>
      </c>
      <c r="O17" s="48"/>
      <c r="P17" s="40"/>
      <c r="Q17" s="15" t="s">
        <v>14</v>
      </c>
      <c r="R17" s="16">
        <v>187.7</v>
      </c>
      <c r="S17" s="18">
        <v>45267</v>
      </c>
      <c r="T17" s="18">
        <v>45307</v>
      </c>
      <c r="U17" s="7">
        <f t="shared" si="4"/>
        <v>-1800</v>
      </c>
      <c r="V17" s="7">
        <f t="shared" si="5"/>
        <v>-720</v>
      </c>
      <c r="W17" s="48"/>
      <c r="X17" s="40"/>
      <c r="Y17" s="36"/>
      <c r="Z17" s="36"/>
      <c r="AA17" s="36"/>
      <c r="AB17" s="36"/>
      <c r="AC17" s="36"/>
      <c r="AD17" s="36"/>
      <c r="AE17" s="36"/>
      <c r="AF17" s="36"/>
      <c r="AG17" s="36"/>
      <c r="AH17" s="36"/>
    </row>
    <row r="18" spans="1:34" ht="22.15" hidden="1" customHeight="1">
      <c r="A18"/>
      <c r="B18" s="6" t="s">
        <v>24</v>
      </c>
      <c r="C18" s="15" t="s">
        <v>8</v>
      </c>
      <c r="D18" s="16">
        <v>77</v>
      </c>
      <c r="E18" s="18">
        <v>45268</v>
      </c>
      <c r="F18" s="18">
        <v>45308</v>
      </c>
      <c r="G18" s="7">
        <f t="shared" si="0"/>
        <v>-1797.5000000000002</v>
      </c>
      <c r="H18" s="7">
        <f t="shared" si="1"/>
        <v>-719</v>
      </c>
      <c r="I18" s="15" t="s">
        <v>8</v>
      </c>
      <c r="J18" s="16">
        <v>77</v>
      </c>
      <c r="K18" s="18">
        <v>45268</v>
      </c>
      <c r="L18" s="18">
        <v>45308</v>
      </c>
      <c r="M18" s="7">
        <f t="shared" si="2"/>
        <v>-1797.5000000000002</v>
      </c>
      <c r="N18" s="7">
        <f t="shared" si="3"/>
        <v>-719</v>
      </c>
      <c r="O18" s="48"/>
      <c r="P18" s="40"/>
      <c r="Q18" s="15" t="s">
        <v>8</v>
      </c>
      <c r="R18" s="16">
        <v>77</v>
      </c>
      <c r="S18" s="18">
        <v>45268</v>
      </c>
      <c r="T18" s="18">
        <v>45308</v>
      </c>
      <c r="U18" s="7">
        <f t="shared" si="4"/>
        <v>-1797.5000000000002</v>
      </c>
      <c r="V18" s="7">
        <f t="shared" si="5"/>
        <v>-719</v>
      </c>
      <c r="W18" s="48"/>
      <c r="X18" s="40"/>
      <c r="Y18" s="36"/>
      <c r="Z18" s="36"/>
      <c r="AA18" s="36"/>
      <c r="AB18" s="36"/>
      <c r="AC18" s="36"/>
      <c r="AD18" s="36"/>
      <c r="AE18" s="36"/>
      <c r="AF18" s="36"/>
      <c r="AG18" s="36"/>
      <c r="AH18" s="36"/>
    </row>
    <row r="19" spans="1:34" ht="22.15" hidden="1" customHeight="1">
      <c r="A19"/>
      <c r="B19" s="6" t="s">
        <v>25</v>
      </c>
      <c r="C19" s="15" t="s">
        <v>8</v>
      </c>
      <c r="D19" s="16">
        <v>241</v>
      </c>
      <c r="E19" s="18">
        <v>45268</v>
      </c>
      <c r="F19" s="18">
        <v>45308</v>
      </c>
      <c r="G19" s="7">
        <f t="shared" si="0"/>
        <v>-1797.5000000000002</v>
      </c>
      <c r="H19" s="7">
        <f t="shared" si="1"/>
        <v>-719</v>
      </c>
      <c r="I19" s="15" t="s">
        <v>8</v>
      </c>
      <c r="J19" s="16">
        <v>241</v>
      </c>
      <c r="K19" s="18">
        <v>45268</v>
      </c>
      <c r="L19" s="18">
        <v>45308</v>
      </c>
      <c r="M19" s="7">
        <f t="shared" si="2"/>
        <v>-1797.5000000000002</v>
      </c>
      <c r="N19" s="7">
        <f t="shared" si="3"/>
        <v>-719</v>
      </c>
      <c r="O19" s="48"/>
      <c r="P19" s="40"/>
      <c r="Q19" s="15" t="s">
        <v>8</v>
      </c>
      <c r="R19" s="16">
        <v>241</v>
      </c>
      <c r="S19" s="18">
        <v>45268</v>
      </c>
      <c r="T19" s="18">
        <v>45308</v>
      </c>
      <c r="U19" s="7">
        <f t="shared" si="4"/>
        <v>-1797.5000000000002</v>
      </c>
      <c r="V19" s="7">
        <f t="shared" si="5"/>
        <v>-719</v>
      </c>
      <c r="W19" s="48"/>
      <c r="X19" s="40"/>
      <c r="Y19" s="36"/>
      <c r="Z19" s="36"/>
      <c r="AA19" s="36"/>
      <c r="AB19" s="36"/>
      <c r="AC19" s="36"/>
      <c r="AD19" s="36"/>
      <c r="AE19" s="36"/>
      <c r="AF19" s="36"/>
      <c r="AG19" s="36"/>
      <c r="AH19" s="36"/>
    </row>
    <row r="20" spans="1:34" ht="22.15" hidden="1" customHeight="1">
      <c r="A20"/>
      <c r="B20" s="6" t="s">
        <v>26</v>
      </c>
      <c r="C20" s="15" t="s">
        <v>8</v>
      </c>
      <c r="D20" s="16">
        <v>354</v>
      </c>
      <c r="E20" s="18">
        <v>45268</v>
      </c>
      <c r="F20" s="18">
        <v>45308</v>
      </c>
      <c r="G20" s="7">
        <f t="shared" si="0"/>
        <v>-1797.5000000000002</v>
      </c>
      <c r="H20" s="7">
        <f t="shared" si="1"/>
        <v>-719</v>
      </c>
      <c r="I20" s="15" t="s">
        <v>8</v>
      </c>
      <c r="J20" s="16">
        <v>354</v>
      </c>
      <c r="K20" s="18">
        <v>45268</v>
      </c>
      <c r="L20" s="18">
        <v>45308</v>
      </c>
      <c r="M20" s="7">
        <f t="shared" si="2"/>
        <v>-1797.5000000000002</v>
      </c>
      <c r="N20" s="7">
        <f t="shared" si="3"/>
        <v>-719</v>
      </c>
      <c r="O20" s="48"/>
      <c r="P20" s="40"/>
      <c r="Q20" s="15" t="s">
        <v>8</v>
      </c>
      <c r="R20" s="16">
        <v>354</v>
      </c>
      <c r="S20" s="18">
        <v>45268</v>
      </c>
      <c r="T20" s="18">
        <v>45308</v>
      </c>
      <c r="U20" s="7">
        <f t="shared" si="4"/>
        <v>-1797.5000000000002</v>
      </c>
      <c r="V20" s="7">
        <f t="shared" si="5"/>
        <v>-719</v>
      </c>
      <c r="W20" s="48"/>
      <c r="X20" s="40"/>
      <c r="Y20" s="36"/>
      <c r="Z20" s="36"/>
      <c r="AA20" s="36"/>
      <c r="AB20" s="36"/>
      <c r="AC20" s="36"/>
      <c r="AD20" s="36"/>
      <c r="AE20" s="36"/>
      <c r="AF20" s="36"/>
      <c r="AG20" s="36"/>
      <c r="AH20" s="36"/>
    </row>
    <row r="21" spans="1:34" ht="22.15" hidden="1" customHeight="1">
      <c r="A21"/>
      <c r="B21" s="6" t="s">
        <v>27</v>
      </c>
      <c r="C21" s="15" t="s">
        <v>8</v>
      </c>
      <c r="D21" s="16">
        <v>3</v>
      </c>
      <c r="E21" s="18">
        <v>45270</v>
      </c>
      <c r="F21" s="18">
        <v>45310</v>
      </c>
      <c r="G21" s="7">
        <f t="shared" si="0"/>
        <v>-1792.5</v>
      </c>
      <c r="H21" s="7">
        <f t="shared" si="1"/>
        <v>-717</v>
      </c>
      <c r="I21" s="15" t="s">
        <v>8</v>
      </c>
      <c r="J21" s="16">
        <v>3</v>
      </c>
      <c r="K21" s="18">
        <v>45270</v>
      </c>
      <c r="L21" s="18">
        <v>45310</v>
      </c>
      <c r="M21" s="7">
        <f t="shared" si="2"/>
        <v>-1792.5</v>
      </c>
      <c r="N21" s="7">
        <f t="shared" si="3"/>
        <v>-717</v>
      </c>
      <c r="O21" s="48"/>
      <c r="P21" s="40"/>
      <c r="Q21" s="15" t="s">
        <v>8</v>
      </c>
      <c r="R21" s="16">
        <v>3</v>
      </c>
      <c r="S21" s="18">
        <v>45270</v>
      </c>
      <c r="T21" s="18">
        <v>45310</v>
      </c>
      <c r="U21" s="7">
        <f t="shared" si="4"/>
        <v>-1792.5</v>
      </c>
      <c r="V21" s="7">
        <f t="shared" si="5"/>
        <v>-717</v>
      </c>
      <c r="W21" s="48"/>
      <c r="X21" s="40"/>
      <c r="Y21" s="36"/>
      <c r="Z21" s="36"/>
      <c r="AA21" s="36"/>
      <c r="AB21" s="36"/>
      <c r="AC21" s="36"/>
      <c r="AD21" s="36"/>
      <c r="AE21" s="36"/>
      <c r="AF21" s="36"/>
      <c r="AG21" s="36"/>
      <c r="AH21" s="36"/>
    </row>
    <row r="22" spans="1:34" ht="22.15" hidden="1" customHeight="1">
      <c r="A22"/>
      <c r="B22" s="6" t="s">
        <v>28</v>
      </c>
      <c r="C22" s="15" t="s">
        <v>8</v>
      </c>
      <c r="D22" s="16">
        <v>45</v>
      </c>
      <c r="E22" s="18">
        <v>45268</v>
      </c>
      <c r="F22" s="18">
        <v>45311</v>
      </c>
      <c r="G22" s="7">
        <f t="shared" si="0"/>
        <v>-1665.1162790697676</v>
      </c>
      <c r="H22" s="7">
        <f t="shared" si="1"/>
        <v>-716</v>
      </c>
      <c r="I22" s="15" t="s">
        <v>8</v>
      </c>
      <c r="J22" s="16">
        <v>45</v>
      </c>
      <c r="K22" s="18">
        <v>45268</v>
      </c>
      <c r="L22" s="18">
        <v>45311</v>
      </c>
      <c r="M22" s="7">
        <f t="shared" si="2"/>
        <v>-1665.1162790697676</v>
      </c>
      <c r="N22" s="7">
        <f t="shared" si="3"/>
        <v>-716</v>
      </c>
      <c r="O22" s="48"/>
      <c r="P22" s="40"/>
      <c r="Q22" s="15" t="s">
        <v>8</v>
      </c>
      <c r="R22" s="16">
        <v>45</v>
      </c>
      <c r="S22" s="18">
        <v>45268</v>
      </c>
      <c r="T22" s="18">
        <v>45311</v>
      </c>
      <c r="U22" s="7">
        <f t="shared" si="4"/>
        <v>-1665.1162790697676</v>
      </c>
      <c r="V22" s="7">
        <f t="shared" si="5"/>
        <v>-716</v>
      </c>
      <c r="W22" s="48"/>
      <c r="X22" s="40"/>
      <c r="Y22" s="36"/>
      <c r="Z22" s="36"/>
      <c r="AA22" s="36"/>
      <c r="AB22" s="36"/>
      <c r="AC22" s="36"/>
      <c r="AD22" s="36"/>
      <c r="AE22" s="36"/>
      <c r="AF22" s="36"/>
      <c r="AG22" s="36"/>
      <c r="AH22" s="36"/>
    </row>
    <row r="23" spans="1:34" ht="22.15" hidden="1" customHeight="1">
      <c r="A23"/>
      <c r="B23" s="6" t="s">
        <v>29</v>
      </c>
      <c r="C23" s="15" t="s">
        <v>14</v>
      </c>
      <c r="D23" s="16">
        <v>97.5</v>
      </c>
      <c r="E23" s="18">
        <v>45268</v>
      </c>
      <c r="F23" s="18">
        <v>45311</v>
      </c>
      <c r="G23" s="7">
        <f t="shared" si="0"/>
        <v>-1665.1162790697676</v>
      </c>
      <c r="H23" s="7">
        <f t="shared" si="1"/>
        <v>-716</v>
      </c>
      <c r="I23" s="15" t="s">
        <v>14</v>
      </c>
      <c r="J23" s="16">
        <v>97.5</v>
      </c>
      <c r="K23" s="18">
        <v>45268</v>
      </c>
      <c r="L23" s="18">
        <v>45311</v>
      </c>
      <c r="M23" s="7">
        <f t="shared" si="2"/>
        <v>-1665.1162790697676</v>
      </c>
      <c r="N23" s="7">
        <f t="shared" si="3"/>
        <v>-716</v>
      </c>
      <c r="O23" s="48"/>
      <c r="P23" s="40"/>
      <c r="Q23" s="15" t="s">
        <v>14</v>
      </c>
      <c r="R23" s="16">
        <v>97.5</v>
      </c>
      <c r="S23" s="18">
        <v>45268</v>
      </c>
      <c r="T23" s="18">
        <v>45311</v>
      </c>
      <c r="U23" s="7">
        <f t="shared" si="4"/>
        <v>-1665.1162790697676</v>
      </c>
      <c r="V23" s="7">
        <f t="shared" si="5"/>
        <v>-716</v>
      </c>
      <c r="W23" s="48"/>
      <c r="X23" s="40"/>
      <c r="Y23" s="36"/>
      <c r="Z23" s="36"/>
      <c r="AA23" s="36"/>
      <c r="AB23" s="36"/>
      <c r="AC23" s="36"/>
      <c r="AD23" s="36"/>
      <c r="AE23" s="36"/>
      <c r="AF23" s="36"/>
      <c r="AG23" s="36"/>
      <c r="AH23" s="36"/>
    </row>
    <row r="24" spans="1:34" ht="22.15" hidden="1" customHeight="1">
      <c r="A24"/>
      <c r="B24" s="6" t="s">
        <v>30</v>
      </c>
      <c r="C24" s="15" t="s">
        <v>14</v>
      </c>
      <c r="D24" s="16">
        <v>85.93</v>
      </c>
      <c r="E24" s="18">
        <v>45276</v>
      </c>
      <c r="F24" s="18">
        <v>45311</v>
      </c>
      <c r="G24" s="7">
        <f t="shared" si="0"/>
        <v>-2045.7142857142856</v>
      </c>
      <c r="H24" s="7">
        <f t="shared" si="1"/>
        <v>-716</v>
      </c>
      <c r="I24" s="15" t="s">
        <v>14</v>
      </c>
      <c r="J24" s="16">
        <v>85.93</v>
      </c>
      <c r="K24" s="18">
        <v>45276</v>
      </c>
      <c r="L24" s="18">
        <v>45311</v>
      </c>
      <c r="M24" s="7">
        <f t="shared" si="2"/>
        <v>-2045.7142857142856</v>
      </c>
      <c r="N24" s="7">
        <f t="shared" si="3"/>
        <v>-716</v>
      </c>
      <c r="O24" s="48"/>
      <c r="P24" s="40"/>
      <c r="Q24" s="15" t="s">
        <v>14</v>
      </c>
      <c r="R24" s="16">
        <v>85.93</v>
      </c>
      <c r="S24" s="18">
        <v>45276</v>
      </c>
      <c r="T24" s="18">
        <v>45311</v>
      </c>
      <c r="U24" s="7">
        <f t="shared" si="4"/>
        <v>-2045.7142857142856</v>
      </c>
      <c r="V24" s="7">
        <f t="shared" si="5"/>
        <v>-716</v>
      </c>
      <c r="W24" s="48"/>
      <c r="X24" s="40"/>
      <c r="Y24" s="36"/>
      <c r="Z24" s="36"/>
      <c r="AA24" s="36"/>
      <c r="AB24" s="36"/>
      <c r="AC24" s="36"/>
      <c r="AD24" s="36"/>
      <c r="AE24" s="36"/>
      <c r="AF24" s="36"/>
      <c r="AG24" s="36"/>
      <c r="AH24" s="36"/>
    </row>
    <row r="25" spans="1:34" ht="22.15" hidden="1" customHeight="1">
      <c r="A25"/>
      <c r="B25" s="6" t="s">
        <v>31</v>
      </c>
      <c r="C25" s="15" t="s">
        <v>14</v>
      </c>
      <c r="D25" s="16">
        <v>216.8</v>
      </c>
      <c r="E25" s="18">
        <v>45267</v>
      </c>
      <c r="F25" s="18">
        <v>45312</v>
      </c>
      <c r="G25" s="7">
        <f t="shared" si="0"/>
        <v>-1588.8888888888889</v>
      </c>
      <c r="H25" s="7">
        <f t="shared" si="1"/>
        <v>-715</v>
      </c>
      <c r="I25" s="15" t="s">
        <v>14</v>
      </c>
      <c r="J25" s="16">
        <v>216.8</v>
      </c>
      <c r="K25" s="18">
        <v>45267</v>
      </c>
      <c r="L25" s="18">
        <v>45312</v>
      </c>
      <c r="M25" s="7">
        <f t="shared" si="2"/>
        <v>-1588.8888888888889</v>
      </c>
      <c r="N25" s="7">
        <f t="shared" si="3"/>
        <v>-715</v>
      </c>
      <c r="O25" s="48"/>
      <c r="P25" s="40"/>
      <c r="Q25" s="15" t="s">
        <v>14</v>
      </c>
      <c r="R25" s="16">
        <v>216.8</v>
      </c>
      <c r="S25" s="18">
        <v>45267</v>
      </c>
      <c r="T25" s="18">
        <v>45312</v>
      </c>
      <c r="U25" s="7">
        <f t="shared" si="4"/>
        <v>-1588.8888888888889</v>
      </c>
      <c r="V25" s="7">
        <f t="shared" si="5"/>
        <v>-715</v>
      </c>
      <c r="W25" s="48"/>
      <c r="X25" s="40"/>
      <c r="Y25" s="36"/>
      <c r="Z25" s="36"/>
      <c r="AA25" s="36"/>
      <c r="AB25" s="36"/>
      <c r="AC25" s="36"/>
      <c r="AD25" s="36"/>
      <c r="AE25" s="36"/>
      <c r="AF25" s="36"/>
      <c r="AG25" s="36"/>
      <c r="AH25" s="36"/>
    </row>
    <row r="26" spans="1:34" ht="22.15" hidden="1" customHeight="1">
      <c r="A26"/>
      <c r="B26" s="6" t="s">
        <v>32</v>
      </c>
      <c r="C26" s="15" t="s">
        <v>14</v>
      </c>
      <c r="D26" s="16">
        <v>170.9</v>
      </c>
      <c r="E26" s="18">
        <v>45277</v>
      </c>
      <c r="F26" s="18">
        <v>45312</v>
      </c>
      <c r="G26" s="7">
        <f t="shared" si="0"/>
        <v>-2042.8571428571427</v>
      </c>
      <c r="H26" s="7">
        <f t="shared" si="1"/>
        <v>-715</v>
      </c>
      <c r="I26" s="15" t="s">
        <v>14</v>
      </c>
      <c r="J26" s="16">
        <v>170.9</v>
      </c>
      <c r="K26" s="18">
        <v>45277</v>
      </c>
      <c r="L26" s="18">
        <v>45312</v>
      </c>
      <c r="M26" s="7">
        <f t="shared" si="2"/>
        <v>-2042.8571428571427</v>
      </c>
      <c r="N26" s="7">
        <f t="shared" si="3"/>
        <v>-715</v>
      </c>
      <c r="O26" s="48"/>
      <c r="P26" s="40"/>
      <c r="Q26" s="15" t="s">
        <v>14</v>
      </c>
      <c r="R26" s="16">
        <v>170.9</v>
      </c>
      <c r="S26" s="18">
        <v>45277</v>
      </c>
      <c r="T26" s="18">
        <v>45312</v>
      </c>
      <c r="U26" s="7">
        <f t="shared" si="4"/>
        <v>-2042.8571428571427</v>
      </c>
      <c r="V26" s="7">
        <f t="shared" si="5"/>
        <v>-715</v>
      </c>
      <c r="W26" s="48"/>
      <c r="X26" s="40"/>
      <c r="Y26" s="36"/>
      <c r="Z26" s="36"/>
      <c r="AA26" s="36"/>
      <c r="AB26" s="36"/>
      <c r="AC26" s="36"/>
      <c r="AD26" s="36"/>
      <c r="AE26" s="36"/>
      <c r="AF26" s="36"/>
      <c r="AG26" s="36"/>
      <c r="AH26" s="36"/>
    </row>
    <row r="27" spans="1:34" ht="22.15" hidden="1" customHeight="1">
      <c r="A27"/>
      <c r="B27" s="6" t="s">
        <v>33</v>
      </c>
      <c r="C27" s="15" t="s">
        <v>14</v>
      </c>
      <c r="D27" s="16">
        <v>159.9</v>
      </c>
      <c r="E27" s="18">
        <v>45277</v>
      </c>
      <c r="F27" s="18">
        <v>45312</v>
      </c>
      <c r="G27" s="7">
        <f t="shared" si="0"/>
        <v>-2042.8571428571427</v>
      </c>
      <c r="H27" s="7">
        <f t="shared" si="1"/>
        <v>-715</v>
      </c>
      <c r="I27" s="15" t="s">
        <v>14</v>
      </c>
      <c r="J27" s="16">
        <v>159.9</v>
      </c>
      <c r="K27" s="18">
        <v>45277</v>
      </c>
      <c r="L27" s="18">
        <v>45312</v>
      </c>
      <c r="M27" s="7">
        <f t="shared" si="2"/>
        <v>-2042.8571428571427</v>
      </c>
      <c r="N27" s="7">
        <f t="shared" si="3"/>
        <v>-715</v>
      </c>
      <c r="O27" s="48"/>
      <c r="P27" s="40"/>
      <c r="Q27" s="15" t="s">
        <v>14</v>
      </c>
      <c r="R27" s="16">
        <v>159.9</v>
      </c>
      <c r="S27" s="18">
        <v>45277</v>
      </c>
      <c r="T27" s="18">
        <v>45312</v>
      </c>
      <c r="U27" s="7">
        <f t="shared" si="4"/>
        <v>-2042.8571428571427</v>
      </c>
      <c r="V27" s="7">
        <f t="shared" si="5"/>
        <v>-715</v>
      </c>
      <c r="W27" s="48"/>
      <c r="X27" s="40"/>
      <c r="Y27" s="36"/>
      <c r="Z27" s="36"/>
      <c r="AA27" s="36"/>
      <c r="AB27" s="36"/>
      <c r="AC27" s="36"/>
      <c r="AD27" s="36"/>
      <c r="AE27" s="36"/>
      <c r="AF27" s="36"/>
      <c r="AG27" s="36"/>
      <c r="AH27" s="36"/>
    </row>
    <row r="28" spans="1:34" ht="22.15" hidden="1" customHeight="1">
      <c r="A28"/>
      <c r="B28" s="6" t="s">
        <v>34</v>
      </c>
      <c r="C28" s="15" t="s">
        <v>14</v>
      </c>
      <c r="D28" s="16">
        <v>358.6</v>
      </c>
      <c r="E28" s="18">
        <v>45272</v>
      </c>
      <c r="F28" s="18">
        <v>45312</v>
      </c>
      <c r="G28" s="7">
        <f t="shared" si="0"/>
        <v>-1787.5</v>
      </c>
      <c r="H28" s="7">
        <f t="shared" si="1"/>
        <v>-715</v>
      </c>
      <c r="I28" s="15" t="s">
        <v>14</v>
      </c>
      <c r="J28" s="16">
        <v>358.6</v>
      </c>
      <c r="K28" s="18">
        <v>45272</v>
      </c>
      <c r="L28" s="18">
        <v>45312</v>
      </c>
      <c r="M28" s="7">
        <f t="shared" si="2"/>
        <v>-1787.5</v>
      </c>
      <c r="N28" s="7">
        <f t="shared" si="3"/>
        <v>-715</v>
      </c>
      <c r="O28" s="48"/>
      <c r="P28" s="40"/>
      <c r="Q28" s="15" t="s">
        <v>14</v>
      </c>
      <c r="R28" s="16">
        <v>358.6</v>
      </c>
      <c r="S28" s="18">
        <v>45272</v>
      </c>
      <c r="T28" s="18">
        <v>45312</v>
      </c>
      <c r="U28" s="7">
        <f t="shared" si="4"/>
        <v>-1787.5</v>
      </c>
      <c r="V28" s="7">
        <f t="shared" si="5"/>
        <v>-715</v>
      </c>
      <c r="W28" s="48"/>
      <c r="X28" s="40"/>
      <c r="Y28" s="36"/>
      <c r="Z28" s="36"/>
      <c r="AA28" s="36"/>
      <c r="AB28" s="36"/>
      <c r="AC28" s="36"/>
      <c r="AD28" s="36"/>
      <c r="AE28" s="36"/>
      <c r="AF28" s="36"/>
      <c r="AG28" s="36"/>
      <c r="AH28" s="36"/>
    </row>
    <row r="29" spans="1:34" ht="22.15" hidden="1" customHeight="1">
      <c r="A29"/>
      <c r="B29" s="6" t="s">
        <v>35</v>
      </c>
      <c r="C29" s="15" t="s">
        <v>8</v>
      </c>
      <c r="D29" s="16">
        <v>94</v>
      </c>
      <c r="E29" s="18">
        <v>45268</v>
      </c>
      <c r="F29" s="18">
        <v>45313</v>
      </c>
      <c r="G29" s="7">
        <f t="shared" si="0"/>
        <v>-1586.6666666666667</v>
      </c>
      <c r="H29" s="7">
        <f t="shared" si="1"/>
        <v>-714</v>
      </c>
      <c r="I29" s="15" t="s">
        <v>8</v>
      </c>
      <c r="J29" s="16">
        <v>94</v>
      </c>
      <c r="K29" s="18">
        <v>45268</v>
      </c>
      <c r="L29" s="18">
        <v>45313</v>
      </c>
      <c r="M29" s="7">
        <f t="shared" si="2"/>
        <v>-1586.6666666666667</v>
      </c>
      <c r="N29" s="7">
        <f t="shared" si="3"/>
        <v>-714</v>
      </c>
      <c r="O29" s="48"/>
      <c r="P29" s="40"/>
      <c r="Q29" s="15" t="s">
        <v>8</v>
      </c>
      <c r="R29" s="16">
        <v>94</v>
      </c>
      <c r="S29" s="18">
        <v>45268</v>
      </c>
      <c r="T29" s="18">
        <v>45313</v>
      </c>
      <c r="U29" s="7">
        <f t="shared" si="4"/>
        <v>-1586.6666666666667</v>
      </c>
      <c r="V29" s="7">
        <f t="shared" si="5"/>
        <v>-714</v>
      </c>
      <c r="W29" s="48"/>
      <c r="X29" s="40"/>
      <c r="Y29" s="36"/>
      <c r="Z29" s="36"/>
      <c r="AA29" s="36"/>
      <c r="AB29" s="36"/>
      <c r="AC29" s="36"/>
      <c r="AD29" s="36"/>
      <c r="AE29" s="36"/>
      <c r="AF29" s="36"/>
      <c r="AG29" s="36"/>
      <c r="AH29" s="36"/>
    </row>
    <row r="30" spans="1:34" ht="22.15" hidden="1" customHeight="1">
      <c r="A30"/>
      <c r="B30" s="6" t="s">
        <v>36</v>
      </c>
      <c r="C30" s="15" t="s">
        <v>8</v>
      </c>
      <c r="D30" s="16">
        <v>134</v>
      </c>
      <c r="E30" s="18">
        <v>45268</v>
      </c>
      <c r="F30" s="18">
        <v>45313</v>
      </c>
      <c r="G30" s="7">
        <f t="shared" si="0"/>
        <v>-1586.6666666666667</v>
      </c>
      <c r="H30" s="7">
        <f t="shared" si="1"/>
        <v>-714</v>
      </c>
      <c r="I30" s="15" t="s">
        <v>8</v>
      </c>
      <c r="J30" s="16">
        <v>134</v>
      </c>
      <c r="K30" s="18">
        <v>45268</v>
      </c>
      <c r="L30" s="18">
        <v>45313</v>
      </c>
      <c r="M30" s="7">
        <f t="shared" si="2"/>
        <v>-1586.6666666666667</v>
      </c>
      <c r="N30" s="7">
        <f t="shared" si="3"/>
        <v>-714</v>
      </c>
      <c r="O30" s="48"/>
      <c r="P30" s="40"/>
      <c r="Q30" s="15" t="s">
        <v>8</v>
      </c>
      <c r="R30" s="16">
        <v>134</v>
      </c>
      <c r="S30" s="18">
        <v>45268</v>
      </c>
      <c r="T30" s="18">
        <v>45313</v>
      </c>
      <c r="U30" s="7">
        <f t="shared" si="4"/>
        <v>-1586.6666666666667</v>
      </c>
      <c r="V30" s="7">
        <f t="shared" si="5"/>
        <v>-714</v>
      </c>
      <c r="W30" s="48"/>
      <c r="X30" s="40"/>
      <c r="Y30" s="36"/>
      <c r="Z30" s="36"/>
      <c r="AA30" s="36"/>
      <c r="AB30" s="36"/>
      <c r="AC30" s="36"/>
      <c r="AD30" s="36"/>
      <c r="AE30" s="36"/>
      <c r="AF30" s="36"/>
      <c r="AG30" s="36"/>
      <c r="AH30" s="36"/>
    </row>
    <row r="31" spans="1:34" ht="22.15" hidden="1" customHeight="1">
      <c r="A31"/>
      <c r="B31" s="6" t="s">
        <v>37</v>
      </c>
      <c r="C31" s="15" t="s">
        <v>8</v>
      </c>
      <c r="D31" s="16">
        <v>2</v>
      </c>
      <c r="E31" s="18">
        <v>45268</v>
      </c>
      <c r="F31" s="18">
        <v>45313</v>
      </c>
      <c r="G31" s="7">
        <f t="shared" si="0"/>
        <v>-1586.6666666666667</v>
      </c>
      <c r="H31" s="7">
        <f t="shared" si="1"/>
        <v>-714</v>
      </c>
      <c r="I31" s="15" t="s">
        <v>8</v>
      </c>
      <c r="J31" s="16">
        <v>2</v>
      </c>
      <c r="K31" s="18">
        <v>45268</v>
      </c>
      <c r="L31" s="18">
        <v>45313</v>
      </c>
      <c r="M31" s="7">
        <f t="shared" si="2"/>
        <v>-1586.6666666666667</v>
      </c>
      <c r="N31" s="7">
        <f t="shared" si="3"/>
        <v>-714</v>
      </c>
      <c r="O31" s="48"/>
      <c r="P31" s="40"/>
      <c r="Q31" s="15" t="s">
        <v>8</v>
      </c>
      <c r="R31" s="16">
        <v>2</v>
      </c>
      <c r="S31" s="18">
        <v>45268</v>
      </c>
      <c r="T31" s="18">
        <v>45313</v>
      </c>
      <c r="U31" s="7">
        <f t="shared" si="4"/>
        <v>-1586.6666666666667</v>
      </c>
      <c r="V31" s="7">
        <f t="shared" si="5"/>
        <v>-714</v>
      </c>
      <c r="W31" s="48"/>
      <c r="X31" s="40"/>
      <c r="Y31" s="36"/>
      <c r="Z31" s="36"/>
      <c r="AA31" s="36"/>
      <c r="AB31" s="36"/>
      <c r="AC31" s="36"/>
      <c r="AD31" s="36"/>
      <c r="AE31" s="36"/>
      <c r="AF31" s="36"/>
      <c r="AG31" s="36"/>
      <c r="AH31" s="36"/>
    </row>
    <row r="32" spans="1:34" ht="22.15" hidden="1" customHeight="1">
      <c r="A32"/>
      <c r="B32" s="6" t="s">
        <v>38</v>
      </c>
      <c r="C32" s="15" t="s">
        <v>14</v>
      </c>
      <c r="D32" s="16">
        <v>273.39999999999998</v>
      </c>
      <c r="E32" s="18">
        <v>45268</v>
      </c>
      <c r="F32" s="18">
        <v>45313</v>
      </c>
      <c r="G32" s="7">
        <f t="shared" si="0"/>
        <v>-1586.6666666666667</v>
      </c>
      <c r="H32" s="7">
        <f t="shared" si="1"/>
        <v>-714</v>
      </c>
      <c r="I32" s="15" t="s">
        <v>14</v>
      </c>
      <c r="J32" s="16">
        <v>273.39999999999998</v>
      </c>
      <c r="K32" s="18">
        <v>45268</v>
      </c>
      <c r="L32" s="18">
        <v>45313</v>
      </c>
      <c r="M32" s="7">
        <f t="shared" si="2"/>
        <v>-1586.6666666666667</v>
      </c>
      <c r="N32" s="7">
        <f t="shared" si="3"/>
        <v>-714</v>
      </c>
      <c r="O32" s="48"/>
      <c r="P32" s="40"/>
      <c r="Q32" s="15" t="s">
        <v>14</v>
      </c>
      <c r="R32" s="16">
        <v>273.39999999999998</v>
      </c>
      <c r="S32" s="18">
        <v>45268</v>
      </c>
      <c r="T32" s="18">
        <v>45313</v>
      </c>
      <c r="U32" s="7">
        <f t="shared" si="4"/>
        <v>-1586.6666666666667</v>
      </c>
      <c r="V32" s="7">
        <f t="shared" si="5"/>
        <v>-714</v>
      </c>
      <c r="W32" s="48"/>
      <c r="X32" s="40"/>
      <c r="Y32" s="36"/>
      <c r="Z32" s="36"/>
      <c r="AA32" s="36"/>
      <c r="AB32" s="36"/>
      <c r="AC32" s="36"/>
      <c r="AD32" s="36"/>
      <c r="AE32" s="36"/>
      <c r="AF32" s="36"/>
      <c r="AG32" s="36"/>
      <c r="AH32" s="36"/>
    </row>
    <row r="33" spans="1:34" ht="22.15" hidden="1" customHeight="1">
      <c r="A33"/>
      <c r="B33" s="6" t="s">
        <v>39</v>
      </c>
      <c r="C33" s="15" t="s">
        <v>14</v>
      </c>
      <c r="D33" s="16">
        <v>160.19999999999999</v>
      </c>
      <c r="E33" s="18">
        <v>45274</v>
      </c>
      <c r="F33" s="18">
        <v>45314</v>
      </c>
      <c r="G33" s="7">
        <f t="shared" si="0"/>
        <v>-1782.5</v>
      </c>
      <c r="H33" s="7">
        <f t="shared" si="1"/>
        <v>-713</v>
      </c>
      <c r="I33" s="15" t="s">
        <v>14</v>
      </c>
      <c r="J33" s="16">
        <v>160.19999999999999</v>
      </c>
      <c r="K33" s="18">
        <v>45274</v>
      </c>
      <c r="L33" s="18">
        <v>45314</v>
      </c>
      <c r="M33" s="7">
        <f t="shared" si="2"/>
        <v>-1782.5</v>
      </c>
      <c r="N33" s="7">
        <f t="shared" si="3"/>
        <v>-713</v>
      </c>
      <c r="O33" s="48"/>
      <c r="P33" s="40"/>
      <c r="Q33" s="15" t="s">
        <v>14</v>
      </c>
      <c r="R33" s="16">
        <v>160.19999999999999</v>
      </c>
      <c r="S33" s="18">
        <v>45274</v>
      </c>
      <c r="T33" s="18">
        <v>45314</v>
      </c>
      <c r="U33" s="7">
        <f t="shared" si="4"/>
        <v>-1782.5</v>
      </c>
      <c r="V33" s="7">
        <f t="shared" si="5"/>
        <v>-713</v>
      </c>
      <c r="W33" s="48"/>
      <c r="X33" s="40"/>
      <c r="Y33" s="36"/>
      <c r="Z33" s="36"/>
      <c r="AA33" s="36"/>
      <c r="AB33" s="36"/>
      <c r="AC33" s="36"/>
      <c r="AD33" s="36"/>
      <c r="AE33" s="36"/>
      <c r="AF33" s="36"/>
      <c r="AG33" s="36"/>
      <c r="AH33" s="36"/>
    </row>
    <row r="34" spans="1:34" ht="22.15" hidden="1" customHeight="1">
      <c r="A34"/>
      <c r="B34" s="6" t="s">
        <v>40</v>
      </c>
      <c r="C34" s="15" t="s">
        <v>14</v>
      </c>
      <c r="D34" s="16">
        <v>351.4</v>
      </c>
      <c r="E34" s="18">
        <v>45275</v>
      </c>
      <c r="F34" s="18">
        <v>45315</v>
      </c>
      <c r="G34" s="7">
        <f t="shared" si="0"/>
        <v>-1780</v>
      </c>
      <c r="H34" s="7">
        <f t="shared" si="1"/>
        <v>-712</v>
      </c>
      <c r="I34" s="15" t="s">
        <v>14</v>
      </c>
      <c r="J34" s="16">
        <v>351.4</v>
      </c>
      <c r="K34" s="18">
        <v>45275</v>
      </c>
      <c r="L34" s="18">
        <v>45315</v>
      </c>
      <c r="M34" s="7">
        <f t="shared" si="2"/>
        <v>-1780</v>
      </c>
      <c r="N34" s="7">
        <f t="shared" si="3"/>
        <v>-712</v>
      </c>
      <c r="O34" s="48"/>
      <c r="P34" s="40"/>
      <c r="Q34" s="15" t="s">
        <v>14</v>
      </c>
      <c r="R34" s="16">
        <v>351.4</v>
      </c>
      <c r="S34" s="18">
        <v>45275</v>
      </c>
      <c r="T34" s="18">
        <v>45315</v>
      </c>
      <c r="U34" s="7">
        <f t="shared" si="4"/>
        <v>-1780</v>
      </c>
      <c r="V34" s="7">
        <f t="shared" si="5"/>
        <v>-712</v>
      </c>
      <c r="W34" s="48"/>
      <c r="X34" s="40"/>
      <c r="Y34" s="36"/>
      <c r="Z34" s="36"/>
      <c r="AA34" s="36"/>
      <c r="AB34" s="36"/>
      <c r="AC34" s="36"/>
      <c r="AD34" s="36"/>
      <c r="AE34" s="36"/>
      <c r="AF34" s="36"/>
      <c r="AG34" s="36"/>
      <c r="AH34" s="36"/>
    </row>
    <row r="35" spans="1:34" ht="22.15" hidden="1" customHeight="1">
      <c r="A35"/>
      <c r="B35" s="6" t="s">
        <v>41</v>
      </c>
      <c r="C35" s="15" t="s">
        <v>14</v>
      </c>
      <c r="D35" s="16">
        <v>19.004000000000001</v>
      </c>
      <c r="E35" s="18">
        <v>45275</v>
      </c>
      <c r="F35" s="18">
        <v>45315</v>
      </c>
      <c r="G35" s="7">
        <f t="shared" si="0"/>
        <v>-1780</v>
      </c>
      <c r="H35" s="7">
        <f t="shared" si="1"/>
        <v>-712</v>
      </c>
      <c r="I35" s="15" t="s">
        <v>14</v>
      </c>
      <c r="J35" s="16">
        <v>19.004000000000001</v>
      </c>
      <c r="K35" s="18">
        <v>45275</v>
      </c>
      <c r="L35" s="18">
        <v>45315</v>
      </c>
      <c r="M35" s="7">
        <f t="shared" si="2"/>
        <v>-1780</v>
      </c>
      <c r="N35" s="7">
        <f t="shared" si="3"/>
        <v>-712</v>
      </c>
      <c r="O35" s="48"/>
      <c r="P35" s="40"/>
      <c r="Q35" s="15" t="s">
        <v>14</v>
      </c>
      <c r="R35" s="16">
        <v>19.004000000000001</v>
      </c>
      <c r="S35" s="18">
        <v>45275</v>
      </c>
      <c r="T35" s="18">
        <v>45315</v>
      </c>
      <c r="U35" s="7">
        <f t="shared" si="4"/>
        <v>-1780</v>
      </c>
      <c r="V35" s="7">
        <f t="shared" si="5"/>
        <v>-712</v>
      </c>
      <c r="W35" s="48"/>
      <c r="X35" s="40"/>
      <c r="Y35" s="36"/>
      <c r="Z35" s="36"/>
      <c r="AA35" s="36"/>
      <c r="AB35" s="36"/>
      <c r="AC35" s="36"/>
      <c r="AD35" s="36"/>
      <c r="AE35" s="36"/>
      <c r="AF35" s="36"/>
      <c r="AG35" s="36"/>
      <c r="AH35" s="36"/>
    </row>
    <row r="36" spans="1:34" ht="22.15" hidden="1" customHeight="1">
      <c r="A36"/>
      <c r="B36" s="6" t="s">
        <v>42</v>
      </c>
      <c r="C36" s="15" t="s">
        <v>14</v>
      </c>
      <c r="D36" s="16">
        <v>6.56</v>
      </c>
      <c r="E36" s="18"/>
      <c r="F36" s="18"/>
      <c r="G36" s="7" t="str">
        <f t="shared" si="0"/>
        <v/>
      </c>
      <c r="H36" s="7">
        <f t="shared" si="1"/>
        <v>-46027</v>
      </c>
      <c r="I36" s="15" t="s">
        <v>14</v>
      </c>
      <c r="J36" s="16">
        <v>6.56</v>
      </c>
      <c r="K36" s="18"/>
      <c r="L36" s="18"/>
      <c r="M36" s="7" t="str">
        <f t="shared" si="2"/>
        <v/>
      </c>
      <c r="N36" s="7">
        <f t="shared" si="3"/>
        <v>-46027</v>
      </c>
      <c r="O36" s="48"/>
      <c r="P36" s="40"/>
      <c r="Q36" s="15" t="s">
        <v>14</v>
      </c>
      <c r="R36" s="16">
        <v>6.56</v>
      </c>
      <c r="S36" s="18"/>
      <c r="T36" s="18"/>
      <c r="U36" s="7" t="str">
        <f t="shared" si="4"/>
        <v/>
      </c>
      <c r="V36" s="7">
        <f t="shared" si="5"/>
        <v>-46027</v>
      </c>
      <c r="W36" s="48"/>
      <c r="X36" s="40"/>
      <c r="Y36" s="36"/>
      <c r="Z36" s="36"/>
      <c r="AA36" s="36"/>
      <c r="AB36" s="36"/>
      <c r="AC36" s="36"/>
      <c r="AD36" s="36"/>
      <c r="AE36" s="36"/>
      <c r="AF36" s="36"/>
      <c r="AG36" s="36"/>
      <c r="AH36" s="36"/>
    </row>
    <row r="37" spans="1:34" ht="22.15" hidden="1" customHeight="1">
      <c r="A37"/>
      <c r="B37" s="6" t="s">
        <v>43</v>
      </c>
      <c r="C37" s="15" t="s">
        <v>14</v>
      </c>
      <c r="D37" s="16">
        <v>115.69499999999999</v>
      </c>
      <c r="E37" s="18">
        <v>45276</v>
      </c>
      <c r="F37" s="18">
        <v>45316</v>
      </c>
      <c r="G37" s="7">
        <f t="shared" si="0"/>
        <v>-1777.4999999999998</v>
      </c>
      <c r="H37" s="7">
        <f t="shared" si="1"/>
        <v>-711</v>
      </c>
      <c r="I37" s="15" t="s">
        <v>14</v>
      </c>
      <c r="J37" s="16">
        <v>115.69499999999999</v>
      </c>
      <c r="K37" s="18">
        <v>45276</v>
      </c>
      <c r="L37" s="18">
        <v>45316</v>
      </c>
      <c r="M37" s="7">
        <f t="shared" si="2"/>
        <v>-1777.4999999999998</v>
      </c>
      <c r="N37" s="7">
        <f t="shared" si="3"/>
        <v>-711</v>
      </c>
      <c r="O37" s="48"/>
      <c r="P37" s="40"/>
      <c r="Q37" s="15" t="s">
        <v>14</v>
      </c>
      <c r="R37" s="16">
        <v>115.69499999999999</v>
      </c>
      <c r="S37" s="18">
        <v>45276</v>
      </c>
      <c r="T37" s="18">
        <v>45316</v>
      </c>
      <c r="U37" s="7">
        <f t="shared" si="4"/>
        <v>-1777.4999999999998</v>
      </c>
      <c r="V37" s="7">
        <f t="shared" si="5"/>
        <v>-711</v>
      </c>
      <c r="W37" s="48"/>
      <c r="X37" s="40"/>
      <c r="Y37" s="36"/>
      <c r="Z37" s="36"/>
      <c r="AA37" s="36"/>
      <c r="AB37" s="36"/>
      <c r="AC37" s="36"/>
      <c r="AD37" s="36"/>
      <c r="AE37" s="36"/>
      <c r="AF37" s="36"/>
      <c r="AG37" s="36"/>
      <c r="AH37" s="36"/>
    </row>
    <row r="38" spans="1:34" ht="22.15" hidden="1" customHeight="1">
      <c r="A38"/>
      <c r="B38" s="6" t="s">
        <v>44</v>
      </c>
      <c r="C38" s="15" t="s">
        <v>8</v>
      </c>
      <c r="D38" s="16">
        <v>234</v>
      </c>
      <c r="E38" s="18">
        <v>45260</v>
      </c>
      <c r="F38" s="18">
        <v>45320</v>
      </c>
      <c r="G38" s="7">
        <f>IFERROR((F38-$G$1)/(F38-E38)*100,"")</f>
        <v>-1178.3333333333333</v>
      </c>
      <c r="H38" s="7">
        <f>F38-$H$1</f>
        <v>-707</v>
      </c>
      <c r="I38" s="15" t="s">
        <v>8</v>
      </c>
      <c r="J38" s="16">
        <v>234</v>
      </c>
      <c r="K38" s="18">
        <v>45260</v>
      </c>
      <c r="L38" s="18">
        <v>45320</v>
      </c>
      <c r="M38" s="7">
        <f>IFERROR((L38-$G$1)/(L38-K38)*100,"")</f>
        <v>-1178.3333333333333</v>
      </c>
      <c r="N38" s="7">
        <f>L38-$H$1</f>
        <v>-707</v>
      </c>
      <c r="O38" s="48"/>
      <c r="P38" s="40"/>
      <c r="Q38" s="15" t="s">
        <v>8</v>
      </c>
      <c r="R38" s="16">
        <v>234</v>
      </c>
      <c r="S38" s="18">
        <v>45260</v>
      </c>
      <c r="T38" s="18">
        <v>45320</v>
      </c>
      <c r="U38" s="7">
        <f>IFERROR((T38-$G$1)/(T38-S38)*100,"")</f>
        <v>-1178.3333333333333</v>
      </c>
      <c r="V38" s="7">
        <f>T38-$H$1</f>
        <v>-707</v>
      </c>
      <c r="W38" s="48"/>
      <c r="X38" s="40"/>
      <c r="Y38" s="36"/>
      <c r="Z38" s="36"/>
      <c r="AA38" s="36"/>
      <c r="AB38" s="36"/>
      <c r="AC38" s="36"/>
      <c r="AD38" s="36"/>
      <c r="AE38" s="36"/>
      <c r="AF38" s="36"/>
      <c r="AG38" s="36"/>
      <c r="AH38" s="36"/>
    </row>
    <row r="39" spans="1:34" ht="22.15" hidden="1" customHeight="1">
      <c r="A39"/>
      <c r="B39" s="6" t="s">
        <v>45</v>
      </c>
      <c r="C39" s="15" t="s">
        <v>8</v>
      </c>
      <c r="D39" s="16">
        <v>480</v>
      </c>
      <c r="E39" s="18"/>
      <c r="F39" s="18"/>
      <c r="G39" s="7" t="str">
        <f t="shared" ref="G39:G71" si="6">IFERROR((F39-$G$1)/(F39-E39)*100,"")</f>
        <v/>
      </c>
      <c r="H39" s="7">
        <f t="shared" ref="H39:H71" si="7">F39-$H$1</f>
        <v>-46027</v>
      </c>
      <c r="I39" s="15" t="s">
        <v>8</v>
      </c>
      <c r="J39" s="16">
        <v>480</v>
      </c>
      <c r="K39" s="18"/>
      <c r="L39" s="18"/>
      <c r="M39" s="7" t="str">
        <f t="shared" ref="M39:M102" si="8">IFERROR((L39-$G$1)/(L39-K39)*100,"")</f>
        <v/>
      </c>
      <c r="N39" s="7">
        <f t="shared" ref="N39:N102" si="9">L39-$H$1</f>
        <v>-46027</v>
      </c>
      <c r="O39" s="48"/>
      <c r="P39" s="40"/>
      <c r="Q39" s="15" t="s">
        <v>8</v>
      </c>
      <c r="R39" s="16">
        <v>480</v>
      </c>
      <c r="S39" s="18"/>
      <c r="T39" s="18"/>
      <c r="U39" s="7" t="str">
        <f t="shared" ref="U39:U103" si="10">IFERROR((T39-$G$1)/(T39-S39)*100,"")</f>
        <v/>
      </c>
      <c r="V39" s="7">
        <f t="shared" ref="V39:V102" si="11">T39-$H$1</f>
        <v>-46027</v>
      </c>
      <c r="W39" s="48"/>
      <c r="X39" s="40"/>
      <c r="Y39" s="36"/>
      <c r="Z39" s="36"/>
      <c r="AA39" s="36"/>
      <c r="AB39" s="36"/>
      <c r="AC39" s="36"/>
      <c r="AD39" s="36"/>
      <c r="AE39" s="36"/>
      <c r="AF39" s="36"/>
      <c r="AG39" s="36"/>
      <c r="AH39" s="36"/>
    </row>
    <row r="40" spans="1:34" ht="22.15" hidden="1" customHeight="1">
      <c r="A40"/>
      <c r="B40" s="6" t="s">
        <v>46</v>
      </c>
      <c r="C40" s="15" t="s">
        <v>8</v>
      </c>
      <c r="D40" s="16">
        <v>480</v>
      </c>
      <c r="E40" s="18"/>
      <c r="F40" s="18"/>
      <c r="G40" s="7" t="str">
        <f t="shared" si="6"/>
        <v/>
      </c>
      <c r="H40" s="7">
        <f t="shared" si="7"/>
        <v>-46027</v>
      </c>
      <c r="I40" s="15" t="s">
        <v>8</v>
      </c>
      <c r="J40" s="16">
        <v>480</v>
      </c>
      <c r="K40" s="18"/>
      <c r="L40" s="18"/>
      <c r="M40" s="7" t="str">
        <f t="shared" si="8"/>
        <v/>
      </c>
      <c r="N40" s="7">
        <f t="shared" si="9"/>
        <v>-46027</v>
      </c>
      <c r="O40" s="48"/>
      <c r="P40" s="40"/>
      <c r="Q40" s="15" t="s">
        <v>8</v>
      </c>
      <c r="R40" s="16">
        <v>480</v>
      </c>
      <c r="S40" s="18"/>
      <c r="T40" s="18"/>
      <c r="U40" s="7" t="str">
        <f t="shared" si="10"/>
        <v/>
      </c>
      <c r="V40" s="7">
        <f t="shared" si="11"/>
        <v>-46027</v>
      </c>
      <c r="W40" s="48"/>
      <c r="X40" s="40"/>
      <c r="Y40" s="36"/>
      <c r="Z40" s="36"/>
      <c r="AA40" s="36"/>
      <c r="AB40" s="36"/>
      <c r="AC40" s="36"/>
      <c r="AD40" s="36"/>
      <c r="AE40" s="36"/>
      <c r="AF40" s="36"/>
      <c r="AG40" s="36"/>
      <c r="AH40" s="36"/>
    </row>
    <row r="41" spans="1:34" ht="22.15" hidden="1" customHeight="1">
      <c r="A41"/>
      <c r="B41" s="6" t="s">
        <v>47</v>
      </c>
      <c r="C41" s="15" t="s">
        <v>8</v>
      </c>
      <c r="D41" s="19">
        <v>2136</v>
      </c>
      <c r="E41" s="18"/>
      <c r="F41" s="18"/>
      <c r="G41" s="7" t="str">
        <f t="shared" si="6"/>
        <v/>
      </c>
      <c r="H41" s="7">
        <f t="shared" si="7"/>
        <v>-46027</v>
      </c>
      <c r="I41" s="15" t="s">
        <v>8</v>
      </c>
      <c r="J41" s="19">
        <v>2136</v>
      </c>
      <c r="K41" s="18"/>
      <c r="L41" s="18"/>
      <c r="M41" s="7" t="str">
        <f t="shared" si="8"/>
        <v/>
      </c>
      <c r="N41" s="7">
        <f t="shared" si="9"/>
        <v>-46027</v>
      </c>
      <c r="O41" s="48"/>
      <c r="P41" s="40"/>
      <c r="Q41" s="15" t="s">
        <v>8</v>
      </c>
      <c r="R41" s="19">
        <v>2136</v>
      </c>
      <c r="S41" s="18"/>
      <c r="T41" s="18"/>
      <c r="U41" s="7" t="str">
        <f t="shared" si="10"/>
        <v/>
      </c>
      <c r="V41" s="7">
        <f t="shared" si="11"/>
        <v>-46027</v>
      </c>
      <c r="W41" s="48"/>
      <c r="X41" s="40"/>
      <c r="Y41" s="36"/>
      <c r="Z41" s="36"/>
      <c r="AA41" s="36"/>
      <c r="AB41" s="36"/>
      <c r="AC41" s="36"/>
      <c r="AD41" s="36"/>
      <c r="AE41" s="36"/>
      <c r="AF41" s="36"/>
      <c r="AG41" s="36"/>
      <c r="AH41" s="36"/>
    </row>
    <row r="42" spans="1:34" ht="22.15" hidden="1" customHeight="1">
      <c r="A42"/>
      <c r="B42" s="6" t="s">
        <v>48</v>
      </c>
      <c r="C42" s="15" t="s">
        <v>8</v>
      </c>
      <c r="D42" s="16">
        <v>192</v>
      </c>
      <c r="E42" s="18"/>
      <c r="F42" s="18"/>
      <c r="G42" s="7" t="str">
        <f t="shared" si="6"/>
        <v/>
      </c>
      <c r="H42" s="7">
        <f t="shared" si="7"/>
        <v>-46027</v>
      </c>
      <c r="I42" s="15" t="s">
        <v>8</v>
      </c>
      <c r="J42" s="16">
        <v>192</v>
      </c>
      <c r="K42" s="18"/>
      <c r="L42" s="18"/>
      <c r="M42" s="7" t="str">
        <f t="shared" si="8"/>
        <v/>
      </c>
      <c r="N42" s="7">
        <f t="shared" si="9"/>
        <v>-46027</v>
      </c>
      <c r="O42" s="48"/>
      <c r="P42" s="40"/>
      <c r="Q42" s="15" t="s">
        <v>8</v>
      </c>
      <c r="R42" s="16">
        <v>192</v>
      </c>
      <c r="S42" s="18"/>
      <c r="T42" s="18"/>
      <c r="U42" s="7" t="str">
        <f t="shared" si="10"/>
        <v/>
      </c>
      <c r="V42" s="7">
        <f t="shared" si="11"/>
        <v>-46027</v>
      </c>
      <c r="W42" s="48"/>
      <c r="X42" s="40"/>
      <c r="Y42" s="36"/>
      <c r="Z42" s="36"/>
      <c r="AA42" s="36"/>
      <c r="AB42" s="36"/>
      <c r="AC42" s="36"/>
      <c r="AD42" s="36"/>
      <c r="AE42" s="36"/>
      <c r="AF42" s="36"/>
      <c r="AG42" s="36"/>
      <c r="AH42" s="36"/>
    </row>
    <row r="43" spans="1:34" ht="22.15" hidden="1" customHeight="1">
      <c r="A43"/>
      <c r="B43" s="6" t="s">
        <v>49</v>
      </c>
      <c r="C43" s="15" t="s">
        <v>8</v>
      </c>
      <c r="D43" s="16">
        <v>192</v>
      </c>
      <c r="E43" s="18"/>
      <c r="F43" s="18"/>
      <c r="G43" s="7" t="str">
        <f t="shared" si="6"/>
        <v/>
      </c>
      <c r="H43" s="7">
        <f t="shared" si="7"/>
        <v>-46027</v>
      </c>
      <c r="I43" s="15" t="s">
        <v>8</v>
      </c>
      <c r="J43" s="16">
        <v>192</v>
      </c>
      <c r="K43" s="18"/>
      <c r="L43" s="18"/>
      <c r="M43" s="7" t="str">
        <f t="shared" si="8"/>
        <v/>
      </c>
      <c r="N43" s="7">
        <f t="shared" si="9"/>
        <v>-46027</v>
      </c>
      <c r="O43" s="48"/>
      <c r="P43" s="40"/>
      <c r="Q43" s="15" t="s">
        <v>8</v>
      </c>
      <c r="R43" s="16">
        <v>192</v>
      </c>
      <c r="S43" s="18"/>
      <c r="T43" s="18"/>
      <c r="U43" s="7" t="str">
        <f t="shared" si="10"/>
        <v/>
      </c>
      <c r="V43" s="7">
        <f t="shared" si="11"/>
        <v>-46027</v>
      </c>
      <c r="W43" s="48"/>
      <c r="X43" s="40"/>
      <c r="Y43" s="36"/>
      <c r="Z43" s="36"/>
      <c r="AA43" s="36"/>
      <c r="AB43" s="36"/>
      <c r="AC43" s="36"/>
      <c r="AD43" s="36"/>
      <c r="AE43" s="36"/>
      <c r="AF43" s="36"/>
      <c r="AG43" s="36"/>
      <c r="AH43" s="36"/>
    </row>
    <row r="44" spans="1:34" ht="22.15" hidden="1" customHeight="1">
      <c r="A44"/>
      <c r="B44" s="6" t="s">
        <v>50</v>
      </c>
      <c r="C44" s="15" t="s">
        <v>8</v>
      </c>
      <c r="D44" s="19">
        <v>2368</v>
      </c>
      <c r="E44" s="18"/>
      <c r="F44" s="18"/>
      <c r="G44" s="7" t="str">
        <f t="shared" si="6"/>
        <v/>
      </c>
      <c r="H44" s="7">
        <f t="shared" si="7"/>
        <v>-46027</v>
      </c>
      <c r="I44" s="15" t="s">
        <v>8</v>
      </c>
      <c r="J44" s="19">
        <v>2368</v>
      </c>
      <c r="K44" s="18"/>
      <c r="L44" s="18"/>
      <c r="M44" s="7" t="str">
        <f t="shared" si="8"/>
        <v/>
      </c>
      <c r="N44" s="7">
        <f t="shared" si="9"/>
        <v>-46027</v>
      </c>
      <c r="O44" s="48"/>
      <c r="P44" s="40"/>
      <c r="Q44" s="15" t="s">
        <v>8</v>
      </c>
      <c r="R44" s="19">
        <v>2368</v>
      </c>
      <c r="S44" s="18"/>
      <c r="T44" s="18"/>
      <c r="U44" s="7" t="str">
        <f t="shared" si="10"/>
        <v/>
      </c>
      <c r="V44" s="7">
        <f t="shared" si="11"/>
        <v>-46027</v>
      </c>
      <c r="W44" s="48"/>
      <c r="X44" s="40"/>
      <c r="Y44" s="36"/>
      <c r="Z44" s="36"/>
      <c r="AA44" s="36"/>
      <c r="AB44" s="36"/>
      <c r="AC44" s="36"/>
      <c r="AD44" s="36"/>
      <c r="AE44" s="36"/>
      <c r="AF44" s="36"/>
      <c r="AG44" s="36"/>
      <c r="AH44" s="36"/>
    </row>
    <row r="45" spans="1:34" ht="22.15" hidden="1" customHeight="1">
      <c r="A45"/>
      <c r="B45" s="6" t="s">
        <v>51</v>
      </c>
      <c r="C45" s="15" t="s">
        <v>8</v>
      </c>
      <c r="D45" s="16">
        <v>836</v>
      </c>
      <c r="E45" s="18"/>
      <c r="F45" s="18"/>
      <c r="G45" s="7" t="str">
        <f t="shared" si="6"/>
        <v/>
      </c>
      <c r="H45" s="7">
        <f t="shared" si="7"/>
        <v>-46027</v>
      </c>
      <c r="I45" s="15" t="s">
        <v>8</v>
      </c>
      <c r="J45" s="16">
        <v>836</v>
      </c>
      <c r="K45" s="18"/>
      <c r="L45" s="18"/>
      <c r="M45" s="7" t="str">
        <f t="shared" si="8"/>
        <v/>
      </c>
      <c r="N45" s="7">
        <f t="shared" si="9"/>
        <v>-46027</v>
      </c>
      <c r="O45" s="48"/>
      <c r="P45" s="40"/>
      <c r="Q45" s="15" t="s">
        <v>8</v>
      </c>
      <c r="R45" s="16">
        <v>836</v>
      </c>
      <c r="S45" s="18"/>
      <c r="T45" s="18"/>
      <c r="U45" s="7" t="str">
        <f t="shared" si="10"/>
        <v/>
      </c>
      <c r="V45" s="7">
        <f t="shared" si="11"/>
        <v>-46027</v>
      </c>
      <c r="W45" s="48"/>
      <c r="X45" s="40"/>
      <c r="Y45" s="36"/>
      <c r="Z45" s="36"/>
      <c r="AA45" s="36"/>
      <c r="AB45" s="36"/>
      <c r="AC45" s="36"/>
      <c r="AD45" s="36"/>
      <c r="AE45" s="36"/>
      <c r="AF45" s="36"/>
      <c r="AG45" s="36"/>
      <c r="AH45" s="36"/>
    </row>
    <row r="46" spans="1:34" ht="22.15" hidden="1" customHeight="1">
      <c r="A46"/>
      <c r="B46" s="6" t="s">
        <v>52</v>
      </c>
      <c r="C46" s="15" t="s">
        <v>8</v>
      </c>
      <c r="D46" s="16">
        <v>620</v>
      </c>
      <c r="E46" s="18"/>
      <c r="F46" s="18"/>
      <c r="G46" s="7" t="str">
        <f t="shared" si="6"/>
        <v/>
      </c>
      <c r="H46" s="7">
        <f t="shared" si="7"/>
        <v>-46027</v>
      </c>
      <c r="I46" s="15" t="s">
        <v>8</v>
      </c>
      <c r="J46" s="16">
        <v>620</v>
      </c>
      <c r="K46" s="18"/>
      <c r="L46" s="18"/>
      <c r="M46" s="7" t="str">
        <f t="shared" si="8"/>
        <v/>
      </c>
      <c r="N46" s="7">
        <f t="shared" si="9"/>
        <v>-46027</v>
      </c>
      <c r="O46" s="48"/>
      <c r="P46" s="40"/>
      <c r="Q46" s="15" t="s">
        <v>8</v>
      </c>
      <c r="R46" s="16">
        <v>620</v>
      </c>
      <c r="S46" s="18"/>
      <c r="T46" s="18"/>
      <c r="U46" s="7" t="str">
        <f t="shared" si="10"/>
        <v/>
      </c>
      <c r="V46" s="7">
        <f t="shared" si="11"/>
        <v>-46027</v>
      </c>
      <c r="W46" s="48"/>
      <c r="X46" s="40"/>
      <c r="Y46" s="36"/>
      <c r="Z46" s="36"/>
      <c r="AA46" s="36"/>
      <c r="AB46" s="36"/>
      <c r="AC46" s="36"/>
      <c r="AD46" s="36"/>
      <c r="AE46" s="36"/>
      <c r="AF46" s="36"/>
      <c r="AG46" s="36"/>
      <c r="AH46" s="36"/>
    </row>
    <row r="47" spans="1:34" ht="22.15" hidden="1" customHeight="1">
      <c r="A47"/>
      <c r="B47" s="6" t="s">
        <v>53</v>
      </c>
      <c r="C47" s="15" t="s">
        <v>8</v>
      </c>
      <c r="D47" s="19">
        <v>1484</v>
      </c>
      <c r="E47" s="18"/>
      <c r="F47" s="18"/>
      <c r="G47" s="7" t="str">
        <f t="shared" si="6"/>
        <v/>
      </c>
      <c r="H47" s="7">
        <f t="shared" si="7"/>
        <v>-46027</v>
      </c>
      <c r="I47" s="15" t="s">
        <v>8</v>
      </c>
      <c r="J47" s="19">
        <v>1484</v>
      </c>
      <c r="K47" s="18"/>
      <c r="L47" s="18"/>
      <c r="M47" s="7" t="str">
        <f t="shared" si="8"/>
        <v/>
      </c>
      <c r="N47" s="7">
        <f t="shared" si="9"/>
        <v>-46027</v>
      </c>
      <c r="O47" s="48"/>
      <c r="P47" s="40"/>
      <c r="Q47" s="15" t="s">
        <v>8</v>
      </c>
      <c r="R47" s="19">
        <v>1484</v>
      </c>
      <c r="S47" s="18"/>
      <c r="T47" s="18"/>
      <c r="U47" s="7" t="str">
        <f t="shared" si="10"/>
        <v/>
      </c>
      <c r="V47" s="7">
        <f t="shared" si="11"/>
        <v>-46027</v>
      </c>
      <c r="W47" s="48"/>
      <c r="X47" s="40"/>
      <c r="Y47" s="36"/>
      <c r="Z47" s="36"/>
      <c r="AA47" s="36"/>
      <c r="AB47" s="36"/>
      <c r="AC47" s="36"/>
      <c r="AD47" s="36"/>
      <c r="AE47" s="36"/>
      <c r="AF47" s="36"/>
      <c r="AG47" s="36"/>
      <c r="AH47" s="36"/>
    </row>
    <row r="48" spans="1:34" ht="22.15" hidden="1" customHeight="1">
      <c r="A48"/>
      <c r="B48" s="6" t="s">
        <v>54</v>
      </c>
      <c r="C48" s="15" t="s">
        <v>8</v>
      </c>
      <c r="D48" s="16">
        <v>644</v>
      </c>
      <c r="E48" s="18"/>
      <c r="F48" s="18"/>
      <c r="G48" s="7" t="str">
        <f t="shared" si="6"/>
        <v/>
      </c>
      <c r="H48" s="7">
        <f t="shared" si="7"/>
        <v>-46027</v>
      </c>
      <c r="I48" s="15" t="s">
        <v>8</v>
      </c>
      <c r="J48" s="16">
        <v>644</v>
      </c>
      <c r="K48" s="18"/>
      <c r="L48" s="18"/>
      <c r="M48" s="7" t="str">
        <f t="shared" si="8"/>
        <v/>
      </c>
      <c r="N48" s="7">
        <f t="shared" si="9"/>
        <v>-46027</v>
      </c>
      <c r="O48" s="48"/>
      <c r="P48" s="40"/>
      <c r="Q48" s="15" t="s">
        <v>8</v>
      </c>
      <c r="R48" s="16">
        <v>644</v>
      </c>
      <c r="S48" s="18"/>
      <c r="T48" s="18"/>
      <c r="U48" s="7" t="str">
        <f t="shared" si="10"/>
        <v/>
      </c>
      <c r="V48" s="7">
        <f t="shared" si="11"/>
        <v>-46027</v>
      </c>
      <c r="W48" s="48"/>
      <c r="X48" s="40"/>
      <c r="Y48" s="36"/>
      <c r="Z48" s="36"/>
      <c r="AA48" s="36"/>
      <c r="AB48" s="36"/>
      <c r="AC48" s="36"/>
      <c r="AD48" s="36"/>
      <c r="AE48" s="36"/>
      <c r="AF48" s="36"/>
      <c r="AG48" s="36"/>
      <c r="AH48" s="36"/>
    </row>
    <row r="49" spans="1:34" ht="22.15" hidden="1" customHeight="1">
      <c r="A49"/>
      <c r="B49" s="6" t="s">
        <v>55</v>
      </c>
      <c r="C49" s="15" t="s">
        <v>8</v>
      </c>
      <c r="D49" s="16">
        <v>716</v>
      </c>
      <c r="E49" s="18"/>
      <c r="F49" s="18"/>
      <c r="G49" s="7" t="str">
        <f t="shared" si="6"/>
        <v/>
      </c>
      <c r="H49" s="7">
        <f t="shared" si="7"/>
        <v>-46027</v>
      </c>
      <c r="I49" s="15" t="s">
        <v>8</v>
      </c>
      <c r="J49" s="16">
        <v>716</v>
      </c>
      <c r="K49" s="18"/>
      <c r="L49" s="18"/>
      <c r="M49" s="7" t="str">
        <f t="shared" si="8"/>
        <v/>
      </c>
      <c r="N49" s="7">
        <f t="shared" si="9"/>
        <v>-46027</v>
      </c>
      <c r="O49" s="48"/>
      <c r="P49" s="40"/>
      <c r="Q49" s="15" t="s">
        <v>8</v>
      </c>
      <c r="R49" s="16">
        <v>716</v>
      </c>
      <c r="S49" s="18"/>
      <c r="T49" s="18"/>
      <c r="U49" s="7" t="str">
        <f t="shared" si="10"/>
        <v/>
      </c>
      <c r="V49" s="7">
        <f t="shared" si="11"/>
        <v>-46027</v>
      </c>
      <c r="W49" s="48"/>
      <c r="X49" s="40"/>
      <c r="Y49" s="36"/>
      <c r="Z49" s="36"/>
      <c r="AA49" s="36"/>
      <c r="AB49" s="36"/>
      <c r="AC49" s="36"/>
      <c r="AD49" s="36"/>
      <c r="AE49" s="36"/>
      <c r="AF49" s="36"/>
      <c r="AG49" s="36"/>
      <c r="AH49" s="36"/>
    </row>
    <row r="50" spans="1:34" ht="22.15" hidden="1" customHeight="1">
      <c r="A50"/>
      <c r="B50" s="6" t="s">
        <v>56</v>
      </c>
      <c r="C50" s="15" t="s">
        <v>8</v>
      </c>
      <c r="D50" s="16">
        <v>500</v>
      </c>
      <c r="E50" s="18"/>
      <c r="F50" s="18"/>
      <c r="G50" s="7" t="str">
        <f t="shared" si="6"/>
        <v/>
      </c>
      <c r="H50" s="7">
        <f t="shared" si="7"/>
        <v>-46027</v>
      </c>
      <c r="I50" s="15" t="s">
        <v>8</v>
      </c>
      <c r="J50" s="16">
        <v>500</v>
      </c>
      <c r="K50" s="18"/>
      <c r="L50" s="18"/>
      <c r="M50" s="7" t="str">
        <f t="shared" si="8"/>
        <v/>
      </c>
      <c r="N50" s="7">
        <f t="shared" si="9"/>
        <v>-46027</v>
      </c>
      <c r="O50" s="48"/>
      <c r="P50" s="40"/>
      <c r="Q50" s="15" t="s">
        <v>8</v>
      </c>
      <c r="R50" s="16">
        <v>500</v>
      </c>
      <c r="S50" s="18"/>
      <c r="T50" s="18"/>
      <c r="U50" s="7" t="str">
        <f t="shared" si="10"/>
        <v/>
      </c>
      <c r="V50" s="7">
        <f t="shared" si="11"/>
        <v>-46027</v>
      </c>
      <c r="W50" s="48"/>
      <c r="X50" s="40"/>
      <c r="Y50" s="36"/>
      <c r="Z50" s="36"/>
      <c r="AA50" s="36"/>
      <c r="AB50" s="36"/>
      <c r="AC50" s="36"/>
      <c r="AD50" s="36"/>
      <c r="AE50" s="36"/>
      <c r="AF50" s="36"/>
      <c r="AG50" s="36"/>
      <c r="AH50" s="36"/>
    </row>
    <row r="51" spans="1:34" ht="22.15" hidden="1" customHeight="1">
      <c r="A51"/>
      <c r="B51" s="6" t="s">
        <v>57</v>
      </c>
      <c r="C51" s="15" t="s">
        <v>8</v>
      </c>
      <c r="D51" s="16">
        <v>956</v>
      </c>
      <c r="E51" s="18"/>
      <c r="F51" s="18"/>
      <c r="G51" s="7" t="str">
        <f t="shared" si="6"/>
        <v/>
      </c>
      <c r="H51" s="7">
        <f t="shared" si="7"/>
        <v>-46027</v>
      </c>
      <c r="I51" s="15" t="s">
        <v>8</v>
      </c>
      <c r="J51" s="16">
        <v>956</v>
      </c>
      <c r="K51" s="18"/>
      <c r="L51" s="18"/>
      <c r="M51" s="7" t="str">
        <f t="shared" si="8"/>
        <v/>
      </c>
      <c r="N51" s="7">
        <f t="shared" si="9"/>
        <v>-46027</v>
      </c>
      <c r="O51" s="48"/>
      <c r="P51" s="40"/>
      <c r="Q51" s="15" t="s">
        <v>8</v>
      </c>
      <c r="R51" s="16">
        <v>956</v>
      </c>
      <c r="S51" s="18"/>
      <c r="T51" s="18"/>
      <c r="U51" s="7" t="str">
        <f t="shared" si="10"/>
        <v/>
      </c>
      <c r="V51" s="7">
        <f t="shared" si="11"/>
        <v>-46027</v>
      </c>
      <c r="W51" s="48"/>
      <c r="X51" s="40"/>
      <c r="Y51" s="36"/>
      <c r="Z51" s="36"/>
      <c r="AA51" s="36"/>
      <c r="AB51" s="36"/>
      <c r="AC51" s="36"/>
      <c r="AD51" s="36"/>
      <c r="AE51" s="36"/>
      <c r="AF51" s="36"/>
      <c r="AG51" s="36"/>
      <c r="AH51" s="36"/>
    </row>
    <row r="52" spans="1:34" ht="22.15" hidden="1" customHeight="1">
      <c r="A52"/>
      <c r="B52" s="6" t="s">
        <v>58</v>
      </c>
      <c r="C52" s="15" t="s">
        <v>8</v>
      </c>
      <c r="D52" s="19">
        <v>2012</v>
      </c>
      <c r="E52" s="18"/>
      <c r="F52" s="18"/>
      <c r="G52" s="7" t="str">
        <f t="shared" si="6"/>
        <v/>
      </c>
      <c r="H52" s="7">
        <f t="shared" si="7"/>
        <v>-46027</v>
      </c>
      <c r="I52" s="15" t="s">
        <v>8</v>
      </c>
      <c r="J52" s="19">
        <v>2012</v>
      </c>
      <c r="K52" s="18"/>
      <c r="L52" s="18"/>
      <c r="M52" s="7" t="str">
        <f t="shared" si="8"/>
        <v/>
      </c>
      <c r="N52" s="7">
        <f t="shared" si="9"/>
        <v>-46027</v>
      </c>
      <c r="O52" s="48"/>
      <c r="P52" s="40"/>
      <c r="Q52" s="15" t="s">
        <v>8</v>
      </c>
      <c r="R52" s="19">
        <v>2012</v>
      </c>
      <c r="S52" s="18"/>
      <c r="T52" s="18"/>
      <c r="U52" s="7" t="str">
        <f t="shared" si="10"/>
        <v/>
      </c>
      <c r="V52" s="7">
        <f t="shared" si="11"/>
        <v>-46027</v>
      </c>
      <c r="W52" s="48"/>
      <c r="X52" s="40"/>
      <c r="Y52" s="36"/>
      <c r="Z52" s="36"/>
      <c r="AA52" s="36"/>
      <c r="AB52" s="36"/>
      <c r="AC52" s="36"/>
      <c r="AD52" s="36"/>
      <c r="AE52" s="36"/>
      <c r="AF52" s="36"/>
      <c r="AG52" s="36"/>
      <c r="AH52" s="36"/>
    </row>
    <row r="53" spans="1:34" ht="22.15" hidden="1" customHeight="1">
      <c r="A53"/>
      <c r="B53" s="6" t="s">
        <v>59</v>
      </c>
      <c r="C53" s="15" t="s">
        <v>8</v>
      </c>
      <c r="D53" s="16">
        <v>740</v>
      </c>
      <c r="E53" s="18"/>
      <c r="F53" s="18"/>
      <c r="G53" s="7" t="str">
        <f t="shared" si="6"/>
        <v/>
      </c>
      <c r="H53" s="7">
        <f t="shared" si="7"/>
        <v>-46027</v>
      </c>
      <c r="I53" s="15" t="s">
        <v>8</v>
      </c>
      <c r="J53" s="16">
        <v>740</v>
      </c>
      <c r="K53" s="18"/>
      <c r="L53" s="18"/>
      <c r="M53" s="7" t="str">
        <f t="shared" si="8"/>
        <v/>
      </c>
      <c r="N53" s="7">
        <f t="shared" si="9"/>
        <v>-46027</v>
      </c>
      <c r="O53" s="48"/>
      <c r="P53" s="40"/>
      <c r="Q53" s="15" t="s">
        <v>8</v>
      </c>
      <c r="R53" s="16">
        <v>740</v>
      </c>
      <c r="S53" s="18"/>
      <c r="T53" s="18"/>
      <c r="U53" s="7" t="str">
        <f t="shared" si="10"/>
        <v/>
      </c>
      <c r="V53" s="7">
        <f t="shared" si="11"/>
        <v>-46027</v>
      </c>
      <c r="W53" s="48"/>
      <c r="X53" s="40"/>
      <c r="Y53" s="36"/>
      <c r="Z53" s="36"/>
      <c r="AA53" s="36"/>
      <c r="AB53" s="36"/>
      <c r="AC53" s="36"/>
      <c r="AD53" s="36"/>
      <c r="AE53" s="36"/>
      <c r="AF53" s="36"/>
      <c r="AG53" s="36"/>
      <c r="AH53" s="36"/>
    </row>
    <row r="54" spans="1:34" ht="22.15" hidden="1" customHeight="1">
      <c r="A54"/>
      <c r="B54" s="6" t="s">
        <v>60</v>
      </c>
      <c r="C54" s="15" t="s">
        <v>8</v>
      </c>
      <c r="D54" s="16">
        <v>92</v>
      </c>
      <c r="E54" s="18"/>
      <c r="F54" s="18"/>
      <c r="G54" s="7" t="str">
        <f t="shared" si="6"/>
        <v/>
      </c>
      <c r="H54" s="7">
        <f t="shared" si="7"/>
        <v>-46027</v>
      </c>
      <c r="I54" s="15" t="s">
        <v>8</v>
      </c>
      <c r="J54" s="16">
        <v>92</v>
      </c>
      <c r="K54" s="18"/>
      <c r="L54" s="18"/>
      <c r="M54" s="7" t="str">
        <f t="shared" si="8"/>
        <v/>
      </c>
      <c r="N54" s="7">
        <f t="shared" si="9"/>
        <v>-46027</v>
      </c>
      <c r="O54" s="48"/>
      <c r="P54" s="40"/>
      <c r="Q54" s="15" t="s">
        <v>8</v>
      </c>
      <c r="R54" s="16">
        <v>92</v>
      </c>
      <c r="S54" s="18"/>
      <c r="T54" s="18"/>
      <c r="U54" s="7" t="str">
        <f t="shared" si="10"/>
        <v/>
      </c>
      <c r="V54" s="7">
        <f t="shared" si="11"/>
        <v>-46027</v>
      </c>
      <c r="W54" s="48"/>
      <c r="X54" s="40"/>
      <c r="Y54" s="36"/>
      <c r="Z54" s="36"/>
      <c r="AA54" s="36"/>
      <c r="AB54" s="36"/>
      <c r="AC54" s="36"/>
      <c r="AD54" s="36"/>
      <c r="AE54" s="36"/>
      <c r="AF54" s="36"/>
      <c r="AG54" s="36"/>
      <c r="AH54" s="36"/>
    </row>
    <row r="55" spans="1:34" ht="22.15" hidden="1" customHeight="1">
      <c r="A55"/>
      <c r="B55" s="6" t="s">
        <v>61</v>
      </c>
      <c r="C55" s="15" t="s">
        <v>8</v>
      </c>
      <c r="D55" s="16">
        <v>636</v>
      </c>
      <c r="E55" s="18"/>
      <c r="F55" s="18"/>
      <c r="G55" s="7" t="str">
        <f t="shared" si="6"/>
        <v/>
      </c>
      <c r="H55" s="7">
        <f t="shared" si="7"/>
        <v>-46027</v>
      </c>
      <c r="I55" s="15" t="s">
        <v>8</v>
      </c>
      <c r="J55" s="16">
        <v>636</v>
      </c>
      <c r="K55" s="18"/>
      <c r="L55" s="18"/>
      <c r="M55" s="7" t="str">
        <f t="shared" si="8"/>
        <v/>
      </c>
      <c r="N55" s="7">
        <f t="shared" si="9"/>
        <v>-46027</v>
      </c>
      <c r="O55" s="48"/>
      <c r="P55" s="40"/>
      <c r="Q55" s="15" t="s">
        <v>8</v>
      </c>
      <c r="R55" s="16">
        <v>636</v>
      </c>
      <c r="S55" s="18"/>
      <c r="T55" s="18"/>
      <c r="U55" s="7" t="str">
        <f t="shared" si="10"/>
        <v/>
      </c>
      <c r="V55" s="7">
        <f t="shared" si="11"/>
        <v>-46027</v>
      </c>
      <c r="W55" s="48"/>
      <c r="X55" s="40"/>
      <c r="Y55" s="36"/>
      <c r="Z55" s="36"/>
      <c r="AA55" s="36"/>
      <c r="AB55" s="36"/>
      <c r="AC55" s="36"/>
      <c r="AD55" s="36"/>
      <c r="AE55" s="36"/>
      <c r="AF55" s="36"/>
      <c r="AG55" s="36"/>
      <c r="AH55" s="36"/>
    </row>
    <row r="56" spans="1:34" ht="22.15" hidden="1" customHeight="1">
      <c r="A56"/>
      <c r="B56" s="6" t="s">
        <v>62</v>
      </c>
      <c r="C56" s="15" t="s">
        <v>8</v>
      </c>
      <c r="D56" s="16">
        <v>636</v>
      </c>
      <c r="E56" s="18"/>
      <c r="F56" s="18"/>
      <c r="G56" s="7" t="str">
        <f t="shared" si="6"/>
        <v/>
      </c>
      <c r="H56" s="7">
        <f t="shared" si="7"/>
        <v>-46027</v>
      </c>
      <c r="I56" s="15" t="s">
        <v>8</v>
      </c>
      <c r="J56" s="16">
        <v>636</v>
      </c>
      <c r="K56" s="18"/>
      <c r="L56" s="18"/>
      <c r="M56" s="7" t="str">
        <f t="shared" si="8"/>
        <v/>
      </c>
      <c r="N56" s="7">
        <f t="shared" si="9"/>
        <v>-46027</v>
      </c>
      <c r="O56" s="48"/>
      <c r="P56" s="40"/>
      <c r="Q56" s="15" t="s">
        <v>8</v>
      </c>
      <c r="R56" s="16">
        <v>636</v>
      </c>
      <c r="S56" s="18"/>
      <c r="T56" s="18"/>
      <c r="U56" s="7" t="str">
        <f t="shared" si="10"/>
        <v/>
      </c>
      <c r="V56" s="7">
        <f t="shared" si="11"/>
        <v>-46027</v>
      </c>
      <c r="W56" s="48"/>
      <c r="X56" s="40"/>
      <c r="Y56" s="36"/>
      <c r="Z56" s="36"/>
      <c r="AA56" s="36"/>
      <c r="AB56" s="36"/>
      <c r="AC56" s="36"/>
      <c r="AD56" s="36"/>
      <c r="AE56" s="36"/>
      <c r="AF56" s="36"/>
      <c r="AG56" s="36"/>
      <c r="AH56" s="36"/>
    </row>
    <row r="57" spans="1:34" ht="22.15" hidden="1" customHeight="1">
      <c r="A57"/>
      <c r="B57" s="6" t="s">
        <v>63</v>
      </c>
      <c r="C57" s="15" t="s">
        <v>8</v>
      </c>
      <c r="D57" s="16">
        <v>620</v>
      </c>
      <c r="E57" s="18"/>
      <c r="F57" s="18"/>
      <c r="G57" s="7" t="str">
        <f t="shared" si="6"/>
        <v/>
      </c>
      <c r="H57" s="7">
        <f t="shared" si="7"/>
        <v>-46027</v>
      </c>
      <c r="I57" s="15" t="s">
        <v>8</v>
      </c>
      <c r="J57" s="16">
        <v>620</v>
      </c>
      <c r="K57" s="18"/>
      <c r="L57" s="18"/>
      <c r="M57" s="7" t="str">
        <f t="shared" si="8"/>
        <v/>
      </c>
      <c r="N57" s="7">
        <f t="shared" si="9"/>
        <v>-46027</v>
      </c>
      <c r="O57" s="48"/>
      <c r="P57" s="40"/>
      <c r="Q57" s="15" t="s">
        <v>8</v>
      </c>
      <c r="R57" s="16">
        <v>620</v>
      </c>
      <c r="S57" s="18"/>
      <c r="T57" s="18"/>
      <c r="U57" s="7" t="str">
        <f t="shared" si="10"/>
        <v/>
      </c>
      <c r="V57" s="7">
        <f t="shared" si="11"/>
        <v>-46027</v>
      </c>
      <c r="W57" s="48"/>
      <c r="X57" s="40"/>
      <c r="Y57" s="36"/>
      <c r="Z57" s="36"/>
      <c r="AA57" s="36"/>
      <c r="AB57" s="36"/>
      <c r="AC57" s="36"/>
      <c r="AD57" s="36"/>
      <c r="AE57" s="36"/>
      <c r="AF57" s="36"/>
      <c r="AG57" s="36"/>
      <c r="AH57" s="36"/>
    </row>
    <row r="58" spans="1:34" ht="22.15" hidden="1" customHeight="1">
      <c r="A58"/>
      <c r="B58" s="6" t="s">
        <v>64</v>
      </c>
      <c r="C58" s="15" t="s">
        <v>8</v>
      </c>
      <c r="D58" s="16">
        <v>636</v>
      </c>
      <c r="E58" s="18"/>
      <c r="F58" s="18"/>
      <c r="G58" s="7" t="str">
        <f t="shared" si="6"/>
        <v/>
      </c>
      <c r="H58" s="7">
        <f t="shared" si="7"/>
        <v>-46027</v>
      </c>
      <c r="I58" s="15" t="s">
        <v>8</v>
      </c>
      <c r="J58" s="16">
        <v>636</v>
      </c>
      <c r="K58" s="18"/>
      <c r="L58" s="18"/>
      <c r="M58" s="7" t="str">
        <f t="shared" si="8"/>
        <v/>
      </c>
      <c r="N58" s="7">
        <f t="shared" si="9"/>
        <v>-46027</v>
      </c>
      <c r="O58" s="48"/>
      <c r="P58" s="40"/>
      <c r="Q58" s="15" t="s">
        <v>8</v>
      </c>
      <c r="R58" s="16">
        <v>636</v>
      </c>
      <c r="S58" s="18"/>
      <c r="T58" s="18"/>
      <c r="U58" s="7" t="str">
        <f t="shared" si="10"/>
        <v/>
      </c>
      <c r="V58" s="7">
        <f t="shared" si="11"/>
        <v>-46027</v>
      </c>
      <c r="W58" s="48"/>
      <c r="X58" s="40"/>
      <c r="Y58" s="36"/>
      <c r="Z58" s="36"/>
      <c r="AA58" s="36"/>
      <c r="AB58" s="36"/>
      <c r="AC58" s="36"/>
      <c r="AD58" s="36"/>
      <c r="AE58" s="36"/>
      <c r="AF58" s="36"/>
      <c r="AG58" s="36"/>
      <c r="AH58" s="36"/>
    </row>
    <row r="59" spans="1:34" ht="22.15" hidden="1" customHeight="1">
      <c r="A59"/>
      <c r="B59" s="6" t="s">
        <v>65</v>
      </c>
      <c r="C59" s="15" t="s">
        <v>8</v>
      </c>
      <c r="D59" s="19">
        <v>3844</v>
      </c>
      <c r="E59" s="18"/>
      <c r="F59" s="18"/>
      <c r="G59" s="7" t="str">
        <f t="shared" si="6"/>
        <v/>
      </c>
      <c r="H59" s="7">
        <f t="shared" si="7"/>
        <v>-46027</v>
      </c>
      <c r="I59" s="15" t="s">
        <v>8</v>
      </c>
      <c r="J59" s="19">
        <v>3844</v>
      </c>
      <c r="K59" s="18"/>
      <c r="L59" s="18"/>
      <c r="M59" s="7" t="str">
        <f t="shared" si="8"/>
        <v/>
      </c>
      <c r="N59" s="7">
        <f t="shared" si="9"/>
        <v>-46027</v>
      </c>
      <c r="O59" s="48"/>
      <c r="P59" s="40"/>
      <c r="Q59" s="15" t="s">
        <v>8</v>
      </c>
      <c r="R59" s="19">
        <v>3844</v>
      </c>
      <c r="S59" s="18"/>
      <c r="T59" s="18"/>
      <c r="U59" s="7" t="str">
        <f t="shared" si="10"/>
        <v/>
      </c>
      <c r="V59" s="7">
        <f t="shared" si="11"/>
        <v>-46027</v>
      </c>
      <c r="W59" s="48"/>
      <c r="X59" s="40"/>
      <c r="Y59" s="36"/>
      <c r="Z59" s="36"/>
      <c r="AA59" s="36"/>
      <c r="AB59" s="36"/>
      <c r="AC59" s="36"/>
      <c r="AD59" s="36"/>
      <c r="AE59" s="36"/>
      <c r="AF59" s="36"/>
      <c r="AG59" s="36"/>
      <c r="AH59" s="36"/>
    </row>
    <row r="60" spans="1:34" ht="22.15" hidden="1" customHeight="1">
      <c r="A60"/>
      <c r="B60" s="6" t="s">
        <v>66</v>
      </c>
      <c r="C60" s="15" t="s">
        <v>8</v>
      </c>
      <c r="D60" s="19">
        <v>3244</v>
      </c>
      <c r="E60" s="18"/>
      <c r="F60" s="18"/>
      <c r="G60" s="7" t="str">
        <f t="shared" si="6"/>
        <v/>
      </c>
      <c r="H60" s="7">
        <f t="shared" si="7"/>
        <v>-46027</v>
      </c>
      <c r="I60" s="15" t="s">
        <v>8</v>
      </c>
      <c r="J60" s="19">
        <v>3244</v>
      </c>
      <c r="K60" s="18"/>
      <c r="L60" s="18"/>
      <c r="M60" s="7" t="str">
        <f t="shared" si="8"/>
        <v/>
      </c>
      <c r="N60" s="7">
        <f t="shared" si="9"/>
        <v>-46027</v>
      </c>
      <c r="O60" s="48"/>
      <c r="P60" s="40"/>
      <c r="Q60" s="15" t="s">
        <v>8</v>
      </c>
      <c r="R60" s="19">
        <v>3244</v>
      </c>
      <c r="S60" s="18"/>
      <c r="T60" s="18"/>
      <c r="U60" s="7" t="str">
        <f t="shared" si="10"/>
        <v/>
      </c>
      <c r="V60" s="7">
        <f t="shared" si="11"/>
        <v>-46027</v>
      </c>
      <c r="W60" s="48"/>
      <c r="X60" s="40"/>
      <c r="Y60" s="36"/>
      <c r="Z60" s="36"/>
      <c r="AA60" s="36"/>
      <c r="AB60" s="36"/>
      <c r="AC60" s="36"/>
      <c r="AD60" s="36"/>
      <c r="AE60" s="36"/>
      <c r="AF60" s="36"/>
      <c r="AG60" s="36"/>
      <c r="AH60" s="36"/>
    </row>
    <row r="61" spans="1:34" ht="22.15" hidden="1" customHeight="1">
      <c r="A61"/>
      <c r="B61" s="6" t="s">
        <v>67</v>
      </c>
      <c r="C61" s="15" t="s">
        <v>8</v>
      </c>
      <c r="D61" s="19">
        <v>3244</v>
      </c>
      <c r="E61" s="18"/>
      <c r="F61" s="18"/>
      <c r="G61" s="7" t="str">
        <f t="shared" si="6"/>
        <v/>
      </c>
      <c r="H61" s="7">
        <f t="shared" si="7"/>
        <v>-46027</v>
      </c>
      <c r="I61" s="15" t="s">
        <v>8</v>
      </c>
      <c r="J61" s="19">
        <v>3244</v>
      </c>
      <c r="K61" s="18"/>
      <c r="L61" s="18"/>
      <c r="M61" s="7" t="str">
        <f t="shared" si="8"/>
        <v/>
      </c>
      <c r="N61" s="7">
        <f t="shared" si="9"/>
        <v>-46027</v>
      </c>
      <c r="O61" s="48"/>
      <c r="P61" s="40"/>
      <c r="Q61" s="15" t="s">
        <v>8</v>
      </c>
      <c r="R61" s="19">
        <v>3244</v>
      </c>
      <c r="S61" s="18"/>
      <c r="T61" s="18"/>
      <c r="U61" s="7" t="str">
        <f t="shared" si="10"/>
        <v/>
      </c>
      <c r="V61" s="7">
        <f t="shared" si="11"/>
        <v>-46027</v>
      </c>
      <c r="W61" s="48"/>
      <c r="X61" s="40"/>
      <c r="Y61" s="36"/>
      <c r="Z61" s="36"/>
      <c r="AA61" s="36"/>
      <c r="AB61" s="36"/>
      <c r="AC61" s="36"/>
      <c r="AD61" s="36"/>
      <c r="AE61" s="36"/>
      <c r="AF61" s="36"/>
      <c r="AG61" s="36"/>
      <c r="AH61" s="36"/>
    </row>
    <row r="62" spans="1:34" ht="22.15" hidden="1" customHeight="1">
      <c r="A62"/>
      <c r="B62" s="6" t="s">
        <v>68</v>
      </c>
      <c r="C62" s="15" t="s">
        <v>8</v>
      </c>
      <c r="D62" s="19">
        <v>3268</v>
      </c>
      <c r="E62" s="18"/>
      <c r="F62" s="18"/>
      <c r="G62" s="7" t="str">
        <f t="shared" si="6"/>
        <v/>
      </c>
      <c r="H62" s="7">
        <f t="shared" si="7"/>
        <v>-46027</v>
      </c>
      <c r="I62" s="15" t="s">
        <v>8</v>
      </c>
      <c r="J62" s="19">
        <v>3268</v>
      </c>
      <c r="K62" s="18"/>
      <c r="L62" s="18"/>
      <c r="M62" s="7" t="str">
        <f t="shared" si="8"/>
        <v/>
      </c>
      <c r="N62" s="7">
        <f t="shared" si="9"/>
        <v>-46027</v>
      </c>
      <c r="O62" s="48"/>
      <c r="P62" s="40"/>
      <c r="Q62" s="15" t="s">
        <v>8</v>
      </c>
      <c r="R62" s="19">
        <v>3268</v>
      </c>
      <c r="S62" s="18"/>
      <c r="T62" s="18"/>
      <c r="U62" s="7" t="str">
        <f t="shared" si="10"/>
        <v/>
      </c>
      <c r="V62" s="7">
        <f t="shared" si="11"/>
        <v>-46027</v>
      </c>
      <c r="W62" s="48"/>
      <c r="X62" s="40"/>
      <c r="Y62" s="36"/>
      <c r="Z62" s="36"/>
      <c r="AA62" s="36"/>
      <c r="AB62" s="36"/>
      <c r="AC62" s="36"/>
      <c r="AD62" s="36"/>
      <c r="AE62" s="36"/>
      <c r="AF62" s="36"/>
      <c r="AG62" s="36"/>
      <c r="AH62" s="36"/>
    </row>
    <row r="63" spans="1:34" ht="22.15" hidden="1" customHeight="1">
      <c r="A63"/>
      <c r="B63" s="6" t="s">
        <v>69</v>
      </c>
      <c r="C63" s="15" t="s">
        <v>8</v>
      </c>
      <c r="D63" s="19">
        <v>1608</v>
      </c>
      <c r="E63" s="18"/>
      <c r="F63" s="18"/>
      <c r="G63" s="7" t="str">
        <f t="shared" si="6"/>
        <v/>
      </c>
      <c r="H63" s="7">
        <f t="shared" si="7"/>
        <v>-46027</v>
      </c>
      <c r="I63" s="15" t="s">
        <v>8</v>
      </c>
      <c r="J63" s="19">
        <v>1608</v>
      </c>
      <c r="K63" s="18"/>
      <c r="L63" s="18"/>
      <c r="M63" s="7" t="str">
        <f t="shared" si="8"/>
        <v/>
      </c>
      <c r="N63" s="7">
        <f t="shared" si="9"/>
        <v>-46027</v>
      </c>
      <c r="O63" s="48"/>
      <c r="P63" s="40"/>
      <c r="Q63" s="15" t="s">
        <v>8</v>
      </c>
      <c r="R63" s="19">
        <v>1608</v>
      </c>
      <c r="S63" s="18"/>
      <c r="T63" s="18"/>
      <c r="U63" s="7" t="str">
        <f t="shared" si="10"/>
        <v/>
      </c>
      <c r="V63" s="7">
        <f t="shared" si="11"/>
        <v>-46027</v>
      </c>
      <c r="W63" s="48"/>
      <c r="X63" s="40"/>
      <c r="Y63" s="36"/>
      <c r="Z63" s="36"/>
      <c r="AA63" s="36"/>
      <c r="AB63" s="36"/>
      <c r="AC63" s="36"/>
      <c r="AD63" s="36"/>
      <c r="AE63" s="36"/>
      <c r="AF63" s="36"/>
      <c r="AG63" s="36"/>
      <c r="AH63" s="36"/>
    </row>
    <row r="64" spans="1:34" ht="22.15" hidden="1" customHeight="1">
      <c r="A64"/>
      <c r="B64" s="6" t="s">
        <v>70</v>
      </c>
      <c r="C64" s="15" t="s">
        <v>8</v>
      </c>
      <c r="D64" s="19">
        <v>1284</v>
      </c>
      <c r="E64" s="18"/>
      <c r="F64" s="18"/>
      <c r="G64" s="7" t="str">
        <f t="shared" si="6"/>
        <v/>
      </c>
      <c r="H64" s="7">
        <f t="shared" si="7"/>
        <v>-46027</v>
      </c>
      <c r="I64" s="15" t="s">
        <v>8</v>
      </c>
      <c r="J64" s="19">
        <v>1284</v>
      </c>
      <c r="K64" s="18"/>
      <c r="L64" s="18"/>
      <c r="M64" s="7" t="str">
        <f t="shared" si="8"/>
        <v/>
      </c>
      <c r="N64" s="7">
        <f t="shared" si="9"/>
        <v>-46027</v>
      </c>
      <c r="O64" s="48"/>
      <c r="P64" s="40"/>
      <c r="Q64" s="15" t="s">
        <v>8</v>
      </c>
      <c r="R64" s="19">
        <v>1284</v>
      </c>
      <c r="S64" s="18"/>
      <c r="T64" s="18"/>
      <c r="U64" s="7" t="str">
        <f t="shared" si="10"/>
        <v/>
      </c>
      <c r="V64" s="7">
        <f t="shared" si="11"/>
        <v>-46027</v>
      </c>
      <c r="W64" s="48"/>
      <c r="X64" s="40"/>
      <c r="Y64" s="36"/>
      <c r="Z64" s="36"/>
      <c r="AA64" s="36"/>
      <c r="AB64" s="36"/>
      <c r="AC64" s="36"/>
      <c r="AD64" s="36"/>
      <c r="AE64" s="36"/>
      <c r="AF64" s="36"/>
      <c r="AG64" s="36"/>
      <c r="AH64" s="36"/>
    </row>
    <row r="65" spans="1:34" ht="22.15" hidden="1" customHeight="1">
      <c r="A65"/>
      <c r="B65" s="6" t="s">
        <v>71</v>
      </c>
      <c r="C65" s="15" t="s">
        <v>8</v>
      </c>
      <c r="D65" s="19">
        <v>1266</v>
      </c>
      <c r="E65" s="18"/>
      <c r="F65" s="18"/>
      <c r="G65" s="7" t="str">
        <f t="shared" si="6"/>
        <v/>
      </c>
      <c r="H65" s="7">
        <f t="shared" si="7"/>
        <v>-46027</v>
      </c>
      <c r="I65" s="15" t="s">
        <v>8</v>
      </c>
      <c r="J65" s="19">
        <v>1266</v>
      </c>
      <c r="K65" s="18"/>
      <c r="L65" s="18"/>
      <c r="M65" s="7" t="str">
        <f t="shared" si="8"/>
        <v/>
      </c>
      <c r="N65" s="7">
        <f t="shared" si="9"/>
        <v>-46027</v>
      </c>
      <c r="O65" s="48"/>
      <c r="P65" s="40"/>
      <c r="Q65" s="15" t="s">
        <v>8</v>
      </c>
      <c r="R65" s="19">
        <v>1266</v>
      </c>
      <c r="S65" s="18"/>
      <c r="T65" s="18"/>
      <c r="U65" s="7" t="str">
        <f t="shared" si="10"/>
        <v/>
      </c>
      <c r="V65" s="7">
        <f t="shared" si="11"/>
        <v>-46027</v>
      </c>
      <c r="W65" s="48"/>
      <c r="X65" s="40"/>
      <c r="Y65" s="36"/>
      <c r="Z65" s="36"/>
      <c r="AA65" s="36"/>
      <c r="AB65" s="36"/>
      <c r="AC65" s="36"/>
      <c r="AD65" s="36"/>
      <c r="AE65" s="36"/>
      <c r="AF65" s="36"/>
      <c r="AG65" s="36"/>
      <c r="AH65" s="36"/>
    </row>
    <row r="66" spans="1:34" ht="22.15" hidden="1" customHeight="1">
      <c r="A66"/>
      <c r="B66" s="6" t="s">
        <v>72</v>
      </c>
      <c r="C66" s="15" t="s">
        <v>8</v>
      </c>
      <c r="D66" s="19">
        <v>1278</v>
      </c>
      <c r="E66" s="18"/>
      <c r="F66" s="18"/>
      <c r="G66" s="7" t="str">
        <f t="shared" si="6"/>
        <v/>
      </c>
      <c r="H66" s="7">
        <f t="shared" si="7"/>
        <v>-46027</v>
      </c>
      <c r="I66" s="15" t="s">
        <v>8</v>
      </c>
      <c r="J66" s="19">
        <v>1278</v>
      </c>
      <c r="K66" s="18"/>
      <c r="L66" s="18"/>
      <c r="M66" s="7" t="str">
        <f t="shared" si="8"/>
        <v/>
      </c>
      <c r="N66" s="7">
        <f t="shared" si="9"/>
        <v>-46027</v>
      </c>
      <c r="O66" s="48"/>
      <c r="P66" s="40"/>
      <c r="Q66" s="15" t="s">
        <v>8</v>
      </c>
      <c r="R66" s="19">
        <v>1278</v>
      </c>
      <c r="S66" s="18"/>
      <c r="T66" s="18"/>
      <c r="U66" s="7" t="str">
        <f t="shared" si="10"/>
        <v/>
      </c>
      <c r="V66" s="7">
        <f t="shared" si="11"/>
        <v>-46027</v>
      </c>
      <c r="W66" s="48"/>
      <c r="X66" s="40"/>
      <c r="Y66" s="36"/>
      <c r="Z66" s="36"/>
      <c r="AA66" s="36"/>
      <c r="AB66" s="36"/>
      <c r="AC66" s="36"/>
      <c r="AD66" s="36"/>
      <c r="AE66" s="36"/>
      <c r="AF66" s="36"/>
      <c r="AG66" s="36"/>
      <c r="AH66" s="36"/>
    </row>
    <row r="67" spans="1:34" ht="22.15" hidden="1" customHeight="1">
      <c r="A67"/>
      <c r="B67" s="6" t="s">
        <v>73</v>
      </c>
      <c r="C67" s="15" t="s">
        <v>8</v>
      </c>
      <c r="D67" s="16">
        <v>300</v>
      </c>
      <c r="E67" s="18"/>
      <c r="F67" s="18"/>
      <c r="G67" s="7" t="str">
        <f t="shared" si="6"/>
        <v/>
      </c>
      <c r="H67" s="7">
        <f t="shared" si="7"/>
        <v>-46027</v>
      </c>
      <c r="I67" s="15" t="s">
        <v>8</v>
      </c>
      <c r="J67" s="16">
        <v>300</v>
      </c>
      <c r="K67" s="18"/>
      <c r="L67" s="18"/>
      <c r="M67" s="7" t="str">
        <f t="shared" si="8"/>
        <v/>
      </c>
      <c r="N67" s="7">
        <f t="shared" si="9"/>
        <v>-46027</v>
      </c>
      <c r="O67" s="48"/>
      <c r="P67" s="40"/>
      <c r="Q67" s="15" t="s">
        <v>8</v>
      </c>
      <c r="R67" s="16">
        <v>300</v>
      </c>
      <c r="S67" s="18"/>
      <c r="T67" s="18"/>
      <c r="U67" s="7" t="str">
        <f t="shared" si="10"/>
        <v/>
      </c>
      <c r="V67" s="7">
        <f t="shared" si="11"/>
        <v>-46027</v>
      </c>
      <c r="W67" s="48"/>
      <c r="X67" s="40"/>
      <c r="Y67" s="36"/>
      <c r="Z67" s="36"/>
      <c r="AA67" s="36"/>
      <c r="AB67" s="36"/>
      <c r="AC67" s="36"/>
      <c r="AD67" s="36"/>
      <c r="AE67" s="36"/>
      <c r="AF67" s="36"/>
      <c r="AG67" s="36"/>
      <c r="AH67" s="36"/>
    </row>
    <row r="68" spans="1:34" ht="22.15" hidden="1" customHeight="1">
      <c r="A68"/>
      <c r="B68" s="6" t="s">
        <v>74</v>
      </c>
      <c r="C68" s="15" t="s">
        <v>8</v>
      </c>
      <c r="D68" s="16">
        <v>306</v>
      </c>
      <c r="E68" s="18"/>
      <c r="F68" s="18"/>
      <c r="G68" s="7" t="str">
        <f t="shared" si="6"/>
        <v/>
      </c>
      <c r="H68" s="7">
        <f t="shared" si="7"/>
        <v>-46027</v>
      </c>
      <c r="I68" s="15" t="s">
        <v>8</v>
      </c>
      <c r="J68" s="16">
        <v>306</v>
      </c>
      <c r="K68" s="18"/>
      <c r="L68" s="18"/>
      <c r="M68" s="7" t="str">
        <f t="shared" si="8"/>
        <v/>
      </c>
      <c r="N68" s="7">
        <f t="shared" si="9"/>
        <v>-46027</v>
      </c>
      <c r="O68" s="48"/>
      <c r="P68" s="40"/>
      <c r="Q68" s="15" t="s">
        <v>8</v>
      </c>
      <c r="R68" s="16">
        <v>306</v>
      </c>
      <c r="S68" s="18"/>
      <c r="T68" s="18"/>
      <c r="U68" s="7" t="str">
        <f t="shared" si="10"/>
        <v/>
      </c>
      <c r="V68" s="7">
        <f t="shared" si="11"/>
        <v>-46027</v>
      </c>
      <c r="W68" s="48"/>
      <c r="X68" s="40"/>
      <c r="Y68" s="36"/>
      <c r="Z68" s="36"/>
      <c r="AA68" s="36"/>
      <c r="AB68" s="36"/>
      <c r="AC68" s="36"/>
      <c r="AD68" s="36"/>
      <c r="AE68" s="36"/>
      <c r="AF68" s="36"/>
      <c r="AG68" s="36"/>
      <c r="AH68" s="36"/>
    </row>
    <row r="69" spans="1:34" ht="22.15" hidden="1" customHeight="1">
      <c r="A69"/>
      <c r="B69" s="6" t="s">
        <v>75</v>
      </c>
      <c r="C69" s="15" t="s">
        <v>8</v>
      </c>
      <c r="D69" s="19">
        <v>1296</v>
      </c>
      <c r="E69" s="18"/>
      <c r="F69" s="18"/>
      <c r="G69" s="7" t="str">
        <f t="shared" si="6"/>
        <v/>
      </c>
      <c r="H69" s="7">
        <f t="shared" si="7"/>
        <v>-46027</v>
      </c>
      <c r="I69" s="15" t="s">
        <v>8</v>
      </c>
      <c r="J69" s="19">
        <v>1296</v>
      </c>
      <c r="K69" s="18"/>
      <c r="L69" s="18"/>
      <c r="M69" s="7" t="str">
        <f t="shared" si="8"/>
        <v/>
      </c>
      <c r="N69" s="7">
        <f t="shared" si="9"/>
        <v>-46027</v>
      </c>
      <c r="O69" s="48"/>
      <c r="P69" s="40"/>
      <c r="Q69" s="15" t="s">
        <v>8</v>
      </c>
      <c r="R69" s="19">
        <v>1296</v>
      </c>
      <c r="S69" s="18"/>
      <c r="T69" s="18"/>
      <c r="U69" s="7" t="str">
        <f t="shared" si="10"/>
        <v/>
      </c>
      <c r="V69" s="7">
        <f t="shared" si="11"/>
        <v>-46027</v>
      </c>
      <c r="W69" s="48"/>
      <c r="X69" s="40"/>
      <c r="Y69" s="36"/>
      <c r="Z69" s="36"/>
      <c r="AA69" s="36"/>
      <c r="AB69" s="36"/>
      <c r="AC69" s="36"/>
      <c r="AD69" s="36"/>
      <c r="AE69" s="36"/>
      <c r="AF69" s="36"/>
      <c r="AG69" s="36"/>
      <c r="AH69" s="36"/>
    </row>
    <row r="70" spans="1:34" ht="22.15" hidden="1" customHeight="1">
      <c r="A70"/>
      <c r="B70" s="6" t="s">
        <v>76</v>
      </c>
      <c r="C70" s="15" t="s">
        <v>8</v>
      </c>
      <c r="D70" s="16">
        <v>414</v>
      </c>
      <c r="E70" s="18"/>
      <c r="F70" s="18"/>
      <c r="G70" s="7" t="str">
        <f t="shared" si="6"/>
        <v/>
      </c>
      <c r="H70" s="7">
        <f t="shared" si="7"/>
        <v>-46027</v>
      </c>
      <c r="I70" s="15" t="s">
        <v>8</v>
      </c>
      <c r="J70" s="16">
        <v>414</v>
      </c>
      <c r="K70" s="18"/>
      <c r="L70" s="18"/>
      <c r="M70" s="7" t="str">
        <f t="shared" si="8"/>
        <v/>
      </c>
      <c r="N70" s="7">
        <f t="shared" si="9"/>
        <v>-46027</v>
      </c>
      <c r="O70" s="48"/>
      <c r="P70" s="40"/>
      <c r="Q70" s="15" t="s">
        <v>8</v>
      </c>
      <c r="R70" s="16">
        <v>414</v>
      </c>
      <c r="S70" s="18"/>
      <c r="T70" s="18"/>
      <c r="U70" s="7" t="str">
        <f t="shared" si="10"/>
        <v/>
      </c>
      <c r="V70" s="7">
        <f t="shared" si="11"/>
        <v>-46027</v>
      </c>
      <c r="W70" s="48"/>
      <c r="X70" s="40"/>
      <c r="Y70" s="36"/>
      <c r="Z70" s="36"/>
      <c r="AA70" s="36"/>
      <c r="AB70" s="36"/>
      <c r="AC70" s="36"/>
      <c r="AD70" s="36"/>
      <c r="AE70" s="36"/>
      <c r="AF70" s="36"/>
      <c r="AG70" s="36"/>
      <c r="AH70" s="36"/>
    </row>
    <row r="71" spans="1:34" ht="28.5" customHeight="1">
      <c r="A71"/>
      <c r="B71" s="8" t="s">
        <v>77</v>
      </c>
      <c r="C71" s="37" t="s">
        <v>8</v>
      </c>
      <c r="D71" s="38">
        <v>12</v>
      </c>
      <c r="E71" s="20">
        <v>45982</v>
      </c>
      <c r="F71" s="18">
        <v>46032</v>
      </c>
      <c r="G71" s="7">
        <f t="shared" si="6"/>
        <v>10</v>
      </c>
      <c r="H71" s="7">
        <f t="shared" si="7"/>
        <v>5</v>
      </c>
      <c r="I71" s="37" t="s">
        <v>8</v>
      </c>
      <c r="J71" s="38">
        <v>12</v>
      </c>
      <c r="K71" s="20">
        <v>45982</v>
      </c>
      <c r="L71" s="18">
        <v>46032</v>
      </c>
      <c r="M71" s="7">
        <f t="shared" si="8"/>
        <v>10</v>
      </c>
      <c r="N71" s="7">
        <f t="shared" si="9"/>
        <v>5</v>
      </c>
      <c r="O71" s="51">
        <f>D71-J71</f>
        <v>0</v>
      </c>
      <c r="P71" s="40"/>
      <c r="Q71" s="37" t="s">
        <v>8</v>
      </c>
      <c r="R71" s="38">
        <v>0</v>
      </c>
      <c r="S71" s="20"/>
      <c r="T71" s="18"/>
      <c r="U71" s="7" t="str">
        <f t="shared" si="10"/>
        <v/>
      </c>
      <c r="V71" s="7">
        <f t="shared" si="11"/>
        <v>-46027</v>
      </c>
      <c r="W71" s="45">
        <f>J71-R71</f>
        <v>12</v>
      </c>
      <c r="X71" s="40"/>
      <c r="Y71" s="36"/>
      <c r="Z71" s="36"/>
      <c r="AA71" s="36"/>
      <c r="AB71" s="36"/>
      <c r="AC71" s="36"/>
      <c r="AD71" s="36"/>
      <c r="AE71" s="36"/>
      <c r="AF71" s="36"/>
      <c r="AG71" s="36"/>
      <c r="AH71" s="36"/>
    </row>
    <row r="72" spans="1:34" ht="22.15" hidden="1" customHeight="1">
      <c r="A72"/>
      <c r="B72" s="10"/>
      <c r="C72" s="37"/>
      <c r="D72" s="38"/>
      <c r="E72" s="18"/>
      <c r="F72" s="18"/>
      <c r="G72" s="7" t="str">
        <f t="shared" ref="G72:G82" si="12">IFERROR((F72-$G$1)/(F72-E72)*100,"")</f>
        <v/>
      </c>
      <c r="H72" s="7">
        <f t="shared" ref="H72:H82" si="13">F72-$H$1</f>
        <v>-46027</v>
      </c>
      <c r="I72" s="37"/>
      <c r="J72" s="38"/>
      <c r="K72" s="18"/>
      <c r="L72" s="18"/>
      <c r="M72" s="7" t="str">
        <f t="shared" si="8"/>
        <v/>
      </c>
      <c r="N72" s="7">
        <f t="shared" si="9"/>
        <v>-46027</v>
      </c>
      <c r="O72" s="44">
        <f t="shared" ref="O72:O98" si="14">D72-J72</f>
        <v>0</v>
      </c>
      <c r="P72" s="40"/>
      <c r="Q72" s="37"/>
      <c r="R72" s="38"/>
      <c r="S72" s="18"/>
      <c r="T72" s="18"/>
      <c r="U72" s="7" t="str">
        <f t="shared" si="10"/>
        <v/>
      </c>
      <c r="V72" s="7">
        <f t="shared" si="11"/>
        <v>-46027</v>
      </c>
      <c r="W72" s="45">
        <f t="shared" ref="W72:W98" si="15">J72-R72</f>
        <v>0</v>
      </c>
      <c r="X72" s="40"/>
      <c r="Y72" s="36"/>
      <c r="Z72" s="36"/>
      <c r="AA72" s="36"/>
      <c r="AB72" s="36"/>
      <c r="AC72" s="36"/>
      <c r="AD72" s="36"/>
      <c r="AE72" s="36"/>
      <c r="AF72" s="36"/>
      <c r="AG72" s="36"/>
      <c r="AH72" s="36"/>
    </row>
    <row r="73" spans="1:34" ht="22.15" hidden="1" customHeight="1">
      <c r="A73"/>
      <c r="B73" s="10"/>
      <c r="C73" s="37"/>
      <c r="D73" s="38"/>
      <c r="E73" s="18"/>
      <c r="F73" s="18"/>
      <c r="G73" s="7" t="str">
        <f t="shared" si="12"/>
        <v/>
      </c>
      <c r="H73" s="7">
        <f t="shared" si="13"/>
        <v>-46027</v>
      </c>
      <c r="I73" s="37"/>
      <c r="J73" s="38"/>
      <c r="K73" s="18"/>
      <c r="L73" s="18"/>
      <c r="M73" s="7" t="str">
        <f t="shared" si="8"/>
        <v/>
      </c>
      <c r="N73" s="7">
        <f t="shared" si="9"/>
        <v>-46027</v>
      </c>
      <c r="O73" s="44">
        <f t="shared" si="14"/>
        <v>0</v>
      </c>
      <c r="P73" s="40"/>
      <c r="Q73" s="37"/>
      <c r="R73" s="38"/>
      <c r="S73" s="18"/>
      <c r="T73" s="18"/>
      <c r="U73" s="7" t="str">
        <f t="shared" si="10"/>
        <v/>
      </c>
      <c r="V73" s="7">
        <f t="shared" si="11"/>
        <v>-46027</v>
      </c>
      <c r="W73" s="45">
        <f t="shared" si="15"/>
        <v>0</v>
      </c>
      <c r="X73" s="40"/>
      <c r="Y73" s="36"/>
      <c r="Z73" s="36"/>
      <c r="AA73" s="36"/>
      <c r="AB73" s="36"/>
      <c r="AC73" s="36"/>
      <c r="AD73" s="36"/>
      <c r="AE73" s="36"/>
      <c r="AF73" s="36"/>
      <c r="AG73" s="36"/>
      <c r="AH73" s="36"/>
    </row>
    <row r="74" spans="1:34" ht="22.15" hidden="1" customHeight="1">
      <c r="A74"/>
      <c r="B74" s="10"/>
      <c r="C74" s="37"/>
      <c r="D74" s="38"/>
      <c r="E74" s="18"/>
      <c r="F74" s="18"/>
      <c r="G74" s="7" t="str">
        <f t="shared" si="12"/>
        <v/>
      </c>
      <c r="H74" s="7">
        <f t="shared" si="13"/>
        <v>-46027</v>
      </c>
      <c r="I74" s="37"/>
      <c r="J74" s="38"/>
      <c r="K74" s="18"/>
      <c r="L74" s="18"/>
      <c r="M74" s="7" t="str">
        <f t="shared" si="8"/>
        <v/>
      </c>
      <c r="N74" s="7">
        <f t="shared" si="9"/>
        <v>-46027</v>
      </c>
      <c r="O74" s="44">
        <f t="shared" si="14"/>
        <v>0</v>
      </c>
      <c r="P74" s="40"/>
      <c r="Q74" s="37"/>
      <c r="R74" s="38"/>
      <c r="S74" s="18"/>
      <c r="T74" s="18"/>
      <c r="U74" s="7" t="str">
        <f t="shared" si="10"/>
        <v/>
      </c>
      <c r="V74" s="7">
        <f t="shared" si="11"/>
        <v>-46027</v>
      </c>
      <c r="W74" s="45">
        <f t="shared" si="15"/>
        <v>0</v>
      </c>
      <c r="X74" s="40"/>
      <c r="Y74" s="36"/>
      <c r="Z74" s="36"/>
      <c r="AA74" s="36"/>
      <c r="AB74" s="36"/>
      <c r="AC74" s="36"/>
      <c r="AD74" s="36"/>
      <c r="AE74" s="36"/>
      <c r="AF74" s="36"/>
      <c r="AG74" s="36"/>
      <c r="AH74" s="36"/>
    </row>
    <row r="75" spans="1:34" ht="22.15" hidden="1" customHeight="1">
      <c r="A75"/>
      <c r="B75" s="10"/>
      <c r="C75" s="37"/>
      <c r="D75" s="38"/>
      <c r="E75" s="18"/>
      <c r="F75" s="18"/>
      <c r="G75" s="7" t="str">
        <f t="shared" si="12"/>
        <v/>
      </c>
      <c r="H75" s="7">
        <f t="shared" si="13"/>
        <v>-46027</v>
      </c>
      <c r="I75" s="37"/>
      <c r="J75" s="38"/>
      <c r="K75" s="18"/>
      <c r="L75" s="18"/>
      <c r="M75" s="7" t="str">
        <f t="shared" si="8"/>
        <v/>
      </c>
      <c r="N75" s="7">
        <f t="shared" si="9"/>
        <v>-46027</v>
      </c>
      <c r="O75" s="44">
        <f t="shared" si="14"/>
        <v>0</v>
      </c>
      <c r="P75" s="40"/>
      <c r="Q75" s="37"/>
      <c r="R75" s="38"/>
      <c r="S75" s="18"/>
      <c r="T75" s="18"/>
      <c r="U75" s="7" t="str">
        <f t="shared" si="10"/>
        <v/>
      </c>
      <c r="V75" s="7">
        <f t="shared" si="11"/>
        <v>-46027</v>
      </c>
      <c r="W75" s="45">
        <f t="shared" si="15"/>
        <v>0</v>
      </c>
      <c r="X75" s="40"/>
      <c r="Y75" s="36"/>
      <c r="Z75" s="36"/>
      <c r="AA75" s="36"/>
      <c r="AB75" s="36"/>
      <c r="AC75" s="36"/>
      <c r="AD75" s="36"/>
      <c r="AE75" s="36"/>
      <c r="AF75" s="36"/>
      <c r="AG75" s="36"/>
      <c r="AH75" s="36"/>
    </row>
    <row r="76" spans="1:34" ht="22.15" hidden="1" customHeight="1">
      <c r="A76"/>
      <c r="B76" s="10"/>
      <c r="C76" s="37"/>
      <c r="D76" s="38"/>
      <c r="E76" s="18"/>
      <c r="F76" s="18"/>
      <c r="G76" s="7" t="str">
        <f t="shared" si="12"/>
        <v/>
      </c>
      <c r="H76" s="7">
        <f t="shared" si="13"/>
        <v>-46027</v>
      </c>
      <c r="I76" s="37"/>
      <c r="J76" s="38"/>
      <c r="K76" s="18"/>
      <c r="L76" s="18"/>
      <c r="M76" s="7" t="str">
        <f t="shared" si="8"/>
        <v/>
      </c>
      <c r="N76" s="7">
        <f t="shared" si="9"/>
        <v>-46027</v>
      </c>
      <c r="O76" s="44">
        <f t="shared" si="14"/>
        <v>0</v>
      </c>
      <c r="P76" s="40"/>
      <c r="Q76" s="37"/>
      <c r="R76" s="38"/>
      <c r="S76" s="18"/>
      <c r="T76" s="18"/>
      <c r="U76" s="7" t="str">
        <f t="shared" si="10"/>
        <v/>
      </c>
      <c r="V76" s="7">
        <f t="shared" si="11"/>
        <v>-46027</v>
      </c>
      <c r="W76" s="45">
        <f t="shared" si="15"/>
        <v>0</v>
      </c>
      <c r="X76" s="40"/>
      <c r="Y76" s="36"/>
      <c r="Z76" s="36"/>
      <c r="AA76" s="36"/>
      <c r="AB76" s="36"/>
      <c r="AC76" s="36"/>
      <c r="AD76" s="36"/>
      <c r="AE76" s="36"/>
      <c r="AF76" s="36"/>
      <c r="AG76" s="36"/>
      <c r="AH76" s="36"/>
    </row>
    <row r="77" spans="1:34" ht="22.15" customHeight="1">
      <c r="A77"/>
      <c r="B77" s="46" t="s">
        <v>78</v>
      </c>
      <c r="C77" s="37" t="s">
        <v>14</v>
      </c>
      <c r="D77" s="38">
        <v>6.6349999999999998</v>
      </c>
      <c r="E77" s="18">
        <v>46004</v>
      </c>
      <c r="F77" s="18">
        <v>46049</v>
      </c>
      <c r="G77" s="7">
        <f t="shared" si="12"/>
        <v>48.888888888888886</v>
      </c>
      <c r="H77" s="7">
        <f t="shared" si="13"/>
        <v>22</v>
      </c>
      <c r="I77" s="37" t="s">
        <v>14</v>
      </c>
      <c r="J77" s="38">
        <v>0</v>
      </c>
      <c r="K77" s="18">
        <v>46004</v>
      </c>
      <c r="L77" s="18">
        <v>46049</v>
      </c>
      <c r="M77" s="7">
        <f t="shared" si="8"/>
        <v>48.888888888888886</v>
      </c>
      <c r="N77" s="7">
        <f t="shared" si="9"/>
        <v>22</v>
      </c>
      <c r="O77" s="45">
        <f t="shared" si="14"/>
        <v>6.6349999999999998</v>
      </c>
      <c r="P77" s="40"/>
      <c r="Q77" s="37" t="s">
        <v>14</v>
      </c>
      <c r="R77" s="38">
        <v>0</v>
      </c>
      <c r="S77" s="18"/>
      <c r="T77" s="18"/>
      <c r="U77" s="7" t="str">
        <f t="shared" si="10"/>
        <v/>
      </c>
      <c r="V77" s="7">
        <f t="shared" si="11"/>
        <v>-46027</v>
      </c>
      <c r="W77" s="45">
        <f>D77-R77</f>
        <v>6.6349999999999998</v>
      </c>
      <c r="X77" s="40"/>
      <c r="Y77" s="36"/>
      <c r="Z77" s="36"/>
      <c r="AA77" s="36"/>
      <c r="AB77" s="36"/>
      <c r="AC77" s="36"/>
      <c r="AD77" s="36"/>
      <c r="AE77" s="36"/>
      <c r="AF77" s="36"/>
      <c r="AG77" s="36"/>
      <c r="AH77" s="36"/>
    </row>
    <row r="78" spans="1:34" ht="22.15" customHeight="1">
      <c r="A78"/>
      <c r="B78" s="46" t="s">
        <v>79</v>
      </c>
      <c r="C78" s="37" t="s">
        <v>14</v>
      </c>
      <c r="D78" s="38">
        <v>16.567</v>
      </c>
      <c r="E78" s="18">
        <v>46003</v>
      </c>
      <c r="F78" s="18">
        <v>46048</v>
      </c>
      <c r="G78" s="7">
        <f t="shared" si="12"/>
        <v>46.666666666666664</v>
      </c>
      <c r="H78" s="7">
        <f t="shared" si="13"/>
        <v>21</v>
      </c>
      <c r="I78" s="15" t="s">
        <v>14</v>
      </c>
      <c r="J78" s="21">
        <v>0</v>
      </c>
      <c r="K78" s="18">
        <v>46003</v>
      </c>
      <c r="L78" s="18">
        <v>46048</v>
      </c>
      <c r="M78" s="7">
        <f t="shared" si="8"/>
        <v>46.666666666666664</v>
      </c>
      <c r="N78" s="7">
        <f t="shared" si="9"/>
        <v>21</v>
      </c>
      <c r="O78" s="45">
        <f t="shared" si="14"/>
        <v>16.567</v>
      </c>
      <c r="P78" s="40"/>
      <c r="Q78" s="15" t="s">
        <v>14</v>
      </c>
      <c r="R78" s="21">
        <v>0</v>
      </c>
      <c r="S78" s="18"/>
      <c r="T78" s="18"/>
      <c r="U78" s="7" t="str">
        <f t="shared" si="10"/>
        <v/>
      </c>
      <c r="V78" s="7">
        <f t="shared" si="11"/>
        <v>-46027</v>
      </c>
      <c r="W78" s="45">
        <f t="shared" ref="W78:W98" si="16">D78-R78</f>
        <v>16.567</v>
      </c>
      <c r="X78" s="40"/>
      <c r="Y78" s="36"/>
      <c r="Z78" s="36"/>
      <c r="AA78" s="36"/>
      <c r="AB78" s="36"/>
      <c r="AC78" s="36"/>
      <c r="AD78" s="36"/>
      <c r="AE78" s="36"/>
      <c r="AF78" s="36"/>
      <c r="AG78" s="36"/>
      <c r="AH78" s="36"/>
    </row>
    <row r="79" spans="1:34" ht="22.15" customHeight="1">
      <c r="A79"/>
      <c r="B79" s="8" t="s">
        <v>79</v>
      </c>
      <c r="C79" s="15" t="s">
        <v>80</v>
      </c>
      <c r="D79" s="21">
        <v>31.140999999999998</v>
      </c>
      <c r="E79" s="18">
        <v>46004</v>
      </c>
      <c r="F79" s="18">
        <v>46049</v>
      </c>
      <c r="G79" s="7">
        <f t="shared" si="12"/>
        <v>48.888888888888886</v>
      </c>
      <c r="H79" s="7">
        <f t="shared" si="13"/>
        <v>22</v>
      </c>
      <c r="I79" s="15" t="s">
        <v>80</v>
      </c>
      <c r="J79" s="21">
        <v>8.2370000000000001</v>
      </c>
      <c r="K79" s="18">
        <v>46004</v>
      </c>
      <c r="L79" s="18">
        <v>46049</v>
      </c>
      <c r="M79" s="7">
        <f t="shared" si="8"/>
        <v>48.888888888888886</v>
      </c>
      <c r="N79" s="7">
        <f t="shared" si="9"/>
        <v>22</v>
      </c>
      <c r="O79" s="44">
        <f t="shared" si="14"/>
        <v>22.903999999999996</v>
      </c>
      <c r="P79" s="40"/>
      <c r="Q79" s="15" t="s">
        <v>80</v>
      </c>
      <c r="R79" s="21">
        <v>0</v>
      </c>
      <c r="S79" s="18"/>
      <c r="T79" s="18"/>
      <c r="U79" s="7" t="str">
        <f t="shared" si="10"/>
        <v/>
      </c>
      <c r="V79" s="7">
        <f t="shared" si="11"/>
        <v>-46027</v>
      </c>
      <c r="W79" s="45">
        <f t="shared" si="16"/>
        <v>31.140999999999998</v>
      </c>
      <c r="X79" s="40"/>
      <c r="Y79" s="36"/>
      <c r="Z79" s="36"/>
      <c r="AA79" s="36"/>
      <c r="AB79" s="36"/>
      <c r="AC79" s="36"/>
      <c r="AD79" s="36"/>
      <c r="AE79" s="36"/>
      <c r="AF79" s="36"/>
      <c r="AG79" s="36"/>
      <c r="AH79" s="36"/>
    </row>
    <row r="80" spans="1:34" ht="22.15" customHeight="1">
      <c r="A80"/>
      <c r="B80" s="46" t="s">
        <v>79</v>
      </c>
      <c r="C80" s="15" t="s">
        <v>14</v>
      </c>
      <c r="D80" s="22">
        <v>2.0569999999999999</v>
      </c>
      <c r="E80" s="18">
        <v>45994</v>
      </c>
      <c r="F80" s="18">
        <v>46039</v>
      </c>
      <c r="G80" s="7">
        <f t="shared" si="12"/>
        <v>26.666666666666668</v>
      </c>
      <c r="H80" s="7">
        <f t="shared" si="13"/>
        <v>12</v>
      </c>
      <c r="I80" s="15" t="s">
        <v>14</v>
      </c>
      <c r="J80" s="22">
        <v>0</v>
      </c>
      <c r="K80" s="18">
        <v>45994</v>
      </c>
      <c r="L80" s="18">
        <v>46039</v>
      </c>
      <c r="M80" s="7">
        <f t="shared" si="8"/>
        <v>26.666666666666668</v>
      </c>
      <c r="N80" s="7">
        <f t="shared" si="9"/>
        <v>12</v>
      </c>
      <c r="O80" s="45">
        <f t="shared" si="14"/>
        <v>2.0569999999999999</v>
      </c>
      <c r="P80" s="40"/>
      <c r="Q80" s="15" t="s">
        <v>14</v>
      </c>
      <c r="R80" s="22">
        <v>0</v>
      </c>
      <c r="S80" s="18"/>
      <c r="T80" s="18"/>
      <c r="U80" s="7" t="str">
        <f t="shared" si="10"/>
        <v/>
      </c>
      <c r="V80" s="7">
        <f t="shared" si="11"/>
        <v>-46027</v>
      </c>
      <c r="W80" s="45">
        <f t="shared" si="16"/>
        <v>2.0569999999999999</v>
      </c>
      <c r="X80" s="40"/>
      <c r="Y80" s="36"/>
      <c r="Z80" s="36"/>
      <c r="AA80" s="36"/>
      <c r="AB80" s="36"/>
      <c r="AC80" s="36"/>
      <c r="AD80" s="36"/>
      <c r="AE80" s="36"/>
      <c r="AF80" s="36"/>
      <c r="AG80" s="36"/>
      <c r="AH80" s="36"/>
    </row>
    <row r="81" spans="1:34" ht="22.15" customHeight="1">
      <c r="A81"/>
      <c r="B81" s="86" t="s">
        <v>81</v>
      </c>
      <c r="C81" s="23" t="s">
        <v>14</v>
      </c>
      <c r="D81" s="22">
        <v>40.246000000000002</v>
      </c>
      <c r="E81" s="18">
        <v>45997</v>
      </c>
      <c r="F81" s="18">
        <v>46042</v>
      </c>
      <c r="G81" s="7">
        <f t="shared" si="12"/>
        <v>33.333333333333329</v>
      </c>
      <c r="H81" s="7">
        <f t="shared" si="13"/>
        <v>15</v>
      </c>
      <c r="I81" s="23" t="s">
        <v>14</v>
      </c>
      <c r="J81" s="22">
        <v>13.388999999999999</v>
      </c>
      <c r="K81" s="18">
        <v>45997</v>
      </c>
      <c r="L81" s="18">
        <v>46042</v>
      </c>
      <c r="M81" s="7">
        <f t="shared" si="8"/>
        <v>33.333333333333329</v>
      </c>
      <c r="N81" s="7">
        <f t="shared" si="9"/>
        <v>15</v>
      </c>
      <c r="O81" s="44">
        <f t="shared" si="14"/>
        <v>26.857000000000003</v>
      </c>
      <c r="P81" s="40"/>
      <c r="Q81" s="23" t="s">
        <v>14</v>
      </c>
      <c r="R81" s="22">
        <v>8.2420000000000009</v>
      </c>
      <c r="S81" s="18">
        <v>45997</v>
      </c>
      <c r="T81" s="18">
        <v>46042</v>
      </c>
      <c r="U81" s="7">
        <f t="shared" si="10"/>
        <v>33.333333333333329</v>
      </c>
      <c r="V81" s="7">
        <f t="shared" si="11"/>
        <v>15</v>
      </c>
      <c r="W81" s="51">
        <f t="shared" si="16"/>
        <v>32.004000000000005</v>
      </c>
      <c r="X81" s="40"/>
      <c r="Y81" s="36"/>
      <c r="Z81" s="36"/>
      <c r="AA81" s="36"/>
      <c r="AB81" s="36"/>
      <c r="AC81" s="36"/>
      <c r="AD81" s="36"/>
      <c r="AE81" s="36"/>
      <c r="AF81" s="36"/>
      <c r="AG81" s="36"/>
      <c r="AH81" s="36"/>
    </row>
    <row r="82" spans="1:34" ht="22.15" customHeight="1">
      <c r="A82"/>
      <c r="B82" s="46" t="s">
        <v>82</v>
      </c>
      <c r="C82" s="15" t="s">
        <v>14</v>
      </c>
      <c r="D82" s="22">
        <v>12.492000000000001</v>
      </c>
      <c r="E82" s="18">
        <v>46001</v>
      </c>
      <c r="F82" s="18">
        <v>46051</v>
      </c>
      <c r="G82" s="7">
        <f t="shared" si="12"/>
        <v>48</v>
      </c>
      <c r="H82" s="7">
        <f t="shared" si="13"/>
        <v>24</v>
      </c>
      <c r="I82" s="15" t="s">
        <v>14</v>
      </c>
      <c r="J82" s="22">
        <v>0</v>
      </c>
      <c r="K82" s="18">
        <v>46001</v>
      </c>
      <c r="L82" s="18">
        <v>46051</v>
      </c>
      <c r="M82" s="7">
        <f t="shared" si="8"/>
        <v>48</v>
      </c>
      <c r="N82" s="7">
        <f t="shared" si="9"/>
        <v>24</v>
      </c>
      <c r="O82" s="45">
        <f t="shared" si="14"/>
        <v>12.492000000000001</v>
      </c>
      <c r="P82" s="40"/>
      <c r="Q82" s="15" t="s">
        <v>14</v>
      </c>
      <c r="R82" s="22">
        <v>0</v>
      </c>
      <c r="S82" s="18"/>
      <c r="T82" s="18"/>
      <c r="U82" s="7" t="str">
        <f t="shared" si="10"/>
        <v/>
      </c>
      <c r="V82" s="7">
        <f t="shared" si="11"/>
        <v>-46027</v>
      </c>
      <c r="W82" s="45">
        <f t="shared" si="16"/>
        <v>12.492000000000001</v>
      </c>
      <c r="X82" s="40"/>
      <c r="Y82" s="36"/>
      <c r="Z82" s="36"/>
      <c r="AA82" s="36"/>
      <c r="AB82" s="36"/>
      <c r="AC82" s="36"/>
      <c r="AD82" s="36"/>
      <c r="AE82" s="36"/>
      <c r="AF82" s="36"/>
      <c r="AG82" s="36"/>
      <c r="AH82" s="36"/>
    </row>
    <row r="83" spans="1:34" ht="22.15" customHeight="1">
      <c r="A83"/>
      <c r="B83" s="46" t="s">
        <v>82</v>
      </c>
      <c r="C83" s="15" t="s">
        <v>14</v>
      </c>
      <c r="D83" s="21">
        <v>35.746000000000002</v>
      </c>
      <c r="E83" s="18">
        <v>46001</v>
      </c>
      <c r="F83" s="18">
        <v>46052</v>
      </c>
      <c r="G83" s="7">
        <f t="shared" ref="G83" si="17">IFERROR((F83-$G$1)/(F83-E83)*100,"")</f>
        <v>49.019607843137251</v>
      </c>
      <c r="H83" s="7">
        <f t="shared" ref="H83" si="18">F83-$H$1</f>
        <v>25</v>
      </c>
      <c r="I83" s="15" t="s">
        <v>14</v>
      </c>
      <c r="J83" s="21">
        <v>0</v>
      </c>
      <c r="K83" s="18">
        <v>46001</v>
      </c>
      <c r="L83" s="18">
        <v>46052</v>
      </c>
      <c r="M83" s="7">
        <f t="shared" si="8"/>
        <v>49.019607843137251</v>
      </c>
      <c r="N83" s="7">
        <f t="shared" si="9"/>
        <v>25</v>
      </c>
      <c r="O83" s="45">
        <f t="shared" si="14"/>
        <v>35.746000000000002</v>
      </c>
      <c r="P83" s="40"/>
      <c r="Q83" s="15" t="s">
        <v>14</v>
      </c>
      <c r="R83" s="21">
        <v>0</v>
      </c>
      <c r="S83" s="18"/>
      <c r="T83" s="18"/>
      <c r="U83" s="7" t="str">
        <f t="shared" si="10"/>
        <v/>
      </c>
      <c r="V83" s="7">
        <f t="shared" si="11"/>
        <v>-46027</v>
      </c>
      <c r="W83" s="45">
        <f t="shared" si="16"/>
        <v>35.746000000000002</v>
      </c>
      <c r="X83" s="40"/>
      <c r="Y83" s="36"/>
      <c r="Z83" s="36"/>
      <c r="AA83" s="36"/>
      <c r="AB83" s="36"/>
      <c r="AC83" s="36"/>
      <c r="AD83" s="36"/>
      <c r="AE83" s="36"/>
      <c r="AF83" s="36"/>
      <c r="AG83" s="36"/>
      <c r="AH83" s="36"/>
    </row>
    <row r="84" spans="1:34" ht="22.15" customHeight="1">
      <c r="A84"/>
      <c r="B84" s="8" t="s">
        <v>83</v>
      </c>
      <c r="C84" s="15" t="s">
        <v>14</v>
      </c>
      <c r="D84" s="43">
        <v>13.66</v>
      </c>
      <c r="E84" s="18">
        <v>45996</v>
      </c>
      <c r="F84" s="18">
        <v>46041</v>
      </c>
      <c r="G84" s="7">
        <f t="shared" ref="G84:G86" si="19">IFERROR((F84-$G$1)/(F84-E84)*100,"")</f>
        <v>31.111111111111111</v>
      </c>
      <c r="H84" s="7">
        <f t="shared" ref="H84:H86" si="20">F84-$H$1</f>
        <v>14</v>
      </c>
      <c r="I84" s="15" t="s">
        <v>14</v>
      </c>
      <c r="J84" s="21">
        <v>4.1829999999999998</v>
      </c>
      <c r="K84" s="18">
        <v>45996</v>
      </c>
      <c r="L84" s="18">
        <v>46041</v>
      </c>
      <c r="M84" s="7">
        <f t="shared" si="8"/>
        <v>31.111111111111111</v>
      </c>
      <c r="N84" s="7">
        <f t="shared" si="9"/>
        <v>14</v>
      </c>
      <c r="O84" s="44">
        <f t="shared" si="14"/>
        <v>9.4770000000000003</v>
      </c>
      <c r="P84" s="40"/>
      <c r="Q84" s="15" t="s">
        <v>14</v>
      </c>
      <c r="R84" s="21">
        <v>0</v>
      </c>
      <c r="S84" s="18"/>
      <c r="T84" s="18"/>
      <c r="U84" s="7" t="str">
        <f t="shared" si="10"/>
        <v/>
      </c>
      <c r="V84" s="7">
        <f t="shared" si="11"/>
        <v>-46027</v>
      </c>
      <c r="W84" s="45">
        <f t="shared" si="16"/>
        <v>13.66</v>
      </c>
      <c r="X84" s="40"/>
      <c r="Y84" s="36"/>
      <c r="Z84" s="36"/>
      <c r="AA84" s="36"/>
      <c r="AB84" s="36"/>
      <c r="AC84" s="36"/>
      <c r="AD84" s="36"/>
      <c r="AE84" s="36"/>
      <c r="AF84" s="36"/>
      <c r="AG84" s="36"/>
      <c r="AH84" s="36"/>
    </row>
    <row r="85" spans="1:34" ht="22.15" customHeight="1">
      <c r="A85"/>
      <c r="B85" s="8" t="s">
        <v>97</v>
      </c>
      <c r="C85" s="15" t="s">
        <v>14</v>
      </c>
      <c r="D85" s="21">
        <v>13.875999999999999</v>
      </c>
      <c r="E85" s="18">
        <v>45983</v>
      </c>
      <c r="F85" s="18">
        <v>46033</v>
      </c>
      <c r="G85" s="7">
        <f t="shared" si="19"/>
        <v>12</v>
      </c>
      <c r="H85" s="7">
        <f t="shared" si="20"/>
        <v>6</v>
      </c>
      <c r="I85" s="15" t="s">
        <v>14</v>
      </c>
      <c r="J85" s="21">
        <v>13.875999999999999</v>
      </c>
      <c r="K85" s="18">
        <v>45983</v>
      </c>
      <c r="L85" s="18">
        <v>46033</v>
      </c>
      <c r="M85" s="7">
        <f t="shared" si="8"/>
        <v>12</v>
      </c>
      <c r="N85" s="7">
        <f t="shared" si="9"/>
        <v>6</v>
      </c>
      <c r="O85" s="51">
        <f t="shared" si="14"/>
        <v>0</v>
      </c>
      <c r="P85" s="40"/>
      <c r="Q85" s="15" t="s">
        <v>14</v>
      </c>
      <c r="R85" s="21">
        <v>0</v>
      </c>
      <c r="S85" s="18"/>
      <c r="T85" s="18"/>
      <c r="U85" s="7" t="str">
        <f t="shared" si="10"/>
        <v/>
      </c>
      <c r="V85" s="7">
        <f t="shared" si="11"/>
        <v>-46027</v>
      </c>
      <c r="W85" s="45">
        <f t="shared" si="16"/>
        <v>13.875999999999999</v>
      </c>
      <c r="X85" s="40"/>
      <c r="Y85" s="36"/>
      <c r="Z85" s="36"/>
      <c r="AA85" s="36"/>
      <c r="AB85" s="36"/>
      <c r="AC85" s="36"/>
      <c r="AD85" s="36"/>
      <c r="AE85" s="36"/>
      <c r="AF85" s="36"/>
      <c r="AG85" s="36"/>
      <c r="AH85" s="36"/>
    </row>
    <row r="86" spans="1:34" ht="22.15" customHeight="1">
      <c r="A86"/>
      <c r="B86" s="8" t="s">
        <v>84</v>
      </c>
      <c r="C86" s="15" t="s">
        <v>8</v>
      </c>
      <c r="D86" s="21">
        <v>30</v>
      </c>
      <c r="E86" s="18">
        <v>45998</v>
      </c>
      <c r="F86" s="18">
        <v>46043</v>
      </c>
      <c r="G86" s="7">
        <f t="shared" si="19"/>
        <v>35.555555555555557</v>
      </c>
      <c r="H86" s="7">
        <f t="shared" si="20"/>
        <v>16</v>
      </c>
      <c r="I86" s="15" t="s">
        <v>8</v>
      </c>
      <c r="J86" s="21">
        <v>0</v>
      </c>
      <c r="K86" s="18">
        <v>45998</v>
      </c>
      <c r="L86" s="18">
        <v>46043</v>
      </c>
      <c r="M86" s="7">
        <f t="shared" si="8"/>
        <v>35.555555555555557</v>
      </c>
      <c r="N86" s="7">
        <f t="shared" si="9"/>
        <v>16</v>
      </c>
      <c r="O86" s="51">
        <f t="shared" si="14"/>
        <v>30</v>
      </c>
      <c r="P86" s="40"/>
      <c r="Q86" s="15" t="s">
        <v>8</v>
      </c>
      <c r="R86" s="21">
        <v>0</v>
      </c>
      <c r="S86" s="18"/>
      <c r="T86" s="18"/>
      <c r="U86" s="7" t="str">
        <f t="shared" si="10"/>
        <v/>
      </c>
      <c r="V86" s="7">
        <f t="shared" si="11"/>
        <v>-46027</v>
      </c>
      <c r="W86" s="45">
        <f t="shared" si="16"/>
        <v>30</v>
      </c>
      <c r="X86" s="40"/>
      <c r="Y86" s="36"/>
      <c r="Z86" s="36"/>
      <c r="AA86" s="36"/>
      <c r="AB86" s="36"/>
      <c r="AC86" s="36"/>
      <c r="AD86" s="36"/>
      <c r="AE86" s="36"/>
      <c r="AF86" s="36"/>
      <c r="AG86" s="36"/>
      <c r="AH86" s="36"/>
    </row>
    <row r="87" spans="1:34" ht="22.15" customHeight="1">
      <c r="A87"/>
      <c r="B87" s="8" t="s">
        <v>85</v>
      </c>
      <c r="C87" s="15" t="s">
        <v>8</v>
      </c>
      <c r="D87" s="21">
        <v>4</v>
      </c>
      <c r="E87" s="18">
        <v>45986</v>
      </c>
      <c r="F87" s="18">
        <v>46031</v>
      </c>
      <c r="G87" s="7">
        <f t="shared" ref="G87" si="21">IFERROR((F87-$G$1)/(F87-E87)*100,"")</f>
        <v>8.8888888888888893</v>
      </c>
      <c r="H87" s="7">
        <f t="shared" ref="H87" si="22">F87-$H$1</f>
        <v>4</v>
      </c>
      <c r="I87" s="15" t="s">
        <v>8</v>
      </c>
      <c r="J87" s="21">
        <v>3</v>
      </c>
      <c r="K87" s="18">
        <v>45986</v>
      </c>
      <c r="L87" s="18">
        <v>46031</v>
      </c>
      <c r="M87" s="7">
        <f t="shared" si="8"/>
        <v>8.8888888888888893</v>
      </c>
      <c r="N87" s="7">
        <f t="shared" si="9"/>
        <v>4</v>
      </c>
      <c r="O87" s="44">
        <f t="shared" si="14"/>
        <v>1</v>
      </c>
      <c r="P87" s="40"/>
      <c r="Q87" s="15" t="s">
        <v>8</v>
      </c>
      <c r="R87" s="21">
        <v>0</v>
      </c>
      <c r="S87" s="18"/>
      <c r="T87" s="18"/>
      <c r="U87" s="7" t="str">
        <f t="shared" si="10"/>
        <v/>
      </c>
      <c r="V87" s="7">
        <f t="shared" si="11"/>
        <v>-46027</v>
      </c>
      <c r="W87" s="45">
        <f t="shared" si="16"/>
        <v>4</v>
      </c>
      <c r="X87" s="40"/>
      <c r="Y87" s="36"/>
      <c r="Z87" s="36"/>
      <c r="AA87" s="36"/>
      <c r="AB87" s="36"/>
      <c r="AC87" s="36"/>
      <c r="AD87" s="36"/>
      <c r="AE87" s="36"/>
      <c r="AF87" s="36"/>
      <c r="AG87" s="36"/>
      <c r="AH87" s="36"/>
    </row>
    <row r="88" spans="1:34" ht="22.15" customHeight="1">
      <c r="A88"/>
      <c r="B88" s="8" t="s">
        <v>86</v>
      </c>
      <c r="C88" s="15" t="s">
        <v>8</v>
      </c>
      <c r="D88" s="21">
        <v>5</v>
      </c>
      <c r="E88" s="18">
        <v>45986</v>
      </c>
      <c r="F88" s="18">
        <v>46031</v>
      </c>
      <c r="G88" s="7">
        <f t="shared" ref="G88:G90" si="23">IFERROR((F88-$G$1)/(F88-E88)*100,"")</f>
        <v>8.8888888888888893</v>
      </c>
      <c r="H88" s="7">
        <f t="shared" ref="H88:H90" si="24">F88-$H$1</f>
        <v>4</v>
      </c>
      <c r="I88" s="15" t="s">
        <v>8</v>
      </c>
      <c r="J88" s="21">
        <v>3</v>
      </c>
      <c r="K88" s="18">
        <v>45986</v>
      </c>
      <c r="L88" s="18">
        <v>46031</v>
      </c>
      <c r="M88" s="7">
        <f t="shared" si="8"/>
        <v>8.8888888888888893</v>
      </c>
      <c r="N88" s="7">
        <f t="shared" si="9"/>
        <v>4</v>
      </c>
      <c r="O88" s="44">
        <f t="shared" si="14"/>
        <v>2</v>
      </c>
      <c r="P88" s="40"/>
      <c r="Q88" s="15" t="s">
        <v>8</v>
      </c>
      <c r="R88" s="21">
        <v>0</v>
      </c>
      <c r="S88" s="18"/>
      <c r="T88" s="18"/>
      <c r="U88" s="7" t="str">
        <f t="shared" si="10"/>
        <v/>
      </c>
      <c r="V88" s="7">
        <f t="shared" si="11"/>
        <v>-46027</v>
      </c>
      <c r="W88" s="45">
        <f t="shared" si="16"/>
        <v>5</v>
      </c>
      <c r="X88" s="40"/>
      <c r="Y88" s="36"/>
      <c r="Z88" s="36"/>
      <c r="AA88" s="36"/>
      <c r="AB88" s="36"/>
      <c r="AC88" s="36"/>
      <c r="AD88" s="36"/>
      <c r="AE88" s="36"/>
      <c r="AF88" s="36"/>
      <c r="AG88" s="36"/>
      <c r="AH88" s="36"/>
    </row>
    <row r="89" spans="1:34" ht="22.15" customHeight="1">
      <c r="A89"/>
      <c r="B89" s="46" t="s">
        <v>87</v>
      </c>
      <c r="C89" s="15" t="s">
        <v>8</v>
      </c>
      <c r="D89" s="21">
        <v>3</v>
      </c>
      <c r="E89" s="18">
        <v>45993</v>
      </c>
      <c r="F89" s="18">
        <v>46038</v>
      </c>
      <c r="G89" s="7">
        <f t="shared" si="23"/>
        <v>24.444444444444443</v>
      </c>
      <c r="H89" s="7">
        <f t="shared" si="24"/>
        <v>11</v>
      </c>
      <c r="I89" s="15" t="s">
        <v>8</v>
      </c>
      <c r="J89" s="21">
        <v>0</v>
      </c>
      <c r="K89" s="18">
        <v>45993</v>
      </c>
      <c r="L89" s="18">
        <v>46038</v>
      </c>
      <c r="M89" s="7">
        <f t="shared" si="8"/>
        <v>24.444444444444443</v>
      </c>
      <c r="N89" s="7">
        <f t="shared" si="9"/>
        <v>11</v>
      </c>
      <c r="O89" s="45">
        <f t="shared" si="14"/>
        <v>3</v>
      </c>
      <c r="P89" s="40"/>
      <c r="Q89" s="15" t="s">
        <v>8</v>
      </c>
      <c r="R89" s="21">
        <v>0</v>
      </c>
      <c r="S89" s="18"/>
      <c r="T89" s="18"/>
      <c r="U89" s="7" t="str">
        <f t="shared" si="10"/>
        <v/>
      </c>
      <c r="V89" s="7">
        <f t="shared" si="11"/>
        <v>-46027</v>
      </c>
      <c r="W89" s="45">
        <f t="shared" si="16"/>
        <v>3</v>
      </c>
      <c r="X89" s="40"/>
      <c r="Y89" s="36"/>
      <c r="Z89" s="36"/>
      <c r="AA89" s="36"/>
      <c r="AB89" s="36"/>
      <c r="AC89" s="36"/>
      <c r="AD89" s="36"/>
      <c r="AE89" s="36"/>
      <c r="AF89" s="36"/>
      <c r="AG89" s="36"/>
      <c r="AH89" s="36"/>
    </row>
    <row r="90" spans="1:34" ht="22.15" customHeight="1">
      <c r="A90"/>
      <c r="B90" s="46" t="s">
        <v>87</v>
      </c>
      <c r="C90" s="15" t="s">
        <v>8</v>
      </c>
      <c r="D90" s="21">
        <v>8</v>
      </c>
      <c r="E90" s="18">
        <v>46007</v>
      </c>
      <c r="F90" s="18">
        <v>46052</v>
      </c>
      <c r="G90" s="7">
        <f t="shared" si="23"/>
        <v>55.555555555555557</v>
      </c>
      <c r="H90" s="7">
        <f t="shared" si="24"/>
        <v>25</v>
      </c>
      <c r="I90" s="15" t="s">
        <v>8</v>
      </c>
      <c r="J90" s="21">
        <v>0</v>
      </c>
      <c r="K90" s="18">
        <v>46007</v>
      </c>
      <c r="L90" s="18">
        <v>46052</v>
      </c>
      <c r="M90" s="7">
        <f t="shared" si="8"/>
        <v>55.555555555555557</v>
      </c>
      <c r="N90" s="7">
        <f t="shared" si="9"/>
        <v>25</v>
      </c>
      <c r="O90" s="45">
        <f t="shared" si="14"/>
        <v>8</v>
      </c>
      <c r="P90" s="40"/>
      <c r="Q90" s="15" t="s">
        <v>8</v>
      </c>
      <c r="R90" s="21">
        <v>5</v>
      </c>
      <c r="S90" s="18">
        <v>46007</v>
      </c>
      <c r="T90" s="18">
        <v>46052</v>
      </c>
      <c r="U90" s="7">
        <f t="shared" si="10"/>
        <v>55.555555555555557</v>
      </c>
      <c r="V90" s="7">
        <f t="shared" si="11"/>
        <v>25</v>
      </c>
      <c r="W90" s="85">
        <f t="shared" si="16"/>
        <v>3</v>
      </c>
      <c r="X90" s="40"/>
      <c r="Y90" s="36"/>
      <c r="Z90" s="36"/>
      <c r="AA90" s="36"/>
      <c r="AB90" s="36"/>
      <c r="AC90" s="36"/>
      <c r="AD90" s="36"/>
      <c r="AE90" s="36"/>
      <c r="AF90" s="36"/>
      <c r="AG90" s="36"/>
      <c r="AH90" s="36"/>
    </row>
    <row r="91" spans="1:34" ht="22.15" customHeight="1">
      <c r="A91"/>
      <c r="B91" s="46" t="s">
        <v>88</v>
      </c>
      <c r="C91" s="15" t="s">
        <v>8</v>
      </c>
      <c r="D91" s="21">
        <v>61</v>
      </c>
      <c r="E91" s="18">
        <v>45996</v>
      </c>
      <c r="F91" s="18">
        <v>46056</v>
      </c>
      <c r="G91" s="7">
        <f t="shared" ref="G91:G103" si="25">IFERROR((F91-$G$1)/(F91-E91)*100,"")</f>
        <v>48.333333333333336</v>
      </c>
      <c r="H91" s="7">
        <f t="shared" ref="H91:H103" si="26">F91-$H$1</f>
        <v>29</v>
      </c>
      <c r="I91" s="15" t="s">
        <v>8</v>
      </c>
      <c r="J91" s="21">
        <v>0</v>
      </c>
      <c r="K91" s="18">
        <v>45996</v>
      </c>
      <c r="L91" s="18">
        <v>46056</v>
      </c>
      <c r="M91" s="7">
        <f t="shared" si="8"/>
        <v>48.333333333333336</v>
      </c>
      <c r="N91" s="7">
        <f t="shared" si="9"/>
        <v>29</v>
      </c>
      <c r="O91" s="45">
        <f t="shared" si="14"/>
        <v>61</v>
      </c>
      <c r="P91" s="40"/>
      <c r="Q91" s="15" t="s">
        <v>8</v>
      </c>
      <c r="R91" s="21">
        <v>0</v>
      </c>
      <c r="S91" s="18"/>
      <c r="T91" s="18"/>
      <c r="U91" s="7" t="str">
        <f t="shared" si="10"/>
        <v/>
      </c>
      <c r="V91" s="7">
        <f t="shared" si="11"/>
        <v>-46027</v>
      </c>
      <c r="W91" s="87">
        <f t="shared" si="16"/>
        <v>61</v>
      </c>
      <c r="X91" s="40"/>
      <c r="Y91" s="36"/>
      <c r="Z91" s="36"/>
      <c r="AA91" s="36"/>
      <c r="AB91" s="36"/>
      <c r="AC91" s="36"/>
      <c r="AD91" s="36"/>
      <c r="AE91" s="36"/>
      <c r="AF91" s="36"/>
      <c r="AG91" s="36"/>
      <c r="AH91" s="36"/>
    </row>
    <row r="92" spans="1:34" ht="22.15" customHeight="1">
      <c r="A92"/>
      <c r="B92" s="46" t="s">
        <v>89</v>
      </c>
      <c r="C92" s="15" t="s">
        <v>8</v>
      </c>
      <c r="D92" s="21">
        <v>4</v>
      </c>
      <c r="E92" s="18">
        <v>46000</v>
      </c>
      <c r="F92" s="18">
        <v>46050</v>
      </c>
      <c r="G92" s="7">
        <f t="shared" si="25"/>
        <v>46</v>
      </c>
      <c r="H92" s="7">
        <f t="shared" si="26"/>
        <v>23</v>
      </c>
      <c r="I92" s="15" t="s">
        <v>8</v>
      </c>
      <c r="J92" s="21">
        <v>0</v>
      </c>
      <c r="K92" s="18">
        <v>46000</v>
      </c>
      <c r="L92" s="18">
        <v>46050</v>
      </c>
      <c r="M92" s="7">
        <f t="shared" si="8"/>
        <v>46</v>
      </c>
      <c r="N92" s="7">
        <f t="shared" si="9"/>
        <v>23</v>
      </c>
      <c r="O92" s="45">
        <f t="shared" si="14"/>
        <v>4</v>
      </c>
      <c r="P92" s="40"/>
      <c r="Q92" s="15" t="s">
        <v>8</v>
      </c>
      <c r="R92" s="21">
        <v>0</v>
      </c>
      <c r="S92" s="18"/>
      <c r="T92" s="18"/>
      <c r="U92" s="7" t="str">
        <f t="shared" si="10"/>
        <v/>
      </c>
      <c r="V92" s="7">
        <f t="shared" si="11"/>
        <v>-46027</v>
      </c>
      <c r="W92" s="87">
        <f t="shared" si="16"/>
        <v>4</v>
      </c>
      <c r="X92" s="40"/>
      <c r="Y92" s="36"/>
      <c r="Z92" s="36"/>
      <c r="AA92" s="36"/>
      <c r="AB92" s="36"/>
      <c r="AC92" s="36"/>
      <c r="AD92" s="36"/>
      <c r="AE92" s="36"/>
      <c r="AF92" s="36"/>
      <c r="AG92" s="36"/>
      <c r="AH92" s="36"/>
    </row>
    <row r="93" spans="1:34" ht="22.15" customHeight="1">
      <c r="A93"/>
      <c r="B93" s="46" t="s">
        <v>90</v>
      </c>
      <c r="C93" s="15" t="s">
        <v>14</v>
      </c>
      <c r="D93" s="21">
        <v>16.870999999999999</v>
      </c>
      <c r="E93" s="18">
        <v>46002</v>
      </c>
      <c r="F93" s="18">
        <v>46047</v>
      </c>
      <c r="G93" s="7">
        <f t="shared" si="25"/>
        <v>44.444444444444443</v>
      </c>
      <c r="H93" s="7">
        <f t="shared" si="26"/>
        <v>20</v>
      </c>
      <c r="I93" s="15" t="s">
        <v>14</v>
      </c>
      <c r="J93" s="21">
        <v>0</v>
      </c>
      <c r="K93" s="18">
        <v>46002</v>
      </c>
      <c r="L93" s="18">
        <v>46047</v>
      </c>
      <c r="M93" s="7">
        <f t="shared" si="8"/>
        <v>44.444444444444443</v>
      </c>
      <c r="N93" s="7">
        <f t="shared" si="9"/>
        <v>20</v>
      </c>
      <c r="O93" s="45">
        <f t="shared" si="14"/>
        <v>16.870999999999999</v>
      </c>
      <c r="P93" s="40"/>
      <c r="Q93" s="15" t="s">
        <v>14</v>
      </c>
      <c r="R93" s="21">
        <v>0</v>
      </c>
      <c r="S93" s="18"/>
      <c r="T93" s="18"/>
      <c r="U93" s="7" t="str">
        <f t="shared" si="10"/>
        <v/>
      </c>
      <c r="V93" s="7">
        <f t="shared" si="11"/>
        <v>-46027</v>
      </c>
      <c r="W93" s="87">
        <f t="shared" si="16"/>
        <v>16.870999999999999</v>
      </c>
      <c r="X93" s="40"/>
      <c r="Y93" s="36"/>
      <c r="Z93" s="36"/>
      <c r="AA93" s="36"/>
      <c r="AB93" s="36"/>
      <c r="AC93" s="36"/>
      <c r="AD93" s="36"/>
      <c r="AE93" s="36"/>
      <c r="AF93" s="36"/>
      <c r="AG93" s="36"/>
      <c r="AH93" s="36"/>
    </row>
    <row r="94" spans="1:34" ht="22.15" customHeight="1">
      <c r="A94"/>
      <c r="B94" s="46" t="s">
        <v>91</v>
      </c>
      <c r="C94" s="24" t="s">
        <v>8</v>
      </c>
      <c r="D94" s="25">
        <v>2</v>
      </c>
      <c r="E94" s="26">
        <v>46008</v>
      </c>
      <c r="F94" s="26">
        <v>46038</v>
      </c>
      <c r="G94" s="9">
        <f t="shared" si="25"/>
        <v>36.666666666666664</v>
      </c>
      <c r="H94" s="9">
        <f t="shared" si="26"/>
        <v>11</v>
      </c>
      <c r="I94" s="24" t="s">
        <v>8</v>
      </c>
      <c r="J94" s="25">
        <v>0</v>
      </c>
      <c r="K94" s="26">
        <v>46008</v>
      </c>
      <c r="L94" s="26">
        <v>46038</v>
      </c>
      <c r="M94" s="9">
        <f t="shared" si="8"/>
        <v>36.666666666666664</v>
      </c>
      <c r="N94" s="9">
        <f t="shared" si="9"/>
        <v>11</v>
      </c>
      <c r="O94" s="45">
        <f t="shared" si="14"/>
        <v>2</v>
      </c>
      <c r="P94" s="40"/>
      <c r="Q94" s="24" t="s">
        <v>8</v>
      </c>
      <c r="R94" s="25">
        <v>0</v>
      </c>
      <c r="S94" s="26"/>
      <c r="T94" s="26"/>
      <c r="U94" s="9" t="str">
        <f t="shared" si="10"/>
        <v/>
      </c>
      <c r="V94" s="9">
        <f t="shared" si="11"/>
        <v>-46027</v>
      </c>
      <c r="W94" s="87">
        <f t="shared" si="16"/>
        <v>2</v>
      </c>
      <c r="X94" s="40"/>
      <c r="Y94" s="36"/>
      <c r="Z94" s="36"/>
      <c r="AA94" s="36"/>
      <c r="AB94" s="36"/>
      <c r="AC94" s="36"/>
      <c r="AD94" s="36"/>
      <c r="AE94" s="36"/>
      <c r="AF94" s="36"/>
      <c r="AG94" s="36"/>
      <c r="AH94" s="36"/>
    </row>
    <row r="95" spans="1:34" ht="22.15" customHeight="1">
      <c r="A95"/>
      <c r="B95" s="88" t="s">
        <v>92</v>
      </c>
      <c r="C95" s="89" t="s">
        <v>14</v>
      </c>
      <c r="D95" s="90">
        <v>363.28</v>
      </c>
      <c r="E95" s="91">
        <v>46002</v>
      </c>
      <c r="F95" s="91">
        <v>46047</v>
      </c>
      <c r="G95" s="92">
        <f t="shared" si="25"/>
        <v>44.444444444444443</v>
      </c>
      <c r="H95" s="92">
        <f t="shared" si="26"/>
        <v>20</v>
      </c>
      <c r="I95" s="89" t="s">
        <v>14</v>
      </c>
      <c r="J95" s="90">
        <v>62.4</v>
      </c>
      <c r="K95" s="91">
        <v>46002</v>
      </c>
      <c r="L95" s="91">
        <v>46047</v>
      </c>
      <c r="M95" s="92">
        <f t="shared" si="8"/>
        <v>44.444444444444443</v>
      </c>
      <c r="N95" s="92">
        <f t="shared" si="9"/>
        <v>20</v>
      </c>
      <c r="O95" s="87">
        <f t="shared" si="14"/>
        <v>300.88</v>
      </c>
      <c r="P95" s="93"/>
      <c r="Q95" s="89" t="s">
        <v>14</v>
      </c>
      <c r="R95" s="90"/>
      <c r="S95" s="91"/>
      <c r="T95" s="91"/>
      <c r="U95" s="92" t="str">
        <f t="shared" si="10"/>
        <v/>
      </c>
      <c r="V95" s="92">
        <f t="shared" si="11"/>
        <v>-46027</v>
      </c>
      <c r="W95" s="87">
        <f>D95-R95</f>
        <v>363.28</v>
      </c>
      <c r="X95" s="40"/>
      <c r="Y95" s="36"/>
      <c r="Z95" s="36"/>
      <c r="AA95" s="36"/>
      <c r="AB95" s="36"/>
      <c r="AC95" s="36"/>
      <c r="AD95" s="36"/>
      <c r="AE95" s="36"/>
      <c r="AF95" s="36"/>
      <c r="AG95" s="36"/>
      <c r="AH95" s="36"/>
    </row>
    <row r="96" spans="1:34" ht="22.15" customHeight="1">
      <c r="A96"/>
      <c r="B96" s="46" t="s">
        <v>92</v>
      </c>
      <c r="C96" s="28" t="s">
        <v>14</v>
      </c>
      <c r="D96" s="29">
        <v>114.623</v>
      </c>
      <c r="E96" s="26">
        <v>45993</v>
      </c>
      <c r="F96" s="26">
        <v>46038</v>
      </c>
      <c r="G96" s="9">
        <f t="shared" si="25"/>
        <v>24.444444444444443</v>
      </c>
      <c r="H96" s="9">
        <f t="shared" si="26"/>
        <v>11</v>
      </c>
      <c r="I96" s="28" t="s">
        <v>14</v>
      </c>
      <c r="J96" s="29">
        <v>0</v>
      </c>
      <c r="K96" s="26">
        <v>45993</v>
      </c>
      <c r="L96" s="26">
        <v>46038</v>
      </c>
      <c r="M96" s="9">
        <f t="shared" si="8"/>
        <v>24.444444444444443</v>
      </c>
      <c r="N96" s="9">
        <f t="shared" si="9"/>
        <v>11</v>
      </c>
      <c r="O96" s="45">
        <f t="shared" si="14"/>
        <v>114.623</v>
      </c>
      <c r="P96" s="40"/>
      <c r="Q96" s="28" t="s">
        <v>14</v>
      </c>
      <c r="R96" s="29">
        <v>3.0489999999999999</v>
      </c>
      <c r="S96" s="26">
        <v>45993</v>
      </c>
      <c r="T96" s="26">
        <v>46038</v>
      </c>
      <c r="U96" s="9">
        <f t="shared" si="10"/>
        <v>24.444444444444443</v>
      </c>
      <c r="V96" s="9">
        <f t="shared" si="11"/>
        <v>11</v>
      </c>
      <c r="W96" s="87">
        <f>D96-R96</f>
        <v>111.574</v>
      </c>
      <c r="X96" s="40"/>
      <c r="Y96" s="36"/>
      <c r="Z96" s="36"/>
      <c r="AA96" s="36"/>
      <c r="AB96" s="36"/>
      <c r="AC96" s="36"/>
      <c r="AD96" s="36"/>
      <c r="AE96" s="36"/>
      <c r="AF96" s="36"/>
      <c r="AG96" s="36"/>
      <c r="AH96" s="36"/>
    </row>
    <row r="97" spans="1:34" ht="22.15" customHeight="1">
      <c r="A97"/>
      <c r="B97" s="46" t="s">
        <v>93</v>
      </c>
      <c r="C97" s="30" t="s">
        <v>8</v>
      </c>
      <c r="D97" s="31">
        <v>10</v>
      </c>
      <c r="E97" s="26">
        <v>45919</v>
      </c>
      <c r="F97" s="26">
        <v>46069</v>
      </c>
      <c r="G97" s="9">
        <f t="shared" si="25"/>
        <v>28.000000000000004</v>
      </c>
      <c r="H97" s="9">
        <f t="shared" si="26"/>
        <v>42</v>
      </c>
      <c r="I97" s="30" t="s">
        <v>8</v>
      </c>
      <c r="J97" s="31">
        <v>0</v>
      </c>
      <c r="K97" s="26">
        <v>45919</v>
      </c>
      <c r="L97" s="26">
        <v>46069</v>
      </c>
      <c r="M97" s="9">
        <f t="shared" si="8"/>
        <v>28.000000000000004</v>
      </c>
      <c r="N97" s="9">
        <f t="shared" si="9"/>
        <v>42</v>
      </c>
      <c r="O97" s="45">
        <f t="shared" si="14"/>
        <v>10</v>
      </c>
      <c r="P97" s="40"/>
      <c r="Q97" s="30" t="s">
        <v>8</v>
      </c>
      <c r="R97" s="31">
        <v>0</v>
      </c>
      <c r="S97" s="26"/>
      <c r="T97" s="26"/>
      <c r="U97" s="9" t="str">
        <f t="shared" si="10"/>
        <v/>
      </c>
      <c r="V97" s="9">
        <f t="shared" si="11"/>
        <v>-46027</v>
      </c>
      <c r="W97" s="87">
        <f>D97-R97</f>
        <v>10</v>
      </c>
      <c r="X97" s="40"/>
      <c r="Y97" s="36"/>
      <c r="Z97" s="36"/>
      <c r="AA97" s="36"/>
      <c r="AB97" s="36"/>
      <c r="AC97" s="36"/>
      <c r="AD97" s="36"/>
      <c r="AE97" s="36"/>
      <c r="AF97" s="36"/>
      <c r="AG97" s="36"/>
      <c r="AH97" s="36"/>
    </row>
    <row r="98" spans="1:34" ht="22.15" customHeight="1">
      <c r="A98"/>
      <c r="B98" s="8" t="s">
        <v>94</v>
      </c>
      <c r="C98" s="28" t="s">
        <v>14</v>
      </c>
      <c r="D98" s="29">
        <v>6.54</v>
      </c>
      <c r="E98" s="26">
        <v>45916</v>
      </c>
      <c r="F98" s="26">
        <v>46036</v>
      </c>
      <c r="G98" s="9">
        <f t="shared" si="25"/>
        <v>7.5</v>
      </c>
      <c r="H98" s="9">
        <f t="shared" si="26"/>
        <v>9</v>
      </c>
      <c r="I98" s="28" t="s">
        <v>14</v>
      </c>
      <c r="J98" s="29">
        <v>3.3439999999999999</v>
      </c>
      <c r="K98" s="26">
        <v>45916</v>
      </c>
      <c r="L98" s="26">
        <v>46036</v>
      </c>
      <c r="M98" s="9">
        <f t="shared" si="8"/>
        <v>7.5</v>
      </c>
      <c r="N98" s="9">
        <f t="shared" si="9"/>
        <v>9</v>
      </c>
      <c r="O98" s="44">
        <f t="shared" si="14"/>
        <v>3.1960000000000002</v>
      </c>
      <c r="P98" s="40"/>
      <c r="Q98" s="28" t="s">
        <v>14</v>
      </c>
      <c r="R98" s="29">
        <v>3.3439999999999999</v>
      </c>
      <c r="S98" s="26">
        <v>45916</v>
      </c>
      <c r="T98" s="26">
        <v>46036</v>
      </c>
      <c r="U98" s="9">
        <f t="shared" si="10"/>
        <v>7.5</v>
      </c>
      <c r="V98" s="9">
        <f t="shared" si="11"/>
        <v>9</v>
      </c>
      <c r="W98" s="85">
        <f t="shared" si="16"/>
        <v>3.1960000000000002</v>
      </c>
      <c r="X98" s="40"/>
      <c r="Y98" s="36"/>
      <c r="Z98" s="36"/>
      <c r="AA98" s="36"/>
      <c r="AB98" s="36"/>
      <c r="AC98" s="36"/>
      <c r="AD98" s="36"/>
      <c r="AE98" s="36"/>
      <c r="AF98" s="36"/>
      <c r="AG98" s="36"/>
      <c r="AH98" s="36"/>
    </row>
    <row r="99" spans="1:34" ht="22.15" customHeight="1">
      <c r="A99"/>
      <c r="B99" s="8" t="s">
        <v>95</v>
      </c>
      <c r="C99" s="30"/>
      <c r="D99" s="31"/>
      <c r="E99" s="26"/>
      <c r="F99" s="26"/>
      <c r="G99" s="9" t="str">
        <f t="shared" si="25"/>
        <v/>
      </c>
      <c r="H99" s="9">
        <f t="shared" si="26"/>
        <v>-46027</v>
      </c>
      <c r="I99" s="30" t="s">
        <v>96</v>
      </c>
      <c r="J99" s="31">
        <v>13</v>
      </c>
      <c r="K99" s="26">
        <v>46002</v>
      </c>
      <c r="L99" s="26">
        <v>46062</v>
      </c>
      <c r="M99" s="9">
        <f t="shared" si="8"/>
        <v>58.333333333333336</v>
      </c>
      <c r="N99" s="9">
        <f t="shared" si="9"/>
        <v>35</v>
      </c>
      <c r="O99" s="48"/>
      <c r="P99" s="40"/>
      <c r="Q99" s="30" t="s">
        <v>96</v>
      </c>
      <c r="R99" s="31">
        <v>10</v>
      </c>
      <c r="S99" s="26">
        <v>46002</v>
      </c>
      <c r="T99" s="26">
        <v>46062</v>
      </c>
      <c r="U99" s="9">
        <f t="shared" si="10"/>
        <v>58.333333333333336</v>
      </c>
      <c r="V99" s="9">
        <f t="shared" si="11"/>
        <v>35</v>
      </c>
      <c r="W99" s="48">
        <f>J99-R99</f>
        <v>3</v>
      </c>
      <c r="X99" s="40"/>
      <c r="Y99" s="36"/>
      <c r="Z99" s="36"/>
      <c r="AA99" s="36"/>
      <c r="AB99" s="36"/>
      <c r="AC99" s="36"/>
      <c r="AD99" s="36"/>
      <c r="AE99" s="36"/>
      <c r="AF99" s="36"/>
      <c r="AG99" s="36"/>
      <c r="AH99" s="36"/>
    </row>
    <row r="100" spans="1:34" ht="22.15" customHeight="1">
      <c r="A100"/>
      <c r="B100" s="8" t="s">
        <v>92</v>
      </c>
      <c r="C100" s="28"/>
      <c r="D100" s="29"/>
      <c r="E100" s="26"/>
      <c r="F100" s="26"/>
      <c r="G100" s="9" t="str">
        <f t="shared" si="25"/>
        <v/>
      </c>
      <c r="H100" s="9">
        <f t="shared" si="26"/>
        <v>-46027</v>
      </c>
      <c r="I100" s="28" t="s">
        <v>14</v>
      </c>
      <c r="J100" s="29">
        <v>251.13900000000001</v>
      </c>
      <c r="K100" s="26">
        <v>46002</v>
      </c>
      <c r="L100" s="26">
        <v>46046</v>
      </c>
      <c r="M100" s="9">
        <f t="shared" si="8"/>
        <v>43.18181818181818</v>
      </c>
      <c r="N100" s="9">
        <f t="shared" si="9"/>
        <v>19</v>
      </c>
      <c r="O100" s="48"/>
      <c r="P100" s="40"/>
      <c r="Q100" s="28" t="s">
        <v>14</v>
      </c>
      <c r="R100" s="29">
        <v>178.12200000000001</v>
      </c>
      <c r="S100" s="26">
        <v>46002</v>
      </c>
      <c r="T100" s="26">
        <v>46046</v>
      </c>
      <c r="U100" s="9">
        <f t="shared" si="10"/>
        <v>43.18181818181818</v>
      </c>
      <c r="V100" s="9">
        <f t="shared" si="11"/>
        <v>19</v>
      </c>
      <c r="W100" s="48">
        <f>J100-R100</f>
        <v>73.016999999999996</v>
      </c>
      <c r="X100" s="40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</row>
    <row r="101" spans="1:34" ht="22.15" customHeight="1">
      <c r="A101"/>
      <c r="B101" s="8" t="s">
        <v>77</v>
      </c>
      <c r="C101" s="30"/>
      <c r="D101" s="31"/>
      <c r="E101" s="26"/>
      <c r="F101" s="26"/>
      <c r="G101" s="9" t="str">
        <f t="shared" si="25"/>
        <v/>
      </c>
      <c r="H101" s="9">
        <f t="shared" si="26"/>
        <v>-46027</v>
      </c>
      <c r="I101" s="30"/>
      <c r="J101" s="31"/>
      <c r="K101" s="26"/>
      <c r="L101" s="26"/>
      <c r="M101" s="9" t="str">
        <f t="shared" si="8"/>
        <v/>
      </c>
      <c r="N101" s="9">
        <f t="shared" si="9"/>
        <v>-46027</v>
      </c>
      <c r="O101" s="48"/>
      <c r="P101" s="40"/>
      <c r="Q101" s="30" t="s">
        <v>100</v>
      </c>
      <c r="R101" s="31">
        <v>12</v>
      </c>
      <c r="S101" s="26">
        <v>45974</v>
      </c>
      <c r="T101" s="26">
        <v>46024</v>
      </c>
      <c r="U101" s="9">
        <f t="shared" si="10"/>
        <v>-6</v>
      </c>
      <c r="V101" s="9">
        <f t="shared" si="11"/>
        <v>-3</v>
      </c>
      <c r="W101" s="48"/>
      <c r="X101" s="40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</row>
    <row r="102" spans="1:34" ht="22.15" customHeight="1">
      <c r="A102"/>
      <c r="B102" s="94" t="s">
        <v>101</v>
      </c>
      <c r="C102" s="32"/>
      <c r="D102" s="33"/>
      <c r="E102" s="26"/>
      <c r="F102" s="26"/>
      <c r="G102" s="9" t="str">
        <f t="shared" si="25"/>
        <v/>
      </c>
      <c r="H102" s="9">
        <f t="shared" si="26"/>
        <v>-46027</v>
      </c>
      <c r="I102" s="32"/>
      <c r="J102" s="33"/>
      <c r="K102" s="26"/>
      <c r="L102" s="26"/>
      <c r="M102" s="9" t="str">
        <f t="shared" si="8"/>
        <v/>
      </c>
      <c r="N102" s="9">
        <f t="shared" si="9"/>
        <v>-46027</v>
      </c>
      <c r="O102" s="48"/>
      <c r="P102" s="40"/>
      <c r="Q102" s="32" t="s">
        <v>102</v>
      </c>
      <c r="R102" s="33">
        <v>9.1489999999999991</v>
      </c>
      <c r="S102" s="26">
        <v>46009</v>
      </c>
      <c r="T102" s="26">
        <v>46054</v>
      </c>
      <c r="U102" s="9">
        <f t="shared" si="10"/>
        <v>60</v>
      </c>
      <c r="V102" s="9">
        <f t="shared" si="11"/>
        <v>27</v>
      </c>
      <c r="W102" s="48"/>
      <c r="X102" s="40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</row>
    <row r="103" spans="1:34" ht="22.15" customHeight="1">
      <c r="A103"/>
      <c r="B103" s="94" t="s">
        <v>88</v>
      </c>
      <c r="C103" s="27"/>
      <c r="D103" s="27"/>
      <c r="E103" s="60"/>
      <c r="F103" s="26"/>
      <c r="G103" s="80" t="str">
        <f t="shared" si="25"/>
        <v/>
      </c>
      <c r="H103" s="80">
        <f t="shared" si="26"/>
        <v>-46027</v>
      </c>
      <c r="I103" s="27"/>
      <c r="J103" s="27"/>
      <c r="K103" s="79"/>
      <c r="L103" s="26"/>
      <c r="M103" s="9" t="str">
        <f t="shared" ref="M103" si="27">IFERROR((L103-$G$1)/(L103-K103)*100,"")</f>
        <v/>
      </c>
      <c r="N103" s="80">
        <f t="shared" ref="N103" si="28">L103-$H$1</f>
        <v>-46027</v>
      </c>
      <c r="O103" s="61"/>
      <c r="P103" s="81"/>
      <c r="Q103" s="82" t="s">
        <v>100</v>
      </c>
      <c r="R103" s="59">
        <v>22</v>
      </c>
      <c r="S103" s="60">
        <v>45996</v>
      </c>
      <c r="T103" s="26">
        <v>46056</v>
      </c>
      <c r="U103" s="9">
        <f t="shared" si="10"/>
        <v>48.333333333333336</v>
      </c>
      <c r="V103" s="9">
        <f t="shared" ref="V103:V113" si="29">T103-$H$1</f>
        <v>29</v>
      </c>
      <c r="W103" s="61"/>
      <c r="X103" s="62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</row>
    <row r="104" spans="1:34" ht="22.15" customHeight="1">
      <c r="A104"/>
      <c r="B104" s="94" t="s">
        <v>91</v>
      </c>
      <c r="C104" s="28"/>
      <c r="D104" s="28"/>
      <c r="E104" s="28"/>
      <c r="F104" s="28"/>
      <c r="G104" s="68"/>
      <c r="H104" s="28"/>
      <c r="I104" s="28"/>
      <c r="J104" s="28"/>
      <c r="K104" s="28"/>
      <c r="L104" s="68"/>
      <c r="M104" s="28"/>
      <c r="N104" s="28"/>
      <c r="O104" s="48"/>
      <c r="P104" s="69"/>
      <c r="Q104" s="68" t="s">
        <v>100</v>
      </c>
      <c r="R104" s="28">
        <v>5</v>
      </c>
      <c r="S104" s="18">
        <v>46017</v>
      </c>
      <c r="T104" s="78">
        <v>46047</v>
      </c>
      <c r="U104" s="9">
        <f t="shared" ref="U104:U113" si="30">IFERROR((T104-$G$1)/(T104-S104)*100,"")</f>
        <v>66.666666666666657</v>
      </c>
      <c r="V104" s="9">
        <f t="shared" si="29"/>
        <v>20</v>
      </c>
      <c r="W104" s="48"/>
      <c r="X104" s="69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</row>
    <row r="105" spans="1:34" ht="22.15" customHeight="1">
      <c r="A105"/>
      <c r="B105" s="94" t="s">
        <v>89</v>
      </c>
      <c r="C105" s="29"/>
      <c r="D105" s="28"/>
      <c r="E105" s="68"/>
      <c r="F105" s="68"/>
      <c r="G105" s="68"/>
      <c r="H105" s="68"/>
      <c r="I105" s="28"/>
      <c r="J105" s="34"/>
      <c r="K105" s="28"/>
      <c r="L105" s="28"/>
      <c r="M105" s="68"/>
      <c r="N105" s="68"/>
      <c r="O105" s="83"/>
      <c r="P105" s="69"/>
      <c r="Q105" s="68" t="s">
        <v>100</v>
      </c>
      <c r="R105" s="28">
        <v>8</v>
      </c>
      <c r="S105" s="35">
        <v>46007</v>
      </c>
      <c r="T105" s="78">
        <v>46057</v>
      </c>
      <c r="U105" s="9">
        <f t="shared" si="30"/>
        <v>60</v>
      </c>
      <c r="V105" s="9">
        <f t="shared" si="29"/>
        <v>30</v>
      </c>
      <c r="W105" s="48"/>
      <c r="X105" s="69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</row>
    <row r="106" spans="1:34" ht="22.15" customHeight="1">
      <c r="A106"/>
      <c r="B106" s="66"/>
      <c r="C106" s="29"/>
      <c r="D106" s="28"/>
      <c r="E106" s="68"/>
      <c r="F106" s="68"/>
      <c r="G106" s="68"/>
      <c r="H106" s="68"/>
      <c r="I106" s="68"/>
      <c r="J106" s="34"/>
      <c r="K106" s="28"/>
      <c r="L106" s="28"/>
      <c r="M106" s="68"/>
      <c r="N106" s="68"/>
      <c r="O106" s="83"/>
      <c r="P106" s="69"/>
      <c r="Q106" s="68"/>
      <c r="R106" s="28"/>
      <c r="S106" s="28"/>
      <c r="T106" s="68"/>
      <c r="U106" s="9" t="str">
        <f t="shared" si="30"/>
        <v/>
      </c>
      <c r="V106" s="9">
        <f t="shared" si="29"/>
        <v>-46027</v>
      </c>
      <c r="W106" s="48"/>
      <c r="X106" s="69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</row>
    <row r="107" spans="1:34" ht="22.15" customHeight="1">
      <c r="A107"/>
      <c r="B107" s="63"/>
      <c r="C107" s="31"/>
      <c r="D107" s="30"/>
      <c r="E107" s="65"/>
      <c r="F107" s="65"/>
      <c r="G107" s="65"/>
      <c r="H107" s="65"/>
      <c r="I107" s="65"/>
      <c r="J107" s="64"/>
      <c r="K107" s="30"/>
      <c r="L107" s="30"/>
      <c r="M107" s="65"/>
      <c r="N107" s="65"/>
      <c r="O107" s="84"/>
      <c r="P107" s="69"/>
      <c r="Q107" s="65"/>
      <c r="R107" s="30"/>
      <c r="S107" s="30"/>
      <c r="T107" s="65"/>
      <c r="U107" s="9" t="str">
        <f t="shared" si="30"/>
        <v/>
      </c>
      <c r="V107" s="9">
        <f t="shared" si="29"/>
        <v>-46027</v>
      </c>
      <c r="W107" s="48"/>
      <c r="X107" s="69"/>
    </row>
    <row r="108" spans="1:34" ht="22.15" customHeight="1">
      <c r="A108"/>
      <c r="B108" s="66"/>
      <c r="C108" s="29"/>
      <c r="D108" s="28"/>
      <c r="E108" s="68"/>
      <c r="F108" s="68"/>
      <c r="G108" s="68"/>
      <c r="H108" s="68"/>
      <c r="I108" s="68"/>
      <c r="J108" s="34"/>
      <c r="K108" s="28"/>
      <c r="L108" s="28"/>
      <c r="M108" s="68"/>
      <c r="N108" s="68"/>
      <c r="O108" s="83"/>
      <c r="P108" s="69"/>
      <c r="Q108" s="68"/>
      <c r="R108" s="28"/>
      <c r="S108" s="28"/>
      <c r="T108" s="68"/>
      <c r="U108" s="9" t="str">
        <f t="shared" si="30"/>
        <v/>
      </c>
      <c r="V108" s="9">
        <f t="shared" si="29"/>
        <v>-46027</v>
      </c>
      <c r="W108" s="48"/>
      <c r="X108" s="69"/>
    </row>
    <row r="109" spans="1:34" ht="22.15" customHeight="1">
      <c r="A109" s="72"/>
      <c r="B109" s="70"/>
      <c r="C109" s="29"/>
      <c r="D109" s="28"/>
      <c r="E109" s="68"/>
      <c r="F109" s="68"/>
      <c r="G109" s="68"/>
      <c r="H109" s="68"/>
      <c r="I109" s="68"/>
      <c r="J109" s="34"/>
      <c r="K109" s="28"/>
      <c r="L109" s="28"/>
      <c r="M109" s="68"/>
      <c r="N109" s="68"/>
      <c r="O109" s="83"/>
      <c r="P109" s="69"/>
      <c r="Q109" s="68"/>
      <c r="R109" s="28"/>
      <c r="S109" s="28"/>
      <c r="T109" s="68"/>
      <c r="U109" s="9" t="str">
        <f t="shared" si="30"/>
        <v/>
      </c>
      <c r="V109" s="9">
        <f t="shared" si="29"/>
        <v>-46027</v>
      </c>
      <c r="W109" s="48"/>
      <c r="X109" s="69"/>
    </row>
    <row r="110" spans="1:34" ht="22.15" customHeight="1">
      <c r="A110" s="72"/>
      <c r="B110" s="70"/>
      <c r="C110" s="34"/>
      <c r="D110" s="28"/>
      <c r="E110" s="68"/>
      <c r="F110" s="68"/>
      <c r="G110" s="76"/>
      <c r="H110" s="76"/>
      <c r="I110" s="68"/>
      <c r="J110" s="34"/>
      <c r="K110" s="28"/>
      <c r="L110" s="28"/>
      <c r="M110" s="76"/>
      <c r="N110" s="76"/>
      <c r="O110" s="83"/>
      <c r="P110" s="69"/>
      <c r="Q110" s="68"/>
      <c r="R110" s="28"/>
      <c r="S110" s="28"/>
      <c r="T110" s="68"/>
      <c r="U110" s="9" t="str">
        <f t="shared" si="30"/>
        <v/>
      </c>
      <c r="V110" s="9">
        <f t="shared" si="29"/>
        <v>-46027</v>
      </c>
      <c r="W110" s="48"/>
      <c r="X110" s="69"/>
    </row>
    <row r="111" spans="1:34">
      <c r="B111" s="73"/>
      <c r="C111" s="71"/>
      <c r="D111" s="77"/>
      <c r="E111" s="75"/>
      <c r="F111" s="75"/>
      <c r="G111" s="76"/>
      <c r="H111" s="76"/>
      <c r="I111" s="76"/>
      <c r="J111" s="71"/>
      <c r="K111" s="18"/>
      <c r="L111" s="18"/>
      <c r="M111" s="76"/>
      <c r="N111" s="76"/>
      <c r="O111" s="83"/>
      <c r="P111" s="69"/>
      <c r="Q111" s="76"/>
      <c r="R111" s="77"/>
      <c r="S111" s="18"/>
      <c r="T111" s="75"/>
      <c r="U111" s="9" t="str">
        <f t="shared" si="30"/>
        <v/>
      </c>
      <c r="V111" s="9">
        <f t="shared" si="29"/>
        <v>-46027</v>
      </c>
      <c r="W111" s="48"/>
      <c r="X111" s="69"/>
    </row>
    <row r="112" spans="1:34">
      <c r="B112" s="74"/>
      <c r="C112" s="71"/>
      <c r="D112" s="77"/>
      <c r="E112" s="75"/>
      <c r="F112" s="75"/>
      <c r="G112" s="76"/>
      <c r="H112" s="76"/>
      <c r="I112" s="76"/>
      <c r="J112" s="71"/>
      <c r="K112" s="18"/>
      <c r="L112" s="18"/>
      <c r="M112" s="76"/>
      <c r="N112" s="77"/>
      <c r="O112" s="83"/>
      <c r="P112" s="69"/>
      <c r="Q112" s="76"/>
      <c r="R112" s="71"/>
      <c r="S112" s="18"/>
      <c r="T112" s="75"/>
      <c r="U112" s="9" t="str">
        <f t="shared" si="30"/>
        <v/>
      </c>
      <c r="V112" s="9">
        <f t="shared" si="29"/>
        <v>-46027</v>
      </c>
      <c r="W112" s="48"/>
      <c r="X112" s="69"/>
    </row>
    <row r="113" spans="2:24">
      <c r="B113" s="74"/>
      <c r="C113" s="71"/>
      <c r="D113" s="77"/>
      <c r="E113" s="75"/>
      <c r="F113" s="75"/>
      <c r="G113" s="76"/>
      <c r="H113" s="76"/>
      <c r="I113" s="76"/>
      <c r="J113" s="71"/>
      <c r="K113" s="67"/>
      <c r="L113" s="18"/>
      <c r="M113" s="76"/>
      <c r="N113" s="77"/>
      <c r="O113" s="83"/>
      <c r="P113" s="69"/>
      <c r="Q113" s="76"/>
      <c r="R113" s="76"/>
      <c r="S113" s="18"/>
      <c r="T113" s="75"/>
      <c r="U113" s="9" t="str">
        <f t="shared" si="30"/>
        <v/>
      </c>
      <c r="V113" s="9">
        <f t="shared" si="29"/>
        <v>-46027</v>
      </c>
      <c r="W113" s="48"/>
      <c r="X113" s="69"/>
    </row>
    <row r="114" spans="2:24">
      <c r="B114" s="53"/>
      <c r="C114" s="36"/>
      <c r="D114" s="36"/>
      <c r="E114" s="52"/>
      <c r="F114" s="52"/>
      <c r="G114" s="36"/>
      <c r="H114" s="36"/>
      <c r="I114" s="36"/>
      <c r="J114" s="36"/>
      <c r="K114" s="52"/>
      <c r="L114" s="52"/>
      <c r="M114" s="36"/>
      <c r="N114" s="36"/>
      <c r="O114" s="49"/>
      <c r="P114" s="41"/>
      <c r="Q114" s="36"/>
      <c r="R114" s="36"/>
      <c r="S114" s="52"/>
      <c r="T114" s="52"/>
      <c r="U114" s="36"/>
      <c r="V114" s="36"/>
      <c r="W114" s="49"/>
      <c r="X114" s="41"/>
    </row>
    <row r="115" spans="2:24">
      <c r="B115" s="53"/>
      <c r="C115" s="36"/>
      <c r="D115" s="36"/>
      <c r="E115" s="52"/>
      <c r="F115" s="52"/>
      <c r="G115" s="36"/>
      <c r="H115" s="36"/>
      <c r="I115" s="36"/>
      <c r="J115" s="36"/>
      <c r="K115" s="52"/>
      <c r="L115" s="52"/>
      <c r="M115" s="36"/>
      <c r="N115" s="36"/>
      <c r="O115" s="49"/>
      <c r="P115" s="41"/>
      <c r="Q115" s="36"/>
      <c r="R115" s="36"/>
      <c r="S115" s="52"/>
      <c r="T115" s="52"/>
      <c r="U115" s="36"/>
      <c r="V115" s="36"/>
      <c r="W115" s="49"/>
      <c r="X115" s="41"/>
    </row>
    <row r="116" spans="2:24">
      <c r="B116" s="53"/>
      <c r="C116" s="36"/>
      <c r="D116" s="36"/>
      <c r="E116" s="52"/>
      <c r="F116" s="52"/>
      <c r="G116" s="36"/>
      <c r="H116" s="36"/>
      <c r="I116" s="36"/>
      <c r="J116" s="36"/>
      <c r="K116" s="52"/>
      <c r="L116" s="52"/>
      <c r="M116" s="36"/>
      <c r="N116" s="36"/>
      <c r="O116" s="49"/>
      <c r="P116" s="41"/>
      <c r="Q116" s="36"/>
      <c r="R116" s="36"/>
      <c r="S116" s="52"/>
      <c r="T116" s="52"/>
      <c r="U116" s="36"/>
      <c r="V116" s="36"/>
      <c r="W116" s="49"/>
      <c r="X116" s="41"/>
    </row>
    <row r="117" spans="2:24">
      <c r="B117" s="53"/>
      <c r="C117" s="36"/>
      <c r="D117" s="36"/>
      <c r="E117" s="52"/>
      <c r="F117" s="52"/>
      <c r="G117" s="36"/>
      <c r="H117" s="36"/>
      <c r="I117" s="36"/>
      <c r="J117" s="36"/>
      <c r="K117" s="52"/>
      <c r="L117" s="52"/>
      <c r="M117" s="36"/>
      <c r="N117" s="36"/>
      <c r="O117" s="49"/>
      <c r="P117" s="41"/>
      <c r="Q117" s="36"/>
      <c r="R117" s="36"/>
      <c r="S117" s="52"/>
      <c r="T117" s="52"/>
      <c r="U117" s="36"/>
      <c r="V117" s="36"/>
      <c r="W117" s="49"/>
      <c r="X117" s="41"/>
    </row>
    <row r="118" spans="2:24">
      <c r="B118" s="53"/>
      <c r="C118" s="36"/>
      <c r="D118" s="36"/>
      <c r="E118" s="52"/>
      <c r="F118" s="52"/>
      <c r="G118" s="36"/>
      <c r="H118" s="36"/>
      <c r="I118" s="36"/>
      <c r="J118" s="36"/>
      <c r="K118" s="52"/>
      <c r="L118" s="52"/>
      <c r="M118" s="36"/>
      <c r="N118" s="36"/>
      <c r="O118" s="49"/>
      <c r="P118" s="41"/>
      <c r="Q118" s="36"/>
      <c r="R118" s="36"/>
      <c r="S118" s="52"/>
      <c r="T118" s="52"/>
      <c r="U118" s="36"/>
      <c r="V118" s="36"/>
      <c r="W118" s="49"/>
      <c r="X118" s="41"/>
    </row>
    <row r="119" spans="2:24">
      <c r="B119" s="53"/>
      <c r="C119" s="36"/>
      <c r="D119" s="36"/>
      <c r="E119" s="52"/>
      <c r="F119" s="52"/>
      <c r="G119" s="36"/>
      <c r="H119" s="36"/>
      <c r="I119" s="36"/>
      <c r="J119" s="36"/>
      <c r="K119" s="52"/>
      <c r="L119" s="52"/>
      <c r="M119" s="36"/>
      <c r="N119" s="36"/>
      <c r="O119" s="49"/>
      <c r="P119" s="41"/>
      <c r="Q119" s="36"/>
      <c r="R119" s="36"/>
      <c r="S119" s="52"/>
      <c r="T119" s="52"/>
      <c r="U119" s="36"/>
      <c r="V119" s="36"/>
      <c r="W119" s="49"/>
      <c r="X119" s="41"/>
    </row>
    <row r="120" spans="2:24">
      <c r="B120" s="53"/>
      <c r="C120" s="36"/>
      <c r="D120" s="36"/>
      <c r="E120" s="52"/>
      <c r="F120" s="52"/>
      <c r="G120" s="36"/>
      <c r="H120" s="36"/>
      <c r="I120" s="36"/>
      <c r="J120" s="36"/>
      <c r="K120" s="52"/>
      <c r="L120" s="52"/>
      <c r="M120" s="36"/>
      <c r="N120" s="36"/>
      <c r="O120" s="49"/>
      <c r="P120" s="41"/>
      <c r="Q120" s="36"/>
      <c r="R120" s="36"/>
      <c r="S120" s="52"/>
      <c r="T120" s="52"/>
      <c r="U120" s="36"/>
      <c r="V120" s="36"/>
      <c r="W120" s="49"/>
      <c r="X120" s="41"/>
    </row>
    <row r="121" spans="2:24">
      <c r="B121" s="53"/>
      <c r="C121" s="36"/>
      <c r="D121" s="36"/>
      <c r="E121" s="52"/>
      <c r="F121" s="52"/>
      <c r="G121" s="36"/>
      <c r="H121" s="36"/>
      <c r="I121" s="36"/>
      <c r="J121" s="36"/>
      <c r="K121" s="52"/>
      <c r="L121" s="52"/>
      <c r="M121" s="36"/>
      <c r="N121" s="36"/>
      <c r="O121" s="49"/>
      <c r="P121" s="41"/>
      <c r="Q121" s="36"/>
      <c r="R121" s="36"/>
      <c r="S121" s="52"/>
      <c r="T121" s="52"/>
      <c r="U121" s="36"/>
      <c r="V121" s="36"/>
      <c r="W121" s="49"/>
      <c r="X121" s="41"/>
    </row>
    <row r="122" spans="2:24">
      <c r="B122" s="53"/>
      <c r="C122" s="36"/>
      <c r="D122" s="36"/>
      <c r="E122" s="52"/>
      <c r="F122" s="52"/>
      <c r="G122" s="36"/>
      <c r="H122" s="36"/>
      <c r="I122" s="36"/>
      <c r="J122" s="36"/>
      <c r="K122" s="52"/>
      <c r="L122" s="52"/>
      <c r="M122" s="36"/>
      <c r="N122" s="36"/>
      <c r="O122" s="49"/>
      <c r="P122" s="41"/>
      <c r="Q122" s="36"/>
      <c r="R122" s="36"/>
      <c r="S122" s="52"/>
      <c r="T122" s="52"/>
      <c r="U122" s="36"/>
      <c r="V122" s="36"/>
      <c r="W122" s="49"/>
      <c r="X122" s="41"/>
    </row>
    <row r="123" spans="2:24">
      <c r="B123" s="53"/>
      <c r="C123" s="36"/>
      <c r="D123" s="36"/>
      <c r="E123" s="52"/>
      <c r="F123" s="52"/>
      <c r="G123" s="36"/>
      <c r="H123" s="36"/>
      <c r="I123" s="36"/>
      <c r="J123" s="36"/>
      <c r="K123" s="52"/>
      <c r="L123" s="52"/>
      <c r="M123" s="36"/>
      <c r="N123" s="36"/>
      <c r="O123" s="49"/>
      <c r="P123" s="41"/>
      <c r="Q123" s="36"/>
      <c r="R123" s="36"/>
      <c r="S123" s="52"/>
      <c r="T123" s="52"/>
      <c r="U123" s="36"/>
      <c r="V123" s="36"/>
      <c r="W123" s="49"/>
      <c r="X123" s="41"/>
    </row>
    <row r="124" spans="2:24">
      <c r="B124" s="53"/>
      <c r="C124" s="36"/>
      <c r="D124" s="36"/>
      <c r="E124" s="52"/>
      <c r="F124" s="52"/>
      <c r="G124" s="36"/>
      <c r="H124" s="36"/>
      <c r="I124" s="36"/>
      <c r="J124" s="36"/>
      <c r="K124" s="52"/>
      <c r="L124" s="52"/>
      <c r="M124" s="36"/>
      <c r="N124" s="36"/>
      <c r="O124" s="49"/>
      <c r="P124" s="41"/>
      <c r="Q124" s="36"/>
      <c r="R124" s="36"/>
      <c r="S124" s="52"/>
      <c r="T124" s="52"/>
      <c r="U124" s="36"/>
      <c r="V124" s="36"/>
      <c r="W124" s="49"/>
      <c r="X124" s="41"/>
    </row>
    <row r="125" spans="2:24">
      <c r="B125" s="53"/>
      <c r="C125" s="36"/>
      <c r="D125" s="36"/>
      <c r="E125" s="52"/>
      <c r="F125" s="52"/>
      <c r="G125" s="36"/>
      <c r="H125" s="36"/>
      <c r="I125" s="36"/>
      <c r="J125" s="36"/>
      <c r="K125" s="52"/>
      <c r="L125" s="52"/>
      <c r="M125" s="36"/>
      <c r="N125" s="36"/>
      <c r="O125" s="49"/>
      <c r="P125" s="41"/>
      <c r="Q125" s="36"/>
      <c r="R125" s="36"/>
      <c r="S125" s="52"/>
      <c r="T125" s="52"/>
      <c r="U125" s="36"/>
      <c r="V125" s="36"/>
      <c r="W125" s="49"/>
      <c r="X125" s="41"/>
    </row>
    <row r="126" spans="2:24">
      <c r="B126" s="53"/>
      <c r="C126" s="36"/>
      <c r="D126" s="36"/>
      <c r="E126" s="52"/>
      <c r="F126" s="52"/>
      <c r="G126" s="36"/>
      <c r="H126" s="36"/>
      <c r="I126" s="36"/>
      <c r="J126" s="36"/>
      <c r="K126" s="52"/>
      <c r="L126" s="52"/>
      <c r="M126" s="36"/>
      <c r="N126" s="36"/>
      <c r="O126" s="49"/>
      <c r="P126" s="41"/>
      <c r="Q126" s="36"/>
      <c r="R126" s="36"/>
      <c r="S126" s="52"/>
      <c r="T126" s="52"/>
      <c r="U126" s="36"/>
      <c r="V126" s="36"/>
      <c r="W126" s="49"/>
      <c r="X126" s="41"/>
    </row>
    <row r="127" spans="2:24">
      <c r="B127" s="53"/>
      <c r="C127" s="36"/>
      <c r="D127" s="36"/>
      <c r="E127" s="52"/>
      <c r="F127" s="52"/>
      <c r="G127" s="36"/>
      <c r="H127" s="36"/>
      <c r="I127" s="36"/>
      <c r="J127" s="36"/>
      <c r="K127" s="52"/>
      <c r="L127" s="52"/>
      <c r="M127" s="36"/>
      <c r="N127" s="36"/>
      <c r="O127" s="49"/>
      <c r="P127" s="41"/>
      <c r="Q127" s="36"/>
      <c r="R127" s="36"/>
      <c r="S127" s="52"/>
      <c r="T127" s="52"/>
      <c r="U127" s="36"/>
      <c r="V127" s="36"/>
      <c r="W127" s="49"/>
      <c r="X127" s="41"/>
    </row>
    <row r="128" spans="2:24">
      <c r="B128" s="53"/>
      <c r="C128" s="36"/>
      <c r="D128" s="36"/>
      <c r="E128" s="52"/>
      <c r="F128" s="52"/>
      <c r="G128" s="36"/>
      <c r="H128" s="36"/>
      <c r="I128" s="36"/>
      <c r="J128" s="36"/>
      <c r="K128" s="52"/>
      <c r="L128" s="52"/>
      <c r="M128" s="36"/>
      <c r="N128" s="36"/>
      <c r="O128" s="49"/>
      <c r="P128" s="41"/>
      <c r="Q128" s="36"/>
      <c r="R128" s="36"/>
      <c r="S128" s="52"/>
      <c r="T128" s="52"/>
      <c r="U128" s="36"/>
      <c r="V128" s="36"/>
      <c r="W128" s="49"/>
      <c r="X128" s="41"/>
    </row>
    <row r="129" spans="2:24">
      <c r="B129" s="53"/>
      <c r="C129" s="36"/>
      <c r="D129" s="36"/>
      <c r="E129" s="52"/>
      <c r="F129" s="52"/>
      <c r="G129" s="36"/>
      <c r="H129" s="36"/>
      <c r="I129" s="36"/>
      <c r="J129" s="36"/>
      <c r="K129" s="52"/>
      <c r="L129" s="52"/>
      <c r="M129" s="36"/>
      <c r="N129" s="36"/>
      <c r="O129" s="49"/>
      <c r="P129" s="41"/>
      <c r="Q129" s="36"/>
      <c r="R129" s="36"/>
      <c r="S129" s="52"/>
      <c r="T129" s="52"/>
      <c r="U129" s="36"/>
      <c r="V129" s="36"/>
      <c r="W129" s="49"/>
      <c r="X129" s="41"/>
    </row>
    <row r="130" spans="2:24">
      <c r="B130" s="53"/>
      <c r="C130" s="36"/>
      <c r="D130" s="36"/>
      <c r="E130" s="52"/>
      <c r="F130" s="52"/>
      <c r="G130" s="36"/>
      <c r="H130" s="36"/>
      <c r="I130" s="36"/>
      <c r="J130" s="36"/>
      <c r="K130" s="52"/>
      <c r="L130" s="52"/>
      <c r="M130" s="36"/>
      <c r="N130" s="36"/>
      <c r="O130" s="49"/>
      <c r="P130" s="41"/>
      <c r="Q130" s="36"/>
      <c r="R130" s="36"/>
      <c r="S130" s="52"/>
      <c r="T130" s="52"/>
      <c r="U130" s="36"/>
      <c r="V130" s="36"/>
      <c r="W130" s="49"/>
      <c r="X130" s="41"/>
    </row>
    <row r="131" spans="2:24">
      <c r="B131" s="53"/>
      <c r="C131" s="36"/>
      <c r="D131" s="36"/>
      <c r="E131" s="52"/>
      <c r="F131" s="52"/>
      <c r="G131" s="36"/>
      <c r="H131" s="36"/>
      <c r="I131" s="36"/>
      <c r="J131" s="36"/>
      <c r="K131" s="52"/>
      <c r="L131" s="52"/>
      <c r="M131" s="36"/>
      <c r="N131" s="36"/>
      <c r="O131" s="49"/>
      <c r="P131" s="41"/>
      <c r="Q131" s="36"/>
      <c r="R131" s="36"/>
      <c r="S131" s="52"/>
      <c r="T131" s="52"/>
      <c r="U131" s="36"/>
      <c r="V131" s="36"/>
      <c r="W131" s="49"/>
      <c r="X131" s="41"/>
    </row>
    <row r="132" spans="2:24">
      <c r="B132" s="53"/>
      <c r="C132" s="36"/>
      <c r="D132" s="36"/>
      <c r="E132" s="52"/>
      <c r="F132" s="52"/>
      <c r="G132" s="36"/>
      <c r="H132" s="36"/>
      <c r="I132" s="36"/>
      <c r="J132" s="36"/>
      <c r="K132" s="52"/>
      <c r="L132" s="52"/>
      <c r="M132" s="36"/>
      <c r="N132" s="36"/>
      <c r="O132" s="49"/>
      <c r="P132" s="41"/>
      <c r="Q132" s="36"/>
      <c r="R132" s="36"/>
      <c r="S132" s="52"/>
      <c r="T132" s="52"/>
      <c r="U132" s="36"/>
      <c r="V132" s="36"/>
      <c r="W132" s="49"/>
      <c r="X132" s="41"/>
    </row>
    <row r="133" spans="2:24">
      <c r="B133" s="53"/>
      <c r="C133" s="36"/>
      <c r="D133" s="36"/>
      <c r="E133" s="52"/>
      <c r="F133" s="52"/>
      <c r="G133" s="36"/>
      <c r="H133" s="36"/>
      <c r="I133" s="36"/>
      <c r="J133" s="36"/>
      <c r="K133" s="52"/>
      <c r="L133" s="52"/>
      <c r="M133" s="36"/>
      <c r="N133" s="36"/>
      <c r="O133" s="49"/>
      <c r="P133" s="41"/>
      <c r="Q133" s="36"/>
      <c r="R133" s="36"/>
      <c r="S133" s="52"/>
      <c r="T133" s="52"/>
      <c r="U133" s="36"/>
      <c r="V133" s="36"/>
      <c r="W133" s="49"/>
      <c r="X133" s="41"/>
    </row>
    <row r="134" spans="2:24">
      <c r="B134" s="53"/>
      <c r="C134" s="36"/>
      <c r="D134" s="36"/>
      <c r="E134" s="52"/>
      <c r="F134" s="52"/>
      <c r="G134" s="36"/>
      <c r="H134" s="36"/>
      <c r="I134" s="36"/>
      <c r="J134" s="36"/>
      <c r="K134" s="52"/>
      <c r="L134" s="52"/>
      <c r="M134" s="36"/>
      <c r="N134" s="36"/>
      <c r="O134" s="49"/>
      <c r="P134" s="41"/>
      <c r="Q134" s="36"/>
      <c r="R134" s="36"/>
      <c r="S134" s="52"/>
      <c r="T134" s="52"/>
      <c r="U134" s="36"/>
      <c r="V134" s="36"/>
      <c r="W134" s="49"/>
      <c r="X134" s="41"/>
    </row>
    <row r="135" spans="2:24">
      <c r="B135" s="53"/>
      <c r="C135" s="36"/>
      <c r="D135" s="36"/>
      <c r="E135" s="52"/>
      <c r="F135" s="52"/>
      <c r="G135" s="36"/>
      <c r="H135" s="36"/>
      <c r="I135" s="36"/>
      <c r="J135" s="36"/>
      <c r="K135" s="52"/>
      <c r="L135" s="52"/>
      <c r="M135" s="36"/>
      <c r="N135" s="36"/>
      <c r="O135" s="49"/>
      <c r="P135" s="41"/>
      <c r="Q135" s="36"/>
      <c r="R135" s="36"/>
      <c r="S135" s="52"/>
      <c r="T135" s="52"/>
      <c r="U135" s="36"/>
      <c r="V135" s="36"/>
      <c r="W135" s="49"/>
      <c r="X135" s="41"/>
    </row>
    <row r="136" spans="2:24">
      <c r="B136" s="53"/>
      <c r="C136" s="36"/>
      <c r="D136" s="36"/>
      <c r="E136" s="52"/>
      <c r="F136" s="52"/>
      <c r="G136" s="36"/>
      <c r="H136" s="36"/>
      <c r="I136" s="36"/>
      <c r="J136" s="36"/>
      <c r="K136" s="52"/>
      <c r="L136" s="52"/>
      <c r="M136" s="36"/>
      <c r="N136" s="36"/>
      <c r="O136" s="49"/>
      <c r="P136" s="41"/>
      <c r="Q136" s="36"/>
      <c r="R136" s="36"/>
      <c r="S136" s="52"/>
      <c r="T136" s="52"/>
      <c r="U136" s="36"/>
      <c r="V136" s="36"/>
      <c r="W136" s="49"/>
      <c r="X136" s="41"/>
    </row>
    <row r="137" spans="2:24">
      <c r="B137" s="53"/>
      <c r="C137" s="36"/>
      <c r="D137" s="36"/>
      <c r="E137" s="52"/>
      <c r="F137" s="52"/>
      <c r="G137" s="36"/>
      <c r="H137" s="36"/>
      <c r="I137" s="36"/>
      <c r="J137" s="36"/>
      <c r="K137" s="52"/>
      <c r="L137" s="52"/>
      <c r="M137" s="36"/>
      <c r="N137" s="36"/>
      <c r="O137" s="49"/>
      <c r="P137" s="41"/>
      <c r="Q137" s="36"/>
      <c r="R137" s="36"/>
      <c r="S137" s="52"/>
      <c r="T137" s="52"/>
      <c r="U137" s="36"/>
      <c r="V137" s="36"/>
      <c r="W137" s="49"/>
      <c r="X137" s="41"/>
    </row>
    <row r="138" spans="2:24">
      <c r="B138" s="53"/>
      <c r="C138" s="36"/>
      <c r="D138" s="36"/>
      <c r="E138" s="52"/>
      <c r="F138" s="52"/>
      <c r="G138" s="36"/>
      <c r="H138" s="36"/>
      <c r="I138" s="36"/>
      <c r="J138" s="36"/>
      <c r="K138" s="52"/>
      <c r="L138" s="52"/>
      <c r="M138" s="36"/>
      <c r="N138" s="36"/>
      <c r="O138" s="49"/>
      <c r="P138" s="41"/>
      <c r="Q138" s="36"/>
      <c r="R138" s="36"/>
      <c r="S138" s="52"/>
      <c r="T138" s="52"/>
      <c r="U138" s="36"/>
      <c r="V138" s="36"/>
      <c r="W138" s="49"/>
      <c r="X138" s="41"/>
    </row>
    <row r="139" spans="2:24">
      <c r="B139" s="53"/>
      <c r="C139" s="36"/>
      <c r="D139" s="36"/>
      <c r="E139" s="52"/>
      <c r="F139" s="52"/>
      <c r="G139" s="36"/>
      <c r="H139" s="36"/>
      <c r="I139" s="36"/>
      <c r="J139" s="36"/>
      <c r="K139" s="52"/>
      <c r="L139" s="52"/>
      <c r="M139" s="36"/>
      <c r="N139" s="36"/>
      <c r="O139" s="49"/>
      <c r="P139" s="41"/>
      <c r="Q139" s="36"/>
      <c r="R139" s="36"/>
      <c r="S139" s="52"/>
      <c r="T139" s="52"/>
      <c r="U139" s="36"/>
      <c r="V139" s="36"/>
      <c r="W139" s="49"/>
      <c r="X139" s="41"/>
    </row>
    <row r="140" spans="2:24">
      <c r="B140" s="53"/>
      <c r="C140" s="36"/>
      <c r="D140" s="36"/>
      <c r="E140" s="52"/>
      <c r="F140" s="52"/>
      <c r="G140" s="36"/>
      <c r="H140" s="36"/>
      <c r="I140" s="36"/>
      <c r="J140" s="36"/>
      <c r="K140" s="52"/>
      <c r="L140" s="52"/>
      <c r="M140" s="36"/>
      <c r="N140" s="36"/>
      <c r="O140" s="49"/>
      <c r="P140" s="41"/>
      <c r="Q140" s="36"/>
      <c r="R140" s="36"/>
      <c r="S140" s="52"/>
      <c r="T140" s="52"/>
      <c r="U140" s="36"/>
      <c r="V140" s="36"/>
      <c r="W140" s="49"/>
      <c r="X140" s="41"/>
    </row>
    <row r="141" spans="2:24">
      <c r="B141" s="53"/>
      <c r="C141" s="36"/>
      <c r="D141" s="36"/>
      <c r="E141" s="52"/>
      <c r="F141" s="52"/>
      <c r="G141" s="36"/>
      <c r="H141" s="36"/>
      <c r="I141" s="36"/>
      <c r="J141" s="36"/>
      <c r="K141" s="52"/>
      <c r="L141" s="52"/>
      <c r="M141" s="36"/>
      <c r="N141" s="36"/>
      <c r="O141" s="49"/>
      <c r="P141" s="41"/>
      <c r="Q141" s="36"/>
      <c r="R141" s="36"/>
      <c r="S141" s="52"/>
      <c r="T141" s="52"/>
      <c r="U141" s="36"/>
      <c r="V141" s="36"/>
      <c r="W141" s="49"/>
      <c r="X141" s="41"/>
    </row>
    <row r="142" spans="2:24">
      <c r="B142" s="53"/>
      <c r="C142" s="36"/>
      <c r="D142" s="36"/>
      <c r="E142" s="52"/>
      <c r="F142" s="52"/>
      <c r="G142" s="36"/>
      <c r="H142" s="36"/>
      <c r="I142" s="36"/>
      <c r="J142" s="36"/>
      <c r="K142" s="52"/>
      <c r="L142" s="52"/>
      <c r="M142" s="36"/>
      <c r="N142" s="36"/>
      <c r="O142" s="49"/>
      <c r="P142" s="41"/>
      <c r="Q142" s="36"/>
      <c r="R142" s="36"/>
      <c r="S142" s="52"/>
      <c r="T142" s="52"/>
      <c r="U142" s="36"/>
      <c r="V142" s="36"/>
      <c r="W142" s="49"/>
      <c r="X142" s="41"/>
    </row>
    <row r="143" spans="2:24">
      <c r="B143" s="53"/>
      <c r="C143" s="36"/>
      <c r="D143" s="36"/>
      <c r="E143" s="52"/>
      <c r="F143" s="52"/>
      <c r="G143" s="36"/>
      <c r="H143" s="36"/>
      <c r="I143" s="36"/>
      <c r="J143" s="36"/>
      <c r="K143" s="52"/>
      <c r="L143" s="52"/>
      <c r="M143" s="36"/>
      <c r="N143" s="36"/>
      <c r="O143" s="49"/>
      <c r="P143" s="41"/>
      <c r="Q143" s="36"/>
      <c r="R143" s="36"/>
      <c r="S143" s="52"/>
      <c r="T143" s="52"/>
      <c r="U143" s="36"/>
      <c r="V143" s="36"/>
      <c r="W143" s="49"/>
      <c r="X143" s="41"/>
    </row>
    <row r="144" spans="2:24">
      <c r="B144" s="53"/>
      <c r="C144" s="36"/>
      <c r="D144" s="36"/>
      <c r="E144" s="52"/>
      <c r="F144" s="52"/>
      <c r="G144" s="36"/>
      <c r="H144" s="36"/>
      <c r="I144" s="36"/>
      <c r="J144" s="36"/>
      <c r="K144" s="52"/>
      <c r="L144" s="52"/>
      <c r="M144" s="36"/>
      <c r="N144" s="36"/>
      <c r="O144" s="49"/>
      <c r="P144" s="41"/>
      <c r="Q144" s="36"/>
      <c r="R144" s="36"/>
      <c r="S144" s="52"/>
      <c r="T144" s="52"/>
      <c r="U144" s="36"/>
      <c r="V144" s="36"/>
      <c r="W144" s="49"/>
      <c r="X144" s="41"/>
    </row>
    <row r="145" spans="2:24">
      <c r="B145" s="53"/>
      <c r="C145" s="36"/>
      <c r="D145" s="36"/>
      <c r="E145" s="52"/>
      <c r="F145" s="52"/>
      <c r="G145" s="36"/>
      <c r="H145" s="36"/>
      <c r="I145" s="36"/>
      <c r="J145" s="36"/>
      <c r="K145" s="52"/>
      <c r="L145" s="52"/>
      <c r="M145" s="36"/>
      <c r="N145" s="36"/>
      <c r="O145" s="49"/>
      <c r="P145" s="41"/>
      <c r="Q145" s="36"/>
      <c r="R145" s="36"/>
      <c r="S145" s="52"/>
      <c r="T145" s="52"/>
      <c r="U145" s="36"/>
      <c r="V145" s="36"/>
      <c r="W145" s="49"/>
      <c r="X145" s="41"/>
    </row>
    <row r="146" spans="2:24">
      <c r="B146" s="53"/>
      <c r="C146" s="36"/>
      <c r="D146" s="36"/>
      <c r="E146" s="52"/>
      <c r="F146" s="52"/>
      <c r="G146" s="36"/>
      <c r="H146" s="36"/>
      <c r="I146" s="36"/>
      <c r="J146" s="36"/>
      <c r="K146" s="52"/>
      <c r="L146" s="52"/>
      <c r="M146" s="36"/>
      <c r="N146" s="36"/>
      <c r="O146" s="49"/>
      <c r="P146" s="41"/>
      <c r="Q146" s="36"/>
      <c r="R146" s="36"/>
      <c r="S146" s="52"/>
      <c r="T146" s="52"/>
      <c r="U146" s="36"/>
      <c r="V146" s="36"/>
      <c r="W146" s="49"/>
      <c r="X146" s="41"/>
    </row>
    <row r="147" spans="2:24">
      <c r="B147" s="53"/>
      <c r="C147" s="36"/>
      <c r="D147" s="36"/>
      <c r="E147" s="52"/>
      <c r="F147" s="52"/>
      <c r="G147" s="36"/>
      <c r="H147" s="36"/>
      <c r="I147" s="36"/>
      <c r="J147" s="36"/>
      <c r="K147" s="52"/>
      <c r="L147" s="52"/>
      <c r="M147" s="36"/>
      <c r="N147" s="36"/>
      <c r="O147" s="49"/>
      <c r="P147" s="41"/>
      <c r="Q147" s="36"/>
      <c r="R147" s="36"/>
      <c r="S147" s="52"/>
      <c r="T147" s="52"/>
      <c r="U147" s="36"/>
      <c r="V147" s="36"/>
      <c r="W147" s="49"/>
      <c r="X147" s="41"/>
    </row>
    <row r="148" spans="2:24">
      <c r="B148" s="53"/>
      <c r="C148" s="36"/>
      <c r="D148" s="36"/>
      <c r="E148" s="52"/>
      <c r="F148" s="52"/>
      <c r="G148" s="36"/>
      <c r="H148" s="36"/>
      <c r="I148" s="36"/>
      <c r="J148" s="36"/>
      <c r="K148" s="52"/>
      <c r="L148" s="52"/>
      <c r="M148" s="36"/>
      <c r="N148" s="36"/>
      <c r="O148" s="49"/>
      <c r="P148" s="41"/>
      <c r="Q148" s="36"/>
      <c r="R148" s="36"/>
      <c r="S148" s="52"/>
      <c r="T148" s="52"/>
      <c r="U148" s="36"/>
      <c r="V148" s="36"/>
      <c r="W148" s="49"/>
      <c r="X148" s="41"/>
    </row>
    <row r="149" spans="2:24">
      <c r="B149" s="53"/>
      <c r="C149" s="36"/>
      <c r="D149" s="36"/>
      <c r="E149" s="52"/>
      <c r="F149" s="52"/>
      <c r="G149" s="36"/>
      <c r="H149" s="36"/>
      <c r="I149" s="36"/>
      <c r="J149" s="36"/>
      <c r="K149" s="52"/>
      <c r="L149" s="52"/>
      <c r="M149" s="36"/>
      <c r="N149" s="36"/>
      <c r="O149" s="49"/>
      <c r="P149" s="41"/>
      <c r="Q149" s="36"/>
      <c r="R149" s="36"/>
      <c r="S149" s="52"/>
      <c r="T149" s="52"/>
      <c r="U149" s="36"/>
      <c r="V149" s="36"/>
      <c r="W149" s="49"/>
      <c r="X149" s="41"/>
    </row>
    <row r="150" spans="2:24">
      <c r="B150" s="53"/>
      <c r="C150" s="36"/>
      <c r="D150" s="36"/>
      <c r="E150" s="52"/>
      <c r="F150" s="52"/>
      <c r="G150" s="36"/>
      <c r="H150" s="36"/>
      <c r="I150" s="36"/>
      <c r="J150" s="36"/>
      <c r="K150" s="52"/>
      <c r="L150" s="52"/>
      <c r="M150" s="36"/>
      <c r="N150" s="36"/>
      <c r="O150" s="49"/>
      <c r="P150" s="41"/>
      <c r="Q150" s="36"/>
      <c r="R150" s="36"/>
      <c r="S150" s="52"/>
      <c r="T150" s="52"/>
      <c r="U150" s="36"/>
      <c r="V150" s="36"/>
      <c r="W150" s="49"/>
      <c r="X150" s="41"/>
    </row>
    <row r="151" spans="2:24">
      <c r="B151" s="53"/>
      <c r="C151" s="36"/>
      <c r="D151" s="36"/>
      <c r="E151" s="52"/>
      <c r="F151" s="52"/>
      <c r="G151" s="36"/>
      <c r="H151" s="36"/>
      <c r="I151" s="36"/>
      <c r="J151" s="36"/>
      <c r="K151" s="52"/>
      <c r="L151" s="52"/>
      <c r="M151" s="36"/>
      <c r="N151" s="36"/>
      <c r="O151" s="49"/>
      <c r="P151" s="41"/>
      <c r="Q151" s="36"/>
      <c r="R151" s="36"/>
      <c r="S151" s="52"/>
      <c r="T151" s="52"/>
      <c r="U151" s="36"/>
      <c r="V151" s="36"/>
      <c r="W151" s="49"/>
      <c r="X151" s="41"/>
    </row>
    <row r="152" spans="2:24">
      <c r="B152" s="53"/>
      <c r="C152" s="36"/>
      <c r="D152" s="36"/>
      <c r="E152" s="52"/>
      <c r="F152" s="52"/>
      <c r="G152" s="36"/>
      <c r="H152" s="36"/>
      <c r="I152" s="36"/>
      <c r="J152" s="36"/>
      <c r="K152" s="52"/>
      <c r="L152" s="52"/>
      <c r="M152" s="36"/>
      <c r="N152" s="36"/>
      <c r="O152" s="49"/>
      <c r="P152" s="41"/>
      <c r="Q152" s="36"/>
      <c r="R152" s="36"/>
      <c r="S152" s="52"/>
      <c r="T152" s="52"/>
      <c r="U152" s="36"/>
      <c r="V152" s="36"/>
      <c r="W152" s="49"/>
      <c r="X152" s="41"/>
    </row>
    <row r="153" spans="2:24">
      <c r="B153" s="53"/>
      <c r="C153" s="36"/>
      <c r="D153" s="36"/>
      <c r="E153" s="52"/>
      <c r="F153" s="52"/>
      <c r="G153" s="36"/>
      <c r="H153" s="36"/>
      <c r="I153" s="36"/>
      <c r="J153" s="36"/>
      <c r="K153" s="52"/>
      <c r="L153" s="52"/>
      <c r="M153" s="36"/>
      <c r="N153" s="36"/>
      <c r="O153" s="49"/>
      <c r="P153" s="41"/>
      <c r="Q153" s="36"/>
      <c r="R153" s="36"/>
      <c r="S153" s="52"/>
      <c r="T153" s="52"/>
      <c r="U153" s="36"/>
      <c r="V153" s="36"/>
      <c r="W153" s="49"/>
      <c r="X153" s="41"/>
    </row>
    <row r="154" spans="2:24">
      <c r="B154" s="53"/>
      <c r="C154" s="36"/>
      <c r="D154" s="36"/>
      <c r="E154" s="52"/>
      <c r="F154" s="52"/>
      <c r="G154" s="36"/>
      <c r="H154" s="36"/>
      <c r="I154" s="36"/>
      <c r="J154" s="36"/>
      <c r="K154" s="52"/>
      <c r="L154" s="52"/>
      <c r="M154" s="36"/>
      <c r="N154" s="36"/>
      <c r="O154" s="49"/>
      <c r="P154" s="41"/>
      <c r="Q154" s="36"/>
      <c r="R154" s="36"/>
      <c r="S154" s="52"/>
      <c r="T154" s="52"/>
      <c r="U154" s="36"/>
      <c r="V154" s="36"/>
      <c r="W154" s="49"/>
      <c r="X154" s="41"/>
    </row>
    <row r="155" spans="2:24">
      <c r="B155" s="53"/>
      <c r="C155" s="36"/>
      <c r="D155" s="36"/>
      <c r="E155" s="52"/>
      <c r="F155" s="52"/>
      <c r="G155" s="36"/>
      <c r="H155" s="36"/>
      <c r="I155" s="36"/>
      <c r="J155" s="36"/>
      <c r="K155" s="52"/>
      <c r="L155" s="52"/>
      <c r="M155" s="36"/>
      <c r="N155" s="36"/>
      <c r="O155" s="49"/>
      <c r="P155" s="41"/>
      <c r="Q155" s="36"/>
      <c r="R155" s="36"/>
      <c r="S155" s="52"/>
      <c r="T155" s="52"/>
      <c r="U155" s="36"/>
      <c r="V155" s="36"/>
      <c r="W155" s="49"/>
      <c r="X155" s="41"/>
    </row>
    <row r="156" spans="2:24">
      <c r="B156" s="53"/>
      <c r="C156" s="36"/>
      <c r="D156" s="36"/>
      <c r="E156" s="52"/>
      <c r="F156" s="52"/>
      <c r="G156" s="36"/>
      <c r="H156" s="36"/>
      <c r="I156" s="36"/>
      <c r="J156" s="36"/>
      <c r="K156" s="52"/>
      <c r="L156" s="52"/>
      <c r="M156" s="36"/>
      <c r="N156" s="36"/>
      <c r="O156" s="49"/>
      <c r="P156" s="41"/>
      <c r="Q156" s="36"/>
      <c r="R156" s="36"/>
      <c r="S156" s="52"/>
      <c r="T156" s="52"/>
      <c r="U156" s="36"/>
      <c r="V156" s="36"/>
      <c r="W156" s="49"/>
      <c r="X156" s="41"/>
    </row>
    <row r="157" spans="2:24">
      <c r="B157" s="53"/>
      <c r="C157" s="36"/>
      <c r="D157" s="36"/>
      <c r="E157" s="52"/>
      <c r="F157" s="52"/>
      <c r="G157" s="36"/>
      <c r="H157" s="36"/>
      <c r="I157" s="36"/>
      <c r="J157" s="36"/>
      <c r="K157" s="52"/>
      <c r="L157" s="52"/>
      <c r="M157" s="36"/>
      <c r="N157" s="36"/>
      <c r="O157" s="49"/>
      <c r="P157" s="41"/>
      <c r="Q157" s="36"/>
      <c r="R157" s="36"/>
      <c r="S157" s="52"/>
      <c r="T157" s="52"/>
      <c r="U157" s="36"/>
      <c r="V157" s="36"/>
      <c r="W157" s="49"/>
      <c r="X157" s="41"/>
    </row>
    <row r="158" spans="2:24">
      <c r="B158" s="53"/>
      <c r="C158" s="36"/>
      <c r="D158" s="36"/>
      <c r="E158" s="52"/>
      <c r="F158" s="52"/>
      <c r="G158" s="36"/>
      <c r="H158" s="36"/>
      <c r="I158" s="36"/>
      <c r="J158" s="36"/>
      <c r="K158" s="52"/>
      <c r="L158" s="52"/>
      <c r="M158" s="36"/>
      <c r="N158" s="36"/>
      <c r="O158" s="49"/>
      <c r="P158" s="41"/>
      <c r="Q158" s="36"/>
      <c r="R158" s="36"/>
      <c r="S158" s="52"/>
      <c r="T158" s="52"/>
      <c r="U158" s="36"/>
      <c r="V158" s="36"/>
      <c r="W158" s="49"/>
      <c r="X158" s="41"/>
    </row>
    <row r="159" spans="2:24">
      <c r="B159" s="53"/>
      <c r="C159" s="36"/>
      <c r="D159" s="36"/>
      <c r="E159" s="52"/>
      <c r="F159" s="52"/>
      <c r="G159" s="36"/>
      <c r="H159" s="36"/>
      <c r="I159" s="36"/>
      <c r="J159" s="36"/>
      <c r="K159" s="52"/>
      <c r="L159" s="52"/>
      <c r="M159" s="36"/>
      <c r="N159" s="36"/>
      <c r="O159" s="49"/>
      <c r="P159" s="41"/>
      <c r="Q159" s="36"/>
      <c r="R159" s="36"/>
      <c r="S159" s="52"/>
      <c r="T159" s="52"/>
      <c r="U159" s="36"/>
      <c r="V159" s="36"/>
      <c r="W159" s="49"/>
      <c r="X159" s="41"/>
    </row>
    <row r="160" spans="2:24">
      <c r="B160" s="53"/>
      <c r="C160" s="36"/>
      <c r="D160" s="36"/>
      <c r="E160" s="52"/>
      <c r="F160" s="52"/>
      <c r="G160" s="36"/>
      <c r="H160" s="36"/>
      <c r="I160" s="36"/>
      <c r="J160" s="36"/>
      <c r="K160" s="52"/>
      <c r="L160" s="52"/>
      <c r="M160" s="36"/>
      <c r="N160" s="36"/>
      <c r="O160" s="49"/>
      <c r="P160" s="41"/>
      <c r="Q160" s="36"/>
      <c r="R160" s="36"/>
      <c r="S160" s="52"/>
      <c r="T160" s="52"/>
      <c r="U160" s="36"/>
      <c r="V160" s="36"/>
      <c r="W160" s="49"/>
      <c r="X160" s="41"/>
    </row>
    <row r="161" spans="2:24">
      <c r="B161" s="53"/>
      <c r="C161" s="36"/>
      <c r="D161" s="36"/>
      <c r="E161" s="52"/>
      <c r="F161" s="52"/>
      <c r="G161" s="36"/>
      <c r="H161" s="36"/>
      <c r="I161" s="36"/>
      <c r="J161" s="36"/>
      <c r="K161" s="52"/>
      <c r="L161" s="52"/>
      <c r="M161" s="36"/>
      <c r="N161" s="36"/>
      <c r="O161" s="49"/>
      <c r="P161" s="41"/>
      <c r="Q161" s="36"/>
      <c r="R161" s="36"/>
      <c r="S161" s="52"/>
      <c r="T161" s="52"/>
      <c r="U161" s="36"/>
      <c r="V161" s="36"/>
      <c r="W161" s="49"/>
      <c r="X161" s="41"/>
    </row>
    <row r="162" spans="2:24">
      <c r="B162" s="53"/>
      <c r="C162" s="36"/>
      <c r="D162" s="36"/>
      <c r="E162" s="52"/>
      <c r="F162" s="52"/>
      <c r="G162" s="36"/>
      <c r="H162" s="36"/>
      <c r="I162" s="36"/>
      <c r="J162" s="36"/>
      <c r="K162" s="52"/>
      <c r="L162" s="52"/>
      <c r="M162" s="36"/>
      <c r="N162" s="36"/>
      <c r="O162" s="49"/>
      <c r="P162" s="41"/>
      <c r="Q162" s="36"/>
      <c r="R162" s="36"/>
      <c r="S162" s="52"/>
      <c r="T162" s="52"/>
      <c r="U162" s="36"/>
      <c r="V162" s="36"/>
      <c r="W162" s="49"/>
      <c r="X162" s="41"/>
    </row>
    <row r="163" spans="2:24">
      <c r="B163" s="53"/>
      <c r="C163" s="36"/>
      <c r="D163" s="36"/>
      <c r="E163" s="52"/>
      <c r="F163" s="52"/>
      <c r="G163" s="36"/>
      <c r="H163" s="36"/>
      <c r="I163" s="36"/>
      <c r="J163" s="36"/>
      <c r="K163" s="52"/>
      <c r="L163" s="52"/>
      <c r="M163" s="36"/>
      <c r="N163" s="36"/>
      <c r="O163" s="49"/>
      <c r="P163" s="41"/>
      <c r="Q163" s="36"/>
      <c r="R163" s="36"/>
      <c r="S163" s="52"/>
      <c r="T163" s="52"/>
      <c r="U163" s="36"/>
      <c r="V163" s="36"/>
      <c r="W163" s="49"/>
      <c r="X163" s="41"/>
    </row>
    <row r="164" spans="2:24">
      <c r="B164" s="53"/>
      <c r="C164" s="36"/>
      <c r="D164" s="36"/>
      <c r="E164" s="52"/>
      <c r="F164" s="52"/>
      <c r="G164" s="36"/>
      <c r="H164" s="36"/>
      <c r="I164" s="36"/>
      <c r="J164" s="36"/>
      <c r="K164" s="52"/>
      <c r="L164" s="52"/>
      <c r="M164" s="36"/>
      <c r="N164" s="36"/>
      <c r="O164" s="49"/>
      <c r="P164" s="41"/>
      <c r="Q164" s="36"/>
      <c r="R164" s="36"/>
      <c r="S164" s="52"/>
      <c r="T164" s="52"/>
      <c r="U164" s="36"/>
      <c r="V164" s="36"/>
      <c r="W164" s="49"/>
      <c r="X164" s="41"/>
    </row>
    <row r="165" spans="2:24">
      <c r="B165" s="53"/>
      <c r="C165" s="36"/>
      <c r="D165" s="36"/>
      <c r="E165" s="52"/>
      <c r="F165" s="52"/>
      <c r="G165" s="36"/>
      <c r="H165" s="36"/>
      <c r="I165" s="36"/>
      <c r="J165" s="36"/>
      <c r="K165" s="52"/>
      <c r="L165" s="52"/>
      <c r="M165" s="36"/>
      <c r="N165" s="36"/>
      <c r="O165" s="49"/>
      <c r="P165" s="41"/>
      <c r="Q165" s="36"/>
      <c r="R165" s="36"/>
      <c r="S165" s="52"/>
      <c r="T165" s="52"/>
      <c r="U165" s="36"/>
      <c r="V165" s="36"/>
      <c r="W165" s="49"/>
      <c r="X165" s="41"/>
    </row>
    <row r="166" spans="2:24">
      <c r="B166" s="53"/>
      <c r="C166" s="36"/>
      <c r="D166" s="36"/>
      <c r="E166" s="52"/>
      <c r="F166" s="52"/>
      <c r="G166" s="36"/>
      <c r="H166" s="36"/>
      <c r="I166" s="36"/>
      <c r="J166" s="36"/>
      <c r="K166" s="52"/>
      <c r="L166" s="52"/>
      <c r="M166" s="36"/>
      <c r="N166" s="36"/>
      <c r="O166" s="49"/>
      <c r="P166" s="41"/>
      <c r="Q166" s="36"/>
      <c r="R166" s="36"/>
      <c r="S166" s="52"/>
      <c r="T166" s="52"/>
      <c r="U166" s="36"/>
      <c r="V166" s="36"/>
      <c r="W166" s="49"/>
      <c r="X166" s="41"/>
    </row>
    <row r="167" spans="2:24">
      <c r="B167" s="53"/>
      <c r="C167" s="36"/>
      <c r="D167" s="36"/>
      <c r="E167" s="52"/>
      <c r="F167" s="52"/>
      <c r="G167" s="36"/>
      <c r="H167" s="36"/>
      <c r="I167" s="36"/>
      <c r="J167" s="36"/>
      <c r="K167" s="52"/>
      <c r="L167" s="52"/>
      <c r="M167" s="36"/>
      <c r="N167" s="36"/>
      <c r="O167" s="49"/>
      <c r="P167" s="41"/>
      <c r="Q167" s="36"/>
      <c r="R167" s="36"/>
      <c r="S167" s="52"/>
      <c r="T167" s="52"/>
      <c r="U167" s="36"/>
      <c r="V167" s="36"/>
      <c r="W167" s="49"/>
      <c r="X167" s="41"/>
    </row>
    <row r="168" spans="2:24">
      <c r="B168" s="53"/>
      <c r="C168" s="36"/>
      <c r="D168" s="36"/>
      <c r="E168" s="52"/>
      <c r="F168" s="52"/>
      <c r="G168" s="36"/>
      <c r="H168" s="36"/>
      <c r="I168" s="36"/>
      <c r="J168" s="36"/>
      <c r="K168" s="52"/>
      <c r="L168" s="52"/>
      <c r="M168" s="36"/>
      <c r="N168" s="36"/>
      <c r="O168" s="49"/>
      <c r="P168" s="41"/>
      <c r="Q168" s="36"/>
      <c r="R168" s="36"/>
      <c r="S168" s="52"/>
      <c r="T168" s="52"/>
      <c r="U168" s="36"/>
      <c r="V168" s="36"/>
      <c r="W168" s="49"/>
      <c r="X168" s="41"/>
    </row>
    <row r="169" spans="2:24">
      <c r="B169" s="53"/>
      <c r="C169" s="36"/>
      <c r="D169" s="36"/>
      <c r="E169" s="52"/>
      <c r="F169" s="52"/>
      <c r="G169" s="36"/>
      <c r="H169" s="36"/>
      <c r="I169" s="36"/>
      <c r="J169" s="36"/>
      <c r="K169" s="52"/>
      <c r="L169" s="52"/>
      <c r="M169" s="36"/>
      <c r="N169" s="36"/>
      <c r="O169" s="49"/>
      <c r="P169" s="41"/>
      <c r="Q169" s="36"/>
      <c r="R169" s="36"/>
      <c r="S169" s="52"/>
      <c r="T169" s="52"/>
      <c r="U169" s="36"/>
      <c r="V169" s="36"/>
      <c r="W169" s="49"/>
      <c r="X169" s="41"/>
    </row>
    <row r="170" spans="2:24">
      <c r="B170" s="53"/>
      <c r="C170" s="36"/>
      <c r="D170" s="36"/>
      <c r="E170" s="52"/>
      <c r="F170" s="52"/>
      <c r="G170" s="36"/>
      <c r="H170" s="36"/>
      <c r="I170" s="36"/>
      <c r="J170" s="36"/>
      <c r="K170" s="52"/>
      <c r="L170" s="52"/>
      <c r="M170" s="36"/>
      <c r="N170" s="36"/>
      <c r="O170" s="49"/>
      <c r="P170" s="41"/>
      <c r="Q170" s="36"/>
      <c r="R170" s="36"/>
      <c r="S170" s="52"/>
      <c r="T170" s="52"/>
      <c r="U170" s="36"/>
      <c r="V170" s="36"/>
      <c r="W170" s="49"/>
      <c r="X170" s="41"/>
    </row>
    <row r="171" spans="2:24">
      <c r="B171" s="53"/>
      <c r="C171" s="36"/>
      <c r="D171" s="36"/>
      <c r="E171" s="52"/>
      <c r="F171" s="52"/>
      <c r="G171" s="36"/>
      <c r="H171" s="36"/>
      <c r="I171" s="36"/>
      <c r="J171" s="36"/>
      <c r="K171" s="52"/>
      <c r="L171" s="52"/>
      <c r="M171" s="36"/>
      <c r="N171" s="36"/>
      <c r="O171" s="49"/>
      <c r="P171" s="41"/>
      <c r="Q171" s="36"/>
      <c r="R171" s="36"/>
      <c r="S171" s="52"/>
      <c r="T171" s="52"/>
      <c r="U171" s="36"/>
      <c r="V171" s="36"/>
      <c r="W171" s="49"/>
      <c r="X171" s="41"/>
    </row>
    <row r="172" spans="2:24">
      <c r="B172" s="53"/>
      <c r="C172" s="36"/>
      <c r="D172" s="36"/>
      <c r="E172" s="52"/>
      <c r="F172" s="52"/>
      <c r="G172" s="36"/>
      <c r="H172" s="36"/>
      <c r="I172" s="36"/>
      <c r="J172" s="36"/>
      <c r="K172" s="52"/>
      <c r="L172" s="52"/>
      <c r="M172" s="36"/>
      <c r="N172" s="36"/>
      <c r="O172" s="49"/>
      <c r="P172" s="41"/>
      <c r="Q172" s="36"/>
      <c r="R172" s="36"/>
      <c r="S172" s="52"/>
      <c r="T172" s="52"/>
      <c r="U172" s="36"/>
      <c r="V172" s="36"/>
      <c r="W172" s="49"/>
      <c r="X172" s="41"/>
    </row>
    <row r="173" spans="2:24">
      <c r="B173" s="53"/>
      <c r="C173" s="36"/>
      <c r="D173" s="36"/>
      <c r="E173" s="52"/>
      <c r="F173" s="52"/>
      <c r="G173" s="36"/>
      <c r="H173" s="36"/>
      <c r="I173" s="36"/>
      <c r="J173" s="36"/>
      <c r="K173" s="52"/>
      <c r="L173" s="52"/>
      <c r="M173" s="36"/>
      <c r="N173" s="36"/>
      <c r="O173" s="49"/>
      <c r="P173" s="41"/>
      <c r="Q173" s="36"/>
      <c r="R173" s="36"/>
      <c r="S173" s="52"/>
      <c r="T173" s="52"/>
      <c r="U173" s="36"/>
      <c r="V173" s="36"/>
      <c r="W173" s="49"/>
      <c r="X173" s="41"/>
    </row>
    <row r="174" spans="2:24">
      <c r="B174" s="53"/>
      <c r="C174" s="36"/>
      <c r="D174" s="36"/>
      <c r="E174" s="52"/>
      <c r="F174" s="52"/>
      <c r="G174" s="36"/>
      <c r="H174" s="36"/>
      <c r="I174" s="36"/>
      <c r="J174" s="36"/>
      <c r="K174" s="52"/>
      <c r="L174" s="52"/>
      <c r="M174" s="36"/>
      <c r="N174" s="36"/>
      <c r="O174" s="49"/>
      <c r="P174" s="41"/>
      <c r="Q174" s="36"/>
      <c r="R174" s="36"/>
      <c r="S174" s="52"/>
      <c r="T174" s="52"/>
      <c r="U174" s="36"/>
      <c r="V174" s="36"/>
      <c r="W174" s="49"/>
      <c r="X174" s="41"/>
    </row>
    <row r="175" spans="2:24">
      <c r="B175" s="53"/>
      <c r="C175" s="36"/>
      <c r="D175" s="36"/>
      <c r="E175" s="52"/>
      <c r="F175" s="52"/>
      <c r="G175" s="36"/>
      <c r="H175" s="36"/>
      <c r="I175" s="36"/>
      <c r="J175" s="36"/>
      <c r="K175" s="52"/>
      <c r="L175" s="52"/>
      <c r="M175" s="36"/>
      <c r="N175" s="36"/>
      <c r="O175" s="49"/>
      <c r="P175" s="41"/>
      <c r="Q175" s="36"/>
      <c r="R175" s="36"/>
      <c r="S175" s="52"/>
      <c r="T175" s="52"/>
      <c r="U175" s="36"/>
      <c r="V175" s="36"/>
      <c r="W175" s="49"/>
      <c r="X175" s="41"/>
    </row>
    <row r="176" spans="2:24">
      <c r="B176" s="53"/>
      <c r="C176" s="36"/>
      <c r="D176" s="36"/>
      <c r="E176" s="52"/>
      <c r="F176" s="52"/>
      <c r="G176" s="36"/>
      <c r="H176" s="36"/>
      <c r="I176" s="36"/>
      <c r="J176" s="36"/>
      <c r="K176" s="52"/>
      <c r="L176" s="52"/>
      <c r="M176" s="36"/>
      <c r="N176" s="36"/>
      <c r="O176" s="49"/>
      <c r="P176" s="41"/>
      <c r="Q176" s="36"/>
      <c r="R176" s="36"/>
      <c r="S176" s="52"/>
      <c r="T176" s="52"/>
      <c r="U176" s="36"/>
      <c r="V176" s="36"/>
      <c r="W176" s="49"/>
      <c r="X176" s="41"/>
    </row>
    <row r="177" spans="2:24">
      <c r="B177" s="53"/>
      <c r="C177" s="36"/>
      <c r="D177" s="36"/>
      <c r="E177" s="52"/>
      <c r="F177" s="52"/>
      <c r="G177" s="36"/>
      <c r="H177" s="36"/>
      <c r="I177" s="36"/>
      <c r="J177" s="36"/>
      <c r="K177" s="52"/>
      <c r="L177" s="52"/>
      <c r="M177" s="36"/>
      <c r="N177" s="36"/>
      <c r="O177" s="49"/>
      <c r="P177" s="41"/>
      <c r="Q177" s="36"/>
      <c r="R177" s="36"/>
      <c r="S177" s="52"/>
      <c r="T177" s="52"/>
      <c r="U177" s="36"/>
      <c r="V177" s="36"/>
      <c r="W177" s="49"/>
      <c r="X177" s="41"/>
    </row>
    <row r="178" spans="2:24">
      <c r="B178" s="53"/>
      <c r="C178" s="36"/>
      <c r="D178" s="36"/>
      <c r="E178" s="52"/>
      <c r="F178" s="52"/>
      <c r="G178" s="36"/>
      <c r="H178" s="36"/>
      <c r="I178" s="36"/>
      <c r="J178" s="36"/>
      <c r="K178" s="52"/>
      <c r="L178" s="52"/>
      <c r="M178" s="36"/>
      <c r="N178" s="36"/>
      <c r="O178" s="49"/>
      <c r="P178" s="41"/>
      <c r="Q178" s="36"/>
      <c r="R178" s="36"/>
      <c r="S178" s="52"/>
      <c r="T178" s="52"/>
      <c r="U178" s="36"/>
      <c r="V178" s="36"/>
      <c r="W178" s="49"/>
      <c r="X178" s="41"/>
    </row>
    <row r="179" spans="2:24">
      <c r="B179" s="53"/>
      <c r="C179" s="36"/>
      <c r="D179" s="36"/>
      <c r="E179" s="52"/>
      <c r="F179" s="52"/>
      <c r="G179" s="36"/>
      <c r="H179" s="36"/>
      <c r="I179" s="36"/>
      <c r="J179" s="36"/>
      <c r="K179" s="52"/>
      <c r="L179" s="52"/>
      <c r="M179" s="36"/>
      <c r="N179" s="36"/>
      <c r="O179" s="49"/>
      <c r="P179" s="41"/>
      <c r="Q179" s="36"/>
      <c r="R179" s="36"/>
      <c r="S179" s="52"/>
      <c r="T179" s="52"/>
      <c r="U179" s="36"/>
      <c r="V179" s="36"/>
      <c r="W179" s="49"/>
      <c r="X179" s="41"/>
    </row>
    <row r="180" spans="2:24">
      <c r="B180" s="53"/>
      <c r="C180" s="36"/>
      <c r="D180" s="36"/>
      <c r="E180" s="52"/>
      <c r="F180" s="52"/>
      <c r="G180" s="36"/>
      <c r="H180" s="36"/>
      <c r="I180" s="36"/>
      <c r="J180" s="36"/>
      <c r="K180" s="52"/>
      <c r="L180" s="52"/>
      <c r="M180" s="36"/>
      <c r="N180" s="36"/>
      <c r="O180" s="49"/>
      <c r="P180" s="41"/>
      <c r="Q180" s="36"/>
      <c r="R180" s="36"/>
      <c r="S180" s="52"/>
      <c r="T180" s="52"/>
      <c r="U180" s="36"/>
      <c r="V180" s="36"/>
      <c r="W180" s="49"/>
      <c r="X180" s="41"/>
    </row>
    <row r="181" spans="2:24">
      <c r="B181" s="53"/>
      <c r="C181" s="36"/>
      <c r="D181" s="36"/>
      <c r="E181" s="52"/>
      <c r="F181" s="52"/>
      <c r="G181" s="36"/>
      <c r="H181" s="36"/>
      <c r="I181" s="36"/>
      <c r="J181" s="36"/>
      <c r="K181" s="52"/>
      <c r="L181" s="52"/>
      <c r="M181" s="36"/>
      <c r="N181" s="36"/>
      <c r="O181" s="49"/>
      <c r="P181" s="41"/>
      <c r="Q181" s="36"/>
      <c r="R181" s="36"/>
      <c r="S181" s="52"/>
      <c r="T181" s="52"/>
      <c r="U181" s="36"/>
      <c r="V181" s="36"/>
      <c r="W181" s="49"/>
      <c r="X181" s="41"/>
    </row>
    <row r="182" spans="2:24">
      <c r="B182" s="53"/>
      <c r="C182" s="36"/>
      <c r="D182" s="36"/>
      <c r="E182" s="52"/>
      <c r="F182" s="52"/>
      <c r="G182" s="36"/>
      <c r="H182" s="36"/>
      <c r="I182" s="36"/>
      <c r="J182" s="36"/>
      <c r="K182" s="52"/>
      <c r="L182" s="52"/>
      <c r="M182" s="36"/>
      <c r="N182" s="36"/>
      <c r="O182" s="49"/>
      <c r="P182" s="41"/>
      <c r="Q182" s="36"/>
      <c r="R182" s="36"/>
      <c r="S182" s="52"/>
      <c r="T182" s="52"/>
      <c r="U182" s="36"/>
      <c r="V182" s="36"/>
      <c r="W182" s="49"/>
      <c r="X182" s="41"/>
    </row>
    <row r="183" spans="2:24">
      <c r="B183" s="53"/>
      <c r="C183" s="36"/>
      <c r="D183" s="36"/>
      <c r="E183" s="52"/>
      <c r="F183" s="52"/>
      <c r="G183" s="36"/>
      <c r="H183" s="36"/>
      <c r="I183" s="36"/>
      <c r="J183" s="36"/>
      <c r="K183" s="52"/>
      <c r="L183" s="52"/>
      <c r="M183" s="36"/>
      <c r="N183" s="36"/>
      <c r="O183" s="49"/>
      <c r="P183" s="41"/>
      <c r="Q183" s="36"/>
      <c r="R183" s="36"/>
      <c r="S183" s="52"/>
      <c r="T183" s="52"/>
      <c r="U183" s="36"/>
      <c r="V183" s="36"/>
      <c r="W183" s="49"/>
      <c r="X183" s="41"/>
    </row>
    <row r="184" spans="2:24">
      <c r="B184" s="53"/>
      <c r="C184" s="36"/>
      <c r="D184" s="36"/>
      <c r="E184" s="52"/>
      <c r="F184" s="52"/>
      <c r="G184" s="36"/>
      <c r="H184" s="36"/>
      <c r="I184" s="36"/>
      <c r="J184" s="36"/>
      <c r="K184" s="52"/>
      <c r="L184" s="52"/>
      <c r="M184" s="36"/>
      <c r="N184" s="36"/>
      <c r="O184" s="49"/>
      <c r="P184" s="41"/>
      <c r="Q184" s="36"/>
      <c r="R184" s="36"/>
      <c r="S184" s="52"/>
      <c r="T184" s="52"/>
      <c r="U184" s="36"/>
      <c r="V184" s="36"/>
      <c r="W184" s="49"/>
      <c r="X184" s="41"/>
    </row>
    <row r="185" spans="2:24">
      <c r="B185" s="53"/>
      <c r="C185" s="36"/>
      <c r="D185" s="36"/>
      <c r="E185" s="52"/>
      <c r="F185" s="52"/>
      <c r="G185" s="36"/>
      <c r="H185" s="36"/>
      <c r="I185" s="36"/>
      <c r="J185" s="36"/>
      <c r="K185" s="52"/>
      <c r="L185" s="52"/>
      <c r="M185" s="36"/>
      <c r="N185" s="36"/>
      <c r="O185" s="49"/>
      <c r="P185" s="41"/>
      <c r="Q185" s="36"/>
      <c r="R185" s="36"/>
      <c r="S185" s="52"/>
      <c r="T185" s="52"/>
      <c r="U185" s="36"/>
      <c r="V185" s="36"/>
      <c r="W185" s="49"/>
      <c r="X185" s="41"/>
    </row>
    <row r="186" spans="2:24">
      <c r="B186" s="53"/>
      <c r="C186" s="36"/>
      <c r="D186" s="36"/>
      <c r="E186" s="52"/>
      <c r="F186" s="52"/>
      <c r="G186" s="36"/>
      <c r="H186" s="36"/>
      <c r="I186" s="36"/>
      <c r="J186" s="36"/>
      <c r="K186" s="52"/>
      <c r="L186" s="52"/>
      <c r="M186" s="36"/>
      <c r="N186" s="36"/>
      <c r="O186" s="49"/>
      <c r="P186" s="41"/>
      <c r="Q186" s="36"/>
      <c r="R186" s="36"/>
      <c r="S186" s="52"/>
      <c r="T186" s="52"/>
      <c r="U186" s="36"/>
      <c r="V186" s="36"/>
      <c r="W186" s="49"/>
      <c r="X186" s="41"/>
    </row>
    <row r="187" spans="2:24">
      <c r="B187" s="53"/>
      <c r="C187" s="36"/>
      <c r="D187" s="36"/>
      <c r="E187" s="52"/>
      <c r="F187" s="52"/>
      <c r="G187" s="36"/>
      <c r="H187" s="36"/>
      <c r="I187" s="36"/>
      <c r="J187" s="36"/>
      <c r="K187" s="52"/>
      <c r="L187" s="52"/>
      <c r="M187" s="36"/>
      <c r="N187" s="36"/>
      <c r="O187" s="49"/>
      <c r="P187" s="41"/>
      <c r="Q187" s="36"/>
      <c r="R187" s="36"/>
      <c r="S187" s="52"/>
      <c r="T187" s="52"/>
      <c r="U187" s="36"/>
      <c r="V187" s="36"/>
      <c r="W187" s="49"/>
      <c r="X187" s="41"/>
    </row>
    <row r="188" spans="2:24">
      <c r="B188" s="53"/>
      <c r="C188" s="36"/>
      <c r="D188" s="36"/>
      <c r="E188" s="52"/>
      <c r="F188" s="52"/>
      <c r="G188" s="36"/>
      <c r="H188" s="36"/>
      <c r="I188" s="36"/>
      <c r="J188" s="36"/>
      <c r="K188" s="52"/>
      <c r="L188" s="52"/>
      <c r="M188" s="36"/>
      <c r="N188" s="36"/>
      <c r="O188" s="49"/>
      <c r="P188" s="41"/>
      <c r="Q188" s="36"/>
      <c r="R188" s="36"/>
      <c r="S188" s="52"/>
      <c r="T188" s="52"/>
      <c r="U188" s="36"/>
      <c r="V188" s="36"/>
      <c r="W188" s="49"/>
      <c r="X188" s="41"/>
    </row>
    <row r="189" spans="2:24">
      <c r="B189" s="53"/>
      <c r="C189" s="36"/>
      <c r="D189" s="36"/>
      <c r="E189" s="52"/>
      <c r="F189" s="52"/>
      <c r="G189" s="36"/>
      <c r="H189" s="36"/>
      <c r="I189" s="36"/>
      <c r="J189" s="36"/>
      <c r="K189" s="52"/>
      <c r="L189" s="52"/>
      <c r="M189" s="36"/>
      <c r="N189" s="36"/>
      <c r="O189" s="49"/>
      <c r="P189" s="41"/>
      <c r="Q189" s="36"/>
      <c r="R189" s="36"/>
      <c r="S189" s="52"/>
      <c r="T189" s="52"/>
      <c r="U189" s="36"/>
      <c r="V189" s="36"/>
      <c r="W189" s="49"/>
      <c r="X189" s="41"/>
    </row>
    <row r="190" spans="2:24">
      <c r="B190" s="53"/>
      <c r="C190" s="36"/>
      <c r="D190" s="36"/>
      <c r="E190" s="52"/>
      <c r="F190" s="52"/>
      <c r="G190" s="36"/>
      <c r="H190" s="36"/>
      <c r="I190" s="36"/>
      <c r="J190" s="36"/>
      <c r="K190" s="52"/>
      <c r="L190" s="52"/>
      <c r="M190" s="36"/>
      <c r="N190" s="36"/>
      <c r="O190" s="49"/>
      <c r="P190" s="41"/>
      <c r="Q190" s="36"/>
      <c r="R190" s="36"/>
      <c r="S190" s="52"/>
      <c r="T190" s="52"/>
      <c r="U190" s="36"/>
      <c r="V190" s="36"/>
      <c r="W190" s="49"/>
      <c r="X190" s="41"/>
    </row>
    <row r="191" spans="2:24">
      <c r="B191" s="53"/>
      <c r="C191" s="36"/>
      <c r="D191" s="36"/>
      <c r="E191" s="52"/>
      <c r="F191" s="52"/>
      <c r="G191" s="36"/>
      <c r="H191" s="36"/>
      <c r="I191" s="36"/>
      <c r="J191" s="36"/>
      <c r="K191" s="52"/>
      <c r="L191" s="52"/>
      <c r="M191" s="36"/>
      <c r="N191" s="36"/>
      <c r="O191" s="49"/>
      <c r="P191" s="41"/>
      <c r="Q191" s="36"/>
      <c r="R191" s="36"/>
      <c r="S191" s="52"/>
      <c r="T191" s="52"/>
      <c r="U191" s="36"/>
      <c r="V191" s="36"/>
      <c r="W191" s="49"/>
      <c r="X191" s="41"/>
    </row>
    <row r="192" spans="2:24">
      <c r="B192" s="53"/>
      <c r="C192" s="36"/>
      <c r="D192" s="36"/>
      <c r="E192" s="52"/>
      <c r="F192" s="52"/>
      <c r="G192" s="36"/>
      <c r="H192" s="36"/>
      <c r="I192" s="36"/>
      <c r="J192" s="36"/>
      <c r="K192" s="52"/>
      <c r="L192" s="52"/>
      <c r="M192" s="36"/>
      <c r="N192" s="36"/>
      <c r="O192" s="49"/>
      <c r="P192" s="41"/>
      <c r="Q192" s="36"/>
      <c r="R192" s="36"/>
      <c r="S192" s="52"/>
      <c r="T192" s="52"/>
      <c r="U192" s="36"/>
      <c r="V192" s="36"/>
      <c r="W192" s="49"/>
      <c r="X192" s="41"/>
    </row>
    <row r="193" spans="2:24">
      <c r="B193" s="53"/>
      <c r="C193" s="36"/>
      <c r="D193" s="36"/>
      <c r="E193" s="52"/>
      <c r="F193" s="52"/>
      <c r="G193" s="36"/>
      <c r="H193" s="36"/>
      <c r="I193" s="36"/>
      <c r="J193" s="36"/>
      <c r="K193" s="52"/>
      <c r="L193" s="52"/>
      <c r="M193" s="36"/>
      <c r="N193" s="36"/>
      <c r="O193" s="49"/>
      <c r="P193" s="41"/>
      <c r="Q193" s="36"/>
      <c r="R193" s="36"/>
      <c r="S193" s="52"/>
      <c r="T193" s="52"/>
      <c r="U193" s="36"/>
      <c r="V193" s="36"/>
      <c r="W193" s="49"/>
      <c r="X193" s="41"/>
    </row>
    <row r="194" spans="2:24">
      <c r="B194" s="53"/>
      <c r="C194" s="36"/>
      <c r="D194" s="36"/>
      <c r="E194" s="52"/>
      <c r="F194" s="52"/>
      <c r="G194" s="36"/>
      <c r="H194" s="36"/>
      <c r="I194" s="36"/>
      <c r="J194" s="36"/>
      <c r="K194" s="52"/>
      <c r="L194" s="52"/>
      <c r="M194" s="36"/>
      <c r="N194" s="36"/>
      <c r="O194" s="49"/>
      <c r="P194" s="41"/>
      <c r="Q194" s="36"/>
      <c r="R194" s="36"/>
      <c r="S194" s="52"/>
      <c r="T194" s="52"/>
      <c r="U194" s="36"/>
      <c r="V194" s="36"/>
      <c r="W194" s="49"/>
      <c r="X194" s="41"/>
    </row>
    <row r="195" spans="2:24">
      <c r="B195" s="53"/>
      <c r="C195" s="36"/>
      <c r="D195" s="36"/>
      <c r="E195" s="52"/>
      <c r="F195" s="52"/>
      <c r="G195" s="36"/>
      <c r="H195" s="36"/>
      <c r="I195" s="36"/>
      <c r="J195" s="36"/>
      <c r="K195" s="52"/>
      <c r="L195" s="52"/>
      <c r="M195" s="36"/>
      <c r="N195" s="36"/>
      <c r="O195" s="49"/>
      <c r="P195" s="41"/>
      <c r="Q195" s="36"/>
      <c r="R195" s="36"/>
      <c r="S195" s="52"/>
      <c r="T195" s="52"/>
      <c r="U195" s="36"/>
      <c r="V195" s="36"/>
      <c r="W195" s="49"/>
      <c r="X195" s="41"/>
    </row>
    <row r="196" spans="2:24">
      <c r="B196" s="53"/>
      <c r="C196" s="36"/>
      <c r="D196" s="36"/>
      <c r="E196" s="52"/>
      <c r="F196" s="52"/>
      <c r="G196" s="36"/>
      <c r="H196" s="36"/>
      <c r="I196" s="36"/>
      <c r="J196" s="36"/>
      <c r="K196" s="52"/>
      <c r="L196" s="52"/>
      <c r="M196" s="36"/>
      <c r="N196" s="36"/>
      <c r="O196" s="49"/>
      <c r="P196" s="41"/>
      <c r="Q196" s="36"/>
      <c r="R196" s="36"/>
      <c r="S196" s="52"/>
      <c r="T196" s="52"/>
      <c r="U196" s="36"/>
      <c r="V196" s="36"/>
      <c r="W196" s="49"/>
      <c r="X196" s="41"/>
    </row>
    <row r="197" spans="2:24">
      <c r="B197" s="53"/>
      <c r="C197" s="36"/>
      <c r="D197" s="36"/>
      <c r="E197" s="52"/>
      <c r="F197" s="52"/>
      <c r="G197" s="36"/>
      <c r="H197" s="36"/>
      <c r="I197" s="36"/>
      <c r="J197" s="36"/>
      <c r="K197" s="52"/>
      <c r="L197" s="52"/>
      <c r="M197" s="36"/>
      <c r="N197" s="36"/>
      <c r="O197" s="49"/>
      <c r="P197" s="41"/>
      <c r="Q197" s="36"/>
      <c r="R197" s="36"/>
      <c r="S197" s="52"/>
      <c r="T197" s="52"/>
      <c r="U197" s="36"/>
      <c r="V197" s="36"/>
      <c r="W197" s="49"/>
      <c r="X197" s="41"/>
    </row>
    <row r="198" spans="2:24">
      <c r="B198" s="53"/>
      <c r="C198" s="36"/>
      <c r="D198" s="36"/>
      <c r="E198" s="52"/>
      <c r="F198" s="52"/>
      <c r="G198" s="36"/>
      <c r="H198" s="36"/>
      <c r="I198" s="36"/>
      <c r="J198" s="36"/>
      <c r="K198" s="52"/>
      <c r="L198" s="52"/>
      <c r="M198" s="36"/>
      <c r="N198" s="36"/>
      <c r="O198" s="49"/>
      <c r="P198" s="41"/>
      <c r="Q198" s="36"/>
      <c r="R198" s="36"/>
      <c r="S198" s="52"/>
      <c r="T198" s="52"/>
      <c r="U198" s="36"/>
      <c r="V198" s="36"/>
      <c r="W198" s="49"/>
      <c r="X198" s="41"/>
    </row>
    <row r="199" spans="2:24">
      <c r="B199" s="54"/>
      <c r="C199" s="55"/>
      <c r="D199" s="55"/>
      <c r="E199" s="56"/>
      <c r="F199" s="56"/>
      <c r="G199" s="55"/>
      <c r="H199" s="55"/>
      <c r="I199" s="55"/>
      <c r="J199" s="55"/>
      <c r="K199" s="56"/>
      <c r="L199" s="56"/>
      <c r="M199" s="55"/>
      <c r="N199" s="55"/>
      <c r="O199" s="57"/>
      <c r="P199" s="58"/>
      <c r="Q199" s="55"/>
      <c r="R199" s="55"/>
      <c r="S199" s="56"/>
      <c r="T199" s="56"/>
      <c r="U199" s="55"/>
      <c r="V199" s="55"/>
      <c r="W199" s="57"/>
      <c r="X199" s="58"/>
    </row>
  </sheetData>
  <phoneticPr fontId="8" type="noConversion"/>
  <conditionalFormatting sqref="G3:H103">
    <cfRule type="cellIs" dxfId="26" priority="58" stopIfTrue="1" operator="equal">
      <formula>50</formula>
    </cfRule>
    <cfRule type="cellIs" dxfId="25" priority="59" stopIfTrue="1" operator="lessThan">
      <formula>50</formula>
    </cfRule>
    <cfRule type="cellIs" dxfId="24" priority="60" stopIfTrue="1" operator="greaterThan">
      <formula>50</formula>
    </cfRule>
  </conditionalFormatting>
  <conditionalFormatting sqref="H3:H103">
    <cfRule type="cellIs" dxfId="23" priority="52" stopIfTrue="1" operator="between">
      <formula>15</formula>
      <formula>20</formula>
    </cfRule>
    <cfRule type="cellIs" dxfId="22" priority="53" stopIfTrue="1" operator="lessThan">
      <formula>15</formula>
    </cfRule>
    <cfRule type="cellIs" dxfId="21" priority="54" stopIfTrue="1" operator="greaterThan">
      <formula>20</formula>
    </cfRule>
    <cfRule type="cellIs" dxfId="20" priority="55" stopIfTrue="1" operator="between">
      <formula>15</formula>
      <formula>20</formula>
    </cfRule>
    <cfRule type="cellIs" dxfId="19" priority="56" stopIfTrue="1" operator="lessThan">
      <formula>15</formula>
    </cfRule>
    <cfRule type="cellIs" dxfId="18" priority="57" stopIfTrue="1" operator="greaterThan">
      <formula>20</formula>
    </cfRule>
  </conditionalFormatting>
  <conditionalFormatting sqref="M3:N103">
    <cfRule type="cellIs" dxfId="17" priority="16" stopIfTrue="1" operator="equal">
      <formula>50</formula>
    </cfRule>
    <cfRule type="cellIs" dxfId="16" priority="17" stopIfTrue="1" operator="lessThan">
      <formula>50</formula>
    </cfRule>
    <cfRule type="cellIs" dxfId="15" priority="18" stopIfTrue="1" operator="greaterThan">
      <formula>50</formula>
    </cfRule>
  </conditionalFormatting>
  <conditionalFormatting sqref="N3:N103">
    <cfRule type="cellIs" dxfId="14" priority="10" stopIfTrue="1" operator="between">
      <formula>15</formula>
      <formula>20</formula>
    </cfRule>
    <cfRule type="cellIs" dxfId="13" priority="11" stopIfTrue="1" operator="lessThan">
      <formula>15</formula>
    </cfRule>
    <cfRule type="cellIs" dxfId="12" priority="12" stopIfTrue="1" operator="greaterThan">
      <formula>20</formula>
    </cfRule>
    <cfRule type="cellIs" dxfId="11" priority="13" stopIfTrue="1" operator="between">
      <formula>15</formula>
      <formula>20</formula>
    </cfRule>
    <cfRule type="cellIs" dxfId="10" priority="14" stopIfTrue="1" operator="lessThan">
      <formula>15</formula>
    </cfRule>
    <cfRule type="cellIs" dxfId="9" priority="15" stopIfTrue="1" operator="greaterThan">
      <formula>20</formula>
    </cfRule>
  </conditionalFormatting>
  <conditionalFormatting sqref="U3:V113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V3:V113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2026-01-12T13:11:01Z</dcterms:modified>
</cp:coreProperties>
</file>