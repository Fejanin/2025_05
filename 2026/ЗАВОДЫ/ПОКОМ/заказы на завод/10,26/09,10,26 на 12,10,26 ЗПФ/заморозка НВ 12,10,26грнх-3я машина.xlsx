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6F0F1A-129D-439E-BC49-C86BC250E71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BO276" i="2"/>
  <c r="BM276" i="2"/>
  <c r="Z276" i="2"/>
  <c r="Y276" i="2"/>
  <c r="BN276" i="2" s="1"/>
  <c r="BO275" i="2"/>
  <c r="BM275" i="2"/>
  <c r="Z275" i="2"/>
  <c r="Y275" i="2"/>
  <c r="BP275" i="2" s="1"/>
  <c r="P275" i="2"/>
  <c r="BO274" i="2"/>
  <c r="BM274" i="2"/>
  <c r="Z274" i="2"/>
  <c r="Y274" i="2"/>
  <c r="BP274" i="2" s="1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X268" i="2"/>
  <c r="X267" i="2"/>
  <c r="BO266" i="2"/>
  <c r="BM266" i="2"/>
  <c r="Z266" i="2"/>
  <c r="Y266" i="2"/>
  <c r="BP266" i="2" s="1"/>
  <c r="BO265" i="2"/>
  <c r="BM265" i="2"/>
  <c r="Z265" i="2"/>
  <c r="Y265" i="2"/>
  <c r="BN265" i="2" s="1"/>
  <c r="BO264" i="2"/>
  <c r="BM264" i="2"/>
  <c r="Z264" i="2"/>
  <c r="Y264" i="2"/>
  <c r="BP264" i="2" s="1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51" i="2"/>
  <c r="X250" i="2"/>
  <c r="BO249" i="2"/>
  <c r="BM249" i="2"/>
  <c r="Z249" i="2"/>
  <c r="Z250" i="2" s="1"/>
  <c r="Y249" i="2"/>
  <c r="Y251" i="2" s="1"/>
  <c r="P249" i="2"/>
  <c r="X245" i="2"/>
  <c r="Y244" i="2"/>
  <c r="X244" i="2"/>
  <c r="BO243" i="2"/>
  <c r="BM243" i="2"/>
  <c r="Z243" i="2"/>
  <c r="Z244" i="2" s="1"/>
  <c r="Y243" i="2"/>
  <c r="Y245" i="2" s="1"/>
  <c r="P243" i="2"/>
  <c r="X241" i="2"/>
  <c r="X240" i="2"/>
  <c r="BO239" i="2"/>
  <c r="BM239" i="2"/>
  <c r="Z239" i="2"/>
  <c r="Z240" i="2" s="1"/>
  <c r="Y239" i="2"/>
  <c r="Y240" i="2" s="1"/>
  <c r="P239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4" i="2"/>
  <c r="X223" i="2"/>
  <c r="BP222" i="2"/>
  <c r="BO222" i="2"/>
  <c r="BN222" i="2"/>
  <c r="BM222" i="2"/>
  <c r="Z222" i="2"/>
  <c r="Y222" i="2"/>
  <c r="P222" i="2"/>
  <c r="BO221" i="2"/>
  <c r="BM221" i="2"/>
  <c r="Z221" i="2"/>
  <c r="Y221" i="2"/>
  <c r="BN221" i="2" s="1"/>
  <c r="P221" i="2"/>
  <c r="X218" i="2"/>
  <c r="X217" i="2"/>
  <c r="BO216" i="2"/>
  <c r="BM216" i="2"/>
  <c r="Z216" i="2"/>
  <c r="Y216" i="2"/>
  <c r="BP216" i="2" s="1"/>
  <c r="P216" i="2"/>
  <c r="BO215" i="2"/>
  <c r="BM215" i="2"/>
  <c r="Z215" i="2"/>
  <c r="Y215" i="2"/>
  <c r="BN215" i="2" s="1"/>
  <c r="P215" i="2"/>
  <c r="BO214" i="2"/>
  <c r="BM214" i="2"/>
  <c r="Z214" i="2"/>
  <c r="Y214" i="2"/>
  <c r="P214" i="2"/>
  <c r="X212" i="2"/>
  <c r="X211" i="2"/>
  <c r="BO210" i="2"/>
  <c r="BM210" i="2"/>
  <c r="Z210" i="2"/>
  <c r="Z211" i="2" s="1"/>
  <c r="Y210" i="2"/>
  <c r="BP210" i="2" s="1"/>
  <c r="P210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Z202" i="2"/>
  <c r="Y202" i="2"/>
  <c r="BP202" i="2" s="1"/>
  <c r="P202" i="2"/>
  <c r="BO201" i="2"/>
  <c r="BM201" i="2"/>
  <c r="Z201" i="2"/>
  <c r="Y201" i="2"/>
  <c r="P201" i="2"/>
  <c r="X197" i="2"/>
  <c r="Y196" i="2"/>
  <c r="X196" i="2"/>
  <c r="BO195" i="2"/>
  <c r="BN195" i="2"/>
  <c r="BM195" i="2"/>
  <c r="Z195" i="2"/>
  <c r="Z196" i="2" s="1"/>
  <c r="Y195" i="2"/>
  <c r="Y197" i="2" s="1"/>
  <c r="P195" i="2"/>
  <c r="X192" i="2"/>
  <c r="X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6" i="2"/>
  <c r="X185" i="2"/>
  <c r="BO184" i="2"/>
  <c r="BM184" i="2"/>
  <c r="Z184" i="2"/>
  <c r="Z185" i="2" s="1"/>
  <c r="Y184" i="2"/>
  <c r="Y185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5" i="2" s="1"/>
  <c r="P174" i="2"/>
  <c r="X171" i="2"/>
  <c r="X170" i="2"/>
  <c r="BO169" i="2"/>
  <c r="BM169" i="2"/>
  <c r="Z169" i="2"/>
  <c r="Z170" i="2" s="1"/>
  <c r="Y169" i="2"/>
  <c r="BP169" i="2" s="1"/>
  <c r="P169" i="2"/>
  <c r="X166" i="2"/>
  <c r="X165" i="2"/>
  <c r="BO164" i="2"/>
  <c r="BM164" i="2"/>
  <c r="Z164" i="2"/>
  <c r="Z165" i="2" s="1"/>
  <c r="Y164" i="2"/>
  <c r="Y166" i="2" s="1"/>
  <c r="P164" i="2"/>
  <c r="X161" i="2"/>
  <c r="X160" i="2"/>
  <c r="BO159" i="2"/>
  <c r="BM159" i="2"/>
  <c r="Z159" i="2"/>
  <c r="Y159" i="2"/>
  <c r="BP159" i="2" s="1"/>
  <c r="P159" i="2"/>
  <c r="BO158" i="2"/>
  <c r="BM158" i="2"/>
  <c r="Z158" i="2"/>
  <c r="Y158" i="2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P152" i="2"/>
  <c r="X149" i="2"/>
  <c r="X148" i="2"/>
  <c r="BO147" i="2"/>
  <c r="BM147" i="2"/>
  <c r="Z147" i="2"/>
  <c r="Y147" i="2"/>
  <c r="BP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P140" i="2"/>
  <c r="BO139" i="2"/>
  <c r="BM139" i="2"/>
  <c r="Z139" i="2"/>
  <c r="Y139" i="2"/>
  <c r="BN139" i="2" s="1"/>
  <c r="P139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X130" i="2"/>
  <c r="X129" i="2"/>
  <c r="BO128" i="2"/>
  <c r="BM128" i="2"/>
  <c r="Z128" i="2"/>
  <c r="Z129" i="2" s="1"/>
  <c r="Y128" i="2"/>
  <c r="BP128" i="2" s="1"/>
  <c r="P128" i="2"/>
  <c r="X125" i="2"/>
  <c r="X124" i="2"/>
  <c r="BO123" i="2"/>
  <c r="BM123" i="2"/>
  <c r="Z123" i="2"/>
  <c r="Z124" i="2" s="1"/>
  <c r="Y123" i="2"/>
  <c r="Y124" i="2" s="1"/>
  <c r="P123" i="2"/>
  <c r="X121" i="2"/>
  <c r="X120" i="2"/>
  <c r="BO119" i="2"/>
  <c r="BM119" i="2"/>
  <c r="Z119" i="2"/>
  <c r="Z120" i="2" s="1"/>
  <c r="Y119" i="2"/>
  <c r="BN119" i="2" s="1"/>
  <c r="P119" i="2"/>
  <c r="X117" i="2"/>
  <c r="X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P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BO69" i="2"/>
  <c r="BM69" i="2"/>
  <c r="Z69" i="2"/>
  <c r="Y69" i="2"/>
  <c r="BN69" i="2" s="1"/>
  <c r="P69" i="2"/>
  <c r="Y67" i="2"/>
  <c r="X67" i="2"/>
  <c r="X66" i="2"/>
  <c r="BO65" i="2"/>
  <c r="BN65" i="2"/>
  <c r="BM65" i="2"/>
  <c r="Z65" i="2"/>
  <c r="Z66" i="2" s="1"/>
  <c r="Y65" i="2"/>
  <c r="BP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142" i="2" l="1"/>
  <c r="BP139" i="2"/>
  <c r="Y235" i="2"/>
  <c r="BN271" i="2"/>
  <c r="Y142" i="2"/>
  <c r="BP195" i="2"/>
  <c r="BN227" i="2"/>
  <c r="BN264" i="2"/>
  <c r="Y125" i="2"/>
  <c r="Y223" i="2"/>
  <c r="BP239" i="2"/>
  <c r="BP253" i="2"/>
  <c r="BP265" i="2"/>
  <c r="BN22" i="2"/>
  <c r="BN23" i="2"/>
  <c r="Z30" i="2"/>
  <c r="Z36" i="2"/>
  <c r="Y44" i="2"/>
  <c r="Z43" i="2"/>
  <c r="BN56" i="2"/>
  <c r="Y66" i="2"/>
  <c r="Z72" i="2"/>
  <c r="Z78" i="2"/>
  <c r="Y83" i="2"/>
  <c r="Z89" i="2"/>
  <c r="Z99" i="2"/>
  <c r="BN95" i="2"/>
  <c r="BN96" i="2"/>
  <c r="Z105" i="2"/>
  <c r="Y129" i="2"/>
  <c r="Y130" i="2"/>
  <c r="Z148" i="2"/>
  <c r="Z160" i="2"/>
  <c r="BN184" i="2"/>
  <c r="Y186" i="2"/>
  <c r="Z217" i="2"/>
  <c r="BN216" i="2"/>
  <c r="Z223" i="2"/>
  <c r="Y228" i="2"/>
  <c r="BP233" i="2"/>
  <c r="Y241" i="2"/>
  <c r="Z261" i="2"/>
  <c r="BP276" i="2"/>
  <c r="BN275" i="2"/>
  <c r="BN273" i="2"/>
  <c r="BN180" i="2"/>
  <c r="BP180" i="2"/>
  <c r="Y181" i="2"/>
  <c r="Y205" i="2"/>
  <c r="Z205" i="2"/>
  <c r="BN174" i="2"/>
  <c r="BN169" i="2"/>
  <c r="BN164" i="2"/>
  <c r="BP164" i="2"/>
  <c r="Y165" i="2"/>
  <c r="Y160" i="2"/>
  <c r="BN159" i="2"/>
  <c r="Y154" i="2"/>
  <c r="BN114" i="2"/>
  <c r="Y90" i="2"/>
  <c r="Z57" i="2"/>
  <c r="X287" i="2"/>
  <c r="Z49" i="2"/>
  <c r="X284" i="2"/>
  <c r="X283" i="2"/>
  <c r="BN35" i="2"/>
  <c r="BP41" i="2"/>
  <c r="Y49" i="2"/>
  <c r="BP53" i="2"/>
  <c r="Y58" i="2"/>
  <c r="Y73" i="2"/>
  <c r="BN76" i="2"/>
  <c r="BP82" i="2"/>
  <c r="BN111" i="2"/>
  <c r="BN113" i="2"/>
  <c r="Y116" i="2"/>
  <c r="BP119" i="2"/>
  <c r="BN134" i="2"/>
  <c r="Z136" i="2"/>
  <c r="Y143" i="2"/>
  <c r="BP141" i="2"/>
  <c r="Y148" i="2"/>
  <c r="Y155" i="2"/>
  <c r="Y161" i="2"/>
  <c r="Y170" i="2"/>
  <c r="Y176" i="2"/>
  <c r="BN190" i="2"/>
  <c r="Y192" i="2"/>
  <c r="BN201" i="2"/>
  <c r="Y212" i="2"/>
  <c r="BP215" i="2"/>
  <c r="BP221" i="2"/>
  <c r="Y224" i="2"/>
  <c r="BN249" i="2"/>
  <c r="Y250" i="2"/>
  <c r="BN266" i="2"/>
  <c r="BN270" i="2"/>
  <c r="BN277" i="2"/>
  <c r="BN279" i="2"/>
  <c r="X285" i="2"/>
  <c r="BN24" i="2"/>
  <c r="BN29" i="2"/>
  <c r="Y31" i="2"/>
  <c r="Y37" i="2"/>
  <c r="BN61" i="2"/>
  <c r="BN70" i="2"/>
  <c r="Y72" i="2"/>
  <c r="Y78" i="2"/>
  <c r="Y89" i="2"/>
  <c r="Y105" i="2"/>
  <c r="BP109" i="2"/>
  <c r="BP132" i="2"/>
  <c r="F10" i="2"/>
  <c r="BP26" i="2"/>
  <c r="BN34" i="2"/>
  <c r="BN41" i="2"/>
  <c r="Y43" i="2"/>
  <c r="Y63" i="2"/>
  <c r="Y100" i="2"/>
  <c r="Y99" i="2"/>
  <c r="BP103" i="2"/>
  <c r="Z116" i="2"/>
  <c r="BN112" i="2"/>
  <c r="Y117" i="2"/>
  <c r="BN135" i="2"/>
  <c r="Y137" i="2"/>
  <c r="Z154" i="2"/>
  <c r="BP158" i="2"/>
  <c r="Y171" i="2"/>
  <c r="BN189" i="2"/>
  <c r="Z191" i="2"/>
  <c r="Y211" i="2"/>
  <c r="Y217" i="2"/>
  <c r="BP214" i="2"/>
  <c r="Y218" i="2"/>
  <c r="BN239" i="2"/>
  <c r="BN243" i="2"/>
  <c r="BP249" i="2"/>
  <c r="Y255" i="2"/>
  <c r="Z281" i="2"/>
  <c r="Y36" i="2"/>
  <c r="BP77" i="2"/>
  <c r="Y106" i="2"/>
  <c r="BP110" i="2"/>
  <c r="BP133" i="2"/>
  <c r="Y149" i="2"/>
  <c r="Y206" i="2"/>
  <c r="BN233" i="2"/>
  <c r="BN253" i="2"/>
  <c r="BN259" i="2"/>
  <c r="Y261" i="2"/>
  <c r="Z267" i="2"/>
  <c r="BN274" i="2"/>
  <c r="BP278" i="2"/>
  <c r="BN42" i="2"/>
  <c r="BP69" i="2"/>
  <c r="Y120" i="2"/>
  <c r="BN140" i="2"/>
  <c r="BP184" i="2"/>
  <c r="BN48" i="2"/>
  <c r="BN87" i="2"/>
  <c r="BN98" i="2"/>
  <c r="BN146" i="2"/>
  <c r="BN203" i="2"/>
  <c r="Y262" i="2"/>
  <c r="BN27" i="2"/>
  <c r="Y30" i="2"/>
  <c r="BP42" i="2"/>
  <c r="BN54" i="2"/>
  <c r="Y57" i="2"/>
  <c r="Y79" i="2"/>
  <c r="BN93" i="2"/>
  <c r="BN104" i="2"/>
  <c r="BN115" i="2"/>
  <c r="BN128" i="2"/>
  <c r="BP140" i="2"/>
  <c r="BN152" i="2"/>
  <c r="BN210" i="2"/>
  <c r="BN280" i="2"/>
  <c r="BP87" i="2"/>
  <c r="Y121" i="2"/>
  <c r="Y136" i="2"/>
  <c r="BP146" i="2"/>
  <c r="BN158" i="2"/>
  <c r="Y191" i="2"/>
  <c r="Y267" i="2"/>
  <c r="BP93" i="2"/>
  <c r="BP152" i="2"/>
  <c r="BN272" i="2"/>
  <c r="Y268" i="2"/>
  <c r="Y281" i="2"/>
  <c r="BN82" i="2"/>
  <c r="BP201" i="2"/>
  <c r="BP227" i="2"/>
  <c r="BP243" i="2"/>
  <c r="Y50" i="2"/>
  <c r="BN88" i="2"/>
  <c r="BN123" i="2"/>
  <c r="BN147" i="2"/>
  <c r="BN204" i="2"/>
  <c r="Y282" i="2"/>
  <c r="BN55" i="2"/>
  <c r="BP123" i="2"/>
  <c r="F9" i="2"/>
  <c r="BP28" i="2"/>
  <c r="BN94" i="2"/>
  <c r="BP153" i="2"/>
  <c r="H9" i="2"/>
  <c r="BN47" i="2"/>
  <c r="BP61" i="2"/>
  <c r="BN71" i="2"/>
  <c r="BN97" i="2"/>
  <c r="BP174" i="2"/>
  <c r="BN202" i="2"/>
  <c r="BN260" i="2"/>
  <c r="J9" i="2"/>
  <c r="BN214" i="2"/>
  <c r="Z288" i="2" l="1"/>
  <c r="X286" i="2"/>
  <c r="Y287" i="2"/>
  <c r="Y284" i="2"/>
  <c r="Y283" i="2"/>
  <c r="Y285" i="2"/>
  <c r="Y286" i="2" l="1"/>
  <c r="C296" i="2"/>
  <c r="B296" i="2"/>
  <c r="A296" i="2"/>
</calcChain>
</file>

<file path=xl/sharedStrings.xml><?xml version="1.0" encoding="utf-8"?>
<sst xmlns="http://schemas.openxmlformats.org/spreadsheetml/2006/main" count="1790" uniqueCount="437">
  <si>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</si>
  <si>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</si>
  <si>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</si>
  <si>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</si>
  <si>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</si>
  <si>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</si>
  <si>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</si>
  <si>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</si>
  <si>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</si>
  <si>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</si>
  <si>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</si>
  <si>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</si>
  <si>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</si>
  <si>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</si>
  <si>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</si>
  <si>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</si>
  <si>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</si>
  <si>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</si>
  <si>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</si>
  <si>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</si>
  <si>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</si>
  <si>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</si>
  <si>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</si>
  <si>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</si>
  <si>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</si>
  <si>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</si>
  <si>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</si>
  <si>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</si>
  <si>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</si>
  <si>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</si>
  <si>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</si>
  <si>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</si>
  <si>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</si>
  <si>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</si>
  <si>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</si>
  <si>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</si>
  <si>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</si>
  <si>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</si>
  <si>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</si>
  <si>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</si>
  <si>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</si>
  <si>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</si>
  <si>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</si>
  <si>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</si>
  <si>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</si>
  <si>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</si>
  <si>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</si>
  <si>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</si>
  <si>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</si>
  <si>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</si>
  <si>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</si>
  <si>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</si>
  <si>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</si>
  <si>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</si>
  <si>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</si>
  <si>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</si>
  <si>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</si>
  <si>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</si>
  <si>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</si>
  <si>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</si>
  <si>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</si>
  <si>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</si>
  <si>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</si>
  <si>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</si>
  <si>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</si>
  <si>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</si>
  <si>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</si>
  <si>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</si>
  <si>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</si>
  <si>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</si>
  <si>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</si>
  <si>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</si>
  <si>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29.09.2026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</si>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</sst>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436</v>
      </c>
      <c r="I5" s="292"/>
      <c r="J5" s="292"/>
      <c r="K5" s="292"/>
      <c r="L5" s="292"/>
      <c r="M5" s="292"/>
      <c r="N5" s="75"/>
      <c r="P5" s="27" t="s">
        <v>4</v>
      </c>
      <c r="Q5" s="294">
        <v>46307</v>
      </c>
      <c r="R5" s="295"/>
      <c r="T5" s="296" t="s">
        <v>3</v>
      </c>
      <c r="U5" s="297"/>
      <c r="V5" s="298" t="s">
        <v>400</v>
      </c>
      <c r="W5" s="299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300" t="s">
        <v>407</v>
      </c>
      <c r="E6" s="300"/>
      <c r="F6" s="300"/>
      <c r="G6" s="300"/>
      <c r="H6" s="300"/>
      <c r="I6" s="300"/>
      <c r="J6" s="300"/>
      <c r="K6" s="300"/>
      <c r="L6" s="300"/>
      <c r="M6" s="300"/>
      <c r="N6" s="76"/>
      <c r="P6" s="27" t="s">
        <v>27</v>
      </c>
      <c r="Q6" s="301" t="str">
        <f>IF(Q5=0," ",CHOOSE(WEEKDAY(Q5,2),"Понедельник","Вторник","Среда","Четверг","Пятница","Суббота","Воскресенье"))</f>
        <v>Понедельник</v>
      </c>
      <c r="R6" s="301"/>
      <c r="T6" s="302" t="s">
        <v>5</v>
      </c>
      <c r="U6" s="303"/>
      <c r="V6" s="304" t="s">
        <v>73</v>
      </c>
      <c r="W6" s="30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0" t="str">
        <f>IFERROR(VLOOKUP(DeliveryAddress,Table,3,0),1)</f>
        <v>3</v>
      </c>
      <c r="E7" s="311"/>
      <c r="F7" s="311"/>
      <c r="G7" s="311"/>
      <c r="H7" s="311"/>
      <c r="I7" s="311"/>
      <c r="J7" s="311"/>
      <c r="K7" s="311"/>
      <c r="L7" s="311"/>
      <c r="M7" s="312"/>
      <c r="N7" s="77"/>
      <c r="P7" s="29"/>
      <c r="Q7" s="48"/>
      <c r="R7" s="48"/>
      <c r="T7" s="302"/>
      <c r="U7" s="303"/>
      <c r="V7" s="306"/>
      <c r="W7" s="307"/>
      <c r="AB7" s="59"/>
      <c r="AC7" s="59"/>
      <c r="AD7" s="59"/>
      <c r="AE7" s="59"/>
    </row>
    <row r="8" spans="1:32" s="17" customFormat="1" ht="25.5" customHeight="1" x14ac:dyDescent="0.2">
      <c r="A8" s="313" t="s">
        <v>58</v>
      </c>
      <c r="B8" s="313"/>
      <c r="C8" s="313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78"/>
      <c r="P8" s="27" t="s">
        <v>11</v>
      </c>
      <c r="Q8" s="315">
        <v>0.5</v>
      </c>
      <c r="R8" s="316"/>
      <c r="T8" s="302"/>
      <c r="U8" s="303"/>
      <c r="V8" s="306"/>
      <c r="W8" s="307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>
        <v>46310</v>
      </c>
      <c r="R9" s="321"/>
      <c r="T9" s="302"/>
      <c r="U9" s="303"/>
      <c r="V9" s="308"/>
      <c r="W9" s="30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>
        <v>0.375</v>
      </c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5"/>
      <c r="R12" s="315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hidden="1" customHeight="1" x14ac:dyDescent="0.2">
      <c r="A19" s="357" t="s">
        <v>79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hidden="1" customHeight="1" x14ac:dyDescent="0.25">
      <c r="A20" s="358" t="s">
        <v>79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hidden="1" customHeight="1" x14ac:dyDescent="0.25">
      <c r="A21" s="359" t="s">
        <v>80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8" t="s">
        <v>104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hidden="1" customHeight="1" x14ac:dyDescent="0.25">
      <c r="A33" s="359" t="s">
        <v>80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hidden="1" customHeight="1" x14ac:dyDescent="0.25">
      <c r="A39" s="358" t="s">
        <v>110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hidden="1" customHeight="1" x14ac:dyDescent="0.25">
      <c r="A40" s="359" t="s">
        <v>111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168</v>
      </c>
      <c r="Y43" s="43">
        <f>IFERROR(SUM(Y41:Y42),"0")</f>
        <v>168</v>
      </c>
      <c r="Z43" s="43">
        <f>IFERROR(IF(Z41="",0,Z41),"0")+IFERROR(IF(Z42="",0,Z42),"0")</f>
        <v>1.5808800000000001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252</v>
      </c>
      <c r="Y44" s="43">
        <f>IFERROR(SUMPRODUCT(Y41:Y42*H41:H42),"0")</f>
        <v>252</v>
      </c>
      <c r="Z44" s="42"/>
      <c r="AA44" s="67"/>
      <c r="AB44" s="67"/>
      <c r="AC44" s="67"/>
    </row>
    <row r="45" spans="1:68" ht="16.5" hidden="1" customHeight="1" x14ac:dyDescent="0.25">
      <c r="A45" s="358" t="s">
        <v>121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hidden="1" customHeight="1" x14ac:dyDescent="0.25">
      <c r="A46" s="359" t="s">
        <v>80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12</v>
      </c>
      <c r="Y47" s="55">
        <f>IFERROR(IF(X47="","",X47),"")</f>
        <v>12</v>
      </c>
      <c r="Z47" s="41">
        <f>IFERROR(IF(X47="","",X47*0.0155),"")</f>
        <v>0.186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70.44</v>
      </c>
      <c r="BN47" s="81">
        <f>IFERROR(Y47*I47,"0")</f>
        <v>70.44</v>
      </c>
      <c r="BO47" s="81">
        <f>IFERROR(X47/J47,"0")</f>
        <v>0.14285714285714285</v>
      </c>
      <c r="BP47" s="81">
        <f>IFERROR(Y47/J47,"0")</f>
        <v>0.14285714285714285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4"/>
      <c r="B49" s="374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5"/>
      <c r="P49" s="371" t="s">
        <v>40</v>
      </c>
      <c r="Q49" s="372"/>
      <c r="R49" s="372"/>
      <c r="S49" s="372"/>
      <c r="T49" s="372"/>
      <c r="U49" s="372"/>
      <c r="V49" s="373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58" t="s">
        <v>128</v>
      </c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65"/>
      <c r="AB51" s="65"/>
      <c r="AC51" s="82"/>
    </row>
    <row r="52" spans="1:68" ht="14.25" hidden="1" customHeight="1" x14ac:dyDescent="0.25">
      <c r="A52" s="359" t="s">
        <v>80</v>
      </c>
      <c r="B52" s="359"/>
      <c r="C52" s="359"/>
      <c r="D52" s="359"/>
      <c r="E52" s="359"/>
      <c r="F52" s="359"/>
      <c r="G52" s="359"/>
      <c r="H52" s="359"/>
      <c r="I52" s="359"/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59"/>
      <c r="V52" s="359"/>
      <c r="W52" s="359"/>
      <c r="X52" s="359"/>
      <c r="Y52" s="359"/>
      <c r="Z52" s="359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60">
        <v>4607111039385</v>
      </c>
      <c r="E53" s="36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2"/>
      <c r="R53" s="362"/>
      <c r="S53" s="362"/>
      <c r="T53" s="36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60">
        <v>4607111038982</v>
      </c>
      <c r="E54" s="36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60">
        <v>4607111039354</v>
      </c>
      <c r="E55" s="36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60">
        <v>4607111039330</v>
      </c>
      <c r="E56" s="36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4"/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5"/>
      <c r="P57" s="371" t="s">
        <v>40</v>
      </c>
      <c r="Q57" s="372"/>
      <c r="R57" s="372"/>
      <c r="S57" s="372"/>
      <c r="T57" s="372"/>
      <c r="U57" s="372"/>
      <c r="V57" s="373"/>
      <c r="W57" s="42" t="s">
        <v>39</v>
      </c>
      <c r="X57" s="43">
        <f>IFERROR(SUM(X53:X56),"0")</f>
        <v>24</v>
      </c>
      <c r="Y57" s="43">
        <f>IFERROR(SUM(Y53:Y56),"0")</f>
        <v>24</v>
      </c>
      <c r="Z57" s="43">
        <f>IFERROR(IF(Z53="",0,Z53),"0")+IFERROR(IF(Z54="",0,Z54),"0")+IFERROR(IF(Z55="",0,Z55),"0")+IFERROR(IF(Z56="",0,Z56),"0")</f>
        <v>0.372</v>
      </c>
      <c r="AA57" s="67"/>
      <c r="AB57" s="67"/>
      <c r="AC57" s="67"/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0</v>
      </c>
      <c r="X58" s="43">
        <f>IFERROR(SUMPRODUCT(X53:X56*H53:H56),"0")</f>
        <v>160.80000000000001</v>
      </c>
      <c r="Y58" s="43">
        <f>IFERROR(SUMPRODUCT(Y53:Y56*H53:H56),"0")</f>
        <v>160.80000000000001</v>
      </c>
      <c r="Z58" s="42"/>
      <c r="AA58" s="67"/>
      <c r="AB58" s="67"/>
      <c r="AC58" s="67"/>
    </row>
    <row r="59" spans="1:68" ht="16.5" hidden="1" customHeight="1" x14ac:dyDescent="0.25">
      <c r="A59" s="358" t="s">
        <v>139</v>
      </c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65"/>
      <c r="AB59" s="65"/>
      <c r="AC59" s="82"/>
    </row>
    <row r="60" spans="1:68" ht="14.25" hidden="1" customHeight="1" x14ac:dyDescent="0.25">
      <c r="A60" s="359" t="s">
        <v>111</v>
      </c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60">
        <v>4607111039712</v>
      </c>
      <c r="E61" s="36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2"/>
      <c r="R61" s="362"/>
      <c r="S61" s="362"/>
      <c r="T61" s="36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4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5"/>
      <c r="P62" s="371" t="s">
        <v>40</v>
      </c>
      <c r="Q62" s="372"/>
      <c r="R62" s="372"/>
      <c r="S62" s="372"/>
      <c r="T62" s="372"/>
      <c r="U62" s="372"/>
      <c r="V62" s="373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9" t="s">
        <v>143</v>
      </c>
      <c r="B64" s="359"/>
      <c r="C64" s="35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359"/>
      <c r="O64" s="359"/>
      <c r="P64" s="359"/>
      <c r="Q64" s="359"/>
      <c r="R64" s="359"/>
      <c r="S64" s="359"/>
      <c r="T64" s="359"/>
      <c r="U64" s="359"/>
      <c r="V64" s="359"/>
      <c r="W64" s="359"/>
      <c r="X64" s="359"/>
      <c r="Y64" s="359"/>
      <c r="Z64" s="359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60">
        <v>4607111037398</v>
      </c>
      <c r="E65" s="360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2"/>
      <c r="R65" s="362"/>
      <c r="S65" s="362"/>
      <c r="T65" s="36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4"/>
      <c r="B66" s="374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5"/>
      <c r="P66" s="371" t="s">
        <v>40</v>
      </c>
      <c r="Q66" s="372"/>
      <c r="R66" s="372"/>
      <c r="S66" s="372"/>
      <c r="T66" s="372"/>
      <c r="U66" s="372"/>
      <c r="V66" s="373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9" t="s">
        <v>147</v>
      </c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  <c r="V68" s="359"/>
      <c r="W68" s="359"/>
      <c r="X68" s="359"/>
      <c r="Y68" s="359"/>
      <c r="Z68" s="359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60">
        <v>4607111039705</v>
      </c>
      <c r="E69" s="360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2"/>
      <c r="R69" s="362"/>
      <c r="S69" s="362"/>
      <c r="T69" s="36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60">
        <v>4607111039729</v>
      </c>
      <c r="E70" s="36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60">
        <v>4620207490228</v>
      </c>
      <c r="E71" s="36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9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8" t="s">
        <v>155</v>
      </c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65"/>
      <c r="AB74" s="65"/>
      <c r="AC74" s="82"/>
    </row>
    <row r="75" spans="1:68" ht="14.25" hidden="1" customHeight="1" x14ac:dyDescent="0.25">
      <c r="A75" s="359" t="s">
        <v>80</v>
      </c>
      <c r="B75" s="359"/>
      <c r="C75" s="359"/>
      <c r="D75" s="359"/>
      <c r="E75" s="359"/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66"/>
      <c r="AB75" s="66"/>
      <c r="AC75" s="83"/>
    </row>
    <row r="76" spans="1:68" ht="27" hidden="1" customHeight="1" x14ac:dyDescent="0.25">
      <c r="A76" s="63" t="s">
        <v>156</v>
      </c>
      <c r="B76" s="63" t="s">
        <v>157</v>
      </c>
      <c r="C76" s="36">
        <v>4301070977</v>
      </c>
      <c r="D76" s="360">
        <v>4607111037411</v>
      </c>
      <c r="E76" s="360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60">
        <v>4607111036728</v>
      </c>
      <c r="E77" s="360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hidden="1" customHeight="1" x14ac:dyDescent="0.25">
      <c r="A80" s="358" t="s">
        <v>162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hidden="1" customHeight="1" x14ac:dyDescent="0.25">
      <c r="A81" s="359" t="s">
        <v>147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4301135910</v>
      </c>
      <c r="D82" s="360">
        <v>4620207491638</v>
      </c>
      <c r="E82" s="360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86</v>
      </c>
      <c r="M82" s="38" t="s">
        <v>84</v>
      </c>
      <c r="N82" s="38"/>
      <c r="O82" s="37">
        <v>180</v>
      </c>
      <c r="P82" s="39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27</v>
      </c>
      <c r="Y82" s="55">
        <f>IFERROR(IF(X82="","",X82),"")</f>
        <v>27</v>
      </c>
      <c r="Z82" s="41">
        <f>IFERROR(IF(X82="","",X82*0.01788),"")</f>
        <v>0.48276000000000002</v>
      </c>
      <c r="AA82" s="68" t="s">
        <v>46</v>
      </c>
      <c r="AB82" s="69" t="s">
        <v>46</v>
      </c>
      <c r="AC82" s="139" t="s">
        <v>165</v>
      </c>
      <c r="AG82" s="81"/>
      <c r="AJ82" s="87" t="s">
        <v>87</v>
      </c>
      <c r="AK82" s="87">
        <v>1</v>
      </c>
      <c r="BB82" s="140" t="s">
        <v>115</v>
      </c>
      <c r="BM82" s="81">
        <f>IFERROR(X82*I82,"0")</f>
        <v>116.19720000000001</v>
      </c>
      <c r="BN82" s="81">
        <f>IFERROR(Y82*I82,"0")</f>
        <v>116.19720000000001</v>
      </c>
      <c r="BO82" s="81">
        <f>IFERROR(X82/J82,"0")</f>
        <v>0.38571428571428573</v>
      </c>
      <c r="BP82" s="81">
        <f>IFERROR(Y82/J82,"0")</f>
        <v>0.38571428571428573</v>
      </c>
    </row>
    <row r="83" spans="1:68" x14ac:dyDescent="0.2">
      <c r="A83" s="374"/>
      <c r="B83" s="374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5"/>
      <c r="P83" s="371" t="s">
        <v>40</v>
      </c>
      <c r="Q83" s="372"/>
      <c r="R83" s="372"/>
      <c r="S83" s="372"/>
      <c r="T83" s="372"/>
      <c r="U83" s="372"/>
      <c r="V83" s="373"/>
      <c r="W83" s="42" t="s">
        <v>39</v>
      </c>
      <c r="X83" s="43">
        <f>IFERROR(SUM(X82:X82),"0")</f>
        <v>27</v>
      </c>
      <c r="Y83" s="43">
        <f>IFERROR(SUM(Y82:Y82),"0")</f>
        <v>27</v>
      </c>
      <c r="Z83" s="43">
        <f>IFERROR(IF(Z82="",0,Z82),"0")</f>
        <v>0.48276000000000002</v>
      </c>
      <c r="AA83" s="67"/>
      <c r="AB83" s="67"/>
      <c r="AC83" s="67"/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0</v>
      </c>
      <c r="X84" s="43">
        <f>IFERROR(SUMPRODUCT(X82:X82*H82:H82),"0")</f>
        <v>97.2</v>
      </c>
      <c r="Y84" s="43">
        <f>IFERROR(SUMPRODUCT(Y82:Y82*H82:H82),"0")</f>
        <v>97.2</v>
      </c>
      <c r="Z84" s="42"/>
      <c r="AA84" s="67"/>
      <c r="AB84" s="67"/>
      <c r="AC84" s="67"/>
    </row>
    <row r="85" spans="1:68" ht="16.5" hidden="1" customHeight="1" x14ac:dyDescent="0.25">
      <c r="A85" s="358" t="s">
        <v>166</v>
      </c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65"/>
      <c r="AB85" s="65"/>
      <c r="AC85" s="82"/>
    </row>
    <row r="86" spans="1:68" ht="14.25" hidden="1" customHeight="1" x14ac:dyDescent="0.25">
      <c r="A86" s="359" t="s">
        <v>167</v>
      </c>
      <c r="B86" s="359"/>
      <c r="C86" s="359"/>
      <c r="D86" s="359"/>
      <c r="E86" s="359"/>
      <c r="F86" s="359"/>
      <c r="G86" s="359"/>
      <c r="H86" s="359"/>
      <c r="I86" s="359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59"/>
      <c r="V86" s="359"/>
      <c r="W86" s="359"/>
      <c r="X86" s="359"/>
      <c r="Y86" s="359"/>
      <c r="Z86" s="359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60">
        <v>4607111034120</v>
      </c>
      <c r="E87" s="360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2"/>
      <c r="R87" s="362"/>
      <c r="S87" s="362"/>
      <c r="T87" s="363"/>
      <c r="U87" s="39" t="s">
        <v>46</v>
      </c>
      <c r="V87" s="39" t="s">
        <v>46</v>
      </c>
      <c r="W87" s="40" t="s">
        <v>39</v>
      </c>
      <c r="X87" s="58">
        <v>126</v>
      </c>
      <c r="Y87" s="55">
        <f>IFERROR(IF(X87="","",X87),"")</f>
        <v>126</v>
      </c>
      <c r="Z87" s="41">
        <f>IFERROR(IF(X87="","",X87*0.01788),"")</f>
        <v>2.2528800000000002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542.25360000000001</v>
      </c>
      <c r="BN87" s="81">
        <f>IFERROR(Y87*I87,"0")</f>
        <v>542.25360000000001</v>
      </c>
      <c r="BO87" s="81">
        <f>IFERROR(X87/J87,"0")</f>
        <v>1.8</v>
      </c>
      <c r="BP87" s="81">
        <f>IFERROR(Y87/J87,"0")</f>
        <v>1.8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60">
        <v>4607111034137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IFERROR(SUM(X87:X88),"0")</f>
        <v>196</v>
      </c>
      <c r="Y89" s="43">
        <f>IFERROR(SUM(Y87:Y88),"0")</f>
        <v>196</v>
      </c>
      <c r="Z89" s="43">
        <f>IFERROR(IF(Z87="",0,Z87),"0")+IFERROR(IF(Z88="",0,Z88),"0")</f>
        <v>3.50448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IFERROR(SUMPRODUCT(X87:X88*H87:H88),"0")</f>
        <v>705.6</v>
      </c>
      <c r="Y90" s="43">
        <f>IFERROR(SUMPRODUCT(Y87:Y88*H87:H88),"0")</f>
        <v>705.6</v>
      </c>
      <c r="Z90" s="42"/>
      <c r="AA90" s="67"/>
      <c r="AB90" s="67"/>
      <c r="AC90" s="67"/>
    </row>
    <row r="91" spans="1:68" ht="16.5" hidden="1" customHeight="1" x14ac:dyDescent="0.25">
      <c r="A91" s="358" t="s">
        <v>174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hidden="1" customHeight="1" x14ac:dyDescent="0.25">
      <c r="A92" s="359" t="s">
        <v>147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60">
        <v>4620207491027</v>
      </c>
      <c r="E93" s="36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ref="Y93:Y98" si="6">IFERROR(IF(X93="","",X93),"")</f>
        <v>70</v>
      </c>
      <c r="Z93" s="41">
        <f t="shared" ref="Z93:Z98" si="7">IFERROR(IF(X93="","",X93*0.01788),"")</f>
        <v>1.2516</v>
      </c>
      <c r="AA93" s="68" t="s">
        <v>46</v>
      </c>
      <c r="AB93" s="69" t="s">
        <v>46</v>
      </c>
      <c r="AC93" s="145" t="s">
        <v>177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250.852</v>
      </c>
      <c r="BN93" s="81">
        <f t="shared" ref="BN93:BN98" si="9">IFERROR(Y93*I93,"0")</f>
        <v>250.852</v>
      </c>
      <c r="BO93" s="81">
        <f t="shared" ref="BO93:BO98" si="10">IFERROR(X93/J93,"0")</f>
        <v>1</v>
      </c>
      <c r="BP93" s="81">
        <f t="shared" ref="BP93:BP98" si="11">IFERROR(Y93/J93,"0")</f>
        <v>1</v>
      </c>
    </row>
    <row r="94" spans="1:68" ht="27" customHeight="1" x14ac:dyDescent="0.25">
      <c r="A94" s="63" t="s">
        <v>178</v>
      </c>
      <c r="B94" s="63" t="s">
        <v>179</v>
      </c>
      <c r="C94" s="36">
        <v>4301135914</v>
      </c>
      <c r="D94" s="360">
        <v>4620207491621</v>
      </c>
      <c r="E94" s="36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7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si="6"/>
        <v>56</v>
      </c>
      <c r="Z94" s="41">
        <f t="shared" si="7"/>
        <v>1.0012799999999999</v>
      </c>
      <c r="AA94" s="68" t="s">
        <v>46</v>
      </c>
      <c r="AB94" s="69" t="s">
        <v>46</v>
      </c>
      <c r="AC94" s="147" t="s">
        <v>180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200.6816</v>
      </c>
      <c r="BN94" s="81">
        <f t="shared" si="9"/>
        <v>200.6816</v>
      </c>
      <c r="BO94" s="81">
        <f t="shared" si="10"/>
        <v>0.8</v>
      </c>
      <c r="BP94" s="81">
        <f t="shared" si="11"/>
        <v>0.8</v>
      </c>
    </row>
    <row r="95" spans="1:68" ht="27" customHeight="1" x14ac:dyDescent="0.25">
      <c r="A95" s="63" t="s">
        <v>181</v>
      </c>
      <c r="B95" s="63" t="s">
        <v>182</v>
      </c>
      <c r="C95" s="36">
        <v>4301135990</v>
      </c>
      <c r="D95" s="360">
        <v>4620207491881</v>
      </c>
      <c r="E95" s="36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2"/>
      <c r="R95" s="362"/>
      <c r="S95" s="362"/>
      <c r="T95" s="363"/>
      <c r="U95" s="39" t="s">
        <v>46</v>
      </c>
      <c r="V95" s="39" t="s">
        <v>46</v>
      </c>
      <c r="W95" s="40" t="s">
        <v>39</v>
      </c>
      <c r="X95" s="58">
        <v>28</v>
      </c>
      <c r="Y95" s="55">
        <f t="shared" si="6"/>
        <v>28</v>
      </c>
      <c r="Z95" s="41">
        <f t="shared" si="7"/>
        <v>0.50063999999999997</v>
      </c>
      <c r="AA95" s="68" t="s">
        <v>46</v>
      </c>
      <c r="AB95" s="69" t="s">
        <v>46</v>
      </c>
      <c r="AC95" s="149" t="s">
        <v>180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100.3408</v>
      </c>
      <c r="BN95" s="81">
        <f t="shared" si="9"/>
        <v>100.3408</v>
      </c>
      <c r="BO95" s="81">
        <f t="shared" si="10"/>
        <v>0.4</v>
      </c>
      <c r="BP95" s="81">
        <f t="shared" si="11"/>
        <v>0.4</v>
      </c>
    </row>
    <row r="96" spans="1:68" ht="27" customHeight="1" x14ac:dyDescent="0.25">
      <c r="A96" s="63" t="s">
        <v>183</v>
      </c>
      <c r="B96" s="63" t="s">
        <v>184</v>
      </c>
      <c r="C96" s="36">
        <v>4301135920</v>
      </c>
      <c r="D96" s="360">
        <v>4620207491577</v>
      </c>
      <c r="E96" s="36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2"/>
      <c r="R96" s="362"/>
      <c r="S96" s="362"/>
      <c r="T96" s="363"/>
      <c r="U96" s="39" t="s">
        <v>46</v>
      </c>
      <c r="V96" s="39" t="s">
        <v>46</v>
      </c>
      <c r="W96" s="40" t="s">
        <v>39</v>
      </c>
      <c r="X96" s="58">
        <v>76</v>
      </c>
      <c r="Y96" s="55">
        <f t="shared" si="6"/>
        <v>76</v>
      </c>
      <c r="Z96" s="41">
        <f t="shared" si="7"/>
        <v>1.3588800000000001</v>
      </c>
      <c r="AA96" s="68" t="s">
        <v>46</v>
      </c>
      <c r="AB96" s="69" t="s">
        <v>46</v>
      </c>
      <c r="AC96" s="151" t="s">
        <v>180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272.35360000000003</v>
      </c>
      <c r="BN96" s="81">
        <f t="shared" si="9"/>
        <v>272.35360000000003</v>
      </c>
      <c r="BO96" s="81">
        <f t="shared" si="10"/>
        <v>1.0857142857142856</v>
      </c>
      <c r="BP96" s="81">
        <f t="shared" si="11"/>
        <v>1.0857142857142856</v>
      </c>
    </row>
    <row r="97" spans="1:68" ht="27" customHeight="1" x14ac:dyDescent="0.25">
      <c r="A97" s="63" t="s">
        <v>185</v>
      </c>
      <c r="B97" s="63" t="s">
        <v>186</v>
      </c>
      <c r="C97" s="36">
        <v>4301135984</v>
      </c>
      <c r="D97" s="360">
        <v>4620207491874</v>
      </c>
      <c r="E97" s="360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400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2"/>
      <c r="R97" s="362"/>
      <c r="S97" s="362"/>
      <c r="T97" s="363"/>
      <c r="U97" s="39" t="s">
        <v>46</v>
      </c>
      <c r="V97" s="39" t="s">
        <v>46</v>
      </c>
      <c r="W97" s="40" t="s">
        <v>39</v>
      </c>
      <c r="X97" s="58">
        <v>15</v>
      </c>
      <c r="Y97" s="55">
        <f t="shared" si="6"/>
        <v>15</v>
      </c>
      <c r="Z97" s="41">
        <f t="shared" si="7"/>
        <v>0.26819999999999999</v>
      </c>
      <c r="AA97" s="68" t="s">
        <v>46</v>
      </c>
      <c r="AB97" s="69" t="s">
        <v>46</v>
      </c>
      <c r="AC97" s="153" t="s">
        <v>180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66.731999999999999</v>
      </c>
      <c r="BN97" s="81">
        <f t="shared" si="9"/>
        <v>66.731999999999999</v>
      </c>
      <c r="BO97" s="81">
        <f t="shared" si="10"/>
        <v>0.21428571428571427</v>
      </c>
      <c r="BP97" s="81">
        <f t="shared" si="11"/>
        <v>0.21428571428571427</v>
      </c>
    </row>
    <row r="98" spans="1:68" ht="27" customHeight="1" x14ac:dyDescent="0.25">
      <c r="A98" s="63" t="s">
        <v>187</v>
      </c>
      <c r="B98" s="63" t="s">
        <v>188</v>
      </c>
      <c r="C98" s="36">
        <v>4301137008</v>
      </c>
      <c r="D98" s="360">
        <v>4620207491782</v>
      </c>
      <c r="E98" s="360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401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62"/>
      <c r="R98" s="362"/>
      <c r="S98" s="362"/>
      <c r="T98" s="363"/>
      <c r="U98" s="39" t="s">
        <v>46</v>
      </c>
      <c r="V98" s="39" t="s">
        <v>46</v>
      </c>
      <c r="W98" s="40" t="s">
        <v>39</v>
      </c>
      <c r="X98" s="58">
        <v>23</v>
      </c>
      <c r="Y98" s="55">
        <f t="shared" si="6"/>
        <v>23</v>
      </c>
      <c r="Z98" s="41">
        <f t="shared" si="7"/>
        <v>0.41123999999999999</v>
      </c>
      <c r="AA98" s="68" t="s">
        <v>46</v>
      </c>
      <c r="AB98" s="69" t="s">
        <v>46</v>
      </c>
      <c r="AC98" s="155" t="s">
        <v>180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104.17160000000001</v>
      </c>
      <c r="BN98" s="81">
        <f t="shared" si="9"/>
        <v>104.17160000000001</v>
      </c>
      <c r="BO98" s="81">
        <f t="shared" si="10"/>
        <v>0.32857142857142857</v>
      </c>
      <c r="BP98" s="81">
        <f t="shared" si="11"/>
        <v>0.32857142857142857</v>
      </c>
    </row>
    <row r="99" spans="1:68" x14ac:dyDescent="0.2">
      <c r="A99" s="374"/>
      <c r="B99" s="374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5"/>
      <c r="P99" s="371" t="s">
        <v>40</v>
      </c>
      <c r="Q99" s="372"/>
      <c r="R99" s="372"/>
      <c r="S99" s="372"/>
      <c r="T99" s="372"/>
      <c r="U99" s="372"/>
      <c r="V99" s="373"/>
      <c r="W99" s="42" t="s">
        <v>39</v>
      </c>
      <c r="X99" s="43">
        <f>IFERROR(SUM(X93:X98),"0")</f>
        <v>268</v>
      </c>
      <c r="Y99" s="43">
        <f>IFERROR(SUM(Y93:Y98),"0")</f>
        <v>268</v>
      </c>
      <c r="Z99" s="43">
        <f>IFERROR(IF(Z93="",0,Z93),"0")+IFERROR(IF(Z94="",0,Z94),"0")+IFERROR(IF(Z95="",0,Z95),"0")+IFERROR(IF(Z96="",0,Z96),"0")+IFERROR(IF(Z97="",0,Z97),"0")+IFERROR(IF(Z98="",0,Z98),"0")</f>
        <v>4.7918400000000005</v>
      </c>
      <c r="AA99" s="67"/>
      <c r="AB99" s="67"/>
      <c r="AC99" s="67"/>
    </row>
    <row r="100" spans="1:68" x14ac:dyDescent="0.2">
      <c r="A100" s="374"/>
      <c r="B100" s="374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5"/>
      <c r="P100" s="371" t="s">
        <v>40</v>
      </c>
      <c r="Q100" s="372"/>
      <c r="R100" s="372"/>
      <c r="S100" s="372"/>
      <c r="T100" s="372"/>
      <c r="U100" s="372"/>
      <c r="V100" s="373"/>
      <c r="W100" s="42" t="s">
        <v>0</v>
      </c>
      <c r="X100" s="43">
        <f>IFERROR(SUMPRODUCT(X93:X98*H93:H98),"0")</f>
        <v>816.6</v>
      </c>
      <c r="Y100" s="43">
        <f>IFERROR(SUMPRODUCT(Y93:Y98*H93:H98),"0")</f>
        <v>816.6</v>
      </c>
      <c r="Z100" s="42"/>
      <c r="AA100" s="67"/>
      <c r="AB100" s="67"/>
      <c r="AC100" s="67"/>
    </row>
    <row r="101" spans="1:68" ht="16.5" hidden="1" customHeight="1" x14ac:dyDescent="0.25">
      <c r="A101" s="358" t="s">
        <v>189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  <c r="AA101" s="65"/>
      <c r="AB101" s="65"/>
      <c r="AC101" s="82"/>
    </row>
    <row r="102" spans="1:68" ht="14.25" hidden="1" customHeight="1" x14ac:dyDescent="0.25">
      <c r="A102" s="359" t="s">
        <v>143</v>
      </c>
      <c r="B102" s="359"/>
      <c r="C102" s="359"/>
      <c r="D102" s="359"/>
      <c r="E102" s="359"/>
      <c r="F102" s="359"/>
      <c r="G102" s="359"/>
      <c r="H102" s="359"/>
      <c r="I102" s="359"/>
      <c r="J102" s="359"/>
      <c r="K102" s="359"/>
      <c r="L102" s="359"/>
      <c r="M102" s="359"/>
      <c r="N102" s="359"/>
      <c r="O102" s="359"/>
      <c r="P102" s="359"/>
      <c r="Q102" s="359"/>
      <c r="R102" s="359"/>
      <c r="S102" s="359"/>
      <c r="T102" s="359"/>
      <c r="U102" s="359"/>
      <c r="V102" s="359"/>
      <c r="W102" s="359"/>
      <c r="X102" s="359"/>
      <c r="Y102" s="359"/>
      <c r="Z102" s="359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60">
        <v>4620207491652</v>
      </c>
      <c r="E103" s="360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40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60">
        <v>4620207491645</v>
      </c>
      <c r="E104" s="360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8" t="s">
        <v>195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hidden="1" customHeight="1" x14ac:dyDescent="0.25">
      <c r="A108" s="359" t="s">
        <v>80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60">
        <v>4620207491157</v>
      </c>
      <c r="E109" s="360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60">
        <v>4620207491393</v>
      </c>
      <c r="E110" s="360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60">
        <v>4607111039262</v>
      </c>
      <c r="E111" s="360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2"/>
      <c r="R111" s="362"/>
      <c r="S111" s="362"/>
      <c r="T111" s="363"/>
      <c r="U111" s="39" t="s">
        <v>46</v>
      </c>
      <c r="V111" s="39" t="s">
        <v>46</v>
      </c>
      <c r="W111" s="40" t="s">
        <v>39</v>
      </c>
      <c r="X111" s="58">
        <v>24</v>
      </c>
      <c r="Y111" s="55">
        <f t="shared" si="12"/>
        <v>24</v>
      </c>
      <c r="Z111" s="41">
        <f t="shared" si="13"/>
        <v>0.372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161.2704</v>
      </c>
      <c r="BN111" s="81">
        <f t="shared" si="15"/>
        <v>161.2704</v>
      </c>
      <c r="BO111" s="81">
        <f t="shared" si="16"/>
        <v>0.2857142857142857</v>
      </c>
      <c r="BP111" s="81">
        <f t="shared" si="17"/>
        <v>0.2857142857142857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60">
        <v>4607111039248</v>
      </c>
      <c r="E112" s="360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2"/>
      <c r="R112" s="362"/>
      <c r="S112" s="362"/>
      <c r="T112" s="363"/>
      <c r="U112" s="39" t="s">
        <v>46</v>
      </c>
      <c r="V112" s="39" t="s">
        <v>46</v>
      </c>
      <c r="W112" s="40" t="s">
        <v>39</v>
      </c>
      <c r="X112" s="58">
        <v>72</v>
      </c>
      <c r="Y112" s="55">
        <f t="shared" si="12"/>
        <v>72</v>
      </c>
      <c r="Z112" s="41">
        <f t="shared" si="13"/>
        <v>1.1160000000000001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525.6</v>
      </c>
      <c r="BN112" s="81">
        <f t="shared" si="15"/>
        <v>525.6</v>
      </c>
      <c r="BO112" s="81">
        <f t="shared" si="16"/>
        <v>0.8571428571428571</v>
      </c>
      <c r="BP112" s="81">
        <f t="shared" si="17"/>
        <v>0.8571428571428571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60">
        <v>4607111037145</v>
      </c>
      <c r="E113" s="360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2"/>
      <c r="R113" s="362"/>
      <c r="S113" s="362"/>
      <c r="T113" s="36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4301071139</v>
      </c>
      <c r="D114" s="360">
        <v>4607111039293</v>
      </c>
      <c r="E114" s="360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40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62"/>
      <c r="R114" s="362"/>
      <c r="S114" s="362"/>
      <c r="T114" s="363"/>
      <c r="U114" s="39" t="s">
        <v>46</v>
      </c>
      <c r="V114" s="39" t="s">
        <v>46</v>
      </c>
      <c r="W114" s="40" t="s">
        <v>39</v>
      </c>
      <c r="X114" s="58">
        <v>42</v>
      </c>
      <c r="Y114" s="55">
        <f t="shared" si="12"/>
        <v>42</v>
      </c>
      <c r="Z114" s="41">
        <f t="shared" si="13"/>
        <v>0.65100000000000002</v>
      </c>
      <c r="AA114" s="68" t="s">
        <v>46</v>
      </c>
      <c r="AB114" s="69" t="s">
        <v>46</v>
      </c>
      <c r="AC114" s="171" t="s">
        <v>211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282.22320000000002</v>
      </c>
      <c r="BN114" s="81">
        <f t="shared" si="15"/>
        <v>282.22320000000002</v>
      </c>
      <c r="BO114" s="81">
        <f t="shared" si="16"/>
        <v>0.5</v>
      </c>
      <c r="BP114" s="81">
        <f t="shared" si="17"/>
        <v>0.5</v>
      </c>
    </row>
    <row r="115" spans="1:68" ht="27" customHeight="1" x14ac:dyDescent="0.25">
      <c r="A115" s="63" t="s">
        <v>212</v>
      </c>
      <c r="B115" s="63" t="s">
        <v>213</v>
      </c>
      <c r="C115" s="36">
        <v>4301071039</v>
      </c>
      <c r="D115" s="360">
        <v>4607111039279</v>
      </c>
      <c r="E115" s="360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84</v>
      </c>
      <c r="Y115" s="55">
        <f t="shared" si="12"/>
        <v>84</v>
      </c>
      <c r="Z115" s="41">
        <f t="shared" si="13"/>
        <v>1.302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613.19999999999993</v>
      </c>
      <c r="BN115" s="81">
        <f t="shared" si="15"/>
        <v>613.19999999999993</v>
      </c>
      <c r="BO115" s="81">
        <f t="shared" si="16"/>
        <v>1</v>
      </c>
      <c r="BP115" s="81">
        <f t="shared" si="17"/>
        <v>1</v>
      </c>
    </row>
    <row r="116" spans="1:68" x14ac:dyDescent="0.2">
      <c r="A116" s="374"/>
      <c r="B116" s="374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5"/>
      <c r="P116" s="371" t="s">
        <v>40</v>
      </c>
      <c r="Q116" s="372"/>
      <c r="R116" s="372"/>
      <c r="S116" s="372"/>
      <c r="T116" s="372"/>
      <c r="U116" s="372"/>
      <c r="V116" s="373"/>
      <c r="W116" s="42" t="s">
        <v>39</v>
      </c>
      <c r="X116" s="43">
        <f>IFERROR(SUM(X109:X115),"0")</f>
        <v>222</v>
      </c>
      <c r="Y116" s="43">
        <f>IFERROR(SUM(Y109:Y115),"0")</f>
        <v>222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3.4410000000000003</v>
      </c>
      <c r="AA116" s="67"/>
      <c r="AB116" s="67"/>
      <c r="AC116" s="67"/>
    </row>
    <row r="117" spans="1:68" x14ac:dyDescent="0.2">
      <c r="A117" s="374"/>
      <c r="B117" s="374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5"/>
      <c r="P117" s="371" t="s">
        <v>40</v>
      </c>
      <c r="Q117" s="372"/>
      <c r="R117" s="372"/>
      <c r="S117" s="372"/>
      <c r="T117" s="372"/>
      <c r="U117" s="372"/>
      <c r="V117" s="373"/>
      <c r="W117" s="42" t="s">
        <v>0</v>
      </c>
      <c r="X117" s="43">
        <f>IFERROR(SUMPRODUCT(X109:X115*H109:H115),"0")</f>
        <v>1514.4</v>
      </c>
      <c r="Y117" s="43">
        <f>IFERROR(SUMPRODUCT(Y109:Y115*H109:H115),"0")</f>
        <v>1514.4</v>
      </c>
      <c r="Z117" s="42"/>
      <c r="AA117" s="67"/>
      <c r="AB117" s="67"/>
      <c r="AC117" s="67"/>
    </row>
    <row r="118" spans="1:68" ht="14.25" hidden="1" customHeight="1" x14ac:dyDescent="0.25">
      <c r="A118" s="359" t="s">
        <v>147</v>
      </c>
      <c r="B118" s="359"/>
      <c r="C118" s="359"/>
      <c r="D118" s="359"/>
      <c r="E118" s="359"/>
      <c r="F118" s="359"/>
      <c r="G118" s="359"/>
      <c r="H118" s="359"/>
      <c r="I118" s="359"/>
      <c r="J118" s="359"/>
      <c r="K118" s="359"/>
      <c r="L118" s="359"/>
      <c r="M118" s="359"/>
      <c r="N118" s="359"/>
      <c r="O118" s="359"/>
      <c r="P118" s="359"/>
      <c r="Q118" s="359"/>
      <c r="R118" s="359"/>
      <c r="S118" s="359"/>
      <c r="T118" s="359"/>
      <c r="U118" s="359"/>
      <c r="V118" s="359"/>
      <c r="W118" s="359"/>
      <c r="X118" s="359"/>
      <c r="Y118" s="359"/>
      <c r="Z118" s="359"/>
      <c r="AA118" s="66"/>
      <c r="AB118" s="66"/>
      <c r="AC118" s="83"/>
    </row>
    <row r="119" spans="1:68" ht="27" customHeight="1" x14ac:dyDescent="0.25">
      <c r="A119" s="63" t="s">
        <v>214</v>
      </c>
      <c r="B119" s="63" t="s">
        <v>215</v>
      </c>
      <c r="C119" s="36">
        <v>4301135826</v>
      </c>
      <c r="D119" s="360">
        <v>4620207490983</v>
      </c>
      <c r="E119" s="360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7</v>
      </c>
      <c r="Y119" s="55">
        <f>IFERROR(IF(X119="","",X119),"")</f>
        <v>7</v>
      </c>
      <c r="Z119" s="41">
        <f>IFERROR(IF(X119="","",X119*0.01788),"")</f>
        <v>0.12515999999999999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23.405200000000001</v>
      </c>
      <c r="BN119" s="81">
        <f>IFERROR(Y119*I119,"0")</f>
        <v>23.405200000000001</v>
      </c>
      <c r="BO119" s="81">
        <f>IFERROR(X119/J119,"0")</f>
        <v>0.1</v>
      </c>
      <c r="BP119" s="81">
        <f>IFERROR(Y119/J119,"0")</f>
        <v>0.1</v>
      </c>
    </row>
    <row r="120" spans="1:68" x14ac:dyDescent="0.2">
      <c r="A120" s="374"/>
      <c r="B120" s="374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5"/>
      <c r="P120" s="371" t="s">
        <v>40</v>
      </c>
      <c r="Q120" s="372"/>
      <c r="R120" s="372"/>
      <c r="S120" s="372"/>
      <c r="T120" s="372"/>
      <c r="U120" s="372"/>
      <c r="V120" s="373"/>
      <c r="W120" s="42" t="s">
        <v>39</v>
      </c>
      <c r="X120" s="43">
        <f>IFERROR(SUM(X119:X119),"0")</f>
        <v>7</v>
      </c>
      <c r="Y120" s="43">
        <f>IFERROR(SUM(Y119:Y119),"0")</f>
        <v>7</v>
      </c>
      <c r="Z120" s="43">
        <f>IFERROR(IF(Z119="",0,Z119),"0")</f>
        <v>0.12515999999999999</v>
      </c>
      <c r="AA120" s="67"/>
      <c r="AB120" s="67"/>
      <c r="AC120" s="67"/>
    </row>
    <row r="121" spans="1:68" x14ac:dyDescent="0.2">
      <c r="A121" s="374"/>
      <c r="B121" s="374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5"/>
      <c r="P121" s="371" t="s">
        <v>40</v>
      </c>
      <c r="Q121" s="372"/>
      <c r="R121" s="372"/>
      <c r="S121" s="372"/>
      <c r="T121" s="372"/>
      <c r="U121" s="372"/>
      <c r="V121" s="373"/>
      <c r="W121" s="42" t="s">
        <v>0</v>
      </c>
      <c r="X121" s="43">
        <f>IFERROR(SUMPRODUCT(X119:X119*H119:H119),"0")</f>
        <v>18.48</v>
      </c>
      <c r="Y121" s="43">
        <f>IFERROR(SUMPRODUCT(Y119:Y119*H119:H119),"0")</f>
        <v>18.48</v>
      </c>
      <c r="Z121" s="42"/>
      <c r="AA121" s="67"/>
      <c r="AB121" s="67"/>
      <c r="AC121" s="67"/>
    </row>
    <row r="122" spans="1:68" ht="14.25" hidden="1" customHeight="1" x14ac:dyDescent="0.25">
      <c r="A122" s="359" t="s">
        <v>217</v>
      </c>
      <c r="B122" s="359"/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59"/>
      <c r="Q122" s="359"/>
      <c r="R122" s="359"/>
      <c r="S122" s="359"/>
      <c r="T122" s="359"/>
      <c r="U122" s="359"/>
      <c r="V122" s="359"/>
      <c r="W122" s="359"/>
      <c r="X122" s="359"/>
      <c r="Y122" s="359"/>
      <c r="Z122" s="359"/>
      <c r="AA122" s="66"/>
      <c r="AB122" s="66"/>
      <c r="AC122" s="83"/>
    </row>
    <row r="123" spans="1:68" ht="27" hidden="1" customHeight="1" x14ac:dyDescent="0.25">
      <c r="A123" s="63" t="s">
        <v>218</v>
      </c>
      <c r="B123" s="63" t="s">
        <v>219</v>
      </c>
      <c r="C123" s="36">
        <v>4301071094</v>
      </c>
      <c r="D123" s="360">
        <v>4620207491140</v>
      </c>
      <c r="E123" s="360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62"/>
      <c r="R123" s="362"/>
      <c r="S123" s="362"/>
      <c r="T123" s="363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220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5"/>
      <c r="P124" s="371" t="s">
        <v>40</v>
      </c>
      <c r="Q124" s="372"/>
      <c r="R124" s="372"/>
      <c r="S124" s="372"/>
      <c r="T124" s="372"/>
      <c r="U124" s="372"/>
      <c r="V124" s="373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4"/>
      <c r="B125" s="374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5"/>
      <c r="P125" s="371" t="s">
        <v>40</v>
      </c>
      <c r="Q125" s="372"/>
      <c r="R125" s="372"/>
      <c r="S125" s="372"/>
      <c r="T125" s="372"/>
      <c r="U125" s="372"/>
      <c r="V125" s="373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8" t="s">
        <v>221</v>
      </c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  <c r="AA126" s="65"/>
      <c r="AB126" s="65"/>
      <c r="AC126" s="82"/>
    </row>
    <row r="127" spans="1:68" ht="14.25" hidden="1" customHeight="1" x14ac:dyDescent="0.25">
      <c r="A127" s="359" t="s">
        <v>80</v>
      </c>
      <c r="B127" s="359"/>
      <c r="C127" s="359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  <c r="R127" s="359"/>
      <c r="S127" s="359"/>
      <c r="T127" s="359"/>
      <c r="U127" s="359"/>
      <c r="V127" s="359"/>
      <c r="W127" s="359"/>
      <c r="X127" s="359"/>
      <c r="Y127" s="359"/>
      <c r="Z127" s="359"/>
      <c r="AA127" s="66"/>
      <c r="AB127" s="66"/>
      <c r="AC127" s="83"/>
    </row>
    <row r="128" spans="1:68" ht="27" hidden="1" customHeight="1" x14ac:dyDescent="0.25">
      <c r="A128" s="63" t="s">
        <v>222</v>
      </c>
      <c r="B128" s="63" t="s">
        <v>223</v>
      </c>
      <c r="C128" s="36">
        <v>4301071142</v>
      </c>
      <c r="D128" s="360">
        <v>4620207491904</v>
      </c>
      <c r="E128" s="360"/>
      <c r="F128" s="62">
        <v>0.56999999999999995</v>
      </c>
      <c r="G128" s="37">
        <v>10</v>
      </c>
      <c r="H128" s="62">
        <v>5.7</v>
      </c>
      <c r="I128" s="62">
        <v>5.98</v>
      </c>
      <c r="J128" s="37">
        <v>84</v>
      </c>
      <c r="K128" s="37" t="s">
        <v>85</v>
      </c>
      <c r="L128" s="37" t="s">
        <v>86</v>
      </c>
      <c r="M128" s="38" t="s">
        <v>84</v>
      </c>
      <c r="N128" s="38"/>
      <c r="O128" s="37">
        <v>180</v>
      </c>
      <c r="P128" s="413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62"/>
      <c r="R128" s="362"/>
      <c r="S128" s="362"/>
      <c r="T128" s="363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225</v>
      </c>
      <c r="AC128" s="179" t="s">
        <v>224</v>
      </c>
      <c r="AG128" s="81"/>
      <c r="AJ128" s="87" t="s">
        <v>87</v>
      </c>
      <c r="AK128" s="87">
        <v>1</v>
      </c>
      <c r="BB128" s="180" t="s">
        <v>70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idden="1" x14ac:dyDescent="0.2">
      <c r="A129" s="374"/>
      <c r="B129" s="374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5"/>
      <c r="P129" s="371" t="s">
        <v>40</v>
      </c>
      <c r="Q129" s="372"/>
      <c r="R129" s="372"/>
      <c r="S129" s="372"/>
      <c r="T129" s="372"/>
      <c r="U129" s="372"/>
      <c r="V129" s="373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5"/>
      <c r="P130" s="371" t="s">
        <v>40</v>
      </c>
      <c r="Q130" s="372"/>
      <c r="R130" s="372"/>
      <c r="S130" s="372"/>
      <c r="T130" s="372"/>
      <c r="U130" s="372"/>
      <c r="V130" s="373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4.25" hidden="1" customHeight="1" x14ac:dyDescent="0.25">
      <c r="A131" s="359" t="s">
        <v>147</v>
      </c>
      <c r="B131" s="359"/>
      <c r="C131" s="359"/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359"/>
      <c r="P131" s="359"/>
      <c r="Q131" s="359"/>
      <c r="R131" s="359"/>
      <c r="S131" s="359"/>
      <c r="T131" s="359"/>
      <c r="U131" s="359"/>
      <c r="V131" s="359"/>
      <c r="W131" s="359"/>
      <c r="X131" s="359"/>
      <c r="Y131" s="359"/>
      <c r="Z131" s="359"/>
      <c r="AA131" s="66"/>
      <c r="AB131" s="66"/>
      <c r="AC131" s="83"/>
    </row>
    <row r="132" spans="1:68" ht="27" hidden="1" customHeight="1" x14ac:dyDescent="0.25">
      <c r="A132" s="63" t="s">
        <v>226</v>
      </c>
      <c r="B132" s="63" t="s">
        <v>227</v>
      </c>
      <c r="C132" s="36">
        <v>4301135848</v>
      </c>
      <c r="D132" s="360">
        <v>4620207491799</v>
      </c>
      <c r="E132" s="360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62"/>
      <c r="R132" s="362"/>
      <c r="S132" s="362"/>
      <c r="T132" s="363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1" t="s">
        <v>228</v>
      </c>
      <c r="AG132" s="81"/>
      <c r="AJ132" s="87" t="s">
        <v>87</v>
      </c>
      <c r="AK132" s="87">
        <v>1</v>
      </c>
      <c r="BB132" s="182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229</v>
      </c>
      <c r="B133" s="63" t="s">
        <v>230</v>
      </c>
      <c r="C133" s="36">
        <v>4301135850</v>
      </c>
      <c r="D133" s="360">
        <v>4620207491492</v>
      </c>
      <c r="E133" s="360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62"/>
      <c r="R133" s="362"/>
      <c r="S133" s="362"/>
      <c r="T133" s="363"/>
      <c r="U133" s="39" t="s">
        <v>46</v>
      </c>
      <c r="V133" s="39" t="s">
        <v>46</v>
      </c>
      <c r="W133" s="40" t="s">
        <v>39</v>
      </c>
      <c r="X133" s="58">
        <v>61</v>
      </c>
      <c r="Y133" s="55">
        <f>IFERROR(IF(X133="","",X133),"")</f>
        <v>61</v>
      </c>
      <c r="Z133" s="41">
        <f>IFERROR(IF(X133="","",X133*0.00941),"")</f>
        <v>0.57401000000000002</v>
      </c>
      <c r="AA133" s="68" t="s">
        <v>46</v>
      </c>
      <c r="AB133" s="69" t="s">
        <v>46</v>
      </c>
      <c r="AC133" s="183" t="s">
        <v>228</v>
      </c>
      <c r="AG133" s="81"/>
      <c r="AJ133" s="87" t="s">
        <v>87</v>
      </c>
      <c r="AK133" s="87">
        <v>1</v>
      </c>
      <c r="BB133" s="184" t="s">
        <v>115</v>
      </c>
      <c r="BM133" s="81">
        <f>IFERROR(X133*I133,"0")</f>
        <v>109.8</v>
      </c>
      <c r="BN133" s="81">
        <f>IFERROR(Y133*I133,"0")</f>
        <v>109.8</v>
      </c>
      <c r="BO133" s="81">
        <f>IFERROR(X133/J133,"0")</f>
        <v>0.43571428571428572</v>
      </c>
      <c r="BP133" s="81">
        <f>IFERROR(Y133/J133,"0")</f>
        <v>0.43571428571428572</v>
      </c>
    </row>
    <row r="134" spans="1:68" ht="27" customHeight="1" x14ac:dyDescent="0.25">
      <c r="A134" s="63" t="s">
        <v>231</v>
      </c>
      <c r="B134" s="63" t="s">
        <v>232</v>
      </c>
      <c r="C134" s="36">
        <v>4301190118</v>
      </c>
      <c r="D134" s="360">
        <v>4620207491461</v>
      </c>
      <c r="E134" s="360"/>
      <c r="F134" s="62">
        <v>0.22</v>
      </c>
      <c r="G134" s="37">
        <v>6</v>
      </c>
      <c r="H134" s="62">
        <v>1.32</v>
      </c>
      <c r="I134" s="62">
        <v>1.74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62"/>
      <c r="R134" s="362"/>
      <c r="S134" s="362"/>
      <c r="T134" s="363"/>
      <c r="U134" s="39" t="s">
        <v>46</v>
      </c>
      <c r="V134" s="39" t="s">
        <v>46</v>
      </c>
      <c r="W134" s="40" t="s">
        <v>39</v>
      </c>
      <c r="X134" s="58">
        <v>61</v>
      </c>
      <c r="Y134" s="55">
        <f>IFERROR(IF(X134="","",X134),"")</f>
        <v>61</v>
      </c>
      <c r="Z134" s="41">
        <f>IFERROR(IF(X134="","",X134*0.00941),"")</f>
        <v>0.57401000000000002</v>
      </c>
      <c r="AA134" s="68" t="s">
        <v>46</v>
      </c>
      <c r="AB134" s="69" t="s">
        <v>46</v>
      </c>
      <c r="AC134" s="185" t="s">
        <v>228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106.14</v>
      </c>
      <c r="BN134" s="81">
        <f>IFERROR(Y134*I134,"0")</f>
        <v>106.14</v>
      </c>
      <c r="BO134" s="81">
        <f>IFERROR(X134/J134,"0")</f>
        <v>0.43571428571428572</v>
      </c>
      <c r="BP134" s="81">
        <f>IFERROR(Y134/J134,"0")</f>
        <v>0.43571428571428572</v>
      </c>
    </row>
    <row r="135" spans="1:68" ht="27" customHeight="1" x14ac:dyDescent="0.25">
      <c r="A135" s="63" t="s">
        <v>233</v>
      </c>
      <c r="B135" s="63" t="s">
        <v>234</v>
      </c>
      <c r="C135" s="36">
        <v>4301135865</v>
      </c>
      <c r="D135" s="360">
        <v>4620207491485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52</v>
      </c>
      <c r="Y135" s="55">
        <f>IFERROR(IF(X135="","",X135),"")</f>
        <v>52</v>
      </c>
      <c r="Z135" s="41">
        <f>IFERROR(IF(X135="","",X135*0.00941),"")</f>
        <v>0.48931999999999998</v>
      </c>
      <c r="AA135" s="68" t="s">
        <v>46</v>
      </c>
      <c r="AB135" s="69" t="s">
        <v>46</v>
      </c>
      <c r="AC135" s="187" t="s">
        <v>228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93.600000000000009</v>
      </c>
      <c r="BN135" s="81">
        <f>IFERROR(Y135*I135,"0")</f>
        <v>93.600000000000009</v>
      </c>
      <c r="BO135" s="81">
        <f>IFERROR(X135/J135,"0")</f>
        <v>0.37142857142857144</v>
      </c>
      <c r="BP135" s="81">
        <f>IFERROR(Y135/J135,"0")</f>
        <v>0.37142857142857144</v>
      </c>
    </row>
    <row r="136" spans="1:68" x14ac:dyDescent="0.2">
      <c r="A136" s="374"/>
      <c r="B136" s="374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5"/>
      <c r="P136" s="371" t="s">
        <v>40</v>
      </c>
      <c r="Q136" s="372"/>
      <c r="R136" s="372"/>
      <c r="S136" s="372"/>
      <c r="T136" s="372"/>
      <c r="U136" s="372"/>
      <c r="V136" s="373"/>
      <c r="W136" s="42" t="s">
        <v>39</v>
      </c>
      <c r="X136" s="43">
        <f>IFERROR(SUM(X132:X135),"0")</f>
        <v>174</v>
      </c>
      <c r="Y136" s="43">
        <f>IFERROR(SUM(Y132:Y135),"0")</f>
        <v>174</v>
      </c>
      <c r="Z136" s="43">
        <f>IFERROR(IF(Z132="",0,Z132),"0")+IFERROR(IF(Z133="",0,Z133),"0")+IFERROR(IF(Z134="",0,Z134),"0")+IFERROR(IF(Z135="",0,Z135),"0")</f>
        <v>1.63734</v>
      </c>
      <c r="AA136" s="67"/>
      <c r="AB136" s="67"/>
      <c r="AC136" s="67"/>
    </row>
    <row r="137" spans="1:68" x14ac:dyDescent="0.2">
      <c r="A137" s="374"/>
      <c r="B137" s="374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5"/>
      <c r="P137" s="371" t="s">
        <v>40</v>
      </c>
      <c r="Q137" s="372"/>
      <c r="R137" s="372"/>
      <c r="S137" s="372"/>
      <c r="T137" s="372"/>
      <c r="U137" s="372"/>
      <c r="V137" s="373"/>
      <c r="W137" s="42" t="s">
        <v>0</v>
      </c>
      <c r="X137" s="43">
        <f>IFERROR(SUMPRODUCT(X132:X135*H132:H135),"0")</f>
        <v>236.45999999999998</v>
      </c>
      <c r="Y137" s="43">
        <f>IFERROR(SUMPRODUCT(Y132:Y135*H132:H135),"0")</f>
        <v>236.45999999999998</v>
      </c>
      <c r="Z137" s="42"/>
      <c r="AA137" s="67"/>
      <c r="AB137" s="67"/>
      <c r="AC137" s="67"/>
    </row>
    <row r="138" spans="1:68" ht="14.25" hidden="1" customHeight="1" x14ac:dyDescent="0.25">
      <c r="A138" s="359" t="s">
        <v>235</v>
      </c>
      <c r="B138" s="359"/>
      <c r="C138" s="359"/>
      <c r="D138" s="359"/>
      <c r="E138" s="359"/>
      <c r="F138" s="359"/>
      <c r="G138" s="359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  <c r="R138" s="359"/>
      <c r="S138" s="359"/>
      <c r="T138" s="359"/>
      <c r="U138" s="359"/>
      <c r="V138" s="359"/>
      <c r="W138" s="359"/>
      <c r="X138" s="359"/>
      <c r="Y138" s="359"/>
      <c r="Z138" s="359"/>
      <c r="AA138" s="66"/>
      <c r="AB138" s="66"/>
      <c r="AC138" s="83"/>
    </row>
    <row r="139" spans="1:68" ht="27" hidden="1" customHeight="1" x14ac:dyDescent="0.25">
      <c r="A139" s="63" t="s">
        <v>236</v>
      </c>
      <c r="B139" s="63" t="s">
        <v>237</v>
      </c>
      <c r="C139" s="36">
        <v>4301190117</v>
      </c>
      <c r="D139" s="360">
        <v>4620207491386</v>
      </c>
      <c r="E139" s="360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62"/>
      <c r="R139" s="362"/>
      <c r="S139" s="362"/>
      <c r="T139" s="363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9" t="s">
        <v>238</v>
      </c>
      <c r="AG139" s="81"/>
      <c r="AJ139" s="87" t="s">
        <v>87</v>
      </c>
      <c r="AK139" s="87">
        <v>1</v>
      </c>
      <c r="BB139" s="190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239</v>
      </c>
      <c r="B140" s="63" t="s">
        <v>240</v>
      </c>
      <c r="C140" s="36">
        <v>4301190115</v>
      </c>
      <c r="D140" s="360">
        <v>4620207491362</v>
      </c>
      <c r="E140" s="360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62"/>
      <c r="R140" s="362"/>
      <c r="S140" s="362"/>
      <c r="T140" s="36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238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hidden="1" customHeight="1" x14ac:dyDescent="0.25">
      <c r="A141" s="63" t="s">
        <v>241</v>
      </c>
      <c r="B141" s="63" t="s">
        <v>242</v>
      </c>
      <c r="C141" s="36">
        <v>4301190116</v>
      </c>
      <c r="D141" s="360">
        <v>4620207491379</v>
      </c>
      <c r="E141" s="36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2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62"/>
      <c r="R141" s="362"/>
      <c r="S141" s="362"/>
      <c r="T141" s="36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238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idden="1" x14ac:dyDescent="0.2">
      <c r="A142" s="374"/>
      <c r="B142" s="374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5"/>
      <c r="P142" s="371" t="s">
        <v>40</v>
      </c>
      <c r="Q142" s="372"/>
      <c r="R142" s="372"/>
      <c r="S142" s="372"/>
      <c r="T142" s="372"/>
      <c r="U142" s="372"/>
      <c r="V142" s="373"/>
      <c r="W142" s="42" t="s">
        <v>39</v>
      </c>
      <c r="X142" s="43">
        <f>IFERROR(SUM(X139:X141),"0")</f>
        <v>0</v>
      </c>
      <c r="Y142" s="43">
        <f>IFERROR(SUM(Y139:Y141),"0")</f>
        <v>0</v>
      </c>
      <c r="Z142" s="43">
        <f>IFERROR(IF(Z139="",0,Z139),"0")+IFERROR(IF(Z140="",0,Z140),"0")+IFERROR(IF(Z141="",0,Z141),"0")</f>
        <v>0</v>
      </c>
      <c r="AA142" s="67"/>
      <c r="AB142" s="67"/>
      <c r="AC142" s="67"/>
    </row>
    <row r="143" spans="1:68" hidden="1" x14ac:dyDescent="0.2">
      <c r="A143" s="374"/>
      <c r="B143" s="374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5"/>
      <c r="P143" s="371" t="s">
        <v>40</v>
      </c>
      <c r="Q143" s="372"/>
      <c r="R143" s="372"/>
      <c r="S143" s="372"/>
      <c r="T143" s="372"/>
      <c r="U143" s="372"/>
      <c r="V143" s="373"/>
      <c r="W143" s="42" t="s">
        <v>0</v>
      </c>
      <c r="X143" s="43">
        <f>IFERROR(SUMPRODUCT(X139:X141*H139:H141),"0")</f>
        <v>0</v>
      </c>
      <c r="Y143" s="43">
        <f>IFERROR(SUMPRODUCT(Y139:Y141*H139:H141),"0")</f>
        <v>0</v>
      </c>
      <c r="Z143" s="42"/>
      <c r="AA143" s="67"/>
      <c r="AB143" s="67"/>
      <c r="AC143" s="67"/>
    </row>
    <row r="144" spans="1:68" ht="16.5" hidden="1" customHeight="1" x14ac:dyDescent="0.25">
      <c r="A144" s="358" t="s">
        <v>243</v>
      </c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65"/>
      <c r="AB144" s="65"/>
      <c r="AC144" s="82"/>
    </row>
    <row r="145" spans="1:68" ht="14.25" hidden="1" customHeight="1" x14ac:dyDescent="0.25">
      <c r="A145" s="359" t="s">
        <v>147</v>
      </c>
      <c r="B145" s="359"/>
      <c r="C145" s="359"/>
      <c r="D145" s="359"/>
      <c r="E145" s="359"/>
      <c r="F145" s="359"/>
      <c r="G145" s="359"/>
      <c r="H145" s="359"/>
      <c r="I145" s="359"/>
      <c r="J145" s="359"/>
      <c r="K145" s="359"/>
      <c r="L145" s="359"/>
      <c r="M145" s="359"/>
      <c r="N145" s="359"/>
      <c r="O145" s="359"/>
      <c r="P145" s="359"/>
      <c r="Q145" s="359"/>
      <c r="R145" s="359"/>
      <c r="S145" s="359"/>
      <c r="T145" s="359"/>
      <c r="U145" s="359"/>
      <c r="V145" s="359"/>
      <c r="W145" s="359"/>
      <c r="X145" s="359"/>
      <c r="Y145" s="359"/>
      <c r="Z145" s="359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4301135956</v>
      </c>
      <c r="D146" s="360">
        <v>4620207491560</v>
      </c>
      <c r="E146" s="360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116</v>
      </c>
      <c r="L146" s="37" t="s">
        <v>86</v>
      </c>
      <c r="M146" s="38" t="s">
        <v>84</v>
      </c>
      <c r="N146" s="38"/>
      <c r="O146" s="37">
        <v>180</v>
      </c>
      <c r="P146" s="42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62"/>
      <c r="R146" s="362"/>
      <c r="S146" s="362"/>
      <c r="T146" s="363"/>
      <c r="U146" s="39" t="s">
        <v>46</v>
      </c>
      <c r="V146" s="39" t="s">
        <v>46</v>
      </c>
      <c r="W146" s="40" t="s">
        <v>39</v>
      </c>
      <c r="X146" s="58">
        <v>148</v>
      </c>
      <c r="Y146" s="55">
        <f>IFERROR(IF(X146="","",X146),"")</f>
        <v>148</v>
      </c>
      <c r="Z146" s="41">
        <f>IFERROR(IF(X146="","",X146*0.01788),"")</f>
        <v>2.6462400000000001</v>
      </c>
      <c r="AA146" s="68" t="s">
        <v>46</v>
      </c>
      <c r="AB146" s="69" t="s">
        <v>46</v>
      </c>
      <c r="AC146" s="195" t="s">
        <v>246</v>
      </c>
      <c r="AG146" s="81"/>
      <c r="AJ146" s="87" t="s">
        <v>87</v>
      </c>
      <c r="AK146" s="87">
        <v>1</v>
      </c>
      <c r="BB146" s="196" t="s">
        <v>115</v>
      </c>
      <c r="BM146" s="81">
        <f>IFERROR(X146*I146,"0")</f>
        <v>548.13279999999997</v>
      </c>
      <c r="BN146" s="81">
        <f>IFERROR(Y146*I146,"0")</f>
        <v>548.13279999999997</v>
      </c>
      <c r="BO146" s="81">
        <f>IFERROR(X146/J146,"0")</f>
        <v>2.1142857142857143</v>
      </c>
      <c r="BP146" s="81">
        <f>IFERROR(Y146/J146,"0")</f>
        <v>2.1142857142857143</v>
      </c>
    </row>
    <row r="147" spans="1:68" ht="27" customHeight="1" x14ac:dyDescent="0.25">
      <c r="A147" s="63" t="s">
        <v>247</v>
      </c>
      <c r="B147" s="63" t="s">
        <v>248</v>
      </c>
      <c r="C147" s="36">
        <v>4301135532</v>
      </c>
      <c r="D147" s="360">
        <v>4607111033994</v>
      </c>
      <c r="E147" s="360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42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62"/>
      <c r="R147" s="362"/>
      <c r="S147" s="362"/>
      <c r="T147" s="363"/>
      <c r="U147" s="39" t="s">
        <v>46</v>
      </c>
      <c r="V147" s="39" t="s">
        <v>46</v>
      </c>
      <c r="W147" s="40" t="s">
        <v>39</v>
      </c>
      <c r="X147" s="58">
        <v>140</v>
      </c>
      <c r="Y147" s="55">
        <f>IFERROR(IF(X147="","",X147),"")</f>
        <v>140</v>
      </c>
      <c r="Z147" s="41">
        <f>IFERROR(IF(X147="","",X147*0.01788),"")</f>
        <v>2.5032000000000001</v>
      </c>
      <c r="AA147" s="68" t="s">
        <v>46</v>
      </c>
      <c r="AB147" s="69" t="s">
        <v>46</v>
      </c>
      <c r="AC147" s="197" t="s">
        <v>177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518.50400000000002</v>
      </c>
      <c r="BN147" s="81">
        <f>IFERROR(Y147*I147,"0")</f>
        <v>518.50400000000002</v>
      </c>
      <c r="BO147" s="81">
        <f>IFERROR(X147/J147,"0")</f>
        <v>2</v>
      </c>
      <c r="BP147" s="81">
        <f>IFERROR(Y147/J147,"0")</f>
        <v>2</v>
      </c>
    </row>
    <row r="148" spans="1:68" x14ac:dyDescent="0.2">
      <c r="A148" s="374"/>
      <c r="B148" s="374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5"/>
      <c r="P148" s="371" t="s">
        <v>40</v>
      </c>
      <c r="Q148" s="372"/>
      <c r="R148" s="372"/>
      <c r="S148" s="372"/>
      <c r="T148" s="372"/>
      <c r="U148" s="372"/>
      <c r="V148" s="373"/>
      <c r="W148" s="42" t="s">
        <v>39</v>
      </c>
      <c r="X148" s="43">
        <f>IFERROR(SUM(X146:X147),"0")</f>
        <v>288</v>
      </c>
      <c r="Y148" s="43">
        <f>IFERROR(SUM(Y146:Y147),"0")</f>
        <v>288</v>
      </c>
      <c r="Z148" s="43">
        <f>IFERROR(IF(Z146="",0,Z146),"0")+IFERROR(IF(Z147="",0,Z147),"0")</f>
        <v>5.1494400000000002</v>
      </c>
      <c r="AA148" s="67"/>
      <c r="AB148" s="67"/>
      <c r="AC148" s="67"/>
    </row>
    <row r="149" spans="1:68" x14ac:dyDescent="0.2">
      <c r="A149" s="374"/>
      <c r="B149" s="374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5"/>
      <c r="P149" s="371" t="s">
        <v>40</v>
      </c>
      <c r="Q149" s="372"/>
      <c r="R149" s="372"/>
      <c r="S149" s="372"/>
      <c r="T149" s="372"/>
      <c r="U149" s="372"/>
      <c r="V149" s="373"/>
      <c r="W149" s="42" t="s">
        <v>0</v>
      </c>
      <c r="X149" s="43">
        <f>IFERROR(SUMPRODUCT(X146:X147*H146:H147),"0")</f>
        <v>864</v>
      </c>
      <c r="Y149" s="43">
        <f>IFERROR(SUMPRODUCT(Y146:Y147*H146:H147),"0")</f>
        <v>864</v>
      </c>
      <c r="Z149" s="42"/>
      <c r="AA149" s="67"/>
      <c r="AB149" s="67"/>
      <c r="AC149" s="67"/>
    </row>
    <row r="150" spans="1:68" ht="16.5" hidden="1" customHeight="1" x14ac:dyDescent="0.25">
      <c r="A150" s="358" t="s">
        <v>249</v>
      </c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65"/>
      <c r="AB150" s="65"/>
      <c r="AC150" s="82"/>
    </row>
    <row r="151" spans="1:68" ht="14.25" hidden="1" customHeight="1" x14ac:dyDescent="0.25">
      <c r="A151" s="359" t="s">
        <v>147</v>
      </c>
      <c r="B151" s="359"/>
      <c r="C151" s="359"/>
      <c r="D151" s="359"/>
      <c r="E151" s="359"/>
      <c r="F151" s="359"/>
      <c r="G151" s="359"/>
      <c r="H151" s="359"/>
      <c r="I151" s="359"/>
      <c r="J151" s="359"/>
      <c r="K151" s="359"/>
      <c r="L151" s="359"/>
      <c r="M151" s="359"/>
      <c r="N151" s="359"/>
      <c r="O151" s="359"/>
      <c r="P151" s="359"/>
      <c r="Q151" s="359"/>
      <c r="R151" s="359"/>
      <c r="S151" s="359"/>
      <c r="T151" s="359"/>
      <c r="U151" s="359"/>
      <c r="V151" s="359"/>
      <c r="W151" s="359"/>
      <c r="X151" s="359"/>
      <c r="Y151" s="359"/>
      <c r="Z151" s="359"/>
      <c r="AA151" s="66"/>
      <c r="AB151" s="66"/>
      <c r="AC151" s="83"/>
    </row>
    <row r="152" spans="1:68" ht="27" customHeight="1" x14ac:dyDescent="0.25">
      <c r="A152" s="63" t="s">
        <v>250</v>
      </c>
      <c r="B152" s="63" t="s">
        <v>251</v>
      </c>
      <c r="C152" s="36">
        <v>4301135954</v>
      </c>
      <c r="D152" s="360">
        <v>4620207491768</v>
      </c>
      <c r="E152" s="360"/>
      <c r="F152" s="62">
        <v>0.25</v>
      </c>
      <c r="G152" s="37">
        <v>12</v>
      </c>
      <c r="H152" s="62">
        <v>3</v>
      </c>
      <c r="I152" s="62">
        <v>3.7480000000000002</v>
      </c>
      <c r="J152" s="37">
        <v>70</v>
      </c>
      <c r="K152" s="37" t="s">
        <v>116</v>
      </c>
      <c r="L152" s="37" t="s">
        <v>86</v>
      </c>
      <c r="M152" s="38" t="s">
        <v>84</v>
      </c>
      <c r="N152" s="38"/>
      <c r="O152" s="37">
        <v>180</v>
      </c>
      <c r="P152" s="42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62"/>
      <c r="R152" s="362"/>
      <c r="S152" s="362"/>
      <c r="T152" s="363"/>
      <c r="U152" s="39" t="s">
        <v>46</v>
      </c>
      <c r="V152" s="39" t="s">
        <v>46</v>
      </c>
      <c r="W152" s="40" t="s">
        <v>39</v>
      </c>
      <c r="X152" s="58">
        <v>14</v>
      </c>
      <c r="Y152" s="55">
        <f>IFERROR(IF(X152="","",X152),"")</f>
        <v>14</v>
      </c>
      <c r="Z152" s="41">
        <f>IFERROR(IF(X152="","",X152*0.01788),"")</f>
        <v>0.25031999999999999</v>
      </c>
      <c r="AA152" s="68" t="s">
        <v>46</v>
      </c>
      <c r="AB152" s="69" t="s">
        <v>46</v>
      </c>
      <c r="AC152" s="199" t="s">
        <v>252</v>
      </c>
      <c r="AG152" s="81"/>
      <c r="AJ152" s="87" t="s">
        <v>87</v>
      </c>
      <c r="AK152" s="87">
        <v>1</v>
      </c>
      <c r="BB152" s="200" t="s">
        <v>115</v>
      </c>
      <c r="BM152" s="81">
        <f>IFERROR(X152*I152,"0")</f>
        <v>52.472000000000001</v>
      </c>
      <c r="BN152" s="81">
        <f>IFERROR(Y152*I152,"0")</f>
        <v>52.472000000000001</v>
      </c>
      <c r="BO152" s="81">
        <f>IFERROR(X152/J152,"0")</f>
        <v>0.2</v>
      </c>
      <c r="BP152" s="81">
        <f>IFERROR(Y152/J152,"0")</f>
        <v>0.2</v>
      </c>
    </row>
    <row r="153" spans="1:68" ht="16.5" customHeight="1" x14ac:dyDescent="0.25">
      <c r="A153" s="63" t="s">
        <v>253</v>
      </c>
      <c r="B153" s="63" t="s">
        <v>254</v>
      </c>
      <c r="C153" s="36">
        <v>4301135946</v>
      </c>
      <c r="D153" s="360">
        <v>4620207491553</v>
      </c>
      <c r="E153" s="360"/>
      <c r="F153" s="62">
        <v>0.25</v>
      </c>
      <c r="G153" s="37">
        <v>12</v>
      </c>
      <c r="H153" s="62">
        <v>3</v>
      </c>
      <c r="I153" s="62">
        <v>3.7035999999999998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42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62"/>
      <c r="R153" s="362"/>
      <c r="S153" s="362"/>
      <c r="T153" s="363"/>
      <c r="U153" s="39" t="s">
        <v>46</v>
      </c>
      <c r="V153" s="39" t="s">
        <v>46</v>
      </c>
      <c r="W153" s="40" t="s">
        <v>39</v>
      </c>
      <c r="X153" s="58">
        <v>15</v>
      </c>
      <c r="Y153" s="55">
        <f>IFERROR(IF(X153="","",X153),"")</f>
        <v>15</v>
      </c>
      <c r="Z153" s="41">
        <f>IFERROR(IF(X153="","",X153*0.01788),"")</f>
        <v>0.26819999999999999</v>
      </c>
      <c r="AA153" s="68" t="s">
        <v>46</v>
      </c>
      <c r="AB153" s="69" t="s">
        <v>46</v>
      </c>
      <c r="AC153" s="201" t="s">
        <v>252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55.553999999999995</v>
      </c>
      <c r="BN153" s="81">
        <f>IFERROR(Y153*I153,"0")</f>
        <v>55.553999999999995</v>
      </c>
      <c r="BO153" s="81">
        <f>IFERROR(X153/J153,"0")</f>
        <v>0.21428571428571427</v>
      </c>
      <c r="BP153" s="81">
        <f>IFERROR(Y153/J153,"0")</f>
        <v>0.21428571428571427</v>
      </c>
    </row>
    <row r="154" spans="1:68" x14ac:dyDescent="0.2">
      <c r="A154" s="374"/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5"/>
      <c r="P154" s="371" t="s">
        <v>40</v>
      </c>
      <c r="Q154" s="372"/>
      <c r="R154" s="372"/>
      <c r="S154" s="372"/>
      <c r="T154" s="372"/>
      <c r="U154" s="372"/>
      <c r="V154" s="373"/>
      <c r="W154" s="42" t="s">
        <v>39</v>
      </c>
      <c r="X154" s="43">
        <f>IFERROR(SUM(X152:X153),"0")</f>
        <v>29</v>
      </c>
      <c r="Y154" s="43">
        <f>IFERROR(SUM(Y152:Y153),"0")</f>
        <v>29</v>
      </c>
      <c r="Z154" s="43">
        <f>IFERROR(IF(Z152="",0,Z152),"0")+IFERROR(IF(Z153="",0,Z153),"0")</f>
        <v>0.51851999999999998</v>
      </c>
      <c r="AA154" s="67"/>
      <c r="AB154" s="67"/>
      <c r="AC154" s="67"/>
    </row>
    <row r="155" spans="1:68" x14ac:dyDescent="0.2">
      <c r="A155" s="374"/>
      <c r="B155" s="374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5"/>
      <c r="P155" s="371" t="s">
        <v>40</v>
      </c>
      <c r="Q155" s="372"/>
      <c r="R155" s="372"/>
      <c r="S155" s="372"/>
      <c r="T155" s="372"/>
      <c r="U155" s="372"/>
      <c r="V155" s="373"/>
      <c r="W155" s="42" t="s">
        <v>0</v>
      </c>
      <c r="X155" s="43">
        <f>IFERROR(SUMPRODUCT(X152:X153*H152:H153),"0")</f>
        <v>87</v>
      </c>
      <c r="Y155" s="43">
        <f>IFERROR(SUMPRODUCT(Y152:Y153*H152:H153),"0")</f>
        <v>87</v>
      </c>
      <c r="Z155" s="42"/>
      <c r="AA155" s="67"/>
      <c r="AB155" s="67"/>
      <c r="AC155" s="67"/>
    </row>
    <row r="156" spans="1:68" ht="16.5" hidden="1" customHeight="1" x14ac:dyDescent="0.25">
      <c r="A156" s="358" t="s">
        <v>255</v>
      </c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  <c r="AA156" s="65"/>
      <c r="AB156" s="65"/>
      <c r="AC156" s="82"/>
    </row>
    <row r="157" spans="1:68" ht="14.25" hidden="1" customHeight="1" x14ac:dyDescent="0.25">
      <c r="A157" s="359" t="s">
        <v>147</v>
      </c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59"/>
      <c r="P157" s="359"/>
      <c r="Q157" s="359"/>
      <c r="R157" s="359"/>
      <c r="S157" s="359"/>
      <c r="T157" s="359"/>
      <c r="U157" s="359"/>
      <c r="V157" s="359"/>
      <c r="W157" s="359"/>
      <c r="X157" s="359"/>
      <c r="Y157" s="359"/>
      <c r="Z157" s="359"/>
      <c r="AA157" s="66"/>
      <c r="AB157" s="66"/>
      <c r="AC157" s="83"/>
    </row>
    <row r="158" spans="1:68" ht="27" customHeight="1" x14ac:dyDescent="0.25">
      <c r="A158" s="63" t="s">
        <v>256</v>
      </c>
      <c r="B158" s="63" t="s">
        <v>257</v>
      </c>
      <c r="C158" s="36">
        <v>4301135753</v>
      </c>
      <c r="D158" s="360">
        <v>4620207490914</v>
      </c>
      <c r="E158" s="360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116</v>
      </c>
      <c r="L158" s="37" t="s">
        <v>86</v>
      </c>
      <c r="M158" s="38" t="s">
        <v>84</v>
      </c>
      <c r="N158" s="38"/>
      <c r="O158" s="37">
        <v>180</v>
      </c>
      <c r="P158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62"/>
      <c r="R158" s="362"/>
      <c r="S158" s="362"/>
      <c r="T158" s="363"/>
      <c r="U158" s="39" t="s">
        <v>46</v>
      </c>
      <c r="V158" s="39" t="s">
        <v>46</v>
      </c>
      <c r="W158" s="40" t="s">
        <v>39</v>
      </c>
      <c r="X158" s="58">
        <v>27</v>
      </c>
      <c r="Y158" s="55">
        <f>IFERROR(IF(X158="","",X158),"")</f>
        <v>27</v>
      </c>
      <c r="Z158" s="41">
        <f>IFERROR(IF(X158="","",X158*0.01788),"")</f>
        <v>0.48276000000000002</v>
      </c>
      <c r="AA158" s="68" t="s">
        <v>46</v>
      </c>
      <c r="AB158" s="69" t="s">
        <v>46</v>
      </c>
      <c r="AC158" s="203" t="s">
        <v>258</v>
      </c>
      <c r="AG158" s="81"/>
      <c r="AJ158" s="87" t="s">
        <v>87</v>
      </c>
      <c r="AK158" s="87">
        <v>1</v>
      </c>
      <c r="BB158" s="204" t="s">
        <v>115</v>
      </c>
      <c r="BM158" s="81">
        <f>IFERROR(X158*I158,"0")</f>
        <v>72.36</v>
      </c>
      <c r="BN158" s="81">
        <f>IFERROR(Y158*I158,"0")</f>
        <v>72.36</v>
      </c>
      <c r="BO158" s="81">
        <f>IFERROR(X158/J158,"0")</f>
        <v>0.38571428571428573</v>
      </c>
      <c r="BP158" s="81">
        <f>IFERROR(Y158/J158,"0")</f>
        <v>0.38571428571428573</v>
      </c>
    </row>
    <row r="159" spans="1:68" ht="27" customHeight="1" x14ac:dyDescent="0.25">
      <c r="A159" s="63" t="s">
        <v>259</v>
      </c>
      <c r="B159" s="63" t="s">
        <v>260</v>
      </c>
      <c r="C159" s="36">
        <v>4301135932</v>
      </c>
      <c r="D159" s="360">
        <v>4620207491676</v>
      </c>
      <c r="E159" s="360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42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62"/>
      <c r="R159" s="362"/>
      <c r="S159" s="362"/>
      <c r="T159" s="363"/>
      <c r="U159" s="39" t="s">
        <v>46</v>
      </c>
      <c r="V159" s="39" t="s">
        <v>46</v>
      </c>
      <c r="W159" s="40" t="s">
        <v>39</v>
      </c>
      <c r="X159" s="58">
        <v>19</v>
      </c>
      <c r="Y159" s="55">
        <f>IFERROR(IF(X159="","",X159),"")</f>
        <v>19</v>
      </c>
      <c r="Z159" s="41">
        <f>IFERROR(IF(X159="","",X159*0.01788),"")</f>
        <v>0.33972000000000002</v>
      </c>
      <c r="AA159" s="68" t="s">
        <v>46</v>
      </c>
      <c r="AB159" s="69" t="s">
        <v>46</v>
      </c>
      <c r="AC159" s="205" t="s">
        <v>261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50.92</v>
      </c>
      <c r="BN159" s="81">
        <f>IFERROR(Y159*I159,"0")</f>
        <v>50.92</v>
      </c>
      <c r="BO159" s="81">
        <f>IFERROR(X159/J159,"0")</f>
        <v>0.27142857142857141</v>
      </c>
      <c r="BP159" s="81">
        <f>IFERROR(Y159/J159,"0")</f>
        <v>0.27142857142857141</v>
      </c>
    </row>
    <row r="160" spans="1:68" x14ac:dyDescent="0.2">
      <c r="A160" s="374"/>
      <c r="B160" s="374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5"/>
      <c r="P160" s="371" t="s">
        <v>40</v>
      </c>
      <c r="Q160" s="372"/>
      <c r="R160" s="372"/>
      <c r="S160" s="372"/>
      <c r="T160" s="372"/>
      <c r="U160" s="372"/>
      <c r="V160" s="373"/>
      <c r="W160" s="42" t="s">
        <v>39</v>
      </c>
      <c r="X160" s="43">
        <f>IFERROR(SUM(X158:X159),"0")</f>
        <v>46</v>
      </c>
      <c r="Y160" s="43">
        <f>IFERROR(SUM(Y158:Y159),"0")</f>
        <v>46</v>
      </c>
      <c r="Z160" s="43">
        <f>IFERROR(IF(Z158="",0,Z158),"0")+IFERROR(IF(Z159="",0,Z159),"0")</f>
        <v>0.8224800000000001</v>
      </c>
      <c r="AA160" s="67"/>
      <c r="AB160" s="67"/>
      <c r="AC160" s="67"/>
    </row>
    <row r="161" spans="1:68" x14ac:dyDescent="0.2">
      <c r="A161" s="374"/>
      <c r="B161" s="374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5"/>
      <c r="P161" s="371" t="s">
        <v>40</v>
      </c>
      <c r="Q161" s="372"/>
      <c r="R161" s="372"/>
      <c r="S161" s="372"/>
      <c r="T161" s="372"/>
      <c r="U161" s="372"/>
      <c r="V161" s="373"/>
      <c r="W161" s="42" t="s">
        <v>0</v>
      </c>
      <c r="X161" s="43">
        <f>IFERROR(SUMPRODUCT(X158:X159*H158:H159),"0")</f>
        <v>110.4</v>
      </c>
      <c r="Y161" s="43">
        <f>IFERROR(SUMPRODUCT(Y158:Y159*H158:H159),"0")</f>
        <v>110.4</v>
      </c>
      <c r="Z161" s="42"/>
      <c r="AA161" s="67"/>
      <c r="AB161" s="67"/>
      <c r="AC161" s="67"/>
    </row>
    <row r="162" spans="1:68" ht="16.5" hidden="1" customHeight="1" x14ac:dyDescent="0.25">
      <c r="A162" s="358" t="s">
        <v>262</v>
      </c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  <c r="AA162" s="65"/>
      <c r="AB162" s="65"/>
      <c r="AC162" s="82"/>
    </row>
    <row r="163" spans="1:68" ht="14.25" hidden="1" customHeight="1" x14ac:dyDescent="0.25">
      <c r="A163" s="359" t="s">
        <v>147</v>
      </c>
      <c r="B163" s="359"/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59"/>
      <c r="P163" s="359"/>
      <c r="Q163" s="359"/>
      <c r="R163" s="359"/>
      <c r="S163" s="359"/>
      <c r="T163" s="359"/>
      <c r="U163" s="359"/>
      <c r="V163" s="359"/>
      <c r="W163" s="359"/>
      <c r="X163" s="359"/>
      <c r="Y163" s="359"/>
      <c r="Z163" s="359"/>
      <c r="AA163" s="66"/>
      <c r="AB163" s="66"/>
      <c r="AC163" s="83"/>
    </row>
    <row r="164" spans="1:68" ht="27" customHeight="1" x14ac:dyDescent="0.25">
      <c r="A164" s="63" t="s">
        <v>263</v>
      </c>
      <c r="B164" s="63" t="s">
        <v>264</v>
      </c>
      <c r="C164" s="36">
        <v>4301135940</v>
      </c>
      <c r="D164" s="360">
        <v>4620207491614</v>
      </c>
      <c r="E164" s="360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116</v>
      </c>
      <c r="L164" s="37" t="s">
        <v>86</v>
      </c>
      <c r="M164" s="38" t="s">
        <v>84</v>
      </c>
      <c r="N164" s="38"/>
      <c r="O164" s="37">
        <v>180</v>
      </c>
      <c r="P164" s="42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62"/>
      <c r="R164" s="362"/>
      <c r="S164" s="362"/>
      <c r="T164" s="363"/>
      <c r="U164" s="39" t="s">
        <v>46</v>
      </c>
      <c r="V164" s="39" t="s">
        <v>46</v>
      </c>
      <c r="W164" s="40" t="s">
        <v>39</v>
      </c>
      <c r="X164" s="58">
        <v>36</v>
      </c>
      <c r="Y164" s="55">
        <f>IFERROR(IF(X164="","",X164),"")</f>
        <v>36</v>
      </c>
      <c r="Z164" s="41">
        <f>IFERROR(IF(X164="","",X164*0.01788),"")</f>
        <v>0.64368000000000003</v>
      </c>
      <c r="AA164" s="68" t="s">
        <v>46</v>
      </c>
      <c r="AB164" s="69" t="s">
        <v>46</v>
      </c>
      <c r="AC164" s="207" t="s">
        <v>165</v>
      </c>
      <c r="AG164" s="81"/>
      <c r="AJ164" s="87" t="s">
        <v>87</v>
      </c>
      <c r="AK164" s="87">
        <v>1</v>
      </c>
      <c r="BB164" s="208" t="s">
        <v>115</v>
      </c>
      <c r="BM164" s="81">
        <f>IFERROR(X164*I164,"0")</f>
        <v>133.3296</v>
      </c>
      <c r="BN164" s="81">
        <f>IFERROR(Y164*I164,"0")</f>
        <v>133.3296</v>
      </c>
      <c r="BO164" s="81">
        <f>IFERROR(X164/J164,"0")</f>
        <v>0.51428571428571423</v>
      </c>
      <c r="BP164" s="81">
        <f>IFERROR(Y164/J164,"0")</f>
        <v>0.51428571428571423</v>
      </c>
    </row>
    <row r="165" spans="1:68" x14ac:dyDescent="0.2">
      <c r="A165" s="374"/>
      <c r="B165" s="374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5"/>
      <c r="P165" s="371" t="s">
        <v>40</v>
      </c>
      <c r="Q165" s="372"/>
      <c r="R165" s="372"/>
      <c r="S165" s="372"/>
      <c r="T165" s="372"/>
      <c r="U165" s="372"/>
      <c r="V165" s="373"/>
      <c r="W165" s="42" t="s">
        <v>39</v>
      </c>
      <c r="X165" s="43">
        <f>IFERROR(SUM(X164:X164),"0")</f>
        <v>36</v>
      </c>
      <c r="Y165" s="43">
        <f>IFERROR(SUM(Y164:Y164),"0")</f>
        <v>36</v>
      </c>
      <c r="Z165" s="43">
        <f>IFERROR(IF(Z164="",0,Z164),"0")</f>
        <v>0.64368000000000003</v>
      </c>
      <c r="AA165" s="67"/>
      <c r="AB165" s="67"/>
      <c r="AC165" s="67"/>
    </row>
    <row r="166" spans="1:68" x14ac:dyDescent="0.2">
      <c r="A166" s="374"/>
      <c r="B166" s="374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5"/>
      <c r="P166" s="371" t="s">
        <v>40</v>
      </c>
      <c r="Q166" s="372"/>
      <c r="R166" s="372"/>
      <c r="S166" s="372"/>
      <c r="T166" s="372"/>
      <c r="U166" s="372"/>
      <c r="V166" s="373"/>
      <c r="W166" s="42" t="s">
        <v>0</v>
      </c>
      <c r="X166" s="43">
        <f>IFERROR(SUMPRODUCT(X164:X164*H164:H164),"0")</f>
        <v>108</v>
      </c>
      <c r="Y166" s="43">
        <f>IFERROR(SUMPRODUCT(Y164:Y164*H164:H164),"0")</f>
        <v>108</v>
      </c>
      <c r="Z166" s="42"/>
      <c r="AA166" s="67"/>
      <c r="AB166" s="67"/>
      <c r="AC166" s="67"/>
    </row>
    <row r="167" spans="1:68" ht="16.5" hidden="1" customHeight="1" x14ac:dyDescent="0.25">
      <c r="A167" s="358" t="s">
        <v>265</v>
      </c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  <c r="AA167" s="65"/>
      <c r="AB167" s="65"/>
      <c r="AC167" s="82"/>
    </row>
    <row r="168" spans="1:68" ht="14.25" hidden="1" customHeight="1" x14ac:dyDescent="0.25">
      <c r="A168" s="359" t="s">
        <v>147</v>
      </c>
      <c r="B168" s="359"/>
      <c r="C168" s="359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59"/>
      <c r="P168" s="359"/>
      <c r="Q168" s="359"/>
      <c r="R168" s="359"/>
      <c r="S168" s="359"/>
      <c r="T168" s="359"/>
      <c r="U168" s="359"/>
      <c r="V168" s="359"/>
      <c r="W168" s="359"/>
      <c r="X168" s="359"/>
      <c r="Y168" s="359"/>
      <c r="Z168" s="359"/>
      <c r="AA168" s="66"/>
      <c r="AB168" s="66"/>
      <c r="AC168" s="83"/>
    </row>
    <row r="169" spans="1:68" ht="16.5" customHeight="1" x14ac:dyDescent="0.25">
      <c r="A169" s="63" t="s">
        <v>266</v>
      </c>
      <c r="B169" s="63" t="s">
        <v>267</v>
      </c>
      <c r="C169" s="36">
        <v>4301135607</v>
      </c>
      <c r="D169" s="360">
        <v>4607111039613</v>
      </c>
      <c r="E169" s="360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116</v>
      </c>
      <c r="L169" s="37" t="s">
        <v>117</v>
      </c>
      <c r="M169" s="38" t="s">
        <v>84</v>
      </c>
      <c r="N169" s="38"/>
      <c r="O169" s="37">
        <v>180</v>
      </c>
      <c r="P169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62"/>
      <c r="R169" s="362"/>
      <c r="S169" s="362"/>
      <c r="T169" s="363"/>
      <c r="U169" s="39" t="s">
        <v>46</v>
      </c>
      <c r="V169" s="39" t="s">
        <v>46</v>
      </c>
      <c r="W169" s="40" t="s">
        <v>39</v>
      </c>
      <c r="X169" s="58">
        <v>14</v>
      </c>
      <c r="Y169" s="55">
        <f>IFERROR(IF(X169="","",X169),"")</f>
        <v>14</v>
      </c>
      <c r="Z169" s="41">
        <f>IFERROR(IF(X169="","",X169*0.00936),"")</f>
        <v>0.13103999999999999</v>
      </c>
      <c r="AA169" s="68" t="s">
        <v>46</v>
      </c>
      <c r="AB169" s="69" t="s">
        <v>46</v>
      </c>
      <c r="AC169" s="209" t="s">
        <v>268</v>
      </c>
      <c r="AG169" s="81"/>
      <c r="AJ169" s="87" t="s">
        <v>118</v>
      </c>
      <c r="AK169" s="87">
        <v>14</v>
      </c>
      <c r="BB169" s="210" t="s">
        <v>115</v>
      </c>
      <c r="BM169" s="81">
        <f>IFERROR(X169*I169,"0")</f>
        <v>43.26</v>
      </c>
      <c r="BN169" s="81">
        <f>IFERROR(Y169*I169,"0")</f>
        <v>43.26</v>
      </c>
      <c r="BO169" s="81">
        <f>IFERROR(X169/J169,"0")</f>
        <v>0.1111111111111111</v>
      </c>
      <c r="BP169" s="81">
        <f>IFERROR(Y169/J169,"0")</f>
        <v>0.1111111111111111</v>
      </c>
    </row>
    <row r="170" spans="1:68" x14ac:dyDescent="0.2">
      <c r="A170" s="374"/>
      <c r="B170" s="374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5"/>
      <c r="P170" s="371" t="s">
        <v>40</v>
      </c>
      <c r="Q170" s="372"/>
      <c r="R170" s="372"/>
      <c r="S170" s="372"/>
      <c r="T170" s="372"/>
      <c r="U170" s="372"/>
      <c r="V170" s="373"/>
      <c r="W170" s="42" t="s">
        <v>39</v>
      </c>
      <c r="X170" s="43">
        <f>IFERROR(SUM(X169:X169),"0")</f>
        <v>14</v>
      </c>
      <c r="Y170" s="43">
        <f>IFERROR(SUM(Y169:Y169),"0")</f>
        <v>14</v>
      </c>
      <c r="Z170" s="43">
        <f>IFERROR(IF(Z169="",0,Z169),"0")</f>
        <v>0.13103999999999999</v>
      </c>
      <c r="AA170" s="67"/>
      <c r="AB170" s="67"/>
      <c r="AC170" s="67"/>
    </row>
    <row r="171" spans="1:68" x14ac:dyDescent="0.2">
      <c r="A171" s="374"/>
      <c r="B171" s="374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5"/>
      <c r="P171" s="371" t="s">
        <v>40</v>
      </c>
      <c r="Q171" s="372"/>
      <c r="R171" s="372"/>
      <c r="S171" s="372"/>
      <c r="T171" s="372"/>
      <c r="U171" s="372"/>
      <c r="V171" s="373"/>
      <c r="W171" s="42" t="s">
        <v>0</v>
      </c>
      <c r="X171" s="43">
        <f>IFERROR(SUMPRODUCT(X169:X169*H169:H169),"0")</f>
        <v>37.800000000000004</v>
      </c>
      <c r="Y171" s="43">
        <f>IFERROR(SUMPRODUCT(Y169:Y169*H169:H169),"0")</f>
        <v>37.800000000000004</v>
      </c>
      <c r="Z171" s="42"/>
      <c r="AA171" s="67"/>
      <c r="AB171" s="67"/>
      <c r="AC171" s="67"/>
    </row>
    <row r="172" spans="1:68" ht="16.5" hidden="1" customHeight="1" x14ac:dyDescent="0.25">
      <c r="A172" s="358" t="s">
        <v>269</v>
      </c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  <c r="AA172" s="65"/>
      <c r="AB172" s="65"/>
      <c r="AC172" s="82"/>
    </row>
    <row r="173" spans="1:68" ht="14.25" hidden="1" customHeight="1" x14ac:dyDescent="0.25">
      <c r="A173" s="359" t="s">
        <v>147</v>
      </c>
      <c r="B173" s="359"/>
      <c r="C173" s="359"/>
      <c r="D173" s="359"/>
      <c r="E173" s="359"/>
      <c r="F173" s="359"/>
      <c r="G173" s="359"/>
      <c r="H173" s="359"/>
      <c r="I173" s="359"/>
      <c r="J173" s="359"/>
      <c r="K173" s="359"/>
      <c r="L173" s="359"/>
      <c r="M173" s="359"/>
      <c r="N173" s="359"/>
      <c r="O173" s="359"/>
      <c r="P173" s="359"/>
      <c r="Q173" s="359"/>
      <c r="R173" s="359"/>
      <c r="S173" s="359"/>
      <c r="T173" s="359"/>
      <c r="U173" s="359"/>
      <c r="V173" s="359"/>
      <c r="W173" s="359"/>
      <c r="X173" s="359"/>
      <c r="Y173" s="359"/>
      <c r="Z173" s="359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4301135912</v>
      </c>
      <c r="D174" s="360">
        <v>4620207491751</v>
      </c>
      <c r="E174" s="360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116</v>
      </c>
      <c r="L174" s="37" t="s">
        <v>86</v>
      </c>
      <c r="M174" s="38" t="s">
        <v>84</v>
      </c>
      <c r="N174" s="38"/>
      <c r="O174" s="37">
        <v>180</v>
      </c>
      <c r="P174" s="429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62"/>
      <c r="R174" s="362"/>
      <c r="S174" s="362"/>
      <c r="T174" s="363"/>
      <c r="U174" s="39" t="s">
        <v>46</v>
      </c>
      <c r="V174" s="39" t="s">
        <v>46</v>
      </c>
      <c r="W174" s="40" t="s">
        <v>39</v>
      </c>
      <c r="X174" s="58">
        <v>103</v>
      </c>
      <c r="Y174" s="55">
        <f>IFERROR(IF(X174="","",X174),"")</f>
        <v>103</v>
      </c>
      <c r="Z174" s="41">
        <f>IFERROR(IF(X174="","",X174*0.00941),"")</f>
        <v>0.96923000000000004</v>
      </c>
      <c r="AA174" s="68" t="s">
        <v>46</v>
      </c>
      <c r="AB174" s="69" t="s">
        <v>46</v>
      </c>
      <c r="AC174" s="211" t="s">
        <v>165</v>
      </c>
      <c r="AG174" s="81"/>
      <c r="AJ174" s="87" t="s">
        <v>87</v>
      </c>
      <c r="AK174" s="87">
        <v>1</v>
      </c>
      <c r="BB174" s="212" t="s">
        <v>115</v>
      </c>
      <c r="BM174" s="81">
        <f>IFERROR(X174*I174,"0")</f>
        <v>216.4854</v>
      </c>
      <c r="BN174" s="81">
        <f>IFERROR(Y174*I174,"0")</f>
        <v>216.4854</v>
      </c>
      <c r="BO174" s="81">
        <f>IFERROR(X174/J174,"0")</f>
        <v>0.73571428571428577</v>
      </c>
      <c r="BP174" s="81">
        <f>IFERROR(Y174/J174,"0")</f>
        <v>0.73571428571428577</v>
      </c>
    </row>
    <row r="175" spans="1:68" x14ac:dyDescent="0.2">
      <c r="A175" s="374"/>
      <c r="B175" s="374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5"/>
      <c r="P175" s="371" t="s">
        <v>40</v>
      </c>
      <c r="Q175" s="372"/>
      <c r="R175" s="372"/>
      <c r="S175" s="372"/>
      <c r="T175" s="372"/>
      <c r="U175" s="372"/>
      <c r="V175" s="373"/>
      <c r="W175" s="42" t="s">
        <v>39</v>
      </c>
      <c r="X175" s="43">
        <f>IFERROR(SUM(X174:X174),"0")</f>
        <v>103</v>
      </c>
      <c r="Y175" s="43">
        <f>IFERROR(SUM(Y174:Y174),"0")</f>
        <v>103</v>
      </c>
      <c r="Z175" s="43">
        <f>IFERROR(IF(Z174="",0,Z174),"0")</f>
        <v>0.96923000000000004</v>
      </c>
      <c r="AA175" s="67"/>
      <c r="AB175" s="67"/>
      <c r="AC175" s="67"/>
    </row>
    <row r="176" spans="1:68" x14ac:dyDescent="0.2">
      <c r="A176" s="374"/>
      <c r="B176" s="374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5"/>
      <c r="P176" s="371" t="s">
        <v>40</v>
      </c>
      <c r="Q176" s="372"/>
      <c r="R176" s="372"/>
      <c r="S176" s="372"/>
      <c r="T176" s="372"/>
      <c r="U176" s="372"/>
      <c r="V176" s="373"/>
      <c r="W176" s="42" t="s">
        <v>0</v>
      </c>
      <c r="X176" s="43">
        <f>IFERROR(SUMPRODUCT(X174:X174*H174:H174),"0")</f>
        <v>173.04</v>
      </c>
      <c r="Y176" s="43">
        <f>IFERROR(SUMPRODUCT(Y174:Y174*H174:H174),"0")</f>
        <v>173.04</v>
      </c>
      <c r="Z176" s="42"/>
      <c r="AA176" s="67"/>
      <c r="AB176" s="67"/>
      <c r="AC176" s="67"/>
    </row>
    <row r="177" spans="1:68" ht="27.75" hidden="1" customHeight="1" x14ac:dyDescent="0.2">
      <c r="A177" s="357" t="s">
        <v>272</v>
      </c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54"/>
      <c r="AB177" s="54"/>
      <c r="AC177" s="54"/>
    </row>
    <row r="178" spans="1:68" ht="16.5" hidden="1" customHeight="1" x14ac:dyDescent="0.25">
      <c r="A178" s="358" t="s">
        <v>273</v>
      </c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65"/>
      <c r="AB178" s="65"/>
      <c r="AC178" s="82"/>
    </row>
    <row r="179" spans="1:68" ht="14.25" hidden="1" customHeight="1" x14ac:dyDescent="0.25">
      <c r="A179" s="359" t="s">
        <v>111</v>
      </c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  <c r="AA179" s="66"/>
      <c r="AB179" s="66"/>
      <c r="AC179" s="83"/>
    </row>
    <row r="180" spans="1:68" ht="27" customHeight="1" x14ac:dyDescent="0.25">
      <c r="A180" s="63" t="s">
        <v>274</v>
      </c>
      <c r="B180" s="63" t="s">
        <v>275</v>
      </c>
      <c r="C180" s="36">
        <v>4301132226</v>
      </c>
      <c r="D180" s="360">
        <v>4620207490631</v>
      </c>
      <c r="E180" s="360"/>
      <c r="F180" s="62">
        <v>6</v>
      </c>
      <c r="G180" s="37">
        <v>1</v>
      </c>
      <c r="H180" s="62">
        <v>6</v>
      </c>
      <c r="I180" s="62">
        <v>6.2350000000000003</v>
      </c>
      <c r="J180" s="37">
        <v>84</v>
      </c>
      <c r="K180" s="37" t="s">
        <v>85</v>
      </c>
      <c r="L180" s="37" t="s">
        <v>86</v>
      </c>
      <c r="M180" s="38" t="s">
        <v>84</v>
      </c>
      <c r="N180" s="38"/>
      <c r="O180" s="37">
        <v>180</v>
      </c>
      <c r="P180" s="43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62"/>
      <c r="R180" s="362"/>
      <c r="S180" s="362"/>
      <c r="T180" s="363"/>
      <c r="U180" s="39" t="s">
        <v>46</v>
      </c>
      <c r="V180" s="39" t="s">
        <v>46</v>
      </c>
      <c r="W180" s="40" t="s">
        <v>39</v>
      </c>
      <c r="X180" s="58">
        <v>238</v>
      </c>
      <c r="Y180" s="55">
        <f>IFERROR(IF(X180="","",X180),"")</f>
        <v>238</v>
      </c>
      <c r="Z180" s="41">
        <f>IFERROR(IF(X180="","",X180*0.0155),"")</f>
        <v>3.6890000000000001</v>
      </c>
      <c r="AA180" s="68" t="s">
        <v>46</v>
      </c>
      <c r="AB180" s="69" t="s">
        <v>46</v>
      </c>
      <c r="AC180" s="213" t="s">
        <v>276</v>
      </c>
      <c r="AG180" s="81"/>
      <c r="AJ180" s="87" t="s">
        <v>87</v>
      </c>
      <c r="AK180" s="87">
        <v>1</v>
      </c>
      <c r="BB180" s="214" t="s">
        <v>115</v>
      </c>
      <c r="BM180" s="81">
        <f>IFERROR(X180*I180,"0")</f>
        <v>1483.93</v>
      </c>
      <c r="BN180" s="81">
        <f>IFERROR(Y180*I180,"0")</f>
        <v>1483.93</v>
      </c>
      <c r="BO180" s="81">
        <f>IFERROR(X180/J180,"0")</f>
        <v>2.8333333333333335</v>
      </c>
      <c r="BP180" s="81">
        <f>IFERROR(Y180/J180,"0")</f>
        <v>2.8333333333333335</v>
      </c>
    </row>
    <row r="181" spans="1:68" x14ac:dyDescent="0.2">
      <c r="A181" s="374"/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5"/>
      <c r="P181" s="371" t="s">
        <v>40</v>
      </c>
      <c r="Q181" s="372"/>
      <c r="R181" s="372"/>
      <c r="S181" s="372"/>
      <c r="T181" s="372"/>
      <c r="U181" s="372"/>
      <c r="V181" s="373"/>
      <c r="W181" s="42" t="s">
        <v>39</v>
      </c>
      <c r="X181" s="43">
        <f>IFERROR(SUM(X180:X180),"0")</f>
        <v>238</v>
      </c>
      <c r="Y181" s="43">
        <f>IFERROR(SUM(Y180:Y180),"0")</f>
        <v>238</v>
      </c>
      <c r="Z181" s="43">
        <f>IFERROR(IF(Z180="",0,Z180),"0")</f>
        <v>3.6890000000000001</v>
      </c>
      <c r="AA181" s="67"/>
      <c r="AB181" s="67"/>
      <c r="AC181" s="67"/>
    </row>
    <row r="182" spans="1:68" x14ac:dyDescent="0.2">
      <c r="A182" s="374"/>
      <c r="B182" s="374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5"/>
      <c r="P182" s="371" t="s">
        <v>40</v>
      </c>
      <c r="Q182" s="372"/>
      <c r="R182" s="372"/>
      <c r="S182" s="372"/>
      <c r="T182" s="372"/>
      <c r="U182" s="372"/>
      <c r="V182" s="373"/>
      <c r="W182" s="42" t="s">
        <v>0</v>
      </c>
      <c r="X182" s="43">
        <f>IFERROR(SUMPRODUCT(X180:X180*H180:H180),"0")</f>
        <v>1428</v>
      </c>
      <c r="Y182" s="43">
        <f>IFERROR(SUMPRODUCT(Y180:Y180*H180:H180),"0")</f>
        <v>1428</v>
      </c>
      <c r="Z182" s="42"/>
      <c r="AA182" s="67"/>
      <c r="AB182" s="67"/>
      <c r="AC182" s="67"/>
    </row>
    <row r="183" spans="1:68" ht="14.25" hidden="1" customHeight="1" x14ac:dyDescent="0.25">
      <c r="A183" s="359" t="s">
        <v>147</v>
      </c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59"/>
      <c r="P183" s="359"/>
      <c r="Q183" s="359"/>
      <c r="R183" s="359"/>
      <c r="S183" s="359"/>
      <c r="T183" s="359"/>
      <c r="U183" s="359"/>
      <c r="V183" s="359"/>
      <c r="W183" s="359"/>
      <c r="X183" s="359"/>
      <c r="Y183" s="359"/>
      <c r="Z183" s="359"/>
      <c r="AA183" s="66"/>
      <c r="AB183" s="66"/>
      <c r="AC183" s="83"/>
    </row>
    <row r="184" spans="1:68" ht="27" hidden="1" customHeight="1" x14ac:dyDescent="0.25">
      <c r="A184" s="63" t="s">
        <v>277</v>
      </c>
      <c r="B184" s="63" t="s">
        <v>278</v>
      </c>
      <c r="C184" s="36">
        <v>4301135392</v>
      </c>
      <c r="D184" s="360">
        <v>4607111039132</v>
      </c>
      <c r="E184" s="360"/>
      <c r="F184" s="62">
        <v>3.7</v>
      </c>
      <c r="G184" s="37">
        <v>1</v>
      </c>
      <c r="H184" s="62">
        <v>3.7</v>
      </c>
      <c r="I184" s="62">
        <v>3.8919999999999999</v>
      </c>
      <c r="J184" s="37">
        <v>126</v>
      </c>
      <c r="K184" s="37" t="s">
        <v>116</v>
      </c>
      <c r="L184" s="37" t="s">
        <v>86</v>
      </c>
      <c r="M184" s="38" t="s">
        <v>84</v>
      </c>
      <c r="N184" s="38"/>
      <c r="O184" s="37">
        <v>180</v>
      </c>
      <c r="P184" s="43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62"/>
      <c r="R184" s="362"/>
      <c r="S184" s="362"/>
      <c r="T184" s="36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IFERROR(IF(X184="","",X184*0.00936),"")</f>
        <v>0</v>
      </c>
      <c r="AA184" s="68" t="s">
        <v>46</v>
      </c>
      <c r="AB184" s="69" t="s">
        <v>46</v>
      </c>
      <c r="AC184" s="215" t="s">
        <v>279</v>
      </c>
      <c r="AG184" s="81"/>
      <c r="AJ184" s="87" t="s">
        <v>87</v>
      </c>
      <c r="AK184" s="87">
        <v>1</v>
      </c>
      <c r="BB184" s="216" t="s">
        <v>115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5"/>
      <c r="P186" s="371" t="s">
        <v>40</v>
      </c>
      <c r="Q186" s="372"/>
      <c r="R186" s="372"/>
      <c r="S186" s="372"/>
      <c r="T186" s="372"/>
      <c r="U186" s="372"/>
      <c r="V186" s="373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16.5" hidden="1" customHeight="1" x14ac:dyDescent="0.25">
      <c r="A187" s="358" t="s">
        <v>280</v>
      </c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65"/>
      <c r="AB187" s="65"/>
      <c r="AC187" s="82"/>
    </row>
    <row r="188" spans="1:68" ht="14.25" hidden="1" customHeight="1" x14ac:dyDescent="0.25">
      <c r="A188" s="359" t="s">
        <v>80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66"/>
      <c r="AB188" s="66"/>
      <c r="AC188" s="83"/>
    </row>
    <row r="189" spans="1:68" ht="16.5" hidden="1" customHeight="1" x14ac:dyDescent="0.25">
      <c r="A189" s="63" t="s">
        <v>281</v>
      </c>
      <c r="B189" s="63" t="s">
        <v>282</v>
      </c>
      <c r="C189" s="36">
        <v>4301071062</v>
      </c>
      <c r="D189" s="360">
        <v>4607111036384</v>
      </c>
      <c r="E189" s="360"/>
      <c r="F189" s="62">
        <v>5</v>
      </c>
      <c r="G189" s="37">
        <v>1</v>
      </c>
      <c r="H189" s="62">
        <v>5</v>
      </c>
      <c r="I189" s="62">
        <v>5.2106000000000003</v>
      </c>
      <c r="J189" s="37">
        <v>144</v>
      </c>
      <c r="K189" s="37" t="s">
        <v>85</v>
      </c>
      <c r="L189" s="37" t="s">
        <v>86</v>
      </c>
      <c r="M189" s="38" t="s">
        <v>84</v>
      </c>
      <c r="N189" s="38"/>
      <c r="O189" s="37">
        <v>180</v>
      </c>
      <c r="P189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62"/>
      <c r="R189" s="362"/>
      <c r="S189" s="362"/>
      <c r="T189" s="363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IFERROR(IF(X189="","",X189*0.00866),"")</f>
        <v>0</v>
      </c>
      <c r="AA189" s="68" t="s">
        <v>46</v>
      </c>
      <c r="AB189" s="69" t="s">
        <v>46</v>
      </c>
      <c r="AC189" s="217" t="s">
        <v>283</v>
      </c>
      <c r="AG189" s="81"/>
      <c r="AJ189" s="87" t="s">
        <v>87</v>
      </c>
      <c r="AK189" s="87">
        <v>1</v>
      </c>
      <c r="BB189" s="218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284</v>
      </c>
      <c r="B190" s="63" t="s">
        <v>285</v>
      </c>
      <c r="C190" s="36">
        <v>4301071050</v>
      </c>
      <c r="D190" s="360">
        <v>4607111036216</v>
      </c>
      <c r="E190" s="360"/>
      <c r="F190" s="62">
        <v>5</v>
      </c>
      <c r="G190" s="37">
        <v>1</v>
      </c>
      <c r="H190" s="62">
        <v>5</v>
      </c>
      <c r="I190" s="62">
        <v>5.2131999999999996</v>
      </c>
      <c r="J190" s="37">
        <v>144</v>
      </c>
      <c r="K190" s="37" t="s">
        <v>85</v>
      </c>
      <c r="L190" s="37" t="s">
        <v>117</v>
      </c>
      <c r="M190" s="38" t="s">
        <v>84</v>
      </c>
      <c r="N190" s="38"/>
      <c r="O190" s="37">
        <v>180</v>
      </c>
      <c r="P190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62"/>
      <c r="R190" s="362"/>
      <c r="S190" s="362"/>
      <c r="T190" s="363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IFERROR(IF(X190="","",X190*0.00866),"")</f>
        <v>0</v>
      </c>
      <c r="AA190" s="68" t="s">
        <v>46</v>
      </c>
      <c r="AB190" s="69" t="s">
        <v>46</v>
      </c>
      <c r="AC190" s="219" t="s">
        <v>286</v>
      </c>
      <c r="AG190" s="81"/>
      <c r="AJ190" s="87" t="s">
        <v>118</v>
      </c>
      <c r="AK190" s="87">
        <v>12</v>
      </c>
      <c r="BB190" s="220" t="s">
        <v>70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idden="1" x14ac:dyDescent="0.2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5"/>
      <c r="P191" s="371" t="s">
        <v>40</v>
      </c>
      <c r="Q191" s="372"/>
      <c r="R191" s="372"/>
      <c r="S191" s="372"/>
      <c r="T191" s="372"/>
      <c r="U191" s="372"/>
      <c r="V191" s="373"/>
      <c r="W191" s="42" t="s">
        <v>39</v>
      </c>
      <c r="X191" s="43">
        <f>IFERROR(SUM(X189:X190),"0")</f>
        <v>0</v>
      </c>
      <c r="Y191" s="43">
        <f>IFERROR(SUM(Y189:Y190),"0")</f>
        <v>0</v>
      </c>
      <c r="Z191" s="43">
        <f>IFERROR(IF(Z189="",0,Z189),"0")+IFERROR(IF(Z190="",0,Z190),"0")</f>
        <v>0</v>
      </c>
      <c r="AA191" s="67"/>
      <c r="AB191" s="67"/>
      <c r="AC191" s="67"/>
    </row>
    <row r="192" spans="1:68" hidden="1" x14ac:dyDescent="0.2">
      <c r="A192" s="374"/>
      <c r="B192" s="374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5"/>
      <c r="P192" s="371" t="s">
        <v>40</v>
      </c>
      <c r="Q192" s="372"/>
      <c r="R192" s="372"/>
      <c r="S192" s="372"/>
      <c r="T192" s="372"/>
      <c r="U192" s="372"/>
      <c r="V192" s="373"/>
      <c r="W192" s="42" t="s">
        <v>0</v>
      </c>
      <c r="X192" s="43">
        <f>IFERROR(SUMPRODUCT(X189:X190*H189:H190),"0")</f>
        <v>0</v>
      </c>
      <c r="Y192" s="43">
        <f>IFERROR(SUMPRODUCT(Y189:Y190*H189:H190),"0")</f>
        <v>0</v>
      </c>
      <c r="Z192" s="42"/>
      <c r="AA192" s="67"/>
      <c r="AB192" s="67"/>
      <c r="AC192" s="67"/>
    </row>
    <row r="193" spans="1:68" ht="16.5" hidden="1" customHeight="1" x14ac:dyDescent="0.25">
      <c r="A193" s="358" t="s">
        <v>287</v>
      </c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65"/>
      <c r="AB193" s="65"/>
      <c r="AC193" s="82"/>
    </row>
    <row r="194" spans="1:68" ht="14.25" hidden="1" customHeight="1" x14ac:dyDescent="0.25">
      <c r="A194" s="359" t="s">
        <v>80</v>
      </c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66"/>
      <c r="AB194" s="66"/>
      <c r="AC194" s="83"/>
    </row>
    <row r="195" spans="1:68" ht="27" hidden="1" customHeight="1" x14ac:dyDescent="0.25">
      <c r="A195" s="63" t="s">
        <v>288</v>
      </c>
      <c r="B195" s="63" t="s">
        <v>289</v>
      </c>
      <c r="C195" s="36">
        <v>4301071117</v>
      </c>
      <c r="D195" s="360">
        <v>4620207491737</v>
      </c>
      <c r="E195" s="360"/>
      <c r="F195" s="62">
        <v>1</v>
      </c>
      <c r="G195" s="37">
        <v>5</v>
      </c>
      <c r="H195" s="62">
        <v>5</v>
      </c>
      <c r="I195" s="62">
        <v>5.2619999999999996</v>
      </c>
      <c r="J195" s="37">
        <v>84</v>
      </c>
      <c r="K195" s="37" t="s">
        <v>85</v>
      </c>
      <c r="L195" s="37" t="s">
        <v>86</v>
      </c>
      <c r="M195" s="38" t="s">
        <v>84</v>
      </c>
      <c r="N195" s="38"/>
      <c r="O195" s="37">
        <v>180</v>
      </c>
      <c r="P195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21" t="s">
        <v>286</v>
      </c>
      <c r="AG195" s="81"/>
      <c r="AJ195" s="87" t="s">
        <v>87</v>
      </c>
      <c r="AK195" s="87">
        <v>1</v>
      </c>
      <c r="BB195" s="222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idden="1" x14ac:dyDescent="0.2">
      <c r="A196" s="374"/>
      <c r="B196" s="374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5"/>
      <c r="P196" s="371" t="s">
        <v>40</v>
      </c>
      <c r="Q196" s="372"/>
      <c r="R196" s="372"/>
      <c r="S196" s="372"/>
      <c r="T196" s="372"/>
      <c r="U196" s="372"/>
      <c r="V196" s="373"/>
      <c r="W196" s="42" t="s">
        <v>39</v>
      </c>
      <c r="X196" s="43">
        <f>IFERROR(SUM(X195:X195),"0")</f>
        <v>0</v>
      </c>
      <c r="Y196" s="43">
        <f>IFERROR(SUM(Y195:Y195),"0")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374"/>
      <c r="B197" s="374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5"/>
      <c r="P197" s="371" t="s">
        <v>40</v>
      </c>
      <c r="Q197" s="372"/>
      <c r="R197" s="372"/>
      <c r="S197" s="372"/>
      <c r="T197" s="372"/>
      <c r="U197" s="372"/>
      <c r="V197" s="373"/>
      <c r="W197" s="42" t="s">
        <v>0</v>
      </c>
      <c r="X197" s="43">
        <f>IFERROR(SUMPRODUCT(X195:X195*H195:H195),"0")</f>
        <v>0</v>
      </c>
      <c r="Y197" s="43">
        <f>IFERROR(SUMPRODUCT(Y195:Y195*H195:H195),"0")</f>
        <v>0</v>
      </c>
      <c r="Z197" s="42"/>
      <c r="AA197" s="67"/>
      <c r="AB197" s="67"/>
      <c r="AC197" s="67"/>
    </row>
    <row r="198" spans="1:68" ht="27.75" hidden="1" customHeight="1" x14ac:dyDescent="0.2">
      <c r="A198" s="357" t="s">
        <v>290</v>
      </c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54"/>
      <c r="AB198" s="54"/>
      <c r="AC198" s="54"/>
    </row>
    <row r="199" spans="1:68" ht="16.5" hidden="1" customHeight="1" x14ac:dyDescent="0.25">
      <c r="A199" s="358" t="s">
        <v>291</v>
      </c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  <c r="AA199" s="65"/>
      <c r="AB199" s="65"/>
      <c r="AC199" s="82"/>
    </row>
    <row r="200" spans="1:68" ht="14.25" hidden="1" customHeight="1" x14ac:dyDescent="0.25">
      <c r="A200" s="359" t="s">
        <v>111</v>
      </c>
      <c r="B200" s="359"/>
      <c r="C200" s="359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59"/>
      <c r="P200" s="359"/>
      <c r="Q200" s="359"/>
      <c r="R200" s="359"/>
      <c r="S200" s="359"/>
      <c r="T200" s="359"/>
      <c r="U200" s="359"/>
      <c r="V200" s="359"/>
      <c r="W200" s="359"/>
      <c r="X200" s="359"/>
      <c r="Y200" s="359"/>
      <c r="Z200" s="359"/>
      <c r="AA200" s="66"/>
      <c r="AB200" s="66"/>
      <c r="AC200" s="83"/>
    </row>
    <row r="201" spans="1:68" ht="16.5" customHeight="1" x14ac:dyDescent="0.25">
      <c r="A201" s="63" t="s">
        <v>292</v>
      </c>
      <c r="B201" s="63" t="s">
        <v>293</v>
      </c>
      <c r="C201" s="36">
        <v>4301132179</v>
      </c>
      <c r="D201" s="360">
        <v>4607111035691</v>
      </c>
      <c r="E201" s="360"/>
      <c r="F201" s="62">
        <v>0.25</v>
      </c>
      <c r="G201" s="37">
        <v>12</v>
      </c>
      <c r="H201" s="62">
        <v>3</v>
      </c>
      <c r="I201" s="62">
        <v>3.3879999999999999</v>
      </c>
      <c r="J201" s="37">
        <v>70</v>
      </c>
      <c r="K201" s="37" t="s">
        <v>116</v>
      </c>
      <c r="L201" s="37" t="s">
        <v>117</v>
      </c>
      <c r="M201" s="38" t="s">
        <v>84</v>
      </c>
      <c r="N201" s="38"/>
      <c r="O201" s="37">
        <v>365</v>
      </c>
      <c r="P201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62"/>
      <c r="R201" s="362"/>
      <c r="S201" s="362"/>
      <c r="T201" s="363"/>
      <c r="U201" s="39" t="s">
        <v>46</v>
      </c>
      <c r="V201" s="39" t="s">
        <v>46</v>
      </c>
      <c r="W201" s="40" t="s">
        <v>39</v>
      </c>
      <c r="X201" s="58">
        <v>84</v>
      </c>
      <c r="Y201" s="55">
        <f>IFERROR(IF(X201="","",X201),"")</f>
        <v>84</v>
      </c>
      <c r="Z201" s="41">
        <f>IFERROR(IF(X201="","",X201*0.01788),"")</f>
        <v>1.5019199999999999</v>
      </c>
      <c r="AA201" s="68" t="s">
        <v>46</v>
      </c>
      <c r="AB201" s="69" t="s">
        <v>46</v>
      </c>
      <c r="AC201" s="223" t="s">
        <v>294</v>
      </c>
      <c r="AG201" s="81"/>
      <c r="AJ201" s="87" t="s">
        <v>118</v>
      </c>
      <c r="AK201" s="87">
        <v>14</v>
      </c>
      <c r="BB201" s="224" t="s">
        <v>115</v>
      </c>
      <c r="BM201" s="81">
        <f>IFERROR(X201*I201,"0")</f>
        <v>284.59199999999998</v>
      </c>
      <c r="BN201" s="81">
        <f>IFERROR(Y201*I201,"0")</f>
        <v>284.59199999999998</v>
      </c>
      <c r="BO201" s="81">
        <f>IFERROR(X201/J201,"0")</f>
        <v>1.2</v>
      </c>
      <c r="BP201" s="81">
        <f>IFERROR(Y201/J201,"0")</f>
        <v>1.2</v>
      </c>
    </row>
    <row r="202" spans="1:68" ht="27" customHeight="1" x14ac:dyDescent="0.25">
      <c r="A202" s="63" t="s">
        <v>295</v>
      </c>
      <c r="B202" s="63" t="s">
        <v>296</v>
      </c>
      <c r="C202" s="36">
        <v>4301132182</v>
      </c>
      <c r="D202" s="360">
        <v>4607111035721</v>
      </c>
      <c r="E202" s="360"/>
      <c r="F202" s="62">
        <v>0.25</v>
      </c>
      <c r="G202" s="37">
        <v>12</v>
      </c>
      <c r="H202" s="62">
        <v>3</v>
      </c>
      <c r="I202" s="62">
        <v>3.3879999999999999</v>
      </c>
      <c r="J202" s="37">
        <v>70</v>
      </c>
      <c r="K202" s="37" t="s">
        <v>116</v>
      </c>
      <c r="L202" s="37" t="s">
        <v>117</v>
      </c>
      <c r="M202" s="38" t="s">
        <v>84</v>
      </c>
      <c r="N202" s="38"/>
      <c r="O202" s="37">
        <v>365</v>
      </c>
      <c r="P202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62"/>
      <c r="R202" s="362"/>
      <c r="S202" s="362"/>
      <c r="T202" s="363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25" t="s">
        <v>297</v>
      </c>
      <c r="AG202" s="81"/>
      <c r="AJ202" s="87" t="s">
        <v>118</v>
      </c>
      <c r="AK202" s="87">
        <v>14</v>
      </c>
      <c r="BB202" s="226" t="s">
        <v>115</v>
      </c>
      <c r="BM202" s="81">
        <f>IFERROR(X202*I202,"0")</f>
        <v>94.864000000000004</v>
      </c>
      <c r="BN202" s="81">
        <f>IFERROR(Y202*I202,"0")</f>
        <v>94.864000000000004</v>
      </c>
      <c r="BO202" s="81">
        <f>IFERROR(X202/J202,"0")</f>
        <v>0.4</v>
      </c>
      <c r="BP202" s="81">
        <f>IFERROR(Y202/J202,"0")</f>
        <v>0.4</v>
      </c>
    </row>
    <row r="203" spans="1:68" ht="27" hidden="1" customHeight="1" x14ac:dyDescent="0.25">
      <c r="A203" s="63" t="s">
        <v>298</v>
      </c>
      <c r="B203" s="63" t="s">
        <v>299</v>
      </c>
      <c r="C203" s="36">
        <v>4301132170</v>
      </c>
      <c r="D203" s="360">
        <v>4607111038487</v>
      </c>
      <c r="E203" s="360"/>
      <c r="F203" s="62">
        <v>0.25</v>
      </c>
      <c r="G203" s="37">
        <v>12</v>
      </c>
      <c r="H203" s="62">
        <v>3</v>
      </c>
      <c r="I203" s="62">
        <v>3.7360000000000002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300</v>
      </c>
      <c r="AG203" s="81"/>
      <c r="AJ203" s="87" t="s">
        <v>118</v>
      </c>
      <c r="AK203" s="87">
        <v>14</v>
      </c>
      <c r="BB203" s="228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301</v>
      </c>
      <c r="B204" s="63" t="s">
        <v>302</v>
      </c>
      <c r="C204" s="36">
        <v>4301132243</v>
      </c>
      <c r="D204" s="360">
        <v>4620207491195</v>
      </c>
      <c r="E204" s="360"/>
      <c r="F204" s="62">
        <v>0.23</v>
      </c>
      <c r="G204" s="37">
        <v>12</v>
      </c>
      <c r="H204" s="62">
        <v>2.76</v>
      </c>
      <c r="I204" s="62">
        <v>3.1480000000000001</v>
      </c>
      <c r="J204" s="37">
        <v>70</v>
      </c>
      <c r="K204" s="37" t="s">
        <v>116</v>
      </c>
      <c r="L204" s="37" t="s">
        <v>86</v>
      </c>
      <c r="M204" s="38" t="s">
        <v>84</v>
      </c>
      <c r="N204" s="38"/>
      <c r="O204" s="37">
        <v>180</v>
      </c>
      <c r="P204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62"/>
      <c r="R204" s="362"/>
      <c r="S204" s="362"/>
      <c r="T204" s="363"/>
      <c r="U204" s="39" t="s">
        <v>46</v>
      </c>
      <c r="V204" s="39" t="s">
        <v>46</v>
      </c>
      <c r="W204" s="40" t="s">
        <v>39</v>
      </c>
      <c r="X204" s="58">
        <v>8</v>
      </c>
      <c r="Y204" s="55">
        <f>IFERROR(IF(X204="","",X204),"")</f>
        <v>8</v>
      </c>
      <c r="Z204" s="41">
        <f>IFERROR(IF(X204="","",X204*0.01788),"")</f>
        <v>0.14304</v>
      </c>
      <c r="AA204" s="68" t="s">
        <v>46</v>
      </c>
      <c r="AB204" s="69" t="s">
        <v>46</v>
      </c>
      <c r="AC204" s="229" t="s">
        <v>303</v>
      </c>
      <c r="AG204" s="81"/>
      <c r="AJ204" s="87" t="s">
        <v>87</v>
      </c>
      <c r="AK204" s="87">
        <v>1</v>
      </c>
      <c r="BB204" s="230" t="s">
        <v>115</v>
      </c>
      <c r="BM204" s="81">
        <f>IFERROR(X204*I204,"0")</f>
        <v>25.184000000000001</v>
      </c>
      <c r="BN204" s="81">
        <f>IFERROR(Y204*I204,"0")</f>
        <v>25.184000000000001</v>
      </c>
      <c r="BO204" s="81">
        <f>IFERROR(X204/J204,"0")</f>
        <v>0.11428571428571428</v>
      </c>
      <c r="BP204" s="81">
        <f>IFERROR(Y204/J204,"0")</f>
        <v>0.11428571428571428</v>
      </c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39</v>
      </c>
      <c r="X205" s="43">
        <f>IFERROR(SUM(X201:X204),"0")</f>
        <v>120</v>
      </c>
      <c r="Y205" s="43">
        <f>IFERROR(SUM(Y201:Y204),"0")</f>
        <v>120</v>
      </c>
      <c r="Z205" s="43">
        <f>IFERROR(IF(Z201="",0,Z201),"0")+IFERROR(IF(Z202="",0,Z202),"0")+IFERROR(IF(Z203="",0,Z203),"0")+IFERROR(IF(Z204="",0,Z204),"0")</f>
        <v>2.1456</v>
      </c>
      <c r="AA205" s="67"/>
      <c r="AB205" s="67"/>
      <c r="AC205" s="67"/>
    </row>
    <row r="206" spans="1:68" x14ac:dyDescent="0.2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5"/>
      <c r="P206" s="371" t="s">
        <v>40</v>
      </c>
      <c r="Q206" s="372"/>
      <c r="R206" s="372"/>
      <c r="S206" s="372"/>
      <c r="T206" s="372"/>
      <c r="U206" s="372"/>
      <c r="V206" s="373"/>
      <c r="W206" s="42" t="s">
        <v>0</v>
      </c>
      <c r="X206" s="43">
        <f>IFERROR(SUMPRODUCT(X201:X204*H201:H204),"0")</f>
        <v>358.08</v>
      </c>
      <c r="Y206" s="43">
        <f>IFERROR(SUMPRODUCT(Y201:Y204*H201:H204),"0")</f>
        <v>358.08</v>
      </c>
      <c r="Z206" s="42"/>
      <c r="AA206" s="67"/>
      <c r="AB206" s="67"/>
      <c r="AC206" s="67"/>
    </row>
    <row r="207" spans="1:68" ht="27.75" hidden="1" customHeight="1" x14ac:dyDescent="0.2">
      <c r="A207" s="357" t="s">
        <v>304</v>
      </c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  <c r="AA207" s="54"/>
      <c r="AB207" s="54"/>
      <c r="AC207" s="54"/>
    </row>
    <row r="208" spans="1:68" ht="16.5" hidden="1" customHeight="1" x14ac:dyDescent="0.25">
      <c r="A208" s="358" t="s">
        <v>305</v>
      </c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65"/>
      <c r="AB208" s="65"/>
      <c r="AC208" s="82"/>
    </row>
    <row r="209" spans="1:68" ht="14.25" hidden="1" customHeight="1" x14ac:dyDescent="0.25">
      <c r="A209" s="359" t="s">
        <v>111</v>
      </c>
      <c r="B209" s="359"/>
      <c r="C209" s="359"/>
      <c r="D209" s="359"/>
      <c r="E209" s="359"/>
      <c r="F209" s="359"/>
      <c r="G209" s="359"/>
      <c r="H209" s="359"/>
      <c r="I209" s="359"/>
      <c r="J209" s="359"/>
      <c r="K209" s="359"/>
      <c r="L209" s="359"/>
      <c r="M209" s="359"/>
      <c r="N209" s="359"/>
      <c r="O209" s="359"/>
      <c r="P209" s="359"/>
      <c r="Q209" s="359"/>
      <c r="R209" s="359"/>
      <c r="S209" s="359"/>
      <c r="T209" s="359"/>
      <c r="U209" s="359"/>
      <c r="V209" s="359"/>
      <c r="W209" s="359"/>
      <c r="X209" s="359"/>
      <c r="Y209" s="359"/>
      <c r="Z209" s="359"/>
      <c r="AA209" s="66"/>
      <c r="AB209" s="66"/>
      <c r="AC209" s="83"/>
    </row>
    <row r="210" spans="1:68" ht="27" hidden="1" customHeight="1" x14ac:dyDescent="0.25">
      <c r="A210" s="63" t="s">
        <v>306</v>
      </c>
      <c r="B210" s="63" t="s">
        <v>307</v>
      </c>
      <c r="C210" s="36">
        <v>4301132227</v>
      </c>
      <c r="D210" s="360">
        <v>4620207491133</v>
      </c>
      <c r="E210" s="360"/>
      <c r="F210" s="62">
        <v>0.23</v>
      </c>
      <c r="G210" s="37">
        <v>12</v>
      </c>
      <c r="H210" s="62">
        <v>2.76</v>
      </c>
      <c r="I210" s="62">
        <v>2.98</v>
      </c>
      <c r="J210" s="37">
        <v>70</v>
      </c>
      <c r="K210" s="37" t="s">
        <v>116</v>
      </c>
      <c r="L210" s="37" t="s">
        <v>117</v>
      </c>
      <c r="M210" s="38" t="s">
        <v>84</v>
      </c>
      <c r="N210" s="38"/>
      <c r="O210" s="37">
        <v>180</v>
      </c>
      <c r="P210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62"/>
      <c r="R210" s="362"/>
      <c r="S210" s="362"/>
      <c r="T210" s="36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308</v>
      </c>
      <c r="AG210" s="81"/>
      <c r="AJ210" s="87" t="s">
        <v>118</v>
      </c>
      <c r="AK210" s="87">
        <v>14</v>
      </c>
      <c r="BB210" s="232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5"/>
      <c r="P212" s="371" t="s">
        <v>40</v>
      </c>
      <c r="Q212" s="372"/>
      <c r="R212" s="372"/>
      <c r="S212" s="372"/>
      <c r="T212" s="372"/>
      <c r="U212" s="372"/>
      <c r="V212" s="373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hidden="1" customHeight="1" x14ac:dyDescent="0.25">
      <c r="A213" s="359" t="s">
        <v>147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66"/>
      <c r="AB213" s="66"/>
      <c r="AC213" s="83"/>
    </row>
    <row r="214" spans="1:68" ht="27" hidden="1" customHeight="1" x14ac:dyDescent="0.25">
      <c r="A214" s="63" t="s">
        <v>309</v>
      </c>
      <c r="B214" s="63" t="s">
        <v>310</v>
      </c>
      <c r="C214" s="36">
        <v>4301135834</v>
      </c>
      <c r="D214" s="360">
        <v>4620207491188</v>
      </c>
      <c r="E214" s="36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62"/>
      <c r="R214" s="362"/>
      <c r="S214" s="362"/>
      <c r="T214" s="36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311</v>
      </c>
      <c r="AG214" s="81"/>
      <c r="AJ214" s="87" t="s">
        <v>87</v>
      </c>
      <c r="AK214" s="87">
        <v>1</v>
      </c>
      <c r="BB214" s="234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312</v>
      </c>
      <c r="B215" s="63" t="s">
        <v>313</v>
      </c>
      <c r="C215" s="36">
        <v>4301135696</v>
      </c>
      <c r="D215" s="360">
        <v>4620207490235</v>
      </c>
      <c r="E215" s="36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116</v>
      </c>
      <c r="L215" s="37" t="s">
        <v>117</v>
      </c>
      <c r="M215" s="38" t="s">
        <v>84</v>
      </c>
      <c r="N215" s="38"/>
      <c r="O215" s="37">
        <v>180</v>
      </c>
      <c r="P215" s="44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314</v>
      </c>
      <c r="AG215" s="81"/>
      <c r="AJ215" s="87" t="s">
        <v>118</v>
      </c>
      <c r="AK215" s="87">
        <v>14</v>
      </c>
      <c r="BB215" s="236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315</v>
      </c>
      <c r="B216" s="63" t="s">
        <v>316</v>
      </c>
      <c r="C216" s="36">
        <v>4301135697</v>
      </c>
      <c r="D216" s="360">
        <v>4620207490259</v>
      </c>
      <c r="E216" s="360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116</v>
      </c>
      <c r="L216" s="37" t="s">
        <v>117</v>
      </c>
      <c r="M216" s="38" t="s">
        <v>84</v>
      </c>
      <c r="N216" s="38"/>
      <c r="O216" s="37">
        <v>180</v>
      </c>
      <c r="P216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62"/>
      <c r="R216" s="362"/>
      <c r="S216" s="362"/>
      <c r="T216" s="36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317</v>
      </c>
      <c r="AG216" s="81"/>
      <c r="AJ216" s="87" t="s">
        <v>118</v>
      </c>
      <c r="AK216" s="87">
        <v>14</v>
      </c>
      <c r="BB216" s="238" t="s">
        <v>115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39</v>
      </c>
      <c r="X217" s="43">
        <f>IFERROR(SUM(X214:X216),"0")</f>
        <v>0</v>
      </c>
      <c r="Y217" s="43">
        <f>IFERROR(SUM(Y214:Y216),"0")</f>
        <v>0</v>
      </c>
      <c r="Z217" s="43">
        <f>IFERROR(IF(Z214="",0,Z214),"0")+IFERROR(IF(Z215="",0,Z215),"0")+IFERROR(IF(Z216="",0,Z216),"0")</f>
        <v>0</v>
      </c>
      <c r="AA217" s="67"/>
      <c r="AB217" s="67"/>
      <c r="AC217" s="67"/>
    </row>
    <row r="218" spans="1:68" hidden="1" x14ac:dyDescent="0.2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5"/>
      <c r="P218" s="371" t="s">
        <v>40</v>
      </c>
      <c r="Q218" s="372"/>
      <c r="R218" s="372"/>
      <c r="S218" s="372"/>
      <c r="T218" s="372"/>
      <c r="U218" s="372"/>
      <c r="V218" s="373"/>
      <c r="W218" s="42" t="s">
        <v>0</v>
      </c>
      <c r="X218" s="43">
        <f>IFERROR(SUMPRODUCT(X214:X216*H214:H216),"0")</f>
        <v>0</v>
      </c>
      <c r="Y218" s="43">
        <f>IFERROR(SUMPRODUCT(Y214:Y216*H214:H216),"0")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8" t="s">
        <v>318</v>
      </c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65"/>
      <c r="AB219" s="65"/>
      <c r="AC219" s="82"/>
    </row>
    <row r="220" spans="1:68" ht="14.25" hidden="1" customHeight="1" x14ac:dyDescent="0.25">
      <c r="A220" s="359" t="s">
        <v>147</v>
      </c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  <c r="AA220" s="66"/>
      <c r="AB220" s="66"/>
      <c r="AC220" s="83"/>
    </row>
    <row r="221" spans="1:68" ht="27" hidden="1" customHeight="1" x14ac:dyDescent="0.25">
      <c r="A221" s="63" t="s">
        <v>319</v>
      </c>
      <c r="B221" s="63" t="s">
        <v>320</v>
      </c>
      <c r="C221" s="36">
        <v>4301135854</v>
      </c>
      <c r="D221" s="360">
        <v>4620207491706</v>
      </c>
      <c r="E221" s="360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62"/>
      <c r="R221" s="362"/>
      <c r="S221" s="362"/>
      <c r="T221" s="36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39" t="s">
        <v>321</v>
      </c>
      <c r="AG221" s="81"/>
      <c r="AJ221" s="87" t="s">
        <v>87</v>
      </c>
      <c r="AK221" s="87">
        <v>1</v>
      </c>
      <c r="BB221" s="240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t="27" hidden="1" customHeight="1" x14ac:dyDescent="0.25">
      <c r="A222" s="63" t="s">
        <v>322</v>
      </c>
      <c r="B222" s="63" t="s">
        <v>323</v>
      </c>
      <c r="C222" s="36">
        <v>4301135895</v>
      </c>
      <c r="D222" s="360">
        <v>4620207491522</v>
      </c>
      <c r="E222" s="360"/>
      <c r="F222" s="62">
        <v>0.28000000000000003</v>
      </c>
      <c r="G222" s="37">
        <v>12</v>
      </c>
      <c r="H222" s="62">
        <v>3.36</v>
      </c>
      <c r="I222" s="62">
        <v>4.0636000000000001</v>
      </c>
      <c r="J222" s="37">
        <v>70</v>
      </c>
      <c r="K222" s="37" t="s">
        <v>116</v>
      </c>
      <c r="L222" s="37" t="s">
        <v>86</v>
      </c>
      <c r="M222" s="38" t="s">
        <v>84</v>
      </c>
      <c r="N222" s="38"/>
      <c r="O222" s="37">
        <v>180</v>
      </c>
      <c r="P222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62"/>
      <c r="R222" s="362"/>
      <c r="S222" s="362"/>
      <c r="T222" s="36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1" t="s">
        <v>324</v>
      </c>
      <c r="AG222" s="81"/>
      <c r="AJ222" s="87" t="s">
        <v>87</v>
      </c>
      <c r="AK222" s="87">
        <v>1</v>
      </c>
      <c r="BB222" s="242" t="s">
        <v>115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5"/>
      <c r="P223" s="371" t="s">
        <v>40</v>
      </c>
      <c r="Q223" s="372"/>
      <c r="R223" s="372"/>
      <c r="S223" s="372"/>
      <c r="T223" s="372"/>
      <c r="U223" s="372"/>
      <c r="V223" s="373"/>
      <c r="W223" s="42" t="s">
        <v>39</v>
      </c>
      <c r="X223" s="43">
        <f>IFERROR(SUM(X221:X222),"0")</f>
        <v>0</v>
      </c>
      <c r="Y223" s="43">
        <f>IFERROR(SUM(Y221:Y222),"0")</f>
        <v>0</v>
      </c>
      <c r="Z223" s="43">
        <f>IFERROR(IF(Z221="",0,Z221),"0")+IFERROR(IF(Z222="",0,Z222),"0")</f>
        <v>0</v>
      </c>
      <c r="AA223" s="67"/>
      <c r="AB223" s="67"/>
      <c r="AC223" s="67"/>
    </row>
    <row r="224" spans="1:68" hidden="1" x14ac:dyDescent="0.2">
      <c r="A224" s="374"/>
      <c r="B224" s="374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5"/>
      <c r="P224" s="371" t="s">
        <v>40</v>
      </c>
      <c r="Q224" s="372"/>
      <c r="R224" s="372"/>
      <c r="S224" s="372"/>
      <c r="T224" s="372"/>
      <c r="U224" s="372"/>
      <c r="V224" s="373"/>
      <c r="W224" s="42" t="s">
        <v>0</v>
      </c>
      <c r="X224" s="43">
        <f>IFERROR(SUMPRODUCT(X221:X222*H221:H222),"0")</f>
        <v>0</v>
      </c>
      <c r="Y224" s="43">
        <f>IFERROR(SUMPRODUCT(Y221:Y222*H221:H222),"0")</f>
        <v>0</v>
      </c>
      <c r="Z224" s="42"/>
      <c r="AA224" s="67"/>
      <c r="AB224" s="67"/>
      <c r="AC224" s="67"/>
    </row>
    <row r="225" spans="1:68" ht="16.5" hidden="1" customHeight="1" x14ac:dyDescent="0.25">
      <c r="A225" s="358" t="s">
        <v>325</v>
      </c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65"/>
      <c r="AB225" s="65"/>
      <c r="AC225" s="82"/>
    </row>
    <row r="226" spans="1:68" ht="14.25" hidden="1" customHeight="1" x14ac:dyDescent="0.25">
      <c r="A226" s="359" t="s">
        <v>80</v>
      </c>
      <c r="B226" s="359"/>
      <c r="C226" s="359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  <c r="R226" s="359"/>
      <c r="S226" s="359"/>
      <c r="T226" s="359"/>
      <c r="U226" s="359"/>
      <c r="V226" s="359"/>
      <c r="W226" s="359"/>
      <c r="X226" s="359"/>
      <c r="Y226" s="359"/>
      <c r="Z226" s="359"/>
      <c r="AA226" s="66"/>
      <c r="AB226" s="66"/>
      <c r="AC226" s="83"/>
    </row>
    <row r="227" spans="1:68" ht="27" hidden="1" customHeight="1" x14ac:dyDescent="0.25">
      <c r="A227" s="63" t="s">
        <v>326</v>
      </c>
      <c r="B227" s="63" t="s">
        <v>327</v>
      </c>
      <c r="C227" s="36">
        <v>4301071097</v>
      </c>
      <c r="D227" s="360">
        <v>4620207491096</v>
      </c>
      <c r="E227" s="360"/>
      <c r="F227" s="62">
        <v>1</v>
      </c>
      <c r="G227" s="37">
        <v>5</v>
      </c>
      <c r="H227" s="62">
        <v>5</v>
      </c>
      <c r="I227" s="62">
        <v>5.23</v>
      </c>
      <c r="J227" s="37">
        <v>84</v>
      </c>
      <c r="K227" s="37" t="s">
        <v>85</v>
      </c>
      <c r="L227" s="37" t="s">
        <v>117</v>
      </c>
      <c r="M227" s="38" t="s">
        <v>84</v>
      </c>
      <c r="N227" s="38"/>
      <c r="O227" s="37">
        <v>180</v>
      </c>
      <c r="P227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62"/>
      <c r="R227" s="362"/>
      <c r="S227" s="362"/>
      <c r="T227" s="36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3" t="s">
        <v>328</v>
      </c>
      <c r="AG227" s="81"/>
      <c r="AJ227" s="87" t="s">
        <v>118</v>
      </c>
      <c r="AK227" s="87">
        <v>12</v>
      </c>
      <c r="BB227" s="244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5"/>
      <c r="P228" s="371" t="s">
        <v>40</v>
      </c>
      <c r="Q228" s="372"/>
      <c r="R228" s="372"/>
      <c r="S228" s="372"/>
      <c r="T228" s="372"/>
      <c r="U228" s="372"/>
      <c r="V228" s="373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4"/>
      <c r="B229" s="374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5"/>
      <c r="P229" s="371" t="s">
        <v>40</v>
      </c>
      <c r="Q229" s="372"/>
      <c r="R229" s="372"/>
      <c r="S229" s="372"/>
      <c r="T229" s="372"/>
      <c r="U229" s="372"/>
      <c r="V229" s="373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7" t="s">
        <v>329</v>
      </c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  <c r="AA230" s="54"/>
      <c r="AB230" s="54"/>
      <c r="AC230" s="54"/>
    </row>
    <row r="231" spans="1:68" ht="16.5" hidden="1" customHeight="1" x14ac:dyDescent="0.25">
      <c r="A231" s="358" t="s">
        <v>330</v>
      </c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65"/>
      <c r="AB231" s="65"/>
      <c r="AC231" s="82"/>
    </row>
    <row r="232" spans="1:68" ht="14.25" hidden="1" customHeight="1" x14ac:dyDescent="0.25">
      <c r="A232" s="359" t="s">
        <v>80</v>
      </c>
      <c r="B232" s="359"/>
      <c r="C232" s="359"/>
      <c r="D232" s="359"/>
      <c r="E232" s="359"/>
      <c r="F232" s="359"/>
      <c r="G232" s="359"/>
      <c r="H232" s="359"/>
      <c r="I232" s="359"/>
      <c r="J232" s="359"/>
      <c r="K232" s="359"/>
      <c r="L232" s="359"/>
      <c r="M232" s="359"/>
      <c r="N232" s="359"/>
      <c r="O232" s="359"/>
      <c r="P232" s="359"/>
      <c r="Q232" s="359"/>
      <c r="R232" s="359"/>
      <c r="S232" s="359"/>
      <c r="T232" s="359"/>
      <c r="U232" s="359"/>
      <c r="V232" s="359"/>
      <c r="W232" s="359"/>
      <c r="X232" s="359"/>
      <c r="Y232" s="359"/>
      <c r="Z232" s="359"/>
      <c r="AA232" s="66"/>
      <c r="AB232" s="66"/>
      <c r="AC232" s="83"/>
    </row>
    <row r="233" spans="1:68" ht="27" hidden="1" customHeight="1" x14ac:dyDescent="0.25">
      <c r="A233" s="63" t="s">
        <v>331</v>
      </c>
      <c r="B233" s="63" t="s">
        <v>332</v>
      </c>
      <c r="C233" s="36">
        <v>4301071036</v>
      </c>
      <c r="D233" s="360">
        <v>4607111036162</v>
      </c>
      <c r="E233" s="360"/>
      <c r="F233" s="62">
        <v>0.8</v>
      </c>
      <c r="G233" s="37">
        <v>8</v>
      </c>
      <c r="H233" s="62">
        <v>6.4</v>
      </c>
      <c r="I233" s="62">
        <v>6.6811999999999996</v>
      </c>
      <c r="J233" s="37">
        <v>84</v>
      </c>
      <c r="K233" s="37" t="s">
        <v>85</v>
      </c>
      <c r="L233" s="37" t="s">
        <v>86</v>
      </c>
      <c r="M233" s="38" t="s">
        <v>84</v>
      </c>
      <c r="N233" s="38"/>
      <c r="O233" s="37">
        <v>90</v>
      </c>
      <c r="P233" s="44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62"/>
      <c r="R233" s="362"/>
      <c r="S233" s="362"/>
      <c r="T233" s="36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IFERROR(IF(X233="","",X233*0.0155),"")</f>
        <v>0</v>
      </c>
      <c r="AA233" s="68" t="s">
        <v>46</v>
      </c>
      <c r="AB233" s="69" t="s">
        <v>46</v>
      </c>
      <c r="AC233" s="245" t="s">
        <v>333</v>
      </c>
      <c r="AG233" s="81"/>
      <c r="AJ233" s="87" t="s">
        <v>87</v>
      </c>
      <c r="AK233" s="87">
        <v>1</v>
      </c>
      <c r="BB233" s="246" t="s">
        <v>70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5"/>
      <c r="P234" s="371" t="s">
        <v>40</v>
      </c>
      <c r="Q234" s="372"/>
      <c r="R234" s="372"/>
      <c r="S234" s="372"/>
      <c r="T234" s="372"/>
      <c r="U234" s="372"/>
      <c r="V234" s="373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4"/>
      <c r="B235" s="374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5"/>
      <c r="P235" s="371" t="s">
        <v>40</v>
      </c>
      <c r="Q235" s="372"/>
      <c r="R235" s="372"/>
      <c r="S235" s="372"/>
      <c r="T235" s="372"/>
      <c r="U235" s="372"/>
      <c r="V235" s="373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hidden="1" customHeight="1" x14ac:dyDescent="0.2">
      <c r="A236" s="357" t="s">
        <v>334</v>
      </c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54"/>
      <c r="AB236" s="54"/>
      <c r="AC236" s="54"/>
    </row>
    <row r="237" spans="1:68" ht="16.5" hidden="1" customHeight="1" x14ac:dyDescent="0.25">
      <c r="A237" s="358" t="s">
        <v>335</v>
      </c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  <c r="AA237" s="65"/>
      <c r="AB237" s="65"/>
      <c r="AC237" s="82"/>
    </row>
    <row r="238" spans="1:68" ht="14.25" hidden="1" customHeight="1" x14ac:dyDescent="0.25">
      <c r="A238" s="359" t="s">
        <v>336</v>
      </c>
      <c r="B238" s="359"/>
      <c r="C238" s="359"/>
      <c r="D238" s="359"/>
      <c r="E238" s="359"/>
      <c r="F238" s="359"/>
      <c r="G238" s="359"/>
      <c r="H238" s="359"/>
      <c r="I238" s="359"/>
      <c r="J238" s="359"/>
      <c r="K238" s="359"/>
      <c r="L238" s="359"/>
      <c r="M238" s="359"/>
      <c r="N238" s="359"/>
      <c r="O238" s="359"/>
      <c r="P238" s="359"/>
      <c r="Q238" s="359"/>
      <c r="R238" s="359"/>
      <c r="S238" s="359"/>
      <c r="T238" s="359"/>
      <c r="U238" s="359"/>
      <c r="V238" s="359"/>
      <c r="W238" s="359"/>
      <c r="X238" s="359"/>
      <c r="Y238" s="359"/>
      <c r="Z238" s="359"/>
      <c r="AA238" s="66"/>
      <c r="AB238" s="66"/>
      <c r="AC238" s="83"/>
    </row>
    <row r="239" spans="1:68" ht="27" hidden="1" customHeight="1" x14ac:dyDescent="0.25">
      <c r="A239" s="63" t="s">
        <v>337</v>
      </c>
      <c r="B239" s="63" t="s">
        <v>338</v>
      </c>
      <c r="C239" s="36">
        <v>4301133004</v>
      </c>
      <c r="D239" s="360">
        <v>4607111039774</v>
      </c>
      <c r="E239" s="360"/>
      <c r="F239" s="62">
        <v>0.25</v>
      </c>
      <c r="G239" s="37">
        <v>12</v>
      </c>
      <c r="H239" s="62">
        <v>3</v>
      </c>
      <c r="I239" s="62">
        <v>3.22</v>
      </c>
      <c r="J239" s="37">
        <v>70</v>
      </c>
      <c r="K239" s="37" t="s">
        <v>116</v>
      </c>
      <c r="L239" s="37" t="s">
        <v>86</v>
      </c>
      <c r="M239" s="38" t="s">
        <v>84</v>
      </c>
      <c r="N239" s="38"/>
      <c r="O239" s="37">
        <v>180</v>
      </c>
      <c r="P239" s="44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62"/>
      <c r="R239" s="362"/>
      <c r="S239" s="362"/>
      <c r="T239" s="363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339</v>
      </c>
      <c r="AG239" s="81"/>
      <c r="AJ239" s="87" t="s">
        <v>87</v>
      </c>
      <c r="AK239" s="87">
        <v>1</v>
      </c>
      <c r="BB239" s="248" t="s">
        <v>115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idden="1" x14ac:dyDescent="0.2">
      <c r="A240" s="374"/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5"/>
      <c r="P240" s="371" t="s">
        <v>40</v>
      </c>
      <c r="Q240" s="372"/>
      <c r="R240" s="372"/>
      <c r="S240" s="372"/>
      <c r="T240" s="372"/>
      <c r="U240" s="372"/>
      <c r="V240" s="373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hidden="1" x14ac:dyDescent="0.2">
      <c r="A241" s="374"/>
      <c r="B241" s="374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5"/>
      <c r="P241" s="371" t="s">
        <v>40</v>
      </c>
      <c r="Q241" s="372"/>
      <c r="R241" s="372"/>
      <c r="S241" s="372"/>
      <c r="T241" s="372"/>
      <c r="U241" s="372"/>
      <c r="V241" s="373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14.25" hidden="1" customHeight="1" x14ac:dyDescent="0.25">
      <c r="A242" s="359" t="s">
        <v>147</v>
      </c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  <c r="R242" s="359"/>
      <c r="S242" s="359"/>
      <c r="T242" s="359"/>
      <c r="U242" s="359"/>
      <c r="V242" s="359"/>
      <c r="W242" s="359"/>
      <c r="X242" s="359"/>
      <c r="Y242" s="359"/>
      <c r="Z242" s="359"/>
      <c r="AA242" s="66"/>
      <c r="AB242" s="66"/>
      <c r="AC242" s="83"/>
    </row>
    <row r="243" spans="1:68" ht="37.5" hidden="1" customHeight="1" x14ac:dyDescent="0.25">
      <c r="A243" s="63" t="s">
        <v>340</v>
      </c>
      <c r="B243" s="63" t="s">
        <v>341</v>
      </c>
      <c r="C243" s="36">
        <v>4301135400</v>
      </c>
      <c r="D243" s="360">
        <v>4607111039361</v>
      </c>
      <c r="E243" s="360"/>
      <c r="F243" s="62">
        <v>0.25</v>
      </c>
      <c r="G243" s="37">
        <v>12</v>
      </c>
      <c r="H243" s="62">
        <v>3</v>
      </c>
      <c r="I243" s="62">
        <v>3.7035999999999998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180</v>
      </c>
      <c r="P243" s="44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62"/>
      <c r="R243" s="362"/>
      <c r="S243" s="362"/>
      <c r="T243" s="36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49" t="s">
        <v>339</v>
      </c>
      <c r="AG243" s="81"/>
      <c r="AJ243" s="87" t="s">
        <v>87</v>
      </c>
      <c r="AK243" s="87">
        <v>1</v>
      </c>
      <c r="BB243" s="250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5"/>
      <c r="P244" s="371" t="s">
        <v>40</v>
      </c>
      <c r="Q244" s="372"/>
      <c r="R244" s="372"/>
      <c r="S244" s="372"/>
      <c r="T244" s="372"/>
      <c r="U244" s="372"/>
      <c r="V244" s="373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4"/>
      <c r="B245" s="374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5"/>
      <c r="P245" s="371" t="s">
        <v>40</v>
      </c>
      <c r="Q245" s="372"/>
      <c r="R245" s="372"/>
      <c r="S245" s="372"/>
      <c r="T245" s="372"/>
      <c r="U245" s="372"/>
      <c r="V245" s="373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57" t="s">
        <v>342</v>
      </c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54"/>
      <c r="AB246" s="54"/>
      <c r="AC246" s="54"/>
    </row>
    <row r="247" spans="1:68" ht="16.5" hidden="1" customHeight="1" x14ac:dyDescent="0.25">
      <c r="A247" s="358" t="s">
        <v>342</v>
      </c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65"/>
      <c r="AB247" s="65"/>
      <c r="AC247" s="82"/>
    </row>
    <row r="248" spans="1:68" ht="14.25" hidden="1" customHeight="1" x14ac:dyDescent="0.25">
      <c r="A248" s="359" t="s">
        <v>111</v>
      </c>
      <c r="B248" s="359"/>
      <c r="C248" s="359"/>
      <c r="D248" s="359"/>
      <c r="E248" s="359"/>
      <c r="F248" s="359"/>
      <c r="G248" s="359"/>
      <c r="H248" s="359"/>
      <c r="I248" s="359"/>
      <c r="J248" s="359"/>
      <c r="K248" s="359"/>
      <c r="L248" s="359"/>
      <c r="M248" s="359"/>
      <c r="N248" s="359"/>
      <c r="O248" s="359"/>
      <c r="P248" s="359"/>
      <c r="Q248" s="359"/>
      <c r="R248" s="359"/>
      <c r="S248" s="359"/>
      <c r="T248" s="359"/>
      <c r="U248" s="359"/>
      <c r="V248" s="359"/>
      <c r="W248" s="359"/>
      <c r="X248" s="359"/>
      <c r="Y248" s="359"/>
      <c r="Z248" s="359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4301132228</v>
      </c>
      <c r="D249" s="360">
        <v>4640242181950</v>
      </c>
      <c r="E249" s="360"/>
      <c r="F249" s="62">
        <v>0.23</v>
      </c>
      <c r="G249" s="37">
        <v>12</v>
      </c>
      <c r="H249" s="62">
        <v>2.76</v>
      </c>
      <c r="I249" s="62">
        <v>3.22</v>
      </c>
      <c r="J249" s="37">
        <v>70</v>
      </c>
      <c r="K249" s="37" t="s">
        <v>116</v>
      </c>
      <c r="L249" s="37" t="s">
        <v>86</v>
      </c>
      <c r="M249" s="38" t="s">
        <v>84</v>
      </c>
      <c r="N249" s="38"/>
      <c r="O249" s="37">
        <v>365</v>
      </c>
      <c r="P249" s="44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62"/>
      <c r="R249" s="362"/>
      <c r="S249" s="362"/>
      <c r="T249" s="36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51" t="s">
        <v>345</v>
      </c>
      <c r="AG249" s="81"/>
      <c r="AJ249" s="87" t="s">
        <v>87</v>
      </c>
      <c r="AK249" s="87">
        <v>1</v>
      </c>
      <c r="BB249" s="252" t="s">
        <v>115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374"/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5"/>
      <c r="P250" s="371" t="s">
        <v>40</v>
      </c>
      <c r="Q250" s="372"/>
      <c r="R250" s="372"/>
      <c r="S250" s="372"/>
      <c r="T250" s="372"/>
      <c r="U250" s="372"/>
      <c r="V250" s="373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374"/>
      <c r="B251" s="374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5"/>
      <c r="P251" s="371" t="s">
        <v>40</v>
      </c>
      <c r="Q251" s="372"/>
      <c r="R251" s="372"/>
      <c r="S251" s="372"/>
      <c r="T251" s="372"/>
      <c r="U251" s="372"/>
      <c r="V251" s="373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59" t="s">
        <v>143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hidden="1" customHeight="1" x14ac:dyDescent="0.25">
      <c r="A253" s="63" t="s">
        <v>346</v>
      </c>
      <c r="B253" s="63" t="s">
        <v>347</v>
      </c>
      <c r="C253" s="36">
        <v>4301136098</v>
      </c>
      <c r="D253" s="360">
        <v>4640242181943</v>
      </c>
      <c r="E253" s="360"/>
      <c r="F253" s="62">
        <v>0.09</v>
      </c>
      <c r="G253" s="37">
        <v>24</v>
      </c>
      <c r="H253" s="62">
        <v>2.16</v>
      </c>
      <c r="I253" s="62">
        <v>2.34</v>
      </c>
      <c r="J253" s="37">
        <v>126</v>
      </c>
      <c r="K253" s="37" t="s">
        <v>116</v>
      </c>
      <c r="L253" s="37" t="s">
        <v>86</v>
      </c>
      <c r="M253" s="38" t="s">
        <v>84</v>
      </c>
      <c r="N253" s="38"/>
      <c r="O253" s="37">
        <v>180</v>
      </c>
      <c r="P253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348</v>
      </c>
      <c r="AG253" s="81"/>
      <c r="AJ253" s="87" t="s">
        <v>87</v>
      </c>
      <c r="AK253" s="87">
        <v>1</v>
      </c>
      <c r="BB253" s="254" t="s">
        <v>115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4"/>
      <c r="B254" s="374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5"/>
      <c r="P254" s="371" t="s">
        <v>40</v>
      </c>
      <c r="Q254" s="372"/>
      <c r="R254" s="372"/>
      <c r="S254" s="372"/>
      <c r="T254" s="372"/>
      <c r="U254" s="372"/>
      <c r="V254" s="373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5"/>
      <c r="P255" s="371" t="s">
        <v>40</v>
      </c>
      <c r="Q255" s="372"/>
      <c r="R255" s="372"/>
      <c r="S255" s="372"/>
      <c r="T255" s="372"/>
      <c r="U255" s="372"/>
      <c r="V255" s="373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57" t="s">
        <v>273</v>
      </c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  <c r="AA256" s="54"/>
      <c r="AB256" s="54"/>
      <c r="AC256" s="54"/>
    </row>
    <row r="257" spans="1:68" ht="16.5" hidden="1" customHeight="1" x14ac:dyDescent="0.25">
      <c r="A257" s="358" t="s">
        <v>273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5"/>
      <c r="AB257" s="65"/>
      <c r="AC257" s="82"/>
    </row>
    <row r="258" spans="1:68" ht="14.25" hidden="1" customHeight="1" x14ac:dyDescent="0.25">
      <c r="A258" s="359" t="s">
        <v>80</v>
      </c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66"/>
      <c r="AB258" s="66"/>
      <c r="AC258" s="83"/>
    </row>
    <row r="259" spans="1:68" ht="27" hidden="1" customHeight="1" x14ac:dyDescent="0.25">
      <c r="A259" s="63" t="s">
        <v>349</v>
      </c>
      <c r="B259" s="63" t="s">
        <v>350</v>
      </c>
      <c r="C259" s="36">
        <v>4301071014</v>
      </c>
      <c r="D259" s="360">
        <v>4640242181264</v>
      </c>
      <c r="E259" s="360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85</v>
      </c>
      <c r="L259" s="37" t="s">
        <v>86</v>
      </c>
      <c r="M259" s="38" t="s">
        <v>84</v>
      </c>
      <c r="N259" s="38"/>
      <c r="O259" s="37">
        <v>180</v>
      </c>
      <c r="P259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62"/>
      <c r="R259" s="362"/>
      <c r="S259" s="362"/>
      <c r="T259" s="36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5" t="s">
        <v>351</v>
      </c>
      <c r="AG259" s="81"/>
      <c r="AJ259" s="87" t="s">
        <v>87</v>
      </c>
      <c r="AK259" s="87">
        <v>1</v>
      </c>
      <c r="BB259" s="256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352</v>
      </c>
      <c r="B260" s="63" t="s">
        <v>353</v>
      </c>
      <c r="C260" s="36">
        <v>4301071141</v>
      </c>
      <c r="D260" s="360">
        <v>4620207491980</v>
      </c>
      <c r="E260" s="360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85</v>
      </c>
      <c r="L260" s="37" t="s">
        <v>86</v>
      </c>
      <c r="M260" s="38" t="s">
        <v>84</v>
      </c>
      <c r="N260" s="38"/>
      <c r="O260" s="37">
        <v>180</v>
      </c>
      <c r="P260" s="45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62"/>
      <c r="R260" s="362"/>
      <c r="S260" s="362"/>
      <c r="T260" s="363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57" t="s">
        <v>354</v>
      </c>
      <c r="AG260" s="81"/>
      <c r="AJ260" s="87" t="s">
        <v>87</v>
      </c>
      <c r="AK260" s="87">
        <v>1</v>
      </c>
      <c r="BB260" s="258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5"/>
      <c r="P261" s="371" t="s">
        <v>40</v>
      </c>
      <c r="Q261" s="372"/>
      <c r="R261" s="372"/>
      <c r="S261" s="372"/>
      <c r="T261" s="372"/>
      <c r="U261" s="372"/>
      <c r="V261" s="373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374"/>
      <c r="B262" s="374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5"/>
      <c r="P262" s="371" t="s">
        <v>40</v>
      </c>
      <c r="Q262" s="372"/>
      <c r="R262" s="372"/>
      <c r="S262" s="372"/>
      <c r="T262" s="372"/>
      <c r="U262" s="372"/>
      <c r="V262" s="373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59" t="s">
        <v>143</v>
      </c>
      <c r="B263" s="359"/>
      <c r="C263" s="359"/>
      <c r="D263" s="359"/>
      <c r="E263" s="359"/>
      <c r="F263" s="359"/>
      <c r="G263" s="359"/>
      <c r="H263" s="359"/>
      <c r="I263" s="359"/>
      <c r="J263" s="359"/>
      <c r="K263" s="359"/>
      <c r="L263" s="359"/>
      <c r="M263" s="359"/>
      <c r="N263" s="359"/>
      <c r="O263" s="359"/>
      <c r="P263" s="359"/>
      <c r="Q263" s="359"/>
      <c r="R263" s="359"/>
      <c r="S263" s="359"/>
      <c r="T263" s="359"/>
      <c r="U263" s="359"/>
      <c r="V263" s="359"/>
      <c r="W263" s="359"/>
      <c r="X263" s="359"/>
      <c r="Y263" s="359"/>
      <c r="Z263" s="359"/>
      <c r="AA263" s="66"/>
      <c r="AB263" s="66"/>
      <c r="AC263" s="83"/>
    </row>
    <row r="264" spans="1:68" ht="27" hidden="1" customHeight="1" x14ac:dyDescent="0.25">
      <c r="A264" s="63" t="s">
        <v>355</v>
      </c>
      <c r="B264" s="63" t="s">
        <v>356</v>
      </c>
      <c r="C264" s="36">
        <v>4301136116</v>
      </c>
      <c r="D264" s="360">
        <v>4620207492147</v>
      </c>
      <c r="E264" s="360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453" t="s">
        <v>357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59" t="s">
        <v>192</v>
      </c>
      <c r="AG264" s="81"/>
      <c r="AJ264" s="87" t="s">
        <v>87</v>
      </c>
      <c r="AK264" s="87">
        <v>1</v>
      </c>
      <c r="BB264" s="260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358</v>
      </c>
      <c r="B265" s="63" t="s">
        <v>359</v>
      </c>
      <c r="C265" s="36">
        <v>4301136112</v>
      </c>
      <c r="D265" s="360">
        <v>4620207492154</v>
      </c>
      <c r="E265" s="360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85</v>
      </c>
      <c r="L265" s="37" t="s">
        <v>86</v>
      </c>
      <c r="M265" s="38" t="s">
        <v>84</v>
      </c>
      <c r="N265" s="38"/>
      <c r="O265" s="37">
        <v>180</v>
      </c>
      <c r="P265" s="454" t="s">
        <v>360</v>
      </c>
      <c r="Q265" s="362"/>
      <c r="R265" s="362"/>
      <c r="S265" s="362"/>
      <c r="T265" s="36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1" t="s">
        <v>192</v>
      </c>
      <c r="AG265" s="81"/>
      <c r="AJ265" s="87" t="s">
        <v>87</v>
      </c>
      <c r="AK265" s="87">
        <v>1</v>
      </c>
      <c r="BB265" s="262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361</v>
      </c>
      <c r="B266" s="63" t="s">
        <v>362</v>
      </c>
      <c r="C266" s="36">
        <v>4301136114</v>
      </c>
      <c r="D266" s="360">
        <v>4620207492086</v>
      </c>
      <c r="E266" s="360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116</v>
      </c>
      <c r="L266" s="37" t="s">
        <v>86</v>
      </c>
      <c r="M266" s="38" t="s">
        <v>84</v>
      </c>
      <c r="N266" s="38"/>
      <c r="O266" s="37">
        <v>180</v>
      </c>
      <c r="P266" s="455" t="s">
        <v>363</v>
      </c>
      <c r="Q266" s="362"/>
      <c r="R266" s="362"/>
      <c r="S266" s="362"/>
      <c r="T266" s="363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3" t="s">
        <v>192</v>
      </c>
      <c r="AG266" s="81"/>
      <c r="AJ266" s="87" t="s">
        <v>87</v>
      </c>
      <c r="AK266" s="87">
        <v>1</v>
      </c>
      <c r="BB266" s="264" t="s">
        <v>115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5"/>
      <c r="P267" s="371" t="s">
        <v>40</v>
      </c>
      <c r="Q267" s="372"/>
      <c r="R267" s="372"/>
      <c r="S267" s="372"/>
      <c r="T267" s="372"/>
      <c r="U267" s="372"/>
      <c r="V267" s="373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4"/>
      <c r="B268" s="374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5"/>
      <c r="P268" s="371" t="s">
        <v>40</v>
      </c>
      <c r="Q268" s="372"/>
      <c r="R268" s="372"/>
      <c r="S268" s="372"/>
      <c r="T268" s="372"/>
      <c r="U268" s="372"/>
      <c r="V268" s="373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59" t="s">
        <v>147</v>
      </c>
      <c r="B269" s="359"/>
      <c r="C269" s="359"/>
      <c r="D269" s="359"/>
      <c r="E269" s="359"/>
      <c r="F269" s="359"/>
      <c r="G269" s="359"/>
      <c r="H269" s="359"/>
      <c r="I269" s="359"/>
      <c r="J269" s="359"/>
      <c r="K269" s="359"/>
      <c r="L269" s="359"/>
      <c r="M269" s="359"/>
      <c r="N269" s="359"/>
      <c r="O269" s="359"/>
      <c r="P269" s="359"/>
      <c r="Q269" s="359"/>
      <c r="R269" s="359"/>
      <c r="S269" s="359"/>
      <c r="T269" s="359"/>
      <c r="U269" s="359"/>
      <c r="V269" s="359"/>
      <c r="W269" s="359"/>
      <c r="X269" s="359"/>
      <c r="Y269" s="359"/>
      <c r="Z269" s="359"/>
      <c r="AA269" s="66"/>
      <c r="AB269" s="66"/>
      <c r="AC269" s="83"/>
    </row>
    <row r="270" spans="1:68" ht="16.5" customHeight="1" x14ac:dyDescent="0.25">
      <c r="A270" s="63" t="s">
        <v>364</v>
      </c>
      <c r="B270" s="63" t="s">
        <v>365</v>
      </c>
      <c r="C270" s="36">
        <v>4301137066</v>
      </c>
      <c r="D270" s="360">
        <v>4620207492109</v>
      </c>
      <c r="E270" s="36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456" t="s">
        <v>366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230</v>
      </c>
      <c r="Y270" s="55">
        <f t="shared" ref="Y270:Y280" si="18">IFERROR(IF(X270="","",X270),"")</f>
        <v>230</v>
      </c>
      <c r="Z270" s="41">
        <f>IFERROR(IF(X270="","",X270*0.0155),"")</f>
        <v>3.5649999999999999</v>
      </c>
      <c r="AA270" s="68" t="s">
        <v>46</v>
      </c>
      <c r="AB270" s="69" t="s">
        <v>46</v>
      </c>
      <c r="AC270" s="265" t="s">
        <v>367</v>
      </c>
      <c r="AG270" s="81"/>
      <c r="AJ270" s="87" t="s">
        <v>87</v>
      </c>
      <c r="AK270" s="87">
        <v>1</v>
      </c>
      <c r="BB270" s="266" t="s">
        <v>115</v>
      </c>
      <c r="BM270" s="81">
        <f t="shared" ref="BM270:BM280" si="19">IFERROR(X270*I270,"0")</f>
        <v>1319.0500000000002</v>
      </c>
      <c r="BN270" s="81">
        <f t="shared" ref="BN270:BN280" si="20">IFERROR(Y270*I270,"0")</f>
        <v>1319.0500000000002</v>
      </c>
      <c r="BO270" s="81">
        <f t="shared" ref="BO270:BO280" si="21">IFERROR(X270/J270,"0")</f>
        <v>2.7380952380952381</v>
      </c>
      <c r="BP270" s="81">
        <f t="shared" ref="BP270:BP280" si="22">IFERROR(Y270/J270,"0")</f>
        <v>2.7380952380952381</v>
      </c>
    </row>
    <row r="271" spans="1:68" ht="37.5" hidden="1" customHeight="1" x14ac:dyDescent="0.25">
      <c r="A271" s="63" t="s">
        <v>368</v>
      </c>
      <c r="B271" s="63" t="s">
        <v>369</v>
      </c>
      <c r="C271" s="36">
        <v>4301137068</v>
      </c>
      <c r="D271" s="360">
        <v>4620207492161</v>
      </c>
      <c r="E271" s="36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86</v>
      </c>
      <c r="M271" s="38" t="s">
        <v>84</v>
      </c>
      <c r="N271" s="38"/>
      <c r="O271" s="37">
        <v>180</v>
      </c>
      <c r="P271" s="457" t="s">
        <v>370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7" t="s">
        <v>371</v>
      </c>
      <c r="AG271" s="81"/>
      <c r="AJ271" s="87" t="s">
        <v>87</v>
      </c>
      <c r="AK271" s="87">
        <v>1</v>
      </c>
      <c r="BB271" s="268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4301137072</v>
      </c>
      <c r="D272" s="360">
        <v>4620207492222</v>
      </c>
      <c r="E272" s="360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85</v>
      </c>
      <c r="L272" s="37" t="s">
        <v>86</v>
      </c>
      <c r="M272" s="38" t="s">
        <v>84</v>
      </c>
      <c r="N272" s="38"/>
      <c r="O272" s="37">
        <v>180</v>
      </c>
      <c r="P272" s="458" t="s">
        <v>374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9" t="s">
        <v>375</v>
      </c>
      <c r="AG272" s="81"/>
      <c r="AJ272" s="87" t="s">
        <v>87</v>
      </c>
      <c r="AK272" s="87">
        <v>1</v>
      </c>
      <c r="BB272" s="270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376</v>
      </c>
      <c r="B273" s="63" t="s">
        <v>377</v>
      </c>
      <c r="C273" s="36">
        <v>4301137046</v>
      </c>
      <c r="D273" s="360">
        <v>4620207492093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9" t="s">
        <v>378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220</v>
      </c>
      <c r="Y273" s="55">
        <f t="shared" si="18"/>
        <v>220</v>
      </c>
      <c r="Z273" s="41">
        <f t="shared" ref="Z273:Z280" si="23">IFERROR(IF(X273="","",X273*0.00936),"")</f>
        <v>2.0592000000000001</v>
      </c>
      <c r="AA273" s="68" t="s">
        <v>46</v>
      </c>
      <c r="AB273" s="69" t="s">
        <v>46</v>
      </c>
      <c r="AC273" s="271" t="s">
        <v>375</v>
      </c>
      <c r="AG273" s="81"/>
      <c r="AJ273" s="87" t="s">
        <v>87</v>
      </c>
      <c r="AK273" s="87">
        <v>1</v>
      </c>
      <c r="BB273" s="272" t="s">
        <v>115</v>
      </c>
      <c r="BM273" s="81">
        <f t="shared" si="19"/>
        <v>856.24</v>
      </c>
      <c r="BN273" s="81">
        <f t="shared" si="20"/>
        <v>856.24</v>
      </c>
      <c r="BO273" s="81">
        <f t="shared" si="21"/>
        <v>1.746031746031746</v>
      </c>
      <c r="BP273" s="81">
        <f t="shared" si="22"/>
        <v>1.746031746031746</v>
      </c>
    </row>
    <row r="274" spans="1:68" ht="27" customHeight="1" x14ac:dyDescent="0.25">
      <c r="A274" s="63" t="s">
        <v>379</v>
      </c>
      <c r="B274" s="63" t="s">
        <v>380</v>
      </c>
      <c r="C274" s="36">
        <v>4301137074</v>
      </c>
      <c r="D274" s="360">
        <v>4620207492116</v>
      </c>
      <c r="E274" s="360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460" t="s">
        <v>381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263</v>
      </c>
      <c r="Y274" s="55">
        <f t="shared" si="18"/>
        <v>263</v>
      </c>
      <c r="Z274" s="41">
        <f t="shared" si="23"/>
        <v>2.4616799999999999</v>
      </c>
      <c r="AA274" s="68" t="s">
        <v>46</v>
      </c>
      <c r="AB274" s="69" t="s">
        <v>46</v>
      </c>
      <c r="AC274" s="273" t="s">
        <v>367</v>
      </c>
      <c r="AG274" s="81"/>
      <c r="AJ274" s="87" t="s">
        <v>87</v>
      </c>
      <c r="AK274" s="87">
        <v>1</v>
      </c>
      <c r="BB274" s="274" t="s">
        <v>115</v>
      </c>
      <c r="BM274" s="81">
        <f t="shared" si="19"/>
        <v>839.49600000000009</v>
      </c>
      <c r="BN274" s="81">
        <f t="shared" si="20"/>
        <v>839.49600000000009</v>
      </c>
      <c r="BO274" s="81">
        <f t="shared" si="21"/>
        <v>2.0873015873015874</v>
      </c>
      <c r="BP274" s="81">
        <f t="shared" si="22"/>
        <v>2.0873015873015874</v>
      </c>
    </row>
    <row r="275" spans="1:68" ht="27" customHeight="1" x14ac:dyDescent="0.25">
      <c r="A275" s="63" t="s">
        <v>382</v>
      </c>
      <c r="B275" s="63" t="s">
        <v>383</v>
      </c>
      <c r="C275" s="36">
        <v>4301135375</v>
      </c>
      <c r="D275" s="360">
        <v>4640242181486</v>
      </c>
      <c r="E275" s="36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602</v>
      </c>
      <c r="Y275" s="55">
        <f t="shared" si="18"/>
        <v>602</v>
      </c>
      <c r="Z275" s="41">
        <f t="shared" si="23"/>
        <v>5.6347199999999997</v>
      </c>
      <c r="AA275" s="68" t="s">
        <v>46</v>
      </c>
      <c r="AB275" s="69" t="s">
        <v>46</v>
      </c>
      <c r="AC275" s="275" t="s">
        <v>384</v>
      </c>
      <c r="AG275" s="81"/>
      <c r="AJ275" s="87" t="s">
        <v>118</v>
      </c>
      <c r="AK275" s="87">
        <v>14</v>
      </c>
      <c r="BB275" s="276" t="s">
        <v>115</v>
      </c>
      <c r="BM275" s="81">
        <f t="shared" si="19"/>
        <v>2342.9839999999999</v>
      </c>
      <c r="BN275" s="81">
        <f t="shared" si="20"/>
        <v>2342.9839999999999</v>
      </c>
      <c r="BO275" s="81">
        <f t="shared" si="21"/>
        <v>4.7777777777777777</v>
      </c>
      <c r="BP275" s="81">
        <f t="shared" si="22"/>
        <v>4.7777777777777777</v>
      </c>
    </row>
    <row r="276" spans="1:68" ht="37.5" customHeight="1" x14ac:dyDescent="0.25">
      <c r="A276" s="63" t="s">
        <v>385</v>
      </c>
      <c r="B276" s="63" t="s">
        <v>386</v>
      </c>
      <c r="C276" s="36">
        <v>4301137070</v>
      </c>
      <c r="D276" s="360">
        <v>4620207492123</v>
      </c>
      <c r="E276" s="360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2" t="s">
        <v>387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17</v>
      </c>
      <c r="Y276" s="55">
        <f t="shared" si="18"/>
        <v>17</v>
      </c>
      <c r="Z276" s="41">
        <f t="shared" si="23"/>
        <v>0.15912000000000001</v>
      </c>
      <c r="AA276" s="68" t="s">
        <v>46</v>
      </c>
      <c r="AB276" s="69" t="s">
        <v>46</v>
      </c>
      <c r="AC276" s="277" t="s">
        <v>371</v>
      </c>
      <c r="AG276" s="81"/>
      <c r="AJ276" s="87" t="s">
        <v>87</v>
      </c>
      <c r="AK276" s="87">
        <v>1</v>
      </c>
      <c r="BB276" s="278" t="s">
        <v>115</v>
      </c>
      <c r="BM276" s="81">
        <f t="shared" si="19"/>
        <v>66.164000000000001</v>
      </c>
      <c r="BN276" s="81">
        <f t="shared" si="20"/>
        <v>66.164000000000001</v>
      </c>
      <c r="BO276" s="81">
        <f t="shared" si="21"/>
        <v>0.13492063492063491</v>
      </c>
      <c r="BP276" s="81">
        <f t="shared" si="22"/>
        <v>0.13492063492063491</v>
      </c>
    </row>
    <row r="277" spans="1:68" ht="37.5" hidden="1" customHeight="1" x14ac:dyDescent="0.25">
      <c r="A277" s="63" t="s">
        <v>388</v>
      </c>
      <c r="B277" s="63" t="s">
        <v>389</v>
      </c>
      <c r="C277" s="36">
        <v>4301137078</v>
      </c>
      <c r="D277" s="360">
        <v>4620207492130</v>
      </c>
      <c r="E277" s="360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86</v>
      </c>
      <c r="M277" s="38" t="s">
        <v>84</v>
      </c>
      <c r="N277" s="38"/>
      <c r="O277" s="37">
        <v>180</v>
      </c>
      <c r="P277" s="463" t="s">
        <v>390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9" t="s">
        <v>371</v>
      </c>
      <c r="AG277" s="81"/>
      <c r="AJ277" s="87" t="s">
        <v>87</v>
      </c>
      <c r="AK277" s="87">
        <v>1</v>
      </c>
      <c r="BB277" s="280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391</v>
      </c>
      <c r="B278" s="63" t="s">
        <v>392</v>
      </c>
      <c r="C278" s="36">
        <v>4301135304</v>
      </c>
      <c r="D278" s="360">
        <v>4640242181240</v>
      </c>
      <c r="E278" s="360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46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62"/>
      <c r="R278" s="362"/>
      <c r="S278" s="362"/>
      <c r="T278" s="36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384</v>
      </c>
      <c r="AG278" s="81"/>
      <c r="AJ278" s="87" t="s">
        <v>118</v>
      </c>
      <c r="AK278" s="87">
        <v>14</v>
      </c>
      <c r="BB278" s="282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393</v>
      </c>
      <c r="B279" s="63" t="s">
        <v>394</v>
      </c>
      <c r="C279" s="36">
        <v>4301135610</v>
      </c>
      <c r="D279" s="360">
        <v>4640242181318</v>
      </c>
      <c r="E279" s="360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116</v>
      </c>
      <c r="L279" s="37" t="s">
        <v>117</v>
      </c>
      <c r="M279" s="38" t="s">
        <v>84</v>
      </c>
      <c r="N279" s="38"/>
      <c r="O279" s="37">
        <v>180</v>
      </c>
      <c r="P279" s="46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62"/>
      <c r="R279" s="362"/>
      <c r="S279" s="362"/>
      <c r="T279" s="36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395</v>
      </c>
      <c r="AG279" s="81"/>
      <c r="AJ279" s="87" t="s">
        <v>118</v>
      </c>
      <c r="AK279" s="87">
        <v>14</v>
      </c>
      <c r="BB279" s="284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hidden="1" customHeight="1" x14ac:dyDescent="0.25">
      <c r="A280" s="63" t="s">
        <v>396</v>
      </c>
      <c r="B280" s="63" t="s">
        <v>397</v>
      </c>
      <c r="C280" s="36">
        <v>4301137012</v>
      </c>
      <c r="D280" s="360">
        <v>4620207491935</v>
      </c>
      <c r="E280" s="360"/>
      <c r="F280" s="62">
        <v>0.3</v>
      </c>
      <c r="G280" s="37">
        <v>9</v>
      </c>
      <c r="H280" s="62">
        <v>2.7</v>
      </c>
      <c r="I280" s="62">
        <v>2.9249999999999998</v>
      </c>
      <c r="J280" s="37">
        <v>126</v>
      </c>
      <c r="K280" s="37" t="s">
        <v>116</v>
      </c>
      <c r="L280" s="37" t="s">
        <v>86</v>
      </c>
      <c r="M280" s="38" t="s">
        <v>84</v>
      </c>
      <c r="N280" s="38"/>
      <c r="O280" s="37">
        <v>180</v>
      </c>
      <c r="P280" s="46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62"/>
      <c r="R280" s="362"/>
      <c r="S280" s="362"/>
      <c r="T280" s="36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367</v>
      </c>
      <c r="AG280" s="81"/>
      <c r="AJ280" s="87" t="s">
        <v>87</v>
      </c>
      <c r="AK280" s="87">
        <v>1</v>
      </c>
      <c r="BB280" s="286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5"/>
      <c r="P281" s="371" t="s">
        <v>40</v>
      </c>
      <c r="Q281" s="372"/>
      <c r="R281" s="372"/>
      <c r="S281" s="372"/>
      <c r="T281" s="372"/>
      <c r="U281" s="372"/>
      <c r="V281" s="373"/>
      <c r="W281" s="42" t="s">
        <v>39</v>
      </c>
      <c r="X281" s="43">
        <f>IFERROR(SUM(X270:X280),"0")</f>
        <v>1332</v>
      </c>
      <c r="Y281" s="43">
        <f>IFERROR(SUM(Y270:Y280),"0")</f>
        <v>1332</v>
      </c>
      <c r="Z281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13.879719999999999</v>
      </c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5"/>
      <c r="P282" s="371" t="s">
        <v>40</v>
      </c>
      <c r="Q282" s="372"/>
      <c r="R282" s="372"/>
      <c r="S282" s="372"/>
      <c r="T282" s="372"/>
      <c r="U282" s="372"/>
      <c r="V282" s="373"/>
      <c r="W282" s="42" t="s">
        <v>0</v>
      </c>
      <c r="X282" s="43">
        <f>IFERROR(SUMPRODUCT(X270:X280*H270:H280),"0")</f>
        <v>5158.2999999999993</v>
      </c>
      <c r="Y282" s="43">
        <f>IFERROR(SUMPRODUCT(Y270:Y280*H270:H280),"0")</f>
        <v>5158.2999999999993</v>
      </c>
      <c r="Z282" s="42"/>
      <c r="AA282" s="67"/>
      <c r="AB282" s="67"/>
      <c r="AC282" s="67"/>
    </row>
    <row r="283" spans="1:68" ht="15" customHeight="1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0"/>
      <c r="P283" s="467" t="s">
        <v>33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IFERROR(X31+X37+X44+X50+X58+X63+X67+X73+X79+X84+X90+X100+X106+X117+X121+X125+X130+X137+X143+X149+X155+X161+X166+X171+X176+X182+X186+X192+X197+X206+X212+X218+X224+X229+X235+X241+X245+X251+X255+X262+X268+X282,"0")</f>
        <v>12260.56</v>
      </c>
      <c r="Y283" s="43">
        <f>IFERROR(Y31+Y37+Y44+Y50+Y58+Y63+Y67+Y73+Y79+Y84+Y90+Y100+Y106+Y117+Y121+Y125+Y130+Y137+Y143+Y149+Y155+Y161+Y166+Y171+Y176+Y182+Y186+Y192+Y197+Y206+Y212+Y218+Y224+Y229+Y235+Y241+Y245+Y251+Y255+Y262+Y268+Y282,"0")</f>
        <v>12260.56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0"/>
      <c r="P284" s="467" t="s">
        <v>34</v>
      </c>
      <c r="Q284" s="468"/>
      <c r="R284" s="468"/>
      <c r="S284" s="468"/>
      <c r="T284" s="468"/>
      <c r="U284" s="468"/>
      <c r="V284" s="469"/>
      <c r="W284" s="42" t="s">
        <v>0</v>
      </c>
      <c r="X284" s="43">
        <f>IFERROR(SUM(BM22:BM280),"0")</f>
        <v>13505.572600000003</v>
      </c>
      <c r="Y284" s="43">
        <f>IFERROR(SUM(BN22:BN280),"0")</f>
        <v>13505.572600000003</v>
      </c>
      <c r="Z284" s="42"/>
      <c r="AA284" s="67"/>
      <c r="AB284" s="67"/>
      <c r="AC284" s="67"/>
    </row>
    <row r="285" spans="1:68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0"/>
      <c r="P285" s="467" t="s">
        <v>35</v>
      </c>
      <c r="Q285" s="468"/>
      <c r="R285" s="468"/>
      <c r="S285" s="468"/>
      <c r="T285" s="468"/>
      <c r="U285" s="468"/>
      <c r="V285" s="469"/>
      <c r="W285" s="42" t="s">
        <v>20</v>
      </c>
      <c r="X285" s="44">
        <f>ROUNDUP(SUM(BO22:BO280),0)</f>
        <v>36</v>
      </c>
      <c r="Y285" s="44">
        <f>ROUNDUP(SUM(BP22:BP280),0)</f>
        <v>36</v>
      </c>
      <c r="Z285" s="42"/>
      <c r="AA285" s="67"/>
      <c r="AB285" s="67"/>
      <c r="AC285" s="67"/>
    </row>
    <row r="286" spans="1:68" x14ac:dyDescent="0.2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470"/>
      <c r="P286" s="467" t="s">
        <v>36</v>
      </c>
      <c r="Q286" s="468"/>
      <c r="R286" s="468"/>
      <c r="S286" s="468"/>
      <c r="T286" s="468"/>
      <c r="U286" s="468"/>
      <c r="V286" s="469"/>
      <c r="W286" s="42" t="s">
        <v>0</v>
      </c>
      <c r="X286" s="43">
        <f>GrossWeightTotal+PalletQtyTotal*25</f>
        <v>14405.572600000003</v>
      </c>
      <c r="Y286" s="43">
        <f>GrossWeightTotalR+PalletQtyTotalR*25</f>
        <v>14405.572600000003</v>
      </c>
      <c r="Z286" s="42"/>
      <c r="AA286" s="67"/>
      <c r="AB286" s="67"/>
      <c r="AC286" s="67"/>
    </row>
    <row r="287" spans="1:68" x14ac:dyDescent="0.2">
      <c r="A287" s="374"/>
      <c r="B287" s="374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470"/>
      <c r="P287" s="467" t="s">
        <v>37</v>
      </c>
      <c r="Q287" s="468"/>
      <c r="R287" s="468"/>
      <c r="S287" s="468"/>
      <c r="T287" s="468"/>
      <c r="U287" s="468"/>
      <c r="V287" s="469"/>
      <c r="W287" s="42" t="s">
        <v>20</v>
      </c>
      <c r="X287" s="43">
        <f>IFERROR(X30+X36+X43+X49+X57+X62+X66+X72+X78+X83+X89+X99+X105+X116+X120+X124+X129+X136+X142+X148+X154+X160+X165+X170+X175+X181+X185+X191+X196+X205+X211+X217+X223+X228+X234+X240+X244+X250+X254+X261+X267+X281,"0")</f>
        <v>3316</v>
      </c>
      <c r="Y287" s="43">
        <f>IFERROR(Y30+Y36+Y43+Y49+Y57+Y62+Y66+Y72+Y78+Y83+Y89+Y99+Y105+Y116+Y120+Y124+Y129+Y136+Y142+Y148+Y154+Y160+Y165+Y170+Y175+Y181+Y185+Y191+Y196+Y205+Y211+Y217+Y223+Y228+Y234+Y240+Y244+Y250+Y254+Y261+Y267+Y281,"0")</f>
        <v>3316</v>
      </c>
      <c r="Z287" s="42"/>
      <c r="AA287" s="67"/>
      <c r="AB287" s="67"/>
      <c r="AC287" s="67"/>
    </row>
    <row r="288" spans="1:68" ht="14.25" hidden="1" x14ac:dyDescent="0.2">
      <c r="A288" s="374"/>
      <c r="B288" s="374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470"/>
      <c r="P288" s="467" t="s">
        <v>38</v>
      </c>
      <c r="Q288" s="468"/>
      <c r="R288" s="468"/>
      <c r="S288" s="468"/>
      <c r="T288" s="468"/>
      <c r="U288" s="468"/>
      <c r="V288" s="469"/>
      <c r="W288" s="45" t="s">
        <v>52</v>
      </c>
      <c r="X288" s="42"/>
      <c r="Y288" s="42"/>
      <c r="Z288" s="42">
        <f>IFERROR(Z30+Z36+Z43+Z49+Z57+Z62+Z66+Z72+Z78+Z83+Z89+Z99+Z105+Z116+Z120+Z124+Z129+Z136+Z142+Z148+Z154+Z160+Z165+Z170+Z175+Z181+Z185+Z191+Z196+Z205+Z211+Z217+Z223+Z228+Z234+Z240+Z244+Z250+Z254+Z261+Z267+Z281,"0")</f>
        <v>44.25616999999999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471" t="s">
        <v>79</v>
      </c>
      <c r="C290" s="471" t="s">
        <v>79</v>
      </c>
      <c r="D290" s="471" t="s">
        <v>45</v>
      </c>
      <c r="E290" s="471" t="s">
        <v>45</v>
      </c>
      <c r="F290" s="471" t="s">
        <v>45</v>
      </c>
      <c r="G290" s="471" t="s">
        <v>45</v>
      </c>
      <c r="H290" s="471" t="s">
        <v>45</v>
      </c>
      <c r="I290" s="471" t="s">
        <v>45</v>
      </c>
      <c r="J290" s="471" t="s">
        <v>45</v>
      </c>
      <c r="K290" s="471" t="s">
        <v>45</v>
      </c>
      <c r="L290" s="471" t="s">
        <v>45</v>
      </c>
      <c r="M290" s="471" t="s">
        <v>45</v>
      </c>
      <c r="N290" s="472"/>
      <c r="O290" s="471" t="s">
        <v>45</v>
      </c>
      <c r="P290" s="471" t="s">
        <v>45</v>
      </c>
      <c r="Q290" s="471" t="s">
        <v>45</v>
      </c>
      <c r="R290" s="471" t="s">
        <v>45</v>
      </c>
      <c r="S290" s="471" t="s">
        <v>45</v>
      </c>
      <c r="T290" s="471" t="s">
        <v>45</v>
      </c>
      <c r="U290" s="471" t="s">
        <v>45</v>
      </c>
      <c r="V290" s="471" t="s">
        <v>272</v>
      </c>
      <c r="W290" s="471" t="s">
        <v>272</v>
      </c>
      <c r="X290" s="471" t="s">
        <v>272</v>
      </c>
      <c r="Y290" s="88" t="s">
        <v>290</v>
      </c>
      <c r="Z290" s="471" t="s">
        <v>304</v>
      </c>
      <c r="AA290" s="471" t="s">
        <v>304</v>
      </c>
      <c r="AB290" s="471" t="s">
        <v>304</v>
      </c>
      <c r="AC290" s="88" t="s">
        <v>329</v>
      </c>
      <c r="AD290" s="88" t="s">
        <v>334</v>
      </c>
      <c r="AE290" s="88" t="s">
        <v>342</v>
      </c>
      <c r="AF290" s="88" t="s">
        <v>273</v>
      </c>
    </row>
    <row r="291" spans="1:32" ht="14.25" customHeight="1" thickTop="1" x14ac:dyDescent="0.2">
      <c r="A291" s="473" t="s">
        <v>10</v>
      </c>
      <c r="B291" s="471" t="s">
        <v>79</v>
      </c>
      <c r="C291" s="471" t="s">
        <v>104</v>
      </c>
      <c r="D291" s="471" t="s">
        <v>110</v>
      </c>
      <c r="E291" s="471" t="s">
        <v>121</v>
      </c>
      <c r="F291" s="471" t="s">
        <v>128</v>
      </c>
      <c r="G291" s="471" t="s">
        <v>139</v>
      </c>
      <c r="H291" s="471" t="s">
        <v>155</v>
      </c>
      <c r="I291" s="471" t="s">
        <v>162</v>
      </c>
      <c r="J291" s="471" t="s">
        <v>166</v>
      </c>
      <c r="K291" s="471" t="s">
        <v>174</v>
      </c>
      <c r="L291" s="471" t="s">
        <v>189</v>
      </c>
      <c r="M291" s="471" t="s">
        <v>195</v>
      </c>
      <c r="N291" s="1"/>
      <c r="O291" s="471" t="s">
        <v>221</v>
      </c>
      <c r="P291" s="471" t="s">
        <v>243</v>
      </c>
      <c r="Q291" s="471" t="s">
        <v>249</v>
      </c>
      <c r="R291" s="471" t="s">
        <v>255</v>
      </c>
      <c r="S291" s="471" t="s">
        <v>262</v>
      </c>
      <c r="T291" s="471" t="s">
        <v>265</v>
      </c>
      <c r="U291" s="471" t="s">
        <v>269</v>
      </c>
      <c r="V291" s="471" t="s">
        <v>273</v>
      </c>
      <c r="W291" s="471" t="s">
        <v>280</v>
      </c>
      <c r="X291" s="471" t="s">
        <v>287</v>
      </c>
      <c r="Y291" s="471" t="s">
        <v>291</v>
      </c>
      <c r="Z291" s="471" t="s">
        <v>305</v>
      </c>
      <c r="AA291" s="471" t="s">
        <v>318</v>
      </c>
      <c r="AB291" s="471" t="s">
        <v>325</v>
      </c>
      <c r="AC291" s="471" t="s">
        <v>330</v>
      </c>
      <c r="AD291" s="471" t="s">
        <v>335</v>
      </c>
      <c r="AE291" s="471" t="s">
        <v>342</v>
      </c>
      <c r="AF291" s="471" t="s">
        <v>273</v>
      </c>
    </row>
    <row r="292" spans="1:32" ht="13.5" thickBot="1" x14ac:dyDescent="0.25">
      <c r="A292" s="474"/>
      <c r="B292" s="471"/>
      <c r="C292" s="471"/>
      <c r="D292" s="471"/>
      <c r="E292" s="471"/>
      <c r="F292" s="471"/>
      <c r="G292" s="471"/>
      <c r="H292" s="471"/>
      <c r="I292" s="471"/>
      <c r="J292" s="471"/>
      <c r="K292" s="471"/>
      <c r="L292" s="471"/>
      <c r="M292" s="471"/>
      <c r="N292" s="1"/>
      <c r="O292" s="471"/>
      <c r="P292" s="471"/>
      <c r="Q292" s="471"/>
      <c r="R292" s="471"/>
      <c r="S292" s="471"/>
      <c r="T292" s="471"/>
      <c r="U292" s="471"/>
      <c r="V292" s="471"/>
      <c r="W292" s="471"/>
      <c r="X292" s="471"/>
      <c r="Y292" s="471"/>
      <c r="Z292" s="471"/>
      <c r="AA292" s="471"/>
      <c r="AB292" s="471"/>
      <c r="AC292" s="471"/>
      <c r="AD292" s="471"/>
      <c r="AE292" s="471"/>
      <c r="AF292" s="471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IFERROR(X22*H22,"0")+IFERROR(X23*H23,"0")+IFERROR(X24*H24,"0")+IFERROR(X25*H25,"0")+IFERROR(X26*H26,"0")+IFERROR(X27*H27,"0")+IFERROR(X28*H28,"0")+IFERROR(X29*H29,"0")</f>
        <v>0</v>
      </c>
      <c r="C293" s="52">
        <f>IFERROR(X34*H34,"0")+IFERROR(X35*H35,"0")</f>
        <v>0</v>
      </c>
      <c r="D293" s="52">
        <f>IFERROR(X41*H41,"0")+IFERROR(X42*H42,"0")</f>
        <v>252</v>
      </c>
      <c r="E293" s="52">
        <f>IFERROR(X47*H47,"0")+IFERROR(X48*H48,"0")</f>
        <v>134.39999999999998</v>
      </c>
      <c r="F293" s="52">
        <f>IFERROR(X53*H53,"0")+IFERROR(X54*H54,"0")+IFERROR(X55*H55,"0")+IFERROR(X56*H56,"0")</f>
        <v>160.80000000000001</v>
      </c>
      <c r="G293" s="52">
        <f>IFERROR(X61*H61,"0")+IFERROR(X65*H65,"0")+IFERROR(X69*H69,"0")+IFERROR(X70*H70,"0")+IFERROR(X71*H71,"0")</f>
        <v>0</v>
      </c>
      <c r="H293" s="52">
        <f>IFERROR(X76*H76,"0")+IFERROR(X77*H77,"0")</f>
        <v>0</v>
      </c>
      <c r="I293" s="52">
        <f>IFERROR(X82*H82,"0")</f>
        <v>97.2</v>
      </c>
      <c r="J293" s="52">
        <f>IFERROR(X87*H87,"0")+IFERROR(X88*H88,"0")</f>
        <v>705.6</v>
      </c>
      <c r="K293" s="52">
        <f>IFERROR(X93*H93,"0")+IFERROR(X94*H94,"0")+IFERROR(X95*H95,"0")+IFERROR(X96*H96,"0")+IFERROR(X97*H97,"0")+IFERROR(X98*H98,"0")</f>
        <v>816.6</v>
      </c>
      <c r="L293" s="52">
        <f>IFERROR(X103*H103,"0")+IFERROR(X104*H104,"0")</f>
        <v>0</v>
      </c>
      <c r="M293" s="52">
        <f>IFERROR(X109*H109,"0")+IFERROR(X110*H110,"0")+IFERROR(X111*H111,"0")+IFERROR(X112*H112,"0")+IFERROR(X113*H113,"0")+IFERROR(X114*H114,"0")+IFERROR(X115*H115,"0")+IFERROR(X119*H119,"0")+IFERROR(X123*H123,"0")</f>
        <v>1532.88</v>
      </c>
      <c r="N293" s="1"/>
      <c r="O293" s="52">
        <f>IFERROR(X128*H128,"0")+IFERROR(X132*H132,"0")+IFERROR(X133*H133,"0")+IFERROR(X134*H134,"0")+IFERROR(X135*H135,"0")+IFERROR(X139*H139,"0")+IFERROR(X140*H140,"0")+IFERROR(X141*H141,"0")</f>
        <v>236.45999999999998</v>
      </c>
      <c r="P293" s="52">
        <f>IFERROR(X146*H146,"0")+IFERROR(X147*H147,"0")</f>
        <v>864</v>
      </c>
      <c r="Q293" s="52">
        <f>IFERROR(X152*H152,"0")+IFERROR(X153*H153,"0")</f>
        <v>87</v>
      </c>
      <c r="R293" s="52">
        <f>IFERROR(X158*H158,"0")+IFERROR(X159*H159,"0")</f>
        <v>110.4</v>
      </c>
      <c r="S293" s="52">
        <f>IFERROR(X164*H164,"0")</f>
        <v>108</v>
      </c>
      <c r="T293" s="52">
        <f>IFERROR(X169*H169,"0")</f>
        <v>37.800000000000004</v>
      </c>
      <c r="U293" s="52">
        <f>IFERROR(X174*H174,"0")</f>
        <v>173.04</v>
      </c>
      <c r="V293" s="52">
        <f>IFERROR(X180*H180,"0")+IFERROR(X184*H184,"0")</f>
        <v>1428</v>
      </c>
      <c r="W293" s="52">
        <f>IFERROR(X189*H189,"0")+IFERROR(X190*H190,"0")</f>
        <v>0</v>
      </c>
      <c r="X293" s="52">
        <f>IFERROR(X195*H195,"0")</f>
        <v>0</v>
      </c>
      <c r="Y293" s="52">
        <f>IFERROR(X201*H201,"0")+IFERROR(X202*H202,"0")+IFERROR(X203*H203,"0")+IFERROR(X204*H204,"0")</f>
        <v>358.08</v>
      </c>
      <c r="Z293" s="52">
        <f>IFERROR(X210*H210,"0")+IFERROR(X214*H214,"0")+IFERROR(X215*H215,"0")+IFERROR(X216*H216,"0")</f>
        <v>0</v>
      </c>
      <c r="AA293" s="52">
        <f>IFERROR(X221*H221,"0")+IFERROR(X222*H222,"0")</f>
        <v>0</v>
      </c>
      <c r="AB293" s="52">
        <f>IFERROR(X227*H227,"0")</f>
        <v>0</v>
      </c>
      <c r="AC293" s="52">
        <f>IFERROR(X233*H233,"0")</f>
        <v>0</v>
      </c>
      <c r="AD293" s="52">
        <f>IFERROR(X239*H239,"0")+IFERROR(X243*H243,"0")</f>
        <v>0</v>
      </c>
      <c r="AE293" s="52">
        <f>IFERROR(X249*H249,"0")+IFERROR(X253*H253,"0")</f>
        <v>0</v>
      </c>
      <c r="AF293" s="52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5158.2999999999993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1809.6</v>
      </c>
      <c r="B296" s="72">
        <f>SUMPRODUCT(--(BB:BB="ПГП"),--(W:W="кор"),H:H,Y:Y)+SUMPRODUCT(--(BB:BB="ПГП"),--(W:W="кг"),Y:Y)</f>
        <v>10450.959999999999</v>
      </c>
      <c r="C296" s="72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2,00"/>
        <filter val="1 428,00"/>
        <filter val="1 514,40"/>
        <filter val="103,00"/>
        <filter val="108,00"/>
        <filter val="110,40"/>
        <filter val="12 260,56"/>
        <filter val="12,00"/>
        <filter val="120,00"/>
        <filter val="126,00"/>
        <filter val="13 505,57"/>
        <filter val="134,40"/>
        <filter val="14 405,57"/>
        <filter val="14,00"/>
        <filter val="140,00"/>
        <filter val="148,00"/>
        <filter val="15,00"/>
        <filter val="160,80"/>
        <filter val="168,00"/>
        <filter val="17,00"/>
        <filter val="173,04"/>
        <filter val="174,00"/>
        <filter val="18,48"/>
        <filter val="19,00"/>
        <filter val="196,00"/>
        <filter val="220,00"/>
        <filter val="222,00"/>
        <filter val="23,00"/>
        <filter val="230,00"/>
        <filter val="236,46"/>
        <filter val="238,00"/>
        <filter val="24,00"/>
        <filter val="252,00"/>
        <filter val="263,00"/>
        <filter val="268,00"/>
        <filter val="27,00"/>
        <filter val="28,00"/>
        <filter val="288,00"/>
        <filter val="29,00"/>
        <filter val="3 316,00"/>
        <filter val="358,08"/>
        <filter val="36"/>
        <filter val="36,00"/>
        <filter val="37,80"/>
        <filter val="42,00"/>
        <filter val="46,00"/>
        <filter val="5 158,30"/>
        <filter val="52,00"/>
        <filter val="56,00"/>
        <filter val="602,00"/>
        <filter val="61,00"/>
        <filter val="7,00"/>
        <filter val="70,00"/>
        <filter val="705,60"/>
        <filter val="72,00"/>
        <filter val="76,00"/>
        <filter val="8,00"/>
        <filter val="816,60"/>
        <filter val="84,00"/>
        <filter val="864,00"/>
        <filter val="87,00"/>
        <filter val="97,20"/>
        <filter val="98,00"/>
      </filters>
    </filterColumn>
    <filterColumn colId="29" showButton="0"/>
    <filterColumn colId="30" showButton="0"/>
  </autoFilter>
  <dataConsolidate/>
  <mergeCells count="513">
    <mergeCell ref="AE291:AE292"/>
    <mergeCell ref="AF291:AF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B290:C290"/>
    <mergeCell ref="D290:U290"/>
    <mergeCell ref="V290:X290"/>
    <mergeCell ref="Z290:AB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37:Z237"/>
    <mergeCell ref="A238:Z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3:V223"/>
    <mergeCell ref="A223:O224"/>
    <mergeCell ref="P224:V224"/>
    <mergeCell ref="A225:Z225"/>
    <mergeCell ref="A226:Z226"/>
    <mergeCell ref="D227:E227"/>
    <mergeCell ref="P227:T227"/>
    <mergeCell ref="P228:V228"/>
    <mergeCell ref="A228:O229"/>
    <mergeCell ref="P229:V229"/>
    <mergeCell ref="P217:V217"/>
    <mergeCell ref="A217:O218"/>
    <mergeCell ref="P218:V218"/>
    <mergeCell ref="A219:Z219"/>
    <mergeCell ref="A220:Z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04:E204"/>
    <mergeCell ref="P204:T204"/>
    <mergeCell ref="P205:V205"/>
    <mergeCell ref="A205:O206"/>
    <mergeCell ref="P206:V206"/>
    <mergeCell ref="A207:Z207"/>
    <mergeCell ref="A208:Z208"/>
    <mergeCell ref="A209:Z209"/>
    <mergeCell ref="D210:E210"/>
    <mergeCell ref="P210:T210"/>
    <mergeCell ref="A198:Z198"/>
    <mergeCell ref="A199:Z199"/>
    <mergeCell ref="A200:Z200"/>
    <mergeCell ref="D201:E201"/>
    <mergeCell ref="P201:T201"/>
    <mergeCell ref="D202:E202"/>
    <mergeCell ref="P202:T202"/>
    <mergeCell ref="D203:E203"/>
    <mergeCell ref="P203:T203"/>
    <mergeCell ref="P191:V191"/>
    <mergeCell ref="A191:O192"/>
    <mergeCell ref="P192:V192"/>
    <mergeCell ref="A193:Z193"/>
    <mergeCell ref="A194:Z194"/>
    <mergeCell ref="D195:E195"/>
    <mergeCell ref="P195:T195"/>
    <mergeCell ref="P196:V196"/>
    <mergeCell ref="A196:O197"/>
    <mergeCell ref="P197:V197"/>
    <mergeCell ref="P185:V185"/>
    <mergeCell ref="A185:O186"/>
    <mergeCell ref="P186:V186"/>
    <mergeCell ref="A187:Z187"/>
    <mergeCell ref="A188:Z188"/>
    <mergeCell ref="D189:E189"/>
    <mergeCell ref="P189:T189"/>
    <mergeCell ref="D190:E190"/>
    <mergeCell ref="P190:T190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D134:E134"/>
    <mergeCell ref="P134:T134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0 X276:X277 X270:X274 X264:X266 X259:X260 X253 X249 X243 X239 X233 X221:X222 X214 X204 X195 X189 X184 X180 X174 X164 X158:X159 X152:X153 X146 X139:X141 X132:X135 X128 X123 X119 X113:X114 X110 X103:X104 X94:X98 X82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79 X275 X227 X215:X216 X210 X201:X203 X190 X169 X147 X115 X111:X112 X109 X93 X87:X88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401</v>
      </c>
      <c r="C6" s="53" t="s">
        <v>402</v>
      </c>
      <c r="D6" s="53" t="s">
        <v>403</v>
      </c>
      <c r="E6" s="53" t="s">
        <v>46</v>
      </c>
    </row>
    <row r="7" spans="2:8" x14ac:dyDescent="0.2">
      <c r="B7" s="53" t="s">
        <v>404</v>
      </c>
      <c r="C7" s="53" t="s">
        <v>405</v>
      </c>
      <c r="D7" s="53" t="s">
        <v>406</v>
      </c>
      <c r="E7" s="53" t="s">
        <v>46</v>
      </c>
    </row>
    <row r="8" spans="2:8" x14ac:dyDescent="0.2">
      <c r="B8" s="53" t="s">
        <v>407</v>
      </c>
      <c r="C8" s="53" t="s">
        <v>408</v>
      </c>
      <c r="D8" s="53" t="s">
        <v>409</v>
      </c>
      <c r="E8" s="53" t="s">
        <v>46</v>
      </c>
    </row>
    <row r="9" spans="2:8" x14ac:dyDescent="0.2">
      <c r="B9" s="53" t="s">
        <v>410</v>
      </c>
      <c r="C9" s="53" t="s">
        <v>411</v>
      </c>
      <c r="D9" s="53" t="s">
        <v>412</v>
      </c>
      <c r="E9" s="53" t="s">
        <v>46</v>
      </c>
    </row>
    <row r="10" spans="2:8" x14ac:dyDescent="0.2">
      <c r="B10" s="53" t="s">
        <v>413</v>
      </c>
      <c r="C10" s="53" t="s">
        <v>414</v>
      </c>
      <c r="D10" s="53" t="s">
        <v>415</v>
      </c>
      <c r="E10" s="53" t="s">
        <v>46</v>
      </c>
    </row>
    <row r="11" spans="2:8" x14ac:dyDescent="0.2">
      <c r="B11" s="53" t="s">
        <v>416</v>
      </c>
      <c r="C11" s="53" t="s">
        <v>417</v>
      </c>
      <c r="D11" s="53" t="s">
        <v>418</v>
      </c>
      <c r="E11" s="53" t="s">
        <v>46</v>
      </c>
    </row>
    <row r="13" spans="2:8" x14ac:dyDescent="0.2">
      <c r="B13" s="53" t="s">
        <v>419</v>
      </c>
      <c r="C13" s="53" t="s">
        <v>402</v>
      </c>
      <c r="D13" s="53" t="s">
        <v>46</v>
      </c>
      <c r="E13" s="53" t="s">
        <v>46</v>
      </c>
    </row>
    <row r="15" spans="2:8" x14ac:dyDescent="0.2">
      <c r="B15" s="53" t="s">
        <v>420</v>
      </c>
      <c r="C15" s="53" t="s">
        <v>405</v>
      </c>
      <c r="D15" s="53" t="s">
        <v>46</v>
      </c>
      <c r="E15" s="53" t="s">
        <v>46</v>
      </c>
    </row>
    <row r="17" spans="2:5" x14ac:dyDescent="0.2">
      <c r="B17" s="53" t="s">
        <v>421</v>
      </c>
      <c r="C17" s="53" t="s">
        <v>408</v>
      </c>
      <c r="D17" s="53" t="s">
        <v>46</v>
      </c>
      <c r="E17" s="53" t="s">
        <v>46</v>
      </c>
    </row>
    <row r="19" spans="2:5" x14ac:dyDescent="0.2">
      <c r="B19" s="53" t="s">
        <v>422</v>
      </c>
      <c r="C19" s="53" t="s">
        <v>411</v>
      </c>
      <c r="D19" s="53" t="s">
        <v>46</v>
      </c>
      <c r="E19" s="53" t="s">
        <v>46</v>
      </c>
    </row>
    <row r="21" spans="2:5" x14ac:dyDescent="0.2">
      <c r="B21" s="53" t="s">
        <v>423</v>
      </c>
      <c r="C21" s="53" t="s">
        <v>414</v>
      </c>
      <c r="D21" s="53" t="s">
        <v>46</v>
      </c>
      <c r="E21" s="53" t="s">
        <v>46</v>
      </c>
    </row>
    <row r="23" spans="2:5" x14ac:dyDescent="0.2">
      <c r="B23" s="53" t="s">
        <v>424</v>
      </c>
      <c r="C23" s="53" t="s">
        <v>417</v>
      </c>
      <c r="D23" s="53" t="s">
        <v>46</v>
      </c>
      <c r="E23" s="53" t="s">
        <v>46</v>
      </c>
    </row>
    <row r="25" spans="2:5" x14ac:dyDescent="0.2">
      <c r="B25" s="53" t="s">
        <v>425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426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427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430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431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435</v>
      </c>
      <c r="C35" s="53" t="s">
        <v>46</v>
      </c>
      <c r="D35" s="53" t="s">
        <v>46</v>
      </c>
      <c r="E35" s="53" t="s">
        <v>46</v>
      </c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