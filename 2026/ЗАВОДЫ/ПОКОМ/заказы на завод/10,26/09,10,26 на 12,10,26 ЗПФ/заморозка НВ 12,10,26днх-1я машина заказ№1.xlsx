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9685AC6-4E83-42FB-8FB7-421CC1259E9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N259" i="1"/>
  <c r="BM259" i="1"/>
  <c r="Z259" i="1"/>
  <c r="Y259" i="1"/>
  <c r="BP259" i="1" s="1"/>
  <c r="P259" i="1"/>
  <c r="X255" i="1"/>
  <c r="X254" i="1"/>
  <c r="BP253" i="1"/>
  <c r="BO253" i="1"/>
  <c r="BM253" i="1"/>
  <c r="Z253" i="1"/>
  <c r="Z254" i="1" s="1"/>
  <c r="Y253" i="1"/>
  <c r="Y255" i="1" s="1"/>
  <c r="P253" i="1"/>
  <c r="X251" i="1"/>
  <c r="Y250" i="1"/>
  <c r="X250" i="1"/>
  <c r="BO249" i="1"/>
  <c r="BN249" i="1"/>
  <c r="BM249" i="1"/>
  <c r="Z249" i="1"/>
  <c r="Z250" i="1" s="1"/>
  <c r="Y249" i="1"/>
  <c r="Y251" i="1" s="1"/>
  <c r="P249" i="1"/>
  <c r="X245" i="1"/>
  <c r="X244" i="1"/>
  <c r="BP243" i="1"/>
  <c r="BO243" i="1"/>
  <c r="BM243" i="1"/>
  <c r="Z243" i="1"/>
  <c r="Z244" i="1" s="1"/>
  <c r="Y243" i="1"/>
  <c r="Y245" i="1" s="1"/>
  <c r="P243" i="1"/>
  <c r="X241" i="1"/>
  <c r="Y240" i="1"/>
  <c r="X240" i="1"/>
  <c r="BO239" i="1"/>
  <c r="BN239" i="1"/>
  <c r="BM239" i="1"/>
  <c r="Z239" i="1"/>
  <c r="Z240" i="1" s="1"/>
  <c r="Y239" i="1"/>
  <c r="Y241" i="1" s="1"/>
  <c r="P239" i="1"/>
  <c r="X235" i="1"/>
  <c r="X234" i="1"/>
  <c r="BP233" i="1"/>
  <c r="BO233" i="1"/>
  <c r="BM233" i="1"/>
  <c r="Z233" i="1"/>
  <c r="Z234" i="1" s="1"/>
  <c r="Y233" i="1"/>
  <c r="Y235" i="1" s="1"/>
  <c r="P233" i="1"/>
  <c r="X229" i="1"/>
  <c r="Y228" i="1"/>
  <c r="X228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M215" i="1"/>
  <c r="Z215" i="1"/>
  <c r="Y215" i="1"/>
  <c r="BN215" i="1" s="1"/>
  <c r="P215" i="1"/>
  <c r="BO214" i="1"/>
  <c r="BM214" i="1"/>
  <c r="Z214" i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Y202" i="1"/>
  <c r="P202" i="1"/>
  <c r="BO201" i="1"/>
  <c r="BM201" i="1"/>
  <c r="Z201" i="1"/>
  <c r="Y201" i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N190" i="1"/>
  <c r="BM190" i="1"/>
  <c r="Z190" i="1"/>
  <c r="Y190" i="1"/>
  <c r="BP190" i="1" s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M153" i="1"/>
  <c r="Z153" i="1"/>
  <c r="Y153" i="1"/>
  <c r="BN153" i="1" s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Y148" i="1" s="1"/>
  <c r="P146" i="1"/>
  <c r="X143" i="1"/>
  <c r="X142" i="1"/>
  <c r="BO141" i="1"/>
  <c r="BN141" i="1"/>
  <c r="BM141" i="1"/>
  <c r="Z141" i="1"/>
  <c r="Y141" i="1"/>
  <c r="BP141" i="1" s="1"/>
  <c r="P141" i="1"/>
  <c r="BO140" i="1"/>
  <c r="BM140" i="1"/>
  <c r="Z140" i="1"/>
  <c r="Y140" i="1"/>
  <c r="BP140" i="1" s="1"/>
  <c r="P140" i="1"/>
  <c r="BO139" i="1"/>
  <c r="BN139" i="1"/>
  <c r="BM139" i="1"/>
  <c r="Z139" i="1"/>
  <c r="Y139" i="1"/>
  <c r="BP139" i="1" s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P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Y105" i="1" s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BP94" i="1" s="1"/>
  <c r="P94" i="1"/>
  <c r="BO93" i="1"/>
  <c r="BM93" i="1"/>
  <c r="Z93" i="1"/>
  <c r="Y93" i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Y69" i="1"/>
  <c r="Y72" i="1" s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Z53" i="1"/>
  <c r="Y53" i="1"/>
  <c r="Y57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BN47" i="1" s="1"/>
  <c r="P47" i="1"/>
  <c r="X44" i="1"/>
  <c r="X43" i="1"/>
  <c r="BO42" i="1"/>
  <c r="BM42" i="1"/>
  <c r="Z42" i="1"/>
  <c r="Y42" i="1"/>
  <c r="P42" i="1"/>
  <c r="BO41" i="1"/>
  <c r="BM41" i="1"/>
  <c r="Z41" i="1"/>
  <c r="Y41" i="1"/>
  <c r="Y43" i="1" s="1"/>
  <c r="P41" i="1"/>
  <c r="X37" i="1"/>
  <c r="X36" i="1"/>
  <c r="BO35" i="1"/>
  <c r="BM35" i="1"/>
  <c r="Z35" i="1"/>
  <c r="Y35" i="1"/>
  <c r="BN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Y22" i="1"/>
  <c r="P22" i="1"/>
  <c r="H10" i="1"/>
  <c r="A9" i="1"/>
  <c r="F10" i="1" s="1"/>
  <c r="D7" i="1"/>
  <c r="Q6" i="1"/>
  <c r="P2" i="1"/>
  <c r="Y30" i="1" l="1"/>
  <c r="BP35" i="1"/>
  <c r="Y100" i="1"/>
  <c r="Y116" i="1"/>
  <c r="Y205" i="1"/>
  <c r="Z281" i="1"/>
  <c r="Z142" i="1"/>
  <c r="Z160" i="1"/>
  <c r="BP227" i="1"/>
  <c r="BN233" i="1"/>
  <c r="Y234" i="1"/>
  <c r="BP239" i="1"/>
  <c r="BN243" i="1"/>
  <c r="Y244" i="1"/>
  <c r="BP249" i="1"/>
  <c r="BN253" i="1"/>
  <c r="Y254" i="1"/>
  <c r="Z261" i="1"/>
  <c r="Y36" i="1"/>
  <c r="Z78" i="1"/>
  <c r="Z205" i="1"/>
  <c r="Z217" i="1"/>
  <c r="Y161" i="1"/>
  <c r="Y206" i="1"/>
  <c r="Z30" i="1"/>
  <c r="BN22" i="1"/>
  <c r="BP22" i="1"/>
  <c r="Y31" i="1"/>
  <c r="BN24" i="1"/>
  <c r="BN26" i="1"/>
  <c r="BN28" i="1"/>
  <c r="X287" i="1"/>
  <c r="Z36" i="1"/>
  <c r="Z43" i="1"/>
  <c r="BN41" i="1"/>
  <c r="BP41" i="1"/>
  <c r="Y44" i="1"/>
  <c r="Z49" i="1"/>
  <c r="Z57" i="1"/>
  <c r="Z72" i="1"/>
  <c r="Y79" i="1"/>
  <c r="BN77" i="1"/>
  <c r="Z89" i="1"/>
  <c r="Z99" i="1"/>
  <c r="Z105" i="1"/>
  <c r="Z116" i="1"/>
  <c r="Y137" i="1"/>
  <c r="BN133" i="1"/>
  <c r="BN135" i="1"/>
  <c r="Y143" i="1"/>
  <c r="Z148" i="1"/>
  <c r="BN146" i="1"/>
  <c r="BP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H9" i="1"/>
  <c r="A10" i="1"/>
  <c r="X284" i="1"/>
  <c r="X285" i="1"/>
  <c r="BN23" i="1"/>
  <c r="BP23" i="1"/>
  <c r="BN25" i="1"/>
  <c r="BN27" i="1"/>
  <c r="BN29" i="1"/>
  <c r="X283" i="1"/>
  <c r="BN34" i="1"/>
  <c r="BP34" i="1"/>
  <c r="Y37" i="1"/>
  <c r="BN42" i="1"/>
  <c r="BP42" i="1"/>
  <c r="F9" i="1"/>
  <c r="J9" i="1"/>
  <c r="Y50" i="1"/>
  <c r="BP47" i="1"/>
  <c r="Y49" i="1"/>
  <c r="BN48" i="1"/>
  <c r="BN53" i="1"/>
  <c r="BP53" i="1"/>
  <c r="BN55" i="1"/>
  <c r="Y58" i="1"/>
  <c r="Y63" i="1"/>
  <c r="Y67" i="1"/>
  <c r="BN70" i="1"/>
  <c r="Y73" i="1"/>
  <c r="Y78" i="1"/>
  <c r="BN82" i="1"/>
  <c r="BP82" i="1"/>
  <c r="Y83" i="1"/>
  <c r="BN87" i="1"/>
  <c r="BP87" i="1"/>
  <c r="Y90" i="1"/>
  <c r="BN94" i="1"/>
  <c r="BN96" i="1"/>
  <c r="BN98" i="1"/>
  <c r="Y99" i="1"/>
  <c r="BN103" i="1"/>
  <c r="BP103" i="1"/>
  <c r="Y106" i="1"/>
  <c r="BN110" i="1"/>
  <c r="BN112" i="1"/>
  <c r="BN114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4" i="1" l="1"/>
  <c r="Y287" i="1"/>
  <c r="Y285" i="1"/>
  <c r="Y283" i="1"/>
  <c r="X286" i="1"/>
  <c r="Y286" i="1" l="1"/>
  <c r="B296" i="1" s="1"/>
  <c r="A296" i="1"/>
  <c r="C296" i="1" l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<sst xmlns="http://schemas.openxmlformats.org/spreadsheetml/2006/main" count="1315" uniqueCount="436">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</sst>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0" borderId="25" xfId="0" applyBorder="1" applyProtection="1">
      <protection hidden="1"/>
    </xf>
    <xf numFmtId="0" fontId="265" fillId="0" borderId="43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9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428" t="s">
        <v>0</v>
      </c>
      <c r="E1" s="305"/>
      <c r="F1" s="305"/>
      <c r="G1" s="12" t="s">
        <v>1</v>
      </c>
      <c r="H1" s="4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59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417" t="s">
        <v>8</v>
      </c>
      <c r="B5" s="349"/>
      <c r="C5" s="309"/>
      <c r="D5" s="344"/>
      <c r="E5" s="346"/>
      <c r="F5" s="326" t="s">
        <v>9</v>
      </c>
      <c r="G5" s="309"/>
      <c r="H5" s="344" t="s">
        <v>435</v>
      </c>
      <c r="I5" s="345"/>
      <c r="J5" s="345"/>
      <c r="K5" s="345"/>
      <c r="L5" s="345"/>
      <c r="M5" s="346"/>
      <c r="N5" s="61"/>
      <c r="P5" s="24" t="s">
        <v>10</v>
      </c>
      <c r="Q5" s="332">
        <v>46307</v>
      </c>
      <c r="R5" s="333"/>
      <c r="T5" s="398" t="s">
        <v>11</v>
      </c>
      <c r="U5" s="299"/>
      <c r="V5" s="400" t="s">
        <v>12</v>
      </c>
      <c r="W5" s="333"/>
      <c r="AB5" s="51"/>
      <c r="AC5" s="51"/>
      <c r="AD5" s="51"/>
      <c r="AE5" s="51"/>
    </row>
    <row r="6" spans="1:32" s="275" customFormat="1" ht="24" customHeight="1" x14ac:dyDescent="0.2">
      <c r="A6" s="417" t="s">
        <v>13</v>
      </c>
      <c r="B6" s="349"/>
      <c r="C6" s="309"/>
      <c r="D6" s="353" t="s">
        <v>406</v>
      </c>
      <c r="E6" s="354"/>
      <c r="F6" s="354"/>
      <c r="G6" s="354"/>
      <c r="H6" s="354"/>
      <c r="I6" s="354"/>
      <c r="J6" s="354"/>
      <c r="K6" s="354"/>
      <c r="L6" s="354"/>
      <c r="M6" s="333"/>
      <c r="N6" s="62"/>
      <c r="P6" s="24" t="s">
        <v>14</v>
      </c>
      <c r="Q6" s="336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406" t="s">
        <v>15</v>
      </c>
      <c r="U6" s="299"/>
      <c r="V6" s="361" t="s">
        <v>16</v>
      </c>
      <c r="W6" s="362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438" t="str">
        <f>IFERROR(VLOOKUP(DeliveryAddress,Table,3,0),1)</f>
        <v>3</v>
      </c>
      <c r="E7" s="439"/>
      <c r="F7" s="439"/>
      <c r="G7" s="439"/>
      <c r="H7" s="439"/>
      <c r="I7" s="439"/>
      <c r="J7" s="439"/>
      <c r="K7" s="439"/>
      <c r="L7" s="439"/>
      <c r="M7" s="403"/>
      <c r="N7" s="63"/>
      <c r="P7" s="24"/>
      <c r="Q7" s="42"/>
      <c r="R7" s="42"/>
      <c r="T7" s="290"/>
      <c r="U7" s="299"/>
      <c r="V7" s="363"/>
      <c r="W7" s="364"/>
      <c r="AB7" s="51"/>
      <c r="AC7" s="51"/>
      <c r="AD7" s="51"/>
      <c r="AE7" s="51"/>
    </row>
    <row r="8" spans="1:32" s="275" customFormat="1" ht="25.5" customHeight="1" x14ac:dyDescent="0.2">
      <c r="A8" s="282" t="s">
        <v>17</v>
      </c>
      <c r="B8" s="283"/>
      <c r="C8" s="284"/>
      <c r="D8" s="444"/>
      <c r="E8" s="445"/>
      <c r="F8" s="445"/>
      <c r="G8" s="445"/>
      <c r="H8" s="445"/>
      <c r="I8" s="445"/>
      <c r="J8" s="445"/>
      <c r="K8" s="445"/>
      <c r="L8" s="445"/>
      <c r="M8" s="446"/>
      <c r="N8" s="64"/>
      <c r="P8" s="24" t="s">
        <v>18</v>
      </c>
      <c r="Q8" s="402">
        <v>0.41666666666666669</v>
      </c>
      <c r="R8" s="403"/>
      <c r="T8" s="290"/>
      <c r="U8" s="299"/>
      <c r="V8" s="363"/>
      <c r="W8" s="364"/>
      <c r="AB8" s="51"/>
      <c r="AC8" s="51"/>
      <c r="AD8" s="51"/>
      <c r="AE8" s="51"/>
    </row>
    <row r="9" spans="1:32" s="275" customFormat="1" ht="39.950000000000003" customHeight="1" x14ac:dyDescent="0.2">
      <c r="A9" s="2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41"/>
      <c r="E9" s="342"/>
      <c r="F9" s="2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465" t="str">
        <f>IF(AND($A$9="Тип доверенности/получателя при получении в адресе перегруза:",$D$9="Разовая доверенность"),"Введите ФИО","")</f>
        <v/>
      </c>
      <c r="I9" s="342"/>
      <c r="J9" s="4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2"/>
      <c r="L9" s="342"/>
      <c r="M9" s="342"/>
      <c r="N9" s="276"/>
      <c r="P9" s="26" t="s">
        <v>19</v>
      </c>
      <c r="Q9" s="370"/>
      <c r="R9" s="331"/>
      <c r="T9" s="290"/>
      <c r="U9" s="299"/>
      <c r="V9" s="365"/>
      <c r="W9" s="366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2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41"/>
      <c r="E10" s="342"/>
      <c r="F10" s="2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68" t="str">
        <f>IFERROR(VLOOKUP($D$10,Proxy,2,FALSE),"")</f>
        <v/>
      </c>
      <c r="I10" s="290"/>
      <c r="J10" s="290"/>
      <c r="K10" s="290"/>
      <c r="L10" s="290"/>
      <c r="M10" s="290"/>
      <c r="N10" s="274"/>
      <c r="P10" s="26" t="s">
        <v>20</v>
      </c>
      <c r="Q10" s="407"/>
      <c r="R10" s="408"/>
      <c r="U10" s="24" t="s">
        <v>21</v>
      </c>
      <c r="V10" s="469" t="s">
        <v>22</v>
      </c>
      <c r="W10" s="362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71"/>
      <c r="R11" s="333"/>
      <c r="U11" s="24" t="s">
        <v>25</v>
      </c>
      <c r="V11" s="330" t="s">
        <v>26</v>
      </c>
      <c r="W11" s="331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91" t="s">
        <v>27</v>
      </c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09"/>
      <c r="N12" s="65"/>
      <c r="P12" s="24" t="s">
        <v>28</v>
      </c>
      <c r="Q12" s="402"/>
      <c r="R12" s="403"/>
      <c r="S12" s="23"/>
      <c r="U12" s="24"/>
      <c r="V12" s="305"/>
      <c r="W12" s="290"/>
      <c r="AB12" s="51"/>
      <c r="AC12" s="51"/>
      <c r="AD12" s="51"/>
      <c r="AE12" s="51"/>
    </row>
    <row r="13" spans="1:32" s="275" customFormat="1" ht="23.25" customHeight="1" x14ac:dyDescent="0.2">
      <c r="A13" s="391" t="s">
        <v>29</v>
      </c>
      <c r="B13" s="349"/>
      <c r="C13" s="349"/>
      <c r="D13" s="349"/>
      <c r="E13" s="349"/>
      <c r="F13" s="349"/>
      <c r="G13" s="349"/>
      <c r="H13" s="349"/>
      <c r="I13" s="349"/>
      <c r="J13" s="349"/>
      <c r="K13" s="349"/>
      <c r="L13" s="349"/>
      <c r="M13" s="309"/>
      <c r="N13" s="65"/>
      <c r="O13" s="26"/>
      <c r="P13" s="26" t="s">
        <v>30</v>
      </c>
      <c r="Q13" s="330"/>
      <c r="R13" s="3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91" t="s">
        <v>31</v>
      </c>
      <c r="B14" s="349"/>
      <c r="C14" s="349"/>
      <c r="D14" s="349"/>
      <c r="E14" s="349"/>
      <c r="F14" s="349"/>
      <c r="G14" s="349"/>
      <c r="H14" s="349"/>
      <c r="I14" s="349"/>
      <c r="J14" s="349"/>
      <c r="K14" s="349"/>
      <c r="L14" s="349"/>
      <c r="M14" s="30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3" t="s">
        <v>32</v>
      </c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09"/>
      <c r="N15" s="66"/>
      <c r="P15" s="452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3"/>
      <c r="Q16" s="453"/>
      <c r="R16" s="453"/>
      <c r="S16" s="453"/>
      <c r="T16" s="45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34</v>
      </c>
      <c r="B17" s="294" t="s">
        <v>35</v>
      </c>
      <c r="C17" s="418" t="s">
        <v>36</v>
      </c>
      <c r="D17" s="294" t="s">
        <v>37</v>
      </c>
      <c r="E17" s="295"/>
      <c r="F17" s="294" t="s">
        <v>38</v>
      </c>
      <c r="G17" s="294" t="s">
        <v>39</v>
      </c>
      <c r="H17" s="294" t="s">
        <v>40</v>
      </c>
      <c r="I17" s="294" t="s">
        <v>41</v>
      </c>
      <c r="J17" s="294" t="s">
        <v>42</v>
      </c>
      <c r="K17" s="294" t="s">
        <v>43</v>
      </c>
      <c r="L17" s="294" t="s">
        <v>44</v>
      </c>
      <c r="M17" s="294" t="s">
        <v>45</v>
      </c>
      <c r="N17" s="294" t="s">
        <v>46</v>
      </c>
      <c r="O17" s="294" t="s">
        <v>47</v>
      </c>
      <c r="P17" s="294" t="s">
        <v>48</v>
      </c>
      <c r="Q17" s="431"/>
      <c r="R17" s="431"/>
      <c r="S17" s="431"/>
      <c r="T17" s="295"/>
      <c r="U17" s="308" t="s">
        <v>49</v>
      </c>
      <c r="V17" s="309"/>
      <c r="W17" s="294" t="s">
        <v>50</v>
      </c>
      <c r="X17" s="294" t="s">
        <v>51</v>
      </c>
      <c r="Y17" s="310" t="s">
        <v>52</v>
      </c>
      <c r="Z17" s="315" t="s">
        <v>53</v>
      </c>
      <c r="AA17" s="320" t="s">
        <v>54</v>
      </c>
      <c r="AB17" s="320" t="s">
        <v>55</v>
      </c>
      <c r="AC17" s="320" t="s">
        <v>56</v>
      </c>
      <c r="AD17" s="320" t="s">
        <v>57</v>
      </c>
      <c r="AE17" s="321"/>
      <c r="AF17" s="322"/>
      <c r="AG17" s="69"/>
      <c r="BD17" s="68" t="s">
        <v>58</v>
      </c>
    </row>
    <row r="18" spans="1:68" ht="14.25" customHeight="1" x14ac:dyDescent="0.2">
      <c r="A18" s="303"/>
      <c r="B18" s="303"/>
      <c r="C18" s="303"/>
      <c r="D18" s="296"/>
      <c r="E18" s="297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296"/>
      <c r="Q18" s="432"/>
      <c r="R18" s="432"/>
      <c r="S18" s="432"/>
      <c r="T18" s="297"/>
      <c r="U18" s="70" t="s">
        <v>59</v>
      </c>
      <c r="V18" s="70" t="s">
        <v>60</v>
      </c>
      <c r="W18" s="303"/>
      <c r="X18" s="303"/>
      <c r="Y18" s="311"/>
      <c r="Z18" s="316"/>
      <c r="AA18" s="375"/>
      <c r="AB18" s="375"/>
      <c r="AC18" s="375"/>
      <c r="AD18" s="323"/>
      <c r="AE18" s="324"/>
      <c r="AF18" s="325"/>
      <c r="AG18" s="69"/>
      <c r="BD18" s="68"/>
    </row>
    <row r="19" spans="1:68" ht="27.75" hidden="1" customHeight="1" x14ac:dyDescent="0.2">
      <c r="A19" s="327" t="s">
        <v>61</v>
      </c>
      <c r="B19" s="328"/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  <c r="AA19" s="48"/>
      <c r="AB19" s="48"/>
      <c r="AC19" s="48"/>
    </row>
    <row r="20" spans="1:68" ht="16.5" hidden="1" customHeight="1" x14ac:dyDescent="0.25">
      <c r="A20" s="307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291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1"/>
      <c r="R22" s="301"/>
      <c r="S22" s="301"/>
      <c r="T22" s="302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1"/>
      <c r="R23" s="301"/>
      <c r="S23" s="301"/>
      <c r="T23" s="302"/>
      <c r="U23" s="34"/>
      <c r="V23" s="34"/>
      <c r="W23" s="35" t="s">
        <v>68</v>
      </c>
      <c r="X23" s="278">
        <v>36</v>
      </c>
      <c r="Y23" s="279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7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1"/>
      <c r="R24" s="301"/>
      <c r="S24" s="301"/>
      <c r="T24" s="302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4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1"/>
      <c r="R25" s="301"/>
      <c r="S25" s="301"/>
      <c r="T25" s="302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47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1"/>
      <c r="R26" s="301"/>
      <c r="S26" s="301"/>
      <c r="T26" s="302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1"/>
      <c r="R27" s="301"/>
      <c r="S27" s="301"/>
      <c r="T27" s="302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1"/>
      <c r="R28" s="301"/>
      <c r="S28" s="301"/>
      <c r="T28" s="302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1"/>
      <c r="R29" s="301"/>
      <c r="S29" s="301"/>
      <c r="T29" s="302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3"/>
      <c r="P30" s="306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3"/>
      <c r="P31" s="306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80">
        <f>IFERROR(SUMPRODUCT(X22:X29*H22:H29),"0")</f>
        <v>384.00000000000006</v>
      </c>
      <c r="Y31" s="280">
        <f>IFERROR(SUMPRODUCT(Y22:Y29*H22:H29),"0")</f>
        <v>384.00000000000006</v>
      </c>
      <c r="Z31" s="37"/>
      <c r="AA31" s="281"/>
      <c r="AB31" s="281"/>
      <c r="AC31" s="281"/>
    </row>
    <row r="32" spans="1:68" ht="16.5" hidden="1" customHeight="1" x14ac:dyDescent="0.25">
      <c r="A32" s="307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291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7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1"/>
      <c r="R34" s="301"/>
      <c r="S34" s="301"/>
      <c r="T34" s="302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6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1"/>
      <c r="R35" s="301"/>
      <c r="S35" s="301"/>
      <c r="T35" s="302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2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3"/>
      <c r="P36" s="306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3"/>
      <c r="P37" s="306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27" t="s">
        <v>95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  <c r="AA38" s="48"/>
      <c r="AB38" s="48"/>
      <c r="AC38" s="48"/>
    </row>
    <row r="39" spans="1:68" ht="16.5" hidden="1" customHeight="1" x14ac:dyDescent="0.25">
      <c r="A39" s="307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291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1"/>
      <c r="R41" s="301"/>
      <c r="S41" s="301"/>
      <c r="T41" s="302"/>
      <c r="U41" s="34"/>
      <c r="V41" s="34"/>
      <c r="W41" s="35" t="s">
        <v>68</v>
      </c>
      <c r="X41" s="278">
        <v>98</v>
      </c>
      <c r="Y41" s="279">
        <f>IFERROR(IF(X41="","",X41),"")</f>
        <v>98</v>
      </c>
      <c r="Z41" s="36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3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1"/>
      <c r="R42" s="301"/>
      <c r="S42" s="301"/>
      <c r="T42" s="302"/>
      <c r="U42" s="34"/>
      <c r="V42" s="34"/>
      <c r="W42" s="35" t="s">
        <v>68</v>
      </c>
      <c r="X42" s="278">
        <v>168</v>
      </c>
      <c r="Y42" s="279">
        <f>IFERROR(IF(X42="","",X42),"")</f>
        <v>168</v>
      </c>
      <c r="Z42" s="36">
        <f>IFERROR(IF(X42="","",X42*0.00941),"")</f>
        <v>1.5808800000000001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322.86239999999998</v>
      </c>
      <c r="BN42" s="67">
        <f>IFERROR(Y42*I42,"0")</f>
        <v>322.86239999999998</v>
      </c>
      <c r="BO42" s="67">
        <f>IFERROR(X42/J42,"0")</f>
        <v>1.2</v>
      </c>
      <c r="BP42" s="67">
        <f>IFERROR(Y42/J42,"0")</f>
        <v>1.2</v>
      </c>
    </row>
    <row r="43" spans="1:68" x14ac:dyDescent="0.2">
      <c r="A43" s="292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3"/>
      <c r="P43" s="306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80">
        <f>IFERROR(SUM(X41:X42),"0")</f>
        <v>266</v>
      </c>
      <c r="Y43" s="280">
        <f>IFERROR(SUM(Y41:Y42),"0")</f>
        <v>266</v>
      </c>
      <c r="Z43" s="280">
        <f>IFERROR(IF(Z41="",0,Z41),"0")+IFERROR(IF(Z42="",0,Z42),"0")</f>
        <v>2.5030600000000001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3"/>
      <c r="P44" s="306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80">
        <f>IFERROR(SUMPRODUCT(X41:X42*H41:H42),"0")</f>
        <v>399</v>
      </c>
      <c r="Y44" s="280">
        <f>IFERROR(SUMPRODUCT(Y41:Y42*H41:H42),"0")</f>
        <v>399</v>
      </c>
      <c r="Z44" s="37"/>
      <c r="AA44" s="281"/>
      <c r="AB44" s="281"/>
      <c r="AC44" s="281"/>
    </row>
    <row r="45" spans="1:68" ht="16.5" hidden="1" customHeight="1" x14ac:dyDescent="0.25">
      <c r="A45" s="307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291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2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1"/>
      <c r="R47" s="301"/>
      <c r="S47" s="301"/>
      <c r="T47" s="302"/>
      <c r="U47" s="34"/>
      <c r="V47" s="34"/>
      <c r="W47" s="35" t="s">
        <v>68</v>
      </c>
      <c r="X47" s="278">
        <v>72</v>
      </c>
      <c r="Y47" s="279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9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1"/>
      <c r="R48" s="301"/>
      <c r="S48" s="301"/>
      <c r="T48" s="302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92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3"/>
      <c r="P49" s="306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80">
        <f>IFERROR(SUM(X47:X48),"0")</f>
        <v>72</v>
      </c>
      <c r="Y49" s="280">
        <f>IFERROR(SUM(Y47:Y48),"0")</f>
        <v>72</v>
      </c>
      <c r="Z49" s="280">
        <f>IFERROR(IF(Z47="",0,Z47),"0")+IFERROR(IF(Z48="",0,Z48),"0")</f>
        <v>1.1160000000000001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3"/>
      <c r="P50" s="306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80">
        <f>IFERROR(SUMPRODUCT(X47:X48*H47:H48),"0")</f>
        <v>403.2</v>
      </c>
      <c r="Y50" s="280">
        <f>IFERROR(SUMPRODUCT(Y47:Y48*H47:H48),"0")</f>
        <v>403.2</v>
      </c>
      <c r="Z50" s="37"/>
      <c r="AA50" s="281"/>
      <c r="AB50" s="281"/>
      <c r="AC50" s="281"/>
    </row>
    <row r="51" spans="1:68" ht="16.5" hidden="1" customHeight="1" x14ac:dyDescent="0.25">
      <c r="A51" s="307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291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2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1"/>
      <c r="R53" s="301"/>
      <c r="S53" s="301"/>
      <c r="T53" s="302"/>
      <c r="U53" s="34"/>
      <c r="V53" s="34"/>
      <c r="W53" s="35" t="s">
        <v>68</v>
      </c>
      <c r="X53" s="278">
        <v>0</v>
      </c>
      <c r="Y53" s="27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4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1"/>
      <c r="R54" s="301"/>
      <c r="S54" s="301"/>
      <c r="T54" s="302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2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1"/>
      <c r="R55" s="301"/>
      <c r="S55" s="301"/>
      <c r="T55" s="302"/>
      <c r="U55" s="34"/>
      <c r="V55" s="34"/>
      <c r="W55" s="35" t="s">
        <v>68</v>
      </c>
      <c r="X55" s="278">
        <v>24</v>
      </c>
      <c r="Y55" s="27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161.2704</v>
      </c>
      <c r="BN55" s="67">
        <f>IFERROR(Y55*I55,"0")</f>
        <v>161.2704</v>
      </c>
      <c r="BO55" s="67">
        <f>IFERROR(X55/J55,"0")</f>
        <v>0.2857142857142857</v>
      </c>
      <c r="BP55" s="67">
        <f>IFERROR(Y55/J55,"0")</f>
        <v>0.2857142857142857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1"/>
      <c r="R56" s="301"/>
      <c r="S56" s="301"/>
      <c r="T56" s="302"/>
      <c r="U56" s="34"/>
      <c r="V56" s="34"/>
      <c r="W56" s="35" t="s">
        <v>68</v>
      </c>
      <c r="X56" s="278">
        <v>96</v>
      </c>
      <c r="Y56" s="279">
        <f>IFERROR(IF(X56="","",X56),"")</f>
        <v>96</v>
      </c>
      <c r="Z56" s="36">
        <f>IFERROR(IF(X56="","",X56*0.0155),"")</f>
        <v>1.488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700.8</v>
      </c>
      <c r="BN56" s="67">
        <f>IFERROR(Y56*I56,"0")</f>
        <v>700.8</v>
      </c>
      <c r="BO56" s="67">
        <f>IFERROR(X56/J56,"0")</f>
        <v>1.1428571428571428</v>
      </c>
      <c r="BP56" s="67">
        <f>IFERROR(Y56/J56,"0")</f>
        <v>1.1428571428571428</v>
      </c>
    </row>
    <row r="57" spans="1:68" x14ac:dyDescent="0.2">
      <c r="A57" s="292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3"/>
      <c r="P57" s="306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80">
        <f>IFERROR(SUM(X53:X56),"0")</f>
        <v>120</v>
      </c>
      <c r="Y57" s="280">
        <f>IFERROR(SUM(Y53:Y56),"0")</f>
        <v>120</v>
      </c>
      <c r="Z57" s="280">
        <f>IFERROR(IF(Z53="",0,Z53),"0")+IFERROR(IF(Z54="",0,Z54),"0")+IFERROR(IF(Z55="",0,Z55),"0")+IFERROR(IF(Z56="",0,Z56),"0")</f>
        <v>1.8599999999999999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3"/>
      <c r="P58" s="306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80">
        <f>IFERROR(SUMPRODUCT(X53:X56*H53:H56),"0")</f>
        <v>825.6</v>
      </c>
      <c r="Y58" s="280">
        <f>IFERROR(SUMPRODUCT(Y53:Y56*H53:H56),"0")</f>
        <v>825.6</v>
      </c>
      <c r="Z58" s="37"/>
      <c r="AA58" s="281"/>
      <c r="AB58" s="281"/>
      <c r="AC58" s="281"/>
    </row>
    <row r="59" spans="1:68" ht="16.5" hidden="1" customHeight="1" x14ac:dyDescent="0.25">
      <c r="A59" s="307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291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8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1"/>
      <c r="R61" s="301"/>
      <c r="S61" s="301"/>
      <c r="T61" s="302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2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3"/>
      <c r="P62" s="306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3"/>
      <c r="P63" s="306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291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33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01"/>
      <c r="R65" s="301"/>
      <c r="S65" s="301"/>
      <c r="T65" s="302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2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3"/>
      <c r="P66" s="306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0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3"/>
      <c r="P67" s="306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291" t="s">
        <v>133</v>
      </c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40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01"/>
      <c r="R69" s="301"/>
      <c r="S69" s="301"/>
      <c r="T69" s="302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3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01"/>
      <c r="R70" s="301"/>
      <c r="S70" s="301"/>
      <c r="T70" s="302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0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01"/>
      <c r="R71" s="301"/>
      <c r="S71" s="301"/>
      <c r="T71" s="302"/>
      <c r="U71" s="34"/>
      <c r="V71" s="34"/>
      <c r="W71" s="35" t="s">
        <v>68</v>
      </c>
      <c r="X71" s="278">
        <v>70</v>
      </c>
      <c r="Y71" s="279">
        <f>IFERROR(IF(X71="","",X71),"")</f>
        <v>70</v>
      </c>
      <c r="Z71" s="36">
        <f>IFERROR(IF(X71="","",X71*0.00941),"")</f>
        <v>0.65869999999999995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109.2</v>
      </c>
      <c r="BN71" s="67">
        <f>IFERROR(Y71*I71,"0")</f>
        <v>109.2</v>
      </c>
      <c r="BO71" s="67">
        <f>IFERROR(X71/J71,"0")</f>
        <v>0.5</v>
      </c>
      <c r="BP71" s="67">
        <f>IFERROR(Y71/J71,"0")</f>
        <v>0.5</v>
      </c>
    </row>
    <row r="72" spans="1:68" x14ac:dyDescent="0.2">
      <c r="A72" s="292"/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3"/>
      <c r="P72" s="306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80">
        <f>IFERROR(SUM(X69:X71),"0")</f>
        <v>70</v>
      </c>
      <c r="Y72" s="280">
        <f>IFERROR(SUM(Y69:Y71),"0")</f>
        <v>70</v>
      </c>
      <c r="Z72" s="280">
        <f>IFERROR(IF(Z69="",0,Z69),"0")+IFERROR(IF(Z70="",0,Z70),"0")+IFERROR(IF(Z71="",0,Z71),"0")</f>
        <v>0.65869999999999995</v>
      </c>
      <c r="AA72" s="281"/>
      <c r="AB72" s="281"/>
      <c r="AC72" s="281"/>
    </row>
    <row r="73" spans="1:68" x14ac:dyDescent="0.2">
      <c r="A73" s="290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3"/>
      <c r="P73" s="306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80">
        <f>IFERROR(SUMPRODUCT(X69:X71*H69:H71),"0")</f>
        <v>84</v>
      </c>
      <c r="Y73" s="280">
        <f>IFERROR(SUMPRODUCT(Y69:Y71*H69:H71),"0")</f>
        <v>84</v>
      </c>
      <c r="Z73" s="37"/>
      <c r="AA73" s="281"/>
      <c r="AB73" s="281"/>
      <c r="AC73" s="281"/>
    </row>
    <row r="74" spans="1:68" ht="16.5" hidden="1" customHeight="1" x14ac:dyDescent="0.25">
      <c r="A74" s="307" t="s">
        <v>141</v>
      </c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  <c r="AA74" s="273"/>
      <c r="AB74" s="273"/>
      <c r="AC74" s="273"/>
    </row>
    <row r="75" spans="1:68" ht="14.25" hidden="1" customHeight="1" x14ac:dyDescent="0.25">
      <c r="A75" s="291" t="s">
        <v>62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9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01"/>
      <c r="R76" s="301"/>
      <c r="S76" s="301"/>
      <c r="T76" s="302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01"/>
      <c r="R77" s="301"/>
      <c r="S77" s="301"/>
      <c r="T77" s="302"/>
      <c r="U77" s="34"/>
      <c r="V77" s="34"/>
      <c r="W77" s="35" t="s">
        <v>68</v>
      </c>
      <c r="X77" s="278">
        <v>84</v>
      </c>
      <c r="Y77" s="279">
        <f>IFERROR(IF(X77="","",X77),"")</f>
        <v>84</v>
      </c>
      <c r="Z77" s="36">
        <f>IFERROR(IF(X77="","",X77*0.00866),"")</f>
        <v>0.72743999999999998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437.90879999999999</v>
      </c>
      <c r="BN77" s="67">
        <f>IFERROR(Y77*I77,"0")</f>
        <v>437.90879999999999</v>
      </c>
      <c r="BO77" s="67">
        <f>IFERROR(X77/J77,"0")</f>
        <v>0.58333333333333337</v>
      </c>
      <c r="BP77" s="67">
        <f>IFERROR(Y77/J77,"0")</f>
        <v>0.58333333333333337</v>
      </c>
    </row>
    <row r="78" spans="1:68" x14ac:dyDescent="0.2">
      <c r="A78" s="292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3"/>
      <c r="P78" s="306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80">
        <f>IFERROR(SUM(X76:X77),"0")</f>
        <v>84</v>
      </c>
      <c r="Y78" s="280">
        <f>IFERROR(SUM(Y76:Y77),"0")</f>
        <v>84</v>
      </c>
      <c r="Z78" s="280">
        <f>IFERROR(IF(Z76="",0,Z76),"0")+IFERROR(IF(Z77="",0,Z77),"0")</f>
        <v>0.72743999999999998</v>
      </c>
      <c r="AA78" s="281"/>
      <c r="AB78" s="281"/>
      <c r="AC78" s="281"/>
    </row>
    <row r="79" spans="1:68" x14ac:dyDescent="0.2">
      <c r="A79" s="290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3"/>
      <c r="P79" s="306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80">
        <f>IFERROR(SUMPRODUCT(X76:X77*H76:H77),"0")</f>
        <v>420</v>
      </c>
      <c r="Y79" s="280">
        <f>IFERROR(SUMPRODUCT(Y76:Y77*H76:H77),"0")</f>
        <v>420</v>
      </c>
      <c r="Z79" s="37"/>
      <c r="AA79" s="281"/>
      <c r="AB79" s="281"/>
      <c r="AC79" s="281"/>
    </row>
    <row r="80" spans="1:68" ht="16.5" hidden="1" customHeight="1" x14ac:dyDescent="0.25">
      <c r="A80" s="307" t="s">
        <v>148</v>
      </c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73"/>
      <c r="AB80" s="273"/>
      <c r="AC80" s="273"/>
    </row>
    <row r="81" spans="1:68" ht="14.25" hidden="1" customHeight="1" x14ac:dyDescent="0.25">
      <c r="A81" s="291" t="s">
        <v>133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329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01"/>
      <c r="R82" s="301"/>
      <c r="S82" s="301"/>
      <c r="T82" s="302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92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3"/>
      <c r="P83" s="306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90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3"/>
      <c r="P84" s="306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307" t="s">
        <v>152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3"/>
      <c r="AB85" s="273"/>
      <c r="AC85" s="273"/>
    </row>
    <row r="86" spans="1:68" ht="14.25" hidden="1" customHeight="1" x14ac:dyDescent="0.25">
      <c r="A86" s="291" t="s">
        <v>153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41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01"/>
      <c r="R87" s="301"/>
      <c r="S87" s="301"/>
      <c r="T87" s="302"/>
      <c r="U87" s="34"/>
      <c r="V87" s="34"/>
      <c r="W87" s="35" t="s">
        <v>68</v>
      </c>
      <c r="X87" s="278">
        <v>28</v>
      </c>
      <c r="Y87" s="279">
        <f>IFERROR(IF(X87="","",X87),"")</f>
        <v>28</v>
      </c>
      <c r="Z87" s="36">
        <f>IFERROR(IF(X87="","",X87*0.01788),"")</f>
        <v>0.50063999999999997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120.50080000000001</v>
      </c>
      <c r="BN87" s="67">
        <f>IFERROR(Y87*I87,"0")</f>
        <v>120.50080000000001</v>
      </c>
      <c r="BO87" s="67">
        <f>IFERROR(X87/J87,"0")</f>
        <v>0.4</v>
      </c>
      <c r="BP87" s="67">
        <f>IFERROR(Y87/J87,"0")</f>
        <v>0.4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41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01"/>
      <c r="R88" s="301"/>
      <c r="S88" s="301"/>
      <c r="T88" s="302"/>
      <c r="U88" s="34"/>
      <c r="V88" s="34"/>
      <c r="W88" s="35" t="s">
        <v>68</v>
      </c>
      <c r="X88" s="278">
        <v>28</v>
      </c>
      <c r="Y88" s="279">
        <f>IFERROR(IF(X88="","",X88),"")</f>
        <v>28</v>
      </c>
      <c r="Z88" s="36">
        <f>IFERROR(IF(X88="","",X88*0.01788),"")</f>
        <v>0.50063999999999997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x14ac:dyDescent="0.2">
      <c r="A89" s="292"/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3"/>
      <c r="P89" s="306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80">
        <f>IFERROR(SUM(X87:X88),"0")</f>
        <v>56</v>
      </c>
      <c r="Y89" s="280">
        <f>IFERROR(SUM(Y87:Y88),"0")</f>
        <v>56</v>
      </c>
      <c r="Z89" s="280">
        <f>IFERROR(IF(Z87="",0,Z87),"0")+IFERROR(IF(Z88="",0,Z88),"0")</f>
        <v>1.0012799999999999</v>
      </c>
      <c r="AA89" s="281"/>
      <c r="AB89" s="281"/>
      <c r="AC89" s="281"/>
    </row>
    <row r="90" spans="1:68" x14ac:dyDescent="0.2">
      <c r="A90" s="290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3"/>
      <c r="P90" s="306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80">
        <f>IFERROR(SUMPRODUCT(X87:X88*H87:H88),"0")</f>
        <v>201.6</v>
      </c>
      <c r="Y90" s="280">
        <f>IFERROR(SUMPRODUCT(Y87:Y88*H87:H88),"0")</f>
        <v>201.6</v>
      </c>
      <c r="Z90" s="37"/>
      <c r="AA90" s="281"/>
      <c r="AB90" s="281"/>
      <c r="AC90" s="281"/>
    </row>
    <row r="91" spans="1:68" ht="16.5" hidden="1" customHeight="1" x14ac:dyDescent="0.25">
      <c r="A91" s="307" t="s">
        <v>160</v>
      </c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0"/>
      <c r="U91" s="290"/>
      <c r="V91" s="290"/>
      <c r="W91" s="290"/>
      <c r="X91" s="290"/>
      <c r="Y91" s="290"/>
      <c r="Z91" s="290"/>
      <c r="AA91" s="273"/>
      <c r="AB91" s="273"/>
      <c r="AC91" s="273"/>
    </row>
    <row r="92" spans="1:68" ht="14.25" hidden="1" customHeight="1" x14ac:dyDescent="0.25">
      <c r="A92" s="291" t="s">
        <v>133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01"/>
      <c r="R93" s="301"/>
      <c r="S93" s="301"/>
      <c r="T93" s="302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44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01"/>
      <c r="R94" s="301"/>
      <c r="S94" s="301"/>
      <c r="T94" s="302"/>
      <c r="U94" s="34"/>
      <c r="V94" s="34"/>
      <c r="W94" s="35" t="s">
        <v>68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44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01"/>
      <c r="R95" s="301"/>
      <c r="S95" s="301"/>
      <c r="T95" s="302"/>
      <c r="U95" s="34"/>
      <c r="V95" s="34"/>
      <c r="W95" s="35" t="s">
        <v>68</v>
      </c>
      <c r="X95" s="278">
        <v>98</v>
      </c>
      <c r="Y95" s="279">
        <f t="shared" si="6"/>
        <v>98</v>
      </c>
      <c r="Z95" s="36">
        <f t="shared" si="7"/>
        <v>1.75224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351.19280000000003</v>
      </c>
      <c r="BN95" s="67">
        <f t="shared" si="9"/>
        <v>351.19280000000003</v>
      </c>
      <c r="BO95" s="67">
        <f t="shared" si="10"/>
        <v>1.4</v>
      </c>
      <c r="BP95" s="67">
        <f t="shared" si="11"/>
        <v>1.4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67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01"/>
      <c r="R96" s="301"/>
      <c r="S96" s="301"/>
      <c r="T96" s="302"/>
      <c r="U96" s="34"/>
      <c r="V96" s="34"/>
      <c r="W96" s="35" t="s">
        <v>68</v>
      </c>
      <c r="X96" s="278">
        <v>112</v>
      </c>
      <c r="Y96" s="279">
        <f t="shared" si="6"/>
        <v>112</v>
      </c>
      <c r="Z96" s="36">
        <f t="shared" si="7"/>
        <v>2.0025599999999999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401.36320000000001</v>
      </c>
      <c r="BN96" s="67">
        <f t="shared" si="9"/>
        <v>401.36320000000001</v>
      </c>
      <c r="BO96" s="67">
        <f t="shared" si="10"/>
        <v>1.6</v>
      </c>
      <c r="BP96" s="67">
        <f t="shared" si="11"/>
        <v>1.6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45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01"/>
      <c r="R97" s="301"/>
      <c r="S97" s="301"/>
      <c r="T97" s="302"/>
      <c r="U97" s="34"/>
      <c r="V97" s="34"/>
      <c r="W97" s="35" t="s">
        <v>68</v>
      </c>
      <c r="X97" s="278">
        <v>42</v>
      </c>
      <c r="Y97" s="279">
        <f t="shared" si="6"/>
        <v>42</v>
      </c>
      <c r="Z97" s="36">
        <f t="shared" si="7"/>
        <v>0.75095999999999996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186.84960000000001</v>
      </c>
      <c r="BN97" s="67">
        <f t="shared" si="9"/>
        <v>186.84960000000001</v>
      </c>
      <c r="BO97" s="67">
        <f t="shared" si="10"/>
        <v>0.6</v>
      </c>
      <c r="BP97" s="67">
        <f t="shared" si="11"/>
        <v>0.6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351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01"/>
      <c r="R98" s="301"/>
      <c r="S98" s="301"/>
      <c r="T98" s="302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92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3"/>
      <c r="P99" s="306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80">
        <f>IFERROR(SUM(X93:X98),"0")</f>
        <v>252</v>
      </c>
      <c r="Y99" s="280">
        <f>IFERROR(SUM(Y93:Y98),"0")</f>
        <v>252</v>
      </c>
      <c r="Z99" s="280">
        <f>IFERROR(IF(Z93="",0,Z93),"0")+IFERROR(IF(Z94="",0,Z94),"0")+IFERROR(IF(Z95="",0,Z95),"0")+IFERROR(IF(Z96="",0,Z96),"0")+IFERROR(IF(Z97="",0,Z97),"0")+IFERROR(IF(Z98="",0,Z98),"0")</f>
        <v>4.5057599999999995</v>
      </c>
      <c r="AA99" s="281"/>
      <c r="AB99" s="281"/>
      <c r="AC99" s="281"/>
    </row>
    <row r="100" spans="1:68" x14ac:dyDescent="0.2">
      <c r="A100" s="290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3"/>
      <c r="P100" s="306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80">
        <f>IFERROR(SUMPRODUCT(X93:X98*H93:H98),"0")</f>
        <v>766.07999999999993</v>
      </c>
      <c r="Y100" s="280">
        <f>IFERROR(SUMPRODUCT(Y93:Y98*H93:H98),"0")</f>
        <v>766.07999999999993</v>
      </c>
      <c r="Z100" s="37"/>
      <c r="AA100" s="281"/>
      <c r="AB100" s="281"/>
      <c r="AC100" s="281"/>
    </row>
    <row r="101" spans="1:68" ht="16.5" hidden="1" customHeight="1" x14ac:dyDescent="0.25">
      <c r="A101" s="307" t="s">
        <v>175</v>
      </c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73"/>
      <c r="AB101" s="273"/>
      <c r="AC101" s="273"/>
    </row>
    <row r="102" spans="1:68" ht="14.25" hidden="1" customHeight="1" x14ac:dyDescent="0.25">
      <c r="A102" s="291" t="s">
        <v>129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45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01"/>
      <c r="R103" s="301"/>
      <c r="S103" s="301"/>
      <c r="T103" s="302"/>
      <c r="U103" s="34"/>
      <c r="V103" s="34"/>
      <c r="W103" s="35" t="s">
        <v>68</v>
      </c>
      <c r="X103" s="278">
        <v>14</v>
      </c>
      <c r="Y103" s="279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01"/>
      <c r="R104" s="301"/>
      <c r="S104" s="301"/>
      <c r="T104" s="302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92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3"/>
      <c r="P105" s="306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80">
        <f>IFERROR(SUM(X103:X104),"0")</f>
        <v>14</v>
      </c>
      <c r="Y105" s="280">
        <f>IFERROR(SUM(Y103:Y104),"0")</f>
        <v>14</v>
      </c>
      <c r="Z105" s="280">
        <f>IFERROR(IF(Z103="",0,Z103),"0")+IFERROR(IF(Z104="",0,Z104),"0")</f>
        <v>0.13103999999999999</v>
      </c>
      <c r="AA105" s="281"/>
      <c r="AB105" s="281"/>
      <c r="AC105" s="281"/>
    </row>
    <row r="106" spans="1:68" x14ac:dyDescent="0.2">
      <c r="A106" s="290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3"/>
      <c r="P106" s="306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80">
        <f>IFERROR(SUMPRODUCT(X103:X104*H103:H104),"0")</f>
        <v>30.240000000000002</v>
      </c>
      <c r="Y106" s="280">
        <f>IFERROR(SUMPRODUCT(Y103:Y104*H103:H104),"0")</f>
        <v>30.240000000000002</v>
      </c>
      <c r="Z106" s="37"/>
      <c r="AA106" s="281"/>
      <c r="AB106" s="281"/>
      <c r="AC106" s="281"/>
    </row>
    <row r="107" spans="1:68" ht="16.5" hidden="1" customHeight="1" x14ac:dyDescent="0.25">
      <c r="A107" s="307" t="s">
        <v>181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73"/>
      <c r="AB107" s="273"/>
      <c r="AC107" s="273"/>
    </row>
    <row r="108" spans="1:68" ht="14.25" hidden="1" customHeight="1" x14ac:dyDescent="0.25">
      <c r="A108" s="291" t="s">
        <v>62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36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01"/>
      <c r="R109" s="301"/>
      <c r="S109" s="301"/>
      <c r="T109" s="302"/>
      <c r="U109" s="34"/>
      <c r="V109" s="34"/>
      <c r="W109" s="35" t="s">
        <v>68</v>
      </c>
      <c r="X109" s="278">
        <v>60</v>
      </c>
      <c r="Y109" s="279">
        <f t="shared" ref="Y109:Y115" si="12">IFERROR(IF(X109="","",X109),"")</f>
        <v>60</v>
      </c>
      <c r="Z109" s="36">
        <f t="shared" ref="Z109:Z115" si="13">IFERROR(IF(X109="","",X109*0.0155),"")</f>
        <v>0.92999999999999994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436.8</v>
      </c>
      <c r="BN109" s="67">
        <f t="shared" ref="BN109:BN115" si="15">IFERROR(Y109*I109,"0")</f>
        <v>436.8</v>
      </c>
      <c r="BO109" s="67">
        <f t="shared" ref="BO109:BO115" si="16">IFERROR(X109/J109,"0")</f>
        <v>0.7142857142857143</v>
      </c>
      <c r="BP109" s="67">
        <f t="shared" ref="BP109:BP115" si="17">IFERROR(Y109/J109,"0")</f>
        <v>0.7142857142857143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31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01"/>
      <c r="R110" s="301"/>
      <c r="S110" s="301"/>
      <c r="T110" s="302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01"/>
      <c r="R111" s="301"/>
      <c r="S111" s="301"/>
      <c r="T111" s="302"/>
      <c r="U111" s="34"/>
      <c r="V111" s="34"/>
      <c r="W111" s="35" t="s">
        <v>68</v>
      </c>
      <c r="X111" s="278">
        <v>36</v>
      </c>
      <c r="Y111" s="279">
        <f t="shared" si="12"/>
        <v>36</v>
      </c>
      <c r="Z111" s="36">
        <f t="shared" si="13"/>
        <v>0.55800000000000005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241.90559999999999</v>
      </c>
      <c r="BN111" s="67">
        <f t="shared" si="15"/>
        <v>241.90559999999999</v>
      </c>
      <c r="BO111" s="67">
        <f t="shared" si="16"/>
        <v>0.42857142857142855</v>
      </c>
      <c r="BP111" s="67">
        <f t="shared" si="17"/>
        <v>0.42857142857142855</v>
      </c>
    </row>
    <row r="112" spans="1:68" ht="27" hidden="1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37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01"/>
      <c r="R112" s="301"/>
      <c r="S112" s="301"/>
      <c r="T112" s="302"/>
      <c r="U112" s="34"/>
      <c r="V112" s="34"/>
      <c r="W112" s="35" t="s">
        <v>68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3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01"/>
      <c r="R113" s="301"/>
      <c r="S113" s="301"/>
      <c r="T113" s="302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82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01"/>
      <c r="R114" s="301"/>
      <c r="S114" s="301"/>
      <c r="T114" s="302"/>
      <c r="U114" s="34"/>
      <c r="V114" s="34"/>
      <c r="W114" s="35" t="s">
        <v>68</v>
      </c>
      <c r="X114" s="278">
        <v>0</v>
      </c>
      <c r="Y114" s="279">
        <f t="shared" si="12"/>
        <v>0</v>
      </c>
      <c r="Z114" s="36">
        <f t="shared" si="13"/>
        <v>0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01"/>
      <c r="R115" s="301"/>
      <c r="S115" s="301"/>
      <c r="T115" s="302"/>
      <c r="U115" s="34"/>
      <c r="V115" s="34"/>
      <c r="W115" s="35" t="s">
        <v>68</v>
      </c>
      <c r="X115" s="278">
        <v>36</v>
      </c>
      <c r="Y115" s="279">
        <f t="shared" si="12"/>
        <v>36</v>
      </c>
      <c r="Z115" s="36">
        <f t="shared" si="13"/>
        <v>0.55800000000000005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262.8</v>
      </c>
      <c r="BN115" s="67">
        <f t="shared" si="15"/>
        <v>262.8</v>
      </c>
      <c r="BO115" s="67">
        <f t="shared" si="16"/>
        <v>0.42857142857142855</v>
      </c>
      <c r="BP115" s="67">
        <f t="shared" si="17"/>
        <v>0.42857142857142855</v>
      </c>
    </row>
    <row r="116" spans="1:68" x14ac:dyDescent="0.2">
      <c r="A116" s="292"/>
      <c r="B116" s="290"/>
      <c r="C116" s="290"/>
      <c r="D116" s="290"/>
      <c r="E116" s="290"/>
      <c r="F116" s="290"/>
      <c r="G116" s="290"/>
      <c r="H116" s="290"/>
      <c r="I116" s="290"/>
      <c r="J116" s="290"/>
      <c r="K116" s="290"/>
      <c r="L116" s="290"/>
      <c r="M116" s="290"/>
      <c r="N116" s="290"/>
      <c r="O116" s="293"/>
      <c r="P116" s="306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80">
        <f>IFERROR(SUM(X109:X115),"0")</f>
        <v>132</v>
      </c>
      <c r="Y116" s="280">
        <f>IFERROR(SUM(Y109:Y115),"0")</f>
        <v>132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2.0460000000000003</v>
      </c>
      <c r="AA116" s="281"/>
      <c r="AB116" s="281"/>
      <c r="AC116" s="281"/>
    </row>
    <row r="117" spans="1:68" x14ac:dyDescent="0.2">
      <c r="A117" s="290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3"/>
      <c r="P117" s="306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80">
        <f>IFERROR(SUMPRODUCT(X109:X115*H109:H115),"0")</f>
        <v>902.4</v>
      </c>
      <c r="Y117" s="280">
        <f>IFERROR(SUMPRODUCT(Y109:Y115*H109:H115),"0")</f>
        <v>902.4</v>
      </c>
      <c r="Z117" s="37"/>
      <c r="AA117" s="281"/>
      <c r="AB117" s="281"/>
      <c r="AC117" s="281"/>
    </row>
    <row r="118" spans="1:68" ht="14.25" hidden="1" customHeight="1" x14ac:dyDescent="0.25">
      <c r="A118" s="291" t="s">
        <v>133</v>
      </c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290"/>
      <c r="W118" s="290"/>
      <c r="X118" s="290"/>
      <c r="Y118" s="290"/>
      <c r="Z118" s="290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01"/>
      <c r="R119" s="301"/>
      <c r="S119" s="301"/>
      <c r="T119" s="302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2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3"/>
      <c r="P120" s="306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3"/>
      <c r="P121" s="306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291" t="s">
        <v>203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3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01"/>
      <c r="R123" s="301"/>
      <c r="S123" s="301"/>
      <c r="T123" s="302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2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3"/>
      <c r="P124" s="306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3"/>
      <c r="P125" s="306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307" t="s">
        <v>207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3"/>
      <c r="AB126" s="273"/>
      <c r="AC126" s="273"/>
    </row>
    <row r="127" spans="1:68" ht="14.25" hidden="1" customHeight="1" x14ac:dyDescent="0.25">
      <c r="A127" s="291" t="s">
        <v>62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35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301"/>
      <c r="R128" s="301"/>
      <c r="S128" s="301"/>
      <c r="T128" s="302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3"/>
      <c r="P129" s="306" t="s">
        <v>87</v>
      </c>
      <c r="Q129" s="283"/>
      <c r="R129" s="283"/>
      <c r="S129" s="283"/>
      <c r="T129" s="283"/>
      <c r="U129" s="283"/>
      <c r="V129" s="284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3"/>
      <c r="P130" s="306" t="s">
        <v>87</v>
      </c>
      <c r="Q130" s="283"/>
      <c r="R130" s="283"/>
      <c r="S130" s="283"/>
      <c r="T130" s="283"/>
      <c r="U130" s="283"/>
      <c r="V130" s="284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291" t="s">
        <v>133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8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301"/>
      <c r="R132" s="301"/>
      <c r="S132" s="301"/>
      <c r="T132" s="302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33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301"/>
      <c r="R133" s="301"/>
      <c r="S133" s="301"/>
      <c r="T133" s="302"/>
      <c r="U133" s="34"/>
      <c r="V133" s="34"/>
      <c r="W133" s="35" t="s">
        <v>68</v>
      </c>
      <c r="X133" s="278">
        <v>42</v>
      </c>
      <c r="Y133" s="279">
        <f>IFERROR(IF(X133="","",X133),"")</f>
        <v>42</v>
      </c>
      <c r="Z133" s="36">
        <f>IFERROR(IF(X133="","",X133*0.00941),"")</f>
        <v>0.39522000000000002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75.600000000000009</v>
      </c>
      <c r="BN133" s="67">
        <f>IFERROR(Y133*I133,"0")</f>
        <v>75.600000000000009</v>
      </c>
      <c r="BO133" s="67">
        <f>IFERROR(X133/J133,"0")</f>
        <v>0.3</v>
      </c>
      <c r="BP133" s="67">
        <f>IFERROR(Y133/J133,"0")</f>
        <v>0.3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33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301"/>
      <c r="R134" s="301"/>
      <c r="S134" s="301"/>
      <c r="T134" s="302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301"/>
      <c r="R135" s="301"/>
      <c r="S135" s="301"/>
      <c r="T135" s="302"/>
      <c r="U135" s="34"/>
      <c r="V135" s="34"/>
      <c r="W135" s="35" t="s">
        <v>68</v>
      </c>
      <c r="X135" s="278">
        <v>154</v>
      </c>
      <c r="Y135" s="279">
        <f>IFERROR(IF(X135="","",X135),"")</f>
        <v>154</v>
      </c>
      <c r="Z135" s="36">
        <f>IFERROR(IF(X135="","",X135*0.00941),"")</f>
        <v>1.4491400000000001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277.2</v>
      </c>
      <c r="BN135" s="67">
        <f>IFERROR(Y135*I135,"0")</f>
        <v>277.2</v>
      </c>
      <c r="BO135" s="67">
        <f>IFERROR(X135/J135,"0")</f>
        <v>1.1000000000000001</v>
      </c>
      <c r="BP135" s="67">
        <f>IFERROR(Y135/J135,"0")</f>
        <v>1.1000000000000001</v>
      </c>
    </row>
    <row r="136" spans="1:68" x14ac:dyDescent="0.2">
      <c r="A136" s="292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3"/>
      <c r="P136" s="306" t="s">
        <v>87</v>
      </c>
      <c r="Q136" s="283"/>
      <c r="R136" s="283"/>
      <c r="S136" s="283"/>
      <c r="T136" s="283"/>
      <c r="U136" s="283"/>
      <c r="V136" s="284"/>
      <c r="W136" s="37" t="s">
        <v>68</v>
      </c>
      <c r="X136" s="280">
        <f>IFERROR(SUM(X132:X135),"0")</f>
        <v>210</v>
      </c>
      <c r="Y136" s="280">
        <f>IFERROR(SUM(Y132:Y135),"0")</f>
        <v>210</v>
      </c>
      <c r="Z136" s="280">
        <f>IFERROR(IF(Z132="",0,Z132),"0")+IFERROR(IF(Z133="",0,Z133),"0")+IFERROR(IF(Z134="",0,Z134),"0")+IFERROR(IF(Z135="",0,Z135),"0")</f>
        <v>1.9761000000000002</v>
      </c>
      <c r="AA136" s="281"/>
      <c r="AB136" s="281"/>
      <c r="AC136" s="281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3"/>
      <c r="P137" s="306" t="s">
        <v>87</v>
      </c>
      <c r="Q137" s="283"/>
      <c r="R137" s="283"/>
      <c r="S137" s="283"/>
      <c r="T137" s="283"/>
      <c r="U137" s="283"/>
      <c r="V137" s="284"/>
      <c r="W137" s="37" t="s">
        <v>88</v>
      </c>
      <c r="X137" s="280">
        <f>IFERROR(SUMPRODUCT(X132:X135*H132:H135),"0")</f>
        <v>289.79999999999995</v>
      </c>
      <c r="Y137" s="280">
        <f>IFERROR(SUMPRODUCT(Y132:Y135*H132:H135),"0")</f>
        <v>289.79999999999995</v>
      </c>
      <c r="Z137" s="37"/>
      <c r="AA137" s="281"/>
      <c r="AB137" s="281"/>
      <c r="AC137" s="281"/>
    </row>
    <row r="138" spans="1:68" ht="14.25" hidden="1" customHeight="1" x14ac:dyDescent="0.25">
      <c r="A138" s="291" t="s">
        <v>221</v>
      </c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72"/>
      <c r="AB138" s="272"/>
      <c r="AC138" s="272"/>
    </row>
    <row r="139" spans="1:68" ht="27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38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301"/>
      <c r="R139" s="301"/>
      <c r="S139" s="301"/>
      <c r="T139" s="302"/>
      <c r="U139" s="34"/>
      <c r="V139" s="34"/>
      <c r="W139" s="35" t="s">
        <v>68</v>
      </c>
      <c r="X139" s="278">
        <v>14</v>
      </c>
      <c r="Y139" s="279">
        <f>IFERROR(IF(X139="","",X139),"")</f>
        <v>14</v>
      </c>
      <c r="Z139" s="36">
        <f>IFERROR(IF(X139="","",X139*0.00941),"")</f>
        <v>0.13174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19.571999999999999</v>
      </c>
      <c r="BN139" s="67">
        <f>IFERROR(Y139*I139,"0")</f>
        <v>19.571999999999999</v>
      </c>
      <c r="BO139" s="67">
        <f>IFERROR(X139/J139,"0")</f>
        <v>0.1</v>
      </c>
      <c r="BP139" s="67">
        <f>IFERROR(Y139/J139,"0")</f>
        <v>0.1</v>
      </c>
    </row>
    <row r="140" spans="1:68" ht="27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40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301"/>
      <c r="R140" s="301"/>
      <c r="S140" s="301"/>
      <c r="T140" s="302"/>
      <c r="U140" s="34"/>
      <c r="V140" s="34"/>
      <c r="W140" s="35" t="s">
        <v>68</v>
      </c>
      <c r="X140" s="278">
        <v>14</v>
      </c>
      <c r="Y140" s="279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301"/>
      <c r="R141" s="301"/>
      <c r="S141" s="301"/>
      <c r="T141" s="302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x14ac:dyDescent="0.2">
      <c r="A142" s="292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3"/>
      <c r="P142" s="306" t="s">
        <v>87</v>
      </c>
      <c r="Q142" s="283"/>
      <c r="R142" s="283"/>
      <c r="S142" s="283"/>
      <c r="T142" s="283"/>
      <c r="U142" s="283"/>
      <c r="V142" s="284"/>
      <c r="W142" s="37" t="s">
        <v>68</v>
      </c>
      <c r="X142" s="280">
        <f>IFERROR(SUM(X139:X141),"0")</f>
        <v>28</v>
      </c>
      <c r="Y142" s="280">
        <f>IFERROR(SUM(Y139:Y141),"0")</f>
        <v>28</v>
      </c>
      <c r="Z142" s="280">
        <f>IFERROR(IF(Z139="",0,Z139),"0")+IFERROR(IF(Z140="",0,Z140),"0")+IFERROR(IF(Z141="",0,Z141),"0")</f>
        <v>0.26347999999999999</v>
      </c>
      <c r="AA142" s="281"/>
      <c r="AB142" s="281"/>
      <c r="AC142" s="281"/>
    </row>
    <row r="143" spans="1:68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3"/>
      <c r="P143" s="306" t="s">
        <v>87</v>
      </c>
      <c r="Q143" s="283"/>
      <c r="R143" s="283"/>
      <c r="S143" s="283"/>
      <c r="T143" s="283"/>
      <c r="U143" s="283"/>
      <c r="V143" s="284"/>
      <c r="W143" s="37" t="s">
        <v>88</v>
      </c>
      <c r="X143" s="280">
        <f>IFERROR(SUMPRODUCT(X139:X141*H139:H141),"0")</f>
        <v>30.240000000000002</v>
      </c>
      <c r="Y143" s="280">
        <f>IFERROR(SUMPRODUCT(Y139:Y141*H139:H141),"0")</f>
        <v>30.240000000000002</v>
      </c>
      <c r="Z143" s="37"/>
      <c r="AA143" s="281"/>
      <c r="AB143" s="281"/>
      <c r="AC143" s="281"/>
    </row>
    <row r="144" spans="1:68" ht="16.5" hidden="1" customHeight="1" x14ac:dyDescent="0.25">
      <c r="A144" s="307" t="s">
        <v>229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3"/>
      <c r="AB144" s="273"/>
      <c r="AC144" s="273"/>
    </row>
    <row r="145" spans="1:68" ht="14.25" hidden="1" customHeight="1" x14ac:dyDescent="0.25">
      <c r="A145" s="291" t="s">
        <v>133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317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301"/>
      <c r="R146" s="301"/>
      <c r="S146" s="301"/>
      <c r="T146" s="302"/>
      <c r="U146" s="34"/>
      <c r="V146" s="34"/>
      <c r="W146" s="35" t="s">
        <v>68</v>
      </c>
      <c r="X146" s="278">
        <v>182</v>
      </c>
      <c r="Y146" s="279">
        <f>IFERROR(IF(X146="","",X146),"")</f>
        <v>182</v>
      </c>
      <c r="Z146" s="36">
        <f>IFERROR(IF(X146="","",X146*0.01788),"")</f>
        <v>3.2541600000000002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674.05520000000001</v>
      </c>
      <c r="BN146" s="67">
        <f>IFERROR(Y146*I146,"0")</f>
        <v>674.05520000000001</v>
      </c>
      <c r="BO146" s="67">
        <f>IFERROR(X146/J146,"0")</f>
        <v>2.6</v>
      </c>
      <c r="BP146" s="67">
        <f>IFERROR(Y146/J146,"0")</f>
        <v>2.6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42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301"/>
      <c r="R147" s="301"/>
      <c r="S147" s="301"/>
      <c r="T147" s="302"/>
      <c r="U147" s="34"/>
      <c r="V147" s="34"/>
      <c r="W147" s="35" t="s">
        <v>68</v>
      </c>
      <c r="X147" s="278">
        <v>168</v>
      </c>
      <c r="Y147" s="279">
        <f>IFERROR(IF(X147="","",X147),"")</f>
        <v>168</v>
      </c>
      <c r="Z147" s="36">
        <f>IFERROR(IF(X147="","",X147*0.01788),"")</f>
        <v>3.0038399999999998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622.20479999999998</v>
      </c>
      <c r="BN147" s="67">
        <f>IFERROR(Y147*I147,"0")</f>
        <v>622.20479999999998</v>
      </c>
      <c r="BO147" s="67">
        <f>IFERROR(X147/J147,"0")</f>
        <v>2.4</v>
      </c>
      <c r="BP147" s="67">
        <f>IFERROR(Y147/J147,"0")</f>
        <v>2.4</v>
      </c>
    </row>
    <row r="148" spans="1:68" x14ac:dyDescent="0.2">
      <c r="A148" s="292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3"/>
      <c r="P148" s="306" t="s">
        <v>87</v>
      </c>
      <c r="Q148" s="283"/>
      <c r="R148" s="283"/>
      <c r="S148" s="283"/>
      <c r="T148" s="283"/>
      <c r="U148" s="283"/>
      <c r="V148" s="284"/>
      <c r="W148" s="37" t="s">
        <v>68</v>
      </c>
      <c r="X148" s="280">
        <f>IFERROR(SUM(X146:X147),"0")</f>
        <v>350</v>
      </c>
      <c r="Y148" s="280">
        <f>IFERROR(SUM(Y146:Y147),"0")</f>
        <v>350</v>
      </c>
      <c r="Z148" s="280">
        <f>IFERROR(IF(Z146="",0,Z146),"0")+IFERROR(IF(Z147="",0,Z147),"0")</f>
        <v>6.258</v>
      </c>
      <c r="AA148" s="281"/>
      <c r="AB148" s="281"/>
      <c r="AC148" s="281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3"/>
      <c r="P149" s="306" t="s">
        <v>87</v>
      </c>
      <c r="Q149" s="283"/>
      <c r="R149" s="283"/>
      <c r="S149" s="283"/>
      <c r="T149" s="283"/>
      <c r="U149" s="283"/>
      <c r="V149" s="284"/>
      <c r="W149" s="37" t="s">
        <v>88</v>
      </c>
      <c r="X149" s="280">
        <f>IFERROR(SUMPRODUCT(X146:X147*H146:H147),"0")</f>
        <v>1050</v>
      </c>
      <c r="Y149" s="280">
        <f>IFERROR(SUMPRODUCT(Y146:Y147*H146:H147),"0")</f>
        <v>1050</v>
      </c>
      <c r="Z149" s="37"/>
      <c r="AA149" s="281"/>
      <c r="AB149" s="281"/>
      <c r="AC149" s="281"/>
    </row>
    <row r="150" spans="1:68" ht="16.5" hidden="1" customHeight="1" x14ac:dyDescent="0.25">
      <c r="A150" s="307" t="s">
        <v>235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3"/>
      <c r="AB150" s="273"/>
      <c r="AC150" s="273"/>
    </row>
    <row r="151" spans="1:68" ht="14.25" hidden="1" customHeight="1" x14ac:dyDescent="0.25">
      <c r="A151" s="291" t="s">
        <v>133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301"/>
      <c r="R152" s="301"/>
      <c r="S152" s="301"/>
      <c r="T152" s="302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41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301"/>
      <c r="R153" s="301"/>
      <c r="S153" s="301"/>
      <c r="T153" s="302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92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3"/>
      <c r="P154" s="306" t="s">
        <v>87</v>
      </c>
      <c r="Q154" s="283"/>
      <c r="R154" s="283"/>
      <c r="S154" s="283"/>
      <c r="T154" s="283"/>
      <c r="U154" s="283"/>
      <c r="V154" s="284"/>
      <c r="W154" s="37" t="s">
        <v>68</v>
      </c>
      <c r="X154" s="280">
        <f>IFERROR(SUM(X152:X153),"0")</f>
        <v>0</v>
      </c>
      <c r="Y154" s="280">
        <f>IFERROR(SUM(Y152:Y153),"0")</f>
        <v>0</v>
      </c>
      <c r="Z154" s="280">
        <f>IFERROR(IF(Z152="",0,Z152),"0")+IFERROR(IF(Z153="",0,Z153),"0")</f>
        <v>0</v>
      </c>
      <c r="AA154" s="281"/>
      <c r="AB154" s="281"/>
      <c r="AC154" s="281"/>
    </row>
    <row r="155" spans="1:68" hidden="1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3"/>
      <c r="P155" s="306" t="s">
        <v>87</v>
      </c>
      <c r="Q155" s="283"/>
      <c r="R155" s="283"/>
      <c r="S155" s="283"/>
      <c r="T155" s="283"/>
      <c r="U155" s="283"/>
      <c r="V155" s="284"/>
      <c r="W155" s="37" t="s">
        <v>88</v>
      </c>
      <c r="X155" s="280">
        <f>IFERROR(SUMPRODUCT(X152:X153*H152:H153),"0")</f>
        <v>0</v>
      </c>
      <c r="Y155" s="280">
        <f>IFERROR(SUMPRODUCT(Y152:Y153*H152:H153),"0")</f>
        <v>0</v>
      </c>
      <c r="Z155" s="37"/>
      <c r="AA155" s="281"/>
      <c r="AB155" s="281"/>
      <c r="AC155" s="281"/>
    </row>
    <row r="156" spans="1:68" ht="16.5" hidden="1" customHeight="1" x14ac:dyDescent="0.25">
      <c r="A156" s="307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3"/>
      <c r="AB156" s="273"/>
      <c r="AC156" s="273"/>
    </row>
    <row r="157" spans="1:68" ht="14.25" hidden="1" customHeight="1" x14ac:dyDescent="0.25">
      <c r="A157" s="291" t="s">
        <v>133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4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01"/>
      <c r="R158" s="301"/>
      <c r="S158" s="301"/>
      <c r="T158" s="302"/>
      <c r="U158" s="34"/>
      <c r="V158" s="34"/>
      <c r="W158" s="35" t="s">
        <v>68</v>
      </c>
      <c r="X158" s="278">
        <v>98</v>
      </c>
      <c r="Y158" s="279">
        <f>IFERROR(IF(X158="","",X158),"")</f>
        <v>98</v>
      </c>
      <c r="Z158" s="36">
        <f>IFERROR(IF(X158="","",X158*0.01788),"")</f>
        <v>1.75224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262.64000000000004</v>
      </c>
      <c r="BN158" s="67">
        <f>IFERROR(Y158*I158,"0")</f>
        <v>262.64000000000004</v>
      </c>
      <c r="BO158" s="67">
        <f>IFERROR(X158/J158,"0")</f>
        <v>1.4</v>
      </c>
      <c r="BP158" s="67">
        <f>IFERROR(Y158/J158,"0")</f>
        <v>1.4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46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301"/>
      <c r="R159" s="301"/>
      <c r="S159" s="301"/>
      <c r="T159" s="302"/>
      <c r="U159" s="34"/>
      <c r="V159" s="34"/>
      <c r="W159" s="35" t="s">
        <v>68</v>
      </c>
      <c r="X159" s="278">
        <v>56</v>
      </c>
      <c r="Y159" s="279">
        <f>IFERROR(IF(X159="","",X159),"")</f>
        <v>56</v>
      </c>
      <c r="Z159" s="36">
        <f>IFERROR(IF(X159="","",X159*0.01788),"")</f>
        <v>1.0012799999999999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150.08000000000001</v>
      </c>
      <c r="BN159" s="67">
        <f>IFERROR(Y159*I159,"0")</f>
        <v>150.08000000000001</v>
      </c>
      <c r="BO159" s="67">
        <f>IFERROR(X159/J159,"0")</f>
        <v>0.8</v>
      </c>
      <c r="BP159" s="67">
        <f>IFERROR(Y159/J159,"0")</f>
        <v>0.8</v>
      </c>
    </row>
    <row r="160" spans="1:68" x14ac:dyDescent="0.2">
      <c r="A160" s="292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3"/>
      <c r="P160" s="306" t="s">
        <v>87</v>
      </c>
      <c r="Q160" s="283"/>
      <c r="R160" s="283"/>
      <c r="S160" s="283"/>
      <c r="T160" s="283"/>
      <c r="U160" s="283"/>
      <c r="V160" s="284"/>
      <c r="W160" s="37" t="s">
        <v>68</v>
      </c>
      <c r="X160" s="280">
        <f>IFERROR(SUM(X158:X159),"0")</f>
        <v>154</v>
      </c>
      <c r="Y160" s="280">
        <f>IFERROR(SUM(Y158:Y159),"0")</f>
        <v>154</v>
      </c>
      <c r="Z160" s="280">
        <f>IFERROR(IF(Z158="",0,Z158),"0")+IFERROR(IF(Z159="",0,Z159),"0")</f>
        <v>2.75352</v>
      </c>
      <c r="AA160" s="281"/>
      <c r="AB160" s="281"/>
      <c r="AC160" s="281"/>
    </row>
    <row r="161" spans="1:68" x14ac:dyDescent="0.2">
      <c r="A161" s="290"/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3"/>
      <c r="P161" s="306" t="s">
        <v>87</v>
      </c>
      <c r="Q161" s="283"/>
      <c r="R161" s="283"/>
      <c r="S161" s="283"/>
      <c r="T161" s="283"/>
      <c r="U161" s="283"/>
      <c r="V161" s="284"/>
      <c r="W161" s="37" t="s">
        <v>88</v>
      </c>
      <c r="X161" s="280">
        <f>IFERROR(SUMPRODUCT(X158:X159*H158:H159),"0")</f>
        <v>369.6</v>
      </c>
      <c r="Y161" s="280">
        <f>IFERROR(SUMPRODUCT(Y158:Y159*H158:H159),"0")</f>
        <v>369.6</v>
      </c>
      <c r="Z161" s="37"/>
      <c r="AA161" s="281"/>
      <c r="AB161" s="281"/>
      <c r="AC161" s="281"/>
    </row>
    <row r="162" spans="1:68" ht="16.5" hidden="1" customHeight="1" x14ac:dyDescent="0.25">
      <c r="A162" s="307" t="s">
        <v>248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3"/>
      <c r="AB162" s="273"/>
      <c r="AC162" s="273"/>
    </row>
    <row r="163" spans="1:68" ht="14.25" hidden="1" customHeight="1" x14ac:dyDescent="0.25">
      <c r="A163" s="291" t="s">
        <v>133</v>
      </c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0"/>
      <c r="P163" s="290"/>
      <c r="Q163" s="290"/>
      <c r="R163" s="290"/>
      <c r="S163" s="290"/>
      <c r="T163" s="290"/>
      <c r="U163" s="290"/>
      <c r="V163" s="290"/>
      <c r="W163" s="290"/>
      <c r="X163" s="290"/>
      <c r="Y163" s="290"/>
      <c r="Z163" s="290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35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301"/>
      <c r="R164" s="301"/>
      <c r="S164" s="301"/>
      <c r="T164" s="302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292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3"/>
      <c r="P165" s="306" t="s">
        <v>87</v>
      </c>
      <c r="Q165" s="283"/>
      <c r="R165" s="283"/>
      <c r="S165" s="283"/>
      <c r="T165" s="283"/>
      <c r="U165" s="283"/>
      <c r="V165" s="284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90"/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3"/>
      <c r="P166" s="306" t="s">
        <v>87</v>
      </c>
      <c r="Q166" s="283"/>
      <c r="R166" s="283"/>
      <c r="S166" s="283"/>
      <c r="T166" s="283"/>
      <c r="U166" s="283"/>
      <c r="V166" s="284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307" t="s">
        <v>251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3"/>
      <c r="AB167" s="273"/>
      <c r="AC167" s="273"/>
    </row>
    <row r="168" spans="1:68" ht="14.25" hidden="1" customHeight="1" x14ac:dyDescent="0.25">
      <c r="A168" s="291" t="s">
        <v>133</v>
      </c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90"/>
      <c r="Q168" s="290"/>
      <c r="R168" s="290"/>
      <c r="S168" s="290"/>
      <c r="T168" s="290"/>
      <c r="U168" s="290"/>
      <c r="V168" s="290"/>
      <c r="W168" s="290"/>
      <c r="X168" s="290"/>
      <c r="Y168" s="290"/>
      <c r="Z168" s="290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01"/>
      <c r="R169" s="301"/>
      <c r="S169" s="301"/>
      <c r="T169" s="302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92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3"/>
      <c r="P170" s="306" t="s">
        <v>87</v>
      </c>
      <c r="Q170" s="283"/>
      <c r="R170" s="283"/>
      <c r="S170" s="283"/>
      <c r="T170" s="283"/>
      <c r="U170" s="283"/>
      <c r="V170" s="284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0"/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3"/>
      <c r="P171" s="306" t="s">
        <v>87</v>
      </c>
      <c r="Q171" s="283"/>
      <c r="R171" s="283"/>
      <c r="S171" s="283"/>
      <c r="T171" s="283"/>
      <c r="U171" s="283"/>
      <c r="V171" s="284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307" t="s">
        <v>255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3"/>
      <c r="AB172" s="273"/>
      <c r="AC172" s="273"/>
    </row>
    <row r="173" spans="1:68" ht="14.25" hidden="1" customHeight="1" x14ac:dyDescent="0.25">
      <c r="A173" s="291" t="s">
        <v>133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352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301"/>
      <c r="R174" s="301"/>
      <c r="S174" s="301"/>
      <c r="T174" s="302"/>
      <c r="U174" s="34"/>
      <c r="V174" s="34"/>
      <c r="W174" s="35" t="s">
        <v>68</v>
      </c>
      <c r="X174" s="278">
        <v>56</v>
      </c>
      <c r="Y174" s="279">
        <f>IFERROR(IF(X174="","",X174),"")</f>
        <v>56</v>
      </c>
      <c r="Z174" s="36">
        <f>IFERROR(IF(X174="","",X174*0.00941),"")</f>
        <v>0.52695999999999998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117.70079999999999</v>
      </c>
      <c r="BN174" s="67">
        <f>IFERROR(Y174*I174,"0")</f>
        <v>117.70079999999999</v>
      </c>
      <c r="BO174" s="67">
        <f>IFERROR(X174/J174,"0")</f>
        <v>0.4</v>
      </c>
      <c r="BP174" s="67">
        <f>IFERROR(Y174/J174,"0")</f>
        <v>0.4</v>
      </c>
    </row>
    <row r="175" spans="1:68" x14ac:dyDescent="0.2">
      <c r="A175" s="292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3"/>
      <c r="P175" s="306" t="s">
        <v>87</v>
      </c>
      <c r="Q175" s="283"/>
      <c r="R175" s="283"/>
      <c r="S175" s="283"/>
      <c r="T175" s="283"/>
      <c r="U175" s="283"/>
      <c r="V175" s="284"/>
      <c r="W175" s="37" t="s">
        <v>68</v>
      </c>
      <c r="X175" s="280">
        <f>IFERROR(SUM(X174:X174),"0")</f>
        <v>56</v>
      </c>
      <c r="Y175" s="280">
        <f>IFERROR(SUM(Y174:Y174),"0")</f>
        <v>56</v>
      </c>
      <c r="Z175" s="280">
        <f>IFERROR(IF(Z174="",0,Z174),"0")</f>
        <v>0.52695999999999998</v>
      </c>
      <c r="AA175" s="281"/>
      <c r="AB175" s="281"/>
      <c r="AC175" s="281"/>
    </row>
    <row r="176" spans="1:68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3"/>
      <c r="P176" s="306" t="s">
        <v>87</v>
      </c>
      <c r="Q176" s="283"/>
      <c r="R176" s="283"/>
      <c r="S176" s="283"/>
      <c r="T176" s="283"/>
      <c r="U176" s="283"/>
      <c r="V176" s="284"/>
      <c r="W176" s="37" t="s">
        <v>88</v>
      </c>
      <c r="X176" s="280">
        <f>IFERROR(SUMPRODUCT(X174:X174*H174:H174),"0")</f>
        <v>94.08</v>
      </c>
      <c r="Y176" s="280">
        <f>IFERROR(SUMPRODUCT(Y174:Y174*H174:H174),"0")</f>
        <v>94.08</v>
      </c>
      <c r="Z176" s="37"/>
      <c r="AA176" s="281"/>
      <c r="AB176" s="281"/>
      <c r="AC176" s="281"/>
    </row>
    <row r="177" spans="1:68" ht="27.75" hidden="1" customHeight="1" x14ac:dyDescent="0.2">
      <c r="A177" s="327" t="s">
        <v>258</v>
      </c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  <c r="AA177" s="48"/>
      <c r="AB177" s="48"/>
      <c r="AC177" s="48"/>
    </row>
    <row r="178" spans="1:68" ht="16.5" hidden="1" customHeight="1" x14ac:dyDescent="0.25">
      <c r="A178" s="307" t="s">
        <v>259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3"/>
      <c r="AB178" s="273"/>
      <c r="AC178" s="273"/>
    </row>
    <row r="179" spans="1:68" ht="14.25" hidden="1" customHeight="1" x14ac:dyDescent="0.25">
      <c r="A179" s="291" t="s">
        <v>97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7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301"/>
      <c r="R180" s="301"/>
      <c r="S180" s="301"/>
      <c r="T180" s="302"/>
      <c r="U180" s="34"/>
      <c r="V180" s="34"/>
      <c r="W180" s="35" t="s">
        <v>68</v>
      </c>
      <c r="X180" s="278">
        <v>168</v>
      </c>
      <c r="Y180" s="279">
        <f>IFERROR(IF(X180="","",X180),"")</f>
        <v>168</v>
      </c>
      <c r="Z180" s="36">
        <f>IFERROR(IF(X180="","",X180*0.0155),"")</f>
        <v>2.6040000000000001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1047.48</v>
      </c>
      <c r="BN180" s="67">
        <f>IFERROR(Y180*I180,"0")</f>
        <v>1047.48</v>
      </c>
      <c r="BO180" s="67">
        <f>IFERROR(X180/J180,"0")</f>
        <v>2</v>
      </c>
      <c r="BP180" s="67">
        <f>IFERROR(Y180/J180,"0")</f>
        <v>2</v>
      </c>
    </row>
    <row r="181" spans="1:68" x14ac:dyDescent="0.2">
      <c r="A181" s="292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3"/>
      <c r="P181" s="306" t="s">
        <v>87</v>
      </c>
      <c r="Q181" s="283"/>
      <c r="R181" s="283"/>
      <c r="S181" s="283"/>
      <c r="T181" s="283"/>
      <c r="U181" s="283"/>
      <c r="V181" s="284"/>
      <c r="W181" s="37" t="s">
        <v>68</v>
      </c>
      <c r="X181" s="280">
        <f>IFERROR(SUM(X180:X180),"0")</f>
        <v>168</v>
      </c>
      <c r="Y181" s="280">
        <f>IFERROR(SUM(Y180:Y180),"0")</f>
        <v>168</v>
      </c>
      <c r="Z181" s="280">
        <f>IFERROR(IF(Z180="",0,Z180),"0")</f>
        <v>2.6040000000000001</v>
      </c>
      <c r="AA181" s="281"/>
      <c r="AB181" s="281"/>
      <c r="AC181" s="281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3"/>
      <c r="P182" s="306" t="s">
        <v>87</v>
      </c>
      <c r="Q182" s="283"/>
      <c r="R182" s="283"/>
      <c r="S182" s="283"/>
      <c r="T182" s="283"/>
      <c r="U182" s="283"/>
      <c r="V182" s="284"/>
      <c r="W182" s="37" t="s">
        <v>88</v>
      </c>
      <c r="X182" s="280">
        <f>IFERROR(SUMPRODUCT(X180:X180*H180:H180),"0")</f>
        <v>1008</v>
      </c>
      <c r="Y182" s="280">
        <f>IFERROR(SUMPRODUCT(Y180:Y180*H180:H180),"0")</f>
        <v>1008</v>
      </c>
      <c r="Z182" s="37"/>
      <c r="AA182" s="281"/>
      <c r="AB182" s="281"/>
      <c r="AC182" s="281"/>
    </row>
    <row r="183" spans="1:68" ht="14.25" hidden="1" customHeight="1" x14ac:dyDescent="0.25">
      <c r="A183" s="291" t="s">
        <v>133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434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301"/>
      <c r="R184" s="301"/>
      <c r="S184" s="301"/>
      <c r="T184" s="302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92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3"/>
      <c r="P185" s="306" t="s">
        <v>87</v>
      </c>
      <c r="Q185" s="283"/>
      <c r="R185" s="283"/>
      <c r="S185" s="283"/>
      <c r="T185" s="283"/>
      <c r="U185" s="283"/>
      <c r="V185" s="284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3"/>
      <c r="P186" s="306" t="s">
        <v>87</v>
      </c>
      <c r="Q186" s="283"/>
      <c r="R186" s="283"/>
      <c r="S186" s="283"/>
      <c r="T186" s="283"/>
      <c r="U186" s="283"/>
      <c r="V186" s="284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307" t="s">
        <v>266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73"/>
      <c r="AB187" s="273"/>
      <c r="AC187" s="273"/>
    </row>
    <row r="188" spans="1:68" ht="14.25" hidden="1" customHeight="1" x14ac:dyDescent="0.25">
      <c r="A188" s="291" t="s">
        <v>62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4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301"/>
      <c r="R189" s="301"/>
      <c r="S189" s="301"/>
      <c r="T189" s="302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301"/>
      <c r="R190" s="301"/>
      <c r="S190" s="301"/>
      <c r="T190" s="302"/>
      <c r="U190" s="34"/>
      <c r="V190" s="34"/>
      <c r="W190" s="35" t="s">
        <v>68</v>
      </c>
      <c r="X190" s="278">
        <v>0</v>
      </c>
      <c r="Y190" s="279">
        <f>IFERROR(IF(X190="","",X190),"")</f>
        <v>0</v>
      </c>
      <c r="Z190" s="36">
        <f>IFERROR(IF(X190="","",X190*0.00866),"")</f>
        <v>0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292"/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3"/>
      <c r="P191" s="306" t="s">
        <v>87</v>
      </c>
      <c r="Q191" s="283"/>
      <c r="R191" s="283"/>
      <c r="S191" s="283"/>
      <c r="T191" s="283"/>
      <c r="U191" s="283"/>
      <c r="V191" s="284"/>
      <c r="W191" s="37" t="s">
        <v>68</v>
      </c>
      <c r="X191" s="280">
        <f>IFERROR(SUM(X189:X190),"0")</f>
        <v>0</v>
      </c>
      <c r="Y191" s="280">
        <f>IFERROR(SUM(Y189:Y190),"0")</f>
        <v>0</v>
      </c>
      <c r="Z191" s="280">
        <f>IFERROR(IF(Z189="",0,Z189),"0")+IFERROR(IF(Z190="",0,Z190),"0")</f>
        <v>0</v>
      </c>
      <c r="AA191" s="281"/>
      <c r="AB191" s="281"/>
      <c r="AC191" s="281"/>
    </row>
    <row r="192" spans="1:68" hidden="1" x14ac:dyDescent="0.2">
      <c r="A192" s="290"/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3"/>
      <c r="P192" s="306" t="s">
        <v>87</v>
      </c>
      <c r="Q192" s="283"/>
      <c r="R192" s="283"/>
      <c r="S192" s="283"/>
      <c r="T192" s="283"/>
      <c r="U192" s="283"/>
      <c r="V192" s="284"/>
      <c r="W192" s="37" t="s">
        <v>88</v>
      </c>
      <c r="X192" s="280">
        <f>IFERROR(SUMPRODUCT(X189:X190*H189:H190),"0")</f>
        <v>0</v>
      </c>
      <c r="Y192" s="280">
        <f>IFERROR(SUMPRODUCT(Y189:Y190*H189:H190),"0")</f>
        <v>0</v>
      </c>
      <c r="Z192" s="37"/>
      <c r="AA192" s="281"/>
      <c r="AB192" s="281"/>
      <c r="AC192" s="281"/>
    </row>
    <row r="193" spans="1:68" ht="16.5" hidden="1" customHeight="1" x14ac:dyDescent="0.25">
      <c r="A193" s="307" t="s">
        <v>273</v>
      </c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90"/>
      <c r="Q193" s="290"/>
      <c r="R193" s="290"/>
      <c r="S193" s="290"/>
      <c r="T193" s="290"/>
      <c r="U193" s="290"/>
      <c r="V193" s="290"/>
      <c r="W193" s="290"/>
      <c r="X193" s="290"/>
      <c r="Y193" s="290"/>
      <c r="Z193" s="290"/>
      <c r="AA193" s="273"/>
      <c r="AB193" s="273"/>
      <c r="AC193" s="273"/>
    </row>
    <row r="194" spans="1:68" ht="14.25" hidden="1" customHeight="1" x14ac:dyDescent="0.25">
      <c r="A194" s="291" t="s">
        <v>62</v>
      </c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0"/>
      <c r="P194" s="290"/>
      <c r="Q194" s="290"/>
      <c r="R194" s="290"/>
      <c r="S194" s="290"/>
      <c r="T194" s="290"/>
      <c r="U194" s="290"/>
      <c r="V194" s="290"/>
      <c r="W194" s="290"/>
      <c r="X194" s="290"/>
      <c r="Y194" s="290"/>
      <c r="Z194" s="290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41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301"/>
      <c r="R195" s="301"/>
      <c r="S195" s="301"/>
      <c r="T195" s="302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92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3"/>
      <c r="P196" s="306" t="s">
        <v>87</v>
      </c>
      <c r="Q196" s="283"/>
      <c r="R196" s="283"/>
      <c r="S196" s="283"/>
      <c r="T196" s="283"/>
      <c r="U196" s="283"/>
      <c r="V196" s="284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90"/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3"/>
      <c r="P197" s="306" t="s">
        <v>87</v>
      </c>
      <c r="Q197" s="283"/>
      <c r="R197" s="283"/>
      <c r="S197" s="283"/>
      <c r="T197" s="283"/>
      <c r="U197" s="283"/>
      <c r="V197" s="284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27" t="s">
        <v>276</v>
      </c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48"/>
      <c r="AB198" s="48"/>
      <c r="AC198" s="48"/>
    </row>
    <row r="199" spans="1:68" ht="16.5" hidden="1" customHeight="1" x14ac:dyDescent="0.25">
      <c r="A199" s="307" t="s">
        <v>277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3"/>
      <c r="AB199" s="273"/>
      <c r="AC199" s="273"/>
    </row>
    <row r="200" spans="1:68" ht="14.25" hidden="1" customHeight="1" x14ac:dyDescent="0.25">
      <c r="A200" s="291" t="s">
        <v>97</v>
      </c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0"/>
      <c r="T200" s="290"/>
      <c r="U200" s="290"/>
      <c r="V200" s="290"/>
      <c r="W200" s="290"/>
      <c r="X200" s="290"/>
      <c r="Y200" s="290"/>
      <c r="Z200" s="290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38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301"/>
      <c r="R201" s="301"/>
      <c r="S201" s="301"/>
      <c r="T201" s="302"/>
      <c r="U201" s="34"/>
      <c r="V201" s="34"/>
      <c r="W201" s="35" t="s">
        <v>68</v>
      </c>
      <c r="X201" s="278">
        <v>140</v>
      </c>
      <c r="Y201" s="279">
        <f>IFERROR(IF(X201="","",X201),"")</f>
        <v>140</v>
      </c>
      <c r="Z201" s="36">
        <f>IFERROR(IF(X201="","",X201*0.01788),"")</f>
        <v>2.5032000000000001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474.32</v>
      </c>
      <c r="BN201" s="67">
        <f>IFERROR(Y201*I201,"0")</f>
        <v>474.32</v>
      </c>
      <c r="BO201" s="67">
        <f>IFERROR(X201/J201,"0")</f>
        <v>2</v>
      </c>
      <c r="BP201" s="67">
        <f>IFERROR(Y201/J201,"0")</f>
        <v>2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30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301"/>
      <c r="R202" s="301"/>
      <c r="S202" s="301"/>
      <c r="T202" s="302"/>
      <c r="U202" s="34"/>
      <c r="V202" s="34"/>
      <c r="W202" s="35" t="s">
        <v>68</v>
      </c>
      <c r="X202" s="278">
        <v>56</v>
      </c>
      <c r="Y202" s="279">
        <f>IFERROR(IF(X202="","",X202),"")</f>
        <v>56</v>
      </c>
      <c r="Z202" s="36">
        <f>IFERROR(IF(X202="","",X202*0.01788),"")</f>
        <v>1.0012799999999999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189.72800000000001</v>
      </c>
      <c r="BN202" s="67">
        <f>IFERROR(Y202*I202,"0")</f>
        <v>189.72800000000001</v>
      </c>
      <c r="BO202" s="67">
        <f>IFERROR(X202/J202,"0")</f>
        <v>0.8</v>
      </c>
      <c r="BP202" s="67">
        <f>IFERROR(Y202/J202,"0")</f>
        <v>0.8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0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301"/>
      <c r="R203" s="301"/>
      <c r="S203" s="301"/>
      <c r="T203" s="302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52.304000000000002</v>
      </c>
      <c r="BN203" s="67">
        <f>IFERROR(Y203*I203,"0")</f>
        <v>52.304000000000002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301"/>
      <c r="R204" s="301"/>
      <c r="S204" s="301"/>
      <c r="T204" s="302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2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3"/>
      <c r="P205" s="306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80">
        <f>IFERROR(SUM(X201:X204),"0")</f>
        <v>210</v>
      </c>
      <c r="Y205" s="280">
        <f>IFERROR(SUM(Y201:Y204),"0")</f>
        <v>210</v>
      </c>
      <c r="Z205" s="280">
        <f>IFERROR(IF(Z201="",0,Z201),"0")+IFERROR(IF(Z202="",0,Z202),"0")+IFERROR(IF(Z203="",0,Z203),"0")+IFERROR(IF(Z204="",0,Z204),"0")</f>
        <v>3.7547999999999999</v>
      </c>
      <c r="AA205" s="281"/>
      <c r="AB205" s="281"/>
      <c r="AC205" s="281"/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3"/>
      <c r="P206" s="306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80">
        <f>IFERROR(SUMPRODUCT(X201:X204*H201:H204),"0")</f>
        <v>630</v>
      </c>
      <c r="Y206" s="280">
        <f>IFERROR(SUMPRODUCT(Y201:Y204*H201:H204),"0")</f>
        <v>630</v>
      </c>
      <c r="Z206" s="37"/>
      <c r="AA206" s="281"/>
      <c r="AB206" s="281"/>
      <c r="AC206" s="281"/>
    </row>
    <row r="207" spans="1:68" ht="27.75" hidden="1" customHeight="1" x14ac:dyDescent="0.2">
      <c r="A207" s="327" t="s">
        <v>290</v>
      </c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48"/>
      <c r="AB207" s="48"/>
      <c r="AC207" s="48"/>
    </row>
    <row r="208" spans="1:68" ht="16.5" hidden="1" customHeight="1" x14ac:dyDescent="0.25">
      <c r="A208" s="307" t="s">
        <v>291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291" t="s">
        <v>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41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301"/>
      <c r="R210" s="301"/>
      <c r="S210" s="301"/>
      <c r="T210" s="302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2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3"/>
      <c r="P211" s="306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3"/>
      <c r="P212" s="306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291" t="s">
        <v>133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72"/>
      <c r="AB213" s="272"/>
      <c r="AC213" s="272"/>
    </row>
    <row r="214" spans="1:68" ht="27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37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301"/>
      <c r="R214" s="301"/>
      <c r="S214" s="301"/>
      <c r="T214" s="302"/>
      <c r="U214" s="34"/>
      <c r="V214" s="34"/>
      <c r="W214" s="35" t="s">
        <v>68</v>
      </c>
      <c r="X214" s="278">
        <v>42</v>
      </c>
      <c r="Y214" s="279">
        <f>IFERROR(IF(X214="","",X214),"")</f>
        <v>42</v>
      </c>
      <c r="Z214" s="36">
        <f>IFERROR(IF(X214="","",X214*0.01788),"")</f>
        <v>0.75095999999999996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130.35120000000001</v>
      </c>
      <c r="BN214" s="67">
        <f>IFERROR(Y214*I214,"0")</f>
        <v>130.35120000000001</v>
      </c>
      <c r="BO214" s="67">
        <f>IFERROR(X214/J214,"0")</f>
        <v>0.6</v>
      </c>
      <c r="BP214" s="67">
        <f>IFERROR(Y214/J214,"0")</f>
        <v>0.6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46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301"/>
      <c r="R215" s="301"/>
      <c r="S215" s="301"/>
      <c r="T215" s="302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41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301"/>
      <c r="R216" s="301"/>
      <c r="S216" s="301"/>
      <c r="T216" s="302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92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3"/>
      <c r="P217" s="306" t="s">
        <v>87</v>
      </c>
      <c r="Q217" s="283"/>
      <c r="R217" s="283"/>
      <c r="S217" s="283"/>
      <c r="T217" s="283"/>
      <c r="U217" s="283"/>
      <c r="V217" s="284"/>
      <c r="W217" s="37" t="s">
        <v>68</v>
      </c>
      <c r="X217" s="280">
        <f>IFERROR(SUM(X214:X216),"0")</f>
        <v>42</v>
      </c>
      <c r="Y217" s="280">
        <f>IFERROR(SUM(Y214:Y216),"0")</f>
        <v>42</v>
      </c>
      <c r="Z217" s="280">
        <f>IFERROR(IF(Z214="",0,Z214),"0")+IFERROR(IF(Z215="",0,Z215),"0")+IFERROR(IF(Z216="",0,Z216),"0")</f>
        <v>0.75095999999999996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3"/>
      <c r="P218" s="306" t="s">
        <v>87</v>
      </c>
      <c r="Q218" s="283"/>
      <c r="R218" s="283"/>
      <c r="S218" s="283"/>
      <c r="T218" s="283"/>
      <c r="U218" s="283"/>
      <c r="V218" s="284"/>
      <c r="W218" s="37" t="s">
        <v>88</v>
      </c>
      <c r="X218" s="280">
        <f>IFERROR(SUMPRODUCT(X214:X216*H214:H216),"0")</f>
        <v>100.8</v>
      </c>
      <c r="Y218" s="280">
        <f>IFERROR(SUMPRODUCT(Y214:Y216*H214:H216),"0")</f>
        <v>100.8</v>
      </c>
      <c r="Z218" s="37"/>
      <c r="AA218" s="281"/>
      <c r="AB218" s="281"/>
      <c r="AC218" s="281"/>
    </row>
    <row r="219" spans="1:68" ht="16.5" hidden="1" customHeight="1" x14ac:dyDescent="0.25">
      <c r="A219" s="307" t="s">
        <v>304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291" t="s">
        <v>133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46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301"/>
      <c r="R221" s="301"/>
      <c r="S221" s="301"/>
      <c r="T221" s="302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31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301"/>
      <c r="R222" s="301"/>
      <c r="S222" s="301"/>
      <c r="T222" s="302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2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3"/>
      <c r="P223" s="306" t="s">
        <v>87</v>
      </c>
      <c r="Q223" s="283"/>
      <c r="R223" s="283"/>
      <c r="S223" s="283"/>
      <c r="T223" s="283"/>
      <c r="U223" s="283"/>
      <c r="V223" s="284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3"/>
      <c r="P224" s="306" t="s">
        <v>87</v>
      </c>
      <c r="Q224" s="283"/>
      <c r="R224" s="283"/>
      <c r="S224" s="283"/>
      <c r="T224" s="283"/>
      <c r="U224" s="283"/>
      <c r="V224" s="284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307" t="s">
        <v>311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291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2"/>
      <c r="AB226" s="272"/>
      <c r="AC226" s="272"/>
    </row>
    <row r="227" spans="1:68" ht="27" hidden="1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3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301"/>
      <c r="R227" s="301"/>
      <c r="S227" s="301"/>
      <c r="T227" s="302"/>
      <c r="U227" s="34"/>
      <c r="V227" s="34"/>
      <c r="W227" s="35" t="s">
        <v>68</v>
      </c>
      <c r="X227" s="278">
        <v>0</v>
      </c>
      <c r="Y227" s="279">
        <f>IFERROR(IF(X227="","",X227),"")</f>
        <v>0</v>
      </c>
      <c r="Z227" s="36">
        <f>IFERROR(IF(X227="","",X227*0.0155),"")</f>
        <v>0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92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3"/>
      <c r="P228" s="306" t="s">
        <v>87</v>
      </c>
      <c r="Q228" s="283"/>
      <c r="R228" s="283"/>
      <c r="S228" s="283"/>
      <c r="T228" s="283"/>
      <c r="U228" s="283"/>
      <c r="V228" s="284"/>
      <c r="W228" s="37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3"/>
      <c r="P229" s="306" t="s">
        <v>87</v>
      </c>
      <c r="Q229" s="283"/>
      <c r="R229" s="283"/>
      <c r="S229" s="283"/>
      <c r="T229" s="283"/>
      <c r="U229" s="283"/>
      <c r="V229" s="284"/>
      <c r="W229" s="37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7"/>
      <c r="AA229" s="281"/>
      <c r="AB229" s="281"/>
      <c r="AC229" s="281"/>
    </row>
    <row r="230" spans="1:68" ht="27.75" hidden="1" customHeight="1" x14ac:dyDescent="0.2">
      <c r="A230" s="327" t="s">
        <v>315</v>
      </c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48"/>
      <c r="AB230" s="48"/>
      <c r="AC230" s="48"/>
    </row>
    <row r="231" spans="1:68" ht="16.5" hidden="1" customHeight="1" x14ac:dyDescent="0.25">
      <c r="A231" s="307" t="s">
        <v>316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291" t="s">
        <v>62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301"/>
      <c r="R233" s="301"/>
      <c r="S233" s="301"/>
      <c r="T233" s="302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2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3"/>
      <c r="P234" s="306" t="s">
        <v>87</v>
      </c>
      <c r="Q234" s="283"/>
      <c r="R234" s="283"/>
      <c r="S234" s="283"/>
      <c r="T234" s="283"/>
      <c r="U234" s="283"/>
      <c r="V234" s="284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3"/>
      <c r="P235" s="306" t="s">
        <v>87</v>
      </c>
      <c r="Q235" s="283"/>
      <c r="R235" s="283"/>
      <c r="S235" s="283"/>
      <c r="T235" s="283"/>
      <c r="U235" s="283"/>
      <c r="V235" s="284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27" t="s">
        <v>320</v>
      </c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48"/>
      <c r="AB236" s="48"/>
      <c r="AC236" s="48"/>
    </row>
    <row r="237" spans="1:68" ht="16.5" hidden="1" customHeight="1" x14ac:dyDescent="0.25">
      <c r="A237" s="307" t="s">
        <v>321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73"/>
      <c r="AB237" s="273"/>
      <c r="AC237" s="273"/>
    </row>
    <row r="238" spans="1:68" ht="14.25" hidden="1" customHeight="1" x14ac:dyDescent="0.25">
      <c r="A238" s="291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4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301"/>
      <c r="R239" s="301"/>
      <c r="S239" s="301"/>
      <c r="T239" s="302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2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3"/>
      <c r="P240" s="306" t="s">
        <v>87</v>
      </c>
      <c r="Q240" s="283"/>
      <c r="R240" s="283"/>
      <c r="S240" s="283"/>
      <c r="T240" s="283"/>
      <c r="U240" s="283"/>
      <c r="V240" s="284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0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3"/>
      <c r="P241" s="306" t="s">
        <v>87</v>
      </c>
      <c r="Q241" s="283"/>
      <c r="R241" s="283"/>
      <c r="S241" s="283"/>
      <c r="T241" s="283"/>
      <c r="U241" s="283"/>
      <c r="V241" s="284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291" t="s">
        <v>133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8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301"/>
      <c r="R243" s="301"/>
      <c r="S243" s="301"/>
      <c r="T243" s="302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3"/>
      <c r="P244" s="306" t="s">
        <v>87</v>
      </c>
      <c r="Q244" s="283"/>
      <c r="R244" s="283"/>
      <c r="S244" s="283"/>
      <c r="T244" s="283"/>
      <c r="U244" s="283"/>
      <c r="V244" s="284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3"/>
      <c r="P245" s="306" t="s">
        <v>87</v>
      </c>
      <c r="Q245" s="283"/>
      <c r="R245" s="283"/>
      <c r="S245" s="283"/>
      <c r="T245" s="283"/>
      <c r="U245" s="283"/>
      <c r="V245" s="284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27" t="s">
        <v>328</v>
      </c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48"/>
      <c r="AB246" s="48"/>
      <c r="AC246" s="48"/>
    </row>
    <row r="247" spans="1:68" ht="16.5" hidden="1" customHeight="1" x14ac:dyDescent="0.25">
      <c r="A247" s="307" t="s">
        <v>328</v>
      </c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73"/>
      <c r="AB247" s="273"/>
      <c r="AC247" s="273"/>
    </row>
    <row r="248" spans="1:68" ht="14.25" hidden="1" customHeight="1" x14ac:dyDescent="0.25">
      <c r="A248" s="291" t="s">
        <v>97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45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301"/>
      <c r="R249" s="301"/>
      <c r="S249" s="301"/>
      <c r="T249" s="302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2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3"/>
      <c r="P250" s="306" t="s">
        <v>87</v>
      </c>
      <c r="Q250" s="283"/>
      <c r="R250" s="283"/>
      <c r="S250" s="283"/>
      <c r="T250" s="283"/>
      <c r="U250" s="283"/>
      <c r="V250" s="284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3"/>
      <c r="P251" s="306" t="s">
        <v>87</v>
      </c>
      <c r="Q251" s="283"/>
      <c r="R251" s="283"/>
      <c r="S251" s="283"/>
      <c r="T251" s="283"/>
      <c r="U251" s="283"/>
      <c r="V251" s="284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291" t="s">
        <v>129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8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01"/>
      <c r="R253" s="301"/>
      <c r="S253" s="301"/>
      <c r="T253" s="302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2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3"/>
      <c r="P254" s="306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3"/>
      <c r="P255" s="306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27" t="s">
        <v>259</v>
      </c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48"/>
      <c r="AB256" s="48"/>
      <c r="AC256" s="48"/>
    </row>
    <row r="257" spans="1:68" ht="16.5" hidden="1" customHeight="1" x14ac:dyDescent="0.25">
      <c r="A257" s="307" t="s">
        <v>259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3"/>
      <c r="AB257" s="273"/>
      <c r="AC257" s="273"/>
    </row>
    <row r="258" spans="1:68" ht="14.25" hidden="1" customHeight="1" x14ac:dyDescent="0.25">
      <c r="A258" s="291" t="s">
        <v>62</v>
      </c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0"/>
      <c r="P258" s="290"/>
      <c r="Q258" s="290"/>
      <c r="R258" s="290"/>
      <c r="S258" s="290"/>
      <c r="T258" s="290"/>
      <c r="U258" s="290"/>
      <c r="V258" s="290"/>
      <c r="W258" s="290"/>
      <c r="X258" s="290"/>
      <c r="Y258" s="290"/>
      <c r="Z258" s="290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3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01"/>
      <c r="R259" s="301"/>
      <c r="S259" s="301"/>
      <c r="T259" s="302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414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301"/>
      <c r="R260" s="301"/>
      <c r="S260" s="301"/>
      <c r="T260" s="302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292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3"/>
      <c r="P261" s="306" t="s">
        <v>87</v>
      </c>
      <c r="Q261" s="283"/>
      <c r="R261" s="283"/>
      <c r="S261" s="283"/>
      <c r="T261" s="283"/>
      <c r="U261" s="283"/>
      <c r="V261" s="284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3"/>
      <c r="P262" s="306" t="s">
        <v>87</v>
      </c>
      <c r="Q262" s="283"/>
      <c r="R262" s="283"/>
      <c r="S262" s="283"/>
      <c r="T262" s="283"/>
      <c r="U262" s="283"/>
      <c r="V262" s="284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291" t="s">
        <v>129</v>
      </c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421" t="s">
        <v>343</v>
      </c>
      <c r="Q264" s="301"/>
      <c r="R264" s="301"/>
      <c r="S264" s="301"/>
      <c r="T264" s="302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443" t="s">
        <v>346</v>
      </c>
      <c r="Q265" s="301"/>
      <c r="R265" s="301"/>
      <c r="S265" s="301"/>
      <c r="T265" s="302"/>
      <c r="U265" s="34"/>
      <c r="V265" s="34"/>
      <c r="W265" s="35" t="s">
        <v>68</v>
      </c>
      <c r="X265" s="278">
        <v>204</v>
      </c>
      <c r="Y265" s="279">
        <f>IFERROR(IF(X265="","",X265),"")</f>
        <v>204</v>
      </c>
      <c r="Z265" s="36">
        <f>IFERROR(IF(X265="","",X265*0.0155),"")</f>
        <v>3.1619999999999999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1067.94</v>
      </c>
      <c r="BN265" s="67">
        <f>IFERROR(Y265*I265,"0")</f>
        <v>1067.94</v>
      </c>
      <c r="BO265" s="67">
        <f>IFERROR(X265/J265,"0")</f>
        <v>2.4285714285714284</v>
      </c>
      <c r="BP265" s="67">
        <f>IFERROR(Y265/J265,"0")</f>
        <v>2.4285714285714284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449" t="s">
        <v>349</v>
      </c>
      <c r="Q266" s="301"/>
      <c r="R266" s="301"/>
      <c r="S266" s="301"/>
      <c r="T266" s="302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92"/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3"/>
      <c r="P267" s="306" t="s">
        <v>87</v>
      </c>
      <c r="Q267" s="283"/>
      <c r="R267" s="283"/>
      <c r="S267" s="283"/>
      <c r="T267" s="283"/>
      <c r="U267" s="283"/>
      <c r="V267" s="284"/>
      <c r="W267" s="37" t="s">
        <v>68</v>
      </c>
      <c r="X267" s="280">
        <f>IFERROR(SUM(X264:X266),"0")</f>
        <v>204</v>
      </c>
      <c r="Y267" s="280">
        <f>IFERROR(SUM(Y264:Y266),"0")</f>
        <v>204</v>
      </c>
      <c r="Z267" s="280">
        <f>IFERROR(IF(Z264="",0,Z264),"0")+IFERROR(IF(Z265="",0,Z265),"0")+IFERROR(IF(Z266="",0,Z266),"0")</f>
        <v>3.1619999999999999</v>
      </c>
      <c r="AA267" s="281"/>
      <c r="AB267" s="281"/>
      <c r="AC267" s="281"/>
    </row>
    <row r="268" spans="1:68" x14ac:dyDescent="0.2">
      <c r="A268" s="290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3"/>
      <c r="P268" s="306" t="s">
        <v>87</v>
      </c>
      <c r="Q268" s="283"/>
      <c r="R268" s="283"/>
      <c r="S268" s="283"/>
      <c r="T268" s="283"/>
      <c r="U268" s="283"/>
      <c r="V268" s="284"/>
      <c r="W268" s="37" t="s">
        <v>88</v>
      </c>
      <c r="X268" s="280">
        <f>IFERROR(SUMPRODUCT(X264:X266*H264:H266),"0")</f>
        <v>1020</v>
      </c>
      <c r="Y268" s="280">
        <f>IFERROR(SUMPRODUCT(Y264:Y266*H264:H266),"0")</f>
        <v>1020</v>
      </c>
      <c r="Z268" s="37"/>
      <c r="AA268" s="281"/>
      <c r="AB268" s="281"/>
      <c r="AC268" s="281"/>
    </row>
    <row r="269" spans="1:68" ht="14.25" hidden="1" customHeight="1" x14ac:dyDescent="0.25">
      <c r="A269" s="291" t="s">
        <v>133</v>
      </c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0"/>
      <c r="P269" s="290"/>
      <c r="Q269" s="290"/>
      <c r="R269" s="290"/>
      <c r="S269" s="290"/>
      <c r="T269" s="290"/>
      <c r="U269" s="290"/>
      <c r="V269" s="290"/>
      <c r="W269" s="290"/>
      <c r="X269" s="290"/>
      <c r="Y269" s="290"/>
      <c r="Z269" s="290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57" t="s">
        <v>352</v>
      </c>
      <c r="Q270" s="301"/>
      <c r="R270" s="301"/>
      <c r="S270" s="301"/>
      <c r="T270" s="302"/>
      <c r="U270" s="34"/>
      <c r="V270" s="34"/>
      <c r="W270" s="35" t="s">
        <v>68</v>
      </c>
      <c r="X270" s="278">
        <v>12</v>
      </c>
      <c r="Y270" s="279">
        <f t="shared" ref="Y270:Y280" si="18">IFERROR(IF(X270="","",X270),"")</f>
        <v>12</v>
      </c>
      <c r="Z270" s="36">
        <f>IFERROR(IF(X270="","",X270*0.0155),"")</f>
        <v>0.186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68.820000000000007</v>
      </c>
      <c r="BN270" s="67">
        <f t="shared" ref="BN270:BN280" si="20">IFERROR(Y270*I270,"0")</f>
        <v>68.820000000000007</v>
      </c>
      <c r="BO270" s="67">
        <f t="shared" ref="BO270:BO280" si="21">IFERROR(X270/J270,"0")</f>
        <v>0.14285714285714285</v>
      </c>
      <c r="BP270" s="67">
        <f t="shared" ref="BP270:BP280" si="22">IFERROR(Y270/J270,"0")</f>
        <v>0.14285714285714285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441" t="s">
        <v>356</v>
      </c>
      <c r="Q271" s="301"/>
      <c r="R271" s="301"/>
      <c r="S271" s="301"/>
      <c r="T271" s="302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409" t="s">
        <v>360</v>
      </c>
      <c r="Q272" s="301"/>
      <c r="R272" s="301"/>
      <c r="S272" s="301"/>
      <c r="T272" s="302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454" t="s">
        <v>364</v>
      </c>
      <c r="Q273" s="301"/>
      <c r="R273" s="301"/>
      <c r="S273" s="301"/>
      <c r="T273" s="302"/>
      <c r="U273" s="34"/>
      <c r="V273" s="34"/>
      <c r="W273" s="35" t="s">
        <v>68</v>
      </c>
      <c r="X273" s="278">
        <v>126</v>
      </c>
      <c r="Y273" s="279">
        <f t="shared" si="18"/>
        <v>126</v>
      </c>
      <c r="Z273" s="36">
        <f t="shared" ref="Z273:Z280" si="23">IFERROR(IF(X273="","",X273*0.00936),"")</f>
        <v>1.17936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490.392</v>
      </c>
      <c r="BN273" s="67">
        <f t="shared" si="20"/>
        <v>490.392</v>
      </c>
      <c r="BO273" s="67">
        <f t="shared" si="21"/>
        <v>1</v>
      </c>
      <c r="BP273" s="67">
        <f t="shared" si="22"/>
        <v>1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312" t="s">
        <v>367</v>
      </c>
      <c r="Q274" s="301"/>
      <c r="R274" s="301"/>
      <c r="S274" s="301"/>
      <c r="T274" s="302"/>
      <c r="U274" s="34"/>
      <c r="V274" s="34"/>
      <c r="W274" s="35" t="s">
        <v>68</v>
      </c>
      <c r="X274" s="278">
        <v>98</v>
      </c>
      <c r="Y274" s="279">
        <f t="shared" si="18"/>
        <v>98</v>
      </c>
      <c r="Z274" s="36">
        <f t="shared" si="23"/>
        <v>0.91727999999999998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312.81600000000003</v>
      </c>
      <c r="BN274" s="67">
        <f t="shared" si="20"/>
        <v>312.81600000000003</v>
      </c>
      <c r="BO274" s="67">
        <f t="shared" si="21"/>
        <v>0.77777777777777779</v>
      </c>
      <c r="BP274" s="67">
        <f t="shared" si="22"/>
        <v>0.77777777777777779</v>
      </c>
    </row>
    <row r="275" spans="1:68" ht="27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3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1"/>
      <c r="R275" s="301"/>
      <c r="S275" s="301"/>
      <c r="T275" s="302"/>
      <c r="U275" s="34"/>
      <c r="V275" s="34"/>
      <c r="W275" s="35" t="s">
        <v>68</v>
      </c>
      <c r="X275" s="278">
        <v>14</v>
      </c>
      <c r="Y275" s="279">
        <f t="shared" si="18"/>
        <v>14</v>
      </c>
      <c r="Z275" s="36">
        <f t="shared" si="23"/>
        <v>0.13103999999999999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54.488</v>
      </c>
      <c r="BN275" s="67">
        <f t="shared" si="20"/>
        <v>54.488</v>
      </c>
      <c r="BO275" s="67">
        <f t="shared" si="21"/>
        <v>0.1111111111111111</v>
      </c>
      <c r="BP275" s="67">
        <f t="shared" si="22"/>
        <v>0.1111111111111111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56" t="s">
        <v>373</v>
      </c>
      <c r="Q276" s="301"/>
      <c r="R276" s="301"/>
      <c r="S276" s="301"/>
      <c r="T276" s="302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411" t="s">
        <v>376</v>
      </c>
      <c r="Q277" s="301"/>
      <c r="R277" s="301"/>
      <c r="S277" s="301"/>
      <c r="T277" s="302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5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1"/>
      <c r="R278" s="301"/>
      <c r="S278" s="301"/>
      <c r="T278" s="302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37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1"/>
      <c r="R279" s="301"/>
      <c r="S279" s="301"/>
      <c r="T279" s="302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424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301"/>
      <c r="R280" s="301"/>
      <c r="S280" s="301"/>
      <c r="T280" s="302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2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3"/>
      <c r="P281" s="306" t="s">
        <v>87</v>
      </c>
      <c r="Q281" s="283"/>
      <c r="R281" s="283"/>
      <c r="S281" s="283"/>
      <c r="T281" s="283"/>
      <c r="U281" s="283"/>
      <c r="V281" s="284"/>
      <c r="W281" s="37" t="s">
        <v>68</v>
      </c>
      <c r="X281" s="280">
        <f>IFERROR(SUM(X270:X280),"0")</f>
        <v>250</v>
      </c>
      <c r="Y281" s="280">
        <f>IFERROR(SUM(Y270:Y280),"0")</f>
        <v>250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2.4136799999999998</v>
      </c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3"/>
      <c r="P282" s="306" t="s">
        <v>87</v>
      </c>
      <c r="Q282" s="283"/>
      <c r="R282" s="283"/>
      <c r="S282" s="283"/>
      <c r="T282" s="283"/>
      <c r="U282" s="283"/>
      <c r="V282" s="284"/>
      <c r="W282" s="37" t="s">
        <v>88</v>
      </c>
      <c r="X282" s="280">
        <f>IFERROR(SUMPRODUCT(X270:X280*H270:H280),"0")</f>
        <v>878</v>
      </c>
      <c r="Y282" s="280">
        <f>IFERROR(SUMPRODUCT(Y270:Y280*H270:H280),"0")</f>
        <v>878</v>
      </c>
      <c r="Z282" s="37"/>
      <c r="AA282" s="281"/>
      <c r="AB282" s="281"/>
      <c r="AC282" s="281"/>
    </row>
    <row r="283" spans="1:68" ht="15" customHeight="1" x14ac:dyDescent="0.2">
      <c r="A283" s="298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9"/>
      <c r="P283" s="348" t="s">
        <v>384</v>
      </c>
      <c r="Q283" s="349"/>
      <c r="R283" s="349"/>
      <c r="S283" s="349"/>
      <c r="T283" s="349"/>
      <c r="U283" s="349"/>
      <c r="V283" s="30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9928.64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9928.64</v>
      </c>
      <c r="Z283" s="37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299"/>
      <c r="P284" s="348" t="s">
        <v>385</v>
      </c>
      <c r="Q284" s="349"/>
      <c r="R284" s="349"/>
      <c r="S284" s="349"/>
      <c r="T284" s="349"/>
      <c r="U284" s="349"/>
      <c r="V284" s="309"/>
      <c r="W284" s="37" t="s">
        <v>88</v>
      </c>
      <c r="X284" s="280">
        <f>IFERROR(SUM(BM22:BM280),"0")</f>
        <v>11082.881999999998</v>
      </c>
      <c r="Y284" s="280">
        <f>IFERROR(SUM(BN22:BN280),"0")</f>
        <v>11082.881999999998</v>
      </c>
      <c r="Z284" s="37"/>
      <c r="AA284" s="281"/>
      <c r="AB284" s="281"/>
      <c r="AC284" s="281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299"/>
      <c r="P285" s="348" t="s">
        <v>386</v>
      </c>
      <c r="Q285" s="349"/>
      <c r="R285" s="349"/>
      <c r="S285" s="349"/>
      <c r="T285" s="349"/>
      <c r="U285" s="349"/>
      <c r="V285" s="309"/>
      <c r="W285" s="37" t="s">
        <v>387</v>
      </c>
      <c r="X285" s="38">
        <f>ROUNDUP(SUM(BO22:BO280),0)</f>
        <v>32</v>
      </c>
      <c r="Y285" s="38">
        <f>ROUNDUP(SUM(BP22:BP280),0)</f>
        <v>32</v>
      </c>
      <c r="Z285" s="37"/>
      <c r="AA285" s="281"/>
      <c r="AB285" s="281"/>
      <c r="AC285" s="281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299"/>
      <c r="P286" s="348" t="s">
        <v>388</v>
      </c>
      <c r="Q286" s="349"/>
      <c r="R286" s="349"/>
      <c r="S286" s="349"/>
      <c r="T286" s="349"/>
      <c r="U286" s="349"/>
      <c r="V286" s="309"/>
      <c r="W286" s="37" t="s">
        <v>88</v>
      </c>
      <c r="X286" s="280">
        <f>GrossWeightTotal+PalletQtyTotal*25</f>
        <v>11882.881999999998</v>
      </c>
      <c r="Y286" s="280">
        <f>GrossWeightTotalR+PalletQtyTotalR*25</f>
        <v>11882.881999999998</v>
      </c>
      <c r="Z286" s="37"/>
      <c r="AA286" s="281"/>
      <c r="AB286" s="281"/>
      <c r="AC286" s="281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299"/>
      <c r="P287" s="348" t="s">
        <v>389</v>
      </c>
      <c r="Q287" s="349"/>
      <c r="R287" s="349"/>
      <c r="S287" s="349"/>
      <c r="T287" s="349"/>
      <c r="U287" s="349"/>
      <c r="V287" s="30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2812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2812</v>
      </c>
      <c r="Z287" s="37"/>
      <c r="AA287" s="281"/>
      <c r="AB287" s="281"/>
      <c r="AC287" s="281"/>
    </row>
    <row r="288" spans="1:68" ht="14.25" hidden="1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299"/>
      <c r="P288" s="348" t="s">
        <v>390</v>
      </c>
      <c r="Q288" s="349"/>
      <c r="R288" s="349"/>
      <c r="S288" s="349"/>
      <c r="T288" s="349"/>
      <c r="U288" s="349"/>
      <c r="V288" s="30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40.193099999999994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287" t="s">
        <v>61</v>
      </c>
      <c r="C290" s="356"/>
      <c r="D290" s="287" t="s">
        <v>95</v>
      </c>
      <c r="E290" s="355"/>
      <c r="F290" s="355"/>
      <c r="G290" s="355"/>
      <c r="H290" s="355"/>
      <c r="I290" s="355"/>
      <c r="J290" s="355"/>
      <c r="K290" s="355"/>
      <c r="L290" s="355"/>
      <c r="M290" s="355"/>
      <c r="N290" s="355"/>
      <c r="O290" s="355"/>
      <c r="P290" s="355"/>
      <c r="Q290" s="355"/>
      <c r="R290" s="355"/>
      <c r="S290" s="355"/>
      <c r="T290" s="355"/>
      <c r="U290" s="356"/>
      <c r="V290" s="287" t="s">
        <v>258</v>
      </c>
      <c r="W290" s="355"/>
      <c r="X290" s="356"/>
      <c r="Y290" s="270" t="s">
        <v>276</v>
      </c>
      <c r="Z290" s="287" t="s">
        <v>290</v>
      </c>
      <c r="AA290" s="355"/>
      <c r="AB290" s="356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377" t="s">
        <v>393</v>
      </c>
      <c r="B291" s="287" t="s">
        <v>61</v>
      </c>
      <c r="C291" s="287" t="s">
        <v>89</v>
      </c>
      <c r="D291" s="287" t="s">
        <v>96</v>
      </c>
      <c r="E291" s="287" t="s">
        <v>107</v>
      </c>
      <c r="F291" s="287" t="s">
        <v>114</v>
      </c>
      <c r="G291" s="287" t="s">
        <v>125</v>
      </c>
      <c r="H291" s="287" t="s">
        <v>141</v>
      </c>
      <c r="I291" s="287" t="s">
        <v>148</v>
      </c>
      <c r="J291" s="287" t="s">
        <v>152</v>
      </c>
      <c r="K291" s="287" t="s">
        <v>160</v>
      </c>
      <c r="L291" s="287" t="s">
        <v>175</v>
      </c>
      <c r="M291" s="287" t="s">
        <v>181</v>
      </c>
      <c r="N291" s="271"/>
      <c r="O291" s="287" t="s">
        <v>207</v>
      </c>
      <c r="P291" s="287" t="s">
        <v>229</v>
      </c>
      <c r="Q291" s="287" t="s">
        <v>235</v>
      </c>
      <c r="R291" s="287" t="s">
        <v>241</v>
      </c>
      <c r="S291" s="287" t="s">
        <v>248</v>
      </c>
      <c r="T291" s="287" t="s">
        <v>251</v>
      </c>
      <c r="U291" s="287" t="s">
        <v>255</v>
      </c>
      <c r="V291" s="287" t="s">
        <v>259</v>
      </c>
      <c r="W291" s="287" t="s">
        <v>266</v>
      </c>
      <c r="X291" s="287" t="s">
        <v>273</v>
      </c>
      <c r="Y291" s="287" t="s">
        <v>277</v>
      </c>
      <c r="Z291" s="287" t="s">
        <v>291</v>
      </c>
      <c r="AA291" s="287" t="s">
        <v>304</v>
      </c>
      <c r="AB291" s="287" t="s">
        <v>311</v>
      </c>
      <c r="AC291" s="287" t="s">
        <v>316</v>
      </c>
      <c r="AD291" s="287" t="s">
        <v>321</v>
      </c>
      <c r="AE291" s="287" t="s">
        <v>328</v>
      </c>
      <c r="AF291" s="287" t="s">
        <v>259</v>
      </c>
    </row>
    <row r="292" spans="1:32" ht="13.5" customHeight="1" thickBot="1" x14ac:dyDescent="0.25">
      <c r="A292" s="378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71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  <c r="AA292" s="288"/>
      <c r="AB292" s="288"/>
      <c r="AC292" s="288"/>
      <c r="AD292" s="288"/>
      <c r="AE292" s="288"/>
      <c r="AF292" s="288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384.00000000000006</v>
      </c>
      <c r="C293" s="46">
        <f>IFERROR(X34*H34,"0")+IFERROR(X35*H35,"0")</f>
        <v>0</v>
      </c>
      <c r="D293" s="46">
        <f>IFERROR(X41*H41,"0")+IFERROR(X42*H42,"0")</f>
        <v>399</v>
      </c>
      <c r="E293" s="46">
        <f>IFERROR(X47*H47,"0")+IFERROR(X48*H48,"0")</f>
        <v>403.2</v>
      </c>
      <c r="F293" s="46">
        <f>IFERROR(X53*H53,"0")+IFERROR(X54*H54,"0")+IFERROR(X55*H55,"0")+IFERROR(X56*H56,"0")</f>
        <v>825.6</v>
      </c>
      <c r="G293" s="46">
        <f>IFERROR(X61*H61,"0")+IFERROR(X65*H65,"0")+IFERROR(X69*H69,"0")+IFERROR(X70*H70,"0")+IFERROR(X71*H71,"0")</f>
        <v>84</v>
      </c>
      <c r="H293" s="46">
        <f>IFERROR(X76*H76,"0")+IFERROR(X77*H77,"0")</f>
        <v>420</v>
      </c>
      <c r="I293" s="46">
        <f>IFERROR(X82*H82,"0")</f>
        <v>0</v>
      </c>
      <c r="J293" s="46">
        <f>IFERROR(X87*H87,"0")+IFERROR(X88*H88,"0")</f>
        <v>201.6</v>
      </c>
      <c r="K293" s="46">
        <f>IFERROR(X93*H93,"0")+IFERROR(X94*H94,"0")+IFERROR(X95*H95,"0")+IFERROR(X96*H96,"0")+IFERROR(X97*H97,"0")+IFERROR(X98*H98,"0")</f>
        <v>766.07999999999993</v>
      </c>
      <c r="L293" s="46">
        <f>IFERROR(X103*H103,"0")+IFERROR(X104*H104,"0")</f>
        <v>30.240000000000002</v>
      </c>
      <c r="M293" s="46">
        <f>IFERROR(X109*H109,"0")+IFERROR(X110*H110,"0")+IFERROR(X111*H111,"0")+IFERROR(X112*H112,"0")+IFERROR(X113*H113,"0")+IFERROR(X114*H114,"0")+IFERROR(X115*H115,"0")+IFERROR(X119*H119,"0")+IFERROR(X123*H123,"0")</f>
        <v>902.4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320.03999999999996</v>
      </c>
      <c r="P293" s="46">
        <f>IFERROR(X146*H146,"0")+IFERROR(X147*H147,"0")</f>
        <v>1050</v>
      </c>
      <c r="Q293" s="46">
        <f>IFERROR(X152*H152,"0")+IFERROR(X153*H153,"0")</f>
        <v>0</v>
      </c>
      <c r="R293" s="46">
        <f>IFERROR(X158*H158,"0")+IFERROR(X159*H159,"0")</f>
        <v>369.6</v>
      </c>
      <c r="S293" s="46">
        <f>IFERROR(X164*H164,"0")</f>
        <v>42</v>
      </c>
      <c r="T293" s="46">
        <f>IFERROR(X169*H169,"0")</f>
        <v>0</v>
      </c>
      <c r="U293" s="46">
        <f>IFERROR(X174*H174,"0")</f>
        <v>94.08</v>
      </c>
      <c r="V293" s="46">
        <f>IFERROR(X180*H180,"0")+IFERROR(X184*H184,"0")</f>
        <v>1008</v>
      </c>
      <c r="W293" s="46">
        <f>IFERROR(X189*H189,"0")+IFERROR(X190*H190,"0")</f>
        <v>0</v>
      </c>
      <c r="X293" s="46">
        <f>IFERROR(X195*H195,"0")</f>
        <v>0</v>
      </c>
      <c r="Y293" s="46">
        <f>IFERROR(X201*H201,"0")+IFERROR(X202*H202,"0")+IFERROR(X203*H203,"0")+IFERROR(X204*H204,"0")</f>
        <v>630</v>
      </c>
      <c r="Z293" s="46">
        <f>IFERROR(X210*H210,"0")+IFERROR(X214*H214,"0")+IFERROR(X215*H215,"0")+IFERROR(X216*H216,"0")</f>
        <v>100.8</v>
      </c>
      <c r="AA293" s="46">
        <f>IFERROR(X221*H221,"0")+IFERROR(X222*H222,"0")</f>
        <v>0</v>
      </c>
      <c r="AB293" s="46">
        <f>IFERROR(X227*H227,"0")</f>
        <v>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1898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2935.2000000000003</v>
      </c>
      <c r="B296" s="60">
        <f>SUMPRODUCT(--(BB:BB="ПГП"),--(W:W="кор"),H:H,Y:Y)+SUMPRODUCT(--(BB:BB="ПГП"),--(W:W="кг"),Y:Y)</f>
        <v>6993.44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20,00"/>
        <filter val="1 050,00"/>
        <filter val="100,80"/>
        <filter val="11 082,88"/>
        <filter val="11 882,88"/>
        <filter val="112,00"/>
        <filter val="12,00"/>
        <filter val="120,00"/>
        <filter val="126,00"/>
        <filter val="132,00"/>
        <filter val="14,00"/>
        <filter val="140,00"/>
        <filter val="154,00"/>
        <filter val="168,00"/>
        <filter val="182,00"/>
        <filter val="2 812,00"/>
        <filter val="201,60"/>
        <filter val="204,00"/>
        <filter val="210,00"/>
        <filter val="24,00"/>
        <filter val="250,00"/>
        <filter val="252,00"/>
        <filter val="266,00"/>
        <filter val="28,00"/>
        <filter val="289,80"/>
        <filter val="30,24"/>
        <filter val="32"/>
        <filter val="350,00"/>
        <filter val="36,00"/>
        <filter val="369,60"/>
        <filter val="384,00"/>
        <filter val="399,00"/>
        <filter val="403,20"/>
        <filter val="42,00"/>
        <filter val="420,00"/>
        <filter val="56,00"/>
        <filter val="60,00"/>
        <filter val="630,00"/>
        <filter val="70,00"/>
        <filter val="72,00"/>
        <filter val="766,08"/>
        <filter val="825,60"/>
        <filter val="84,00"/>
        <filter val="878,00"/>
        <filter val="9 928,64"/>
        <filter val="902,40"/>
        <filter val="94,08"/>
        <filter val="96,00"/>
        <filter val="98,00"/>
      </filters>
    </filterColumn>
    <filterColumn colId="29" showButton="0"/>
    <filterColumn colId="30" showButton="0"/>
  </autoFilter>
  <mergeCells count="513"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A150:Z150"/>
    <mergeCell ref="A144:Z144"/>
    <mergeCell ref="A120:O121"/>
    <mergeCell ref="P23:T23"/>
    <mergeCell ref="A12:M12"/>
    <mergeCell ref="A19:Z19"/>
    <mergeCell ref="A14:M14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X291:X292"/>
    <mergeCell ref="D291:D292"/>
    <mergeCell ref="E291:E292"/>
    <mergeCell ref="P267:V267"/>
    <mergeCell ref="K291:K292"/>
    <mergeCell ref="D273:E273"/>
    <mergeCell ref="U291:U292"/>
    <mergeCell ref="P276:T276"/>
    <mergeCell ref="P270:T270"/>
    <mergeCell ref="P284:V284"/>
    <mergeCell ref="P278:T278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J9:M9"/>
    <mergeCell ref="D203:E203"/>
    <mergeCell ref="P165:V165"/>
    <mergeCell ref="P30:V30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B291:B292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P49:V49"/>
    <mergeCell ref="P36:V36"/>
    <mergeCell ref="A78:O79"/>
    <mergeCell ref="P241:V241"/>
    <mergeCell ref="P105:V105"/>
    <mergeCell ref="P99:V99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D111:E111"/>
    <mergeCell ref="D233:E233"/>
    <mergeCell ref="P212:V212"/>
    <mergeCell ref="Q8:R8"/>
    <mergeCell ref="P69:T69"/>
    <mergeCell ref="P140:T140"/>
    <mergeCell ref="D104:E104"/>
    <mergeCell ref="P83:V83"/>
    <mergeCell ref="T6:U9"/>
    <mergeCell ref="Q10:R10"/>
    <mergeCell ref="A30:O31"/>
    <mergeCell ref="D41:E41"/>
    <mergeCell ref="A208:Z208"/>
    <mergeCell ref="P84:V84"/>
    <mergeCell ref="P111:T111"/>
    <mergeCell ref="P61:T61"/>
    <mergeCell ref="P48:T48"/>
    <mergeCell ref="A105:O106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P185:V185"/>
    <mergeCell ref="P160:V160"/>
    <mergeCell ref="G291:G292"/>
    <mergeCell ref="P283:V283"/>
    <mergeCell ref="V290:X290"/>
    <mergeCell ref="D169:E169"/>
    <mergeCell ref="P132:T132"/>
    <mergeCell ref="P190:T190"/>
    <mergeCell ref="P240:V240"/>
    <mergeCell ref="M291:M292"/>
    <mergeCell ref="D275:E275"/>
    <mergeCell ref="P254:V254"/>
    <mergeCell ref="D277:E277"/>
    <mergeCell ref="A234:O235"/>
    <mergeCell ref="P275:T275"/>
    <mergeCell ref="P235:V235"/>
    <mergeCell ref="P245:V245"/>
    <mergeCell ref="P291:P292"/>
    <mergeCell ref="P159:T159"/>
    <mergeCell ref="D140:E14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113:E113"/>
    <mergeCell ref="P180:T180"/>
    <mergeCell ref="D88:E88"/>
    <mergeCell ref="A151:Z151"/>
    <mergeCell ref="P154:V154"/>
    <mergeCell ref="P34:T34"/>
    <mergeCell ref="P214:T214"/>
    <mergeCell ref="P192:V192"/>
    <mergeCell ref="A191:O192"/>
    <mergeCell ref="P129:V129"/>
    <mergeCell ref="P170:V170"/>
    <mergeCell ref="P114:T114"/>
    <mergeCell ref="P41:T41"/>
    <mergeCell ref="D133:E133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D270:E270"/>
    <mergeCell ref="P285:V285"/>
    <mergeCell ref="P174:T174"/>
    <mergeCell ref="D266:E266"/>
    <mergeCell ref="D227:E227"/>
    <mergeCell ref="P262:V262"/>
    <mergeCell ref="D260:E260"/>
    <mergeCell ref="P255:V255"/>
    <mergeCell ref="S291:S292"/>
    <mergeCell ref="P253:T253"/>
    <mergeCell ref="D278:E278"/>
    <mergeCell ref="P243:T243"/>
    <mergeCell ref="A269:Z269"/>
    <mergeCell ref="A231:Z231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P78:V78"/>
    <mergeCell ref="P205:V205"/>
    <mergeCell ref="D22:E22"/>
    <mergeCell ref="A157:Z157"/>
    <mergeCell ref="A62:O63"/>
    <mergeCell ref="H5:M5"/>
    <mergeCell ref="P31:V31"/>
    <mergeCell ref="P25:T25"/>
    <mergeCell ref="A142:O143"/>
    <mergeCell ref="D239:E239"/>
    <mergeCell ref="D95:E95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63:V63"/>
    <mergeCell ref="D215:E215"/>
    <mergeCell ref="P250:V250"/>
    <mergeCell ref="P50:V50"/>
    <mergeCell ref="A75:Z75"/>
    <mergeCell ref="A246:Z246"/>
    <mergeCell ref="D54:E54"/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