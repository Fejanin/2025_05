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40A32D-F678-4828-B02F-1EE05173E9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<sst xmlns="http://schemas.openxmlformats.org/spreadsheetml/2006/main" count="1762" uniqueCount="408">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</sst>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407</v>
      </c>
      <c r="I5" s="296"/>
      <c r="J5" s="296"/>
      <c r="K5" s="296"/>
      <c r="L5" s="296"/>
      <c r="M5" s="296"/>
      <c r="N5" s="75"/>
      <c r="P5" s="27" t="s">
        <v>4</v>
      </c>
      <c r="Q5" s="298">
        <v>46307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idden="1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437.15999999999997</v>
      </c>
      <c r="BN54" s="81">
        <f>IFERROR(Y54*I54,"0")</f>
        <v>437.15999999999997</v>
      </c>
      <c r="BO54" s="81">
        <f>IFERROR(X54/J54,"0")</f>
        <v>0.7142857142857143</v>
      </c>
      <c r="BP54" s="81">
        <f>IFERROR(Y54/J54,"0")</f>
        <v>0.7142857142857143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60</v>
      </c>
      <c r="Y57" s="43">
        <f>IFERROR(SUM(Y53:Y56),"0")</f>
        <v>60</v>
      </c>
      <c r="Z57" s="43">
        <f>IFERROR(IF(Z53="",0,Z53),"0")+IFERROR(IF(Z54="",0,Z54),"0")+IFERROR(IF(Z55="",0,Z55),"0")+IFERROR(IF(Z56="",0,Z56),"0")</f>
        <v>0.92999999999999994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420</v>
      </c>
      <c r="Y58" s="43">
        <f>IFERROR(SUMPRODUCT(Y53:Y56*H53:H56),"0")</f>
        <v>420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56</v>
      </c>
      <c r="Y72" s="55">
        <f>IFERROR(IF(X72="","",X72),"")</f>
        <v>56</v>
      </c>
      <c r="Z72" s="41">
        <f>IFERROR(IF(X72="","",X72*0.00941),"")</f>
        <v>0.52695999999999998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87.36</v>
      </c>
      <c r="BN72" s="81">
        <f>IFERROR(Y72*I72,"0")</f>
        <v>87.36</v>
      </c>
      <c r="BO72" s="81">
        <f>IFERROR(X72/J72,"0")</f>
        <v>0.4</v>
      </c>
      <c r="BP72" s="81">
        <f>IFERROR(Y72/J72,"0")</f>
        <v>0.4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56</v>
      </c>
      <c r="Y73" s="43">
        <f>IFERROR(SUM(Y70:Y72),"0")</f>
        <v>56</v>
      </c>
      <c r="Z73" s="43">
        <f>IFERROR(IF(Z70="",0,Z70),"0")+IFERROR(IF(Z71="",0,Z71),"0")+IFERROR(IF(Z72="",0,Z72),"0")</f>
        <v>0.52695999999999998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67.2</v>
      </c>
      <c r="Y74" s="43">
        <f>IFERROR(SUMPRODUCT(Y70:Y72*H70:H72),"0")</f>
        <v>67.2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idden="1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56</v>
      </c>
      <c r="Y96" s="55">
        <f t="shared" si="6"/>
        <v>56</v>
      </c>
      <c r="Z96" s="41">
        <f t="shared" si="7"/>
        <v>1.0012799999999999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200.6816</v>
      </c>
      <c r="BN96" s="81">
        <f t="shared" si="9"/>
        <v>200.6816</v>
      </c>
      <c r="BO96" s="81">
        <f t="shared" si="10"/>
        <v>0.8</v>
      </c>
      <c r="BP96" s="81">
        <f t="shared" si="11"/>
        <v>0.8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112</v>
      </c>
      <c r="Y100" s="43">
        <f>IFERROR(SUM(Y94:Y99),"0")</f>
        <v>112</v>
      </c>
      <c r="Z100" s="43">
        <f>IFERROR(IF(Z94="",0,Z94),"0")+IFERROR(IF(Z95="",0,Z95),"0")+IFERROR(IF(Z96="",0,Z96),"0")+IFERROR(IF(Z97="",0,Z97),"0")+IFERROR(IF(Z98="",0,Z98),"0")+IFERROR(IF(Z99="",0,Z99),"0")</f>
        <v>2.0025599999999999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322.56</v>
      </c>
      <c r="Y101" s="43">
        <f>IFERROR(SUMPRODUCT(Y94:Y99*H94:H99),"0")</f>
        <v>322.56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56</v>
      </c>
      <c r="Y105" s="55">
        <f>IFERROR(IF(X105="","",X105),"")</f>
        <v>56</v>
      </c>
      <c r="Z105" s="41">
        <f>IFERROR(IF(X105="","",X105*0.01788),"")</f>
        <v>1.0012799999999999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237.66399999999999</v>
      </c>
      <c r="BN105" s="81">
        <f>IFERROR(Y105*I105,"0")</f>
        <v>237.66399999999999</v>
      </c>
      <c r="BO105" s="81">
        <f>IFERROR(X105/J105,"0")</f>
        <v>0.8</v>
      </c>
      <c r="BP105" s="81">
        <f>IFERROR(Y105/J105,"0")</f>
        <v>0.8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56</v>
      </c>
      <c r="Y106" s="43">
        <f>IFERROR(SUM(Y104:Y105),"0")</f>
        <v>56</v>
      </c>
      <c r="Z106" s="43">
        <f>IFERROR(IF(Z104="",0,Z104),"0")+IFERROR(IF(Z105="",0,Z105),"0")</f>
        <v>1.0012799999999999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201.6</v>
      </c>
      <c r="Y107" s="43">
        <f>IFERROR(SUMPRODUCT(Y104:Y105*H104:H105),"0")</f>
        <v>201.6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60</v>
      </c>
      <c r="Y119" s="43">
        <f>IFERROR(SUM(Y110:Y118),"0")</f>
        <v>60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0.92999999999999994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420</v>
      </c>
      <c r="Y120" s="43">
        <f>IFERROR(SUMPRODUCT(Y110:Y118*H110:H118),"0")</f>
        <v>420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56</v>
      </c>
      <c r="Y132" s="55">
        <f>IFERROR(IF(X132="","",X132),"")</f>
        <v>56</v>
      </c>
      <c r="Z132" s="41">
        <f>IFERROR(IF(X132="","",X132*0.00941),"")</f>
        <v>0.52695999999999998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100.8</v>
      </c>
      <c r="BN132" s="81">
        <f>IFERROR(Y132*I132,"0")</f>
        <v>100.8</v>
      </c>
      <c r="BO132" s="81">
        <f>IFERROR(X132/J132,"0")</f>
        <v>0.4</v>
      </c>
      <c r="BP132" s="81">
        <f>IFERROR(Y132/J132,"0")</f>
        <v>0.4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56</v>
      </c>
      <c r="Y135" s="43">
        <f>IFERROR(SUM(Y131:Y134),"0")</f>
        <v>56</v>
      </c>
      <c r="Z135" s="43">
        <f>IFERROR(IF(Z131="",0,Z131),"0")+IFERROR(IF(Z132="",0,Z132),"0")+IFERROR(IF(Z133="",0,Z133),"0")+IFERROR(IF(Z134="",0,Z134),"0")</f>
        <v>0.52695999999999998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77.28</v>
      </c>
      <c r="Y136" s="43">
        <f>IFERROR(SUMPRODUCT(Y131:Y134*H131:H134),"0")</f>
        <v>77.28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idden="1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56</v>
      </c>
      <c r="Y151" s="55">
        <f>IFERROR(IF(X151="","",X151),"")</f>
        <v>56</v>
      </c>
      <c r="Z151" s="41">
        <f>IFERROR(IF(X151="","",X151*0.01788),"")</f>
        <v>1.0012799999999999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209.88800000000001</v>
      </c>
      <c r="BN151" s="81">
        <f>IFERROR(Y151*I151,"0")</f>
        <v>209.88800000000001</v>
      </c>
      <c r="BO151" s="81">
        <f>IFERROR(X151/J151,"0")</f>
        <v>0.8</v>
      </c>
      <c r="BP151" s="81">
        <f>IFERROR(Y151/J151,"0")</f>
        <v>0.8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56</v>
      </c>
      <c r="Y153" s="43">
        <f>IFERROR(SUM(Y151:Y152),"0")</f>
        <v>56</v>
      </c>
      <c r="Z153" s="43">
        <f>IFERROR(IF(Z151="",0,Z151),"0")+IFERROR(IF(Z152="",0,Z152),"0")</f>
        <v>1.0012799999999999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168</v>
      </c>
      <c r="Y154" s="43">
        <f>IFERROR(SUMPRODUCT(Y151:Y152*H151:H152),"0")</f>
        <v>168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56</v>
      </c>
      <c r="Y158" s="55">
        <f>IFERROR(IF(X158="","",X158),"")</f>
        <v>56</v>
      </c>
      <c r="Z158" s="41">
        <f>IFERROR(IF(X158="","",X158*0.01788),"")</f>
        <v>1.0012799999999999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150.08000000000001</v>
      </c>
      <c r="BN158" s="81">
        <f>IFERROR(Y158*I158,"0")</f>
        <v>150.08000000000001</v>
      </c>
      <c r="BO158" s="81">
        <f>IFERROR(X158/J158,"0")</f>
        <v>0.8</v>
      </c>
      <c r="BP158" s="81">
        <f>IFERROR(Y158/J158,"0")</f>
        <v>0.8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56</v>
      </c>
      <c r="Y159" s="43">
        <f>IFERROR(SUM(Y157:Y158),"0")</f>
        <v>56</v>
      </c>
      <c r="Z159" s="43">
        <f>IFERROR(IF(Z157="",0,Z157),"0")+IFERROR(IF(Z158="",0,Z158),"0")</f>
        <v>1.0012799999999999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134.4</v>
      </c>
      <c r="Y160" s="43">
        <f>IFERROR(SUMPRODUCT(Y157:Y158*H157:H158),"0")</f>
        <v>134.4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56</v>
      </c>
      <c r="Y173" s="55">
        <f>IFERROR(IF(X173="","",X173),"")</f>
        <v>56</v>
      </c>
      <c r="Z173" s="41">
        <f>IFERROR(IF(X173="","",X173*0.00941),"")</f>
        <v>0.52695999999999998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117.70079999999999</v>
      </c>
      <c r="BN173" s="81">
        <f>IFERROR(Y173*I173,"0")</f>
        <v>117.70079999999999</v>
      </c>
      <c r="BO173" s="81">
        <f>IFERROR(X173/J173,"0")</f>
        <v>0.4</v>
      </c>
      <c r="BP173" s="81">
        <f>IFERROR(Y173/J173,"0")</f>
        <v>0.4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56</v>
      </c>
      <c r="Y174" s="43">
        <f>IFERROR(SUM(Y173:Y173),"0")</f>
        <v>56</v>
      </c>
      <c r="Z174" s="43">
        <f>IFERROR(IF(Z173="",0,Z173),"0")</f>
        <v>0.52695999999999998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94.08</v>
      </c>
      <c r="Y175" s="43">
        <f>IFERROR(SUMPRODUCT(Y173:Y173*H173:H173),"0")</f>
        <v>94.08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56</v>
      </c>
      <c r="Y191" s="55">
        <f>IFERROR(IF(X191="","",X191),"")</f>
        <v>56</v>
      </c>
      <c r="Z191" s="41">
        <f>IFERROR(IF(X191="","",X191*0.01788),"")</f>
        <v>1.0012799999999999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189.72800000000001</v>
      </c>
      <c r="BN191" s="81">
        <f>IFERROR(Y191*I191,"0")</f>
        <v>189.72800000000001</v>
      </c>
      <c r="BO191" s="81">
        <f>IFERROR(X191/J191,"0")</f>
        <v>0.8</v>
      </c>
      <c r="BP191" s="81">
        <f>IFERROR(Y191/J191,"0")</f>
        <v>0.8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209.21600000000001</v>
      </c>
      <c r="BN193" s="81">
        <f>IFERROR(Y193*I193,"0")</f>
        <v>209.21600000000001</v>
      </c>
      <c r="BO193" s="81">
        <f>IFERROR(X193/J193,"0")</f>
        <v>0.8</v>
      </c>
      <c r="BP193" s="81">
        <f>IFERROR(Y193/J193,"0")</f>
        <v>0.8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112</v>
      </c>
      <c r="Y195" s="43">
        <f>IFERROR(SUM(Y191:Y194),"0")</f>
        <v>112</v>
      </c>
      <c r="Z195" s="43">
        <f>IFERROR(IF(Z191="",0,Z191),"0")+IFERROR(IF(Z192="",0,Z192),"0")+IFERROR(IF(Z193="",0,Z193),"0")+IFERROR(IF(Z194="",0,Z194),"0")</f>
        <v>2.0025599999999999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336</v>
      </c>
      <c r="Y196" s="43">
        <f>IFERROR(SUMPRODUCT(Y191:Y194*H191:H194),"0")</f>
        <v>336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56</v>
      </c>
      <c r="Y200" s="55">
        <f>IFERROR(IF(X200="","",X200),"")</f>
        <v>56</v>
      </c>
      <c r="Z200" s="41">
        <f>IFERROR(IF(X200="","",X200*0.01788),"")</f>
        <v>1.0012799999999999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166.88</v>
      </c>
      <c r="BN200" s="81">
        <f>IFERROR(Y200*I200,"0")</f>
        <v>166.88</v>
      </c>
      <c r="BO200" s="81">
        <f>IFERROR(X200/J200,"0")</f>
        <v>0.8</v>
      </c>
      <c r="BP200" s="81">
        <f>IFERROR(Y200/J200,"0")</f>
        <v>0.8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56</v>
      </c>
      <c r="Y201" s="43">
        <f>IFERROR(SUM(Y200:Y200),"0")</f>
        <v>56</v>
      </c>
      <c r="Z201" s="43">
        <f>IFERROR(IF(Z200="",0,Z200),"0")</f>
        <v>1.0012799999999999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154.56</v>
      </c>
      <c r="Y202" s="43">
        <f>IFERROR(SUMPRODUCT(Y200:Y200*H200:H200),"0")</f>
        <v>154.56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2395.6799999999998</v>
      </c>
      <c r="Y282" s="43">
        <f>IFERROR(Y31+Y37+Y44+Y50+Y58+Y63+Y68+Y74+Y80+Y85+Y91+Y101+Y107+Y120+Y124+Y128+Y136+Y142+Y148+Y154+Y160+Y165+Y170+Y175+Y182+Y187+Y196+Y202+Y208+Y214+Y219+Y224+Y230+Y236+Y240+Y246+Y250+Y258+Y262+Y268+Y281,"0")</f>
        <v>2395.6799999999998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2745.84</v>
      </c>
      <c r="Y283" s="43">
        <f>IFERROR(SUM(BN22:BN279),"0")</f>
        <v>2745.84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10</v>
      </c>
      <c r="Y284" s="44">
        <f>ROUNDUP(SUM(BP22:BP279),0)</f>
        <v>10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2995.84</v>
      </c>
      <c r="Y285" s="43">
        <f>GrossWeightTotalR+PalletQtyTotalR*25</f>
        <v>2995.84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736</v>
      </c>
      <c r="Y286" s="43">
        <f>IFERROR(Y30+Y36+Y43+Y49+Y57+Y62+Y67+Y73+Y79+Y84+Y90+Y100+Y106+Y119+Y123+Y127+Y135+Y141+Y147+Y153+Y159+Y164+Y169+Y174+Y181+Y186+Y195+Y201+Y207+Y213+Y218+Y223+Y229+Y235+Y239+Y245+Y249+Y257+Y261+Y267+Y280,"0")</f>
        <v>736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11.451119999999998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420</v>
      </c>
      <c r="G292" s="52">
        <f>IFERROR(X61*H61,"0")+IFERROR(X65*H65,"0")+IFERROR(X66*H66,"0")+IFERROR(X70*H70,"0")+IFERROR(X71*H71,"0")+IFERROR(X72*H72,"0")</f>
        <v>67.2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322.56</v>
      </c>
      <c r="L292" s="52">
        <f>IFERROR(X104*H104,"0")+IFERROR(X105*H105,"0")</f>
        <v>201.6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420</v>
      </c>
      <c r="N292" s="1"/>
      <c r="O292" s="52">
        <f>IFERROR(X131*H131,"0")+IFERROR(X132*H132,"0")+IFERROR(X133*H133,"0")+IFERROR(X134*H134,"0")+IFERROR(X138*H138,"0")+IFERROR(X139*H139,"0")+IFERROR(X140*H140,"0")</f>
        <v>77.28</v>
      </c>
      <c r="P292" s="52">
        <f>IFERROR(X145*H145,"0")+IFERROR(X146*H146,"0")</f>
        <v>0</v>
      </c>
      <c r="Q292" s="52">
        <f>IFERROR(X151*H151,"0")+IFERROR(X152*H152,"0")</f>
        <v>168</v>
      </c>
      <c r="R292" s="52">
        <f>IFERROR(X157*H157,"0")+IFERROR(X158*H158,"0")</f>
        <v>134.4</v>
      </c>
      <c r="S292" s="52">
        <f>IFERROR(X163*H163,"0")</f>
        <v>0</v>
      </c>
      <c r="T292" s="52">
        <f>IFERROR(X168*H168,"0")</f>
        <v>0</v>
      </c>
      <c r="U292" s="52">
        <f>IFERROR(X173*H173,"0")</f>
        <v>94.08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336</v>
      </c>
      <c r="Y292" s="52">
        <f>IFERROR(X200*H200,"0")+IFERROR(X204*H204,"0")+IFERROR(X205*H205,"0")+IFERROR(X206*H206,"0")</f>
        <v>154.56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840</v>
      </c>
      <c r="B295" s="72">
        <f>SUMPRODUCT(--(BB:BB="ПГП"),--(W:W="кор"),H:H,Y:Y)+SUMPRODUCT(--(BB:BB="ПГП"),--(W:W="кг"),Y:Y)</f>
        <v>1555.6799999999998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12,00"/>
        <filter val="134,40"/>
        <filter val="154,56"/>
        <filter val="168,00"/>
        <filter val="2 395,68"/>
        <filter val="2 745,84"/>
        <filter val="2 995,84"/>
        <filter val="201,60"/>
        <filter val="322,56"/>
        <filter val="336,00"/>
        <filter val="420,00"/>
        <filter val="56,00"/>
        <filter val="60,00"/>
        <filter val="67,20"/>
        <filter val="736,00"/>
        <filter val="77,28"/>
        <filter val="94,08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