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92C60ED-7FA9-4DAC-BC5A-5CFF86D0BCE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Y549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BP533" i="2" s="1"/>
  <c r="P533" i="2"/>
  <c r="BO532" i="2"/>
  <c r="BM532" i="2"/>
  <c r="Y532" i="2"/>
  <c r="BN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Y525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BN515" i="2" s="1"/>
  <c r="P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N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BP485" i="2" s="1"/>
  <c r="P485" i="2"/>
  <c r="BO484" i="2"/>
  <c r="BM484" i="2"/>
  <c r="Y484" i="2"/>
  <c r="Z484" i="2" s="1"/>
  <c r="P484" i="2"/>
  <c r="X480" i="2"/>
  <c r="X479" i="2"/>
  <c r="BO478" i="2"/>
  <c r="BM478" i="2"/>
  <c r="Y478" i="2"/>
  <c r="P478" i="2"/>
  <c r="BO477" i="2"/>
  <c r="BM477" i="2"/>
  <c r="Y477" i="2"/>
  <c r="P477" i="2"/>
  <c r="BO476" i="2"/>
  <c r="BM476" i="2"/>
  <c r="Y476" i="2"/>
  <c r="BP476" i="2" s="1"/>
  <c r="P476" i="2"/>
  <c r="X474" i="2"/>
  <c r="X473" i="2"/>
  <c r="BO472" i="2"/>
  <c r="BM472" i="2"/>
  <c r="Y472" i="2"/>
  <c r="Y474" i="2" s="1"/>
  <c r="P472" i="2"/>
  <c r="X470" i="2"/>
  <c r="X469" i="2"/>
  <c r="BO468" i="2"/>
  <c r="BM468" i="2"/>
  <c r="Y468" i="2"/>
  <c r="BP468" i="2" s="1"/>
  <c r="P468" i="2"/>
  <c r="BO467" i="2"/>
  <c r="BM467" i="2"/>
  <c r="Y467" i="2"/>
  <c r="Z467" i="2" s="1"/>
  <c r="P467" i="2"/>
  <c r="X464" i="2"/>
  <c r="X463" i="2"/>
  <c r="BO462" i="2"/>
  <c r="BM462" i="2"/>
  <c r="Y462" i="2"/>
  <c r="BP462" i="2" s="1"/>
  <c r="P462" i="2"/>
  <c r="BO461" i="2"/>
  <c r="BM461" i="2"/>
  <c r="Y461" i="2"/>
  <c r="BP461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BO455" i="2"/>
  <c r="BM455" i="2"/>
  <c r="Y455" i="2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P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P362" i="2"/>
  <c r="X359" i="2"/>
  <c r="X358" i="2"/>
  <c r="BO357" i="2"/>
  <c r="BM357" i="2"/>
  <c r="Y357" i="2"/>
  <c r="BP357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BP321" i="2" s="1"/>
  <c r="P321" i="2"/>
  <c r="X318" i="2"/>
  <c r="X317" i="2"/>
  <c r="BO316" i="2"/>
  <c r="BM316" i="2"/>
  <c r="Y316" i="2"/>
  <c r="BN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N313" i="2" s="1"/>
  <c r="P313" i="2"/>
  <c r="X311" i="2"/>
  <c r="X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N301" i="2" s="1"/>
  <c r="P301" i="2"/>
  <c r="BO300" i="2"/>
  <c r="BM300" i="2"/>
  <c r="Y300" i="2"/>
  <c r="Z300" i="2" s="1"/>
  <c r="P300" i="2"/>
  <c r="BO299" i="2"/>
  <c r="BM299" i="2"/>
  <c r="Y299" i="2"/>
  <c r="Z299" i="2" s="1"/>
  <c r="P299" i="2"/>
  <c r="BO298" i="2"/>
  <c r="BM298" i="2"/>
  <c r="Y298" i="2"/>
  <c r="BN298" i="2" s="1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P295" i="2"/>
  <c r="X292" i="2"/>
  <c r="X291" i="2"/>
  <c r="BO290" i="2"/>
  <c r="BM290" i="2"/>
  <c r="Y290" i="2"/>
  <c r="P290" i="2"/>
  <c r="BO289" i="2"/>
  <c r="BM289" i="2"/>
  <c r="Y289" i="2"/>
  <c r="Y292" i="2" s="1"/>
  <c r="P289" i="2"/>
  <c r="X287" i="2"/>
  <c r="X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Z279" i="2" s="1"/>
  <c r="P279" i="2"/>
  <c r="BO278" i="2"/>
  <c r="BM278" i="2"/>
  <c r="Y278" i="2"/>
  <c r="Z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P275" i="2"/>
  <c r="X273" i="2"/>
  <c r="X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Z255" i="2" s="1"/>
  <c r="P255" i="2"/>
  <c r="BO254" i="2"/>
  <c r="BM254" i="2"/>
  <c r="Y254" i="2"/>
  <c r="P254" i="2"/>
  <c r="X251" i="2"/>
  <c r="X250" i="2"/>
  <c r="BO249" i="2"/>
  <c r="BM249" i="2"/>
  <c r="Y249" i="2"/>
  <c r="Y251" i="2" s="1"/>
  <c r="P249" i="2"/>
  <c r="X247" i="2"/>
  <c r="X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P243" i="2"/>
  <c r="X241" i="2"/>
  <c r="X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Z236" i="2" s="1"/>
  <c r="P236" i="2"/>
  <c r="BO235" i="2"/>
  <c r="BM235" i="2"/>
  <c r="Y235" i="2"/>
  <c r="P235" i="2"/>
  <c r="X233" i="2"/>
  <c r="X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Z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BP218" i="2" s="1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Y198" i="2" s="1"/>
  <c r="P197" i="2"/>
  <c r="X195" i="2"/>
  <c r="X194" i="2"/>
  <c r="BO193" i="2"/>
  <c r="BM193" i="2"/>
  <c r="Y193" i="2"/>
  <c r="P193" i="2"/>
  <c r="X191" i="2"/>
  <c r="X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N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P165" i="2"/>
  <c r="BO164" i="2"/>
  <c r="BM164" i="2"/>
  <c r="Y164" i="2"/>
  <c r="P164" i="2"/>
  <c r="BO163" i="2"/>
  <c r="BM163" i="2"/>
  <c r="Y163" i="2"/>
  <c r="BN163" i="2" s="1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P151" i="2"/>
  <c r="X148" i="2"/>
  <c r="X147" i="2"/>
  <c r="BO146" i="2"/>
  <c r="BM146" i="2"/>
  <c r="Y146" i="2"/>
  <c r="Z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BP141" i="2" s="1"/>
  <c r="P141" i="2"/>
  <c r="BO140" i="2"/>
  <c r="BM140" i="2"/>
  <c r="Y140" i="2"/>
  <c r="Y142" i="2" s="1"/>
  <c r="P140" i="2"/>
  <c r="X138" i="2"/>
  <c r="X137" i="2"/>
  <c r="BO136" i="2"/>
  <c r="BM136" i="2"/>
  <c r="Y136" i="2"/>
  <c r="P136" i="2"/>
  <c r="BO135" i="2"/>
  <c r="BM135" i="2"/>
  <c r="Y135" i="2"/>
  <c r="Y138" i="2" s="1"/>
  <c r="P135" i="2"/>
  <c r="X132" i="2"/>
  <c r="X131" i="2"/>
  <c r="BO130" i="2"/>
  <c r="BM130" i="2"/>
  <c r="Y130" i="2"/>
  <c r="P130" i="2"/>
  <c r="X128" i="2"/>
  <c r="X127" i="2"/>
  <c r="BO126" i="2"/>
  <c r="BM126" i="2"/>
  <c r="Y126" i="2"/>
  <c r="Z126" i="2" s="1"/>
  <c r="P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X121" i="2"/>
  <c r="X120" i="2"/>
  <c r="BO119" i="2"/>
  <c r="BM119" i="2"/>
  <c r="Y119" i="2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Z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P107" i="2"/>
  <c r="BO106" i="2"/>
  <c r="BM106" i="2"/>
  <c r="Y106" i="2"/>
  <c r="P106" i="2"/>
  <c r="X103" i="2"/>
  <c r="X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Z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P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P89" i="2"/>
  <c r="X86" i="2"/>
  <c r="X85" i="2"/>
  <c r="BO84" i="2"/>
  <c r="BM84" i="2"/>
  <c r="Y84" i="2"/>
  <c r="BN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BO34" i="2"/>
  <c r="BM34" i="2"/>
  <c r="Y34" i="2"/>
  <c r="BP34" i="2" s="1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Y31" i="2" s="1"/>
  <c r="P26" i="2"/>
  <c r="X24" i="2"/>
  <c r="X23" i="2"/>
  <c r="BO22" i="2"/>
  <c r="BM22" i="2"/>
  <c r="Y22" i="2"/>
  <c r="Z22" i="2" s="1"/>
  <c r="Z23" i="2" s="1"/>
  <c r="P22" i="2"/>
  <c r="H10" i="2"/>
  <c r="A9" i="2"/>
  <c r="F10" i="2" s="1"/>
  <c r="D7" i="2"/>
  <c r="Q6" i="2"/>
  <c r="P2" i="2"/>
  <c r="Y366" i="2" l="1"/>
  <c r="BP61" i="2"/>
  <c r="BP183" i="2"/>
  <c r="Z450" i="2"/>
  <c r="Z229" i="2"/>
  <c r="BN229" i="2"/>
  <c r="Z230" i="2"/>
  <c r="BN230" i="2"/>
  <c r="Z342" i="2"/>
  <c r="BN342" i="2"/>
  <c r="Z512" i="2"/>
  <c r="BN512" i="2"/>
  <c r="BP71" i="2"/>
  <c r="Z152" i="2"/>
  <c r="Z220" i="2"/>
  <c r="Z266" i="2"/>
  <c r="BN266" i="2"/>
  <c r="BP301" i="2"/>
  <c r="Z523" i="2"/>
  <c r="Z65" i="2"/>
  <c r="Z100" i="2"/>
  <c r="BP125" i="2"/>
  <c r="BP145" i="2"/>
  <c r="Z175" i="2"/>
  <c r="Z188" i="2"/>
  <c r="BN188" i="2"/>
  <c r="BP224" i="2"/>
  <c r="Z276" i="2"/>
  <c r="BN276" i="2"/>
  <c r="Z296" i="2"/>
  <c r="BN296" i="2"/>
  <c r="Z297" i="2"/>
  <c r="BN297" i="2"/>
  <c r="Y359" i="2"/>
  <c r="Z380" i="2"/>
  <c r="BN380" i="2"/>
  <c r="Z411" i="2"/>
  <c r="Z440" i="2"/>
  <c r="Z516" i="2"/>
  <c r="Z532" i="2"/>
  <c r="BN41" i="2"/>
  <c r="BN59" i="2"/>
  <c r="BN63" i="2"/>
  <c r="BP70" i="2"/>
  <c r="Z70" i="2"/>
  <c r="BP119" i="2"/>
  <c r="BN119" i="2"/>
  <c r="Z119" i="2"/>
  <c r="BN123" i="2"/>
  <c r="BP123" i="2"/>
  <c r="BN146" i="2"/>
  <c r="BP154" i="2"/>
  <c r="BN154" i="2"/>
  <c r="Z154" i="2"/>
  <c r="BP165" i="2"/>
  <c r="BN165" i="2"/>
  <c r="Z165" i="2"/>
  <c r="BN177" i="2"/>
  <c r="BN184" i="2"/>
  <c r="BN189" i="2"/>
  <c r="BP189" i="2"/>
  <c r="BP222" i="2"/>
  <c r="BN222" i="2"/>
  <c r="Z222" i="2"/>
  <c r="BN299" i="2"/>
  <c r="Y311" i="2"/>
  <c r="Y310" i="2"/>
  <c r="BP309" i="2"/>
  <c r="BN309" i="2"/>
  <c r="Z309" i="2"/>
  <c r="Z310" i="2" s="1"/>
  <c r="Y355" i="2"/>
  <c r="Y354" i="2"/>
  <c r="BP353" i="2"/>
  <c r="BN353" i="2"/>
  <c r="Z353" i="2"/>
  <c r="Z354" i="2" s="1"/>
  <c r="BP405" i="2"/>
  <c r="BN405" i="2"/>
  <c r="BN29" i="2"/>
  <c r="BN52" i="2"/>
  <c r="BN73" i="2"/>
  <c r="BP107" i="2"/>
  <c r="BN107" i="2"/>
  <c r="Z107" i="2"/>
  <c r="BN111" i="2"/>
  <c r="BP130" i="2"/>
  <c r="Y132" i="2"/>
  <c r="Y131" i="2"/>
  <c r="BN130" i="2"/>
  <c r="Y186" i="2"/>
  <c r="Y191" i="2"/>
  <c r="BN206" i="2"/>
  <c r="BP206" i="2"/>
  <c r="BN214" i="2"/>
  <c r="Y216" i="2"/>
  <c r="Y215" i="2"/>
  <c r="BP214" i="2"/>
  <c r="BN225" i="2"/>
  <c r="BN237" i="2"/>
  <c r="BP237" i="2"/>
  <c r="BN244" i="2"/>
  <c r="BP244" i="2"/>
  <c r="BN270" i="2"/>
  <c r="BP270" i="2"/>
  <c r="BN290" i="2"/>
  <c r="BP290" i="2"/>
  <c r="BP369" i="2"/>
  <c r="BN369" i="2"/>
  <c r="Z369" i="2"/>
  <c r="BP389" i="2"/>
  <c r="BN389" i="2"/>
  <c r="Z389" i="2"/>
  <c r="Y400" i="2"/>
  <c r="BN397" i="2"/>
  <c r="Z397" i="2"/>
  <c r="BN441" i="2"/>
  <c r="BP451" i="2"/>
  <c r="BN476" i="2"/>
  <c r="BN487" i="2"/>
  <c r="BN513" i="2"/>
  <c r="BN35" i="2"/>
  <c r="BN43" i="2"/>
  <c r="BN54" i="2"/>
  <c r="BN117" i="2"/>
  <c r="BN141" i="2"/>
  <c r="BN166" i="2"/>
  <c r="Y190" i="2"/>
  <c r="BN207" i="2"/>
  <c r="BN238" i="2"/>
  <c r="BN314" i="2"/>
  <c r="BP411" i="2"/>
  <c r="Z424" i="2"/>
  <c r="BN443" i="2"/>
  <c r="Z444" i="2"/>
  <c r="Z451" i="2"/>
  <c r="BP457" i="2"/>
  <c r="Y463" i="2"/>
  <c r="Z462" i="2"/>
  <c r="BN462" i="2"/>
  <c r="BN493" i="2"/>
  <c r="Z498" i="2"/>
  <c r="Z499" i="2" s="1"/>
  <c r="BN504" i="2"/>
  <c r="BP511" i="2"/>
  <c r="BP517" i="2"/>
  <c r="BP523" i="2"/>
  <c r="Y120" i="2"/>
  <c r="BP315" i="2"/>
  <c r="BN315" i="2"/>
  <c r="Z315" i="2"/>
  <c r="F9" i="2"/>
  <c r="Z53" i="2"/>
  <c r="BP53" i="2"/>
  <c r="Y56" i="2"/>
  <c r="Z64" i="2"/>
  <c r="BP64" i="2"/>
  <c r="BP93" i="2"/>
  <c r="BN93" i="2"/>
  <c r="Z118" i="2"/>
  <c r="BP164" i="2"/>
  <c r="Z164" i="2"/>
  <c r="BP219" i="2"/>
  <c r="Z219" i="2"/>
  <c r="V574" i="2"/>
  <c r="BN422" i="2"/>
  <c r="BP422" i="2"/>
  <c r="Z422" i="2"/>
  <c r="BN438" i="2"/>
  <c r="BP438" i="2"/>
  <c r="Z438" i="2"/>
  <c r="Y470" i="2"/>
  <c r="AC574" i="2"/>
  <c r="Y541" i="2"/>
  <c r="BP42" i="2"/>
  <c r="BP118" i="2"/>
  <c r="BN179" i="2"/>
  <c r="BP179" i="2"/>
  <c r="Y199" i="2"/>
  <c r="BP197" i="2"/>
  <c r="Z197" i="2"/>
  <c r="Z198" i="2" s="1"/>
  <c r="BP239" i="2"/>
  <c r="BN239" i="2"/>
  <c r="Z239" i="2"/>
  <c r="BN267" i="2"/>
  <c r="BP267" i="2"/>
  <c r="BN403" i="2"/>
  <c r="BP403" i="2"/>
  <c r="BP456" i="2"/>
  <c r="BN456" i="2"/>
  <c r="Z456" i="2"/>
  <c r="BN522" i="2"/>
  <c r="BP522" i="2"/>
  <c r="Z522" i="2"/>
  <c r="Z30" i="2"/>
  <c r="BP30" i="2"/>
  <c r="BP29" i="2"/>
  <c r="Z35" i="2"/>
  <c r="BN66" i="2"/>
  <c r="BP77" i="2"/>
  <c r="Z77" i="2"/>
  <c r="BP82" i="2"/>
  <c r="Y86" i="2"/>
  <c r="BN82" i="2"/>
  <c r="BP83" i="2"/>
  <c r="Z83" i="2"/>
  <c r="Y85" i="2"/>
  <c r="Z93" i="2"/>
  <c r="BN98" i="2"/>
  <c r="BP108" i="2"/>
  <c r="Z108" i="2"/>
  <c r="BP140" i="2"/>
  <c r="Y143" i="2"/>
  <c r="BN140" i="2"/>
  <c r="BN176" i="2"/>
  <c r="Z176" i="2"/>
  <c r="BN182" i="2"/>
  <c r="BP182" i="2"/>
  <c r="BN197" i="2"/>
  <c r="BP208" i="2"/>
  <c r="BN208" i="2"/>
  <c r="Z208" i="2"/>
  <c r="Y241" i="2"/>
  <c r="BN243" i="2"/>
  <c r="BP243" i="2"/>
  <c r="Z243" i="2"/>
  <c r="BP348" i="2"/>
  <c r="Z348" i="2"/>
  <c r="BN390" i="2"/>
  <c r="BP390" i="2"/>
  <c r="Z390" i="2"/>
  <c r="BN486" i="2"/>
  <c r="BP486" i="2"/>
  <c r="BN533" i="2"/>
  <c r="Z533" i="2"/>
  <c r="BN153" i="2"/>
  <c r="Z153" i="2"/>
  <c r="Z180" i="2"/>
  <c r="BN180" i="2"/>
  <c r="BP373" i="2"/>
  <c r="Z373" i="2"/>
  <c r="BN514" i="2"/>
  <c r="BP514" i="2"/>
  <c r="Z528" i="2"/>
  <c r="BN528" i="2"/>
  <c r="H9" i="2"/>
  <c r="Z41" i="2"/>
  <c r="BP43" i="2"/>
  <c r="J9" i="2"/>
  <c r="BP27" i="2"/>
  <c r="Z52" i="2"/>
  <c r="Z63" i="2"/>
  <c r="Z73" i="2"/>
  <c r="Z110" i="2"/>
  <c r="BN110" i="2"/>
  <c r="Z140" i="2"/>
  <c r="Y156" i="2"/>
  <c r="BP153" i="2"/>
  <c r="BN164" i="2"/>
  <c r="Y168" i="2"/>
  <c r="BP178" i="2"/>
  <c r="Z178" i="2"/>
  <c r="BP180" i="2"/>
  <c r="BN227" i="2"/>
  <c r="BP227" i="2"/>
  <c r="BN275" i="2"/>
  <c r="BP275" i="2"/>
  <c r="Z275" i="2"/>
  <c r="BN280" i="2"/>
  <c r="BP280" i="2"/>
  <c r="BN283" i="2"/>
  <c r="Z283" i="2"/>
  <c r="BN324" i="2"/>
  <c r="BP324" i="2"/>
  <c r="BN327" i="2"/>
  <c r="Z327" i="2"/>
  <c r="BN370" i="2"/>
  <c r="BP370" i="2"/>
  <c r="Z370" i="2"/>
  <c r="BN379" i="2"/>
  <c r="BP379" i="2"/>
  <c r="Z379" i="2"/>
  <c r="BN442" i="2"/>
  <c r="BP442" i="2"/>
  <c r="BN477" i="2"/>
  <c r="BP477" i="2"/>
  <c r="BN488" i="2"/>
  <c r="BP488" i="2"/>
  <c r="Z488" i="2"/>
  <c r="Y490" i="2"/>
  <c r="BP528" i="2"/>
  <c r="BN209" i="2"/>
  <c r="BP220" i="2"/>
  <c r="BN223" i="2"/>
  <c r="BP255" i="2"/>
  <c r="BP260" i="2"/>
  <c r="BN265" i="2"/>
  <c r="BP277" i="2"/>
  <c r="BN282" i="2"/>
  <c r="BP285" i="2"/>
  <c r="BP298" i="2"/>
  <c r="BP313" i="2"/>
  <c r="BN326" i="2"/>
  <c r="BN357" i="2"/>
  <c r="Y358" i="2"/>
  <c r="U574" i="2"/>
  <c r="BP396" i="2"/>
  <c r="BP410" i="2"/>
  <c r="BN425" i="2"/>
  <c r="BN431" i="2"/>
  <c r="BP443" i="2"/>
  <c r="Y519" i="2"/>
  <c r="BP515" i="2"/>
  <c r="BP547" i="2"/>
  <c r="BP84" i="2"/>
  <c r="BP111" i="2"/>
  <c r="BP146" i="2"/>
  <c r="BP207" i="2"/>
  <c r="BP225" i="2"/>
  <c r="BP238" i="2"/>
  <c r="BP316" i="2"/>
  <c r="BP391" i="2"/>
  <c r="Z405" i="2"/>
  <c r="Y412" i="2"/>
  <c r="Y434" i="2"/>
  <c r="Z432" i="2"/>
  <c r="BN440" i="2"/>
  <c r="Z441" i="2"/>
  <c r="Y453" i="2"/>
  <c r="Z476" i="2"/>
  <c r="Z487" i="2"/>
  <c r="BP489" i="2"/>
  <c r="BN498" i="2"/>
  <c r="Y500" i="2"/>
  <c r="Z504" i="2"/>
  <c r="Z513" i="2"/>
  <c r="Z515" i="2"/>
  <c r="BN516" i="2"/>
  <c r="BP532" i="2"/>
  <c r="Z547" i="2"/>
  <c r="Z548" i="2" s="1"/>
  <c r="Z84" i="2"/>
  <c r="Z94" i="2"/>
  <c r="BP100" i="2"/>
  <c r="Z117" i="2"/>
  <c r="Y121" i="2"/>
  <c r="Z130" i="2"/>
  <c r="Z131" i="2" s="1"/>
  <c r="Z141" i="2"/>
  <c r="Z151" i="2"/>
  <c r="BP152" i="2"/>
  <c r="Y167" i="2"/>
  <c r="BP163" i="2"/>
  <c r="Z166" i="2"/>
  <c r="BP175" i="2"/>
  <c r="Z177" i="2"/>
  <c r="Z184" i="2"/>
  <c r="Z209" i="2"/>
  <c r="Z223" i="2"/>
  <c r="Z249" i="2"/>
  <c r="Z250" i="2" s="1"/>
  <c r="Z265" i="2"/>
  <c r="BN281" i="2"/>
  <c r="Z282" i="2"/>
  <c r="Z316" i="2"/>
  <c r="BN325" i="2"/>
  <c r="Z326" i="2"/>
  <c r="BN333" i="2"/>
  <c r="Z341" i="2"/>
  <c r="S574" i="2"/>
  <c r="Z357" i="2"/>
  <c r="Z358" i="2" s="1"/>
  <c r="Z362" i="2"/>
  <c r="Z383" i="2"/>
  <c r="BN409" i="2"/>
  <c r="BP431" i="2"/>
  <c r="Y446" i="2"/>
  <c r="Y469" i="2"/>
  <c r="Y491" i="2"/>
  <c r="BP493" i="2"/>
  <c r="Y548" i="2"/>
  <c r="Y553" i="2"/>
  <c r="BP45" i="2"/>
  <c r="Z45" i="2"/>
  <c r="Y68" i="2"/>
  <c r="BN78" i="2"/>
  <c r="Z78" i="2"/>
  <c r="Z79" i="2" s="1"/>
  <c r="Y102" i="2"/>
  <c r="Y210" i="2"/>
  <c r="BP259" i="2"/>
  <c r="BN259" i="2"/>
  <c r="M574" i="2"/>
  <c r="BP254" i="2"/>
  <c r="Y317" i="2"/>
  <c r="Z417" i="2"/>
  <c r="BP417" i="2"/>
  <c r="BN417" i="2"/>
  <c r="X565" i="2"/>
  <c r="BN45" i="2"/>
  <c r="E574" i="2"/>
  <c r="Z59" i="2"/>
  <c r="Y74" i="2"/>
  <c r="BN70" i="2"/>
  <c r="Z90" i="2"/>
  <c r="BN228" i="2"/>
  <c r="Z231" i="2"/>
  <c r="Z254" i="2"/>
  <c r="Z256" i="2" s="1"/>
  <c r="BN381" i="2"/>
  <c r="Z381" i="2"/>
  <c r="Y386" i="2"/>
  <c r="Y407" i="2"/>
  <c r="Y406" i="2"/>
  <c r="BP402" i="2"/>
  <c r="BN402" i="2"/>
  <c r="BN99" i="2"/>
  <c r="G574" i="2"/>
  <c r="Z106" i="2"/>
  <c r="Y114" i="2"/>
  <c r="BN204" i="2"/>
  <c r="Y211" i="2"/>
  <c r="BN245" i="2"/>
  <c r="BN271" i="2"/>
  <c r="O574" i="2"/>
  <c r="BN295" i="2"/>
  <c r="Z372" i="2"/>
  <c r="BP372" i="2"/>
  <c r="Z385" i="2"/>
  <c r="BN385" i="2"/>
  <c r="Z402" i="2"/>
  <c r="Y459" i="2"/>
  <c r="BP455" i="2"/>
  <c r="Y458" i="2"/>
  <c r="BN455" i="2"/>
  <c r="Z455" i="2"/>
  <c r="BP503" i="2"/>
  <c r="BN503" i="2"/>
  <c r="Z503" i="2"/>
  <c r="BN90" i="2"/>
  <c r="BP228" i="2"/>
  <c r="BN231" i="2"/>
  <c r="BN254" i="2"/>
  <c r="Z295" i="2"/>
  <c r="Y318" i="2"/>
  <c r="BP333" i="2"/>
  <c r="Z347" i="2"/>
  <c r="BP347" i="2"/>
  <c r="BP22" i="2"/>
  <c r="Z28" i="2"/>
  <c r="Y36" i="2"/>
  <c r="Y46" i="2"/>
  <c r="BP62" i="2"/>
  <c r="BN65" i="2"/>
  <c r="Y79" i="2"/>
  <c r="BP99" i="2"/>
  <c r="BN106" i="2"/>
  <c r="Z109" i="2"/>
  <c r="BP112" i="2"/>
  <c r="BN112" i="2"/>
  <c r="Z112" i="2"/>
  <c r="Z123" i="2"/>
  <c r="Y127" i="2"/>
  <c r="BN126" i="2"/>
  <c r="BP181" i="2"/>
  <c r="BN181" i="2"/>
  <c r="BP204" i="2"/>
  <c r="BP245" i="2"/>
  <c r="BN268" i="2"/>
  <c r="BP271" i="2"/>
  <c r="Y287" i="2"/>
  <c r="BP314" i="2"/>
  <c r="BN372" i="2"/>
  <c r="BP381" i="2"/>
  <c r="H574" i="2"/>
  <c r="BP135" i="2"/>
  <c r="BN135" i="2"/>
  <c r="Z135" i="2"/>
  <c r="Y329" i="2"/>
  <c r="BP334" i="2"/>
  <c r="BN334" i="2"/>
  <c r="BN347" i="2"/>
  <c r="Y387" i="2"/>
  <c r="BP385" i="2"/>
  <c r="Y23" i="2"/>
  <c r="BN28" i="2"/>
  <c r="Y80" i="2"/>
  <c r="BP106" i="2"/>
  <c r="BN109" i="2"/>
  <c r="BP126" i="2"/>
  <c r="BP205" i="2"/>
  <c r="BN205" i="2"/>
  <c r="Y232" i="2"/>
  <c r="Y247" i="2"/>
  <c r="Y246" i="2"/>
  <c r="BP268" i="2"/>
  <c r="BP289" i="2"/>
  <c r="BN289" i="2"/>
  <c r="BP295" i="2"/>
  <c r="Y302" i="2"/>
  <c r="Z382" i="2"/>
  <c r="BP382" i="2"/>
  <c r="X568" i="2"/>
  <c r="BP91" i="2"/>
  <c r="BN91" i="2"/>
  <c r="Z91" i="2"/>
  <c r="Z205" i="2"/>
  <c r="BP226" i="2"/>
  <c r="BN226" i="2"/>
  <c r="Y273" i="2"/>
  <c r="Z289" i="2"/>
  <c r="BN22" i="2"/>
  <c r="BN62" i="2"/>
  <c r="Y75" i="2"/>
  <c r="Z170" i="2"/>
  <c r="Z172" i="2" s="1"/>
  <c r="Y173" i="2"/>
  <c r="Y172" i="2"/>
  <c r="Z226" i="2"/>
  <c r="Y233" i="2"/>
  <c r="BN255" i="2"/>
  <c r="BP269" i="2"/>
  <c r="BN269" i="2"/>
  <c r="Y303" i="2"/>
  <c r="Y328" i="2"/>
  <c r="BN382" i="2"/>
  <c r="X564" i="2"/>
  <c r="C574" i="2"/>
  <c r="Z60" i="2"/>
  <c r="Y113" i="2"/>
  <c r="Y160" i="2"/>
  <c r="BP158" i="2"/>
  <c r="BN158" i="2"/>
  <c r="Z158" i="2"/>
  <c r="Z159" i="2" s="1"/>
  <c r="Z54" i="2"/>
  <c r="Z82" i="2"/>
  <c r="Y128" i="2"/>
  <c r="BN136" i="2"/>
  <c r="Z136" i="2"/>
  <c r="Y261" i="2"/>
  <c r="Z269" i="2"/>
  <c r="Y286" i="2"/>
  <c r="Z284" i="2"/>
  <c r="Y419" i="2"/>
  <c r="B574" i="2"/>
  <c r="Y24" i="2"/>
  <c r="Z51" i="2"/>
  <c r="D574" i="2"/>
  <c r="Y195" i="2"/>
  <c r="Y194" i="2"/>
  <c r="BP193" i="2"/>
  <c r="Z235" i="2"/>
  <c r="Y240" i="2"/>
  <c r="Y306" i="2"/>
  <c r="BN305" i="2"/>
  <c r="Z392" i="2"/>
  <c r="BP392" i="2"/>
  <c r="X574" i="2"/>
  <c r="BP478" i="2"/>
  <c r="BN478" i="2"/>
  <c r="Z478" i="2"/>
  <c r="Y480" i="2"/>
  <c r="X566" i="2"/>
  <c r="BN92" i="2"/>
  <c r="Z92" i="2"/>
  <c r="Z193" i="2"/>
  <c r="Z194" i="2" s="1"/>
  <c r="Y262" i="2"/>
  <c r="BN284" i="2"/>
  <c r="Z305" i="2"/>
  <c r="Z306" i="2" s="1"/>
  <c r="Z364" i="2"/>
  <c r="BN364" i="2"/>
  <c r="BN404" i="2"/>
  <c r="Z404" i="2"/>
  <c r="BN34" i="2"/>
  <c r="BP66" i="2"/>
  <c r="F574" i="2"/>
  <c r="Y96" i="2"/>
  <c r="Y95" i="2"/>
  <c r="Z89" i="2"/>
  <c r="Y103" i="2"/>
  <c r="BP98" i="2"/>
  <c r="BP136" i="2"/>
  <c r="Y147" i="2"/>
  <c r="Y159" i="2"/>
  <c r="BP170" i="2"/>
  <c r="BN235" i="2"/>
  <c r="Y256" i="2"/>
  <c r="BN278" i="2"/>
  <c r="BP281" i="2"/>
  <c r="BP299" i="2"/>
  <c r="BN322" i="2"/>
  <c r="BP325" i="2"/>
  <c r="Y336" i="2"/>
  <c r="BN392" i="2"/>
  <c r="BP398" i="2"/>
  <c r="BN398" i="2"/>
  <c r="Z398" i="2"/>
  <c r="Z423" i="2"/>
  <c r="BP423" i="2"/>
  <c r="Y427" i="2"/>
  <c r="Y426" i="2"/>
  <c r="BN423" i="2"/>
  <c r="BP26" i="2"/>
  <c r="BN26" i="2"/>
  <c r="Y32" i="2"/>
  <c r="BN44" i="2"/>
  <c r="BN116" i="2"/>
  <c r="BP176" i="2"/>
  <c r="BN193" i="2"/>
  <c r="K574" i="2"/>
  <c r="Z221" i="2"/>
  <c r="BN264" i="2"/>
  <c r="Y272" i="2"/>
  <c r="BP101" i="2"/>
  <c r="BN101" i="2"/>
  <c r="Z101" i="2"/>
  <c r="Y67" i="2"/>
  <c r="BN72" i="2"/>
  <c r="BN89" i="2"/>
  <c r="BP92" i="2"/>
  <c r="Y137" i="2"/>
  <c r="BP171" i="2"/>
  <c r="BN171" i="2"/>
  <c r="Z218" i="2"/>
  <c r="BP235" i="2"/>
  <c r="Z264" i="2"/>
  <c r="BP278" i="2"/>
  <c r="BP300" i="2"/>
  <c r="BN300" i="2"/>
  <c r="BP305" i="2"/>
  <c r="BP322" i="2"/>
  <c r="BP364" i="2"/>
  <c r="BP404" i="2"/>
  <c r="Y55" i="2"/>
  <c r="J574" i="2"/>
  <c r="Z163" i="2"/>
  <c r="Y257" i="2"/>
  <c r="BN371" i="2"/>
  <c r="Z371" i="2"/>
  <c r="Y376" i="2"/>
  <c r="Y506" i="2"/>
  <c r="Z34" i="2"/>
  <c r="Y37" i="2"/>
  <c r="BP124" i="2"/>
  <c r="BN124" i="2"/>
  <c r="Z26" i="2"/>
  <c r="Z44" i="2"/>
  <c r="BP51" i="2"/>
  <c r="BP60" i="2"/>
  <c r="Y47" i="2"/>
  <c r="BP116" i="2"/>
  <c r="Z27" i="2"/>
  <c r="Z42" i="2"/>
  <c r="BP72" i="2"/>
  <c r="BP89" i="2"/>
  <c r="I574" i="2"/>
  <c r="BN183" i="2"/>
  <c r="BN218" i="2"/>
  <c r="BP221" i="2"/>
  <c r="BP236" i="2"/>
  <c r="BN236" i="2"/>
  <c r="BP279" i="2"/>
  <c r="BN279" i="2"/>
  <c r="BN285" i="2"/>
  <c r="Y291" i="2"/>
  <c r="BP323" i="2"/>
  <c r="BN323" i="2"/>
  <c r="Z340" i="2"/>
  <c r="Y343" i="2"/>
  <c r="BN340" i="2"/>
  <c r="Y350" i="2"/>
  <c r="Y349" i="2"/>
  <c r="BN346" i="2"/>
  <c r="Z346" i="2"/>
  <c r="Z375" i="2"/>
  <c r="BN375" i="2"/>
  <c r="Y148" i="2"/>
  <c r="Y413" i="2"/>
  <c r="Y464" i="2"/>
  <c r="Y479" i="2"/>
  <c r="BN547" i="2"/>
  <c r="L574" i="2"/>
  <c r="Y447" i="2"/>
  <c r="Z145" i="2"/>
  <c r="Z147" i="2" s="1"/>
  <c r="Z179" i="2"/>
  <c r="Z189" i="2"/>
  <c r="Z203" i="2"/>
  <c r="Z214" i="2"/>
  <c r="Z215" i="2" s="1"/>
  <c r="Z224" i="2"/>
  <c r="Z244" i="2"/>
  <c r="Z267" i="2"/>
  <c r="Z277" i="2"/>
  <c r="Z298" i="2"/>
  <c r="Z321" i="2"/>
  <c r="Z332" i="2"/>
  <c r="Z335" i="2" s="1"/>
  <c r="Y393" i="2"/>
  <c r="Z410" i="2"/>
  <c r="Z461" i="2"/>
  <c r="Z486" i="2"/>
  <c r="Z511" i="2"/>
  <c r="Z521" i="2"/>
  <c r="Z524" i="2" s="1"/>
  <c r="Z531" i="2"/>
  <c r="Y558" i="2"/>
  <c r="P574" i="2"/>
  <c r="BN321" i="2"/>
  <c r="BN332" i="2"/>
  <c r="Y335" i="2"/>
  <c r="Y344" i="2"/>
  <c r="Z439" i="2"/>
  <c r="Z449" i="2"/>
  <c r="Z452" i="2" s="1"/>
  <c r="BN461" i="2"/>
  <c r="Z472" i="2"/>
  <c r="Z473" i="2" s="1"/>
  <c r="BN521" i="2"/>
  <c r="Y524" i="2"/>
  <c r="BN531" i="2"/>
  <c r="Y534" i="2"/>
  <c r="Z543" i="2"/>
  <c r="Z544" i="2" s="1"/>
  <c r="Z555" i="2"/>
  <c r="Q574" i="2"/>
  <c r="A10" i="2"/>
  <c r="BN203" i="2"/>
  <c r="Z61" i="2"/>
  <c r="Z71" i="2"/>
  <c r="BN83" i="2"/>
  <c r="BN94" i="2"/>
  <c r="Z125" i="2"/>
  <c r="BN151" i="2"/>
  <c r="Z182" i="2"/>
  <c r="Z206" i="2"/>
  <c r="BN219" i="2"/>
  <c r="Z227" i="2"/>
  <c r="Z237" i="2"/>
  <c r="BN249" i="2"/>
  <c r="Z260" i="2"/>
  <c r="Z261" i="2" s="1"/>
  <c r="Z270" i="2"/>
  <c r="Z280" i="2"/>
  <c r="Z290" i="2"/>
  <c r="Z301" i="2"/>
  <c r="Z313" i="2"/>
  <c r="Z324" i="2"/>
  <c r="BN348" i="2"/>
  <c r="BN362" i="2"/>
  <c r="Y365" i="2"/>
  <c r="BN373" i="2"/>
  <c r="BN383" i="2"/>
  <c r="Y394" i="2"/>
  <c r="Z403" i="2"/>
  <c r="BN415" i="2"/>
  <c r="Y418" i="2"/>
  <c r="BN432" i="2"/>
  <c r="BN444" i="2"/>
  <c r="BN467" i="2"/>
  <c r="Z477" i="2"/>
  <c r="Z489" i="2"/>
  <c r="Y494" i="2"/>
  <c r="Z502" i="2"/>
  <c r="Z505" i="2" s="1"/>
  <c r="Z514" i="2"/>
  <c r="Z561" i="2"/>
  <c r="Z562" i="2" s="1"/>
  <c r="R574" i="2"/>
  <c r="BN439" i="2"/>
  <c r="BN449" i="2"/>
  <c r="Y452" i="2"/>
  <c r="BN472" i="2"/>
  <c r="BP521" i="2"/>
  <c r="Z529" i="2"/>
  <c r="BN543" i="2"/>
  <c r="BN555" i="2"/>
  <c r="BP151" i="2"/>
  <c r="Y185" i="2"/>
  <c r="BP249" i="2"/>
  <c r="BP362" i="2"/>
  <c r="Z391" i="2"/>
  <c r="BP415" i="2"/>
  <c r="Z430" i="2"/>
  <c r="Z442" i="2"/>
  <c r="BP467" i="2"/>
  <c r="BN502" i="2"/>
  <c r="Y505" i="2"/>
  <c r="Y535" i="2"/>
  <c r="BN561" i="2"/>
  <c r="T574" i="2"/>
  <c r="BN341" i="2"/>
  <c r="Y377" i="2"/>
  <c r="Z396" i="2"/>
  <c r="BN424" i="2"/>
  <c r="BP439" i="2"/>
  <c r="BP449" i="2"/>
  <c r="Z457" i="2"/>
  <c r="BP472" i="2"/>
  <c r="BN484" i="2"/>
  <c r="Y495" i="2"/>
  <c r="Z517" i="2"/>
  <c r="BN529" i="2"/>
  <c r="BP543" i="2"/>
  <c r="BP555" i="2"/>
  <c r="Y250" i="2"/>
  <c r="BN430" i="2"/>
  <c r="Y433" i="2"/>
  <c r="BP561" i="2"/>
  <c r="Z339" i="2"/>
  <c r="Z363" i="2"/>
  <c r="Z374" i="2"/>
  <c r="Z384" i="2"/>
  <c r="BN396" i="2"/>
  <c r="Y399" i="2"/>
  <c r="Z416" i="2"/>
  <c r="Z418" i="2" s="1"/>
  <c r="Z445" i="2"/>
  <c r="Z468" i="2"/>
  <c r="Z469" i="2" s="1"/>
  <c r="Y473" i="2"/>
  <c r="BP484" i="2"/>
  <c r="Z527" i="2"/>
  <c r="Z539" i="2"/>
  <c r="Z540" i="2" s="1"/>
  <c r="Y544" i="2"/>
  <c r="Z551" i="2"/>
  <c r="Z552" i="2" s="1"/>
  <c r="W574" i="2"/>
  <c r="Z556" i="2"/>
  <c r="Y562" i="2"/>
  <c r="Y155" i="2"/>
  <c r="BN339" i="2"/>
  <c r="BN363" i="2"/>
  <c r="BN374" i="2"/>
  <c r="BN384" i="2"/>
  <c r="BN416" i="2"/>
  <c r="BN445" i="2"/>
  <c r="BN468" i="2"/>
  <c r="BN527" i="2"/>
  <c r="BN539" i="2"/>
  <c r="BN551" i="2"/>
  <c r="Y574" i="2"/>
  <c r="Z409" i="2"/>
  <c r="Z425" i="2"/>
  <c r="BN450" i="2"/>
  <c r="Z485" i="2"/>
  <c r="Z510" i="2"/>
  <c r="Z530" i="2"/>
  <c r="BN556" i="2"/>
  <c r="Z574" i="2"/>
  <c r="Y518" i="2"/>
  <c r="BP539" i="2"/>
  <c r="BP551" i="2"/>
  <c r="Y563" i="2"/>
  <c r="AA574" i="2"/>
  <c r="BN485" i="2"/>
  <c r="BP498" i="2"/>
  <c r="BN510" i="2"/>
  <c r="BN530" i="2"/>
  <c r="AB574" i="2"/>
  <c r="Y540" i="2"/>
  <c r="BP510" i="2"/>
  <c r="Z412" i="2" l="1"/>
  <c r="Z393" i="2"/>
  <c r="Z463" i="2"/>
  <c r="Z246" i="2"/>
  <c r="Z190" i="2"/>
  <c r="Z349" i="2"/>
  <c r="Z36" i="2"/>
  <c r="Z167" i="2"/>
  <c r="Z102" i="2"/>
  <c r="Z85" i="2"/>
  <c r="Z386" i="2"/>
  <c r="Z142" i="2"/>
  <c r="Z365" i="2"/>
  <c r="Z74" i="2"/>
  <c r="Z155" i="2"/>
  <c r="Z120" i="2"/>
  <c r="Z240" i="2"/>
  <c r="Z210" i="2"/>
  <c r="Z376" i="2"/>
  <c r="Z317" i="2"/>
  <c r="Z426" i="2"/>
  <c r="Z137" i="2"/>
  <c r="Z518" i="2"/>
  <c r="Z433" i="2"/>
  <c r="Z490" i="2"/>
  <c r="Z479" i="2"/>
  <c r="Z446" i="2"/>
  <c r="Z185" i="2"/>
  <c r="Z46" i="2"/>
  <c r="Z127" i="2"/>
  <c r="Z302" i="2"/>
  <c r="Y565" i="2"/>
  <c r="Z55" i="2"/>
  <c r="Y564" i="2"/>
  <c r="Z291" i="2"/>
  <c r="Z95" i="2"/>
  <c r="Z67" i="2"/>
  <c r="Z31" i="2"/>
  <c r="Z458" i="2"/>
  <c r="Z113" i="2"/>
  <c r="Z272" i="2"/>
  <c r="X567" i="2"/>
  <c r="Z534" i="2"/>
  <c r="Z232" i="2"/>
  <c r="Z328" i="2"/>
  <c r="Z557" i="2"/>
  <c r="Y568" i="2"/>
  <c r="Y566" i="2"/>
  <c r="Z406" i="2"/>
  <c r="Z399" i="2"/>
  <c r="Z343" i="2"/>
  <c r="Z286" i="2"/>
  <c r="Y567" i="2" l="1"/>
  <c r="Z569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<sst xmlns="http://schemas.openxmlformats.org/spreadsheetml/2006/main" count="4249" uniqueCount="899">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</sst>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 t="s">
        <v>898</v>
      </c>
      <c r="I5" s="983"/>
      <c r="J5" s="983"/>
      <c r="K5" s="983"/>
      <c r="L5" s="983"/>
      <c r="M5" s="983"/>
      <c r="N5" s="72"/>
      <c r="P5" s="27" t="s">
        <v>4</v>
      </c>
      <c r="Q5" s="985">
        <v>46316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 t="s">
        <v>881</v>
      </c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Среда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 t="str">
        <f>IFERROR(VLOOKUP(DeliveryAddress,Table,3,0),1)</f>
        <v>3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0.5</v>
      </c>
      <c r="R8" s="1005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6" t="str">
        <f>IF(AND($A$9="Тип доверенности/получателя при получении в адресе перегруза:",$D$9="Разовая доверенность"),"Введите ФИО","")</f>
        <v/>
      </c>
      <c r="I9" s="1006"/>
      <c r="J9" s="10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6"/>
      <c r="L9" s="1006"/>
      <c r="M9" s="1006"/>
      <c r="N9" s="70"/>
      <c r="P9" s="31" t="s">
        <v>15</v>
      </c>
      <c r="Q9" s="1007"/>
      <c r="R9" s="1007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hidden="1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hidden="1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hidden="1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hidden="1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hidden="1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90</v>
      </c>
      <c r="Y51" s="55">
        <f>IFERROR(IF(X51="",0,CEILING((X51/$H51),1)*$H51),"")</f>
        <v>97.2</v>
      </c>
      <c r="Z51" s="41">
        <f>IFERROR(IF(Y51=0,"",ROUNDUP(Y51/H51,0)*0.01898),"")</f>
        <v>0.17082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93.416666666666671</v>
      </c>
      <c r="BN51" s="78">
        <f>IFERROR(Y51*I51/H51,"0")</f>
        <v>100.89</v>
      </c>
      <c r="BO51" s="78">
        <f>IFERROR(1/J51*(X51/H51),"0")</f>
        <v>0.13020833333333331</v>
      </c>
      <c r="BP51" s="78">
        <f>IFERROR(1/J51*(Y51/H51),"0")</f>
        <v>0.140625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48</v>
      </c>
      <c r="Y53" s="55">
        <f>IFERROR(IF(X53="",0,CEILING((X53/$H53),1)*$H53),"")</f>
        <v>48</v>
      </c>
      <c r="Z53" s="41">
        <f>IFERROR(IF(Y53=0,"",ROUNDUP(Y53/H53,0)*0.00902),"")</f>
        <v>0.10824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50.28</v>
      </c>
      <c r="BN53" s="78">
        <f>IFERROR(Y53*I53/H53,"0")</f>
        <v>50.28</v>
      </c>
      <c r="BO53" s="78">
        <f>IFERROR(1/J53*(X53/H53),"0")</f>
        <v>9.0909090909090912E-2</v>
      </c>
      <c r="BP53" s="78">
        <f>IFERROR(1/J53*(Y53/H53),"0")</f>
        <v>9.0909090909090912E-2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20.333333333333332</v>
      </c>
      <c r="Y55" s="43">
        <f>IFERROR(Y51/H51,"0")+IFERROR(Y52/H52,"0")+IFERROR(Y53/H53,"0")+IFERROR(Y54/H54,"0")</f>
        <v>21</v>
      </c>
      <c r="Z55" s="43">
        <f>IFERROR(IF(Z51="",0,Z51),"0")+IFERROR(IF(Z52="",0,Z52),"0")+IFERROR(IF(Z53="",0,Z53),"0")+IFERROR(IF(Z54="",0,Z54),"0")</f>
        <v>0.27905999999999997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138</v>
      </c>
      <c r="Y56" s="43">
        <f>IFERROR(SUM(Y51:Y54),"0")</f>
        <v>145.19999999999999</v>
      </c>
      <c r="Z56" s="42"/>
      <c r="AA56" s="67"/>
      <c r="AB56" s="67"/>
      <c r="AC56" s="67"/>
    </row>
    <row r="57" spans="1:68" ht="16.5" hidden="1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hidden="1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670</v>
      </c>
      <c r="Y60" s="55">
        <f t="shared" si="0"/>
        <v>680.40000000000009</v>
      </c>
      <c r="Z60" s="41">
        <f>IFERROR(IF(Y60=0,"",ROUNDUP(Y60/H60,0)*0.01898),"")</f>
        <v>1.19574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695.43518518518522</v>
      </c>
      <c r="BN60" s="78">
        <f t="shared" si="2"/>
        <v>706.23000000000013</v>
      </c>
      <c r="BO60" s="78">
        <f t="shared" si="3"/>
        <v>0.96932870370370361</v>
      </c>
      <c r="BP60" s="78">
        <f t="shared" si="4"/>
        <v>0.98437500000000011</v>
      </c>
    </row>
    <row r="61" spans="1:68" ht="27" hidden="1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180</v>
      </c>
      <c r="Y66" s="55">
        <f t="shared" si="0"/>
        <v>180</v>
      </c>
      <c r="Z66" s="41">
        <f>IFERROR(IF(Y66=0,"",ROUNDUP(Y66/H66,0)*0.00902),"")</f>
        <v>0.36080000000000001</v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187.60000000000002</v>
      </c>
      <c r="BN66" s="78">
        <f t="shared" si="2"/>
        <v>187.60000000000002</v>
      </c>
      <c r="BO66" s="78">
        <f t="shared" si="3"/>
        <v>0.30303030303030304</v>
      </c>
      <c r="BP66" s="78">
        <f t="shared" si="4"/>
        <v>0.30303030303030304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102.03703703703704</v>
      </c>
      <c r="Y67" s="43">
        <f>IFERROR(Y59/H59,"0")+IFERROR(Y60/H60,"0")+IFERROR(Y61/H61,"0")+IFERROR(Y62/H62,"0")+IFERROR(Y63/H63,"0")+IFERROR(Y64/H64,"0")+IFERROR(Y65/H65,"0")+IFERROR(Y66/H66,"0")</f>
        <v>103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1.55654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850</v>
      </c>
      <c r="Y68" s="43">
        <f>IFERROR(SUM(Y59:Y66),"0")</f>
        <v>860.40000000000009</v>
      </c>
      <c r="Z68" s="42"/>
      <c r="AA68" s="67"/>
      <c r="AB68" s="67"/>
      <c r="AC68" s="67"/>
    </row>
    <row r="69" spans="1:68" ht="14.25" hidden="1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730</v>
      </c>
      <c r="Y70" s="55">
        <f>IFERROR(IF(X70="",0,CEILING((X70/$H70),1)*$H70),"")</f>
        <v>734.40000000000009</v>
      </c>
      <c r="Z70" s="41">
        <f>IFERROR(IF(Y70=0,"",ROUNDUP(Y70/H70,0)*0.01898),"")</f>
        <v>1.29064</v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757.71296296296293</v>
      </c>
      <c r="BN70" s="78">
        <f>IFERROR(Y70*I70/H70,"0")</f>
        <v>762.28000000000009</v>
      </c>
      <c r="BO70" s="78">
        <f>IFERROR(1/J70*(X70/H70),"0")</f>
        <v>1.0561342592592593</v>
      </c>
      <c r="BP70" s="78">
        <f>IFERROR(1/J70*(Y70/H70),"0")</f>
        <v>1.0625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126</v>
      </c>
      <c r="Y73" s="55">
        <f>IFERROR(IF(X73="",0,CEILING((X73/$H73),1)*$H73),"")</f>
        <v>126.9</v>
      </c>
      <c r="Z73" s="41">
        <f>IFERROR(IF(Y73=0,"",ROUNDUP(Y73/H73,0)*0.00651),"")</f>
        <v>0.30597000000000002</v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134.39999999999998</v>
      </c>
      <c r="BN73" s="78">
        <f>IFERROR(Y73*I73/H73,"0")</f>
        <v>135.35999999999999</v>
      </c>
      <c r="BO73" s="78">
        <f>IFERROR(1/J73*(X73/H73),"0")</f>
        <v>0.25641025641025644</v>
      </c>
      <c r="BP73" s="78">
        <f>IFERROR(1/J73*(Y73/H73),"0")</f>
        <v>0.25824175824175827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114.25925925925927</v>
      </c>
      <c r="Y74" s="43">
        <f>IFERROR(Y70/H70,"0")+IFERROR(Y71/H71,"0")+IFERROR(Y72/H72,"0")+IFERROR(Y73/H73,"0")</f>
        <v>115</v>
      </c>
      <c r="Z74" s="43">
        <f>IFERROR(IF(Z70="",0,Z70),"0")+IFERROR(IF(Z71="",0,Z71),"0")+IFERROR(IF(Z72="",0,Z72),"0")+IFERROR(IF(Z73="",0,Z73),"0")</f>
        <v>1.5966100000000001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856</v>
      </c>
      <c r="Y75" s="43">
        <f>IFERROR(SUM(Y70:Y73),"0")</f>
        <v>861.30000000000007</v>
      </c>
      <c r="Z75" s="42"/>
      <c r="AA75" s="67"/>
      <c r="AB75" s="67"/>
      <c r="AC75" s="67"/>
    </row>
    <row r="76" spans="1:68" ht="14.25" hidden="1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3.6</v>
      </c>
      <c r="Y78" s="55">
        <f>IFERROR(IF(X78="",0,CEILING((X78/$H78),1)*$H78),"")</f>
        <v>3.6</v>
      </c>
      <c r="Z78" s="41">
        <f>IFERROR(IF(Y78=0,"",ROUNDUP(Y78/H78,0)*0.00651),"")</f>
        <v>1.302E-2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3.96</v>
      </c>
      <c r="BN78" s="78">
        <f>IFERROR(Y78*I78/H78,"0")</f>
        <v>3.96</v>
      </c>
      <c r="BO78" s="78">
        <f>IFERROR(1/J78*(X78/H78),"0")</f>
        <v>1.098901098901099E-2</v>
      </c>
      <c r="BP78" s="78">
        <f>IFERROR(1/J78*(Y78/H78),"0")</f>
        <v>1.098901098901099E-2</v>
      </c>
    </row>
    <row r="79" spans="1:68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hidden="1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hidden="1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80</v>
      </c>
      <c r="Y89" s="55">
        <f t="shared" ref="Y89:Y94" si="5">IFERROR(IF(X89="",0,CEILING((X89/$H89),1)*$H89),"")</f>
        <v>86.4</v>
      </c>
      <c r="Z89" s="41">
        <f>IFERROR(IF(Y89=0,"",ROUNDUP(Y89/H89,0)*0.01898),"")</f>
        <v>0.15184</v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83.037037037037038</v>
      </c>
      <c r="BN89" s="78">
        <f t="shared" ref="BN89:BN94" si="7">IFERROR(Y89*I89/H89,"0")</f>
        <v>89.68</v>
      </c>
      <c r="BO89" s="78">
        <f t="shared" ref="BO89:BO94" si="8">IFERROR(1/J89*(X89/H89),"0")</f>
        <v>0.11574074074074073</v>
      </c>
      <c r="BP89" s="78">
        <f t="shared" ref="BP89:BP94" si="9">IFERROR(1/J89*(Y89/H89),"0")</f>
        <v>0.125</v>
      </c>
    </row>
    <row r="90" spans="1:68" ht="27" hidden="1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58.5</v>
      </c>
      <c r="Y94" s="55">
        <f t="shared" si="5"/>
        <v>58.5</v>
      </c>
      <c r="Z94" s="41">
        <f>IFERROR(IF(Y94=0,"",ROUNDUP(Y94/H94,0)*0.00902),"")</f>
        <v>0.11726</v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60.97</v>
      </c>
      <c r="BN94" s="78">
        <f t="shared" si="7"/>
        <v>60.97</v>
      </c>
      <c r="BO94" s="78">
        <f t="shared" si="8"/>
        <v>9.8484848484848481E-2</v>
      </c>
      <c r="BP94" s="78">
        <f t="shared" si="9"/>
        <v>9.8484848484848481E-2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20.407407407407405</v>
      </c>
      <c r="Y95" s="43">
        <f>IFERROR(Y89/H89,"0")+IFERROR(Y90/H90,"0")+IFERROR(Y91/H91,"0")+IFERROR(Y92/H92,"0")+IFERROR(Y93/H93,"0")+IFERROR(Y94/H94,"0")</f>
        <v>21</v>
      </c>
      <c r="Z95" s="43">
        <f>IFERROR(IF(Z89="",0,Z89),"0")+IFERROR(IF(Z90="",0,Z90),"0")+IFERROR(IF(Z91="",0,Z91),"0")+IFERROR(IF(Z92="",0,Z92),"0")+IFERROR(IF(Z93="",0,Z93),"0")+IFERROR(IF(Z94="",0,Z94),"0")</f>
        <v>0.26910000000000001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138.5</v>
      </c>
      <c r="Y96" s="43">
        <f>IFERROR(SUM(Y89:Y94),"0")</f>
        <v>144.9</v>
      </c>
      <c r="Z96" s="42"/>
      <c r="AA96" s="67"/>
      <c r="AB96" s="67"/>
      <c r="AC96" s="67"/>
    </row>
    <row r="97" spans="1:68" ht="14.25" hidden="1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65</v>
      </c>
      <c r="Y98" s="55">
        <f>IFERROR(IF(X98="",0,CEILING((X98/$H98),1)*$H98),"")</f>
        <v>72.899999999999991</v>
      </c>
      <c r="Z98" s="41">
        <f>IFERROR(IF(Y98=0,"",ROUNDUP(Y98/H98,0)*0.01898),"")</f>
        <v>0.17082</v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68.964197530864197</v>
      </c>
      <c r="BN98" s="78">
        <f>IFERROR(Y98*I98/H98,"0")</f>
        <v>77.345999999999989</v>
      </c>
      <c r="BO98" s="78">
        <f>IFERROR(1/J98*(X98/H98),"0")</f>
        <v>0.1253858024691358</v>
      </c>
      <c r="BP98" s="78">
        <f>IFERROR(1/J98*(Y98/H98),"0")</f>
        <v>0.140625</v>
      </c>
    </row>
    <row r="99" spans="1:68" ht="27" hidden="1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9</v>
      </c>
      <c r="Y100" s="55">
        <f>IFERROR(IF(X100="",0,CEILING((X100/$H100),1)*$H100),"")</f>
        <v>10.8</v>
      </c>
      <c r="Z100" s="41">
        <f>IFERROR(IF(Y100=0,"",ROUNDUP(Y100/H100,0)*0.00651),"")</f>
        <v>2.6040000000000001E-2</v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9.8399999999999981</v>
      </c>
      <c r="BN100" s="78">
        <f>IFERROR(Y100*I100/H100,"0")</f>
        <v>11.808</v>
      </c>
      <c r="BO100" s="78">
        <f>IFERROR(1/J100*(X100/H100),"0")</f>
        <v>1.8315018315018316E-2</v>
      </c>
      <c r="BP100" s="78">
        <f>IFERROR(1/J100*(Y100/H100),"0")</f>
        <v>2.197802197802198E-2</v>
      </c>
    </row>
    <row r="101" spans="1:68" ht="16.5" hidden="1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11.358024691358025</v>
      </c>
      <c r="Y102" s="43">
        <f>IFERROR(Y98/H98,"0")+IFERROR(Y99/H99,"0")+IFERROR(Y100/H100,"0")+IFERROR(Y101/H101,"0")</f>
        <v>13</v>
      </c>
      <c r="Z102" s="43">
        <f>IFERROR(IF(Z98="",0,Z98),"0")+IFERROR(IF(Z99="",0,Z99),"0")+IFERROR(IF(Z100="",0,Z100),"0")+IFERROR(IF(Z101="",0,Z101),"0")</f>
        <v>0.19686000000000001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74</v>
      </c>
      <c r="Y103" s="43">
        <f>IFERROR(SUM(Y98:Y101),"0")</f>
        <v>83.699999999999989</v>
      </c>
      <c r="Z103" s="42"/>
      <c r="AA103" s="67"/>
      <c r="AB103" s="67"/>
      <c r="AC103" s="67"/>
    </row>
    <row r="104" spans="1:68" ht="16.5" hidden="1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hidden="1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hidden="1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7.5</v>
      </c>
      <c r="Y109" s="55">
        <f t="shared" si="10"/>
        <v>7.5</v>
      </c>
      <c r="Z109" s="41">
        <f>IFERROR(IF(Y109=0,"",ROUNDUP(Y109/H109,0)*0.00902),"")</f>
        <v>1.804E-2</v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7.88</v>
      </c>
      <c r="BN109" s="78">
        <f t="shared" si="12"/>
        <v>7.88</v>
      </c>
      <c r="BO109" s="78">
        <f t="shared" si="13"/>
        <v>1.5151515151515152E-2</v>
      </c>
      <c r="BP109" s="78">
        <f t="shared" si="14"/>
        <v>1.5151515151515152E-2</v>
      </c>
    </row>
    <row r="110" spans="1:68" ht="27" hidden="1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2</v>
      </c>
      <c r="Y113" s="43">
        <f>IFERROR(Y106/H106,"0")+IFERROR(Y107/H107,"0")+IFERROR(Y108/H108,"0")+IFERROR(Y109/H109,"0")+IFERROR(Y110/H110,"0")+IFERROR(Y111/H111,"0")+IFERROR(Y112/H112,"0")</f>
        <v>2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1.804E-2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7.5</v>
      </c>
      <c r="Y114" s="43">
        <f>IFERROR(SUM(Y106:Y112),"0")</f>
        <v>7.5</v>
      </c>
      <c r="Z114" s="42"/>
      <c r="AA114" s="67"/>
      <c r="AB114" s="67"/>
      <c r="AC114" s="67"/>
    </row>
    <row r="115" spans="1:68" ht="14.25" hidden="1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hidden="1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30</v>
      </c>
      <c r="Y123" s="55">
        <f>IFERROR(IF(X123="",0,CEILING((X123/$H123),1)*$H123),"")</f>
        <v>32.4</v>
      </c>
      <c r="Z123" s="41">
        <f>IFERROR(IF(Y123=0,"",ROUNDUP(Y123/H123,0)*0.01898),"")</f>
        <v>7.5920000000000001E-2</v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31.807407407407407</v>
      </c>
      <c r="BN123" s="78">
        <f>IFERROR(Y123*I123/H123,"0")</f>
        <v>34.351999999999997</v>
      </c>
      <c r="BO123" s="78">
        <f>IFERROR(1/J123*(X123/H123),"0")</f>
        <v>5.7870370370370371E-2</v>
      </c>
      <c r="BP123" s="78">
        <f>IFERROR(1/J123*(Y123/H123),"0")</f>
        <v>6.25E-2</v>
      </c>
    </row>
    <row r="124" spans="1:68" ht="27" hidden="1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9</v>
      </c>
      <c r="Y125" s="55">
        <f>IFERROR(IF(X125="",0,CEILING((X125/$H125),1)*$H125),"")</f>
        <v>10.8</v>
      </c>
      <c r="Z125" s="41">
        <f>IFERROR(IF(Y125=0,"",ROUNDUP(Y125/H125,0)*0.00651),"")</f>
        <v>2.6040000000000001E-2</v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9.8399999999999981</v>
      </c>
      <c r="BN125" s="78">
        <f>IFERROR(Y125*I125/H125,"0")</f>
        <v>11.808</v>
      </c>
      <c r="BO125" s="78">
        <f>IFERROR(1/J125*(X125/H125),"0")</f>
        <v>1.8315018315018316E-2</v>
      </c>
      <c r="BP125" s="78">
        <f>IFERROR(1/J125*(Y125/H125),"0")</f>
        <v>2.197802197802198E-2</v>
      </c>
    </row>
    <row r="126" spans="1:68" ht="16.5" hidden="1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7.0370370370370363</v>
      </c>
      <c r="Y127" s="43">
        <f>IFERROR(Y123/H123,"0")+IFERROR(Y124/H124,"0")+IFERROR(Y125/H125,"0")+IFERROR(Y126/H126,"0")</f>
        <v>8</v>
      </c>
      <c r="Z127" s="43">
        <f>IFERROR(IF(Z123="",0,Z123),"0")+IFERROR(IF(Z124="",0,Z124),"0")+IFERROR(IF(Z125="",0,Z125),"0")+IFERROR(IF(Z126="",0,Z126),"0")</f>
        <v>0.10196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39</v>
      </c>
      <c r="Y128" s="43">
        <f>IFERROR(SUM(Y123:Y126),"0")</f>
        <v>43.2</v>
      </c>
      <c r="Z128" s="42"/>
      <c r="AA128" s="67"/>
      <c r="AB128" s="67"/>
      <c r="AC128" s="67"/>
    </row>
    <row r="129" spans="1:68" ht="14.25" hidden="1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hidden="1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hidden="1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23.2</v>
      </c>
      <c r="Y135" s="55">
        <f>IFERROR(IF(X135="",0,CEILING((X135/$H135),1)*$H135),"")</f>
        <v>25.6</v>
      </c>
      <c r="Z135" s="41">
        <f>IFERROR(IF(Y135=0,"",ROUNDUP(Y135/H135,0)*0.00651),"")</f>
        <v>5.2080000000000001E-2</v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24.504999999999999</v>
      </c>
      <c r="BN135" s="78">
        <f>IFERROR(Y135*I135/H135,"0")</f>
        <v>27.04</v>
      </c>
      <c r="BO135" s="78">
        <f>IFERROR(1/J135*(X135/H135),"0")</f>
        <v>3.9835164835164832E-2</v>
      </c>
      <c r="BP135" s="78">
        <f>IFERROR(1/J135*(Y135/H135),"0")</f>
        <v>4.3956043956043959E-2</v>
      </c>
    </row>
    <row r="136" spans="1:68" ht="27" hidden="1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7.2499999999999991</v>
      </c>
      <c r="Y137" s="43">
        <f>IFERROR(Y135/H135,"0")+IFERROR(Y136/H136,"0")</f>
        <v>8</v>
      </c>
      <c r="Z137" s="43">
        <f>IFERROR(IF(Z135="",0,Z135),"0")+IFERROR(IF(Z136="",0,Z136),"0")</f>
        <v>5.2080000000000001E-2</v>
      </c>
      <c r="AA137" s="67"/>
      <c r="AB137" s="67"/>
      <c r="AC137" s="67"/>
    </row>
    <row r="138" spans="1:68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23.2</v>
      </c>
      <c r="Y138" s="43">
        <f>IFERROR(SUM(Y135:Y136),"0")</f>
        <v>25.6</v>
      </c>
      <c r="Z138" s="42"/>
      <c r="AA138" s="67"/>
      <c r="AB138" s="67"/>
      <c r="AC138" s="67"/>
    </row>
    <row r="139" spans="1:68" ht="14.25" hidden="1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17.5</v>
      </c>
      <c r="Y140" s="55">
        <f>IFERROR(IF(X140="",0,CEILING((X140/$H140),1)*$H140),"")</f>
        <v>19.599999999999998</v>
      </c>
      <c r="Z140" s="41">
        <f>IFERROR(IF(Y140=0,"",ROUNDUP(Y140/H140,0)*0.00651),"")</f>
        <v>4.5569999999999999E-2</v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19.175000000000001</v>
      </c>
      <c r="BN140" s="78">
        <f>IFERROR(Y140*I140/H140,"0")</f>
        <v>21.475999999999999</v>
      </c>
      <c r="BO140" s="78">
        <f>IFERROR(1/J140*(X140/H140),"0")</f>
        <v>3.4340659340659344E-2</v>
      </c>
      <c r="BP140" s="78">
        <f>IFERROR(1/J140*(Y140/H140),"0")</f>
        <v>3.8461538461538464E-2</v>
      </c>
    </row>
    <row r="141" spans="1:68" ht="27" hidden="1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6.25</v>
      </c>
      <c r="Y142" s="43">
        <f>IFERROR(Y140/H140,"0")+IFERROR(Y141/H141,"0")</f>
        <v>7</v>
      </c>
      <c r="Z142" s="43">
        <f>IFERROR(IF(Z140="",0,Z140),"0")+IFERROR(IF(Z141="",0,Z141),"0")</f>
        <v>4.5569999999999999E-2</v>
      </c>
      <c r="AA142" s="67"/>
      <c r="AB142" s="67"/>
      <c r="AC142" s="67"/>
    </row>
    <row r="143" spans="1:68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17.5</v>
      </c>
      <c r="Y143" s="43">
        <f>IFERROR(SUM(Y140:Y141),"0")</f>
        <v>19.599999999999998</v>
      </c>
      <c r="Z143" s="42"/>
      <c r="AA143" s="67"/>
      <c r="AB143" s="67"/>
      <c r="AC143" s="67"/>
    </row>
    <row r="144" spans="1:68" ht="14.25" hidden="1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hidden="1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hidden="1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hidden="1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hidden="1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hidden="1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hidden="1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hidden="1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70</v>
      </c>
      <c r="Y175" s="55">
        <f t="shared" ref="Y175:Y184" si="15">IFERROR(IF(X175="",0,CEILING((X175/$H175),1)*$H175),"")</f>
        <v>70</v>
      </c>
      <c r="Z175" s="41">
        <f>IFERROR(IF(Y175=0,"",ROUNDUP(Y175/H175,0)*0.00902),"")</f>
        <v>0.1804</v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73.8</v>
      </c>
      <c r="BN175" s="78">
        <f t="shared" ref="BN175:BN184" si="17">IFERROR(Y175*I175/H175,"0")</f>
        <v>73.8</v>
      </c>
      <c r="BO175" s="78">
        <f t="shared" ref="BO175:BO184" si="18">IFERROR(1/J175*(X175/H175),"0")</f>
        <v>0.15151515151515152</v>
      </c>
      <c r="BP175" s="78">
        <f t="shared" ref="BP175:BP184" si="19">IFERROR(1/J175*(Y175/H175),"0")</f>
        <v>0.15151515151515152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18</v>
      </c>
      <c r="Y176" s="55">
        <f t="shared" si="15"/>
        <v>21</v>
      </c>
      <c r="Z176" s="41">
        <f>IFERROR(IF(Y176=0,"",ROUNDUP(Y176/H176,0)*0.00902),"")</f>
        <v>5.4120000000000001E-2</v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19.362857142857141</v>
      </c>
      <c r="BN176" s="78">
        <f t="shared" si="17"/>
        <v>22.59</v>
      </c>
      <c r="BO176" s="78">
        <f t="shared" si="18"/>
        <v>3.8961038961038967E-2</v>
      </c>
      <c r="BP176" s="78">
        <f t="shared" si="19"/>
        <v>4.5454545454545456E-2</v>
      </c>
    </row>
    <row r="177" spans="1:68" ht="27" hidden="1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hidden="1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hidden="1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25.142857142857142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26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0.23452000000000001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88</v>
      </c>
      <c r="Y186" s="43">
        <f>IFERROR(SUM(Y175:Y184),"0")</f>
        <v>91</v>
      </c>
      <c r="Z186" s="42"/>
      <c r="AA186" s="67"/>
      <c r="AB186" s="67"/>
      <c r="AC186" s="67"/>
    </row>
    <row r="187" spans="1:68" ht="14.25" hidden="1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hidden="1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hidden="1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hidden="1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hidden="1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hidden="1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hidden="1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hidden="1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hidden="1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hidden="1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idden="1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hidden="1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hidden="1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hidden="1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hidden="1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6.3</v>
      </c>
      <c r="Y223" s="55">
        <f t="shared" si="26"/>
        <v>6.3000000000000007</v>
      </c>
      <c r="Z223" s="41">
        <f>IFERROR(IF(Y223=0,"",ROUNDUP(Y223/H223,0)*0.00502),"")</f>
        <v>1.506E-2</v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6.6899999999999995</v>
      </c>
      <c r="BN223" s="78">
        <f t="shared" si="28"/>
        <v>6.69</v>
      </c>
      <c r="BO223" s="78">
        <f t="shared" si="29"/>
        <v>1.2820512820512822E-2</v>
      </c>
      <c r="BP223" s="78">
        <f t="shared" si="30"/>
        <v>1.2820512820512822E-2</v>
      </c>
    </row>
    <row r="224" spans="1:68" ht="27" hidden="1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hidden="1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hidden="1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3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3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1.506E-2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6.3</v>
      </c>
      <c r="Y233" s="43">
        <f>IFERROR(SUM(Y218:Y231),"0")</f>
        <v>6.3000000000000007</v>
      </c>
      <c r="Z233" s="42"/>
      <c r="AA233" s="67"/>
      <c r="AB233" s="67"/>
      <c r="AC233" s="67"/>
    </row>
    <row r="234" spans="1:68" ht="14.25" hidden="1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hidden="1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idden="1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hidden="1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idden="1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hidden="1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hidden="1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hidden="1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hidden="1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hidden="1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hidden="1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hidden="1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hidden="1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hidden="1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80</v>
      </c>
      <c r="Y264" s="55">
        <f t="shared" ref="Y264:Y271" si="31">IFERROR(IF(X264="",0,CEILING((X264/$H264),1)*$H264),"")</f>
        <v>81</v>
      </c>
      <c r="Z264" s="41">
        <f>IFERROR(IF(Y264=0,"",ROUNDUP(Y264/H264,0)*0.00902),"")</f>
        <v>0.1353</v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82.81481481481481</v>
      </c>
      <c r="BN264" s="78">
        <f t="shared" ref="BN264:BN271" si="33">IFERROR(Y264*I264/H264,"0")</f>
        <v>83.85</v>
      </c>
      <c r="BO264" s="78">
        <f t="shared" ref="BO264:BO271" si="34">IFERROR(1/J264*(X264/H264),"0")</f>
        <v>0.11223344556677889</v>
      </c>
      <c r="BP264" s="78">
        <f t="shared" ref="BP264:BP271" si="35">IFERROR(1/J264*(Y264/H264),"0")</f>
        <v>0.11363636363636363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20</v>
      </c>
      <c r="Y265" s="55">
        <f t="shared" si="31"/>
        <v>21.6</v>
      </c>
      <c r="Z265" s="41">
        <f>IFERROR(IF(Y265=0,"",ROUNDUP(Y265/H265,0)*0.00902),"")</f>
        <v>3.6080000000000001E-2</v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20.703703703703702</v>
      </c>
      <c r="BN265" s="78">
        <f t="shared" si="33"/>
        <v>22.36</v>
      </c>
      <c r="BO265" s="78">
        <f t="shared" si="34"/>
        <v>2.8058361391694722E-2</v>
      </c>
      <c r="BP265" s="78">
        <f t="shared" si="35"/>
        <v>3.0303030303030304E-2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50</v>
      </c>
      <c r="Y266" s="55">
        <f t="shared" si="31"/>
        <v>54</v>
      </c>
      <c r="Z266" s="41">
        <f>IFERROR(IF(Y266=0,"",ROUNDUP(Y266/H266,0)*0.00902),"")</f>
        <v>9.0200000000000002E-2</v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51.759259259259252</v>
      </c>
      <c r="BN266" s="78">
        <f t="shared" si="33"/>
        <v>55.9</v>
      </c>
      <c r="BO266" s="78">
        <f t="shared" si="34"/>
        <v>7.0145903479236812E-2</v>
      </c>
      <c r="BP266" s="78">
        <f t="shared" si="35"/>
        <v>7.575757575757576E-2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15</v>
      </c>
      <c r="Y267" s="55">
        <f t="shared" si="31"/>
        <v>16.200000000000003</v>
      </c>
      <c r="Z267" s="41">
        <f>IFERROR(IF(Y267=0,"",ROUNDUP(Y267/H267,0)*0.00902),"")</f>
        <v>2.7060000000000001E-2</v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15.527777777777775</v>
      </c>
      <c r="BN267" s="78">
        <f t="shared" si="33"/>
        <v>16.77</v>
      </c>
      <c r="BO267" s="78">
        <f t="shared" si="34"/>
        <v>2.1043771043771045E-2</v>
      </c>
      <c r="BP267" s="78">
        <f t="shared" si="35"/>
        <v>2.2727272727272731E-2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30.555555555555554</v>
      </c>
      <c r="Y272" s="43">
        <f>IFERROR(Y264/H264,"0")+IFERROR(Y265/H265,"0")+IFERROR(Y266/H266,"0")+IFERROR(Y267/H267,"0")+IFERROR(Y268/H268,"0")+IFERROR(Y269/H269,"0")+IFERROR(Y270/H270,"0")+IFERROR(Y271/H271,"0")</f>
        <v>32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0.28864000000000001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165</v>
      </c>
      <c r="Y273" s="43">
        <f>IFERROR(SUM(Y264:Y271),"0")</f>
        <v>172.8</v>
      </c>
      <c r="Z273" s="42"/>
      <c r="AA273" s="67"/>
      <c r="AB273" s="67"/>
      <c r="AC273" s="67"/>
    </row>
    <row r="274" spans="1:68" ht="14.25" hidden="1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hidden="1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12</v>
      </c>
      <c r="Y278" s="55">
        <f t="shared" si="36"/>
        <v>12</v>
      </c>
      <c r="Z278" s="41">
        <f>IFERROR(IF(Y278=0,"",ROUNDUP(Y278/H278,0)*0.00651),"")</f>
        <v>3.2550000000000003E-2</v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13.35</v>
      </c>
      <c r="BN278" s="78">
        <f t="shared" si="38"/>
        <v>13.35</v>
      </c>
      <c r="BO278" s="78">
        <f t="shared" si="39"/>
        <v>2.7472527472527476E-2</v>
      </c>
      <c r="BP278" s="78">
        <f t="shared" si="40"/>
        <v>2.7472527472527476E-2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12</v>
      </c>
      <c r="Y280" s="55">
        <f t="shared" si="36"/>
        <v>12</v>
      </c>
      <c r="Z280" s="41">
        <f>IFERROR(IF(Y280=0,"",ROUNDUP(Y280/H280,0)*0.00651),"")</f>
        <v>3.2550000000000003E-2</v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13.260000000000002</v>
      </c>
      <c r="BN280" s="78">
        <f t="shared" si="38"/>
        <v>13.260000000000002</v>
      </c>
      <c r="BO280" s="78">
        <f t="shared" si="39"/>
        <v>2.7472527472527476E-2</v>
      </c>
      <c r="BP280" s="78">
        <f t="shared" si="40"/>
        <v>2.7472527472527476E-2</v>
      </c>
    </row>
    <row r="281" spans="1:68" ht="27" hidden="1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8</v>
      </c>
      <c r="Y284" s="55">
        <f t="shared" si="36"/>
        <v>9.6</v>
      </c>
      <c r="Z284" s="41">
        <f>IFERROR(IF(Y284=0,"",ROUNDUP(Y284/H284,0)*0.00651),"")</f>
        <v>2.6040000000000001E-2</v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8.86</v>
      </c>
      <c r="BN284" s="78">
        <f t="shared" si="38"/>
        <v>10.632</v>
      </c>
      <c r="BO284" s="78">
        <f t="shared" si="39"/>
        <v>1.8315018315018316E-2</v>
      </c>
      <c r="BP284" s="78">
        <f t="shared" si="40"/>
        <v>2.197802197802198E-2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13.333333333333334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14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9.1139999999999999E-2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32</v>
      </c>
      <c r="Y287" s="43">
        <f>IFERROR(SUM(Y275:Y285),"0")</f>
        <v>33.6</v>
      </c>
      <c r="Z287" s="42"/>
      <c r="AA287" s="67"/>
      <c r="AB287" s="67"/>
      <c r="AC287" s="67"/>
    </row>
    <row r="288" spans="1:68" ht="14.25" hidden="1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hidden="1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hidden="1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hidden="1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hidden="1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hidden="1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hidden="1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idden="1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hidden="1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hidden="1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hidden="1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hidden="1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50</v>
      </c>
      <c r="Y321" s="55">
        <f t="shared" ref="Y321:Y327" si="46">IFERROR(IF(X321="",0,CEILING((X321/$H321),1)*$H321),"")</f>
        <v>54</v>
      </c>
      <c r="Z321" s="41">
        <f>IFERROR(IF(Y321=0,"",ROUNDUP(Y321/H321,0)*0.01898),"")</f>
        <v>9.4899999999999998E-2</v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51.898148148148145</v>
      </c>
      <c r="BN321" s="78">
        <f t="shared" ref="BN321:BN327" si="48">IFERROR(Y321*I321/H321,"0")</f>
        <v>56.05</v>
      </c>
      <c r="BO321" s="78">
        <f t="shared" ref="BO321:BO327" si="49">IFERROR(1/J321*(X321/H321),"0")</f>
        <v>7.2337962962962965E-2</v>
      </c>
      <c r="BP321" s="78">
        <f t="shared" ref="BP321:BP327" si="50">IFERROR(1/J321*(Y321/H321),"0")</f>
        <v>7.8125E-2</v>
      </c>
    </row>
    <row r="322" spans="1:68" ht="27" hidden="1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hidden="1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hidden="1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170</v>
      </c>
      <c r="Y325" s="55">
        <f t="shared" si="46"/>
        <v>172.8</v>
      </c>
      <c r="Z325" s="41">
        <f>IFERROR(IF(Y325=0,"",ROUNDUP(Y325/H325,0)*0.01898),"")</f>
        <v>0.30368000000000001</v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176.4537037037037</v>
      </c>
      <c r="BN325" s="78">
        <f t="shared" si="48"/>
        <v>179.36</v>
      </c>
      <c r="BO325" s="78">
        <f t="shared" si="49"/>
        <v>0.24594907407407407</v>
      </c>
      <c r="BP325" s="78">
        <f t="shared" si="50"/>
        <v>0.25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12</v>
      </c>
      <c r="Y326" s="55">
        <f t="shared" si="46"/>
        <v>12</v>
      </c>
      <c r="Z326" s="41">
        <f>IFERROR(IF(Y326=0,"",ROUNDUP(Y326/H326,0)*0.00902),"")</f>
        <v>2.7060000000000001E-2</v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12.57</v>
      </c>
      <c r="BN326" s="78">
        <f t="shared" si="48"/>
        <v>12.57</v>
      </c>
      <c r="BO326" s="78">
        <f t="shared" si="49"/>
        <v>2.2727272727272728E-2</v>
      </c>
      <c r="BP326" s="78">
        <f t="shared" si="50"/>
        <v>2.2727272727272728E-2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20</v>
      </c>
      <c r="Y327" s="55">
        <f t="shared" si="46"/>
        <v>20</v>
      </c>
      <c r="Z327" s="41">
        <f>IFERROR(IF(Y327=0,"",ROUNDUP(Y327/H327,0)*0.00902),"")</f>
        <v>4.5100000000000001E-2</v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20.950000000000003</v>
      </c>
      <c r="BN327" s="78">
        <f t="shared" si="48"/>
        <v>20.950000000000003</v>
      </c>
      <c r="BO327" s="78">
        <f t="shared" si="49"/>
        <v>3.787878787878788E-2</v>
      </c>
      <c r="BP327" s="78">
        <f t="shared" si="50"/>
        <v>3.787878787878788E-2</v>
      </c>
    </row>
    <row r="328" spans="1:68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28.37037037037037</v>
      </c>
      <c r="Y328" s="43">
        <f>IFERROR(Y321/H321,"0")+IFERROR(Y322/H322,"0")+IFERROR(Y323/H323,"0")+IFERROR(Y324/H324,"0")+IFERROR(Y325/H325,"0")+IFERROR(Y326/H326,"0")+IFERROR(Y327/H327,"0")</f>
        <v>29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0.47074000000000005</v>
      </c>
      <c r="AA328" s="67"/>
      <c r="AB328" s="67"/>
      <c r="AC328" s="67"/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252</v>
      </c>
      <c r="Y329" s="43">
        <f>IFERROR(SUM(Y321:Y327),"0")</f>
        <v>258.8</v>
      </c>
      <c r="Z329" s="42"/>
      <c r="AA329" s="67"/>
      <c r="AB329" s="67"/>
      <c r="AC329" s="67"/>
    </row>
    <row r="330" spans="1:68" ht="16.5" hidden="1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hidden="1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hidden="1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hidden="1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hidden="1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hidden="1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hidden="1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hidden="1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hidden="1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hidden="1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hidden="1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hidden="1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idden="1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hidden="1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hidden="1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hidden="1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210</v>
      </c>
      <c r="Y370" s="55">
        <f t="shared" si="51"/>
        <v>216</v>
      </c>
      <c r="Z370" s="41">
        <f>IFERROR(IF(Y370=0,"",ROUNDUP(Y370/H370,0)*0.01898),"")</f>
        <v>0.37959999999999999</v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217.97222222222223</v>
      </c>
      <c r="BN370" s="78">
        <f t="shared" si="53"/>
        <v>224.2</v>
      </c>
      <c r="BO370" s="78">
        <f t="shared" si="54"/>
        <v>0.30381944444444442</v>
      </c>
      <c r="BP370" s="78">
        <f t="shared" si="55"/>
        <v>0.3125</v>
      </c>
    </row>
    <row r="371" spans="1:68" ht="27" hidden="1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100</v>
      </c>
      <c r="Y372" s="55">
        <f t="shared" si="51"/>
        <v>108</v>
      </c>
      <c r="Z372" s="41">
        <f>IFERROR(IF(Y372=0,"",ROUNDUP(Y372/H372,0)*0.01898),"")</f>
        <v>0.1898</v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103.79629629629629</v>
      </c>
      <c r="BN372" s="78">
        <f t="shared" si="53"/>
        <v>112.1</v>
      </c>
      <c r="BO372" s="78">
        <f t="shared" si="54"/>
        <v>0.14467592592592593</v>
      </c>
      <c r="BP372" s="78">
        <f t="shared" si="55"/>
        <v>0.15625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900</v>
      </c>
      <c r="Y373" s="55">
        <f t="shared" si="51"/>
        <v>907.2</v>
      </c>
      <c r="Z373" s="41">
        <f>IFERROR(IF(Y373=0,"",ROUNDUP(Y373/H373,0)*0.01898),"")</f>
        <v>1.59432</v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934.16666666666663</v>
      </c>
      <c r="BN373" s="78">
        <f t="shared" si="53"/>
        <v>941.6400000000001</v>
      </c>
      <c r="BO373" s="78">
        <f t="shared" si="54"/>
        <v>1.3020833333333333</v>
      </c>
      <c r="BP373" s="78">
        <f t="shared" si="55"/>
        <v>1.3125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20</v>
      </c>
      <c r="Y374" s="55">
        <f t="shared" si="51"/>
        <v>20</v>
      </c>
      <c r="Z374" s="41">
        <f>IFERROR(IF(Y374=0,"",ROUNDUP(Y374/H374,0)*0.00902),"")</f>
        <v>4.5100000000000001E-2</v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20.950000000000003</v>
      </c>
      <c r="BN374" s="78">
        <f t="shared" si="53"/>
        <v>20.950000000000003</v>
      </c>
      <c r="BO374" s="78">
        <f t="shared" si="54"/>
        <v>3.787878787878788E-2</v>
      </c>
      <c r="BP374" s="78">
        <f t="shared" si="55"/>
        <v>3.787878787878788E-2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32</v>
      </c>
      <c r="Y375" s="55">
        <f t="shared" si="51"/>
        <v>32</v>
      </c>
      <c r="Z375" s="41">
        <f>IFERROR(IF(Y375=0,"",ROUNDUP(Y375/H375,0)*0.00902),"")</f>
        <v>7.2160000000000002E-2</v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33.520000000000003</v>
      </c>
      <c r="BN375" s="78">
        <f t="shared" si="53"/>
        <v>33.520000000000003</v>
      </c>
      <c r="BO375" s="78">
        <f t="shared" si="54"/>
        <v>6.0606060606060608E-2</v>
      </c>
      <c r="BP375" s="78">
        <f t="shared" si="55"/>
        <v>6.0606060606060608E-2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125.03703703703704</v>
      </c>
      <c r="Y376" s="43">
        <f>IFERROR(Y369/H369,"0")+IFERROR(Y370/H370,"0")+IFERROR(Y371/H371,"0")+IFERROR(Y372/H372,"0")+IFERROR(Y373/H373,"0")+IFERROR(Y374/H374,"0")+IFERROR(Y375/H375,"0")</f>
        <v>127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2.2809800000000005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1262</v>
      </c>
      <c r="Y377" s="43">
        <f>IFERROR(SUM(Y369:Y375),"0")</f>
        <v>1283.2</v>
      </c>
      <c r="Z377" s="42"/>
      <c r="AA377" s="67"/>
      <c r="AB377" s="67"/>
      <c r="AC377" s="67"/>
    </row>
    <row r="378" spans="1:68" ht="14.25" hidden="1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165</v>
      </c>
      <c r="Y379" s="55">
        <f t="shared" ref="Y379:Y385" si="56">IFERROR(IF(X379="",0,CEILING((X379/$H379),1)*$H379),"")</f>
        <v>168</v>
      </c>
      <c r="Z379" s="41">
        <f>IFERROR(IF(Y379=0,"",ROUNDUP(Y379/H379,0)*0.00902),"")</f>
        <v>0.36080000000000001</v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174.82142857142856</v>
      </c>
      <c r="BN379" s="78">
        <f t="shared" ref="BN379:BN385" si="58">IFERROR(Y379*I379/H379,"0")</f>
        <v>178</v>
      </c>
      <c r="BO379" s="78">
        <f t="shared" ref="BO379:BO385" si="59">IFERROR(1/J379*(X379/H379),"0")</f>
        <v>0.29761904761904762</v>
      </c>
      <c r="BP379" s="78">
        <f t="shared" ref="BP379:BP385" si="60">IFERROR(1/J379*(Y379/H379),"0")</f>
        <v>0.30303030303030304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325</v>
      </c>
      <c r="Y380" s="55">
        <f t="shared" si="56"/>
        <v>327.60000000000002</v>
      </c>
      <c r="Z380" s="41">
        <f>IFERROR(IF(Y380=0,"",ROUNDUP(Y380/H380,0)*0.00902),"")</f>
        <v>0.70355999999999996</v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344.34523809523807</v>
      </c>
      <c r="BN380" s="78">
        <f t="shared" si="58"/>
        <v>347.1</v>
      </c>
      <c r="BO380" s="78">
        <f t="shared" si="59"/>
        <v>0.5862193362193362</v>
      </c>
      <c r="BP380" s="78">
        <f t="shared" si="60"/>
        <v>0.59090909090909094</v>
      </c>
    </row>
    <row r="381" spans="1:68" ht="27" hidden="1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23.8</v>
      </c>
      <c r="Y382" s="55">
        <f t="shared" si="56"/>
        <v>25.200000000000003</v>
      </c>
      <c r="Z382" s="41">
        <f>IFERROR(IF(Y382=0,"",ROUNDUP(Y382/H382,0)*0.00502),"")</f>
        <v>6.0240000000000002E-2</v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25.27333333333333</v>
      </c>
      <c r="BN382" s="78">
        <f t="shared" si="58"/>
        <v>26.76</v>
      </c>
      <c r="BO382" s="78">
        <f t="shared" si="59"/>
        <v>4.8433048433048444E-2</v>
      </c>
      <c r="BP382" s="78">
        <f t="shared" si="60"/>
        <v>5.1282051282051287E-2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6.3</v>
      </c>
      <c r="Y383" s="55">
        <f t="shared" si="56"/>
        <v>6.3000000000000007</v>
      </c>
      <c r="Z383" s="41">
        <f>IFERROR(IF(Y383=0,"",ROUNDUP(Y383/H383,0)*0.00502),"")</f>
        <v>1.506E-2</v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6.6000000000000005</v>
      </c>
      <c r="BN383" s="78">
        <f t="shared" si="58"/>
        <v>6.6000000000000014</v>
      </c>
      <c r="BO383" s="78">
        <f t="shared" si="59"/>
        <v>1.2820512820512822E-2</v>
      </c>
      <c r="BP383" s="78">
        <f t="shared" si="60"/>
        <v>1.2820512820512822E-2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131</v>
      </c>
      <c r="Y386" s="43">
        <f>IFERROR(Y379/H379,"0")+IFERROR(Y380/H380,"0")+IFERROR(Y381/H381,"0")+IFERROR(Y382/H382,"0")+IFERROR(Y383/H383,"0")+IFERROR(Y384/H384,"0")+IFERROR(Y385/H385,"0")</f>
        <v>133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1.1396600000000001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520.09999999999991</v>
      </c>
      <c r="Y387" s="43">
        <f>IFERROR(SUM(Y379:Y385),"0")</f>
        <v>527.1</v>
      </c>
      <c r="Z387" s="42"/>
      <c r="AA387" s="67"/>
      <c r="AB387" s="67"/>
      <c r="AC387" s="67"/>
    </row>
    <row r="388" spans="1:68" ht="14.25" hidden="1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2320</v>
      </c>
      <c r="Y389" s="55">
        <f>IFERROR(IF(X389="",0,CEILING((X389/$H389),1)*$H389),"")</f>
        <v>2324.4</v>
      </c>
      <c r="Z389" s="41">
        <f>IFERROR(IF(Y389=0,"",ROUNDUP(Y389/H389,0)*0.01898),"")</f>
        <v>5.65604</v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2465.1487179487181</v>
      </c>
      <c r="BN389" s="78">
        <f>IFERROR(Y389*I389/H389,"0")</f>
        <v>2469.8240000000005</v>
      </c>
      <c r="BO389" s="78">
        <f>IFERROR(1/J389*(X389/H389),"0")</f>
        <v>4.6474358974358978</v>
      </c>
      <c r="BP389" s="78">
        <f>IFERROR(1/J389*(Y389/H389),"0")</f>
        <v>4.65625</v>
      </c>
    </row>
    <row r="390" spans="1:68" ht="27" hidden="1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297.43589743589746</v>
      </c>
      <c r="Y393" s="43">
        <f>IFERROR(Y389/H389,"0")+IFERROR(Y390/H390,"0")+IFERROR(Y391/H391,"0")+IFERROR(Y392/H392,"0")</f>
        <v>298</v>
      </c>
      <c r="Z393" s="43">
        <f>IFERROR(IF(Z389="",0,Z389),"0")+IFERROR(IF(Z390="",0,Z390),"0")+IFERROR(IF(Z391="",0,Z391),"0")+IFERROR(IF(Z392="",0,Z392),"0")</f>
        <v>5.65604</v>
      </c>
      <c r="AA393" s="67"/>
      <c r="AB393" s="67"/>
      <c r="AC393" s="67"/>
    </row>
    <row r="394" spans="1:68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2320</v>
      </c>
      <c r="Y394" s="43">
        <f>IFERROR(SUM(Y389:Y392),"0")</f>
        <v>2324.4</v>
      </c>
      <c r="Z394" s="42"/>
      <c r="AA394" s="67"/>
      <c r="AB394" s="67"/>
      <c r="AC394" s="67"/>
    </row>
    <row r="395" spans="1:68" ht="14.25" hidden="1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hidden="1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170</v>
      </c>
      <c r="Y397" s="55">
        <f>IFERROR(IF(X397="",0,CEILING((X397/$H397),1)*$H397),"")</f>
        <v>171.6</v>
      </c>
      <c r="Z397" s="41">
        <f>IFERROR(IF(Y397=0,"",ROUNDUP(Y397/H397,0)*0.01898),"")</f>
        <v>0.41755999999999999</v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180.76666666666668</v>
      </c>
      <c r="BN397" s="78">
        <f>IFERROR(Y397*I397/H397,"0")</f>
        <v>182.46800000000002</v>
      </c>
      <c r="BO397" s="78">
        <f>IFERROR(1/J397*(X397/H397),"0")</f>
        <v>0.34054487179487181</v>
      </c>
      <c r="BP397" s="78">
        <f>IFERROR(1/J397*(Y397/H397),"0")</f>
        <v>0.34375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20</v>
      </c>
      <c r="Y398" s="55">
        <f>IFERROR(IF(X398="",0,CEILING((X398/$H398),1)*$H398),"")</f>
        <v>25.200000000000003</v>
      </c>
      <c r="Z398" s="41">
        <f>IFERROR(IF(Y398=0,"",ROUNDUP(Y398/H398,0)*0.01898),"")</f>
        <v>5.6940000000000004E-2</v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21.176190476190474</v>
      </c>
      <c r="BN398" s="78">
        <f>IFERROR(Y398*I398/H398,"0")</f>
        <v>26.682000000000002</v>
      </c>
      <c r="BO398" s="78">
        <f>IFERROR(1/J398*(X398/H398),"0")</f>
        <v>3.7202380952380952E-2</v>
      </c>
      <c r="BP398" s="78">
        <f>IFERROR(1/J398*(Y398/H398),"0")</f>
        <v>4.6875E-2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24.175824175824175</v>
      </c>
      <c r="Y399" s="43">
        <f>IFERROR(Y396/H396,"0")+IFERROR(Y397/H397,"0")+IFERROR(Y398/H398,"0")</f>
        <v>25</v>
      </c>
      <c r="Z399" s="43">
        <f>IFERROR(IF(Z396="",0,Z396),"0")+IFERROR(IF(Z397="",0,Z397),"0")+IFERROR(IF(Z398="",0,Z398),"0")</f>
        <v>0.47449999999999998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190</v>
      </c>
      <c r="Y400" s="43">
        <f>IFERROR(SUM(Y396:Y398),"0")</f>
        <v>196.8</v>
      </c>
      <c r="Z400" s="42"/>
      <c r="AA400" s="67"/>
      <c r="AB400" s="67"/>
      <c r="AC400" s="67"/>
    </row>
    <row r="401" spans="1:68" ht="14.25" hidden="1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hidden="1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2.5499999999999998</v>
      </c>
      <c r="Y405" s="55">
        <f>IFERROR(IF(X405="",0,CEILING((X405/$H405),1)*$H405),"")</f>
        <v>2.5499999999999998</v>
      </c>
      <c r="Z405" s="41">
        <f>IFERROR(IF(Y405=0,"",ROUNDUP(Y405/H405,0)*0.00651),"")</f>
        <v>6.5100000000000002E-3</v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2.88</v>
      </c>
      <c r="BN405" s="78">
        <f>IFERROR(Y405*I405/H405,"0")</f>
        <v>2.88</v>
      </c>
      <c r="BO405" s="78">
        <f>IFERROR(1/J405*(X405/H405),"0")</f>
        <v>5.4945054945054949E-3</v>
      </c>
      <c r="BP405" s="78">
        <f>IFERROR(1/J405*(Y405/H405),"0")</f>
        <v>5.4945054945054949E-3</v>
      </c>
    </row>
    <row r="406" spans="1:68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1</v>
      </c>
      <c r="Y406" s="43">
        <f>IFERROR(Y402/H402,"0")+IFERROR(Y403/H403,"0")+IFERROR(Y404/H404,"0")+IFERROR(Y405/H405,"0")</f>
        <v>1</v>
      </c>
      <c r="Z406" s="43">
        <f>IFERROR(IF(Z402="",0,Z402),"0")+IFERROR(IF(Z403="",0,Z403),"0")+IFERROR(IF(Z404="",0,Z404),"0")+IFERROR(IF(Z405="",0,Z405),"0")</f>
        <v>6.5100000000000002E-3</v>
      </c>
      <c r="AA406" s="67"/>
      <c r="AB406" s="67"/>
      <c r="AC406" s="67"/>
    </row>
    <row r="407" spans="1:68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2.5499999999999998</v>
      </c>
      <c r="Y407" s="43">
        <f>IFERROR(SUM(Y402:Y405),"0")</f>
        <v>2.5499999999999998</v>
      </c>
      <c r="Z407" s="42"/>
      <c r="AA407" s="67"/>
      <c r="AB407" s="67"/>
      <c r="AC407" s="67"/>
    </row>
    <row r="408" spans="1:68" ht="14.25" hidden="1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hidden="1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hidden="1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hidden="1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hidden="1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hidden="1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hidden="1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hidden="1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hidden="1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25.2</v>
      </c>
      <c r="Y431" s="55">
        <f>IFERROR(IF(X431="",0,CEILING((X431/$H431),1)*$H431),"")</f>
        <v>25.200000000000003</v>
      </c>
      <c r="Z431" s="41">
        <f>IFERROR(IF(Y431=0,"",ROUNDUP(Y431/H431,0)*0.00651),"")</f>
        <v>7.8119999999999995E-2</v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28.223999999999997</v>
      </c>
      <c r="BN431" s="78">
        <f>IFERROR(Y431*I431/H431,"0")</f>
        <v>28.224</v>
      </c>
      <c r="BO431" s="78">
        <f>IFERROR(1/J431*(X431/H431),"0")</f>
        <v>6.5934065934065936E-2</v>
      </c>
      <c r="BP431" s="78">
        <f>IFERROR(1/J431*(Y431/H431),"0")</f>
        <v>6.5934065934065936E-2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30.1</v>
      </c>
      <c r="Y432" s="55">
        <f>IFERROR(IF(X432="",0,CEILING((X432/$H432),1)*$H432),"")</f>
        <v>31.5</v>
      </c>
      <c r="Z432" s="41">
        <f>IFERROR(IF(Y432=0,"",ROUNDUP(Y432/H432,0)*0.00651),"")</f>
        <v>9.7650000000000001E-2</v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33.54</v>
      </c>
      <c r="BN432" s="78">
        <f>IFERROR(Y432*I432/H432,"0")</f>
        <v>35.099999999999994</v>
      </c>
      <c r="BO432" s="78">
        <f>IFERROR(1/J432*(X432/H432),"0")</f>
        <v>7.8754578754578766E-2</v>
      </c>
      <c r="BP432" s="78">
        <f>IFERROR(1/J432*(Y432/H432),"0")</f>
        <v>8.241758241758243E-2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26.333333333333336</v>
      </c>
      <c r="Y433" s="43">
        <f>IFERROR(Y430/H430,"0")+IFERROR(Y431/H431,"0")+IFERROR(Y432/H432,"0")</f>
        <v>27</v>
      </c>
      <c r="Z433" s="43">
        <f>IFERROR(IF(Z430="",0,Z430),"0")+IFERROR(IF(Z431="",0,Z431),"0")+IFERROR(IF(Z432="",0,Z432),"0")</f>
        <v>0.17576999999999998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55.3</v>
      </c>
      <c r="Y434" s="43">
        <f>IFERROR(SUM(Y430:Y432),"0")</f>
        <v>56.7</v>
      </c>
      <c r="Z434" s="42"/>
      <c r="AA434" s="67"/>
      <c r="AB434" s="67"/>
      <c r="AC434" s="67"/>
    </row>
    <row r="435" spans="1:68" ht="27.75" hidden="1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hidden="1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hidden="1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hidden="1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255</v>
      </c>
      <c r="Y439" s="55">
        <f t="shared" si="61"/>
        <v>255</v>
      </c>
      <c r="Z439" s="41">
        <f>IFERROR(IF(Y439=0,"",ROUNDUP(Y439/H439,0)*0.02175),"")</f>
        <v>0.36974999999999997</v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262.99</v>
      </c>
      <c r="BN439" s="78">
        <f t="shared" si="63"/>
        <v>262.99</v>
      </c>
      <c r="BO439" s="78">
        <f t="shared" si="64"/>
        <v>0.35416666666666663</v>
      </c>
      <c r="BP439" s="78">
        <f t="shared" si="65"/>
        <v>0.35416666666666663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540</v>
      </c>
      <c r="Y440" s="55">
        <f t="shared" si="61"/>
        <v>540</v>
      </c>
      <c r="Z440" s="41">
        <f>IFERROR(IF(Y440=0,"",ROUNDUP(Y440/H440,0)*0.02175),"")</f>
        <v>0.78299999999999992</v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556.92000000000007</v>
      </c>
      <c r="BN440" s="78">
        <f t="shared" si="63"/>
        <v>556.92000000000007</v>
      </c>
      <c r="BO440" s="78">
        <f t="shared" si="64"/>
        <v>0.75</v>
      </c>
      <c r="BP440" s="78">
        <f t="shared" si="65"/>
        <v>0.75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100</v>
      </c>
      <c r="Y441" s="55">
        <f t="shared" si="61"/>
        <v>105</v>
      </c>
      <c r="Z441" s="41">
        <f>IFERROR(IF(Y441=0,"",ROUNDUP(Y441/H441,0)*0.02175),"")</f>
        <v>0.15225</v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103.13333333333334</v>
      </c>
      <c r="BN441" s="78">
        <f t="shared" si="63"/>
        <v>108.29</v>
      </c>
      <c r="BO441" s="78">
        <f t="shared" si="64"/>
        <v>0.1388888888888889</v>
      </c>
      <c r="BP441" s="78">
        <f t="shared" si="65"/>
        <v>0.14583333333333331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1435</v>
      </c>
      <c r="Y442" s="55">
        <f t="shared" si="61"/>
        <v>1440</v>
      </c>
      <c r="Z442" s="41">
        <f>IFERROR(IF(Y442=0,"",ROUNDUP(Y442/H442,0)*0.02175),"")</f>
        <v>2.0880000000000001</v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1479.9633333333334</v>
      </c>
      <c r="BN442" s="78">
        <f t="shared" si="63"/>
        <v>1485.12</v>
      </c>
      <c r="BO442" s="78">
        <f t="shared" si="64"/>
        <v>1.9930555555555556</v>
      </c>
      <c r="BP442" s="78">
        <f t="shared" si="65"/>
        <v>2</v>
      </c>
    </row>
    <row r="443" spans="1:68" ht="27" hidden="1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hidden="1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155.33333333333334</v>
      </c>
      <c r="Y446" s="43">
        <f>IFERROR(Y438/H438,"0")+IFERROR(Y439/H439,"0")+IFERROR(Y440/H440,"0")+IFERROR(Y441/H441,"0")+IFERROR(Y442/H442,"0")+IFERROR(Y443/H443,"0")+IFERROR(Y444/H444,"0")+IFERROR(Y445/H445,"0")</f>
        <v>156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3.3929999999999998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2330</v>
      </c>
      <c r="Y447" s="43">
        <f>IFERROR(SUM(Y438:Y445),"0")</f>
        <v>2340</v>
      </c>
      <c r="Z447" s="42"/>
      <c r="AA447" s="67"/>
      <c r="AB447" s="67"/>
      <c r="AC447" s="67"/>
    </row>
    <row r="448" spans="1:68" ht="14.25" hidden="1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1260</v>
      </c>
      <c r="Y449" s="55">
        <f>IFERROR(IF(X449="",0,CEILING((X449/$H449),1)*$H449),"")</f>
        <v>1260</v>
      </c>
      <c r="Z449" s="41">
        <f>IFERROR(IF(Y449=0,"",ROUNDUP(Y449/H449,0)*0.02175),"")</f>
        <v>1.827</v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1299.48</v>
      </c>
      <c r="BN449" s="78">
        <f>IFERROR(Y449*I449/H449,"0")</f>
        <v>1299.48</v>
      </c>
      <c r="BO449" s="78">
        <f>IFERROR(1/J449*(X449/H449),"0")</f>
        <v>1.75</v>
      </c>
      <c r="BP449" s="78">
        <f>IFERROR(1/J449*(Y449/H449),"0")</f>
        <v>1.75</v>
      </c>
    </row>
    <row r="450" spans="1:68" ht="27" hidden="1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84</v>
      </c>
      <c r="Y452" s="43">
        <f>IFERROR(Y449/H449,"0")+IFERROR(Y450/H450,"0")+IFERROR(Y451/H451,"0")</f>
        <v>84</v>
      </c>
      <c r="Z452" s="43">
        <f>IFERROR(IF(Z449="",0,Z449),"0")+IFERROR(IF(Z450="",0,Z450),"0")+IFERROR(IF(Z451="",0,Z451),"0")</f>
        <v>1.827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1260</v>
      </c>
      <c r="Y453" s="43">
        <f>IFERROR(SUM(Y449:Y451),"0")</f>
        <v>1260</v>
      </c>
      <c r="Z453" s="42"/>
      <c r="AA453" s="67"/>
      <c r="AB453" s="67"/>
      <c r="AC453" s="67"/>
    </row>
    <row r="454" spans="1:68" ht="14.25" hidden="1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hidden="1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hidden="1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hidden="1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hidden="1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hidden="1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hidden="1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hidden="1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hidden="1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hidden="1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hidden="1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hidden="1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hidden="1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hidden="1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hidden="1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hidden="1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hidden="1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4.2</v>
      </c>
      <c r="Y486" s="55">
        <f t="shared" si="66"/>
        <v>4.2</v>
      </c>
      <c r="Z486" s="41">
        <f>IFERROR(IF(Y486=0,"",ROUNDUP(Y486/H486,0)*0.00502),"")</f>
        <v>1.004E-2</v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4.46</v>
      </c>
      <c r="BN486" s="78">
        <f t="shared" si="68"/>
        <v>4.46</v>
      </c>
      <c r="BO486" s="78">
        <f t="shared" si="69"/>
        <v>8.5470085470085479E-3</v>
      </c>
      <c r="BP486" s="78">
        <f t="shared" si="70"/>
        <v>8.5470085470085479E-3</v>
      </c>
    </row>
    <row r="487" spans="1:68" ht="27" hidden="1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6.3</v>
      </c>
      <c r="Y488" s="55">
        <f t="shared" si="66"/>
        <v>6.3000000000000007</v>
      </c>
      <c r="Z488" s="41">
        <f>IFERROR(IF(Y488=0,"",ROUNDUP(Y488/H488,0)*0.00502),"")</f>
        <v>1.506E-2</v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6.6899999999999995</v>
      </c>
      <c r="BN488" s="78">
        <f t="shared" si="68"/>
        <v>6.69</v>
      </c>
      <c r="BO488" s="78">
        <f t="shared" si="69"/>
        <v>1.2820512820512822E-2</v>
      </c>
      <c r="BP488" s="78">
        <f t="shared" si="70"/>
        <v>1.2820512820512822E-2</v>
      </c>
    </row>
    <row r="489" spans="1:68" ht="37.5" hidden="1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5</v>
      </c>
      <c r="Y490" s="43">
        <f>IFERROR(Y484/H484,"0")+IFERROR(Y485/H485,"0")+IFERROR(Y486/H486,"0")+IFERROR(Y487/H487,"0")+IFERROR(Y488/H488,"0")+IFERROR(Y489/H489,"0")</f>
        <v>5</v>
      </c>
      <c r="Z490" s="43">
        <f>IFERROR(IF(Z484="",0,Z484),"0")+IFERROR(IF(Z485="",0,Z485),"0")+IFERROR(IF(Z486="",0,Z486),"0")+IFERROR(IF(Z487="",0,Z487),"0")+IFERROR(IF(Z488="",0,Z488),"0")+IFERROR(IF(Z489="",0,Z489),"0")</f>
        <v>2.5100000000000001E-2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10.5</v>
      </c>
      <c r="Y491" s="43">
        <f>IFERROR(SUM(Y484:Y489),"0")</f>
        <v>10.5</v>
      </c>
      <c r="Z491" s="42"/>
      <c r="AA491" s="67"/>
      <c r="AB491" s="67"/>
      <c r="AC491" s="67"/>
    </row>
    <row r="492" spans="1:68" ht="14.25" hidden="1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hidden="1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hidden="1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hidden="1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hidden="1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hidden="1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hidden="1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hidden="1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idden="1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hidden="1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hidden="1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hidden="1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35</v>
      </c>
      <c r="Y510" s="55">
        <f t="shared" ref="Y510:Y517" si="71">IFERROR(IF(X510="",0,CEILING((X510/$H510),1)*$H510),"")</f>
        <v>36.96</v>
      </c>
      <c r="Z510" s="41">
        <f>IFERROR(IF(Y510=0,"",ROUNDUP(Y510/H510,0)*0.01196),"")</f>
        <v>8.3720000000000003E-2</v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37.320075757575751</v>
      </c>
      <c r="BN510" s="78">
        <f t="shared" ref="BN510:BN517" si="73">IFERROR(Y510*I510/H510,"0")</f>
        <v>39.409999999999997</v>
      </c>
      <c r="BO510" s="78">
        <f t="shared" ref="BO510:BO517" si="74">IFERROR(1/J510*(X510/H510),"0")</f>
        <v>6.3738344988344992E-2</v>
      </c>
      <c r="BP510" s="78">
        <f t="shared" ref="BP510:BP517" si="75">IFERROR(1/J510*(Y510/H510),"0")</f>
        <v>6.7307692307692318E-2</v>
      </c>
    </row>
    <row r="511" spans="1:68" ht="16.5" hidden="1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hidden="1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71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53.314393939393938</v>
      </c>
      <c r="BN514" s="78">
        <f t="shared" si="73"/>
        <v>56.3</v>
      </c>
      <c r="BO514" s="78">
        <f t="shared" si="74"/>
        <v>9.1054778554778545E-2</v>
      </c>
      <c r="BP514" s="78">
        <f t="shared" si="75"/>
        <v>9.6153846153846159E-2</v>
      </c>
    </row>
    <row r="515" spans="1:68" ht="27" hidden="1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16.098484848484848</v>
      </c>
      <c r="Y518" s="43">
        <f>IFERROR(Y510/H510,"0")+IFERROR(Y511/H511,"0")+IFERROR(Y512/H512,"0")+IFERROR(Y513/H513,"0")+IFERROR(Y514/H514,"0")+IFERROR(Y515/H515,"0")+IFERROR(Y516/H516,"0")+IFERROR(Y517/H517,"0")</f>
        <v>17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0.20332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85</v>
      </c>
      <c r="Y519" s="43">
        <f>IFERROR(SUM(Y510:Y517),"0")</f>
        <v>89.76</v>
      </c>
      <c r="Z519" s="42"/>
      <c r="AA519" s="67"/>
      <c r="AB519" s="67"/>
      <c r="AC519" s="67"/>
    </row>
    <row r="520" spans="1:68" ht="14.25" hidden="1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hidden="1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18.939393939393938</v>
      </c>
      <c r="Y524" s="43">
        <f>IFERROR(Y521/H521,"0")+IFERROR(Y522/H522,"0")+IFERROR(Y523/H523,"0")</f>
        <v>19</v>
      </c>
      <c r="Z524" s="43">
        <f>IFERROR(IF(Z521="",0,Z521),"0")+IFERROR(IF(Z522="",0,Z522),"0")+IFERROR(IF(Z523="",0,Z523),"0")</f>
        <v>0.22724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100</v>
      </c>
      <c r="Y525" s="43">
        <f>IFERROR(SUM(Y521:Y523),"0")</f>
        <v>100.32000000000001</v>
      </c>
      <c r="Z525" s="42"/>
      <c r="AA525" s="67"/>
      <c r="AB525" s="67"/>
      <c r="AC525" s="67"/>
    </row>
    <row r="526" spans="1:68" ht="14.25" hidden="1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hidden="1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110</v>
      </c>
      <c r="Y528" s="55">
        <f t="shared" si="76"/>
        <v>110.88000000000001</v>
      </c>
      <c r="Z528" s="41">
        <f>IFERROR(IF(Y528=0,"",ROUNDUP(Y528/H528,0)*0.01196),"")</f>
        <v>0.25115999999999999</v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117.29166666666666</v>
      </c>
      <c r="BN528" s="78">
        <f t="shared" si="78"/>
        <v>118.23</v>
      </c>
      <c r="BO528" s="78">
        <f t="shared" si="79"/>
        <v>0.20032051282051283</v>
      </c>
      <c r="BP528" s="78">
        <f t="shared" si="80"/>
        <v>0.20192307692307693</v>
      </c>
    </row>
    <row r="529" spans="1:68" ht="27" hidden="1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21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0.25115999999999999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110</v>
      </c>
      <c r="Y535" s="43">
        <f>IFERROR(SUM(Y527:Y533),"0")</f>
        <v>110.88000000000001</v>
      </c>
      <c r="Z535" s="42"/>
      <c r="AA535" s="67"/>
      <c r="AB535" s="67"/>
      <c r="AC535" s="67"/>
    </row>
    <row r="536" spans="1:68" ht="27.75" hidden="1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hidden="1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hidden="1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hidden="1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hidden="1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280</v>
      </c>
      <c r="Y547" s="55">
        <f>IFERROR(IF(X547="",0,CEILING((X547/$H547),1)*$H547),"")</f>
        <v>281.40000000000003</v>
      </c>
      <c r="Z547" s="41">
        <f>IFERROR(IF(Y547=0,"",ROUNDUP(Y547/H547,0)*0.00902),"")</f>
        <v>0.60433999999999999</v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296.66666666666663</v>
      </c>
      <c r="BN547" s="78">
        <f>IFERROR(Y547*I547/H547,"0")</f>
        <v>298.15000000000003</v>
      </c>
      <c r="BO547" s="78">
        <f>IFERROR(1/J547*(X547/H547),"0")</f>
        <v>0.50505050505050497</v>
      </c>
      <c r="BP547" s="78">
        <f>IFERROR(1/J547*(Y547/H547),"0")</f>
        <v>0.50757575757575757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66.666666666666657</v>
      </c>
      <c r="Y548" s="43">
        <f>IFERROR(Y547/H547,"0")</f>
        <v>67</v>
      </c>
      <c r="Z548" s="43">
        <f>IFERROR(IF(Z547="",0,Z547),"0")</f>
        <v>0.60433999999999999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280</v>
      </c>
      <c r="Y549" s="43">
        <f>IFERROR(SUM(Y547:Y547),"0")</f>
        <v>281.40000000000003</v>
      </c>
      <c r="Z549" s="42"/>
      <c r="AA549" s="67"/>
      <c r="AB549" s="67"/>
      <c r="AC549" s="67"/>
    </row>
    <row r="550" spans="1:68" ht="14.25" hidden="1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hidden="1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hidden="1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hidden="1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11216.05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11341.109999999999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11724.862739192906</v>
      </c>
      <c r="Y565" s="43">
        <f>IFERROR(SUM(BN22:BN561),"0")</f>
        <v>11856.15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19</v>
      </c>
      <c r="Y566" s="44">
        <f>ROUNDUP(SUM(BP22:BP561),0)</f>
        <v>19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12199.862739192906</v>
      </c>
      <c r="Y567" s="43">
        <f>GrossWeightTotalR+PalletQtyTotalR*25</f>
        <v>12331.15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1365.1875192708526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1384</v>
      </c>
      <c r="Z568" s="42"/>
      <c r="AA568" s="67"/>
      <c r="AB568" s="67"/>
      <c r="AC568" s="67"/>
    </row>
    <row r="569" spans="1:68" ht="14.25" hidden="1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21.493559999999999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145.19999999999999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1725.3000000000002</v>
      </c>
      <c r="F574" s="52">
        <f>IFERROR(Y89*1,"0")+IFERROR(Y90*1,"0")+IFERROR(Y91*1,"0")+IFERROR(Y92*1,"0")+IFERROR(Y93*1,"0")+IFERROR(Y94*1,"0")+IFERROR(Y98*1,"0")+IFERROR(Y99*1,"0")+IFERROR(Y100*1,"0")+IFERROR(Y101*1,"0")</f>
        <v>228.60000000000002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50.7</v>
      </c>
      <c r="H574" s="52">
        <f>IFERROR(Y135*1,"0")+IFERROR(Y136*1,"0")+IFERROR(Y140*1,"0")+IFERROR(Y141*1,"0")+IFERROR(Y145*1,"0")+IFERROR(Y146*1,"0")</f>
        <v>45.2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91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6.3000000000000007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206.4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258.8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4334.0500000000011</v>
      </c>
      <c r="V574" s="52">
        <f>IFERROR(Y422*1,"0")+IFERROR(Y423*1,"0")+IFERROR(Y424*1,"0")+IFERROR(Y425*1,"0")</f>
        <v>0</v>
      </c>
      <c r="W574" s="52">
        <f>IFERROR(Y430*1,"0")+IFERROR(Y431*1,"0")+IFERROR(Y432*1,"0")</f>
        <v>56.7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3600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10.5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300.96000000000004</v>
      </c>
      <c r="AC574" s="52">
        <f>IFERROR(Y539*1,"0")+IFERROR(Y543*1,"0")+IFERROR(Y547*1,"0")+IFERROR(Y551*1,"0")+IFERROR(Y555*1,"0")+IFERROR(Y556*1,"0")</f>
        <v>281.40000000000003</v>
      </c>
      <c r="AD574" s="52">
        <f>IFERROR(Y561*1,"0")</f>
        <v>0</v>
      </c>
      <c r="AF574" s="1"/>
    </row>
  </sheetData>
  <sheetProtection algorithmName="SHA-512" hashValue="Ly/u0ZABEHUDqWQcTetFJPoT4V6zzo5GDyR7Qx1JxOckdQOhhwMQDVmsanwmC8kyZQjxSIhUHgsAlgXuOYgoDw==" saltValue="NrC3GtZ4viCNbfSNUOgdH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262,00"/>
        <filter val="1 365,19"/>
        <filter val="1 435,00"/>
        <filter val="1,00"/>
        <filter val="10,50"/>
        <filter val="100,00"/>
        <filter val="102,04"/>
        <filter val="11 216,05"/>
        <filter val="11 724,86"/>
        <filter val="11,36"/>
        <filter val="110,00"/>
        <filter val="114,26"/>
        <filter val="12 199,86"/>
        <filter val="12,00"/>
        <filter val="125,04"/>
        <filter val="126,00"/>
        <filter val="13,33"/>
        <filter val="131,00"/>
        <filter val="138,00"/>
        <filter val="138,50"/>
        <filter val="15,00"/>
        <filter val="155,33"/>
        <filter val="16,10"/>
        <filter val="165,00"/>
        <filter val="17,50"/>
        <filter val="170,00"/>
        <filter val="18,00"/>
        <filter val="18,94"/>
        <filter val="180,00"/>
        <filter val="19"/>
        <filter val="190,00"/>
        <filter val="2 320,00"/>
        <filter val="2 330,00"/>
        <filter val="2,00"/>
        <filter val="2,55"/>
        <filter val="20,00"/>
        <filter val="20,33"/>
        <filter val="20,41"/>
        <filter val="20,83"/>
        <filter val="210,00"/>
        <filter val="23,20"/>
        <filter val="23,80"/>
        <filter val="24,18"/>
        <filter val="25,14"/>
        <filter val="25,20"/>
        <filter val="252,00"/>
        <filter val="255,00"/>
        <filter val="26,33"/>
        <filter val="28,37"/>
        <filter val="280,00"/>
        <filter val="297,44"/>
        <filter val="3,00"/>
        <filter val="3,60"/>
        <filter val="30,00"/>
        <filter val="30,10"/>
        <filter val="30,56"/>
        <filter val="32,00"/>
        <filter val="325,00"/>
        <filter val="35,00"/>
        <filter val="39,00"/>
        <filter val="4,20"/>
        <filter val="48,00"/>
        <filter val="5,00"/>
        <filter val="50,00"/>
        <filter val="520,10"/>
        <filter val="540,00"/>
        <filter val="55,30"/>
        <filter val="58,50"/>
        <filter val="6,25"/>
        <filter val="6,30"/>
        <filter val="65,00"/>
        <filter val="66,67"/>
        <filter val="670,00"/>
        <filter val="7,04"/>
        <filter val="7,25"/>
        <filter val="7,50"/>
        <filter val="70,00"/>
        <filter val="730,00"/>
        <filter val="74,00"/>
        <filter val="8,00"/>
        <filter val="80,00"/>
        <filter val="84,00"/>
        <filter val="85,00"/>
        <filter val="850,00"/>
        <filter val="856,00"/>
        <filter val="88,00"/>
        <filter val="9,00"/>
        <filter val="90,00"/>
        <filter val="900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10" spans="2:8" x14ac:dyDescent="0.2">
      <c r="B10" s="53" t="s">
        <v>884</v>
      </c>
      <c r="C10" s="53" t="s">
        <v>876</v>
      </c>
      <c r="D10" s="53" t="s">
        <v>46</v>
      </c>
      <c r="E10" s="53" t="s">
        <v>46</v>
      </c>
    </row>
    <row r="12" spans="2:8" x14ac:dyDescent="0.2">
      <c r="B12" s="53" t="s">
        <v>885</v>
      </c>
      <c r="C12" s="53" t="s">
        <v>879</v>
      </c>
      <c r="D12" s="53" t="s">
        <v>46</v>
      </c>
      <c r="E12" s="53" t="s">
        <v>46</v>
      </c>
    </row>
    <row r="14" spans="2:8" x14ac:dyDescent="0.2">
      <c r="B14" s="53" t="s">
        <v>886</v>
      </c>
      <c r="C14" s="53" t="s">
        <v>882</v>
      </c>
      <c r="D14" s="53" t="s">
        <v>46</v>
      </c>
      <c r="E14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895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896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897</v>
      </c>
      <c r="C26" s="53" t="s">
        <v>46</v>
      </c>
      <c r="D26" s="53" t="s">
        <v>46</v>
      </c>
      <c r="E26" s="53" t="s">
        <v>46</v>
      </c>
    </row>
  </sheetData>
  <sheetProtection algorithmName="SHA-512" hashValue="otBHquLI3ZkWyNTJ7s8Mx5uKnZcDtW3d/Bh1bDbR2RxRsRVvHg0NQDL8MHvak5U6NvulCq38RqcOji6QF0VBTw==" saltValue="QzNjsglRLlc77R6kJXaN0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2026-10-19T11:14:09Z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