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B4161B-EFA7-47B1-B1DC-80955BFE2C8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P189" i="2" l="1"/>
  <c r="Z389" i="2"/>
  <c r="BN389" i="2"/>
  <c r="Z397" i="2"/>
  <c r="Z444" i="2"/>
  <c r="Z107" i="2"/>
  <c r="BN107" i="2"/>
  <c r="Z119" i="2"/>
  <c r="BN119" i="2"/>
  <c r="BP123" i="2"/>
  <c r="BP237" i="2"/>
  <c r="Z498" i="2"/>
  <c r="Z499" i="2" s="1"/>
  <c r="Z70" i="2"/>
  <c r="Z165" i="2"/>
  <c r="BN165" i="2"/>
  <c r="BP214" i="2"/>
  <c r="Y215" i="2"/>
  <c r="Y216" i="2"/>
  <c r="Z309" i="2"/>
  <c r="Z310" i="2" s="1"/>
  <c r="BN309" i="2"/>
  <c r="BP309" i="2"/>
  <c r="Y310" i="2"/>
  <c r="Z369" i="2"/>
  <c r="BN369" i="2"/>
  <c r="BP457" i="2"/>
  <c r="BP517" i="2"/>
  <c r="Y131" i="2"/>
  <c r="Y132" i="2"/>
  <c r="Z154" i="2"/>
  <c r="BN154" i="2"/>
  <c r="BP206" i="2"/>
  <c r="Z222" i="2"/>
  <c r="BN222" i="2"/>
  <c r="BP244" i="2"/>
  <c r="BP270" i="2"/>
  <c r="BP290" i="2"/>
  <c r="Z353" i="2"/>
  <c r="Z354" i="2" s="1"/>
  <c r="BN353" i="2"/>
  <c r="BP353" i="2"/>
  <c r="Y354" i="2"/>
  <c r="Y400" i="2"/>
  <c r="Z424" i="2"/>
  <c r="Z451" i="2"/>
  <c r="Z462" i="2"/>
  <c r="BN462" i="2"/>
  <c r="BP511" i="2"/>
  <c r="BN35" i="2"/>
  <c r="BN54" i="2"/>
  <c r="BN71" i="2"/>
  <c r="BP71" i="2"/>
  <c r="BN100" i="2"/>
  <c r="Z100" i="2"/>
  <c r="BN117" i="2"/>
  <c r="BN125" i="2"/>
  <c r="BP125" i="2"/>
  <c r="BN141" i="2"/>
  <c r="BN166" i="2"/>
  <c r="BN224" i="2"/>
  <c r="BP224" i="2"/>
  <c r="BP229" i="2"/>
  <c r="BN229" i="2"/>
  <c r="Z229" i="2"/>
  <c r="BP230" i="2"/>
  <c r="BN230" i="2"/>
  <c r="Z230" i="2"/>
  <c r="BP266" i="2"/>
  <c r="BN266" i="2"/>
  <c r="Z266" i="2"/>
  <c r="BN314" i="2"/>
  <c r="BP357" i="2"/>
  <c r="Y359" i="2"/>
  <c r="BP380" i="2"/>
  <c r="BN380" i="2"/>
  <c r="Z380" i="2"/>
  <c r="BP440" i="2"/>
  <c r="Z440" i="2"/>
  <c r="Z443" i="2"/>
  <c r="BN443" i="2"/>
  <c r="BN43" i="2"/>
  <c r="BN61" i="2"/>
  <c r="BP61" i="2"/>
  <c r="BP65" i="2"/>
  <c r="Z65" i="2"/>
  <c r="BN145" i="2"/>
  <c r="BP145" i="2"/>
  <c r="BN152" i="2"/>
  <c r="Z152" i="2"/>
  <c r="BN175" i="2"/>
  <c r="Z175" i="2"/>
  <c r="Z183" i="2"/>
  <c r="BP183" i="2"/>
  <c r="Y190" i="2"/>
  <c r="Y191" i="2"/>
  <c r="BP188" i="2"/>
  <c r="BN188" i="2"/>
  <c r="Z188" i="2"/>
  <c r="BN207" i="2"/>
  <c r="BN220" i="2"/>
  <c r="Z220" i="2"/>
  <c r="BN238" i="2"/>
  <c r="BP276" i="2"/>
  <c r="BN276" i="2"/>
  <c r="Z276" i="2"/>
  <c r="BP296" i="2"/>
  <c r="BN296" i="2"/>
  <c r="Z296" i="2"/>
  <c r="BP297" i="2"/>
  <c r="BN297" i="2"/>
  <c r="Z297" i="2"/>
  <c r="BN301" i="2"/>
  <c r="BP301" i="2"/>
  <c r="BP342" i="2"/>
  <c r="BN342" i="2"/>
  <c r="Z342" i="2"/>
  <c r="BN411" i="2"/>
  <c r="Z411" i="2"/>
  <c r="BN493" i="2"/>
  <c r="BN504" i="2"/>
  <c r="BP523" i="2"/>
  <c r="Y31" i="2"/>
  <c r="BN29" i="2"/>
  <c r="BN41" i="2"/>
  <c r="BN52" i="2"/>
  <c r="BN59" i="2"/>
  <c r="BN63" i="2"/>
  <c r="BN73" i="2"/>
  <c r="BN111" i="2"/>
  <c r="BN130" i="2"/>
  <c r="BN146" i="2"/>
  <c r="BN177" i="2"/>
  <c r="Y186" i="2"/>
  <c r="BN184" i="2"/>
  <c r="BN225" i="2"/>
  <c r="BN299" i="2"/>
  <c r="BP397" i="2"/>
  <c r="BN405" i="2"/>
  <c r="BN441" i="2"/>
  <c r="Z450" i="2"/>
  <c r="BP451" i="2"/>
  <c r="BP461" i="2"/>
  <c r="BN476" i="2"/>
  <c r="BN487" i="2"/>
  <c r="Z512" i="2"/>
  <c r="BN512" i="2"/>
  <c r="BN513" i="2"/>
  <c r="Z516" i="2"/>
  <c r="Z523" i="2"/>
  <c r="Z532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190" i="2" s="1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120" i="2" l="1"/>
  <c r="Z452" i="2"/>
  <c r="Z365" i="2"/>
  <c r="Z74" i="2"/>
  <c r="Z155" i="2"/>
  <c r="Z412" i="2"/>
  <c r="Z246" i="2"/>
  <c r="Z349" i="2"/>
  <c r="Z36" i="2"/>
  <c r="Z167" i="2"/>
  <c r="Z85" i="2"/>
  <c r="Z386" i="2"/>
  <c r="Z142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<sst xmlns="http://schemas.openxmlformats.org/spreadsheetml/2006/main" count="4249" uniqueCount="899">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</sst>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46316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Среда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20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20.950000000000003</v>
      </c>
      <c r="BN53" s="78">
        <f>IFERROR(Y53*I53/H53,"0")</f>
        <v>20.950000000000003</v>
      </c>
      <c r="BO53" s="78">
        <f>IFERROR(1/J53*(X53/H53),"0")</f>
        <v>3.787878787878788E-2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5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4.5100000000000001E-2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20</v>
      </c>
      <c r="Y56" s="43">
        <f>IFERROR(SUM(Y51:Y54),"0")</f>
        <v>20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80</v>
      </c>
      <c r="Y60" s="55">
        <f t="shared" si="0"/>
        <v>86.4</v>
      </c>
      <c r="Z60" s="41">
        <f>IFERROR(IF(Y60=0,"",ROUNDUP(Y60/H60,0)*0.01898),"")</f>
        <v>0.15184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83.037037037037038</v>
      </c>
      <c r="BN60" s="78">
        <f t="shared" si="2"/>
        <v>89.68</v>
      </c>
      <c r="BO60" s="78">
        <f t="shared" si="3"/>
        <v>0.11574074074074073</v>
      </c>
      <c r="BP60" s="78">
        <f t="shared" si="4"/>
        <v>0.125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9.4074074074074066</v>
      </c>
      <c r="Y67" s="43">
        <f>IFERROR(Y59/H59,"0")+IFERROR(Y60/H60,"0")+IFERROR(Y61/H61,"0")+IFERROR(Y62/H62,"0")+IFERROR(Y63/H63,"0")+IFERROR(Y64/H64,"0")+IFERROR(Y65/H65,"0")+IFERROR(Y66/H66,"0")</f>
        <v>10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0.16988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89</v>
      </c>
      <c r="Y68" s="43">
        <f>IFERROR(SUM(Y59:Y66),"0")</f>
        <v>95.4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20</v>
      </c>
      <c r="Y70" s="55">
        <f>IFERROR(IF(X70="",0,CEILING((X70/$H70),1)*$H70),"")</f>
        <v>21.6</v>
      </c>
      <c r="Z70" s="41">
        <f>IFERROR(IF(Y70=0,"",ROUNDUP(Y70/H70,0)*0.01898),"")</f>
        <v>3.7960000000000001E-2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20.75925925925926</v>
      </c>
      <c r="BN70" s="78">
        <f>IFERROR(Y70*I70/H70,"0")</f>
        <v>22.42</v>
      </c>
      <c r="BO70" s="78">
        <f>IFERROR(1/J70*(X70/H70),"0")</f>
        <v>2.8935185185185182E-2</v>
      </c>
      <c r="BP70" s="78">
        <f>IFERROR(1/J70*(Y70/H70),"0")</f>
        <v>3.125E-2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1.8518518518518516</v>
      </c>
      <c r="Y74" s="43">
        <f>IFERROR(Y70/H70,"0")+IFERROR(Y71/H71,"0")+IFERROR(Y72/H72,"0")+IFERROR(Y73/H73,"0")</f>
        <v>2</v>
      </c>
      <c r="Z74" s="43">
        <f>IFERROR(IF(Z70="",0,Z70),"0")+IFERROR(IF(Z71="",0,Z71),"0")+IFERROR(IF(Z72="",0,Z72),"0")+IFERROR(IF(Z73="",0,Z73),"0")</f>
        <v>3.7960000000000001E-2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20</v>
      </c>
      <c r="Y75" s="43">
        <f>IFERROR(SUM(Y70:Y73),"0")</f>
        <v>21.6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20</v>
      </c>
      <c r="Y89" s="55">
        <f t="shared" ref="Y89:Y94" si="5">IFERROR(IF(X89="",0,CEILING((X89/$H89),1)*$H89),"")</f>
        <v>21.6</v>
      </c>
      <c r="Z89" s="41">
        <f>IFERROR(IF(Y89=0,"",ROUNDUP(Y89/H89,0)*0.01898),"")</f>
        <v>3.7960000000000001E-2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20.75925925925926</v>
      </c>
      <c r="BN89" s="78">
        <f t="shared" ref="BN89:BN94" si="7">IFERROR(Y89*I89/H89,"0")</f>
        <v>22.42</v>
      </c>
      <c r="BO89" s="78">
        <f t="shared" ref="BO89:BO94" si="8">IFERROR(1/J89*(X89/H89),"0")</f>
        <v>2.8935185185185182E-2</v>
      </c>
      <c r="BP89" s="78">
        <f t="shared" ref="BP89:BP94" si="9">IFERROR(1/J89*(Y89/H89),"0")</f>
        <v>3.125E-2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13.5</v>
      </c>
      <c r="Y94" s="55">
        <f t="shared" si="5"/>
        <v>13.5</v>
      </c>
      <c r="Z94" s="41">
        <f>IFERROR(IF(Y94=0,"",ROUNDUP(Y94/H94,0)*0.00902),"")</f>
        <v>2.7060000000000001E-2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14.07</v>
      </c>
      <c r="BN94" s="78">
        <f t="shared" si="7"/>
        <v>14.07</v>
      </c>
      <c r="BO94" s="78">
        <f t="shared" si="8"/>
        <v>2.2727272727272728E-2</v>
      </c>
      <c r="BP94" s="78">
        <f t="shared" si="9"/>
        <v>2.2727272727272728E-2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4.8518518518518512</v>
      </c>
      <c r="Y95" s="43">
        <f>IFERROR(Y89/H89,"0")+IFERROR(Y90/H90,"0")+IFERROR(Y91/H91,"0")+IFERROR(Y92/H92,"0")+IFERROR(Y93/H93,"0")+IFERROR(Y94/H94,"0")</f>
        <v>5</v>
      </c>
      <c r="Z95" s="43">
        <f>IFERROR(IF(Z89="",0,Z89),"0")+IFERROR(IF(Z90="",0,Z90),"0")+IFERROR(IF(Z91="",0,Z91),"0")+IFERROR(IF(Z92="",0,Z92),"0")+IFERROR(IF(Z93="",0,Z93),"0")+IFERROR(IF(Z94="",0,Z94),"0")</f>
        <v>6.5019999999999994E-2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33.5</v>
      </c>
      <c r="Y96" s="43">
        <f>IFERROR(SUM(Y89:Y94),"0")</f>
        <v>35.1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2.7</v>
      </c>
      <c r="Y100" s="55">
        <f>IFERROR(IF(X100="",0,CEILING((X100/$H100),1)*$H100),"")</f>
        <v>2.7</v>
      </c>
      <c r="Z100" s="41">
        <f>IFERROR(IF(Y100=0,"",ROUNDUP(Y100/H100,0)*0.00651),"")</f>
        <v>6.5100000000000002E-3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2.952</v>
      </c>
      <c r="BN100" s="78">
        <f>IFERROR(Y100*I100/H100,"0")</f>
        <v>2.952</v>
      </c>
      <c r="BO100" s="78">
        <f>IFERROR(1/J100*(X100/H100),"0")</f>
        <v>5.4945054945054949E-3</v>
      </c>
      <c r="BP100" s="78">
        <f>IFERROR(1/J100*(Y100/H100),"0")</f>
        <v>5.4945054945054949E-3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1</v>
      </c>
      <c r="Y102" s="43">
        <f>IFERROR(Y98/H98,"0")+IFERROR(Y99/H99,"0")+IFERROR(Y100/H100,"0")+IFERROR(Y101/H101,"0")</f>
        <v>1</v>
      </c>
      <c r="Z102" s="43">
        <f>IFERROR(IF(Z98="",0,Z98),"0")+IFERROR(IF(Z99="",0,Z99),"0")+IFERROR(IF(Z100="",0,Z100),"0")+IFERROR(IF(Z101="",0,Z101),"0")</f>
        <v>6.5100000000000002E-3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2.7</v>
      </c>
      <c r="Y103" s="43">
        <f>IFERROR(SUM(Y98:Y101),"0")</f>
        <v>2.7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10</v>
      </c>
      <c r="Y106" s="55">
        <f t="shared" ref="Y106:Y112" si="10">IFERROR(IF(X106="",0,CEILING((X106/$H106),1)*$H106),"")</f>
        <v>10.8</v>
      </c>
      <c r="Z106" s="41">
        <f>IFERROR(IF(Y106=0,"",ROUNDUP(Y106/H106,0)*0.01898),"")</f>
        <v>1.898E-2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10.37962962962963</v>
      </c>
      <c r="BN106" s="78">
        <f t="shared" ref="BN106:BN112" si="12">IFERROR(Y106*I106/H106,"0")</f>
        <v>11.21</v>
      </c>
      <c r="BO106" s="78">
        <f t="shared" ref="BO106:BO112" si="13">IFERROR(1/J106*(X106/H106),"0")</f>
        <v>1.4467592592592591E-2</v>
      </c>
      <c r="BP106" s="78">
        <f t="shared" ref="BP106:BP112" si="14">IFERROR(1/J106*(Y106/H106),"0")</f>
        <v>1.5625E-2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7.5</v>
      </c>
      <c r="Y109" s="55">
        <f t="shared" si="10"/>
        <v>7.5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7.88</v>
      </c>
      <c r="BN109" s="78">
        <f t="shared" si="12"/>
        <v>7.88</v>
      </c>
      <c r="BO109" s="78">
        <f t="shared" si="13"/>
        <v>1.5151515151515152E-2</v>
      </c>
      <c r="BP109" s="78">
        <f t="shared" si="14"/>
        <v>1.5151515151515152E-2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2.9259259259259256</v>
      </c>
      <c r="Y113" s="43">
        <f>IFERROR(Y106/H106,"0")+IFERROR(Y107/H107,"0")+IFERROR(Y108/H108,"0")+IFERROR(Y109/H109,"0")+IFERROR(Y110/H110,"0")+IFERROR(Y111/H111,"0")+IFERROR(Y112/H112,"0")</f>
        <v>3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3.7019999999999997E-2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17.5</v>
      </c>
      <c r="Y114" s="43">
        <f>IFERROR(SUM(Y106:Y112),"0")</f>
        <v>18.3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5.4</v>
      </c>
      <c r="Y125" s="55">
        <f>IFERROR(IF(X125="",0,CEILING((X125/$H125),1)*$H125),"")</f>
        <v>5.4</v>
      </c>
      <c r="Z125" s="41">
        <f>IFERROR(IF(Y125=0,"",ROUNDUP(Y125/H125,0)*0.00651),"")</f>
        <v>1.302E-2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5.9039999999999999</v>
      </c>
      <c r="BN125" s="78">
        <f>IFERROR(Y125*I125/H125,"0")</f>
        <v>5.9039999999999999</v>
      </c>
      <c r="BO125" s="78">
        <f>IFERROR(1/J125*(X125/H125),"0")</f>
        <v>1.098901098901099E-2</v>
      </c>
      <c r="BP125" s="78">
        <f>IFERROR(1/J125*(Y125/H125),"0")</f>
        <v>1.098901098901099E-2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2</v>
      </c>
      <c r="Y127" s="43">
        <f>IFERROR(Y123/H123,"0")+IFERROR(Y124/H124,"0")+IFERROR(Y125/H125,"0")+IFERROR(Y126/H126,"0")</f>
        <v>2</v>
      </c>
      <c r="Z127" s="43">
        <f>IFERROR(IF(Z123="",0,Z123),"0")+IFERROR(IF(Z124="",0,Z124),"0")+IFERROR(IF(Z125="",0,Z125),"0")+IFERROR(IF(Z126="",0,Z126),"0")</f>
        <v>1.302E-2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5.4</v>
      </c>
      <c r="Y128" s="43">
        <f>IFERROR(SUM(Y123:Y126),"0")</f>
        <v>5.4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7.2</v>
      </c>
      <c r="Y278" s="55">
        <f t="shared" si="36"/>
        <v>7.1999999999999993</v>
      </c>
      <c r="Z278" s="41">
        <f>IFERROR(IF(Y278=0,"",ROUNDUP(Y278/H278,0)*0.00651),"")</f>
        <v>1.9529999999999999E-2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8.01</v>
      </c>
      <c r="BN278" s="78">
        <f t="shared" si="38"/>
        <v>8.009999999999998</v>
      </c>
      <c r="BO278" s="78">
        <f t="shared" si="39"/>
        <v>1.6483516483516484E-2</v>
      </c>
      <c r="BP278" s="78">
        <f t="shared" si="40"/>
        <v>1.6483516483516484E-2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1.9529999999999999E-2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7.2</v>
      </c>
      <c r="Y287" s="43">
        <f>IFERROR(SUM(Y275:Y285),"0")</f>
        <v>7.1999999999999993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30</v>
      </c>
      <c r="Y321" s="55">
        <f t="shared" ref="Y321:Y327" si="46">IFERROR(IF(X321="",0,CEILING((X321/$H321),1)*$H321),"")</f>
        <v>32.400000000000006</v>
      </c>
      <c r="Z321" s="41">
        <f>IFERROR(IF(Y321=0,"",ROUNDUP(Y321/H321,0)*0.01898),"")</f>
        <v>5.6940000000000004E-2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31.138888888888889</v>
      </c>
      <c r="BN321" s="78">
        <f t="shared" ref="BN321:BN327" si="48">IFERROR(Y321*I321/H321,"0")</f>
        <v>33.630000000000003</v>
      </c>
      <c r="BO321" s="78">
        <f t="shared" ref="BO321:BO327" si="49">IFERROR(1/J321*(X321/H321),"0")</f>
        <v>4.3402777777777776E-2</v>
      </c>
      <c r="BP321" s="78">
        <f t="shared" ref="BP321:BP327" si="50">IFERROR(1/J321*(Y321/H321),"0")</f>
        <v>4.6875000000000007E-2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20</v>
      </c>
      <c r="Y324" s="55">
        <f t="shared" si="46"/>
        <v>21.6</v>
      </c>
      <c r="Z324" s="41">
        <f>IFERROR(IF(Y324=0,"",ROUNDUP(Y324/H324,0)*0.01898),"")</f>
        <v>3.7960000000000001E-2</v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20.75925925925926</v>
      </c>
      <c r="BN324" s="78">
        <f t="shared" si="48"/>
        <v>22.42</v>
      </c>
      <c r="BO324" s="78">
        <f t="shared" si="49"/>
        <v>2.8935185185185182E-2</v>
      </c>
      <c r="BP324" s="78">
        <f t="shared" si="50"/>
        <v>3.125E-2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10</v>
      </c>
      <c r="Y325" s="55">
        <f t="shared" si="46"/>
        <v>10.8</v>
      </c>
      <c r="Z325" s="41">
        <f>IFERROR(IF(Y325=0,"",ROUNDUP(Y325/H325,0)*0.01898),"")</f>
        <v>1.898E-2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10.37962962962963</v>
      </c>
      <c r="BN325" s="78">
        <f t="shared" si="48"/>
        <v>11.21</v>
      </c>
      <c r="BO325" s="78">
        <f t="shared" si="49"/>
        <v>1.4467592592592591E-2</v>
      </c>
      <c r="BP325" s="78">
        <f t="shared" si="50"/>
        <v>1.5625E-2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8</v>
      </c>
      <c r="Y326" s="55">
        <f t="shared" si="46"/>
        <v>8</v>
      </c>
      <c r="Z326" s="41">
        <f>IFERROR(IF(Y326=0,"",ROUNDUP(Y326/H326,0)*0.00902),"")</f>
        <v>1.804E-2</v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8.3800000000000008</v>
      </c>
      <c r="BN326" s="78">
        <f t="shared" si="48"/>
        <v>8.3800000000000008</v>
      </c>
      <c r="BO326" s="78">
        <f t="shared" si="49"/>
        <v>1.5151515151515152E-2</v>
      </c>
      <c r="BP326" s="78">
        <f t="shared" si="50"/>
        <v>1.5151515151515152E-2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8</v>
      </c>
      <c r="Y327" s="55">
        <f t="shared" si="46"/>
        <v>8</v>
      </c>
      <c r="Z327" s="41">
        <f>IFERROR(IF(Y327=0,"",ROUNDUP(Y327/H327,0)*0.00902),"")</f>
        <v>1.804E-2</v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8.3800000000000008</v>
      </c>
      <c r="BN327" s="78">
        <f t="shared" si="48"/>
        <v>8.3800000000000008</v>
      </c>
      <c r="BO327" s="78">
        <f t="shared" si="49"/>
        <v>1.5151515151515152E-2</v>
      </c>
      <c r="BP327" s="78">
        <f t="shared" si="50"/>
        <v>1.5151515151515152E-2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9.5555555555555554</v>
      </c>
      <c r="Y328" s="43">
        <f>IFERROR(Y321/H321,"0")+IFERROR(Y322/H322,"0")+IFERROR(Y323/H323,"0")+IFERROR(Y324/H324,"0")+IFERROR(Y325/H325,"0")+IFERROR(Y326/H326,"0")+IFERROR(Y327/H327,"0")</f>
        <v>10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0.14996000000000001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76</v>
      </c>
      <c r="Y329" s="43">
        <f>IFERROR(SUM(Y321:Y327),"0")</f>
        <v>80.800000000000011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20</v>
      </c>
      <c r="Y370" s="55">
        <f t="shared" si="51"/>
        <v>21.6</v>
      </c>
      <c r="Z370" s="41">
        <f>IFERROR(IF(Y370=0,"",ROUNDUP(Y370/H370,0)*0.01898),"")</f>
        <v>3.7960000000000001E-2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20.75925925925926</v>
      </c>
      <c r="BN370" s="78">
        <f t="shared" si="53"/>
        <v>22.42</v>
      </c>
      <c r="BO370" s="78">
        <f t="shared" si="54"/>
        <v>2.8935185185185182E-2</v>
      </c>
      <c r="BP370" s="78">
        <f t="shared" si="55"/>
        <v>3.125E-2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30</v>
      </c>
      <c r="Y372" s="55">
        <f t="shared" si="51"/>
        <v>32.400000000000006</v>
      </c>
      <c r="Z372" s="41">
        <f>IFERROR(IF(Y372=0,"",ROUNDUP(Y372/H372,0)*0.01898),"")</f>
        <v>5.6940000000000004E-2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31.138888888888889</v>
      </c>
      <c r="BN372" s="78">
        <f t="shared" si="53"/>
        <v>33.630000000000003</v>
      </c>
      <c r="BO372" s="78">
        <f t="shared" si="54"/>
        <v>4.3402777777777776E-2</v>
      </c>
      <c r="BP372" s="78">
        <f t="shared" si="55"/>
        <v>4.6875000000000007E-2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170</v>
      </c>
      <c r="Y373" s="55">
        <f t="shared" si="51"/>
        <v>172.8</v>
      </c>
      <c r="Z373" s="41">
        <f>IFERROR(IF(Y373=0,"",ROUNDUP(Y373/H373,0)*0.01898),"")</f>
        <v>0.30368000000000001</v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176.4537037037037</v>
      </c>
      <c r="BN373" s="78">
        <f t="shared" si="53"/>
        <v>179.36</v>
      </c>
      <c r="BO373" s="78">
        <f t="shared" si="54"/>
        <v>0.24594907407407407</v>
      </c>
      <c r="BP373" s="78">
        <f t="shared" si="55"/>
        <v>0.25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4</v>
      </c>
      <c r="Y374" s="55">
        <f t="shared" si="51"/>
        <v>4</v>
      </c>
      <c r="Z374" s="41">
        <f>IFERROR(IF(Y374=0,"",ROUNDUP(Y374/H374,0)*0.00902),"")</f>
        <v>9.0200000000000002E-3</v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4.1900000000000004</v>
      </c>
      <c r="BN374" s="78">
        <f t="shared" si="53"/>
        <v>4.1900000000000004</v>
      </c>
      <c r="BO374" s="78">
        <f t="shared" si="54"/>
        <v>7.575757575757576E-3</v>
      </c>
      <c r="BP374" s="78">
        <f t="shared" si="55"/>
        <v>7.575757575757576E-3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21.37037037037037</v>
      </c>
      <c r="Y376" s="43">
        <f>IFERROR(Y369/H369,"0")+IFERROR(Y370/H370,"0")+IFERROR(Y371/H371,"0")+IFERROR(Y372/H372,"0")+IFERROR(Y373/H373,"0")+IFERROR(Y374/H374,"0")+IFERROR(Y375/H375,"0")</f>
        <v>22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0.40760000000000007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224</v>
      </c>
      <c r="Y377" s="43">
        <f>IFERROR(SUM(Y369:Y375),"0")</f>
        <v>230.8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56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31.785714285714285</v>
      </c>
      <c r="BN379" s="78">
        <f t="shared" ref="BN379:BN385" si="58">IFERROR(Y379*I379/H379,"0")</f>
        <v>35.6</v>
      </c>
      <c r="BO379" s="78">
        <f t="shared" ref="BO379:BO385" si="59">IFERROR(1/J379*(X379/H379),"0")</f>
        <v>5.4112554112554112E-2</v>
      </c>
      <c r="BP379" s="78">
        <f t="shared" ref="BP379:BP385" si="60">IFERROR(1/J379*(Y379/H379),"0")</f>
        <v>6.0606060606060608E-2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35</v>
      </c>
      <c r="Y380" s="55">
        <f t="shared" si="56"/>
        <v>37.800000000000004</v>
      </c>
      <c r="Z380" s="41">
        <f>IFERROR(IF(Y380=0,"",ROUNDUP(Y380/H380,0)*0.00902),"")</f>
        <v>8.1180000000000002E-2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37.083333333333329</v>
      </c>
      <c r="BN380" s="78">
        <f t="shared" si="58"/>
        <v>40.050000000000004</v>
      </c>
      <c r="BO380" s="78">
        <f t="shared" si="59"/>
        <v>6.3131313131313122E-2</v>
      </c>
      <c r="BP380" s="78">
        <f t="shared" si="60"/>
        <v>6.8181818181818177E-2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18.899999999999999</v>
      </c>
      <c r="Y382" s="55">
        <f t="shared" si="56"/>
        <v>18.900000000000002</v>
      </c>
      <c r="Z382" s="41">
        <f>IFERROR(IF(Y382=0,"",ROUNDUP(Y382/H382,0)*0.00502),"")</f>
        <v>4.5179999999999998E-2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20.069999999999997</v>
      </c>
      <c r="BN382" s="78">
        <f t="shared" si="58"/>
        <v>20.07</v>
      </c>
      <c r="BO382" s="78">
        <f t="shared" si="59"/>
        <v>3.8461538461538457E-2</v>
      </c>
      <c r="BP382" s="78">
        <f t="shared" si="60"/>
        <v>3.8461538461538464E-2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24.476190476190474</v>
      </c>
      <c r="Y386" s="43">
        <f>IFERROR(Y379/H379,"0")+IFERROR(Y380/H380,"0")+IFERROR(Y381/H381,"0")+IFERROR(Y382/H382,"0")+IFERROR(Y383/H383,"0")+IFERROR(Y384/H384,"0")+IFERROR(Y385/H385,"0")</f>
        <v>26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0.19852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83.9</v>
      </c>
      <c r="Y387" s="43">
        <f>IFERROR(SUM(Y379:Y385),"0")</f>
        <v>90.300000000000011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800</v>
      </c>
      <c r="Y389" s="55">
        <f>IFERROR(IF(X389="",0,CEILING((X389/$H389),1)*$H389),"")</f>
        <v>803.4</v>
      </c>
      <c r="Z389" s="41">
        <f>IFERROR(IF(Y389=0,"",ROUNDUP(Y389/H389,0)*0.01898),"")</f>
        <v>1.9549400000000001</v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850.0512820512821</v>
      </c>
      <c r="BN389" s="78">
        <f>IFERROR(Y389*I389/H389,"0")</f>
        <v>853.66399999999999</v>
      </c>
      <c r="BO389" s="78">
        <f>IFERROR(1/J389*(X389/H389),"0")</f>
        <v>1.6025641025641026</v>
      </c>
      <c r="BP389" s="78">
        <f>IFERROR(1/J389*(Y389/H389),"0")</f>
        <v>1.609375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102.56410256410257</v>
      </c>
      <c r="Y393" s="43">
        <f>IFERROR(Y389/H389,"0")+IFERROR(Y390/H390,"0")+IFERROR(Y391/H391,"0")+IFERROR(Y392/H392,"0")</f>
        <v>103</v>
      </c>
      <c r="Z393" s="43">
        <f>IFERROR(IF(Z389="",0,Z389),"0")+IFERROR(IF(Z390="",0,Z390),"0")+IFERROR(IF(Z391="",0,Z391),"0")+IFERROR(IF(Z392="",0,Z392),"0")</f>
        <v>1.9549400000000001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800</v>
      </c>
      <c r="Y394" s="43">
        <f>IFERROR(SUM(Y389:Y392),"0")</f>
        <v>803.4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70</v>
      </c>
      <c r="Y397" s="55">
        <f>IFERROR(IF(X397="",0,CEILING((X397/$H397),1)*$H397),"")</f>
        <v>70.2</v>
      </c>
      <c r="Z397" s="41">
        <f>IFERROR(IF(Y397=0,"",ROUNDUP(Y397/H397,0)*0.01898),"")</f>
        <v>0.17082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74.433333333333337</v>
      </c>
      <c r="BN397" s="78">
        <f>IFERROR(Y397*I397/H397,"0")</f>
        <v>74.646000000000015</v>
      </c>
      <c r="BO397" s="78">
        <f>IFERROR(1/J397*(X397/H397),"0")</f>
        <v>0.14022435897435898</v>
      </c>
      <c r="BP397" s="78">
        <f>IFERROR(1/J397*(Y397/H397),"0")</f>
        <v>0.140625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60</v>
      </c>
      <c r="Y398" s="55">
        <f>IFERROR(IF(X398="",0,CEILING((X398/$H398),1)*$H398),"")</f>
        <v>67.2</v>
      </c>
      <c r="Z398" s="41">
        <f>IFERROR(IF(Y398=0,"",ROUNDUP(Y398/H398,0)*0.01898),"")</f>
        <v>0.15184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63.528571428571425</v>
      </c>
      <c r="BN398" s="78">
        <f>IFERROR(Y398*I398/H398,"0")</f>
        <v>71.152000000000001</v>
      </c>
      <c r="BO398" s="78">
        <f>IFERROR(1/J398*(X398/H398),"0")</f>
        <v>0.11160714285714285</v>
      </c>
      <c r="BP398" s="78">
        <f>IFERROR(1/J398*(Y398/H398),"0")</f>
        <v>0.125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16.117216117216117</v>
      </c>
      <c r="Y399" s="43">
        <f>IFERROR(Y396/H396,"0")+IFERROR(Y397/H397,"0")+IFERROR(Y398/H398,"0")</f>
        <v>17</v>
      </c>
      <c r="Z399" s="43">
        <f>IFERROR(IF(Z396="",0,Z396),"0")+IFERROR(IF(Z397="",0,Z397),"0")+IFERROR(IF(Z398="",0,Z398),"0")</f>
        <v>0.32266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130</v>
      </c>
      <c r="Y400" s="43">
        <f>IFERROR(SUM(Y396:Y398),"0")</f>
        <v>137.4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8</v>
      </c>
      <c r="Y430" s="55">
        <f>IFERROR(IF(X430="",0,CEILING((X430/$H430),1)*$H430),"")</f>
        <v>8.1</v>
      </c>
      <c r="Z430" s="41">
        <f>IFERROR(IF(Y430=0,"",ROUNDUP(Y430/H430,0)*0.01898),"")</f>
        <v>1.898E-2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8.4879012345679019</v>
      </c>
      <c r="BN430" s="78">
        <f>IFERROR(Y430*I430/H430,"0")</f>
        <v>8.5939999999999994</v>
      </c>
      <c r="BO430" s="78">
        <f>IFERROR(1/J430*(X430/H430),"0")</f>
        <v>1.54320987654321E-2</v>
      </c>
      <c r="BP430" s="78">
        <f>IFERROR(1/J430*(Y430/H430),"0")</f>
        <v>1.5625E-2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10.5</v>
      </c>
      <c r="Y431" s="55">
        <f>IFERROR(IF(X431="",0,CEILING((X431/$H431),1)*$H431),"")</f>
        <v>10.5</v>
      </c>
      <c r="Z431" s="41">
        <f>IFERROR(IF(Y431=0,"",ROUNDUP(Y431/H431,0)*0.00651),"")</f>
        <v>3.2550000000000003E-2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11.759999999999998</v>
      </c>
      <c r="BN431" s="78">
        <f>IFERROR(Y431*I431/H431,"0")</f>
        <v>11.759999999999998</v>
      </c>
      <c r="BO431" s="78">
        <f>IFERROR(1/J431*(X431/H431),"0")</f>
        <v>2.7472527472527476E-2</v>
      </c>
      <c r="BP431" s="78">
        <f>IFERROR(1/J431*(Y431/H431),"0")</f>
        <v>2.7472527472527476E-2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8.4</v>
      </c>
      <c r="Y432" s="55">
        <f>IFERROR(IF(X432="",0,CEILING((X432/$H432),1)*$H432),"")</f>
        <v>8.4</v>
      </c>
      <c r="Z432" s="41">
        <f>IFERROR(IF(Y432=0,"",ROUNDUP(Y432/H432,0)*0.00651),"")</f>
        <v>2.6040000000000001E-2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9.36</v>
      </c>
      <c r="BN432" s="78">
        <f>IFERROR(Y432*I432/H432,"0")</f>
        <v>9.36</v>
      </c>
      <c r="BO432" s="78">
        <f>IFERROR(1/J432*(X432/H432),"0")</f>
        <v>2.197802197802198E-2</v>
      </c>
      <c r="BP432" s="78">
        <f>IFERROR(1/J432*(Y432/H432),"0")</f>
        <v>2.197802197802198E-2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9.9876543209876552</v>
      </c>
      <c r="Y433" s="43">
        <f>IFERROR(Y430/H430,"0")+IFERROR(Y431/H431,"0")+IFERROR(Y432/H432,"0")</f>
        <v>10</v>
      </c>
      <c r="Z433" s="43">
        <f>IFERROR(IF(Z430="",0,Z430),"0")+IFERROR(IF(Z431="",0,Z431),"0")+IFERROR(IF(Z432="",0,Z432),"0")</f>
        <v>7.757E-2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26.9</v>
      </c>
      <c r="Y434" s="43">
        <f>IFERROR(SUM(Y430:Y432),"0")</f>
        <v>27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150</v>
      </c>
      <c r="Y439" s="55">
        <f t="shared" si="61"/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154.69999999999999</v>
      </c>
      <c r="BN439" s="78">
        <f t="shared" si="63"/>
        <v>154.69999999999999</v>
      </c>
      <c r="BO439" s="78">
        <f t="shared" si="64"/>
        <v>0.20833333333333331</v>
      </c>
      <c r="BP439" s="78">
        <f t="shared" si="65"/>
        <v>0.20833333333333331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60</v>
      </c>
      <c r="Y440" s="55">
        <f t="shared" si="61"/>
        <v>60</v>
      </c>
      <c r="Z440" s="41">
        <f>IFERROR(IF(Y440=0,"",ROUNDUP(Y440/H440,0)*0.02175),"")</f>
        <v>8.6999999999999994E-2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61.88</v>
      </c>
      <c r="BN440" s="78">
        <f t="shared" si="63"/>
        <v>61.88</v>
      </c>
      <c r="BO440" s="78">
        <f t="shared" si="64"/>
        <v>8.3333333333333329E-2</v>
      </c>
      <c r="BP440" s="78">
        <f t="shared" si="65"/>
        <v>8.3333333333333329E-2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450</v>
      </c>
      <c r="Y442" s="55">
        <f t="shared" si="61"/>
        <v>450</v>
      </c>
      <c r="Z442" s="41">
        <f>IFERROR(IF(Y442=0,"",ROUNDUP(Y442/H442,0)*0.02175),"")</f>
        <v>0.65249999999999997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464.1</v>
      </c>
      <c r="BN442" s="78">
        <f t="shared" si="63"/>
        <v>464.1</v>
      </c>
      <c r="BO442" s="78">
        <f t="shared" si="64"/>
        <v>0.625</v>
      </c>
      <c r="BP442" s="78">
        <f t="shared" si="65"/>
        <v>0.625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44</v>
      </c>
      <c r="Y446" s="43">
        <f>IFERROR(Y438/H438,"0")+IFERROR(Y439/H439,"0")+IFERROR(Y440/H440,"0")+IFERROR(Y441/H441,"0")+IFERROR(Y442/H442,"0")+IFERROR(Y443/H443,"0")+IFERROR(Y444/H444,"0")+IFERROR(Y445/H445,"0")</f>
        <v>44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0.95699999999999996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660</v>
      </c>
      <c r="Y447" s="43">
        <f>IFERROR(SUM(Y438:Y445),"0")</f>
        <v>660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420</v>
      </c>
      <c r="Y449" s="55">
        <f>IFERROR(IF(X449="",0,CEILING((X449/$H449),1)*$H449),"")</f>
        <v>420</v>
      </c>
      <c r="Z449" s="41">
        <f>IFERROR(IF(Y449=0,"",ROUNDUP(Y449/H449,0)*0.02175),"")</f>
        <v>0.60899999999999999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433.16</v>
      </c>
      <c r="BN449" s="78">
        <f>IFERROR(Y449*I449/H449,"0")</f>
        <v>433.16</v>
      </c>
      <c r="BO449" s="78">
        <f>IFERROR(1/J449*(X449/H449),"0")</f>
        <v>0.58333333333333326</v>
      </c>
      <c r="BP449" s="78">
        <f>IFERROR(1/J449*(Y449/H449),"0")</f>
        <v>0.58333333333333326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4</v>
      </c>
      <c r="Y451" s="55">
        <f>IFERROR(IF(X451="",0,CEILING((X451/$H451),1)*$H451),"")</f>
        <v>4</v>
      </c>
      <c r="Z451" s="41">
        <f>IFERROR(IF(Y451=0,"",ROUNDUP(Y451/H451,0)*0.00902),"")</f>
        <v>9.0200000000000002E-3</v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4.1900000000000004</v>
      </c>
      <c r="BN451" s="78">
        <f>IFERROR(Y451*I451/H451,"0")</f>
        <v>4.1900000000000004</v>
      </c>
      <c r="BO451" s="78">
        <f>IFERROR(1/J451*(X451/H451),"0")</f>
        <v>7.575757575757576E-3</v>
      </c>
      <c r="BP451" s="78">
        <f>IFERROR(1/J451*(Y451/H451),"0")</f>
        <v>7.575757575757576E-3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29</v>
      </c>
      <c r="Y452" s="43">
        <f>IFERROR(Y449/H449,"0")+IFERROR(Y450/H450,"0")+IFERROR(Y451/H451,"0")</f>
        <v>29</v>
      </c>
      <c r="Z452" s="43">
        <f>IFERROR(IF(Z449="",0,Z449),"0")+IFERROR(IF(Z450="",0,Z450),"0")+IFERROR(IF(Z451="",0,Z451),"0")</f>
        <v>0.61802000000000001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424</v>
      </c>
      <c r="Y453" s="43">
        <f>IFERROR(SUM(Y449:Y451),"0")</f>
        <v>424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2.1</v>
      </c>
      <c r="Y488" s="55">
        <f t="shared" si="66"/>
        <v>2.1</v>
      </c>
      <c r="Z488" s="41">
        <f>IFERROR(IF(Y488=0,"",ROUNDUP(Y488/H488,0)*0.00502),"")</f>
        <v>5.0200000000000002E-3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2.23</v>
      </c>
      <c r="BN488" s="78">
        <f t="shared" si="68"/>
        <v>2.23</v>
      </c>
      <c r="BO488" s="78">
        <f t="shared" si="69"/>
        <v>4.2735042735042739E-3</v>
      </c>
      <c r="BP488" s="78">
        <f t="shared" si="70"/>
        <v>4.2735042735042739E-3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</v>
      </c>
      <c r="Y490" s="43">
        <f>IFERROR(Y484/H484,"0")+IFERROR(Y485/H485,"0")+IFERROR(Y486/H486,"0")+IFERROR(Y487/H487,"0")+IFERROR(Y488/H488,"0")+IFERROR(Y489/H489,"0")</f>
        <v>1</v>
      </c>
      <c r="Z490" s="43">
        <f>IFERROR(IF(Z484="",0,Z484),"0")+IFERROR(IF(Z485="",0,Z485),"0")+IFERROR(IF(Z486="",0,Z486),"0")+IFERROR(IF(Z487="",0,Z487),"0")+IFERROR(IF(Z488="",0,Z488),"0")+IFERROR(IF(Z489="",0,Z489),"0")</f>
        <v>5.0200000000000002E-3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2.1</v>
      </c>
      <c r="Y491" s="43">
        <f>IFERROR(SUM(Y484:Y489),"0")</f>
        <v>2.1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15</v>
      </c>
      <c r="Y510" s="55">
        <f t="shared" ref="Y510:Y517" si="71">IFERROR(IF(X510="",0,CEILING((X510/$H510),1)*$H510),"")</f>
        <v>15.84</v>
      </c>
      <c r="Z510" s="41">
        <f>IFERROR(IF(Y510=0,"",ROUNDUP(Y510/H510,0)*0.01196),"")</f>
        <v>3.5880000000000002E-2</v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15.994318181818182</v>
      </c>
      <c r="BN510" s="78">
        <f t="shared" ref="BN510:BN517" si="73">IFERROR(Y510*I510/H510,"0")</f>
        <v>16.889999999999997</v>
      </c>
      <c r="BO510" s="78">
        <f t="shared" ref="BO510:BO517" si="74">IFERROR(1/J510*(X510/H510),"0")</f>
        <v>2.7316433566433568E-2</v>
      </c>
      <c r="BP510" s="78">
        <f t="shared" ref="BP510:BP517" si="75">IFERROR(1/J510*(Y510/H510),"0")</f>
        <v>2.8846153846153848E-2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10</v>
      </c>
      <c r="Y512" s="55">
        <f t="shared" si="71"/>
        <v>10.56</v>
      </c>
      <c r="Z512" s="41">
        <f>IFERROR(IF(Y512=0,"",ROUNDUP(Y512/H512,0)*0.01196),"")</f>
        <v>2.392E-2</v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10.662878787878787</v>
      </c>
      <c r="BN512" s="78">
        <f t="shared" si="73"/>
        <v>11.26</v>
      </c>
      <c r="BO512" s="78">
        <f t="shared" si="74"/>
        <v>1.8210955710955712E-2</v>
      </c>
      <c r="BP512" s="78">
        <f t="shared" si="75"/>
        <v>1.9230769230769232E-2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10</v>
      </c>
      <c r="Y513" s="55">
        <f t="shared" si="71"/>
        <v>10.56</v>
      </c>
      <c r="Z513" s="41">
        <f>IFERROR(IF(Y513=0,"",ROUNDUP(Y513/H513,0)*0.01196),"")</f>
        <v>2.392E-2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10.662878787878787</v>
      </c>
      <c r="BN513" s="78">
        <f t="shared" si="73"/>
        <v>11.26</v>
      </c>
      <c r="BO513" s="78">
        <f t="shared" si="74"/>
        <v>1.8210955710955712E-2</v>
      </c>
      <c r="BP513" s="78">
        <f t="shared" si="75"/>
        <v>1.9230769230769232E-2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15</v>
      </c>
      <c r="Y514" s="55">
        <f t="shared" si="71"/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15.994318181818182</v>
      </c>
      <c r="BN514" s="78">
        <f t="shared" si="73"/>
        <v>16.889999999999997</v>
      </c>
      <c r="BO514" s="78">
        <f t="shared" si="74"/>
        <v>2.7316433566433568E-2</v>
      </c>
      <c r="BP514" s="78">
        <f t="shared" si="75"/>
        <v>2.8846153846153848E-2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9.4696969696969688</v>
      </c>
      <c r="Y518" s="43">
        <f>IFERROR(Y510/H510,"0")+IFERROR(Y511/H511,"0")+IFERROR(Y512/H512,"0")+IFERROR(Y513/H513,"0")+IFERROR(Y514/H514,"0")+IFERROR(Y515/H515,"0")+IFERROR(Y516/H516,"0")+IFERROR(Y517/H517,"0")</f>
        <v>10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0.11960000000000001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50</v>
      </c>
      <c r="Y519" s="43">
        <f>IFERROR(SUM(Y510:Y517),"0")</f>
        <v>52.8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40</v>
      </c>
      <c r="Y521" s="55">
        <f>IFERROR(IF(X521="",0,CEILING((X521/$H521),1)*$H521),"")</f>
        <v>42.24</v>
      </c>
      <c r="Z521" s="41">
        <f>IFERROR(IF(Y521=0,"",ROUNDUP(Y521/H521,0)*0.01196),"")</f>
        <v>9.5680000000000001E-2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42.651515151515149</v>
      </c>
      <c r="BN521" s="78">
        <f>IFERROR(Y521*I521/H521,"0")</f>
        <v>45.04</v>
      </c>
      <c r="BO521" s="78">
        <f>IFERROR(1/J521*(X521/H521),"0")</f>
        <v>7.2843822843822847E-2</v>
      </c>
      <c r="BP521" s="78">
        <f>IFERROR(1/J521*(Y521/H521),"0")</f>
        <v>7.6923076923076927E-2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7.5757575757575752</v>
      </c>
      <c r="Y524" s="43">
        <f>IFERROR(Y521/H521,"0")+IFERROR(Y522/H522,"0")+IFERROR(Y523/H523,"0")</f>
        <v>8</v>
      </c>
      <c r="Z524" s="43">
        <f>IFERROR(IF(Z521="",0,Z521),"0")+IFERROR(IF(Z522="",0,Z522),"0")+IFERROR(IF(Z523="",0,Z523),"0")</f>
        <v>9.5680000000000001E-2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40</v>
      </c>
      <c r="Y525" s="43">
        <f>IFERROR(SUM(Y521:Y523),"0")</f>
        <v>42.24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10</v>
      </c>
      <c r="Y527" s="55">
        <f t="shared" ref="Y527:Y533" si="76">IFERROR(IF(X527="",0,CEILING((X527/$H527),1)*$H527),"")</f>
        <v>10.56</v>
      </c>
      <c r="Z527" s="41">
        <f>IFERROR(IF(Y527=0,"",ROUNDUP(Y527/H527,0)*0.01196),"")</f>
        <v>2.392E-2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10.662878787878787</v>
      </c>
      <c r="BN527" s="78">
        <f t="shared" ref="BN527:BN533" si="78">IFERROR(Y527*I527/H527,"0")</f>
        <v>11.26</v>
      </c>
      <c r="BO527" s="78">
        <f t="shared" ref="BO527:BO533" si="79">IFERROR(1/J527*(X527/H527),"0")</f>
        <v>1.8210955710955712E-2</v>
      </c>
      <c r="BP527" s="78">
        <f t="shared" ref="BP527:BP533" si="80">IFERROR(1/J527*(Y527/H527),"0")</f>
        <v>1.9230769230769232E-2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15</v>
      </c>
      <c r="Y528" s="55">
        <f t="shared" si="76"/>
        <v>15.84</v>
      </c>
      <c r="Z528" s="41">
        <f>IFERROR(IF(Y528=0,"",ROUNDUP(Y528/H528,0)*0.01196),"")</f>
        <v>3.5880000000000002E-2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15.994318181818182</v>
      </c>
      <c r="BN528" s="78">
        <f t="shared" si="78"/>
        <v>16.889999999999997</v>
      </c>
      <c r="BO528" s="78">
        <f t="shared" si="79"/>
        <v>2.7316433566433568E-2</v>
      </c>
      <c r="BP528" s="78">
        <f t="shared" si="80"/>
        <v>2.8846153846153848E-2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25</v>
      </c>
      <c r="Y529" s="55">
        <f t="shared" si="76"/>
        <v>26.400000000000002</v>
      </c>
      <c r="Z529" s="41">
        <f>IFERROR(IF(Y529=0,"",ROUNDUP(Y529/H529,0)*0.01196),"")</f>
        <v>5.9799999999999999E-2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26.657196969696969</v>
      </c>
      <c r="BN529" s="78">
        <f t="shared" si="78"/>
        <v>28.15</v>
      </c>
      <c r="BO529" s="78">
        <f t="shared" si="79"/>
        <v>4.5527389277389273E-2</v>
      </c>
      <c r="BP529" s="78">
        <f t="shared" si="80"/>
        <v>4.807692307692308E-2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9.4696969696969688</v>
      </c>
      <c r="Y534" s="43">
        <f>IFERROR(Y527/H527,"0")+IFERROR(Y528/H528,"0")+IFERROR(Y529/H529,"0")+IFERROR(Y530/H530,"0")+IFERROR(Y531/H531,"0")+IFERROR(Y532/H532,"0")+IFERROR(Y533/H533,"0")</f>
        <v>10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0.11960000000000001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50</v>
      </c>
      <c r="Y535" s="43">
        <f>IFERROR(SUM(Y527:Y533),"0")</f>
        <v>52.8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40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42.38095238095238</v>
      </c>
      <c r="BN547" s="78">
        <f>IFERROR(Y547*I547/H547,"0")</f>
        <v>44.5</v>
      </c>
      <c r="BO547" s="78">
        <f>IFERROR(1/J547*(X547/H547),"0")</f>
        <v>7.2150072150072145E-2</v>
      </c>
      <c r="BP547" s="78">
        <f>IFERROR(1/J547*(Y547/H547),"0")</f>
        <v>7.575757575757576E-2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9.5238095238095237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40</v>
      </c>
      <c r="Y549" s="43">
        <f>IFERROR(SUM(Y547:Y547),"0")</f>
        <v>42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2802.2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2851.34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2934.1422058928729</v>
      </c>
      <c r="Y565" s="43">
        <f>IFERROR(SUM(BN22:BN561),"0")</f>
        <v>2985.7920000000004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3059.1422058928729</v>
      </c>
      <c r="Y567" s="43">
        <f>GrossWeightTotalR+PalletQtyTotalR*25</f>
        <v>3110.7920000000004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324.14708748042074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331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5.5104100000000011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117</v>
      </c>
      <c r="F574" s="52">
        <f>IFERROR(Y89*1,"0")+IFERROR(Y90*1,"0")+IFERROR(Y91*1,"0")+IFERROR(Y92*1,"0")+IFERROR(Y93*1,"0")+IFERROR(Y94*1,"0")+IFERROR(Y98*1,"0")+IFERROR(Y99*1,"0")+IFERROR(Y100*1,"0")+IFERROR(Y101*1,"0")</f>
        <v>37.800000000000004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23.700000000000003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7.1999999999999993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80.800000000000011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1261.9000000000001</v>
      </c>
      <c r="V574" s="52">
        <f>IFERROR(Y422*1,"0")+IFERROR(Y423*1,"0")+IFERROR(Y424*1,"0")+IFERROR(Y425*1,"0")</f>
        <v>0</v>
      </c>
      <c r="W574" s="52">
        <f>IFERROR(Y430*1,"0")+IFERROR(Y431*1,"0")+IFERROR(Y432*1,"0")</f>
        <v>27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1084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2.1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147.84</v>
      </c>
      <c r="AC574" s="52">
        <f>IFERROR(Y539*1,"0")+IFERROR(Y543*1,"0")+IFERROR(Y547*1,"0")+IFERROR(Y551*1,"0")+IFERROR(Y555*1,"0")+IFERROR(Y556*1,"0")</f>
        <v>42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85"/>
        <filter val="10,00"/>
        <filter val="10,50"/>
        <filter val="102,56"/>
        <filter val="13,50"/>
        <filter val="130,00"/>
        <filter val="15,00"/>
        <filter val="150,00"/>
        <filter val="16,12"/>
        <filter val="17,50"/>
        <filter val="170,00"/>
        <filter val="18,90"/>
        <filter val="2 802,20"/>
        <filter val="2 934,14"/>
        <filter val="2,00"/>
        <filter val="2,10"/>
        <filter val="2,70"/>
        <filter val="2,93"/>
        <filter val="20,00"/>
        <filter val="21,37"/>
        <filter val="224,00"/>
        <filter val="24,48"/>
        <filter val="25,00"/>
        <filter val="26,90"/>
        <filter val="29,00"/>
        <filter val="3 059,14"/>
        <filter val="3,00"/>
        <filter val="30,00"/>
        <filter val="324,15"/>
        <filter val="33,50"/>
        <filter val="35,00"/>
        <filter val="4,00"/>
        <filter val="4,85"/>
        <filter val="40,00"/>
        <filter val="420,00"/>
        <filter val="424,00"/>
        <filter val="44,00"/>
        <filter val="450,00"/>
        <filter val="5"/>
        <filter val="5,00"/>
        <filter val="5,40"/>
        <filter val="50,00"/>
        <filter val="60,00"/>
        <filter val="660,00"/>
        <filter val="7,20"/>
        <filter val="7,50"/>
        <filter val="7,58"/>
        <filter val="70,00"/>
        <filter val="76,00"/>
        <filter val="8,00"/>
        <filter val="8,40"/>
        <filter val="80,00"/>
        <filter val="800,00"/>
        <filter val="83,90"/>
        <filter val="89,00"/>
        <filter val="9,00"/>
        <filter val="9,41"/>
        <filter val="9,47"/>
        <filter val="9,52"/>
        <filter val="9,56"/>
        <filter val="9,99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2026-10-19T11:13:34Z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