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B76F49-E79B-468F-8A33-E51283D407C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заказа'!$X$288:$X$288</definedName>
    <definedName name="GrossWeightTotalR">'Бланк заказа'!$Y$288:$Y$288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заказа'!$X$289:$X$289</definedName>
    <definedName name="PalletQtyTotalR">'Бланк заказа'!$Y$289:$Y$289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заказа'!$B$278:$B$278</definedName>
    <definedName name="ProductId101">'Бланк заказа'!$B$279:$B$279</definedName>
    <definedName name="ProductId102">'Бланк заказа'!$B$280:$B$280</definedName>
    <definedName name="ProductId103">'Бланк заказа'!$B$281:$B$281</definedName>
    <definedName name="ProductId104">'Бланк заказа'!$B$282:$B$282</definedName>
    <definedName name="ProductId105">'Бланк заказа'!$B$283:$B$283</definedName>
    <definedName name="ProductId106">'Бланк заказа'!$B$284:$B$284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заказа'!$B$117:$B$117</definedName>
    <definedName name="ProductId49">'Бланк заказа'!$B$121:$B$121</definedName>
    <definedName name="ProductId5">'Бланк заказа'!$B$26:$B$26</definedName>
    <definedName name="ProductId50">'Бланк заказа'!$B$125:$B$125</definedName>
    <definedName name="ProductId51">'Бланк заказа'!$B$130:$B$130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заказа'!$B$137:$B$137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заказа'!$B$27:$B$27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заказа'!$B$161:$B$161</definedName>
    <definedName name="ProductId65">'Бланк заказа'!$B$162:$B$162</definedName>
    <definedName name="ProductId66">'Бланк заказа'!$B$167:$B$167</definedName>
    <definedName name="ProductId67">'Бланк заказа'!$B$168:$B$168</definedName>
    <definedName name="ProductId68">'Бланк заказа'!$B$173:$B$173</definedName>
    <definedName name="ProductId69">'Бланк заказа'!$B$178:$B$178</definedName>
    <definedName name="ProductId7">'Бланк заказа'!$B$28:$B$28</definedName>
    <definedName name="ProductId70">'Бланк заказа'!$B$184:$B$184</definedName>
    <definedName name="ProductId71">'Бланк заказа'!$B$188:$B$188</definedName>
    <definedName name="ProductId72">'Бланк заказа'!$B$189:$B$189</definedName>
    <definedName name="ProductId73">'Бланк заказа'!$B$190:$B$190</definedName>
    <definedName name="ProductId74">'Бланк заказа'!$B$195:$B$195</definedName>
    <definedName name="ProductId75">'Бланк заказа'!$B$196:$B$196</definedName>
    <definedName name="ProductId76">'Бланк заказа'!$B$201:$B$201</definedName>
    <definedName name="ProductId77">'Бланк заказа'!$B$207:$B$207</definedName>
    <definedName name="ProductId78">'Бланк заказа'!$B$208:$B$208</definedName>
    <definedName name="ProductId79">'Бланк заказа'!$B$209:$B$209</definedName>
    <definedName name="ProductId8">'Бланк заказа'!$B$29:$B$29</definedName>
    <definedName name="ProductId80">'Бланк заказа'!$B$210:$B$210</definedName>
    <definedName name="ProductId81">'Бланк заказа'!$B$216:$B$216</definedName>
    <definedName name="ProductId82">'Бланк заказа'!$B$220:$B$220</definedName>
    <definedName name="ProductId83">'Бланк заказа'!$B$221:$B$221</definedName>
    <definedName name="ProductId84">'Бланк заказа'!$B$226:$B$226</definedName>
    <definedName name="ProductId85">'Бланк заказа'!$B$227:$B$227</definedName>
    <definedName name="ProductId86">'Бланк заказа'!$B$232:$B$232</definedName>
    <definedName name="ProductId87">'Бланк заказа'!$B$238:$B$238</definedName>
    <definedName name="ProductId88">'Бланк заказа'!$B$244:$B$244</definedName>
    <definedName name="ProductId89">'Бланк заказа'!$B$248:$B$248</definedName>
    <definedName name="ProductId9">'Бланк заказа'!$B$33:$B$33</definedName>
    <definedName name="ProductId90">'Бланк заказа'!$B$254:$B$254</definedName>
    <definedName name="ProductId91">'Бланк заказа'!$B$258:$B$258</definedName>
    <definedName name="ProductId92">'Бланк заказа'!$B$264:$B$264</definedName>
    <definedName name="ProductId93">'Бланк заказа'!$B$265:$B$265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заказа'!$X$278:$X$278</definedName>
    <definedName name="SalesQty101">'Бланк заказа'!$X$279:$X$279</definedName>
    <definedName name="SalesQty102">'Бланк заказа'!$X$280:$X$280</definedName>
    <definedName name="SalesQty103">'Бланк заказа'!$X$281:$X$281</definedName>
    <definedName name="SalesQty104">'Бланк заказа'!$X$282:$X$282</definedName>
    <definedName name="SalesQty105">'Бланк заказа'!$X$283:$X$283</definedName>
    <definedName name="SalesQty106">'Бланк заказа'!$X$284:$X$284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заказа'!$X$117:$X$117</definedName>
    <definedName name="SalesQty49">'Бланк заказа'!$X$121:$X$121</definedName>
    <definedName name="SalesQty5">'Бланк заказа'!$X$26:$X$26</definedName>
    <definedName name="SalesQty50">'Бланк заказа'!$X$125:$X$125</definedName>
    <definedName name="SalesQty51">'Бланк заказа'!$X$130:$X$130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заказа'!$X$137:$X$137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заказа'!$X$27:$X$27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заказа'!$X$161:$X$161</definedName>
    <definedName name="SalesQty65">'Бланк заказа'!$X$162:$X$162</definedName>
    <definedName name="SalesQty66">'Бланк заказа'!$X$167:$X$167</definedName>
    <definedName name="SalesQty67">'Бланк заказа'!$X$168:$X$168</definedName>
    <definedName name="SalesQty68">'Бланк заказа'!$X$173:$X$173</definedName>
    <definedName name="SalesQty69">'Бланк заказа'!$X$178:$X$178</definedName>
    <definedName name="SalesQty7">'Бланк заказа'!$X$28:$X$28</definedName>
    <definedName name="SalesQty70">'Бланк заказа'!$X$184:$X$184</definedName>
    <definedName name="SalesQty71">'Бланк заказа'!$X$188:$X$188</definedName>
    <definedName name="SalesQty72">'Бланк заказа'!$X$189:$X$189</definedName>
    <definedName name="SalesQty73">'Бланк заказа'!$X$190:$X$190</definedName>
    <definedName name="SalesQty74">'Бланк заказа'!$X$195:$X$195</definedName>
    <definedName name="SalesQty75">'Бланк заказа'!$X$196:$X$196</definedName>
    <definedName name="SalesQty76">'Бланк заказа'!$X$201:$X$201</definedName>
    <definedName name="SalesQty77">'Бланк заказа'!$X$207:$X$207</definedName>
    <definedName name="SalesQty78">'Бланк заказа'!$X$208:$X$208</definedName>
    <definedName name="SalesQty79">'Бланк заказа'!$X$209:$X$209</definedName>
    <definedName name="SalesQty8">'Бланк заказа'!$X$29:$X$29</definedName>
    <definedName name="SalesQty80">'Бланк заказа'!$X$210:$X$210</definedName>
    <definedName name="SalesQty81">'Бланк заказа'!$X$216:$X$216</definedName>
    <definedName name="SalesQty82">'Бланк заказа'!$X$220:$X$220</definedName>
    <definedName name="SalesQty83">'Бланк заказа'!$X$221:$X$221</definedName>
    <definedName name="SalesQty84">'Бланк заказа'!$X$226:$X$226</definedName>
    <definedName name="SalesQty85">'Бланк заказа'!$X$227:$X$227</definedName>
    <definedName name="SalesQty86">'Бланк заказа'!$X$232:$X$232</definedName>
    <definedName name="SalesQty87">'Бланк заказа'!$X$238:$X$238</definedName>
    <definedName name="SalesQty88">'Бланк заказа'!$X$244:$X$244</definedName>
    <definedName name="SalesQty89">'Бланк заказа'!$X$248:$X$248</definedName>
    <definedName name="SalesQty9">'Бланк заказа'!$X$33:$X$33</definedName>
    <definedName name="SalesQty90">'Бланк заказа'!$X$254:$X$254</definedName>
    <definedName name="SalesQty91">'Бланк заказа'!$X$258:$X$258</definedName>
    <definedName name="SalesQty92">'Бланк заказа'!$X$264:$X$264</definedName>
    <definedName name="SalesQty93">'Бланк заказа'!$X$265:$X$265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заказа'!$Y$278:$Y$278</definedName>
    <definedName name="SalesRoundBox101">'Бланк заказа'!$Y$279:$Y$279</definedName>
    <definedName name="SalesRoundBox102">'Бланк заказа'!$Y$280:$Y$280</definedName>
    <definedName name="SalesRoundBox103">'Бланк заказа'!$Y$281:$Y$281</definedName>
    <definedName name="SalesRoundBox104">'Бланк заказа'!$Y$282:$Y$282</definedName>
    <definedName name="SalesRoundBox105">'Бланк заказа'!$Y$283:$Y$283</definedName>
    <definedName name="SalesRoundBox106">'Бланк заказа'!$Y$284:$Y$284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заказа'!$Y$117:$Y$117</definedName>
    <definedName name="SalesRoundBox49">'Бланк заказа'!$Y$121:$Y$121</definedName>
    <definedName name="SalesRoundBox5">'Бланк заказа'!$Y$26:$Y$26</definedName>
    <definedName name="SalesRoundBox50">'Бланк заказа'!$Y$125:$Y$125</definedName>
    <definedName name="SalesRoundBox51">'Бланк заказа'!$Y$130:$Y$130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заказа'!$Y$137:$Y$137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заказа'!$Y$27:$Y$27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заказа'!$Y$161:$Y$161</definedName>
    <definedName name="SalesRoundBox65">'Бланк заказа'!$Y$162:$Y$162</definedName>
    <definedName name="SalesRoundBox66">'Бланк заказа'!$Y$167:$Y$167</definedName>
    <definedName name="SalesRoundBox67">'Бланк заказа'!$Y$168:$Y$168</definedName>
    <definedName name="SalesRoundBox68">'Бланк заказа'!$Y$173:$Y$173</definedName>
    <definedName name="SalesRoundBox69">'Бланк заказа'!$Y$178:$Y$178</definedName>
    <definedName name="SalesRoundBox7">'Бланк заказа'!$Y$28:$Y$28</definedName>
    <definedName name="SalesRoundBox70">'Бланк заказа'!$Y$184:$Y$184</definedName>
    <definedName name="SalesRoundBox71">'Бланк заказа'!$Y$188:$Y$188</definedName>
    <definedName name="SalesRoundBox72">'Бланк заказа'!$Y$189:$Y$189</definedName>
    <definedName name="SalesRoundBox73">'Бланк заказа'!$Y$190:$Y$190</definedName>
    <definedName name="SalesRoundBox74">'Бланк заказа'!$Y$195:$Y$195</definedName>
    <definedName name="SalesRoundBox75">'Бланк заказа'!$Y$196:$Y$196</definedName>
    <definedName name="SalesRoundBox76">'Бланк заказа'!$Y$201:$Y$201</definedName>
    <definedName name="SalesRoundBox77">'Бланк заказа'!$Y$207:$Y$207</definedName>
    <definedName name="SalesRoundBox78">'Бланк заказа'!$Y$208:$Y$208</definedName>
    <definedName name="SalesRoundBox79">'Бланк заказа'!$Y$209:$Y$209</definedName>
    <definedName name="SalesRoundBox8">'Бланк заказа'!$Y$29:$Y$29</definedName>
    <definedName name="SalesRoundBox80">'Бланк заказа'!$Y$210:$Y$210</definedName>
    <definedName name="SalesRoundBox81">'Бланк заказа'!$Y$216:$Y$216</definedName>
    <definedName name="SalesRoundBox82">'Бланк заказа'!$Y$220:$Y$220</definedName>
    <definedName name="SalesRoundBox83">'Бланк заказа'!$Y$221:$Y$221</definedName>
    <definedName name="SalesRoundBox84">'Бланк заказа'!$Y$226:$Y$226</definedName>
    <definedName name="SalesRoundBox85">'Бланк заказа'!$Y$227:$Y$227</definedName>
    <definedName name="SalesRoundBox86">'Бланк заказа'!$Y$232:$Y$232</definedName>
    <definedName name="SalesRoundBox87">'Бланк заказа'!$Y$238:$Y$238</definedName>
    <definedName name="SalesRoundBox88">'Бланк заказа'!$Y$244:$Y$244</definedName>
    <definedName name="SalesRoundBox89">'Бланк заказа'!$Y$248:$Y$248</definedName>
    <definedName name="SalesRoundBox9">'Бланк заказа'!$Y$33:$Y$33</definedName>
    <definedName name="SalesRoundBox90">'Бланк заказа'!$Y$254:$Y$254</definedName>
    <definedName name="SalesRoundBox91">'Бланк заказа'!$Y$258:$Y$258</definedName>
    <definedName name="SalesRoundBox92">'Бланк заказа'!$Y$264:$Y$264</definedName>
    <definedName name="SalesRoundBox93">'Бланк заказа'!$Y$265:$Y$265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заказа'!$W$278:$W$278</definedName>
    <definedName name="UnitOfMeasure101">'Бланк заказа'!$W$279:$W$279</definedName>
    <definedName name="UnitOfMeasure102">'Бланк заказа'!$W$280:$W$280</definedName>
    <definedName name="UnitOfMeasure103">'Бланк заказа'!$W$281:$W$281</definedName>
    <definedName name="UnitOfMeasure104">'Бланк заказа'!$W$282:$W$282</definedName>
    <definedName name="UnitOfMeasure105">'Бланк заказа'!$W$283:$W$283</definedName>
    <definedName name="UnitOfMeasure106">'Бланк заказа'!$W$284:$W$284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заказа'!$W$117:$W$117</definedName>
    <definedName name="UnitOfMeasure49">'Бланк заказа'!$W$121:$W$121</definedName>
    <definedName name="UnitOfMeasure5">'Бланк заказа'!$W$26:$W$26</definedName>
    <definedName name="UnitOfMeasure50">'Бланк заказа'!$W$125:$W$125</definedName>
    <definedName name="UnitOfMeasure51">'Бланк заказа'!$W$130:$W$130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заказа'!$W$137:$W$137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заказа'!$W$27:$W$27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заказа'!$W$161:$W$161</definedName>
    <definedName name="UnitOfMeasure65">'Бланк заказа'!$W$162:$W$162</definedName>
    <definedName name="UnitOfMeasure66">'Бланк заказа'!$W$167:$W$167</definedName>
    <definedName name="UnitOfMeasure67">'Бланк заказа'!$W$168:$W$168</definedName>
    <definedName name="UnitOfMeasure68">'Бланк заказа'!$W$173:$W$173</definedName>
    <definedName name="UnitOfMeasure69">'Бланк заказа'!$W$178:$W$178</definedName>
    <definedName name="UnitOfMeasure7">'Бланк заказа'!$W$28:$W$28</definedName>
    <definedName name="UnitOfMeasure70">'Бланк заказа'!$W$184:$W$184</definedName>
    <definedName name="UnitOfMeasure71">'Бланк заказа'!$W$188:$W$188</definedName>
    <definedName name="UnitOfMeasure72">'Бланк заказа'!$W$189:$W$189</definedName>
    <definedName name="UnitOfMeasure73">'Бланк заказа'!$W$190:$W$190</definedName>
    <definedName name="UnitOfMeasure74">'Бланк заказа'!$W$195:$W$195</definedName>
    <definedName name="UnitOfMeasure75">'Бланк заказа'!$W$196:$W$196</definedName>
    <definedName name="UnitOfMeasure76">'Бланк заказа'!$W$201:$W$201</definedName>
    <definedName name="UnitOfMeasure77">'Бланк заказа'!$W$207:$W$207</definedName>
    <definedName name="UnitOfMeasure78">'Бланк заказа'!$W$208:$W$208</definedName>
    <definedName name="UnitOfMeasure79">'Бланк заказа'!$W$209:$W$209</definedName>
    <definedName name="UnitOfMeasure8">'Бланк заказа'!$W$29:$W$29</definedName>
    <definedName name="UnitOfMeasure80">'Бланк заказа'!$W$210:$W$210</definedName>
    <definedName name="UnitOfMeasure81">'Бланк заказа'!$W$216:$W$216</definedName>
    <definedName name="UnitOfMeasure82">'Бланк заказа'!$W$220:$W$220</definedName>
    <definedName name="UnitOfMeasure83">'Бланк заказа'!$W$221:$W$221</definedName>
    <definedName name="UnitOfMeasure84">'Бланк заказа'!$W$226:$W$226</definedName>
    <definedName name="UnitOfMeasure85">'Бланк заказа'!$W$227:$W$227</definedName>
    <definedName name="UnitOfMeasure86">'Бланк заказа'!$W$232:$W$232</definedName>
    <definedName name="UnitOfMeasure87">'Бланк заказа'!$W$238:$W$238</definedName>
    <definedName name="UnitOfMeasure88">'Бланк заказа'!$W$244:$W$244</definedName>
    <definedName name="UnitOfMeasure89">'Бланк заказа'!$W$248:$W$248</definedName>
    <definedName name="UnitOfMeasure9">'Бланк заказа'!$W$33:$W$33</definedName>
    <definedName name="UnitOfMeasure90">'Бланк заказа'!$W$254:$W$254</definedName>
    <definedName name="UnitOfMeasure91">'Бланк заказа'!$W$258:$W$258</definedName>
    <definedName name="UnitOfMeasure92">'Бланк заказа'!$W$264:$W$264</definedName>
    <definedName name="UnitOfMeasure93">'Бланк заказа'!$W$265:$W$265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7" i="2" l="1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X286" i="2"/>
  <c r="X285" i="2"/>
  <c r="BO284" i="2"/>
  <c r="BM284" i="2"/>
  <c r="Z284" i="2"/>
  <c r="Y284" i="2"/>
  <c r="BP284" i="2" s="1"/>
  <c r="P284" i="2"/>
  <c r="BO283" i="2"/>
  <c r="BM283" i="2"/>
  <c r="Z283" i="2"/>
  <c r="Y283" i="2"/>
  <c r="BP283" i="2" s="1"/>
  <c r="BO282" i="2"/>
  <c r="BM282" i="2"/>
  <c r="Z282" i="2"/>
  <c r="Y282" i="2"/>
  <c r="BN282" i="2" s="1"/>
  <c r="P282" i="2"/>
  <c r="BO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BO277" i="2"/>
  <c r="BM277" i="2"/>
  <c r="Z277" i="2"/>
  <c r="Y277" i="2"/>
  <c r="BP277" i="2" s="1"/>
  <c r="BO276" i="2"/>
  <c r="BM276" i="2"/>
  <c r="Z276" i="2"/>
  <c r="Y276" i="2"/>
  <c r="BP276" i="2" s="1"/>
  <c r="BO275" i="2"/>
  <c r="BM275" i="2"/>
  <c r="Z275" i="2"/>
  <c r="Y275" i="2"/>
  <c r="X273" i="2"/>
  <c r="X272" i="2"/>
  <c r="BO271" i="2"/>
  <c r="BM271" i="2"/>
  <c r="Z271" i="2"/>
  <c r="Y271" i="2"/>
  <c r="BN271" i="2" s="1"/>
  <c r="BO270" i="2"/>
  <c r="BM270" i="2"/>
  <c r="Z270" i="2"/>
  <c r="Y270" i="2"/>
  <c r="BO269" i="2"/>
  <c r="BM269" i="2"/>
  <c r="Z269" i="2"/>
  <c r="Y269" i="2"/>
  <c r="Y272" i="2" s="1"/>
  <c r="X267" i="2"/>
  <c r="X266" i="2"/>
  <c r="BO265" i="2"/>
  <c r="BM265" i="2"/>
  <c r="Z265" i="2"/>
  <c r="Y265" i="2"/>
  <c r="P265" i="2"/>
  <c r="BO264" i="2"/>
  <c r="BN264" i="2"/>
  <c r="BM264" i="2"/>
  <c r="Z264" i="2"/>
  <c r="Y264" i="2"/>
  <c r="BP264" i="2" s="1"/>
  <c r="P264" i="2"/>
  <c r="X260" i="2"/>
  <c r="X259" i="2"/>
  <c r="BO258" i="2"/>
  <c r="BM258" i="2"/>
  <c r="Z258" i="2"/>
  <c r="Z259" i="2" s="1"/>
  <c r="Y258" i="2"/>
  <c r="Y260" i="2" s="1"/>
  <c r="P258" i="2"/>
  <c r="X256" i="2"/>
  <c r="X255" i="2"/>
  <c r="BO254" i="2"/>
  <c r="BM254" i="2"/>
  <c r="Z254" i="2"/>
  <c r="Z255" i="2" s="1"/>
  <c r="Y254" i="2"/>
  <c r="Y256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Y234" i="2" s="1"/>
  <c r="P232" i="2"/>
  <c r="X229" i="2"/>
  <c r="X228" i="2"/>
  <c r="BO227" i="2"/>
  <c r="BM227" i="2"/>
  <c r="Z227" i="2"/>
  <c r="Y227" i="2"/>
  <c r="BP227" i="2" s="1"/>
  <c r="P227" i="2"/>
  <c r="BO226" i="2"/>
  <c r="BM226" i="2"/>
  <c r="Z226" i="2"/>
  <c r="Y226" i="2"/>
  <c r="BP226" i="2" s="1"/>
  <c r="P226" i="2"/>
  <c r="X223" i="2"/>
  <c r="X222" i="2"/>
  <c r="BO221" i="2"/>
  <c r="BM221" i="2"/>
  <c r="Z221" i="2"/>
  <c r="Y221" i="2"/>
  <c r="P221" i="2"/>
  <c r="BO220" i="2"/>
  <c r="BM220" i="2"/>
  <c r="Z220" i="2"/>
  <c r="Y220" i="2"/>
  <c r="BN220" i="2" s="1"/>
  <c r="P220" i="2"/>
  <c r="X218" i="2"/>
  <c r="X217" i="2"/>
  <c r="BO216" i="2"/>
  <c r="BM216" i="2"/>
  <c r="Z216" i="2"/>
  <c r="Z217" i="2" s="1"/>
  <c r="Y216" i="2"/>
  <c r="Y218" i="2" s="1"/>
  <c r="P216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BP209" i="2" s="1"/>
  <c r="P209" i="2"/>
  <c r="BO208" i="2"/>
  <c r="BM208" i="2"/>
  <c r="Z208" i="2"/>
  <c r="Y208" i="2"/>
  <c r="BN208" i="2" s="1"/>
  <c r="P208" i="2"/>
  <c r="BO207" i="2"/>
  <c r="BM207" i="2"/>
  <c r="Z207" i="2"/>
  <c r="Y207" i="2"/>
  <c r="P207" i="2"/>
  <c r="X203" i="2"/>
  <c r="X202" i="2"/>
  <c r="BO201" i="2"/>
  <c r="BM201" i="2"/>
  <c r="Z201" i="2"/>
  <c r="Z202" i="2" s="1"/>
  <c r="Y201" i="2"/>
  <c r="BP201" i="2" s="1"/>
  <c r="P201" i="2"/>
  <c r="X198" i="2"/>
  <c r="X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2" i="2"/>
  <c r="X191" i="2"/>
  <c r="BO190" i="2"/>
  <c r="BM190" i="2"/>
  <c r="Z190" i="2"/>
  <c r="Y190" i="2"/>
  <c r="BN190" i="2" s="1"/>
  <c r="P190" i="2"/>
  <c r="BO189" i="2"/>
  <c r="BM189" i="2"/>
  <c r="Z189" i="2"/>
  <c r="Y189" i="2"/>
  <c r="BP189" i="2" s="1"/>
  <c r="P189" i="2"/>
  <c r="BO188" i="2"/>
  <c r="BM188" i="2"/>
  <c r="Z188" i="2"/>
  <c r="Y188" i="2"/>
  <c r="BN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BN178" i="2" s="1"/>
  <c r="P178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P167" i="2"/>
  <c r="X164" i="2"/>
  <c r="X163" i="2"/>
  <c r="BO162" i="2"/>
  <c r="BM162" i="2"/>
  <c r="Z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N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N91" i="2" s="1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BN85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N75" i="2"/>
  <c r="BM75" i="2"/>
  <c r="Z75" i="2"/>
  <c r="Y75" i="2"/>
  <c r="BP75" i="2" s="1"/>
  <c r="P75" i="2"/>
  <c r="BO74" i="2"/>
  <c r="BM74" i="2"/>
  <c r="Z74" i="2"/>
  <c r="Y74" i="2"/>
  <c r="Y76" i="2" s="1"/>
  <c r="P74" i="2"/>
  <c r="X71" i="2"/>
  <c r="X70" i="2"/>
  <c r="BO69" i="2"/>
  <c r="BM69" i="2"/>
  <c r="Z69" i="2"/>
  <c r="Y69" i="2"/>
  <c r="BN69" i="2" s="1"/>
  <c r="P69" i="2"/>
  <c r="BO68" i="2"/>
  <c r="BM68" i="2"/>
  <c r="Z68" i="2"/>
  <c r="Y68" i="2"/>
  <c r="BP68" i="2" s="1"/>
  <c r="P68" i="2"/>
  <c r="BO67" i="2"/>
  <c r="BM67" i="2"/>
  <c r="Z67" i="2"/>
  <c r="Y67" i="2"/>
  <c r="BP67" i="2" s="1"/>
  <c r="P67" i="2"/>
  <c r="BO66" i="2"/>
  <c r="BM66" i="2"/>
  <c r="Z66" i="2"/>
  <c r="Y66" i="2"/>
  <c r="BP66" i="2" s="1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P57" i="2"/>
  <c r="X54" i="2"/>
  <c r="X53" i="2"/>
  <c r="BO52" i="2"/>
  <c r="BM52" i="2"/>
  <c r="Z52" i="2"/>
  <c r="Y52" i="2"/>
  <c r="P52" i="2"/>
  <c r="BO51" i="2"/>
  <c r="BM51" i="2"/>
  <c r="Z51" i="2"/>
  <c r="Y51" i="2"/>
  <c r="P51" i="2"/>
  <c r="X48" i="2"/>
  <c r="X47" i="2"/>
  <c r="BO46" i="2"/>
  <c r="BM46" i="2"/>
  <c r="Z46" i="2"/>
  <c r="Y46" i="2"/>
  <c r="BP46" i="2" s="1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BP39" i="2" s="1"/>
  <c r="P39" i="2"/>
  <c r="BO38" i="2"/>
  <c r="BM38" i="2"/>
  <c r="Z38" i="2"/>
  <c r="Y38" i="2"/>
  <c r="P38" i="2"/>
  <c r="X35" i="2"/>
  <c r="X34" i="2"/>
  <c r="BO33" i="2"/>
  <c r="BM33" i="2"/>
  <c r="Z33" i="2"/>
  <c r="Z34" i="2" s="1"/>
  <c r="Y33" i="2"/>
  <c r="Y35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174" i="2" l="1"/>
  <c r="BN25" i="2"/>
  <c r="Y41" i="2"/>
  <c r="BN39" i="2"/>
  <c r="BN60" i="2"/>
  <c r="BN65" i="2"/>
  <c r="BP125" i="2"/>
  <c r="BN173" i="2"/>
  <c r="BN232" i="2"/>
  <c r="Y267" i="2"/>
  <c r="BN283" i="2"/>
  <c r="Y233" i="2"/>
  <c r="BN114" i="2"/>
  <c r="BN216" i="2"/>
  <c r="BP208" i="2"/>
  <c r="BP160" i="2"/>
  <c r="BP96" i="2"/>
  <c r="BN155" i="2"/>
  <c r="Z169" i="2"/>
  <c r="Z272" i="2"/>
  <c r="Z266" i="2"/>
  <c r="BP232" i="2"/>
  <c r="Z228" i="2"/>
  <c r="Y212" i="2"/>
  <c r="Z191" i="2"/>
  <c r="Y185" i="2"/>
  <c r="Y179" i="2"/>
  <c r="Z163" i="2"/>
  <c r="BN162" i="2"/>
  <c r="BP149" i="2"/>
  <c r="Y145" i="2"/>
  <c r="Z144" i="2"/>
  <c r="Y144" i="2"/>
  <c r="BN141" i="2"/>
  <c r="BN137" i="2"/>
  <c r="BN125" i="2"/>
  <c r="Y126" i="2"/>
  <c r="Z118" i="2"/>
  <c r="Z105" i="2"/>
  <c r="Z99" i="2"/>
  <c r="BP91" i="2"/>
  <c r="X291" i="2"/>
  <c r="Z70" i="2"/>
  <c r="Y53" i="2"/>
  <c r="Z53" i="2"/>
  <c r="Z47" i="2"/>
  <c r="Z30" i="2"/>
  <c r="BN22" i="2"/>
  <c r="Y31" i="2"/>
  <c r="Y54" i="2"/>
  <c r="Z61" i="2"/>
  <c r="BP58" i="2"/>
  <c r="BP93" i="2"/>
  <c r="Y105" i="2"/>
  <c r="BP117" i="2"/>
  <c r="Z138" i="2"/>
  <c r="BP135" i="2"/>
  <c r="Y170" i="2"/>
  <c r="Y169" i="2"/>
  <c r="BP178" i="2"/>
  <c r="Y198" i="2"/>
  <c r="Y203" i="2"/>
  <c r="Y222" i="2"/>
  <c r="Y273" i="2"/>
  <c r="BP271" i="2"/>
  <c r="Z285" i="2"/>
  <c r="BP282" i="2"/>
  <c r="BP104" i="2"/>
  <c r="BP130" i="2"/>
  <c r="Y150" i="2"/>
  <c r="BP168" i="2"/>
  <c r="BP195" i="2"/>
  <c r="BP220" i="2"/>
  <c r="BP238" i="2"/>
  <c r="X289" i="2"/>
  <c r="BN24" i="2"/>
  <c r="BP27" i="2"/>
  <c r="BP29" i="2"/>
  <c r="BN33" i="2"/>
  <c r="BN38" i="2"/>
  <c r="Y48" i="2"/>
  <c r="BN51" i="2"/>
  <c r="BN59" i="2"/>
  <c r="Y71" i="2"/>
  <c r="BN67" i="2"/>
  <c r="Z87" i="2"/>
  <c r="BP85" i="2"/>
  <c r="BN92" i="2"/>
  <c r="BN98" i="2"/>
  <c r="Y118" i="2"/>
  <c r="BP109" i="2"/>
  <c r="BP113" i="2"/>
  <c r="BP115" i="2"/>
  <c r="BN136" i="2"/>
  <c r="BP154" i="2"/>
  <c r="Y164" i="2"/>
  <c r="BP161" i="2"/>
  <c r="Y180" i="2"/>
  <c r="Y192" i="2"/>
  <c r="BP190" i="2"/>
  <c r="BP196" i="2"/>
  <c r="BN201" i="2"/>
  <c r="Y202" i="2"/>
  <c r="BN209" i="2"/>
  <c r="BP210" i="2"/>
  <c r="BN248" i="2"/>
  <c r="Y249" i="2"/>
  <c r="BP254" i="2"/>
  <c r="Y266" i="2"/>
  <c r="BN269" i="2"/>
  <c r="BP69" i="2"/>
  <c r="X288" i="2"/>
  <c r="BN23" i="2"/>
  <c r="Y30" i="2"/>
  <c r="X287" i="2"/>
  <c r="Z40" i="2"/>
  <c r="BP38" i="2"/>
  <c r="Y62" i="2"/>
  <c r="BN66" i="2"/>
  <c r="Z76" i="2"/>
  <c r="Y77" i="2"/>
  <c r="Y88" i="2"/>
  <c r="Y99" i="2"/>
  <c r="BP95" i="2"/>
  <c r="BN97" i="2"/>
  <c r="BN103" i="2"/>
  <c r="Y106" i="2"/>
  <c r="Y119" i="2"/>
  <c r="Y139" i="2"/>
  <c r="BP142" i="2"/>
  <c r="Z150" i="2"/>
  <c r="Y157" i="2"/>
  <c r="BN167" i="2"/>
  <c r="BP184" i="2"/>
  <c r="Y186" i="2"/>
  <c r="Y191" i="2"/>
  <c r="Z197" i="2"/>
  <c r="Z211" i="2"/>
  <c r="Y217" i="2"/>
  <c r="Z222" i="2"/>
  <c r="BP248" i="2"/>
  <c r="BP269" i="2"/>
  <c r="Y286" i="2"/>
  <c r="BP45" i="2"/>
  <c r="BN57" i="2"/>
  <c r="BN68" i="2"/>
  <c r="BN116" i="2"/>
  <c r="BP141" i="2"/>
  <c r="Y156" i="2"/>
  <c r="BP167" i="2"/>
  <c r="Y197" i="2"/>
  <c r="BN221" i="2"/>
  <c r="BN275" i="2"/>
  <c r="BN278" i="2"/>
  <c r="BN281" i="2"/>
  <c r="Y100" i="2"/>
  <c r="BN94" i="2"/>
  <c r="BP51" i="2"/>
  <c r="BN74" i="2"/>
  <c r="BN111" i="2"/>
  <c r="BN121" i="2"/>
  <c r="BN134" i="2"/>
  <c r="BP173" i="2"/>
  <c r="BP188" i="2"/>
  <c r="BP216" i="2"/>
  <c r="BN227" i="2"/>
  <c r="BN244" i="2"/>
  <c r="BN258" i="2"/>
  <c r="BN270" i="2"/>
  <c r="BN28" i="2"/>
  <c r="BP57" i="2"/>
  <c r="BN80" i="2"/>
  <c r="Y151" i="2"/>
  <c r="BN207" i="2"/>
  <c r="BP221" i="2"/>
  <c r="BN265" i="2"/>
  <c r="BP275" i="2"/>
  <c r="BN284" i="2"/>
  <c r="BP258" i="2"/>
  <c r="F9" i="2"/>
  <c r="BP207" i="2"/>
  <c r="BP265" i="2"/>
  <c r="BP80" i="2"/>
  <c r="BP33" i="2"/>
  <c r="BN109" i="2"/>
  <c r="Y122" i="2"/>
  <c r="Y228" i="2"/>
  <c r="Y245" i="2"/>
  <c r="Y259" i="2"/>
  <c r="BP74" i="2"/>
  <c r="H9" i="2"/>
  <c r="BN46" i="2"/>
  <c r="BP86" i="2"/>
  <c r="J9" i="2"/>
  <c r="BN26" i="2"/>
  <c r="BN52" i="2"/>
  <c r="Y81" i="2"/>
  <c r="BN148" i="2"/>
  <c r="BN189" i="2"/>
  <c r="BN276" i="2"/>
  <c r="BN279" i="2"/>
  <c r="Y285" i="2"/>
  <c r="BP121" i="2"/>
  <c r="Y61" i="2"/>
  <c r="Y87" i="2"/>
  <c r="BN130" i="2"/>
  <c r="Y223" i="2"/>
  <c r="BN238" i="2"/>
  <c r="BN254" i="2"/>
  <c r="BP134" i="2"/>
  <c r="BP244" i="2"/>
  <c r="BP270" i="2"/>
  <c r="A10" i="2"/>
  <c r="Y34" i="2"/>
  <c r="BP26" i="2"/>
  <c r="Y40" i="2"/>
  <c r="BP52" i="2"/>
  <c r="Y138" i="2"/>
  <c r="Y163" i="2"/>
  <c r="Y229" i="2"/>
  <c r="Y47" i="2"/>
  <c r="Y211" i="2"/>
  <c r="Y70" i="2"/>
  <c r="Y131" i="2"/>
  <c r="Y239" i="2"/>
  <c r="Y255" i="2"/>
  <c r="BN110" i="2"/>
  <c r="BN143" i="2"/>
  <c r="BN226" i="2"/>
  <c r="BN277" i="2"/>
  <c r="BN280" i="2"/>
  <c r="BP110" i="2"/>
  <c r="Z292" i="2" l="1"/>
  <c r="X290" i="2"/>
  <c r="Y291" i="2"/>
  <c r="Y287" i="2"/>
  <c r="Y289" i="2"/>
  <c r="Y288" i="2"/>
  <c r="Y290" i="2" l="1"/>
  <c r="B300" i="2" l="1"/>
  <c r="A300" i="2"/>
  <c r="C300" i="2"/>
</calcChain>
</file>

<file path=xl/sharedStrings.xml><?xml version="1.0" encoding="utf-8"?>
<sst xmlns="http://schemas.openxmlformats.org/spreadsheetml/2006/main" count="1838" uniqueCount="434">
  <si>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</si>
  <si>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</si>
  <si>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</si>
  <si>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</si>
  <si>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</si>
  <si>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</si>
  <si>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</si>
  <si>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</si>
  <si>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</si>
  <si>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</si>
  <si>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</si>
  <si>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</si>
  <si>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</si>
  <si>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</si>
  <si>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</si>
  <si>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</si>
  <si>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</si>
  <si>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</si>
  <si>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</si>
  <si>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</si>
  <si>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</si>
  <si>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</si>
  <si>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</si>
  <si>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</si>
  <si>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</si>
  <si>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</si>
  <si>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</si>
  <si>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</si>
  <si>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</si>
  <si>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</si>
  <si>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</si>
  <si>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</si>
  <si>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</si>
  <si>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</si>
  <si>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</si>
  <si>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</si>
  <si>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</si>
  <si>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</si>
  <si>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</si>
  <si>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</si>
  <si>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</si>
  <si>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</si>
  <si>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</si>
  <si>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</si>
  <si>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</si>
  <si>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</si>
  <si>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</si>
  <si>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</si>
  <si>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</si>
  <si>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</si>
  <si>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</si>
  <si>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</si>
  <si>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</si>
  <si>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</si>
  <si>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</si>
  <si>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</si>
  <si>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</si>
  <si>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</si>
  <si>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</si>
  <si>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</si>
  <si>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</si>
  <si>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</si>
  <si>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</si>
  <si>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</si>
  <si>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</si>
  <si>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</si>
  <si>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</si>
  <si>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</si>
  <si>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</si>
  <si>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</si>
  <si>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</si>
  <si>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</si>
  <si>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</si>
  <si>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</si>
  <si>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</si>
  <si>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</si>
  <si>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</si>
  <si>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</si>
  <si>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</si>
  <si>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</si>
  <si>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</si>
  <si>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</si>
  <si>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</si>
  <si>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</si>
  <si>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</si>
  <si>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</si>
  <si>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</si>
  <si>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</si>
  <si>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</si>
  <si>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</si>
  <si>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</si>
  <si>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</si>
  <si>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</si>
  <si>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</si>
  <si>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</si>
  <si>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</si>
  <si>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</si>
  <si>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</si>
  <si>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</si>
  <si>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</si>
  <si>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</si>
  <si>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</si>
  <si>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</si>
  <si>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</si>
  <si>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</si>
  <si>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</si>
  <si>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</si>
  <si>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</si>
  <si>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</si>
  <si>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</si>
  <si>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</si>
  <si>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</si>
  <si>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</si>
  <si>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</si>
  <si>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</si>
  <si>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</si>
  <si>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</si>
  <si>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</si>
  <si>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</si>
  <si>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</si>
  <si>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</si>
  <si>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</si>
  <si>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</si>
  <si>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</si>
  <si>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</si>
  <si>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</si>
  <si>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</si>
  <si>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</si>
  <si>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</si>
  <si>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</si>
  <si>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</si>
  <si>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</si>
  <si>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</si>
  <si>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</si>
  <si>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</si>
  <si>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</si>
  <si>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</si>
  <si>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</si>
  <si>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</si>
  <si>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</si>
  <si>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</si>
  <si>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</si>
  <si>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</si>
  <si>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</si>
  <si>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</si>
  <si>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</si>
  <si>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</si>
  <si>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</si>
  <si>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</si>
  <si>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</si>
  <si>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</si>
  <si>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</si>
  <si>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</si>
  <si>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</si>
  <si>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</si>
  <si>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</si>
  <si>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</si>
  <si>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</si>
  <si>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</si>
  <si>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</si>
  <si>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</si>
  <si>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</si>
  <si>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</si>
  <si>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</si>
  <si>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</si>
  <si>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</si>
  <si>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</si>
  <si>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</si>
  <si>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</si>
  <si>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</si>
  <si>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</si>
  <si>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</si>
  <si>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</si>
  <si>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</si>
  <si>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</si>
  <si>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</si>
  <si>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</si>
  <si>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</si>
  <si>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</si>
  <si>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</si>
  <si>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</si>
  <si>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</si>
  <si>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</si>
  <si>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</si>
  <si>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</si>
  <si>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</si>
  <si>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</si>
  <si>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</si>
  <si>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</si>
  <si>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</si>
  <si>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</si>
  <si>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</si>
  <si>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</si>
  <si>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</si>
  <si>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</si>
  <si>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</si>
  <si>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</si>
  <si>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</si>
  <si>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</si>
  <si>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</si>
  <si>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</si>
  <si>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</si>
  <si>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</si>
  <si>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</si>
  <si>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</si>
  <si>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</si>
  <si>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</si>
  <si>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</si>
  <si>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</si>
  <si>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</si>
  <si>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</si>
  <si>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</si>
  <si>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</si>
  <si>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</si>
  <si>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</si>
  <si>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</si>
  <si>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</si>
  <si>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</si>
  <si>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</si>
  <si>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</si>
  <si>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</si>
  <si>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</si>
  <si>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</si>
  <si>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</si>
  <si>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</si>
  <si>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</si>
  <si>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</si>
  <si>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</si>
  <si>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</si>
  <si>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</si>
  <si>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</si>
  <si>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</si>
  <si>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</si>
  <si>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</si>
  <si>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</si>
  <si>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</si>
  <si>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</si>
  <si>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</si>
  <si>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</si>
  <si>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</si>
  <si>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</si>
  <si>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</si>
  <si>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</si>
  <si>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</si>
  <si>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</si>
  <si>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</si>
  <si>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</si>
  <si>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</si>
  <si>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</si>
  <si>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</si>
  <si>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</si>
  <si>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</si>
  <si>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</si>
  <si>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</si>
  <si>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</si>
  <si>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</si>
  <si>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</si>
  <si>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</si>
  <si>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</si>
  <si>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</si>
  <si>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</si>
  <si>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</si>
  <si>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</si>
  <si>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</si>
  <si>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</si>
  <si>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</si>
  <si>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</si>
  <si>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</si>
  <si>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</si>
  <si>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</si>
  <si>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</si>
  <si>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</si>
  <si>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</si>
  <si>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</si>
  <si>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</si>
  <si>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SU004217</t>
  </si>
  <si>
    <t>P005483</t>
  </si>
  <si>
    <t>SU004219</t>
  </si>
  <si>
    <t>P005485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</si>
  <si>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</si>
  <si>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</si>
  <si>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</si>
  <si>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</si>
  <si>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</si>
  <si>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</si>
  <si>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</si>
  <si>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</si>
  <si>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</si>
  <si>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</si>
  <si>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</si>
  <si>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</si>
  <si>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</si>
  <si>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</si>
  <si>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</si>
  <si>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</si>
  <si>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</si>
  <si>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</si>
  <si>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SU003784</t>
  </si>
  <si>
    <t>P004783</t>
  </si>
  <si>
    <t>ЕАЭС N RU Д-RU.РА07.В.37014/24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</si>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</sst>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0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01" t="s">
        <v>26</v>
      </c>
      <c r="E1" s="301"/>
      <c r="F1" s="301"/>
      <c r="G1" s="14" t="s">
        <v>70</v>
      </c>
      <c r="H1" s="301" t="s">
        <v>47</v>
      </c>
      <c r="I1" s="301"/>
      <c r="J1" s="301"/>
      <c r="K1" s="301"/>
      <c r="L1" s="301"/>
      <c r="M1" s="301"/>
      <c r="N1" s="301"/>
      <c r="O1" s="301"/>
      <c r="P1" s="301"/>
      <c r="Q1" s="301"/>
      <c r="R1" s="302" t="s">
        <v>71</v>
      </c>
      <c r="S1" s="303"/>
      <c r="T1" s="30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4"/>
      <c r="R2" s="304"/>
      <c r="S2" s="304"/>
      <c r="T2" s="304"/>
      <c r="U2" s="304"/>
      <c r="V2" s="304"/>
      <c r="W2" s="30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4"/>
      <c r="Q3" s="304"/>
      <c r="R3" s="304"/>
      <c r="S3" s="304"/>
      <c r="T3" s="304"/>
      <c r="U3" s="304"/>
      <c r="V3" s="304"/>
      <c r="W3" s="30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5" t="s">
        <v>8</v>
      </c>
      <c r="B5" s="305"/>
      <c r="C5" s="305"/>
      <c r="D5" s="306"/>
      <c r="E5" s="306"/>
      <c r="F5" s="307" t="s">
        <v>14</v>
      </c>
      <c r="G5" s="307"/>
      <c r="H5" s="306" t="s">
        <v>433</v>
      </c>
      <c r="I5" s="306"/>
      <c r="J5" s="306"/>
      <c r="K5" s="306"/>
      <c r="L5" s="306"/>
      <c r="M5" s="306"/>
      <c r="N5" s="75"/>
      <c r="P5" s="27" t="s">
        <v>4</v>
      </c>
      <c r="Q5" s="308">
        <v>46322</v>
      </c>
      <c r="R5" s="308"/>
      <c r="T5" s="309" t="s">
        <v>3</v>
      </c>
      <c r="U5" s="310"/>
      <c r="V5" s="311" t="s">
        <v>419</v>
      </c>
      <c r="W5" s="312"/>
      <c r="AB5" s="59"/>
      <c r="AC5" s="59"/>
      <c r="AD5" s="59"/>
      <c r="AE5" s="59"/>
    </row>
    <row r="6" spans="1:32" s="17" customFormat="1" ht="24" customHeight="1" x14ac:dyDescent="0.2">
      <c r="A6" s="305" t="s">
        <v>1</v>
      </c>
      <c r="B6" s="305"/>
      <c r="C6" s="305"/>
      <c r="D6" s="313" t="s">
        <v>79</v>
      </c>
      <c r="E6" s="313"/>
      <c r="F6" s="313"/>
      <c r="G6" s="313"/>
      <c r="H6" s="313"/>
      <c r="I6" s="313"/>
      <c r="J6" s="313"/>
      <c r="K6" s="313"/>
      <c r="L6" s="313"/>
      <c r="M6" s="313"/>
      <c r="N6" s="76"/>
      <c r="P6" s="27" t="s">
        <v>27</v>
      </c>
      <c r="Q6" s="314" t="str">
        <f>IF(Q5=0," ",CHOOSE(WEEKDAY(Q5,2),"Понедельник","Вторник","Среда","Четверг","Пятница","Суббота","Воскресенье"))</f>
        <v>Вторник</v>
      </c>
      <c r="R6" s="314"/>
      <c r="T6" s="315" t="s">
        <v>5</v>
      </c>
      <c r="U6" s="316"/>
      <c r="V6" s="317" t="s">
        <v>73</v>
      </c>
      <c r="W6" s="31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77"/>
      <c r="P7" s="29"/>
      <c r="Q7" s="48"/>
      <c r="R7" s="48"/>
      <c r="T7" s="315"/>
      <c r="U7" s="316"/>
      <c r="V7" s="319"/>
      <c r="W7" s="320"/>
      <c r="AB7" s="59"/>
      <c r="AC7" s="59"/>
      <c r="AD7" s="59"/>
      <c r="AE7" s="59"/>
    </row>
    <row r="8" spans="1:32" s="17" customFormat="1" ht="25.5" customHeight="1" x14ac:dyDescent="0.2">
      <c r="A8" s="326" t="s">
        <v>58</v>
      </c>
      <c r="B8" s="326"/>
      <c r="C8" s="326"/>
      <c r="D8" s="327" t="s">
        <v>80</v>
      </c>
      <c r="E8" s="327"/>
      <c r="F8" s="327"/>
      <c r="G8" s="327"/>
      <c r="H8" s="327"/>
      <c r="I8" s="327"/>
      <c r="J8" s="327"/>
      <c r="K8" s="327"/>
      <c r="L8" s="327"/>
      <c r="M8" s="327"/>
      <c r="N8" s="78"/>
      <c r="P8" s="27" t="s">
        <v>11</v>
      </c>
      <c r="Q8" s="328">
        <v>4.1666666666666664E-2</v>
      </c>
      <c r="R8" s="328"/>
      <c r="T8" s="315"/>
      <c r="U8" s="316"/>
      <c r="V8" s="319"/>
      <c r="W8" s="320"/>
      <c r="AB8" s="59"/>
      <c r="AC8" s="59"/>
      <c r="AD8" s="59"/>
      <c r="AE8" s="59"/>
    </row>
    <row r="9" spans="1:32" s="17" customFormat="1" ht="39.950000000000003" customHeight="1" x14ac:dyDescent="0.2">
      <c r="A9" s="3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9"/>
      <c r="C9" s="329"/>
      <c r="D9" s="330" t="s">
        <v>46</v>
      </c>
      <c r="E9" s="331"/>
      <c r="F9" s="3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9"/>
      <c r="H9" s="332" t="str">
        <f>IF(AND($A$9="Тип доверенности/получателя при получении в адресе перегруза:",$D$9="Разовая доверенность"),"Введите ФИО","")</f>
        <v/>
      </c>
      <c r="I9" s="332"/>
      <c r="J9" s="3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2"/>
      <c r="L9" s="332"/>
      <c r="M9" s="332"/>
      <c r="N9" s="73"/>
      <c r="P9" s="31" t="s">
        <v>15</v>
      </c>
      <c r="Q9" s="333"/>
      <c r="R9" s="333"/>
      <c r="T9" s="315"/>
      <c r="U9" s="316"/>
      <c r="V9" s="321"/>
      <c r="W9" s="32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9"/>
      <c r="C10" s="329"/>
      <c r="D10" s="330"/>
      <c r="E10" s="331"/>
      <c r="F10" s="3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9"/>
      <c r="H10" s="334" t="str">
        <f>IFERROR(VLOOKUP($D$10,Proxy,2,FALSE),"")</f>
        <v/>
      </c>
      <c r="I10" s="334"/>
      <c r="J10" s="334"/>
      <c r="K10" s="334"/>
      <c r="L10" s="334"/>
      <c r="M10" s="334"/>
      <c r="N10" s="74"/>
      <c r="P10" s="31" t="s">
        <v>32</v>
      </c>
      <c r="Q10" s="335"/>
      <c r="R10" s="335"/>
      <c r="U10" s="29" t="s">
        <v>12</v>
      </c>
      <c r="V10" s="336" t="s">
        <v>74</v>
      </c>
      <c r="W10" s="3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8"/>
      <c r="R11" s="338"/>
      <c r="U11" s="29" t="s">
        <v>28</v>
      </c>
      <c r="V11" s="339" t="s">
        <v>55</v>
      </c>
      <c r="W11" s="33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40" t="s">
        <v>75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79"/>
      <c r="P12" s="27" t="s">
        <v>30</v>
      </c>
      <c r="Q12" s="328"/>
      <c r="R12" s="328"/>
      <c r="S12" s="28"/>
      <c r="T12"/>
      <c r="U12" s="29" t="s">
        <v>46</v>
      </c>
      <c r="V12" s="341"/>
      <c r="W12" s="341"/>
      <c r="X12"/>
      <c r="AB12" s="59"/>
      <c r="AC12" s="59"/>
      <c r="AD12" s="59"/>
      <c r="AE12" s="59"/>
    </row>
    <row r="13" spans="1:32" s="17" customFormat="1" ht="23.25" customHeight="1" x14ac:dyDescent="0.2">
      <c r="A13" s="340" t="s">
        <v>76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79"/>
      <c r="O13" s="31"/>
      <c r="P13" s="31" t="s">
        <v>31</v>
      </c>
      <c r="Q13" s="339"/>
      <c r="R13" s="33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40" t="s">
        <v>77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42" t="s">
        <v>78</v>
      </c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"/>
      <c r="O15"/>
      <c r="P15" s="343" t="s">
        <v>61</v>
      </c>
      <c r="Q15" s="343"/>
      <c r="R15" s="343"/>
      <c r="S15" s="343"/>
      <c r="T15" s="3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4"/>
      <c r="Q16" s="344"/>
      <c r="R16" s="344"/>
      <c r="S16" s="344"/>
      <c r="T16" s="3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7" t="s">
        <v>59</v>
      </c>
      <c r="B17" s="347" t="s">
        <v>49</v>
      </c>
      <c r="C17" s="349" t="s">
        <v>48</v>
      </c>
      <c r="D17" s="351" t="s">
        <v>50</v>
      </c>
      <c r="E17" s="352"/>
      <c r="F17" s="347" t="s">
        <v>21</v>
      </c>
      <c r="G17" s="347" t="s">
        <v>24</v>
      </c>
      <c r="H17" s="347" t="s">
        <v>22</v>
      </c>
      <c r="I17" s="347" t="s">
        <v>23</v>
      </c>
      <c r="J17" s="347" t="s">
        <v>16</v>
      </c>
      <c r="K17" s="347" t="s">
        <v>69</v>
      </c>
      <c r="L17" s="347" t="s">
        <v>67</v>
      </c>
      <c r="M17" s="347" t="s">
        <v>2</v>
      </c>
      <c r="N17" s="347" t="s">
        <v>66</v>
      </c>
      <c r="O17" s="347" t="s">
        <v>25</v>
      </c>
      <c r="P17" s="351" t="s">
        <v>17</v>
      </c>
      <c r="Q17" s="355"/>
      <c r="R17" s="355"/>
      <c r="S17" s="355"/>
      <c r="T17" s="352"/>
      <c r="U17" s="345" t="s">
        <v>56</v>
      </c>
      <c r="V17" s="346"/>
      <c r="W17" s="347" t="s">
        <v>6</v>
      </c>
      <c r="X17" s="347" t="s">
        <v>41</v>
      </c>
      <c r="Y17" s="357" t="s">
        <v>54</v>
      </c>
      <c r="Z17" s="359" t="s">
        <v>18</v>
      </c>
      <c r="AA17" s="361" t="s">
        <v>60</v>
      </c>
      <c r="AB17" s="361" t="s">
        <v>19</v>
      </c>
      <c r="AC17" s="361" t="s">
        <v>68</v>
      </c>
      <c r="AD17" s="363" t="s">
        <v>57</v>
      </c>
      <c r="AE17" s="364"/>
      <c r="AF17" s="365"/>
      <c r="AG17" s="85"/>
      <c r="BD17" s="84" t="s">
        <v>64</v>
      </c>
    </row>
    <row r="18" spans="1:68" ht="14.25" customHeight="1" x14ac:dyDescent="0.2">
      <c r="A18" s="348"/>
      <c r="B18" s="348"/>
      <c r="C18" s="350"/>
      <c r="D18" s="353"/>
      <c r="E18" s="354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53"/>
      <c r="Q18" s="356"/>
      <c r="R18" s="356"/>
      <c r="S18" s="356"/>
      <c r="T18" s="354"/>
      <c r="U18" s="86" t="s">
        <v>44</v>
      </c>
      <c r="V18" s="86" t="s">
        <v>43</v>
      </c>
      <c r="W18" s="348"/>
      <c r="X18" s="348"/>
      <c r="Y18" s="358"/>
      <c r="Z18" s="360"/>
      <c r="AA18" s="362"/>
      <c r="AB18" s="362"/>
      <c r="AC18" s="362"/>
      <c r="AD18" s="366"/>
      <c r="AE18" s="367"/>
      <c r="AF18" s="368"/>
      <c r="AG18" s="85"/>
      <c r="BD18" s="84"/>
    </row>
    <row r="19" spans="1:68" ht="27.75" hidden="1" customHeight="1" x14ac:dyDescent="0.2">
      <c r="A19" s="369" t="s">
        <v>81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54"/>
      <c r="AB19" s="54"/>
      <c r="AC19" s="54"/>
    </row>
    <row r="20" spans="1:68" ht="16.5" hidden="1" customHeight="1" x14ac:dyDescent="0.25">
      <c r="A20" s="370" t="s">
        <v>81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65"/>
      <c r="AB20" s="65"/>
      <c r="AC20" s="82"/>
    </row>
    <row r="21" spans="1:68" ht="14.25" hidden="1" customHeight="1" x14ac:dyDescent="0.25">
      <c r="A21" s="371" t="s">
        <v>82</v>
      </c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72">
        <v>4620207491508</v>
      </c>
      <c r="E22" s="37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7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4"/>
      <c r="R22" s="374"/>
      <c r="S22" s="374"/>
      <c r="T22" s="37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72">
        <v>4620207491256</v>
      </c>
      <c r="E23" s="37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7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4"/>
      <c r="R23" s="374"/>
      <c r="S23" s="374"/>
      <c r="T23" s="375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72">
        <v>4620207491713</v>
      </c>
      <c r="E24" s="37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7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4"/>
      <c r="R24" s="374"/>
      <c r="S24" s="374"/>
      <c r="T24" s="37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72">
        <v>4620207491720</v>
      </c>
      <c r="E25" s="37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4"/>
      <c r="R25" s="374"/>
      <c r="S25" s="374"/>
      <c r="T25" s="37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72">
        <v>4607111035912</v>
      </c>
      <c r="E26" s="37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4"/>
      <c r="R26" s="374"/>
      <c r="S26" s="374"/>
      <c r="T26" s="375"/>
      <c r="U26" s="39" t="s">
        <v>46</v>
      </c>
      <c r="V26" s="39" t="s">
        <v>46</v>
      </c>
      <c r="W26" s="40" t="s">
        <v>39</v>
      </c>
      <c r="X26" s="58">
        <v>12</v>
      </c>
      <c r="Y26" s="55">
        <f t="shared" si="0"/>
        <v>12</v>
      </c>
      <c r="Z26" s="41">
        <f t="shared" si="1"/>
        <v>0.186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86.28</v>
      </c>
      <c r="BN26" s="81">
        <f t="shared" si="3"/>
        <v>86.28</v>
      </c>
      <c r="BO26" s="81">
        <f t="shared" si="4"/>
        <v>0.14285714285714285</v>
      </c>
      <c r="BP26" s="81">
        <f t="shared" si="5"/>
        <v>0.14285714285714285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72">
        <v>4607111035929</v>
      </c>
      <c r="E27" s="37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4"/>
      <c r="R27" s="374"/>
      <c r="S27" s="374"/>
      <c r="T27" s="375"/>
      <c r="U27" s="39" t="s">
        <v>46</v>
      </c>
      <c r="V27" s="39" t="s">
        <v>46</v>
      </c>
      <c r="W27" s="40" t="s">
        <v>39</v>
      </c>
      <c r="X27" s="58">
        <v>36</v>
      </c>
      <c r="Y27" s="55">
        <f t="shared" si="0"/>
        <v>36</v>
      </c>
      <c r="Z27" s="41">
        <f t="shared" si="1"/>
        <v>0.55800000000000005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268.92</v>
      </c>
      <c r="BN27" s="81">
        <f t="shared" si="3"/>
        <v>268.92</v>
      </c>
      <c r="BO27" s="81">
        <f t="shared" si="4"/>
        <v>0.42857142857142855</v>
      </c>
      <c r="BP27" s="81">
        <f t="shared" si="5"/>
        <v>0.42857142857142855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72">
        <v>4607111035882</v>
      </c>
      <c r="E28" s="37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4"/>
      <c r="R28" s="374"/>
      <c r="S28" s="374"/>
      <c r="T28" s="37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72">
        <v>4607111035905</v>
      </c>
      <c r="E29" s="37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4"/>
      <c r="R29" s="374"/>
      <c r="S29" s="374"/>
      <c r="T29" s="37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7"/>
      <c r="P30" s="383" t="s">
        <v>40</v>
      </c>
      <c r="Q30" s="384"/>
      <c r="R30" s="384"/>
      <c r="S30" s="384"/>
      <c r="T30" s="384"/>
      <c r="U30" s="384"/>
      <c r="V30" s="385"/>
      <c r="W30" s="42" t="s">
        <v>39</v>
      </c>
      <c r="X30" s="43">
        <f>IFERROR(SUM(X22:X29),"0")</f>
        <v>84</v>
      </c>
      <c r="Y30" s="43">
        <f>IFERROR(SUM(Y22:Y29),"0")</f>
        <v>84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67"/>
      <c r="AB30" s="67"/>
      <c r="AC30" s="67"/>
    </row>
    <row r="31" spans="1:68" x14ac:dyDescent="0.2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7"/>
      <c r="P31" s="383" t="s">
        <v>40</v>
      </c>
      <c r="Q31" s="384"/>
      <c r="R31" s="384"/>
      <c r="S31" s="384"/>
      <c r="T31" s="384"/>
      <c r="U31" s="384"/>
      <c r="V31" s="385"/>
      <c r="W31" s="42" t="s">
        <v>0</v>
      </c>
      <c r="X31" s="43">
        <f>IFERROR(SUMPRODUCT(X22:X29*H22:H29),"0")</f>
        <v>572.16000000000008</v>
      </c>
      <c r="Y31" s="43">
        <f>IFERROR(SUMPRODUCT(Y22:Y29*H22:H29),"0")</f>
        <v>572.16000000000008</v>
      </c>
      <c r="Z31" s="42"/>
      <c r="AA31" s="67"/>
      <c r="AB31" s="67"/>
      <c r="AC31" s="67"/>
    </row>
    <row r="32" spans="1:68" ht="14.25" hidden="1" customHeight="1" x14ac:dyDescent="0.25">
      <c r="A32" s="371" t="s">
        <v>106</v>
      </c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66"/>
      <c r="AB32" s="66"/>
      <c r="AC32" s="83"/>
    </row>
    <row r="33" spans="1:68" ht="37.5" hidden="1" customHeight="1" x14ac:dyDescent="0.25">
      <c r="A33" s="63" t="s">
        <v>107</v>
      </c>
      <c r="B33" s="63" t="s">
        <v>108</v>
      </c>
      <c r="C33" s="36">
        <v>4301080162</v>
      </c>
      <c r="D33" s="372">
        <v>4620207492178</v>
      </c>
      <c r="E33" s="372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8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74"/>
      <c r="R33" s="374"/>
      <c r="S33" s="374"/>
      <c r="T33" s="375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386"/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7"/>
      <c r="P34" s="383" t="s">
        <v>40</v>
      </c>
      <c r="Q34" s="384"/>
      <c r="R34" s="384"/>
      <c r="S34" s="384"/>
      <c r="T34" s="384"/>
      <c r="U34" s="384"/>
      <c r="V34" s="385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386"/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7"/>
      <c r="P35" s="383" t="s">
        <v>40</v>
      </c>
      <c r="Q35" s="384"/>
      <c r="R35" s="384"/>
      <c r="S35" s="384"/>
      <c r="T35" s="384"/>
      <c r="U35" s="384"/>
      <c r="V35" s="385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70" t="s">
        <v>111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65"/>
      <c r="AB36" s="65"/>
      <c r="AC36" s="82"/>
    </row>
    <row r="37" spans="1:68" ht="14.25" hidden="1" customHeight="1" x14ac:dyDescent="0.25">
      <c r="A37" s="371" t="s">
        <v>82</v>
      </c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372">
        <v>4607111039019</v>
      </c>
      <c r="E38" s="372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74"/>
      <c r="R38" s="374"/>
      <c r="S38" s="374"/>
      <c r="T38" s="375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372">
        <v>4607111038708</v>
      </c>
      <c r="E39" s="372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74"/>
      <c r="R39" s="374"/>
      <c r="S39" s="374"/>
      <c r="T39" s="37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86"/>
      <c r="B40" s="386"/>
      <c r="C40" s="386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6"/>
      <c r="O40" s="387"/>
      <c r="P40" s="383" t="s">
        <v>40</v>
      </c>
      <c r="Q40" s="384"/>
      <c r="R40" s="384"/>
      <c r="S40" s="384"/>
      <c r="T40" s="384"/>
      <c r="U40" s="384"/>
      <c r="V40" s="385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86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7"/>
      <c r="P41" s="383" t="s">
        <v>40</v>
      </c>
      <c r="Q41" s="384"/>
      <c r="R41" s="384"/>
      <c r="S41" s="384"/>
      <c r="T41" s="384"/>
      <c r="U41" s="384"/>
      <c r="V41" s="385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69" t="s">
        <v>45</v>
      </c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  <c r="AA42" s="54"/>
      <c r="AB42" s="54"/>
      <c r="AC42" s="54"/>
    </row>
    <row r="43" spans="1:68" ht="16.5" hidden="1" customHeight="1" x14ac:dyDescent="0.25">
      <c r="A43" s="370" t="s">
        <v>117</v>
      </c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65"/>
      <c r="AB43" s="65"/>
      <c r="AC43" s="82"/>
    </row>
    <row r="44" spans="1:68" ht="14.25" hidden="1" customHeight="1" x14ac:dyDescent="0.25">
      <c r="A44" s="371" t="s">
        <v>118</v>
      </c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72">
        <v>4607111036537</v>
      </c>
      <c r="E45" s="372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74"/>
      <c r="R45" s="374"/>
      <c r="S45" s="374"/>
      <c r="T45" s="375"/>
      <c r="U45" s="39" t="s">
        <v>46</v>
      </c>
      <c r="V45" s="39" t="s">
        <v>46</v>
      </c>
      <c r="W45" s="40" t="s">
        <v>39</v>
      </c>
      <c r="X45" s="58">
        <v>140</v>
      </c>
      <c r="Y45" s="55">
        <f>IFERROR(IF(X45="","",X45),"")</f>
        <v>140</v>
      </c>
      <c r="Z45" s="41">
        <f>IFERROR(IF(X45="","",X45*0.00941),"")</f>
        <v>1.3173999999999999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269.05200000000002</v>
      </c>
      <c r="BN45" s="81">
        <f>IFERROR(Y45*I45,"0")</f>
        <v>269.05200000000002</v>
      </c>
      <c r="BO45" s="81">
        <f>IFERROR(X45/J45,"0")</f>
        <v>1</v>
      </c>
      <c r="BP45" s="81">
        <f>IFERROR(Y45/J45,"0")</f>
        <v>1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72">
        <v>4607111036605</v>
      </c>
      <c r="E46" s="372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39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74"/>
      <c r="R46" s="374"/>
      <c r="S46" s="374"/>
      <c r="T46" s="375"/>
      <c r="U46" s="39" t="s">
        <v>46</v>
      </c>
      <c r="V46" s="39" t="s">
        <v>46</v>
      </c>
      <c r="W46" s="40" t="s">
        <v>39</v>
      </c>
      <c r="X46" s="58">
        <v>28</v>
      </c>
      <c r="Y46" s="55">
        <f>IFERROR(IF(X46="","",X46),"")</f>
        <v>28</v>
      </c>
      <c r="Z46" s="41">
        <f>IFERROR(IF(X46="","",X46*0.00941),"")</f>
        <v>0.26347999999999999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53.810400000000001</v>
      </c>
      <c r="BN46" s="81">
        <f>IFERROR(Y46*I46,"0")</f>
        <v>53.810400000000001</v>
      </c>
      <c r="BO46" s="81">
        <f>IFERROR(X46/J46,"0")</f>
        <v>0.2</v>
      </c>
      <c r="BP46" s="81">
        <f>IFERROR(Y46/J46,"0")</f>
        <v>0.2</v>
      </c>
    </row>
    <row r="47" spans="1:68" x14ac:dyDescent="0.2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7"/>
      <c r="P47" s="383" t="s">
        <v>40</v>
      </c>
      <c r="Q47" s="384"/>
      <c r="R47" s="384"/>
      <c r="S47" s="384"/>
      <c r="T47" s="384"/>
      <c r="U47" s="384"/>
      <c r="V47" s="385"/>
      <c r="W47" s="42" t="s">
        <v>39</v>
      </c>
      <c r="X47" s="43">
        <f>IFERROR(SUM(X45:X46),"0")</f>
        <v>168</v>
      </c>
      <c r="Y47" s="43">
        <f>IFERROR(SUM(Y45:Y46),"0")</f>
        <v>168</v>
      </c>
      <c r="Z47" s="43">
        <f>IFERROR(IF(Z45="",0,Z45),"0")+IFERROR(IF(Z46="",0,Z46),"0")</f>
        <v>1.5808799999999998</v>
      </c>
      <c r="AA47" s="67"/>
      <c r="AB47" s="67"/>
      <c r="AC47" s="67"/>
    </row>
    <row r="48" spans="1:68" x14ac:dyDescent="0.2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7"/>
      <c r="P48" s="383" t="s">
        <v>40</v>
      </c>
      <c r="Q48" s="384"/>
      <c r="R48" s="384"/>
      <c r="S48" s="384"/>
      <c r="T48" s="384"/>
      <c r="U48" s="384"/>
      <c r="V48" s="385"/>
      <c r="W48" s="42" t="s">
        <v>0</v>
      </c>
      <c r="X48" s="43">
        <f>IFERROR(SUMPRODUCT(X45:X46*H45:H46),"0")</f>
        <v>252</v>
      </c>
      <c r="Y48" s="43">
        <f>IFERROR(SUMPRODUCT(Y45:Y46*H45:H46),"0")</f>
        <v>252</v>
      </c>
      <c r="Z48" s="42"/>
      <c r="AA48" s="67"/>
      <c r="AB48" s="67"/>
      <c r="AC48" s="67"/>
    </row>
    <row r="49" spans="1:68" ht="16.5" hidden="1" customHeight="1" x14ac:dyDescent="0.25">
      <c r="A49" s="370" t="s">
        <v>128</v>
      </c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65"/>
      <c r="AB49" s="65"/>
      <c r="AC49" s="82"/>
    </row>
    <row r="50" spans="1:68" ht="14.25" hidden="1" customHeight="1" x14ac:dyDescent="0.25">
      <c r="A50" s="371" t="s">
        <v>82</v>
      </c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66"/>
      <c r="AB50" s="66"/>
      <c r="AC50" s="83"/>
    </row>
    <row r="51" spans="1:68" ht="27" hidden="1" customHeight="1" x14ac:dyDescent="0.25">
      <c r="A51" s="63" t="s">
        <v>129</v>
      </c>
      <c r="B51" s="63" t="s">
        <v>130</v>
      </c>
      <c r="C51" s="36">
        <v>4301071090</v>
      </c>
      <c r="D51" s="372">
        <v>4620207490075</v>
      </c>
      <c r="E51" s="372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74"/>
      <c r="R51" s="374"/>
      <c r="S51" s="374"/>
      <c r="T51" s="375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372">
        <v>4620207490174</v>
      </c>
      <c r="E52" s="372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74"/>
      <c r="R52" s="374"/>
      <c r="S52" s="374"/>
      <c r="T52" s="375"/>
      <c r="U52" s="39" t="s">
        <v>46</v>
      </c>
      <c r="V52" s="39" t="s">
        <v>46</v>
      </c>
      <c r="W52" s="40" t="s">
        <v>39</v>
      </c>
      <c r="X52" s="58">
        <v>12</v>
      </c>
      <c r="Y52" s="55">
        <f>IFERROR(IF(X52="","",X52),"")</f>
        <v>12</v>
      </c>
      <c r="Z52" s="41">
        <f>IFERROR(IF(X52="","",X52*0.0155),"")</f>
        <v>0.186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70.44</v>
      </c>
      <c r="BN52" s="81">
        <f>IFERROR(Y52*I52,"0")</f>
        <v>70.44</v>
      </c>
      <c r="BO52" s="81">
        <f>IFERROR(X52/J52,"0")</f>
        <v>0.14285714285714285</v>
      </c>
      <c r="BP52" s="81">
        <f>IFERROR(Y52/J52,"0")</f>
        <v>0.14285714285714285</v>
      </c>
    </row>
    <row r="53" spans="1:68" x14ac:dyDescent="0.2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7"/>
      <c r="P53" s="383" t="s">
        <v>40</v>
      </c>
      <c r="Q53" s="384"/>
      <c r="R53" s="384"/>
      <c r="S53" s="384"/>
      <c r="T53" s="384"/>
      <c r="U53" s="384"/>
      <c r="V53" s="385"/>
      <c r="W53" s="42" t="s">
        <v>39</v>
      </c>
      <c r="X53" s="43">
        <f>IFERROR(SUM(X51:X52),"0")</f>
        <v>12</v>
      </c>
      <c r="Y53" s="43">
        <f>IFERROR(SUM(Y51:Y52),"0")</f>
        <v>12</v>
      </c>
      <c r="Z53" s="43">
        <f>IFERROR(IF(Z51="",0,Z51),"0")+IFERROR(IF(Z52="",0,Z52),"0")</f>
        <v>0.186</v>
      </c>
      <c r="AA53" s="67"/>
      <c r="AB53" s="67"/>
      <c r="AC53" s="67"/>
    </row>
    <row r="54" spans="1:68" x14ac:dyDescent="0.2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6"/>
      <c r="O54" s="387"/>
      <c r="P54" s="383" t="s">
        <v>40</v>
      </c>
      <c r="Q54" s="384"/>
      <c r="R54" s="384"/>
      <c r="S54" s="384"/>
      <c r="T54" s="384"/>
      <c r="U54" s="384"/>
      <c r="V54" s="385"/>
      <c r="W54" s="42" t="s">
        <v>0</v>
      </c>
      <c r="X54" s="43">
        <f>IFERROR(SUMPRODUCT(X51:X52*H51:H52),"0")</f>
        <v>67.199999999999989</v>
      </c>
      <c r="Y54" s="43">
        <f>IFERROR(SUMPRODUCT(Y51:Y52*H51:H52),"0")</f>
        <v>67.199999999999989</v>
      </c>
      <c r="Z54" s="42"/>
      <c r="AA54" s="67"/>
      <c r="AB54" s="67"/>
      <c r="AC54" s="67"/>
    </row>
    <row r="55" spans="1:68" ht="16.5" hidden="1" customHeight="1" x14ac:dyDescent="0.25">
      <c r="A55" s="370" t="s">
        <v>135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65"/>
      <c r="AB55" s="65"/>
      <c r="AC55" s="82"/>
    </row>
    <row r="56" spans="1:68" ht="14.25" hidden="1" customHeight="1" x14ac:dyDescent="0.25">
      <c r="A56" s="371" t="s">
        <v>82</v>
      </c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72">
        <v>4607111039385</v>
      </c>
      <c r="E57" s="37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39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74"/>
      <c r="R57" s="374"/>
      <c r="S57" s="374"/>
      <c r="T57" s="375"/>
      <c r="U57" s="39" t="s">
        <v>46</v>
      </c>
      <c r="V57" s="39" t="s">
        <v>46</v>
      </c>
      <c r="W57" s="40" t="s">
        <v>39</v>
      </c>
      <c r="X57" s="58">
        <v>60</v>
      </c>
      <c r="Y57" s="55">
        <f>IFERROR(IF(X57="","",X57),"")</f>
        <v>60</v>
      </c>
      <c r="Z57" s="41">
        <f>IFERROR(IF(X57="","",X57*0.0155),"")</f>
        <v>0.92999999999999994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438</v>
      </c>
      <c r="BN57" s="81">
        <f>IFERROR(Y57*I57,"0")</f>
        <v>438</v>
      </c>
      <c r="BO57" s="81">
        <f>IFERROR(X57/J57,"0")</f>
        <v>0.7142857142857143</v>
      </c>
      <c r="BP57" s="81">
        <f>IFERROR(Y57/J57,"0")</f>
        <v>0.7142857142857143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72">
        <v>4607111038982</v>
      </c>
      <c r="E58" s="372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39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74"/>
      <c r="R58" s="374"/>
      <c r="S58" s="374"/>
      <c r="T58" s="375"/>
      <c r="U58" s="39" t="s">
        <v>46</v>
      </c>
      <c r="V58" s="39" t="s">
        <v>46</v>
      </c>
      <c r="W58" s="40" t="s">
        <v>39</v>
      </c>
      <c r="X58" s="58">
        <v>84</v>
      </c>
      <c r="Y58" s="55">
        <f>IFERROR(IF(X58="","",X58),"")</f>
        <v>84</v>
      </c>
      <c r="Z58" s="41">
        <f>IFERROR(IF(X58="","",X58*0.0155),"")</f>
        <v>1.302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612.024</v>
      </c>
      <c r="BN58" s="81">
        <f>IFERROR(Y58*I58,"0")</f>
        <v>612.024</v>
      </c>
      <c r="BO58" s="81">
        <f>IFERROR(X58/J58,"0")</f>
        <v>1</v>
      </c>
      <c r="BP58" s="81">
        <f>IFERROR(Y58/J58,"0")</f>
        <v>1</v>
      </c>
    </row>
    <row r="59" spans="1:68" ht="27" customHeight="1" x14ac:dyDescent="0.25">
      <c r="A59" s="63" t="s">
        <v>142</v>
      </c>
      <c r="B59" s="63" t="s">
        <v>143</v>
      </c>
      <c r="C59" s="36">
        <v>4301071046</v>
      </c>
      <c r="D59" s="372">
        <v>4607111039354</v>
      </c>
      <c r="E59" s="372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39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74"/>
      <c r="R59" s="374"/>
      <c r="S59" s="374"/>
      <c r="T59" s="375"/>
      <c r="U59" s="39" t="s">
        <v>46</v>
      </c>
      <c r="V59" s="39" t="s">
        <v>46</v>
      </c>
      <c r="W59" s="40" t="s">
        <v>39</v>
      </c>
      <c r="X59" s="58">
        <v>12</v>
      </c>
      <c r="Y59" s="55">
        <f>IFERROR(IF(X59="","",X59),"")</f>
        <v>12</v>
      </c>
      <c r="Z59" s="41">
        <f>IFERROR(IF(X59="","",X59*0.0155),"")</f>
        <v>0.186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80.635199999999998</v>
      </c>
      <c r="BN59" s="81">
        <f>IFERROR(Y59*I59,"0")</f>
        <v>80.635199999999998</v>
      </c>
      <c r="BO59" s="81">
        <f>IFERROR(X59/J59,"0")</f>
        <v>0.14285714285714285</v>
      </c>
      <c r="BP59" s="81">
        <f>IFERROR(Y59/J59,"0")</f>
        <v>0.14285714285714285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72">
        <v>4607111039330</v>
      </c>
      <c r="E60" s="372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39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74"/>
      <c r="R60" s="374"/>
      <c r="S60" s="374"/>
      <c r="T60" s="375"/>
      <c r="U60" s="39" t="s">
        <v>46</v>
      </c>
      <c r="V60" s="39" t="s">
        <v>46</v>
      </c>
      <c r="W60" s="40" t="s">
        <v>39</v>
      </c>
      <c r="X60" s="58">
        <v>96</v>
      </c>
      <c r="Y60" s="55">
        <f>IFERROR(IF(X60="","",X60),"")</f>
        <v>96</v>
      </c>
      <c r="Z60" s="41">
        <f>IFERROR(IF(X60="","",X60*0.0155),"")</f>
        <v>1.488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700.8</v>
      </c>
      <c r="BN60" s="81">
        <f>IFERROR(Y60*I60,"0")</f>
        <v>700.8</v>
      </c>
      <c r="BO60" s="81">
        <f>IFERROR(X60/J60,"0")</f>
        <v>1.1428571428571428</v>
      </c>
      <c r="BP60" s="81">
        <f>IFERROR(Y60/J60,"0")</f>
        <v>1.1428571428571428</v>
      </c>
    </row>
    <row r="61" spans="1:68" x14ac:dyDescent="0.2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  <c r="O61" s="387"/>
      <c r="P61" s="383" t="s">
        <v>40</v>
      </c>
      <c r="Q61" s="384"/>
      <c r="R61" s="384"/>
      <c r="S61" s="384"/>
      <c r="T61" s="384"/>
      <c r="U61" s="384"/>
      <c r="V61" s="385"/>
      <c r="W61" s="42" t="s">
        <v>39</v>
      </c>
      <c r="X61" s="43">
        <f>IFERROR(SUM(X57:X60),"0")</f>
        <v>252</v>
      </c>
      <c r="Y61" s="43">
        <f>IFERROR(SUM(Y57:Y60),"0")</f>
        <v>252</v>
      </c>
      <c r="Z61" s="43">
        <f>IFERROR(IF(Z57="",0,Z57),"0")+IFERROR(IF(Z58="",0,Z58),"0")+IFERROR(IF(Z59="",0,Z59),"0")+IFERROR(IF(Z60="",0,Z60),"0")</f>
        <v>3.9060000000000001</v>
      </c>
      <c r="AA61" s="67"/>
      <c r="AB61" s="67"/>
      <c r="AC61" s="67"/>
    </row>
    <row r="62" spans="1:68" x14ac:dyDescent="0.2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7"/>
      <c r="P62" s="383" t="s">
        <v>40</v>
      </c>
      <c r="Q62" s="384"/>
      <c r="R62" s="384"/>
      <c r="S62" s="384"/>
      <c r="T62" s="384"/>
      <c r="U62" s="384"/>
      <c r="V62" s="385"/>
      <c r="W62" s="42" t="s">
        <v>0</v>
      </c>
      <c r="X62" s="43">
        <f>IFERROR(SUMPRODUCT(X57:X60*H57:H60),"0")</f>
        <v>1756.8</v>
      </c>
      <c r="Y62" s="43">
        <f>IFERROR(SUMPRODUCT(Y57:Y60*H57:H60),"0")</f>
        <v>1756.8</v>
      </c>
      <c r="Z62" s="42"/>
      <c r="AA62" s="67"/>
      <c r="AB62" s="67"/>
      <c r="AC62" s="67"/>
    </row>
    <row r="63" spans="1:68" ht="16.5" hidden="1" customHeight="1" x14ac:dyDescent="0.25">
      <c r="A63" s="370" t="s">
        <v>146</v>
      </c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65"/>
      <c r="AB63" s="65"/>
      <c r="AC63" s="82"/>
    </row>
    <row r="64" spans="1:68" ht="14.25" hidden="1" customHeight="1" x14ac:dyDescent="0.25">
      <c r="A64" s="371" t="s">
        <v>147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372">
        <v>4607111039712</v>
      </c>
      <c r="E65" s="372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39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74"/>
      <c r="R65" s="374"/>
      <c r="S65" s="374"/>
      <c r="T65" s="37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372">
        <v>4607111039705</v>
      </c>
      <c r="E66" s="37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74"/>
      <c r="R66" s="374"/>
      <c r="S66" s="374"/>
      <c r="T66" s="37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72">
        <v>4607111039729</v>
      </c>
      <c r="E67" s="372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74"/>
      <c r="R67" s="374"/>
      <c r="S67" s="374"/>
      <c r="T67" s="375"/>
      <c r="U67" s="39" t="s">
        <v>46</v>
      </c>
      <c r="V67" s="39" t="s">
        <v>46</v>
      </c>
      <c r="W67" s="40" t="s">
        <v>39</v>
      </c>
      <c r="X67" s="58">
        <v>14</v>
      </c>
      <c r="Y67" s="55">
        <f>IFERROR(IF(X67="","",X67),"")</f>
        <v>14</v>
      </c>
      <c r="Z67" s="41">
        <f>IFERROR(IF(X67="","",X67*0.00941),"")</f>
        <v>0.13174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21.84</v>
      </c>
      <c r="BN67" s="81">
        <f>IFERROR(Y67*I67,"0")</f>
        <v>21.84</v>
      </c>
      <c r="BO67" s="81">
        <f>IFERROR(X67/J67,"0")</f>
        <v>0.1</v>
      </c>
      <c r="BP67" s="81">
        <f>IFERROR(Y67/J67,"0")</f>
        <v>0.1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72">
        <v>4620207490228</v>
      </c>
      <c r="E68" s="372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74"/>
      <c r="R68" s="374"/>
      <c r="S68" s="374"/>
      <c r="T68" s="375"/>
      <c r="U68" s="39" t="s">
        <v>46</v>
      </c>
      <c r="V68" s="39" t="s">
        <v>46</v>
      </c>
      <c r="W68" s="40" t="s">
        <v>39</v>
      </c>
      <c r="X68" s="58">
        <v>14</v>
      </c>
      <c r="Y68" s="55">
        <f>IFERROR(IF(X68="","",X68),"")</f>
        <v>14</v>
      </c>
      <c r="Z68" s="41">
        <f>IFERROR(IF(X68="","",X68*0.00941),"")</f>
        <v>0.13174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21.84</v>
      </c>
      <c r="BN68" s="81">
        <f>IFERROR(Y68*I68,"0")</f>
        <v>21.84</v>
      </c>
      <c r="BO68" s="81">
        <f>IFERROR(X68/J68,"0")</f>
        <v>0.1</v>
      </c>
      <c r="BP68" s="81">
        <f>IFERROR(Y68/J68,"0")</f>
        <v>0.1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372">
        <v>4607111037398</v>
      </c>
      <c r="E69" s="37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3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74"/>
      <c r="R69" s="374"/>
      <c r="S69" s="374"/>
      <c r="T69" s="37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7"/>
      <c r="P70" s="383" t="s">
        <v>40</v>
      </c>
      <c r="Q70" s="384"/>
      <c r="R70" s="384"/>
      <c r="S70" s="384"/>
      <c r="T70" s="384"/>
      <c r="U70" s="384"/>
      <c r="V70" s="385"/>
      <c r="W70" s="42" t="s">
        <v>39</v>
      </c>
      <c r="X70" s="43">
        <f>IFERROR(SUM(X65:X69),"0")</f>
        <v>28</v>
      </c>
      <c r="Y70" s="43">
        <f>IFERROR(SUM(Y65:Y69),"0")</f>
        <v>28</v>
      </c>
      <c r="Z70" s="43">
        <f>IFERROR(IF(Z65="",0,Z65),"0")+IFERROR(IF(Z66="",0,Z66),"0")+IFERROR(IF(Z67="",0,Z67),"0")+IFERROR(IF(Z68="",0,Z68),"0")+IFERROR(IF(Z69="",0,Z69),"0")</f>
        <v>0.26347999999999999</v>
      </c>
      <c r="AA70" s="67"/>
      <c r="AB70" s="67"/>
      <c r="AC70" s="67"/>
    </row>
    <row r="71" spans="1:68" x14ac:dyDescent="0.2">
      <c r="A71" s="386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7"/>
      <c r="P71" s="383" t="s">
        <v>40</v>
      </c>
      <c r="Q71" s="384"/>
      <c r="R71" s="384"/>
      <c r="S71" s="384"/>
      <c r="T71" s="384"/>
      <c r="U71" s="384"/>
      <c r="V71" s="385"/>
      <c r="W71" s="42" t="s">
        <v>0</v>
      </c>
      <c r="X71" s="43">
        <f>IFERROR(SUMPRODUCT(X65:X69*H65:H69),"0")</f>
        <v>33.6</v>
      </c>
      <c r="Y71" s="43">
        <f>IFERROR(SUMPRODUCT(Y65:Y69*H65:H69),"0")</f>
        <v>33.6</v>
      </c>
      <c r="Z71" s="42"/>
      <c r="AA71" s="67"/>
      <c r="AB71" s="67"/>
      <c r="AC71" s="67"/>
    </row>
    <row r="72" spans="1:68" ht="16.5" hidden="1" customHeight="1" x14ac:dyDescent="0.25">
      <c r="A72" s="370" t="s">
        <v>161</v>
      </c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65"/>
      <c r="AB72" s="65"/>
      <c r="AC72" s="82"/>
    </row>
    <row r="73" spans="1:68" ht="14.25" hidden="1" customHeight="1" x14ac:dyDescent="0.25">
      <c r="A73" s="371" t="s">
        <v>82</v>
      </c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372">
        <v>4607111037411</v>
      </c>
      <c r="E74" s="372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74"/>
      <c r="R74" s="374"/>
      <c r="S74" s="374"/>
      <c r="T74" s="37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72">
        <v>4607111036728</v>
      </c>
      <c r="E75" s="372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74"/>
      <c r="R75" s="374"/>
      <c r="S75" s="374"/>
      <c r="T75" s="375"/>
      <c r="U75" s="39" t="s">
        <v>46</v>
      </c>
      <c r="V75" s="39" t="s">
        <v>46</v>
      </c>
      <c r="W75" s="40" t="s">
        <v>39</v>
      </c>
      <c r="X75" s="58">
        <v>240</v>
      </c>
      <c r="Y75" s="55">
        <f>IFERROR(IF(X75="","",X75),"")</f>
        <v>240</v>
      </c>
      <c r="Z75" s="41">
        <f>IFERROR(IF(X75="","",X75*0.00866),"")</f>
        <v>2.0783999999999998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1251.1679999999999</v>
      </c>
      <c r="BN75" s="81">
        <f>IFERROR(Y75*I75,"0")</f>
        <v>1251.1679999999999</v>
      </c>
      <c r="BO75" s="81">
        <f>IFERROR(X75/J75,"0")</f>
        <v>1.6666666666666667</v>
      </c>
      <c r="BP75" s="81">
        <f>IFERROR(Y75/J75,"0")</f>
        <v>1.6666666666666667</v>
      </c>
    </row>
    <row r="76" spans="1:68" x14ac:dyDescent="0.2">
      <c r="A76" s="386"/>
      <c r="B76" s="386"/>
      <c r="C76" s="386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7"/>
      <c r="P76" s="383" t="s">
        <v>40</v>
      </c>
      <c r="Q76" s="384"/>
      <c r="R76" s="384"/>
      <c r="S76" s="384"/>
      <c r="T76" s="384"/>
      <c r="U76" s="384"/>
      <c r="V76" s="385"/>
      <c r="W76" s="42" t="s">
        <v>39</v>
      </c>
      <c r="X76" s="43">
        <f>IFERROR(SUM(X74:X75),"0")</f>
        <v>240</v>
      </c>
      <c r="Y76" s="43">
        <f>IFERROR(SUM(Y74:Y75),"0")</f>
        <v>240</v>
      </c>
      <c r="Z76" s="43">
        <f>IFERROR(IF(Z74="",0,Z74),"0")+IFERROR(IF(Z75="",0,Z75),"0")</f>
        <v>2.0783999999999998</v>
      </c>
      <c r="AA76" s="67"/>
      <c r="AB76" s="67"/>
      <c r="AC76" s="67"/>
    </row>
    <row r="77" spans="1:68" x14ac:dyDescent="0.2">
      <c r="A77" s="386"/>
      <c r="B77" s="386"/>
      <c r="C77" s="386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7"/>
      <c r="P77" s="383" t="s">
        <v>40</v>
      </c>
      <c r="Q77" s="384"/>
      <c r="R77" s="384"/>
      <c r="S77" s="384"/>
      <c r="T77" s="384"/>
      <c r="U77" s="384"/>
      <c r="V77" s="385"/>
      <c r="W77" s="42" t="s">
        <v>0</v>
      </c>
      <c r="X77" s="43">
        <f>IFERROR(SUMPRODUCT(X74:X75*H74:H75),"0")</f>
        <v>1200</v>
      </c>
      <c r="Y77" s="43">
        <f>IFERROR(SUMPRODUCT(Y74:Y75*H74:H75),"0")</f>
        <v>1200</v>
      </c>
      <c r="Z77" s="42"/>
      <c r="AA77" s="67"/>
      <c r="AB77" s="67"/>
      <c r="AC77" s="67"/>
    </row>
    <row r="78" spans="1:68" ht="16.5" hidden="1" customHeight="1" x14ac:dyDescent="0.25">
      <c r="A78" s="370" t="s">
        <v>168</v>
      </c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65"/>
      <c r="AB78" s="65"/>
      <c r="AC78" s="82"/>
    </row>
    <row r="79" spans="1:68" ht="14.25" hidden="1" customHeight="1" x14ac:dyDescent="0.25">
      <c r="A79" s="371" t="s">
        <v>169</v>
      </c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72">
        <v>4620207491638</v>
      </c>
      <c r="E80" s="372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74"/>
      <c r="R80" s="374"/>
      <c r="S80" s="374"/>
      <c r="T80" s="375"/>
      <c r="U80" s="39" t="s">
        <v>46</v>
      </c>
      <c r="V80" s="39" t="s">
        <v>46</v>
      </c>
      <c r="W80" s="40" t="s">
        <v>39</v>
      </c>
      <c r="X80" s="58">
        <v>14</v>
      </c>
      <c r="Y80" s="55">
        <f>IFERROR(IF(X80="","",X80),"")</f>
        <v>14</v>
      </c>
      <c r="Z80" s="41">
        <f>IFERROR(IF(X80="","",X80*0.01788),"")</f>
        <v>0.25031999999999999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60.250400000000006</v>
      </c>
      <c r="BN80" s="81">
        <f>IFERROR(Y80*I80,"0")</f>
        <v>60.250400000000006</v>
      </c>
      <c r="BO80" s="81">
        <f>IFERROR(X80/J80,"0")</f>
        <v>0.2</v>
      </c>
      <c r="BP80" s="81">
        <f>IFERROR(Y80/J80,"0")</f>
        <v>0.2</v>
      </c>
    </row>
    <row r="81" spans="1:68" x14ac:dyDescent="0.2">
      <c r="A81" s="386"/>
      <c r="B81" s="386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7"/>
      <c r="P81" s="383" t="s">
        <v>40</v>
      </c>
      <c r="Q81" s="384"/>
      <c r="R81" s="384"/>
      <c r="S81" s="384"/>
      <c r="T81" s="384"/>
      <c r="U81" s="384"/>
      <c r="V81" s="385"/>
      <c r="W81" s="42" t="s">
        <v>39</v>
      </c>
      <c r="X81" s="43">
        <f>IFERROR(SUM(X80:X80),"0")</f>
        <v>14</v>
      </c>
      <c r="Y81" s="43">
        <f>IFERROR(SUM(Y80:Y80),"0")</f>
        <v>14</v>
      </c>
      <c r="Z81" s="43">
        <f>IFERROR(IF(Z80="",0,Z80),"0")</f>
        <v>0.25031999999999999</v>
      </c>
      <c r="AA81" s="67"/>
      <c r="AB81" s="67"/>
      <c r="AC81" s="67"/>
    </row>
    <row r="82" spans="1:68" x14ac:dyDescent="0.2">
      <c r="A82" s="386"/>
      <c r="B82" s="386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7"/>
      <c r="P82" s="383" t="s">
        <v>40</v>
      </c>
      <c r="Q82" s="384"/>
      <c r="R82" s="384"/>
      <c r="S82" s="384"/>
      <c r="T82" s="384"/>
      <c r="U82" s="384"/>
      <c r="V82" s="385"/>
      <c r="W82" s="42" t="s">
        <v>0</v>
      </c>
      <c r="X82" s="43">
        <f>IFERROR(SUMPRODUCT(X80:X80*H80:H80),"0")</f>
        <v>50.4</v>
      </c>
      <c r="Y82" s="43">
        <f>IFERROR(SUMPRODUCT(Y80:Y80*H80:H80),"0")</f>
        <v>50.4</v>
      </c>
      <c r="Z82" s="42"/>
      <c r="AA82" s="67"/>
      <c r="AB82" s="67"/>
      <c r="AC82" s="67"/>
    </row>
    <row r="83" spans="1:68" ht="16.5" hidden="1" customHeight="1" x14ac:dyDescent="0.25">
      <c r="A83" s="370" t="s">
        <v>173</v>
      </c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65"/>
      <c r="AB83" s="65"/>
      <c r="AC83" s="82"/>
    </row>
    <row r="84" spans="1:68" ht="14.25" hidden="1" customHeight="1" x14ac:dyDescent="0.25">
      <c r="A84" s="371" t="s">
        <v>174</v>
      </c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372">
        <v>4607111034120</v>
      </c>
      <c r="E85" s="372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40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74"/>
      <c r="R85" s="374"/>
      <c r="S85" s="374"/>
      <c r="T85" s="375"/>
      <c r="U85" s="39" t="s">
        <v>46</v>
      </c>
      <c r="V85" s="39" t="s">
        <v>46</v>
      </c>
      <c r="W85" s="40" t="s">
        <v>39</v>
      </c>
      <c r="X85" s="58">
        <v>14</v>
      </c>
      <c r="Y85" s="55">
        <f>IFERROR(IF(X85="","",X85),"")</f>
        <v>14</v>
      </c>
      <c r="Z85" s="41">
        <f>IFERROR(IF(X85="","",X85*0.01788),"")</f>
        <v>0.25031999999999999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60.250400000000006</v>
      </c>
      <c r="BN85" s="81">
        <f>IFERROR(Y85*I85,"0")</f>
        <v>60.250400000000006</v>
      </c>
      <c r="BO85" s="81">
        <f>IFERROR(X85/J85,"0")</f>
        <v>0.2</v>
      </c>
      <c r="BP85" s="81">
        <f>IFERROR(Y85/J85,"0")</f>
        <v>0.2</v>
      </c>
    </row>
    <row r="86" spans="1:68" ht="27" customHeight="1" x14ac:dyDescent="0.25">
      <c r="A86" s="63" t="s">
        <v>178</v>
      </c>
      <c r="B86" s="63" t="s">
        <v>179</v>
      </c>
      <c r="C86" s="36">
        <v>4301131046</v>
      </c>
      <c r="D86" s="372">
        <v>4607111034137</v>
      </c>
      <c r="E86" s="37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4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74"/>
      <c r="R86" s="374"/>
      <c r="S86" s="374"/>
      <c r="T86" s="375"/>
      <c r="U86" s="39" t="s">
        <v>46</v>
      </c>
      <c r="V86" s="39" t="s">
        <v>46</v>
      </c>
      <c r="W86" s="40" t="s">
        <v>39</v>
      </c>
      <c r="X86" s="58">
        <v>14</v>
      </c>
      <c r="Y86" s="55">
        <f>IFERROR(IF(X86="","",X86),"")</f>
        <v>14</v>
      </c>
      <c r="Z86" s="41">
        <f>IFERROR(IF(X86="","",X86*0.01788),"")</f>
        <v>0.25031999999999999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60.250400000000006</v>
      </c>
      <c r="BN86" s="81">
        <f>IFERROR(Y86*I86,"0")</f>
        <v>60.250400000000006</v>
      </c>
      <c r="BO86" s="81">
        <f>IFERROR(X86/J86,"0")</f>
        <v>0.2</v>
      </c>
      <c r="BP86" s="81">
        <f>IFERROR(Y86/J86,"0")</f>
        <v>0.2</v>
      </c>
    </row>
    <row r="87" spans="1:68" x14ac:dyDescent="0.2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7"/>
      <c r="P87" s="383" t="s">
        <v>40</v>
      </c>
      <c r="Q87" s="384"/>
      <c r="R87" s="384"/>
      <c r="S87" s="384"/>
      <c r="T87" s="384"/>
      <c r="U87" s="384"/>
      <c r="V87" s="385"/>
      <c r="W87" s="42" t="s">
        <v>39</v>
      </c>
      <c r="X87" s="43">
        <f>IFERROR(SUM(X85:X86),"0")</f>
        <v>28</v>
      </c>
      <c r="Y87" s="43">
        <f>IFERROR(SUM(Y85:Y86),"0")</f>
        <v>28</v>
      </c>
      <c r="Z87" s="43">
        <f>IFERROR(IF(Z85="",0,Z85),"0")+IFERROR(IF(Z86="",0,Z86),"0")</f>
        <v>0.50063999999999997</v>
      </c>
      <c r="AA87" s="67"/>
      <c r="AB87" s="67"/>
      <c r="AC87" s="67"/>
    </row>
    <row r="88" spans="1:68" x14ac:dyDescent="0.2">
      <c r="A88" s="386"/>
      <c r="B88" s="386"/>
      <c r="C88" s="386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7"/>
      <c r="P88" s="383" t="s">
        <v>40</v>
      </c>
      <c r="Q88" s="384"/>
      <c r="R88" s="384"/>
      <c r="S88" s="384"/>
      <c r="T88" s="384"/>
      <c r="U88" s="384"/>
      <c r="V88" s="385"/>
      <c r="W88" s="42" t="s">
        <v>0</v>
      </c>
      <c r="X88" s="43">
        <f>IFERROR(SUMPRODUCT(X85:X86*H85:H86),"0")</f>
        <v>100.8</v>
      </c>
      <c r="Y88" s="43">
        <f>IFERROR(SUMPRODUCT(Y85:Y86*H85:H86),"0")</f>
        <v>100.8</v>
      </c>
      <c r="Z88" s="42"/>
      <c r="AA88" s="67"/>
      <c r="AB88" s="67"/>
      <c r="AC88" s="67"/>
    </row>
    <row r="89" spans="1:68" ht="16.5" hidden="1" customHeight="1" x14ac:dyDescent="0.25">
      <c r="A89" s="370" t="s">
        <v>181</v>
      </c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65"/>
      <c r="AB89" s="65"/>
      <c r="AC89" s="82"/>
    </row>
    <row r="90" spans="1:68" ht="14.25" hidden="1" customHeight="1" x14ac:dyDescent="0.25">
      <c r="A90" s="371" t="s">
        <v>169</v>
      </c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72">
        <v>4620207491027</v>
      </c>
      <c r="E91" s="372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40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74"/>
      <c r="R91" s="374"/>
      <c r="S91" s="374"/>
      <c r="T91" s="375"/>
      <c r="U91" s="39" t="s">
        <v>46</v>
      </c>
      <c r="V91" s="39" t="s">
        <v>46</v>
      </c>
      <c r="W91" s="40" t="s">
        <v>39</v>
      </c>
      <c r="X91" s="58">
        <v>14</v>
      </c>
      <c r="Y91" s="55">
        <f t="shared" ref="Y91:Y98" si="6">IFERROR(IF(X91="","",X91),"")</f>
        <v>14</v>
      </c>
      <c r="Z91" s="41">
        <f t="shared" ref="Z91:Z98" si="7">IFERROR(IF(X91="","",X91*0.01788),"")</f>
        <v>0.25031999999999999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50.170400000000001</v>
      </c>
      <c r="BN91" s="81">
        <f t="shared" ref="BN91:BN98" si="9">IFERROR(Y91*I91,"0")</f>
        <v>50.170400000000001</v>
      </c>
      <c r="BO91" s="81">
        <f t="shared" ref="BO91:BO98" si="10">IFERROR(X91/J91,"0")</f>
        <v>0.2</v>
      </c>
      <c r="BP91" s="81">
        <f t="shared" ref="BP91:BP98" si="11">IFERROR(Y91/J91,"0")</f>
        <v>0.2</v>
      </c>
    </row>
    <row r="92" spans="1:68" ht="27" hidden="1" customHeight="1" x14ac:dyDescent="0.25">
      <c r="A92" s="63" t="s">
        <v>185</v>
      </c>
      <c r="B92" s="63" t="s">
        <v>186</v>
      </c>
      <c r="C92" s="36">
        <v>4301135758</v>
      </c>
      <c r="D92" s="372">
        <v>4620207491003</v>
      </c>
      <c r="E92" s="372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410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74"/>
      <c r="R92" s="374"/>
      <c r="S92" s="374"/>
      <c r="T92" s="375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187</v>
      </c>
      <c r="B93" s="63" t="s">
        <v>188</v>
      </c>
      <c r="C93" s="36">
        <v>4301135914</v>
      </c>
      <c r="D93" s="372">
        <v>4620207491621</v>
      </c>
      <c r="E93" s="37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41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74"/>
      <c r="R93" s="374"/>
      <c r="S93" s="374"/>
      <c r="T93" s="375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si="6"/>
        <v>70</v>
      </c>
      <c r="Z93" s="41">
        <f t="shared" si="7"/>
        <v>1.2516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250.852</v>
      </c>
      <c r="BN93" s="81">
        <f t="shared" si="9"/>
        <v>250.852</v>
      </c>
      <c r="BO93" s="81">
        <f t="shared" si="10"/>
        <v>1</v>
      </c>
      <c r="BP93" s="81">
        <f t="shared" si="11"/>
        <v>1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4301135759</v>
      </c>
      <c r="D94" s="372">
        <v>4620207491034</v>
      </c>
      <c r="E94" s="37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412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74"/>
      <c r="R94" s="374"/>
      <c r="S94" s="374"/>
      <c r="T94" s="37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hidden="1" customHeight="1" x14ac:dyDescent="0.25">
      <c r="A95" s="63" t="s">
        <v>193</v>
      </c>
      <c r="B95" s="63" t="s">
        <v>194</v>
      </c>
      <c r="C95" s="36">
        <v>4301135990</v>
      </c>
      <c r="D95" s="372">
        <v>4620207491881</v>
      </c>
      <c r="E95" s="37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41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74"/>
      <c r="R95" s="374"/>
      <c r="S95" s="374"/>
      <c r="T95" s="37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72">
        <v>4620207491577</v>
      </c>
      <c r="E96" s="37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41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74"/>
      <c r="R96" s="374"/>
      <c r="S96" s="374"/>
      <c r="T96" s="375"/>
      <c r="U96" s="39" t="s">
        <v>46</v>
      </c>
      <c r="V96" s="39" t="s">
        <v>46</v>
      </c>
      <c r="W96" s="40" t="s">
        <v>39</v>
      </c>
      <c r="X96" s="58">
        <v>84</v>
      </c>
      <c r="Y96" s="55">
        <f t="shared" si="6"/>
        <v>84</v>
      </c>
      <c r="Z96" s="41">
        <f t="shared" si="7"/>
        <v>1.5019199999999999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301.0224</v>
      </c>
      <c r="BN96" s="81">
        <f t="shared" si="9"/>
        <v>301.0224</v>
      </c>
      <c r="BO96" s="81">
        <f t="shared" si="10"/>
        <v>1.2</v>
      </c>
      <c r="BP96" s="81">
        <f t="shared" si="11"/>
        <v>1.2</v>
      </c>
    </row>
    <row r="97" spans="1:68" ht="27" hidden="1" customHeight="1" x14ac:dyDescent="0.25">
      <c r="A97" s="63" t="s">
        <v>197</v>
      </c>
      <c r="B97" s="63" t="s">
        <v>198</v>
      </c>
      <c r="C97" s="36">
        <v>4301135984</v>
      </c>
      <c r="D97" s="372">
        <v>4620207491874</v>
      </c>
      <c r="E97" s="372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41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74"/>
      <c r="R97" s="374"/>
      <c r="S97" s="374"/>
      <c r="T97" s="37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199</v>
      </c>
      <c r="B98" s="63" t="s">
        <v>200</v>
      </c>
      <c r="C98" s="36">
        <v>4301137008</v>
      </c>
      <c r="D98" s="372">
        <v>4620207491782</v>
      </c>
      <c r="E98" s="372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416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74"/>
      <c r="R98" s="374"/>
      <c r="S98" s="374"/>
      <c r="T98" s="375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86"/>
      <c r="B99" s="386"/>
      <c r="C99" s="386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7"/>
      <c r="P99" s="383" t="s">
        <v>40</v>
      </c>
      <c r="Q99" s="384"/>
      <c r="R99" s="384"/>
      <c r="S99" s="384"/>
      <c r="T99" s="384"/>
      <c r="U99" s="384"/>
      <c r="V99" s="385"/>
      <c r="W99" s="42" t="s">
        <v>39</v>
      </c>
      <c r="X99" s="43">
        <f>IFERROR(SUM(X91:X98),"0")</f>
        <v>182</v>
      </c>
      <c r="Y99" s="43">
        <f>IFERROR(SUM(Y91:Y98),"0")</f>
        <v>182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3.2541600000000002</v>
      </c>
      <c r="AA99" s="67"/>
      <c r="AB99" s="67"/>
      <c r="AC99" s="67"/>
    </row>
    <row r="100" spans="1:68" x14ac:dyDescent="0.2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7"/>
      <c r="P100" s="383" t="s">
        <v>40</v>
      </c>
      <c r="Q100" s="384"/>
      <c r="R100" s="384"/>
      <c r="S100" s="384"/>
      <c r="T100" s="384"/>
      <c r="U100" s="384"/>
      <c r="V100" s="385"/>
      <c r="W100" s="42" t="s">
        <v>0</v>
      </c>
      <c r="X100" s="43">
        <f>IFERROR(SUMPRODUCT(X91:X98*H91:H98),"0")</f>
        <v>542.64</v>
      </c>
      <c r="Y100" s="43">
        <f>IFERROR(SUMPRODUCT(Y91:Y98*H91:H98),"0")</f>
        <v>542.64</v>
      </c>
      <c r="Z100" s="42"/>
      <c r="AA100" s="67"/>
      <c r="AB100" s="67"/>
      <c r="AC100" s="67"/>
    </row>
    <row r="101" spans="1:68" ht="16.5" hidden="1" customHeight="1" x14ac:dyDescent="0.25">
      <c r="A101" s="370" t="s">
        <v>201</v>
      </c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65"/>
      <c r="AB101" s="65"/>
      <c r="AC101" s="82"/>
    </row>
    <row r="102" spans="1:68" ht="14.25" hidden="1" customHeight="1" x14ac:dyDescent="0.25">
      <c r="A102" s="371" t="s">
        <v>202</v>
      </c>
      <c r="B102" s="371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  <c r="AA102" s="66"/>
      <c r="AB102" s="66"/>
      <c r="AC102" s="83"/>
    </row>
    <row r="103" spans="1:68" ht="27" customHeight="1" x14ac:dyDescent="0.25">
      <c r="A103" s="63" t="s">
        <v>203</v>
      </c>
      <c r="B103" s="63" t="s">
        <v>204</v>
      </c>
      <c r="C103" s="36">
        <v>4301136101</v>
      </c>
      <c r="D103" s="372">
        <v>4620207491652</v>
      </c>
      <c r="E103" s="372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41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74"/>
      <c r="R103" s="374"/>
      <c r="S103" s="374"/>
      <c r="T103" s="375"/>
      <c r="U103" s="39" t="s">
        <v>46</v>
      </c>
      <c r="V103" s="39" t="s">
        <v>46</v>
      </c>
      <c r="W103" s="40" t="s">
        <v>39</v>
      </c>
      <c r="X103" s="58">
        <v>14</v>
      </c>
      <c r="Y103" s="55">
        <f>IFERROR(IF(X103="","",X103),"")</f>
        <v>14</v>
      </c>
      <c r="Z103" s="41">
        <f>IFERROR(IF(X103="","",X103*0.00936),"")</f>
        <v>0.13103999999999999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34.876800000000003</v>
      </c>
      <c r="BN103" s="81">
        <f>IFERROR(Y103*I103,"0")</f>
        <v>34.876800000000003</v>
      </c>
      <c r="BO103" s="81">
        <f>IFERROR(X103/J103,"0")</f>
        <v>0.1111111111111111</v>
      </c>
      <c r="BP103" s="81">
        <f>IFERROR(Y103/J103,"0")</f>
        <v>0.1111111111111111</v>
      </c>
    </row>
    <row r="104" spans="1:68" ht="27" customHeight="1" x14ac:dyDescent="0.25">
      <c r="A104" s="63" t="s">
        <v>206</v>
      </c>
      <c r="B104" s="63" t="s">
        <v>207</v>
      </c>
      <c r="C104" s="36">
        <v>4301136103</v>
      </c>
      <c r="D104" s="372">
        <v>4620207491645</v>
      </c>
      <c r="E104" s="372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41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74"/>
      <c r="R104" s="374"/>
      <c r="S104" s="374"/>
      <c r="T104" s="37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IFERROR(IF(X104="","",X104*0.01788),"")</f>
        <v>0.25031999999999999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59.415999999999997</v>
      </c>
      <c r="BN104" s="81">
        <f>IFERROR(Y104*I104,"0")</f>
        <v>59.415999999999997</v>
      </c>
      <c r="BO104" s="81">
        <f>IFERROR(X104/J104,"0")</f>
        <v>0.2</v>
      </c>
      <c r="BP104" s="81">
        <f>IFERROR(Y104/J104,"0")</f>
        <v>0.2</v>
      </c>
    </row>
    <row r="105" spans="1:68" x14ac:dyDescent="0.2">
      <c r="A105" s="386"/>
      <c r="B105" s="386"/>
      <c r="C105" s="386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7"/>
      <c r="P105" s="383" t="s">
        <v>40</v>
      </c>
      <c r="Q105" s="384"/>
      <c r="R105" s="384"/>
      <c r="S105" s="384"/>
      <c r="T105" s="384"/>
      <c r="U105" s="384"/>
      <c r="V105" s="385"/>
      <c r="W105" s="42" t="s">
        <v>39</v>
      </c>
      <c r="X105" s="43">
        <f>IFERROR(SUM(X103:X104),"0")</f>
        <v>28</v>
      </c>
      <c r="Y105" s="43">
        <f>IFERROR(SUM(Y103:Y104),"0")</f>
        <v>28</v>
      </c>
      <c r="Z105" s="43">
        <f>IFERROR(IF(Z103="",0,Z103),"0")+IFERROR(IF(Z104="",0,Z104),"0")</f>
        <v>0.38135999999999998</v>
      </c>
      <c r="AA105" s="67"/>
      <c r="AB105" s="67"/>
      <c r="AC105" s="67"/>
    </row>
    <row r="106" spans="1:68" x14ac:dyDescent="0.2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7"/>
      <c r="P106" s="383" t="s">
        <v>40</v>
      </c>
      <c r="Q106" s="384"/>
      <c r="R106" s="384"/>
      <c r="S106" s="384"/>
      <c r="T106" s="384"/>
      <c r="U106" s="384"/>
      <c r="V106" s="385"/>
      <c r="W106" s="42" t="s">
        <v>0</v>
      </c>
      <c r="X106" s="43">
        <f>IFERROR(SUMPRODUCT(X103:X104*H103:H104),"0")</f>
        <v>80.64</v>
      </c>
      <c r="Y106" s="43">
        <f>IFERROR(SUMPRODUCT(Y103:Y104*H103:H104),"0")</f>
        <v>80.64</v>
      </c>
      <c r="Z106" s="42"/>
      <c r="AA106" s="67"/>
      <c r="AB106" s="67"/>
      <c r="AC106" s="67"/>
    </row>
    <row r="107" spans="1:68" ht="16.5" hidden="1" customHeight="1" x14ac:dyDescent="0.25">
      <c r="A107" s="370" t="s">
        <v>208</v>
      </c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65"/>
      <c r="AB107" s="65"/>
      <c r="AC107" s="82"/>
    </row>
    <row r="108" spans="1:68" ht="14.25" hidden="1" customHeight="1" x14ac:dyDescent="0.25">
      <c r="A108" s="371" t="s">
        <v>82</v>
      </c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72">
        <v>4620207491157</v>
      </c>
      <c r="E109" s="372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74"/>
      <c r="R109" s="374"/>
      <c r="S109" s="374"/>
      <c r="T109" s="375"/>
      <c r="U109" s="39" t="s">
        <v>46</v>
      </c>
      <c r="V109" s="39" t="s">
        <v>46</v>
      </c>
      <c r="W109" s="40" t="s">
        <v>39</v>
      </c>
      <c r="X109" s="58">
        <v>60</v>
      </c>
      <c r="Y109" s="55">
        <f t="shared" ref="Y109:Y117" si="12">IFERROR(IF(X109="","",X109),"")</f>
        <v>60</v>
      </c>
      <c r="Z109" s="41">
        <f t="shared" ref="Z109:Z117" si="13">IFERROR(IF(X109="","",X109*0.0155),"")</f>
        <v>0.92999999999999994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7" si="14">IFERROR(X109*I109,"0")</f>
        <v>436.8</v>
      </c>
      <c r="BN109" s="81">
        <f t="shared" ref="BN109:BN117" si="15">IFERROR(Y109*I109,"0")</f>
        <v>436.8</v>
      </c>
      <c r="BO109" s="81">
        <f t="shared" ref="BO109:BO117" si="16">IFERROR(X109/J109,"0")</f>
        <v>0.7142857142857143</v>
      </c>
      <c r="BP109" s="81">
        <f t="shared" ref="BP109:BP117" si="17">IFERROR(Y109/J109,"0")</f>
        <v>0.7142857142857143</v>
      </c>
    </row>
    <row r="110" spans="1:68" ht="27" hidden="1" customHeight="1" x14ac:dyDescent="0.25">
      <c r="A110" s="63" t="s">
        <v>212</v>
      </c>
      <c r="B110" s="63" t="s">
        <v>213</v>
      </c>
      <c r="C110" s="36">
        <v>4301071121</v>
      </c>
      <c r="D110" s="372">
        <v>4620207491393</v>
      </c>
      <c r="E110" s="372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74"/>
      <c r="R110" s="374"/>
      <c r="S110" s="374"/>
      <c r="T110" s="37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72">
        <v>4607111039262</v>
      </c>
      <c r="E111" s="372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42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74"/>
      <c r="R111" s="374"/>
      <c r="S111" s="374"/>
      <c r="T111" s="375"/>
      <c r="U111" s="39" t="s">
        <v>46</v>
      </c>
      <c r="V111" s="39" t="s">
        <v>46</v>
      </c>
      <c r="W111" s="40" t="s">
        <v>39</v>
      </c>
      <c r="X111" s="58">
        <v>36</v>
      </c>
      <c r="Y111" s="55">
        <f t="shared" si="12"/>
        <v>36</v>
      </c>
      <c r="Z111" s="41">
        <f t="shared" si="13"/>
        <v>0.55800000000000005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241.90559999999999</v>
      </c>
      <c r="BN111" s="81">
        <f t="shared" si="15"/>
        <v>241.90559999999999</v>
      </c>
      <c r="BO111" s="81">
        <f t="shared" si="16"/>
        <v>0.42857142857142855</v>
      </c>
      <c r="BP111" s="81">
        <f t="shared" si="17"/>
        <v>0.42857142857142855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72">
        <v>4607111039248</v>
      </c>
      <c r="E112" s="372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74"/>
      <c r="R112" s="374"/>
      <c r="S112" s="374"/>
      <c r="T112" s="375"/>
      <c r="U112" s="39" t="s">
        <v>46</v>
      </c>
      <c r="V112" s="39" t="s">
        <v>46</v>
      </c>
      <c r="W112" s="40" t="s">
        <v>39</v>
      </c>
      <c r="X112" s="58">
        <v>144</v>
      </c>
      <c r="Y112" s="55">
        <f t="shared" si="12"/>
        <v>144</v>
      </c>
      <c r="Z112" s="41">
        <f t="shared" si="13"/>
        <v>2.2320000000000002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1051.2</v>
      </c>
      <c r="BN112" s="81">
        <f t="shared" si="15"/>
        <v>1051.2</v>
      </c>
      <c r="BO112" s="81">
        <f t="shared" si="16"/>
        <v>1.7142857142857142</v>
      </c>
      <c r="BP112" s="81">
        <f t="shared" si="17"/>
        <v>1.7142857142857142</v>
      </c>
    </row>
    <row r="113" spans="1:68" ht="27" hidden="1" customHeight="1" x14ac:dyDescent="0.25">
      <c r="A113" s="63" t="s">
        <v>219</v>
      </c>
      <c r="B113" s="63" t="s">
        <v>220</v>
      </c>
      <c r="C113" s="36">
        <v>4301070979</v>
      </c>
      <c r="D113" s="372">
        <v>4607111037145</v>
      </c>
      <c r="E113" s="372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74"/>
      <c r="R113" s="374"/>
      <c r="S113" s="374"/>
      <c r="T113" s="37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4301071075</v>
      </c>
      <c r="D114" s="372">
        <v>4620207491102</v>
      </c>
      <c r="E114" s="372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2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74"/>
      <c r="R114" s="374"/>
      <c r="S114" s="374"/>
      <c r="T114" s="375"/>
      <c r="U114" s="39" t="s">
        <v>46</v>
      </c>
      <c r="V114" s="39" t="s">
        <v>46</v>
      </c>
      <c r="W114" s="40" t="s">
        <v>39</v>
      </c>
      <c r="X114" s="58">
        <v>36</v>
      </c>
      <c r="Y114" s="55">
        <f t="shared" si="12"/>
        <v>36</v>
      </c>
      <c r="Z114" s="41">
        <f t="shared" si="13"/>
        <v>0.55800000000000005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260.28000000000003</v>
      </c>
      <c r="BN114" s="81">
        <f t="shared" si="15"/>
        <v>260.28000000000003</v>
      </c>
      <c r="BO114" s="81">
        <f t="shared" si="16"/>
        <v>0.42857142857142855</v>
      </c>
      <c r="BP114" s="81">
        <f t="shared" si="17"/>
        <v>0.42857142857142855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72">
        <v>4607111039293</v>
      </c>
      <c r="E115" s="37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2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74"/>
      <c r="R115" s="374"/>
      <c r="S115" s="374"/>
      <c r="T115" s="375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si="12"/>
        <v>36</v>
      </c>
      <c r="Z115" s="41">
        <f t="shared" si="13"/>
        <v>0.55800000000000005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241.90559999999999</v>
      </c>
      <c r="BN115" s="81">
        <f t="shared" si="15"/>
        <v>241.90559999999999</v>
      </c>
      <c r="BO115" s="81">
        <f t="shared" si="16"/>
        <v>0.42857142857142855</v>
      </c>
      <c r="BP115" s="81">
        <f t="shared" si="17"/>
        <v>0.42857142857142855</v>
      </c>
    </row>
    <row r="116" spans="1:68" ht="27" hidden="1" customHeight="1" x14ac:dyDescent="0.25">
      <c r="A116" s="63" t="s">
        <v>228</v>
      </c>
      <c r="B116" s="63" t="s">
        <v>229</v>
      </c>
      <c r="C116" s="36">
        <v>4301071039</v>
      </c>
      <c r="D116" s="372">
        <v>4607111039279</v>
      </c>
      <c r="E116" s="37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124</v>
      </c>
      <c r="M116" s="38" t="s">
        <v>86</v>
      </c>
      <c r="N116" s="38"/>
      <c r="O116" s="37">
        <v>180</v>
      </c>
      <c r="P116" s="42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74"/>
      <c r="R116" s="374"/>
      <c r="S116" s="374"/>
      <c r="T116" s="37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81" t="s">
        <v>164</v>
      </c>
      <c r="AG116" s="81"/>
      <c r="AJ116" s="87" t="s">
        <v>125</v>
      </c>
      <c r="AK116" s="87">
        <v>12</v>
      </c>
      <c r="BB116" s="182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228</v>
      </c>
      <c r="B117" s="63" t="s">
        <v>230</v>
      </c>
      <c r="C117" s="36">
        <v>4301071138</v>
      </c>
      <c r="D117" s="372">
        <v>4607111039279</v>
      </c>
      <c r="E117" s="37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427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74"/>
      <c r="R117" s="374"/>
      <c r="S117" s="374"/>
      <c r="T117" s="375"/>
      <c r="U117" s="39" t="s">
        <v>46</v>
      </c>
      <c r="V117" s="39" t="s">
        <v>46</v>
      </c>
      <c r="W117" s="40" t="s">
        <v>39</v>
      </c>
      <c r="X117" s="58">
        <v>204</v>
      </c>
      <c r="Y117" s="55">
        <f t="shared" si="12"/>
        <v>204</v>
      </c>
      <c r="Z117" s="41">
        <f t="shared" si="13"/>
        <v>3.1619999999999999</v>
      </c>
      <c r="AA117" s="68" t="s">
        <v>46</v>
      </c>
      <c r="AB117" s="69" t="s">
        <v>46</v>
      </c>
      <c r="AC117" s="183" t="s">
        <v>227</v>
      </c>
      <c r="AG117" s="81"/>
      <c r="AJ117" s="87" t="s">
        <v>89</v>
      </c>
      <c r="AK117" s="87">
        <v>1</v>
      </c>
      <c r="BB117" s="184" t="s">
        <v>70</v>
      </c>
      <c r="BM117" s="81">
        <f t="shared" si="14"/>
        <v>1489.2</v>
      </c>
      <c r="BN117" s="81">
        <f t="shared" si="15"/>
        <v>1489.2</v>
      </c>
      <c r="BO117" s="81">
        <f t="shared" si="16"/>
        <v>2.4285714285714284</v>
      </c>
      <c r="BP117" s="81">
        <f t="shared" si="17"/>
        <v>2.4285714285714284</v>
      </c>
    </row>
    <row r="118" spans="1:68" x14ac:dyDescent="0.2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7"/>
      <c r="P118" s="383" t="s">
        <v>40</v>
      </c>
      <c r="Q118" s="384"/>
      <c r="R118" s="384"/>
      <c r="S118" s="384"/>
      <c r="T118" s="384"/>
      <c r="U118" s="384"/>
      <c r="V118" s="385"/>
      <c r="W118" s="42" t="s">
        <v>39</v>
      </c>
      <c r="X118" s="43">
        <f>IFERROR(SUM(X109:X117),"0")</f>
        <v>516</v>
      </c>
      <c r="Y118" s="43">
        <f>IFERROR(SUM(Y109:Y117),"0")</f>
        <v>516</v>
      </c>
      <c r="Z118" s="43">
        <f>IFERROR(IF(Z109="",0,Z109),"0")+IFERROR(IF(Z110="",0,Z110),"0")+IFERROR(IF(Z111="",0,Z111),"0")+IFERROR(IF(Z112="",0,Z112),"0")+IFERROR(IF(Z113="",0,Z113),"0")+IFERROR(IF(Z114="",0,Z114),"0")+IFERROR(IF(Z115="",0,Z115),"0")+IFERROR(IF(Z116="",0,Z116),"0")+IFERROR(IF(Z117="",0,Z117),"0")</f>
        <v>7.9980000000000002</v>
      </c>
      <c r="AA118" s="67"/>
      <c r="AB118" s="67"/>
      <c r="AC118" s="67"/>
    </row>
    <row r="119" spans="1:68" x14ac:dyDescent="0.2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7"/>
      <c r="P119" s="383" t="s">
        <v>40</v>
      </c>
      <c r="Q119" s="384"/>
      <c r="R119" s="384"/>
      <c r="S119" s="384"/>
      <c r="T119" s="384"/>
      <c r="U119" s="384"/>
      <c r="V119" s="385"/>
      <c r="W119" s="42" t="s">
        <v>0</v>
      </c>
      <c r="X119" s="43">
        <f>IFERROR(SUMPRODUCT(X109:X117*H109:H117),"0")</f>
        <v>3568.8</v>
      </c>
      <c r="Y119" s="43">
        <f>IFERROR(SUMPRODUCT(Y109:Y117*H109:H117),"0")</f>
        <v>3568.8</v>
      </c>
      <c r="Z119" s="42"/>
      <c r="AA119" s="67"/>
      <c r="AB119" s="67"/>
      <c r="AC119" s="67"/>
    </row>
    <row r="120" spans="1:68" ht="14.25" hidden="1" customHeight="1" x14ac:dyDescent="0.25">
      <c r="A120" s="371" t="s">
        <v>169</v>
      </c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66"/>
      <c r="AB120" s="66"/>
      <c r="AC120" s="83"/>
    </row>
    <row r="121" spans="1:68" ht="27" hidden="1" customHeight="1" x14ac:dyDescent="0.25">
      <c r="A121" s="63" t="s">
        <v>231</v>
      </c>
      <c r="B121" s="63" t="s">
        <v>232</v>
      </c>
      <c r="C121" s="36">
        <v>4301135826</v>
      </c>
      <c r="D121" s="372">
        <v>4620207490983</v>
      </c>
      <c r="E121" s="372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123</v>
      </c>
      <c r="L121" s="37" t="s">
        <v>88</v>
      </c>
      <c r="M121" s="38" t="s">
        <v>86</v>
      </c>
      <c r="N121" s="38"/>
      <c r="O121" s="37">
        <v>180</v>
      </c>
      <c r="P121" s="4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74"/>
      <c r="R121" s="374"/>
      <c r="S121" s="374"/>
      <c r="T121" s="375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85" t="s">
        <v>233</v>
      </c>
      <c r="AG121" s="81"/>
      <c r="AJ121" s="87" t="s">
        <v>89</v>
      </c>
      <c r="AK121" s="87">
        <v>1</v>
      </c>
      <c r="BB121" s="186" t="s">
        <v>122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7"/>
      <c r="P122" s="383" t="s">
        <v>40</v>
      </c>
      <c r="Q122" s="384"/>
      <c r="R122" s="384"/>
      <c r="S122" s="384"/>
      <c r="T122" s="384"/>
      <c r="U122" s="384"/>
      <c r="V122" s="38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7"/>
      <c r="P123" s="383" t="s">
        <v>40</v>
      </c>
      <c r="Q123" s="384"/>
      <c r="R123" s="384"/>
      <c r="S123" s="384"/>
      <c r="T123" s="384"/>
      <c r="U123" s="384"/>
      <c r="V123" s="38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71" t="s">
        <v>234</v>
      </c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66"/>
      <c r="AB124" s="66"/>
      <c r="AC124" s="83"/>
    </row>
    <row r="125" spans="1:68" ht="27" hidden="1" customHeight="1" x14ac:dyDescent="0.25">
      <c r="A125" s="63" t="s">
        <v>235</v>
      </c>
      <c r="B125" s="63" t="s">
        <v>236</v>
      </c>
      <c r="C125" s="36">
        <v>4301071094</v>
      </c>
      <c r="D125" s="372">
        <v>4620207491140</v>
      </c>
      <c r="E125" s="372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42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74"/>
      <c r="R125" s="374"/>
      <c r="S125" s="374"/>
      <c r="T125" s="375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7" t="s">
        <v>237</v>
      </c>
      <c r="AG125" s="81"/>
      <c r="AJ125" s="87" t="s">
        <v>89</v>
      </c>
      <c r="AK125" s="87">
        <v>1</v>
      </c>
      <c r="BB125" s="188" t="s">
        <v>122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7"/>
      <c r="P126" s="383" t="s">
        <v>40</v>
      </c>
      <c r="Q126" s="384"/>
      <c r="R126" s="384"/>
      <c r="S126" s="384"/>
      <c r="T126" s="384"/>
      <c r="U126" s="384"/>
      <c r="V126" s="38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7"/>
      <c r="P127" s="383" t="s">
        <v>40</v>
      </c>
      <c r="Q127" s="384"/>
      <c r="R127" s="384"/>
      <c r="S127" s="384"/>
      <c r="T127" s="384"/>
      <c r="U127" s="384"/>
      <c r="V127" s="38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70" t="s">
        <v>238</v>
      </c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65"/>
      <c r="AB128" s="65"/>
      <c r="AC128" s="82"/>
    </row>
    <row r="129" spans="1:68" ht="14.25" hidden="1" customHeight="1" x14ac:dyDescent="0.25">
      <c r="A129" s="371" t="s">
        <v>82</v>
      </c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66"/>
      <c r="AB129" s="66"/>
      <c r="AC129" s="83"/>
    </row>
    <row r="130" spans="1:68" ht="27" customHeight="1" x14ac:dyDescent="0.25">
      <c r="A130" s="63" t="s">
        <v>239</v>
      </c>
      <c r="B130" s="63" t="s">
        <v>240</v>
      </c>
      <c r="C130" s="36">
        <v>4301071142</v>
      </c>
      <c r="D130" s="372">
        <v>4620207491904</v>
      </c>
      <c r="E130" s="372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3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74"/>
      <c r="R130" s="374"/>
      <c r="S130" s="374"/>
      <c r="T130" s="375"/>
      <c r="U130" s="39" t="s">
        <v>46</v>
      </c>
      <c r="V130" s="39" t="s">
        <v>46</v>
      </c>
      <c r="W130" s="40" t="s">
        <v>39</v>
      </c>
      <c r="X130" s="58">
        <v>24</v>
      </c>
      <c r="Y130" s="55">
        <f>IFERROR(IF(X130="","",X130),"")</f>
        <v>24</v>
      </c>
      <c r="Z130" s="41">
        <f>IFERROR(IF(X130="","",X130*0.0155),"")</f>
        <v>0.372</v>
      </c>
      <c r="AA130" s="68" t="s">
        <v>46</v>
      </c>
      <c r="AB130" s="69" t="s">
        <v>110</v>
      </c>
      <c r="AC130" s="189" t="s">
        <v>241</v>
      </c>
      <c r="AG130" s="81"/>
      <c r="AJ130" s="87" t="s">
        <v>89</v>
      </c>
      <c r="AK130" s="87">
        <v>1</v>
      </c>
      <c r="BB130" s="190" t="s">
        <v>70</v>
      </c>
      <c r="BM130" s="81">
        <f>IFERROR(X130*I130,"0")</f>
        <v>143.52000000000001</v>
      </c>
      <c r="BN130" s="81">
        <f>IFERROR(Y130*I130,"0")</f>
        <v>143.52000000000001</v>
      </c>
      <c r="BO130" s="81">
        <f>IFERROR(X130/J130,"0")</f>
        <v>0.2857142857142857</v>
      </c>
      <c r="BP130" s="81">
        <f>IFERROR(Y130/J130,"0")</f>
        <v>0.2857142857142857</v>
      </c>
    </row>
    <row r="131" spans="1:68" x14ac:dyDescent="0.2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7"/>
      <c r="P131" s="383" t="s">
        <v>40</v>
      </c>
      <c r="Q131" s="384"/>
      <c r="R131" s="384"/>
      <c r="S131" s="384"/>
      <c r="T131" s="384"/>
      <c r="U131" s="384"/>
      <c r="V131" s="385"/>
      <c r="W131" s="42" t="s">
        <v>39</v>
      </c>
      <c r="X131" s="43">
        <f>IFERROR(SUM(X130:X130),"0")</f>
        <v>24</v>
      </c>
      <c r="Y131" s="43">
        <f>IFERROR(SUM(Y130:Y130),"0")</f>
        <v>24</v>
      </c>
      <c r="Z131" s="43">
        <f>IFERROR(IF(Z130="",0,Z130),"0")</f>
        <v>0.372</v>
      </c>
      <c r="AA131" s="67"/>
      <c r="AB131" s="67"/>
      <c r="AC131" s="67"/>
    </row>
    <row r="132" spans="1:68" x14ac:dyDescent="0.2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7"/>
      <c r="P132" s="383" t="s">
        <v>40</v>
      </c>
      <c r="Q132" s="384"/>
      <c r="R132" s="384"/>
      <c r="S132" s="384"/>
      <c r="T132" s="384"/>
      <c r="U132" s="384"/>
      <c r="V132" s="385"/>
      <c r="W132" s="42" t="s">
        <v>0</v>
      </c>
      <c r="X132" s="43">
        <f>IFERROR(SUMPRODUCT(X130:X130*H130:H130),"0")</f>
        <v>136.80000000000001</v>
      </c>
      <c r="Y132" s="43">
        <f>IFERROR(SUMPRODUCT(Y130:Y130*H130:H130),"0")</f>
        <v>136.80000000000001</v>
      </c>
      <c r="Z132" s="42"/>
      <c r="AA132" s="67"/>
      <c r="AB132" s="67"/>
      <c r="AC132" s="67"/>
    </row>
    <row r="133" spans="1:68" ht="14.25" hidden="1" customHeight="1" x14ac:dyDescent="0.25">
      <c r="A133" s="371" t="s">
        <v>169</v>
      </c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66"/>
      <c r="AB133" s="66"/>
      <c r="AC133" s="83"/>
    </row>
    <row r="134" spans="1:68" ht="27" customHeight="1" x14ac:dyDescent="0.25">
      <c r="A134" s="63" t="s">
        <v>242</v>
      </c>
      <c r="B134" s="63" t="s">
        <v>243</v>
      </c>
      <c r="C134" s="36">
        <v>4301135850</v>
      </c>
      <c r="D134" s="372">
        <v>4620207491492</v>
      </c>
      <c r="E134" s="37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43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74"/>
      <c r="R134" s="374"/>
      <c r="S134" s="374"/>
      <c r="T134" s="375"/>
      <c r="U134" s="39" t="s">
        <v>46</v>
      </c>
      <c r="V134" s="39" t="s">
        <v>46</v>
      </c>
      <c r="W134" s="40" t="s">
        <v>39</v>
      </c>
      <c r="X134" s="58">
        <v>28</v>
      </c>
      <c r="Y134" s="55">
        <f>IFERROR(IF(X134="","",X134),"")</f>
        <v>28</v>
      </c>
      <c r="Z134" s="41">
        <f>IFERROR(IF(X134="","",X134*0.00941),"")</f>
        <v>0.26347999999999999</v>
      </c>
      <c r="AA134" s="68" t="s">
        <v>46</v>
      </c>
      <c r="AB134" s="69" t="s">
        <v>46</v>
      </c>
      <c r="AC134" s="191" t="s">
        <v>244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50.4</v>
      </c>
      <c r="BN134" s="81">
        <f>IFERROR(Y134*I134,"0")</f>
        <v>50.4</v>
      </c>
      <c r="BO134" s="81">
        <f>IFERROR(X134/J134,"0")</f>
        <v>0.2</v>
      </c>
      <c r="BP134" s="81">
        <f>IFERROR(Y134/J134,"0")</f>
        <v>0.2</v>
      </c>
    </row>
    <row r="135" spans="1:68" ht="27" customHeight="1" x14ac:dyDescent="0.25">
      <c r="A135" s="63" t="s">
        <v>245</v>
      </c>
      <c r="B135" s="63" t="s">
        <v>246</v>
      </c>
      <c r="C135" s="36">
        <v>4301190118</v>
      </c>
      <c r="D135" s="372">
        <v>4620207491461</v>
      </c>
      <c r="E135" s="372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43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74"/>
      <c r="R135" s="374"/>
      <c r="S135" s="374"/>
      <c r="T135" s="375"/>
      <c r="U135" s="39" t="s">
        <v>46</v>
      </c>
      <c r="V135" s="39" t="s">
        <v>46</v>
      </c>
      <c r="W135" s="40" t="s">
        <v>39</v>
      </c>
      <c r="X135" s="58">
        <v>70</v>
      </c>
      <c r="Y135" s="55">
        <f>IFERROR(IF(X135="","",X135),"")</f>
        <v>70</v>
      </c>
      <c r="Z135" s="41">
        <f>IFERROR(IF(X135="","",X135*0.00941),"")</f>
        <v>0.65869999999999995</v>
      </c>
      <c r="AA135" s="68" t="s">
        <v>46</v>
      </c>
      <c r="AB135" s="69" t="s">
        <v>46</v>
      </c>
      <c r="AC135" s="193" t="s">
        <v>244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121.8</v>
      </c>
      <c r="BN135" s="81">
        <f>IFERROR(Y135*I135,"0")</f>
        <v>121.8</v>
      </c>
      <c r="BO135" s="81">
        <f>IFERROR(X135/J135,"0")</f>
        <v>0.5</v>
      </c>
      <c r="BP135" s="81">
        <f>IFERROR(Y135/J135,"0")</f>
        <v>0.5</v>
      </c>
    </row>
    <row r="136" spans="1:68" ht="27" customHeight="1" x14ac:dyDescent="0.25">
      <c r="A136" s="63" t="s">
        <v>247</v>
      </c>
      <c r="B136" s="63" t="s">
        <v>248</v>
      </c>
      <c r="C136" s="36">
        <v>4301135865</v>
      </c>
      <c r="D136" s="372">
        <v>4620207491485</v>
      </c>
      <c r="E136" s="372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43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74"/>
      <c r="R136" s="374"/>
      <c r="S136" s="374"/>
      <c r="T136" s="375"/>
      <c r="U136" s="39" t="s">
        <v>46</v>
      </c>
      <c r="V136" s="39" t="s">
        <v>46</v>
      </c>
      <c r="W136" s="40" t="s">
        <v>39</v>
      </c>
      <c r="X136" s="58">
        <v>126</v>
      </c>
      <c r="Y136" s="55">
        <f>IFERROR(IF(X136="","",X136),"")</f>
        <v>126</v>
      </c>
      <c r="Z136" s="41">
        <f>IFERROR(IF(X136="","",X136*0.00941),"")</f>
        <v>1.1856599999999999</v>
      </c>
      <c r="AA136" s="68" t="s">
        <v>46</v>
      </c>
      <c r="AB136" s="69" t="s">
        <v>46</v>
      </c>
      <c r="AC136" s="195" t="s">
        <v>244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226.8</v>
      </c>
      <c r="BN136" s="81">
        <f>IFERROR(Y136*I136,"0")</f>
        <v>226.8</v>
      </c>
      <c r="BO136" s="81">
        <f>IFERROR(X136/J136,"0")</f>
        <v>0.9</v>
      </c>
      <c r="BP136" s="81">
        <f>IFERROR(Y136/J136,"0")</f>
        <v>0.9</v>
      </c>
    </row>
    <row r="137" spans="1:68" ht="27" customHeight="1" x14ac:dyDescent="0.25">
      <c r="A137" s="63" t="s">
        <v>249</v>
      </c>
      <c r="B137" s="63" t="s">
        <v>250</v>
      </c>
      <c r="C137" s="36">
        <v>4301135848</v>
      </c>
      <c r="D137" s="372">
        <v>4620207491799</v>
      </c>
      <c r="E137" s="37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123</v>
      </c>
      <c r="L137" s="37" t="s">
        <v>88</v>
      </c>
      <c r="M137" s="38" t="s">
        <v>86</v>
      </c>
      <c r="N137" s="38"/>
      <c r="O137" s="37">
        <v>180</v>
      </c>
      <c r="P137" s="43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7" s="374"/>
      <c r="R137" s="374"/>
      <c r="S137" s="374"/>
      <c r="T137" s="375"/>
      <c r="U137" s="39" t="s">
        <v>46</v>
      </c>
      <c r="V137" s="39" t="s">
        <v>46</v>
      </c>
      <c r="W137" s="40" t="s">
        <v>39</v>
      </c>
      <c r="X137" s="58">
        <v>84</v>
      </c>
      <c r="Y137" s="55">
        <f>IFERROR(IF(X137="","",X137),"")</f>
        <v>84</v>
      </c>
      <c r="Z137" s="41">
        <f>IFERROR(IF(X137="","",X137*0.00941),"")</f>
        <v>0.79044000000000003</v>
      </c>
      <c r="AA137" s="68" t="s">
        <v>46</v>
      </c>
      <c r="AB137" s="69" t="s">
        <v>46</v>
      </c>
      <c r="AC137" s="197" t="s">
        <v>244</v>
      </c>
      <c r="AG137" s="81"/>
      <c r="AJ137" s="87" t="s">
        <v>89</v>
      </c>
      <c r="AK137" s="87">
        <v>1</v>
      </c>
      <c r="BB137" s="198" t="s">
        <v>122</v>
      </c>
      <c r="BM137" s="81">
        <f>IFERROR(X137*I137,"0")</f>
        <v>151.20000000000002</v>
      </c>
      <c r="BN137" s="81">
        <f>IFERROR(Y137*I137,"0")</f>
        <v>151.20000000000002</v>
      </c>
      <c r="BO137" s="81">
        <f>IFERROR(X137/J137,"0")</f>
        <v>0.6</v>
      </c>
      <c r="BP137" s="81">
        <f>IFERROR(Y137/J137,"0")</f>
        <v>0.6</v>
      </c>
    </row>
    <row r="138" spans="1:68" x14ac:dyDescent="0.2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7"/>
      <c r="P138" s="383" t="s">
        <v>40</v>
      </c>
      <c r="Q138" s="384"/>
      <c r="R138" s="384"/>
      <c r="S138" s="384"/>
      <c r="T138" s="384"/>
      <c r="U138" s="384"/>
      <c r="V138" s="385"/>
      <c r="W138" s="42" t="s">
        <v>39</v>
      </c>
      <c r="X138" s="43">
        <f>IFERROR(SUM(X134:X137),"0")</f>
        <v>308</v>
      </c>
      <c r="Y138" s="43">
        <f>IFERROR(SUM(Y134:Y137),"0")</f>
        <v>308</v>
      </c>
      <c r="Z138" s="43">
        <f>IFERROR(IF(Z134="",0,Z134),"0")+IFERROR(IF(Z135="",0,Z135),"0")+IFERROR(IF(Z136="",0,Z136),"0")+IFERROR(IF(Z137="",0,Z137),"0")</f>
        <v>2.8982799999999997</v>
      </c>
      <c r="AA138" s="67"/>
      <c r="AB138" s="67"/>
      <c r="AC138" s="67"/>
    </row>
    <row r="139" spans="1:68" x14ac:dyDescent="0.2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7"/>
      <c r="P139" s="383" t="s">
        <v>40</v>
      </c>
      <c r="Q139" s="384"/>
      <c r="R139" s="384"/>
      <c r="S139" s="384"/>
      <c r="T139" s="384"/>
      <c r="U139" s="384"/>
      <c r="V139" s="385"/>
      <c r="W139" s="42" t="s">
        <v>0</v>
      </c>
      <c r="X139" s="43">
        <f>IFERROR(SUMPRODUCT(X134:X137*H134:H137),"0")</f>
        <v>420.84000000000003</v>
      </c>
      <c r="Y139" s="43">
        <f>IFERROR(SUMPRODUCT(Y134:Y137*H134:H137),"0")</f>
        <v>420.84000000000003</v>
      </c>
      <c r="Z139" s="42"/>
      <c r="AA139" s="67"/>
      <c r="AB139" s="67"/>
      <c r="AC139" s="67"/>
    </row>
    <row r="140" spans="1:68" ht="14.25" hidden="1" customHeight="1" x14ac:dyDescent="0.25">
      <c r="A140" s="371" t="s">
        <v>251</v>
      </c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66"/>
      <c r="AB140" s="66"/>
      <c r="AC140" s="83"/>
    </row>
    <row r="141" spans="1:68" ht="27" hidden="1" customHeight="1" x14ac:dyDescent="0.25">
      <c r="A141" s="63" t="s">
        <v>252</v>
      </c>
      <c r="B141" s="63" t="s">
        <v>253</v>
      </c>
      <c r="C141" s="36">
        <v>4301190117</v>
      </c>
      <c r="D141" s="372">
        <v>4620207491386</v>
      </c>
      <c r="E141" s="37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43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74"/>
      <c r="R141" s="374"/>
      <c r="S141" s="374"/>
      <c r="T141" s="37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254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255</v>
      </c>
      <c r="B142" s="63" t="s">
        <v>256</v>
      </c>
      <c r="C142" s="36">
        <v>4301190115</v>
      </c>
      <c r="D142" s="372">
        <v>4620207491362</v>
      </c>
      <c r="E142" s="37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43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74"/>
      <c r="R142" s="374"/>
      <c r="S142" s="374"/>
      <c r="T142" s="37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254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257</v>
      </c>
      <c r="B143" s="63" t="s">
        <v>258</v>
      </c>
      <c r="C143" s="36">
        <v>4301190116</v>
      </c>
      <c r="D143" s="372">
        <v>4620207491379</v>
      </c>
      <c r="E143" s="37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123</v>
      </c>
      <c r="L143" s="37" t="s">
        <v>88</v>
      </c>
      <c r="M143" s="38" t="s">
        <v>86</v>
      </c>
      <c r="N143" s="38"/>
      <c r="O143" s="37">
        <v>180</v>
      </c>
      <c r="P143" s="43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74"/>
      <c r="R143" s="374"/>
      <c r="S143" s="374"/>
      <c r="T143" s="37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203" t="s">
        <v>254</v>
      </c>
      <c r="AG143" s="81"/>
      <c r="AJ143" s="87" t="s">
        <v>89</v>
      </c>
      <c r="AK143" s="87">
        <v>1</v>
      </c>
      <c r="BB143" s="204" t="s">
        <v>122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  <c r="P144" s="383" t="s">
        <v>40</v>
      </c>
      <c r="Q144" s="384"/>
      <c r="R144" s="384"/>
      <c r="S144" s="384"/>
      <c r="T144" s="384"/>
      <c r="U144" s="384"/>
      <c r="V144" s="38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  <c r="P145" s="383" t="s">
        <v>40</v>
      </c>
      <c r="Q145" s="384"/>
      <c r="R145" s="384"/>
      <c r="S145" s="384"/>
      <c r="T145" s="384"/>
      <c r="U145" s="384"/>
      <c r="V145" s="38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70" t="s">
        <v>259</v>
      </c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65"/>
      <c r="AB146" s="65"/>
      <c r="AC146" s="82"/>
    </row>
    <row r="147" spans="1:68" ht="14.25" hidden="1" customHeight="1" x14ac:dyDescent="0.25">
      <c r="A147" s="371" t="s">
        <v>169</v>
      </c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66"/>
      <c r="AB147" s="66"/>
      <c r="AC147" s="83"/>
    </row>
    <row r="148" spans="1:68" ht="27" customHeight="1" x14ac:dyDescent="0.25">
      <c r="A148" s="63" t="s">
        <v>260</v>
      </c>
      <c r="B148" s="63" t="s">
        <v>261</v>
      </c>
      <c r="C148" s="36">
        <v>4301135956</v>
      </c>
      <c r="D148" s="372">
        <v>4620207491560</v>
      </c>
      <c r="E148" s="37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43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74"/>
      <c r="R148" s="374"/>
      <c r="S148" s="374"/>
      <c r="T148" s="375"/>
      <c r="U148" s="39" t="s">
        <v>46</v>
      </c>
      <c r="V148" s="39" t="s">
        <v>46</v>
      </c>
      <c r="W148" s="40" t="s">
        <v>39</v>
      </c>
      <c r="X148" s="58">
        <v>70</v>
      </c>
      <c r="Y148" s="55">
        <f>IFERROR(IF(X148="","",X148),"")</f>
        <v>70</v>
      </c>
      <c r="Z148" s="41">
        <f>IFERROR(IF(X148="","",X148*0.01788),"")</f>
        <v>1.2516</v>
      </c>
      <c r="AA148" s="68" t="s">
        <v>46</v>
      </c>
      <c r="AB148" s="69" t="s">
        <v>46</v>
      </c>
      <c r="AC148" s="205" t="s">
        <v>262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259.25200000000001</v>
      </c>
      <c r="BN148" s="81">
        <f>IFERROR(Y148*I148,"0")</f>
        <v>259.25200000000001</v>
      </c>
      <c r="BO148" s="81">
        <f>IFERROR(X148/J148,"0")</f>
        <v>1</v>
      </c>
      <c r="BP148" s="81">
        <f>IFERROR(Y148/J148,"0")</f>
        <v>1</v>
      </c>
    </row>
    <row r="149" spans="1:68" ht="27" customHeight="1" x14ac:dyDescent="0.25">
      <c r="A149" s="63" t="s">
        <v>263</v>
      </c>
      <c r="B149" s="63" t="s">
        <v>264</v>
      </c>
      <c r="C149" s="36">
        <v>4301135962</v>
      </c>
      <c r="D149" s="372">
        <v>4620207491584</v>
      </c>
      <c r="E149" s="37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123</v>
      </c>
      <c r="L149" s="37" t="s">
        <v>88</v>
      </c>
      <c r="M149" s="38" t="s">
        <v>86</v>
      </c>
      <c r="N149" s="38"/>
      <c r="O149" s="37">
        <v>180</v>
      </c>
      <c r="P149" s="43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74"/>
      <c r="R149" s="374"/>
      <c r="S149" s="374"/>
      <c r="T149" s="375"/>
      <c r="U149" s="39" t="s">
        <v>46</v>
      </c>
      <c r="V149" s="39" t="s">
        <v>46</v>
      </c>
      <c r="W149" s="40" t="s">
        <v>39</v>
      </c>
      <c r="X149" s="58">
        <v>154</v>
      </c>
      <c r="Y149" s="55">
        <f>IFERROR(IF(X149="","",X149),"")</f>
        <v>154</v>
      </c>
      <c r="Z149" s="41">
        <f>IFERROR(IF(X149="","",X149*0.01788),"")</f>
        <v>2.75352</v>
      </c>
      <c r="AA149" s="68" t="s">
        <v>46</v>
      </c>
      <c r="AB149" s="69" t="s">
        <v>46</v>
      </c>
      <c r="AC149" s="207" t="s">
        <v>262</v>
      </c>
      <c r="AG149" s="81"/>
      <c r="AJ149" s="87" t="s">
        <v>89</v>
      </c>
      <c r="AK149" s="87">
        <v>1</v>
      </c>
      <c r="BB149" s="208" t="s">
        <v>122</v>
      </c>
      <c r="BM149" s="81">
        <f>IFERROR(X149*I149,"0")</f>
        <v>570.35439999999994</v>
      </c>
      <c r="BN149" s="81">
        <f>IFERROR(Y149*I149,"0")</f>
        <v>570.35439999999994</v>
      </c>
      <c r="BO149" s="81">
        <f>IFERROR(X149/J149,"0")</f>
        <v>2.2000000000000002</v>
      </c>
      <c r="BP149" s="81">
        <f>IFERROR(Y149/J149,"0")</f>
        <v>2.2000000000000002</v>
      </c>
    </row>
    <row r="150" spans="1:68" x14ac:dyDescent="0.2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7"/>
      <c r="P150" s="383" t="s">
        <v>40</v>
      </c>
      <c r="Q150" s="384"/>
      <c r="R150" s="384"/>
      <c r="S150" s="384"/>
      <c r="T150" s="384"/>
      <c r="U150" s="384"/>
      <c r="V150" s="385"/>
      <c r="W150" s="42" t="s">
        <v>39</v>
      </c>
      <c r="X150" s="43">
        <f>IFERROR(SUM(X148:X149),"0")</f>
        <v>224</v>
      </c>
      <c r="Y150" s="43">
        <f>IFERROR(SUM(Y148:Y149),"0")</f>
        <v>224</v>
      </c>
      <c r="Z150" s="43">
        <f>IFERROR(IF(Z148="",0,Z148),"0")+IFERROR(IF(Z149="",0,Z149),"0")</f>
        <v>4.0051199999999998</v>
      </c>
      <c r="AA150" s="67"/>
      <c r="AB150" s="67"/>
      <c r="AC150" s="67"/>
    </row>
    <row r="151" spans="1:68" x14ac:dyDescent="0.2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7"/>
      <c r="P151" s="383" t="s">
        <v>40</v>
      </c>
      <c r="Q151" s="384"/>
      <c r="R151" s="384"/>
      <c r="S151" s="384"/>
      <c r="T151" s="384"/>
      <c r="U151" s="384"/>
      <c r="V151" s="385"/>
      <c r="W151" s="42" t="s">
        <v>0</v>
      </c>
      <c r="X151" s="43">
        <f>IFERROR(SUMPRODUCT(X148:X149*H148:H149),"0")</f>
        <v>672</v>
      </c>
      <c r="Y151" s="43">
        <f>IFERROR(SUMPRODUCT(Y148:Y149*H148:H149),"0")</f>
        <v>672</v>
      </c>
      <c r="Z151" s="42"/>
      <c r="AA151" s="67"/>
      <c r="AB151" s="67"/>
      <c r="AC151" s="67"/>
    </row>
    <row r="152" spans="1:68" ht="16.5" hidden="1" customHeight="1" x14ac:dyDescent="0.25">
      <c r="A152" s="370" t="s">
        <v>265</v>
      </c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65"/>
      <c r="AB152" s="65"/>
      <c r="AC152" s="82"/>
    </row>
    <row r="153" spans="1:68" ht="14.25" hidden="1" customHeight="1" x14ac:dyDescent="0.25">
      <c r="A153" s="371" t="s">
        <v>169</v>
      </c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66"/>
      <c r="AB153" s="66"/>
      <c r="AC153" s="83"/>
    </row>
    <row r="154" spans="1:68" ht="27" customHeight="1" x14ac:dyDescent="0.25">
      <c r="A154" s="63" t="s">
        <v>266</v>
      </c>
      <c r="B154" s="63" t="s">
        <v>267</v>
      </c>
      <c r="C154" s="36">
        <v>4301135954</v>
      </c>
      <c r="D154" s="372">
        <v>4620207491768</v>
      </c>
      <c r="E154" s="37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44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74"/>
      <c r="R154" s="374"/>
      <c r="S154" s="374"/>
      <c r="T154" s="375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9" t="s">
        <v>268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269</v>
      </c>
      <c r="B155" s="63" t="s">
        <v>270</v>
      </c>
      <c r="C155" s="36">
        <v>4301135946</v>
      </c>
      <c r="D155" s="372">
        <v>4620207491553</v>
      </c>
      <c r="E155" s="37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123</v>
      </c>
      <c r="L155" s="37" t="s">
        <v>88</v>
      </c>
      <c r="M155" s="38" t="s">
        <v>86</v>
      </c>
      <c r="N155" s="38"/>
      <c r="O155" s="37">
        <v>180</v>
      </c>
      <c r="P155" s="44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74"/>
      <c r="R155" s="374"/>
      <c r="S155" s="374"/>
      <c r="T155" s="375"/>
      <c r="U155" s="39" t="s">
        <v>46</v>
      </c>
      <c r="V155" s="39" t="s">
        <v>46</v>
      </c>
      <c r="W155" s="40" t="s">
        <v>39</v>
      </c>
      <c r="X155" s="58">
        <v>84</v>
      </c>
      <c r="Y155" s="55">
        <f>IFERROR(IF(X155="","",X155),"")</f>
        <v>84</v>
      </c>
      <c r="Z155" s="41">
        <f>IFERROR(IF(X155="","",X155*0.01788),"")</f>
        <v>1.5019199999999999</v>
      </c>
      <c r="AA155" s="68" t="s">
        <v>46</v>
      </c>
      <c r="AB155" s="69" t="s">
        <v>46</v>
      </c>
      <c r="AC155" s="211" t="s">
        <v>268</v>
      </c>
      <c r="AG155" s="81"/>
      <c r="AJ155" s="87" t="s">
        <v>89</v>
      </c>
      <c r="AK155" s="87">
        <v>1</v>
      </c>
      <c r="BB155" s="212" t="s">
        <v>122</v>
      </c>
      <c r="BM155" s="81">
        <f>IFERROR(X155*I155,"0")</f>
        <v>311.10239999999999</v>
      </c>
      <c r="BN155" s="81">
        <f>IFERROR(Y155*I155,"0")</f>
        <v>311.10239999999999</v>
      </c>
      <c r="BO155" s="81">
        <f>IFERROR(X155/J155,"0")</f>
        <v>1.2</v>
      </c>
      <c r="BP155" s="81">
        <f>IFERROR(Y155/J155,"0")</f>
        <v>1.2</v>
      </c>
    </row>
    <row r="156" spans="1:68" x14ac:dyDescent="0.2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7"/>
      <c r="P156" s="383" t="s">
        <v>40</v>
      </c>
      <c r="Q156" s="384"/>
      <c r="R156" s="384"/>
      <c r="S156" s="384"/>
      <c r="T156" s="384"/>
      <c r="U156" s="384"/>
      <c r="V156" s="385"/>
      <c r="W156" s="42" t="s">
        <v>39</v>
      </c>
      <c r="X156" s="43">
        <f>IFERROR(SUM(X154:X155),"0")</f>
        <v>112</v>
      </c>
      <c r="Y156" s="43">
        <f>IFERROR(SUM(Y154:Y155),"0")</f>
        <v>112</v>
      </c>
      <c r="Z156" s="43">
        <f>IFERROR(IF(Z154="",0,Z154),"0")+IFERROR(IF(Z155="",0,Z155),"0")</f>
        <v>2.0025599999999999</v>
      </c>
      <c r="AA156" s="67"/>
      <c r="AB156" s="67"/>
      <c r="AC156" s="67"/>
    </row>
    <row r="157" spans="1:68" x14ac:dyDescent="0.2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7"/>
      <c r="P157" s="383" t="s">
        <v>40</v>
      </c>
      <c r="Q157" s="384"/>
      <c r="R157" s="384"/>
      <c r="S157" s="384"/>
      <c r="T157" s="384"/>
      <c r="U157" s="384"/>
      <c r="V157" s="385"/>
      <c r="W157" s="42" t="s">
        <v>0</v>
      </c>
      <c r="X157" s="43">
        <f>IFERROR(SUMPRODUCT(X154:X155*H154:H155),"0")</f>
        <v>336</v>
      </c>
      <c r="Y157" s="43">
        <f>IFERROR(SUMPRODUCT(Y154:Y155*H154:H155),"0")</f>
        <v>336</v>
      </c>
      <c r="Z157" s="42"/>
      <c r="AA157" s="67"/>
      <c r="AB157" s="67"/>
      <c r="AC157" s="67"/>
    </row>
    <row r="158" spans="1:68" ht="16.5" hidden="1" customHeight="1" x14ac:dyDescent="0.25">
      <c r="A158" s="370" t="s">
        <v>271</v>
      </c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65"/>
      <c r="AB158" s="65"/>
      <c r="AC158" s="82"/>
    </row>
    <row r="159" spans="1:68" ht="14.25" hidden="1" customHeight="1" x14ac:dyDescent="0.25">
      <c r="A159" s="371" t="s">
        <v>169</v>
      </c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66"/>
      <c r="AB159" s="66"/>
      <c r="AC159" s="83"/>
    </row>
    <row r="160" spans="1:68" ht="27" customHeight="1" x14ac:dyDescent="0.25">
      <c r="A160" s="63" t="s">
        <v>272</v>
      </c>
      <c r="B160" s="63" t="s">
        <v>273</v>
      </c>
      <c r="C160" s="36">
        <v>4301135926</v>
      </c>
      <c r="D160" s="372">
        <v>4620207491669</v>
      </c>
      <c r="E160" s="37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88</v>
      </c>
      <c r="M160" s="38" t="s">
        <v>86</v>
      </c>
      <c r="N160" s="38"/>
      <c r="O160" s="37">
        <v>180</v>
      </c>
      <c r="P160" s="44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0" s="374"/>
      <c r="R160" s="374"/>
      <c r="S160" s="374"/>
      <c r="T160" s="375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13" t="s">
        <v>274</v>
      </c>
      <c r="AG160" s="81"/>
      <c r="AJ160" s="87" t="s">
        <v>89</v>
      </c>
      <c r="AK160" s="87">
        <v>1</v>
      </c>
      <c r="BB160" s="214" t="s">
        <v>122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hidden="1" customHeight="1" x14ac:dyDescent="0.25">
      <c r="A161" s="63" t="s">
        <v>275</v>
      </c>
      <c r="B161" s="63" t="s">
        <v>276</v>
      </c>
      <c r="C161" s="36">
        <v>4301135928</v>
      </c>
      <c r="D161" s="372">
        <v>4620207491669</v>
      </c>
      <c r="E161" s="372"/>
      <c r="F161" s="62">
        <v>0.2</v>
      </c>
      <c r="G161" s="37">
        <v>6</v>
      </c>
      <c r="H161" s="62">
        <v>1.2</v>
      </c>
      <c r="I161" s="62">
        <v>1.41</v>
      </c>
      <c r="J161" s="37">
        <v>140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443" t="str">
        <f>HYPERLINK("https://abi.ru/products/Замороженные/Горячая штучка/Круггетсы/Снеки/P005483/","Снеки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1" s="374"/>
      <c r="R161" s="374"/>
      <c r="S161" s="374"/>
      <c r="T161" s="37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IFERROR(IF(X161="","",X161*0.00941),"")</f>
        <v>0</v>
      </c>
      <c r="AA161" s="68" t="s">
        <v>46</v>
      </c>
      <c r="AB161" s="69" t="s">
        <v>46</v>
      </c>
      <c r="AC161" s="215" t="s">
        <v>274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277</v>
      </c>
      <c r="B162" s="63" t="s">
        <v>278</v>
      </c>
      <c r="C162" s="36">
        <v>4301135932</v>
      </c>
      <c r="D162" s="372">
        <v>4620207491676</v>
      </c>
      <c r="E162" s="372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123</v>
      </c>
      <c r="L162" s="37" t="s">
        <v>88</v>
      </c>
      <c r="M162" s="38" t="s">
        <v>86</v>
      </c>
      <c r="N162" s="38"/>
      <c r="O162" s="37">
        <v>180</v>
      </c>
      <c r="P162" s="44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74"/>
      <c r="R162" s="374"/>
      <c r="S162" s="374"/>
      <c r="T162" s="375"/>
      <c r="U162" s="39" t="s">
        <v>46</v>
      </c>
      <c r="V162" s="39" t="s">
        <v>46</v>
      </c>
      <c r="W162" s="40" t="s">
        <v>39</v>
      </c>
      <c r="X162" s="58">
        <v>14</v>
      </c>
      <c r="Y162" s="55">
        <f>IFERROR(IF(X162="","",X162),"")</f>
        <v>14</v>
      </c>
      <c r="Z162" s="41">
        <f>IFERROR(IF(X162="","",X162*0.01788),"")</f>
        <v>0.25031999999999999</v>
      </c>
      <c r="AA162" s="68" t="s">
        <v>46</v>
      </c>
      <c r="AB162" s="69" t="s">
        <v>46</v>
      </c>
      <c r="AC162" s="217" t="s">
        <v>274</v>
      </c>
      <c r="AG162" s="81"/>
      <c r="AJ162" s="87" t="s">
        <v>89</v>
      </c>
      <c r="AK162" s="87">
        <v>1</v>
      </c>
      <c r="BB162" s="218" t="s">
        <v>122</v>
      </c>
      <c r="BM162" s="81">
        <f>IFERROR(X162*I162,"0")</f>
        <v>37.520000000000003</v>
      </c>
      <c r="BN162" s="81">
        <f>IFERROR(Y162*I162,"0")</f>
        <v>37.520000000000003</v>
      </c>
      <c r="BO162" s="81">
        <f>IFERROR(X162/J162,"0")</f>
        <v>0.2</v>
      </c>
      <c r="BP162" s="81">
        <f>IFERROR(Y162/J162,"0")</f>
        <v>0.2</v>
      </c>
    </row>
    <row r="163" spans="1:68" x14ac:dyDescent="0.2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3" t="s">
        <v>40</v>
      </c>
      <c r="Q163" s="384"/>
      <c r="R163" s="384"/>
      <c r="S163" s="384"/>
      <c r="T163" s="384"/>
      <c r="U163" s="384"/>
      <c r="V163" s="385"/>
      <c r="W163" s="42" t="s">
        <v>39</v>
      </c>
      <c r="X163" s="43">
        <f>IFERROR(SUM(X160:X162),"0")</f>
        <v>42</v>
      </c>
      <c r="Y163" s="43">
        <f>IFERROR(SUM(Y160:Y162),"0")</f>
        <v>42</v>
      </c>
      <c r="Z163" s="43">
        <f>IFERROR(IF(Z160="",0,Z160),"0")+IFERROR(IF(Z161="",0,Z161),"0")+IFERROR(IF(Z162="",0,Z162),"0")</f>
        <v>0.75095999999999996</v>
      </c>
      <c r="AA163" s="67"/>
      <c r="AB163" s="67"/>
      <c r="AC163" s="67"/>
    </row>
    <row r="164" spans="1:68" x14ac:dyDescent="0.2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7"/>
      <c r="P164" s="383" t="s">
        <v>40</v>
      </c>
      <c r="Q164" s="384"/>
      <c r="R164" s="384"/>
      <c r="S164" s="384"/>
      <c r="T164" s="384"/>
      <c r="U164" s="384"/>
      <c r="V164" s="385"/>
      <c r="W164" s="42" t="s">
        <v>0</v>
      </c>
      <c r="X164" s="43">
        <f>IFERROR(SUMPRODUCT(X160:X162*H160:H162),"0")</f>
        <v>100.80000000000001</v>
      </c>
      <c r="Y164" s="43">
        <f>IFERROR(SUMPRODUCT(Y160:Y162*H160:H162),"0")</f>
        <v>100.80000000000001</v>
      </c>
      <c r="Z164" s="42"/>
      <c r="AA164" s="67"/>
      <c r="AB164" s="67"/>
      <c r="AC164" s="67"/>
    </row>
    <row r="165" spans="1:68" ht="16.5" hidden="1" customHeight="1" x14ac:dyDescent="0.25">
      <c r="A165" s="370" t="s">
        <v>279</v>
      </c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65"/>
      <c r="AB165" s="65"/>
      <c r="AC165" s="82"/>
    </row>
    <row r="166" spans="1:68" ht="14.25" hidden="1" customHeight="1" x14ac:dyDescent="0.25">
      <c r="A166" s="371" t="s">
        <v>169</v>
      </c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66"/>
      <c r="AB166" s="66"/>
      <c r="AC166" s="83"/>
    </row>
    <row r="167" spans="1:68" ht="27" hidden="1" customHeight="1" x14ac:dyDescent="0.25">
      <c r="A167" s="63" t="s">
        <v>280</v>
      </c>
      <c r="B167" s="63" t="s">
        <v>281</v>
      </c>
      <c r="C167" s="36">
        <v>4301135570</v>
      </c>
      <c r="D167" s="372">
        <v>4607111035806</v>
      </c>
      <c r="E167" s="372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123</v>
      </c>
      <c r="L167" s="37" t="s">
        <v>124</v>
      </c>
      <c r="M167" s="38" t="s">
        <v>86</v>
      </c>
      <c r="N167" s="38"/>
      <c r="O167" s="37">
        <v>180</v>
      </c>
      <c r="P167" s="4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74"/>
      <c r="R167" s="374"/>
      <c r="S167" s="374"/>
      <c r="T167" s="37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9" t="s">
        <v>282</v>
      </c>
      <c r="AG167" s="81"/>
      <c r="AJ167" s="87" t="s">
        <v>125</v>
      </c>
      <c r="AK167" s="87">
        <v>14</v>
      </c>
      <c r="BB167" s="220" t="s">
        <v>122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4301135940</v>
      </c>
      <c r="D168" s="372">
        <v>4620207491614</v>
      </c>
      <c r="E168" s="372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123</v>
      </c>
      <c r="L168" s="37" t="s">
        <v>88</v>
      </c>
      <c r="M168" s="38" t="s">
        <v>86</v>
      </c>
      <c r="N168" s="38"/>
      <c r="O168" s="37">
        <v>180</v>
      </c>
      <c r="P168" s="44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74"/>
      <c r="R168" s="374"/>
      <c r="S168" s="374"/>
      <c r="T168" s="375"/>
      <c r="U168" s="39" t="s">
        <v>46</v>
      </c>
      <c r="V168" s="39" t="s">
        <v>46</v>
      </c>
      <c r="W168" s="40" t="s">
        <v>39</v>
      </c>
      <c r="X168" s="58">
        <v>14</v>
      </c>
      <c r="Y168" s="55">
        <f>IFERROR(IF(X168="","",X168),"")</f>
        <v>14</v>
      </c>
      <c r="Z168" s="41">
        <f>IFERROR(IF(X168="","",X168*0.01788),"")</f>
        <v>0.25031999999999999</v>
      </c>
      <c r="AA168" s="68" t="s">
        <v>46</v>
      </c>
      <c r="AB168" s="69" t="s">
        <v>46</v>
      </c>
      <c r="AC168" s="221" t="s">
        <v>172</v>
      </c>
      <c r="AG168" s="81"/>
      <c r="AJ168" s="87" t="s">
        <v>89</v>
      </c>
      <c r="AK168" s="87">
        <v>1</v>
      </c>
      <c r="BB168" s="222" t="s">
        <v>122</v>
      </c>
      <c r="BM168" s="81">
        <f>IFERROR(X168*I168,"0")</f>
        <v>51.850399999999993</v>
      </c>
      <c r="BN168" s="81">
        <f>IFERROR(Y168*I168,"0")</f>
        <v>51.850399999999993</v>
      </c>
      <c r="BO168" s="81">
        <f>IFERROR(X168/J168,"0")</f>
        <v>0.2</v>
      </c>
      <c r="BP168" s="81">
        <f>IFERROR(Y168/J168,"0")</f>
        <v>0.2</v>
      </c>
    </row>
    <row r="169" spans="1:68" x14ac:dyDescent="0.2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7"/>
      <c r="P169" s="383" t="s">
        <v>40</v>
      </c>
      <c r="Q169" s="384"/>
      <c r="R169" s="384"/>
      <c r="S169" s="384"/>
      <c r="T169" s="384"/>
      <c r="U169" s="384"/>
      <c r="V169" s="385"/>
      <c r="W169" s="42" t="s">
        <v>39</v>
      </c>
      <c r="X169" s="43">
        <f>IFERROR(SUM(X167:X168),"0")</f>
        <v>14</v>
      </c>
      <c r="Y169" s="43">
        <f>IFERROR(SUM(Y167:Y168),"0")</f>
        <v>14</v>
      </c>
      <c r="Z169" s="43">
        <f>IFERROR(IF(Z167="",0,Z167),"0")+IFERROR(IF(Z168="",0,Z168),"0")</f>
        <v>0.25031999999999999</v>
      </c>
      <c r="AA169" s="67"/>
      <c r="AB169" s="67"/>
      <c r="AC169" s="67"/>
    </row>
    <row r="170" spans="1:68" x14ac:dyDescent="0.2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7"/>
      <c r="P170" s="383" t="s">
        <v>40</v>
      </c>
      <c r="Q170" s="384"/>
      <c r="R170" s="384"/>
      <c r="S170" s="384"/>
      <c r="T170" s="384"/>
      <c r="U170" s="384"/>
      <c r="V170" s="385"/>
      <c r="W170" s="42" t="s">
        <v>0</v>
      </c>
      <c r="X170" s="43">
        <f>IFERROR(SUMPRODUCT(X167:X168*H167:H168),"0")</f>
        <v>42</v>
      </c>
      <c r="Y170" s="43">
        <f>IFERROR(SUMPRODUCT(Y167:Y168*H167:H168),"0")</f>
        <v>42</v>
      </c>
      <c r="Z170" s="42"/>
      <c r="AA170" s="67"/>
      <c r="AB170" s="67"/>
      <c r="AC170" s="67"/>
    </row>
    <row r="171" spans="1:68" ht="16.5" hidden="1" customHeight="1" x14ac:dyDescent="0.25">
      <c r="A171" s="370" t="s">
        <v>285</v>
      </c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65"/>
      <c r="AB171" s="65"/>
      <c r="AC171" s="82"/>
    </row>
    <row r="172" spans="1:68" ht="14.25" hidden="1" customHeight="1" x14ac:dyDescent="0.25">
      <c r="A172" s="371" t="s">
        <v>169</v>
      </c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66"/>
      <c r="AB172" s="66"/>
      <c r="AC172" s="83"/>
    </row>
    <row r="173" spans="1:68" ht="16.5" hidden="1" customHeight="1" x14ac:dyDescent="0.25">
      <c r="A173" s="63" t="s">
        <v>286</v>
      </c>
      <c r="B173" s="63" t="s">
        <v>287</v>
      </c>
      <c r="C173" s="36">
        <v>4301135607</v>
      </c>
      <c r="D173" s="372">
        <v>4607111039613</v>
      </c>
      <c r="E173" s="372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123</v>
      </c>
      <c r="L173" s="37" t="s">
        <v>124</v>
      </c>
      <c r="M173" s="38" t="s">
        <v>86</v>
      </c>
      <c r="N173" s="38"/>
      <c r="O173" s="37">
        <v>180</v>
      </c>
      <c r="P173" s="44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74"/>
      <c r="R173" s="374"/>
      <c r="S173" s="374"/>
      <c r="T173" s="37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23" t="s">
        <v>288</v>
      </c>
      <c r="AG173" s="81"/>
      <c r="AJ173" s="87" t="s">
        <v>125</v>
      </c>
      <c r="AK173" s="87">
        <v>14</v>
      </c>
      <c r="BB173" s="224" t="s">
        <v>122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7"/>
      <c r="P174" s="383" t="s">
        <v>40</v>
      </c>
      <c r="Q174" s="384"/>
      <c r="R174" s="384"/>
      <c r="S174" s="384"/>
      <c r="T174" s="384"/>
      <c r="U174" s="384"/>
      <c r="V174" s="38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7"/>
      <c r="P175" s="383" t="s">
        <v>40</v>
      </c>
      <c r="Q175" s="384"/>
      <c r="R175" s="384"/>
      <c r="S175" s="384"/>
      <c r="T175" s="384"/>
      <c r="U175" s="384"/>
      <c r="V175" s="38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hidden="1" customHeight="1" x14ac:dyDescent="0.25">
      <c r="A176" s="370" t="s">
        <v>289</v>
      </c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65"/>
      <c r="AB176" s="65"/>
      <c r="AC176" s="82"/>
    </row>
    <row r="177" spans="1:68" ht="14.25" hidden="1" customHeight="1" x14ac:dyDescent="0.25">
      <c r="A177" s="371" t="s">
        <v>169</v>
      </c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66"/>
      <c r="AB177" s="66"/>
      <c r="AC177" s="83"/>
    </row>
    <row r="178" spans="1:68" ht="27" customHeight="1" x14ac:dyDescent="0.25">
      <c r="A178" s="63" t="s">
        <v>290</v>
      </c>
      <c r="B178" s="63" t="s">
        <v>291</v>
      </c>
      <c r="C178" s="36">
        <v>4301135912</v>
      </c>
      <c r="D178" s="372">
        <v>4620207491751</v>
      </c>
      <c r="E178" s="372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123</v>
      </c>
      <c r="L178" s="37" t="s">
        <v>88</v>
      </c>
      <c r="M178" s="38" t="s">
        <v>86</v>
      </c>
      <c r="N178" s="38"/>
      <c r="O178" s="37">
        <v>180</v>
      </c>
      <c r="P178" s="44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74"/>
      <c r="R178" s="374"/>
      <c r="S178" s="374"/>
      <c r="T178" s="375"/>
      <c r="U178" s="39" t="s">
        <v>46</v>
      </c>
      <c r="V178" s="39" t="s">
        <v>46</v>
      </c>
      <c r="W178" s="40" t="s">
        <v>39</v>
      </c>
      <c r="X178" s="58">
        <v>42</v>
      </c>
      <c r="Y178" s="55">
        <f>IFERROR(IF(X178="","",X178),"")</f>
        <v>42</v>
      </c>
      <c r="Z178" s="41">
        <f>IFERROR(IF(X178="","",X178*0.00941),"")</f>
        <v>0.39522000000000002</v>
      </c>
      <c r="AA178" s="68" t="s">
        <v>46</v>
      </c>
      <c r="AB178" s="69" t="s">
        <v>46</v>
      </c>
      <c r="AC178" s="225" t="s">
        <v>172</v>
      </c>
      <c r="AG178" s="81"/>
      <c r="AJ178" s="87" t="s">
        <v>89</v>
      </c>
      <c r="AK178" s="87">
        <v>1</v>
      </c>
      <c r="BB178" s="226" t="s">
        <v>122</v>
      </c>
      <c r="BM178" s="81">
        <f>IFERROR(X178*I178,"0")</f>
        <v>88.275599999999997</v>
      </c>
      <c r="BN178" s="81">
        <f>IFERROR(Y178*I178,"0")</f>
        <v>88.275599999999997</v>
      </c>
      <c r="BO178" s="81">
        <f>IFERROR(X178/J178,"0")</f>
        <v>0.3</v>
      </c>
      <c r="BP178" s="81">
        <f>IFERROR(Y178/J178,"0")</f>
        <v>0.3</v>
      </c>
    </row>
    <row r="179" spans="1:68" x14ac:dyDescent="0.2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7"/>
      <c r="P179" s="383" t="s">
        <v>40</v>
      </c>
      <c r="Q179" s="384"/>
      <c r="R179" s="384"/>
      <c r="S179" s="384"/>
      <c r="T179" s="384"/>
      <c r="U179" s="384"/>
      <c r="V179" s="385"/>
      <c r="W179" s="42" t="s">
        <v>39</v>
      </c>
      <c r="X179" s="43">
        <f>IFERROR(SUM(X178:X178),"0")</f>
        <v>42</v>
      </c>
      <c r="Y179" s="43">
        <f>IFERROR(SUM(Y178:Y178),"0")</f>
        <v>42</v>
      </c>
      <c r="Z179" s="43">
        <f>IFERROR(IF(Z178="",0,Z178),"0")</f>
        <v>0.39522000000000002</v>
      </c>
      <c r="AA179" s="67"/>
      <c r="AB179" s="67"/>
      <c r="AC179" s="67"/>
    </row>
    <row r="180" spans="1:68" x14ac:dyDescent="0.2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7"/>
      <c r="P180" s="383" t="s">
        <v>40</v>
      </c>
      <c r="Q180" s="384"/>
      <c r="R180" s="384"/>
      <c r="S180" s="384"/>
      <c r="T180" s="384"/>
      <c r="U180" s="384"/>
      <c r="V180" s="385"/>
      <c r="W180" s="42" t="s">
        <v>0</v>
      </c>
      <c r="X180" s="43">
        <f>IFERROR(SUMPRODUCT(X178:X178*H178:H178),"0")</f>
        <v>70.56</v>
      </c>
      <c r="Y180" s="43">
        <f>IFERROR(SUMPRODUCT(Y178:Y178*H178:H178),"0")</f>
        <v>70.56</v>
      </c>
      <c r="Z180" s="42"/>
      <c r="AA180" s="67"/>
      <c r="AB180" s="67"/>
      <c r="AC180" s="67"/>
    </row>
    <row r="181" spans="1:68" ht="27.75" hidden="1" customHeight="1" x14ac:dyDescent="0.2">
      <c r="A181" s="369" t="s">
        <v>292</v>
      </c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  <c r="AA181" s="54"/>
      <c r="AB181" s="54"/>
      <c r="AC181" s="54"/>
    </row>
    <row r="182" spans="1:68" ht="16.5" hidden="1" customHeight="1" x14ac:dyDescent="0.25">
      <c r="A182" s="370" t="s">
        <v>293</v>
      </c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65"/>
      <c r="AB182" s="65"/>
      <c r="AC182" s="82"/>
    </row>
    <row r="183" spans="1:68" ht="14.25" hidden="1" customHeight="1" x14ac:dyDescent="0.25">
      <c r="A183" s="371" t="s">
        <v>118</v>
      </c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66"/>
      <c r="AB183" s="66"/>
      <c r="AC183" s="83"/>
    </row>
    <row r="184" spans="1:68" ht="27" customHeight="1" x14ac:dyDescent="0.25">
      <c r="A184" s="63" t="s">
        <v>294</v>
      </c>
      <c r="B184" s="63" t="s">
        <v>295</v>
      </c>
      <c r="C184" s="36">
        <v>4301132226</v>
      </c>
      <c r="D184" s="372">
        <v>4620207490631</v>
      </c>
      <c r="E184" s="372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4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74"/>
      <c r="R184" s="374"/>
      <c r="S184" s="374"/>
      <c r="T184" s="375"/>
      <c r="U184" s="39" t="s">
        <v>46</v>
      </c>
      <c r="V184" s="39" t="s">
        <v>46</v>
      </c>
      <c r="W184" s="40" t="s">
        <v>39</v>
      </c>
      <c r="X184" s="58">
        <v>144</v>
      </c>
      <c r="Y184" s="55">
        <f>IFERROR(IF(X184="","",X184),"")</f>
        <v>144</v>
      </c>
      <c r="Z184" s="41">
        <f>IFERROR(IF(X184="","",X184*0.0155),"")</f>
        <v>2.2320000000000002</v>
      </c>
      <c r="AA184" s="68" t="s">
        <v>46</v>
      </c>
      <c r="AB184" s="69" t="s">
        <v>46</v>
      </c>
      <c r="AC184" s="227" t="s">
        <v>296</v>
      </c>
      <c r="AG184" s="81"/>
      <c r="AJ184" s="87" t="s">
        <v>89</v>
      </c>
      <c r="AK184" s="87">
        <v>1</v>
      </c>
      <c r="BB184" s="228" t="s">
        <v>122</v>
      </c>
      <c r="BM184" s="81">
        <f>IFERROR(X184*I184,"0")</f>
        <v>897.84</v>
      </c>
      <c r="BN184" s="81">
        <f>IFERROR(Y184*I184,"0")</f>
        <v>897.84</v>
      </c>
      <c r="BO184" s="81">
        <f>IFERROR(X184/J184,"0")</f>
        <v>1.7142857142857142</v>
      </c>
      <c r="BP184" s="81">
        <f>IFERROR(Y184/J184,"0")</f>
        <v>1.7142857142857142</v>
      </c>
    </row>
    <row r="185" spans="1:68" x14ac:dyDescent="0.2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  <c r="P185" s="383" t="s">
        <v>40</v>
      </c>
      <c r="Q185" s="384"/>
      <c r="R185" s="384"/>
      <c r="S185" s="384"/>
      <c r="T185" s="384"/>
      <c r="U185" s="384"/>
      <c r="V185" s="385"/>
      <c r="W185" s="42" t="s">
        <v>39</v>
      </c>
      <c r="X185" s="43">
        <f>IFERROR(SUM(X184:X184),"0")</f>
        <v>144</v>
      </c>
      <c r="Y185" s="43">
        <f>IFERROR(SUM(Y184:Y184),"0")</f>
        <v>144</v>
      </c>
      <c r="Z185" s="43">
        <f>IFERROR(IF(Z184="",0,Z184),"0")</f>
        <v>2.2320000000000002</v>
      </c>
      <c r="AA185" s="67"/>
      <c r="AB185" s="67"/>
      <c r="AC185" s="67"/>
    </row>
    <row r="186" spans="1:68" x14ac:dyDescent="0.2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  <c r="P186" s="383" t="s">
        <v>40</v>
      </c>
      <c r="Q186" s="384"/>
      <c r="R186" s="384"/>
      <c r="S186" s="384"/>
      <c r="T186" s="384"/>
      <c r="U186" s="384"/>
      <c r="V186" s="385"/>
      <c r="W186" s="42" t="s">
        <v>0</v>
      </c>
      <c r="X186" s="43">
        <f>IFERROR(SUMPRODUCT(X184:X184*H184:H184),"0")</f>
        <v>864</v>
      </c>
      <c r="Y186" s="43">
        <f>IFERROR(SUMPRODUCT(Y184:Y184*H184:H184),"0")</f>
        <v>864</v>
      </c>
      <c r="Z186" s="42"/>
      <c r="AA186" s="67"/>
      <c r="AB186" s="67"/>
      <c r="AC186" s="67"/>
    </row>
    <row r="187" spans="1:68" ht="14.25" hidden="1" customHeight="1" x14ac:dyDescent="0.25">
      <c r="A187" s="371" t="s">
        <v>169</v>
      </c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66"/>
      <c r="AB187" s="66"/>
      <c r="AC187" s="83"/>
    </row>
    <row r="188" spans="1:68" ht="16.5" hidden="1" customHeight="1" x14ac:dyDescent="0.25">
      <c r="A188" s="63" t="s">
        <v>297</v>
      </c>
      <c r="B188" s="63" t="s">
        <v>298</v>
      </c>
      <c r="C188" s="36">
        <v>4301135679</v>
      </c>
      <c r="D188" s="372">
        <v>4620207490372</v>
      </c>
      <c r="E188" s="372"/>
      <c r="F188" s="62">
        <v>5.5</v>
      </c>
      <c r="G188" s="37">
        <v>1</v>
      </c>
      <c r="H188" s="62">
        <v>5.5</v>
      </c>
      <c r="I188" s="62">
        <v>5.7350000000000003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450" t="str">
        <f>HYPERLINK("https://abi.ru/products/Замороженные/No Name/Зареченские продукты/Снеки/P004783/","Снеки «Жар-мени с мясом» Весовой ТМ «No Name» 5,5 кг")</f>
        <v>Снеки «Жар-мени с мясом» Весовой ТМ «No Name» 5,5 кг</v>
      </c>
      <c r="Q188" s="374"/>
      <c r="R188" s="374"/>
      <c r="S188" s="374"/>
      <c r="T188" s="37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9" t="s">
        <v>299</v>
      </c>
      <c r="AG188" s="81"/>
      <c r="AJ188" s="87" t="s">
        <v>89</v>
      </c>
      <c r="AK188" s="87">
        <v>1</v>
      </c>
      <c r="BB188" s="230" t="s">
        <v>122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16.5" hidden="1" customHeight="1" x14ac:dyDescent="0.25">
      <c r="A189" s="63" t="s">
        <v>300</v>
      </c>
      <c r="B189" s="63" t="s">
        <v>301</v>
      </c>
      <c r="C189" s="36">
        <v>4301137080</v>
      </c>
      <c r="D189" s="372">
        <v>4620207492062</v>
      </c>
      <c r="E189" s="372"/>
      <c r="F189" s="62">
        <v>5.5</v>
      </c>
      <c r="G189" s="37">
        <v>1</v>
      </c>
      <c r="H189" s="62">
        <v>5.5</v>
      </c>
      <c r="I189" s="62">
        <v>5.7350000000000003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451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9" s="374"/>
      <c r="R189" s="374"/>
      <c r="S189" s="374"/>
      <c r="T189" s="375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31" t="s">
        <v>302</v>
      </c>
      <c r="AG189" s="81"/>
      <c r="AJ189" s="87" t="s">
        <v>89</v>
      </c>
      <c r="AK189" s="87">
        <v>1</v>
      </c>
      <c r="BB189" s="232" t="s">
        <v>122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303</v>
      </c>
      <c r="B190" s="63" t="s">
        <v>304</v>
      </c>
      <c r="C190" s="36">
        <v>4301135392</v>
      </c>
      <c r="D190" s="372">
        <v>4607111039132</v>
      </c>
      <c r="E190" s="372"/>
      <c r="F190" s="62">
        <v>3.7</v>
      </c>
      <c r="G190" s="37">
        <v>1</v>
      </c>
      <c r="H190" s="62">
        <v>3.7</v>
      </c>
      <c r="I190" s="62">
        <v>3.8919999999999999</v>
      </c>
      <c r="J190" s="37">
        <v>126</v>
      </c>
      <c r="K190" s="37" t="s">
        <v>123</v>
      </c>
      <c r="L190" s="37" t="s">
        <v>88</v>
      </c>
      <c r="M190" s="38" t="s">
        <v>86</v>
      </c>
      <c r="N190" s="38"/>
      <c r="O190" s="37">
        <v>180</v>
      </c>
      <c r="P190" s="45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0" s="374"/>
      <c r="R190" s="374"/>
      <c r="S190" s="374"/>
      <c r="T190" s="375"/>
      <c r="U190" s="39" t="s">
        <v>46</v>
      </c>
      <c r="V190" s="39" t="s">
        <v>46</v>
      </c>
      <c r="W190" s="40" t="s">
        <v>39</v>
      </c>
      <c r="X190" s="58">
        <v>14</v>
      </c>
      <c r="Y190" s="55">
        <f>IFERROR(IF(X190="","",X190),"")</f>
        <v>14</v>
      </c>
      <c r="Z190" s="41">
        <f>IFERROR(IF(X190="","",X190*0.00936),"")</f>
        <v>0.13103999999999999</v>
      </c>
      <c r="AA190" s="68" t="s">
        <v>46</v>
      </c>
      <c r="AB190" s="69" t="s">
        <v>46</v>
      </c>
      <c r="AC190" s="233" t="s">
        <v>305</v>
      </c>
      <c r="AG190" s="81"/>
      <c r="AJ190" s="87" t="s">
        <v>89</v>
      </c>
      <c r="AK190" s="87">
        <v>1</v>
      </c>
      <c r="BB190" s="234" t="s">
        <v>122</v>
      </c>
      <c r="BM190" s="81">
        <f>IFERROR(X190*I190,"0")</f>
        <v>54.488</v>
      </c>
      <c r="BN190" s="81">
        <f>IFERROR(Y190*I190,"0")</f>
        <v>54.488</v>
      </c>
      <c r="BO190" s="81">
        <f>IFERROR(X190/J190,"0")</f>
        <v>0.1111111111111111</v>
      </c>
      <c r="BP190" s="81">
        <f>IFERROR(Y190/J190,"0")</f>
        <v>0.1111111111111111</v>
      </c>
    </row>
    <row r="191" spans="1:68" x14ac:dyDescent="0.2">
      <c r="A191" s="386"/>
      <c r="B191" s="386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  <c r="P191" s="383" t="s">
        <v>40</v>
      </c>
      <c r="Q191" s="384"/>
      <c r="R191" s="384"/>
      <c r="S191" s="384"/>
      <c r="T191" s="384"/>
      <c r="U191" s="384"/>
      <c r="V191" s="385"/>
      <c r="W191" s="42" t="s">
        <v>39</v>
      </c>
      <c r="X191" s="43">
        <f>IFERROR(SUM(X188:X190),"0")</f>
        <v>14</v>
      </c>
      <c r="Y191" s="43">
        <f>IFERROR(SUM(Y188:Y190),"0")</f>
        <v>14</v>
      </c>
      <c r="Z191" s="43">
        <f>IFERROR(IF(Z188="",0,Z188),"0")+IFERROR(IF(Z189="",0,Z189),"0")+IFERROR(IF(Z190="",0,Z190),"0")</f>
        <v>0.13103999999999999</v>
      </c>
      <c r="AA191" s="67"/>
      <c r="AB191" s="67"/>
      <c r="AC191" s="67"/>
    </row>
    <row r="192" spans="1:68" x14ac:dyDescent="0.2">
      <c r="A192" s="386"/>
      <c r="B192" s="386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7"/>
      <c r="P192" s="383" t="s">
        <v>40</v>
      </c>
      <c r="Q192" s="384"/>
      <c r="R192" s="384"/>
      <c r="S192" s="384"/>
      <c r="T192" s="384"/>
      <c r="U192" s="384"/>
      <c r="V192" s="385"/>
      <c r="W192" s="42" t="s">
        <v>0</v>
      </c>
      <c r="X192" s="43">
        <f>IFERROR(SUMPRODUCT(X188:X190*H188:H190),"0")</f>
        <v>51.800000000000004</v>
      </c>
      <c r="Y192" s="43">
        <f>IFERROR(SUMPRODUCT(Y188:Y190*H188:H190),"0")</f>
        <v>51.800000000000004</v>
      </c>
      <c r="Z192" s="42"/>
      <c r="AA192" s="67"/>
      <c r="AB192" s="67"/>
      <c r="AC192" s="67"/>
    </row>
    <row r="193" spans="1:68" ht="16.5" hidden="1" customHeight="1" x14ac:dyDescent="0.25">
      <c r="A193" s="370" t="s">
        <v>306</v>
      </c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65"/>
      <c r="AB193" s="65"/>
      <c r="AC193" s="82"/>
    </row>
    <row r="194" spans="1:68" ht="14.25" hidden="1" customHeight="1" x14ac:dyDescent="0.25">
      <c r="A194" s="371" t="s">
        <v>82</v>
      </c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  <c r="AA194" s="66"/>
      <c r="AB194" s="66"/>
      <c r="AC194" s="83"/>
    </row>
    <row r="195" spans="1:68" ht="16.5" hidden="1" customHeight="1" x14ac:dyDescent="0.25">
      <c r="A195" s="63" t="s">
        <v>307</v>
      </c>
      <c r="B195" s="63" t="s">
        <v>308</v>
      </c>
      <c r="C195" s="36">
        <v>4301071062</v>
      </c>
      <c r="D195" s="372">
        <v>4607111036384</v>
      </c>
      <c r="E195" s="372"/>
      <c r="F195" s="62">
        <v>5</v>
      </c>
      <c r="G195" s="37">
        <v>1</v>
      </c>
      <c r="H195" s="62">
        <v>5</v>
      </c>
      <c r="I195" s="62">
        <v>5.2106000000000003</v>
      </c>
      <c r="J195" s="37">
        <v>144</v>
      </c>
      <c r="K195" s="37" t="s">
        <v>87</v>
      </c>
      <c r="L195" s="37" t="s">
        <v>124</v>
      </c>
      <c r="M195" s="38" t="s">
        <v>86</v>
      </c>
      <c r="N195" s="38"/>
      <c r="O195" s="37">
        <v>180</v>
      </c>
      <c r="P195" s="4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5" s="374"/>
      <c r="R195" s="374"/>
      <c r="S195" s="374"/>
      <c r="T195" s="375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IFERROR(IF(X195="","",X195*0.00866),"")</f>
        <v>0</v>
      </c>
      <c r="AA195" s="68" t="s">
        <v>46</v>
      </c>
      <c r="AB195" s="69" t="s">
        <v>46</v>
      </c>
      <c r="AC195" s="235" t="s">
        <v>309</v>
      </c>
      <c r="AG195" s="81"/>
      <c r="AJ195" s="87" t="s">
        <v>125</v>
      </c>
      <c r="AK195" s="87">
        <v>12</v>
      </c>
      <c r="BB195" s="236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310</v>
      </c>
      <c r="B196" s="63" t="s">
        <v>311</v>
      </c>
      <c r="C196" s="36">
        <v>4301071050</v>
      </c>
      <c r="D196" s="372">
        <v>4607111036216</v>
      </c>
      <c r="E196" s="372"/>
      <c r="F196" s="62">
        <v>5</v>
      </c>
      <c r="G196" s="37">
        <v>1</v>
      </c>
      <c r="H196" s="62">
        <v>5</v>
      </c>
      <c r="I196" s="62">
        <v>5.2131999999999996</v>
      </c>
      <c r="J196" s="37">
        <v>144</v>
      </c>
      <c r="K196" s="37" t="s">
        <v>87</v>
      </c>
      <c r="L196" s="37" t="s">
        <v>124</v>
      </c>
      <c r="M196" s="38" t="s">
        <v>86</v>
      </c>
      <c r="N196" s="38"/>
      <c r="O196" s="37">
        <v>180</v>
      </c>
      <c r="P196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6" s="374"/>
      <c r="R196" s="374"/>
      <c r="S196" s="374"/>
      <c r="T196" s="375"/>
      <c r="U196" s="39" t="s">
        <v>46</v>
      </c>
      <c r="V196" s="39" t="s">
        <v>46</v>
      </c>
      <c r="W196" s="40" t="s">
        <v>39</v>
      </c>
      <c r="X196" s="58">
        <v>60</v>
      </c>
      <c r="Y196" s="55">
        <f>IFERROR(IF(X196="","",X196),"")</f>
        <v>60</v>
      </c>
      <c r="Z196" s="41">
        <f>IFERROR(IF(X196="","",X196*0.00866),"")</f>
        <v>0.51959999999999995</v>
      </c>
      <c r="AA196" s="68" t="s">
        <v>46</v>
      </c>
      <c r="AB196" s="69" t="s">
        <v>46</v>
      </c>
      <c r="AC196" s="237" t="s">
        <v>312</v>
      </c>
      <c r="AG196" s="81"/>
      <c r="AJ196" s="87" t="s">
        <v>125</v>
      </c>
      <c r="AK196" s="87">
        <v>12</v>
      </c>
      <c r="BB196" s="238" t="s">
        <v>70</v>
      </c>
      <c r="BM196" s="81">
        <f>IFERROR(X196*I196,"0")</f>
        <v>312.79199999999997</v>
      </c>
      <c r="BN196" s="81">
        <f>IFERROR(Y196*I196,"0")</f>
        <v>312.79199999999997</v>
      </c>
      <c r="BO196" s="81">
        <f>IFERROR(X196/J196,"0")</f>
        <v>0.41666666666666669</v>
      </c>
      <c r="BP196" s="81">
        <f>IFERROR(Y196/J196,"0")</f>
        <v>0.41666666666666669</v>
      </c>
    </row>
    <row r="197" spans="1:68" x14ac:dyDescent="0.2">
      <c r="A197" s="386"/>
      <c r="B197" s="386"/>
      <c r="C197" s="386"/>
      <c r="D197" s="386"/>
      <c r="E197" s="386"/>
      <c r="F197" s="386"/>
      <c r="G197" s="386"/>
      <c r="H197" s="386"/>
      <c r="I197" s="386"/>
      <c r="J197" s="386"/>
      <c r="K197" s="386"/>
      <c r="L197" s="386"/>
      <c r="M197" s="386"/>
      <c r="N197" s="386"/>
      <c r="O197" s="387"/>
      <c r="P197" s="383" t="s">
        <v>40</v>
      </c>
      <c r="Q197" s="384"/>
      <c r="R197" s="384"/>
      <c r="S197" s="384"/>
      <c r="T197" s="384"/>
      <c r="U197" s="384"/>
      <c r="V197" s="385"/>
      <c r="W197" s="42" t="s">
        <v>39</v>
      </c>
      <c r="X197" s="43">
        <f>IFERROR(SUM(X195:X196),"0")</f>
        <v>60</v>
      </c>
      <c r="Y197" s="43">
        <f>IFERROR(SUM(Y195:Y196),"0")</f>
        <v>60</v>
      </c>
      <c r="Z197" s="43">
        <f>IFERROR(IF(Z195="",0,Z195),"0")+IFERROR(IF(Z196="",0,Z196),"0")</f>
        <v>0.51959999999999995</v>
      </c>
      <c r="AA197" s="67"/>
      <c r="AB197" s="67"/>
      <c r="AC197" s="67"/>
    </row>
    <row r="198" spans="1:68" x14ac:dyDescent="0.2">
      <c r="A198" s="386"/>
      <c r="B198" s="386"/>
      <c r="C198" s="386"/>
      <c r="D198" s="386"/>
      <c r="E198" s="386"/>
      <c r="F198" s="386"/>
      <c r="G198" s="386"/>
      <c r="H198" s="386"/>
      <c r="I198" s="386"/>
      <c r="J198" s="386"/>
      <c r="K198" s="386"/>
      <c r="L198" s="386"/>
      <c r="M198" s="386"/>
      <c r="N198" s="386"/>
      <c r="O198" s="387"/>
      <c r="P198" s="383" t="s">
        <v>40</v>
      </c>
      <c r="Q198" s="384"/>
      <c r="R198" s="384"/>
      <c r="S198" s="384"/>
      <c r="T198" s="384"/>
      <c r="U198" s="384"/>
      <c r="V198" s="385"/>
      <c r="W198" s="42" t="s">
        <v>0</v>
      </c>
      <c r="X198" s="43">
        <f>IFERROR(SUMPRODUCT(X195:X196*H195:H196),"0")</f>
        <v>300</v>
      </c>
      <c r="Y198" s="43">
        <f>IFERROR(SUMPRODUCT(Y195:Y196*H195:H196),"0")</f>
        <v>300</v>
      </c>
      <c r="Z198" s="42"/>
      <c r="AA198" s="67"/>
      <c r="AB198" s="67"/>
      <c r="AC198" s="67"/>
    </row>
    <row r="199" spans="1:68" ht="16.5" hidden="1" customHeight="1" x14ac:dyDescent="0.25">
      <c r="A199" s="370" t="s">
        <v>313</v>
      </c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65"/>
      <c r="AB199" s="65"/>
      <c r="AC199" s="82"/>
    </row>
    <row r="200" spans="1:68" ht="14.25" hidden="1" customHeight="1" x14ac:dyDescent="0.25">
      <c r="A200" s="371" t="s">
        <v>82</v>
      </c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  <c r="AA200" s="66"/>
      <c r="AB200" s="66"/>
      <c r="AC200" s="83"/>
    </row>
    <row r="201" spans="1:68" ht="27" customHeight="1" x14ac:dyDescent="0.25">
      <c r="A201" s="63" t="s">
        <v>314</v>
      </c>
      <c r="B201" s="63" t="s">
        <v>315</v>
      </c>
      <c r="C201" s="36">
        <v>4301071117</v>
      </c>
      <c r="D201" s="372">
        <v>4620207491737</v>
      </c>
      <c r="E201" s="372"/>
      <c r="F201" s="62">
        <v>1</v>
      </c>
      <c r="G201" s="37">
        <v>5</v>
      </c>
      <c r="H201" s="62">
        <v>5</v>
      </c>
      <c r="I201" s="62">
        <v>5.2619999999999996</v>
      </c>
      <c r="J201" s="37">
        <v>84</v>
      </c>
      <c r="K201" s="37" t="s">
        <v>87</v>
      </c>
      <c r="L201" s="37" t="s">
        <v>88</v>
      </c>
      <c r="M201" s="38" t="s">
        <v>86</v>
      </c>
      <c r="N201" s="38"/>
      <c r="O201" s="37">
        <v>180</v>
      </c>
      <c r="P201" s="45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1" s="374"/>
      <c r="R201" s="374"/>
      <c r="S201" s="374"/>
      <c r="T201" s="375"/>
      <c r="U201" s="39" t="s">
        <v>46</v>
      </c>
      <c r="V201" s="39" t="s">
        <v>46</v>
      </c>
      <c r="W201" s="40" t="s">
        <v>39</v>
      </c>
      <c r="X201" s="58">
        <v>108</v>
      </c>
      <c r="Y201" s="55">
        <f>IFERROR(IF(X201="","",X201),"")</f>
        <v>108</v>
      </c>
      <c r="Z201" s="41">
        <f>IFERROR(IF(X201="","",X201*0.0155),"")</f>
        <v>1.6739999999999999</v>
      </c>
      <c r="AA201" s="68" t="s">
        <v>46</v>
      </c>
      <c r="AB201" s="69" t="s">
        <v>46</v>
      </c>
      <c r="AC201" s="239" t="s">
        <v>312</v>
      </c>
      <c r="AG201" s="81"/>
      <c r="AJ201" s="87" t="s">
        <v>89</v>
      </c>
      <c r="AK201" s="87">
        <v>1</v>
      </c>
      <c r="BB201" s="240" t="s">
        <v>70</v>
      </c>
      <c r="BM201" s="81">
        <f>IFERROR(X201*I201,"0")</f>
        <v>568.29599999999994</v>
      </c>
      <c r="BN201" s="81">
        <f>IFERROR(Y201*I201,"0")</f>
        <v>568.29599999999994</v>
      </c>
      <c r="BO201" s="81">
        <f>IFERROR(X201/J201,"0")</f>
        <v>1.2857142857142858</v>
      </c>
      <c r="BP201" s="81">
        <f>IFERROR(Y201/J201,"0")</f>
        <v>1.2857142857142858</v>
      </c>
    </row>
    <row r="202" spans="1:68" x14ac:dyDescent="0.2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7"/>
      <c r="P202" s="383" t="s">
        <v>40</v>
      </c>
      <c r="Q202" s="384"/>
      <c r="R202" s="384"/>
      <c r="S202" s="384"/>
      <c r="T202" s="384"/>
      <c r="U202" s="384"/>
      <c r="V202" s="385"/>
      <c r="W202" s="42" t="s">
        <v>39</v>
      </c>
      <c r="X202" s="43">
        <f>IFERROR(SUM(X201:X201),"0")</f>
        <v>108</v>
      </c>
      <c r="Y202" s="43">
        <f>IFERROR(SUM(Y201:Y201),"0")</f>
        <v>108</v>
      </c>
      <c r="Z202" s="43">
        <f>IFERROR(IF(Z201="",0,Z201),"0")</f>
        <v>1.6739999999999999</v>
      </c>
      <c r="AA202" s="67"/>
      <c r="AB202" s="67"/>
      <c r="AC202" s="67"/>
    </row>
    <row r="203" spans="1:68" x14ac:dyDescent="0.2">
      <c r="A203" s="386"/>
      <c r="B203" s="386"/>
      <c r="C203" s="386"/>
      <c r="D203" s="386"/>
      <c r="E203" s="386"/>
      <c r="F203" s="386"/>
      <c r="G203" s="386"/>
      <c r="H203" s="386"/>
      <c r="I203" s="386"/>
      <c r="J203" s="386"/>
      <c r="K203" s="386"/>
      <c r="L203" s="386"/>
      <c r="M203" s="386"/>
      <c r="N203" s="386"/>
      <c r="O203" s="387"/>
      <c r="P203" s="383" t="s">
        <v>40</v>
      </c>
      <c r="Q203" s="384"/>
      <c r="R203" s="384"/>
      <c r="S203" s="384"/>
      <c r="T203" s="384"/>
      <c r="U203" s="384"/>
      <c r="V203" s="385"/>
      <c r="W203" s="42" t="s">
        <v>0</v>
      </c>
      <c r="X203" s="43">
        <f>IFERROR(SUMPRODUCT(X201:X201*H201:H201),"0")</f>
        <v>540</v>
      </c>
      <c r="Y203" s="43">
        <f>IFERROR(SUMPRODUCT(Y201:Y201*H201:H201),"0")</f>
        <v>540</v>
      </c>
      <c r="Z203" s="42"/>
      <c r="AA203" s="67"/>
      <c r="AB203" s="67"/>
      <c r="AC203" s="67"/>
    </row>
    <row r="204" spans="1:68" ht="27.75" hidden="1" customHeight="1" x14ac:dyDescent="0.2">
      <c r="A204" s="369" t="s">
        <v>316</v>
      </c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  <c r="AA204" s="54"/>
      <c r="AB204" s="54"/>
      <c r="AC204" s="54"/>
    </row>
    <row r="205" spans="1:68" ht="16.5" hidden="1" customHeight="1" x14ac:dyDescent="0.25">
      <c r="A205" s="370" t="s">
        <v>317</v>
      </c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65"/>
      <c r="AB205" s="65"/>
      <c r="AC205" s="82"/>
    </row>
    <row r="206" spans="1:68" ht="14.25" hidden="1" customHeight="1" x14ac:dyDescent="0.25">
      <c r="A206" s="371" t="s">
        <v>118</v>
      </c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  <c r="AA206" s="66"/>
      <c r="AB206" s="66"/>
      <c r="AC206" s="83"/>
    </row>
    <row r="207" spans="1:68" ht="16.5" customHeight="1" x14ac:dyDescent="0.25">
      <c r="A207" s="63" t="s">
        <v>318</v>
      </c>
      <c r="B207" s="63" t="s">
        <v>319</v>
      </c>
      <c r="C207" s="36">
        <v>4301132179</v>
      </c>
      <c r="D207" s="372">
        <v>4607111035691</v>
      </c>
      <c r="E207" s="372"/>
      <c r="F207" s="62">
        <v>0.25</v>
      </c>
      <c r="G207" s="37">
        <v>12</v>
      </c>
      <c r="H207" s="62">
        <v>3</v>
      </c>
      <c r="I207" s="62">
        <v>3.3879999999999999</v>
      </c>
      <c r="J207" s="37">
        <v>70</v>
      </c>
      <c r="K207" s="37" t="s">
        <v>123</v>
      </c>
      <c r="L207" s="37" t="s">
        <v>124</v>
      </c>
      <c r="M207" s="38" t="s">
        <v>86</v>
      </c>
      <c r="N207" s="38"/>
      <c r="O207" s="37">
        <v>365</v>
      </c>
      <c r="P20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7" s="374"/>
      <c r="R207" s="374"/>
      <c r="S207" s="374"/>
      <c r="T207" s="375"/>
      <c r="U207" s="39" t="s">
        <v>46</v>
      </c>
      <c r="V207" s="39" t="s">
        <v>46</v>
      </c>
      <c r="W207" s="40" t="s">
        <v>39</v>
      </c>
      <c r="X207" s="58">
        <v>112</v>
      </c>
      <c r="Y207" s="55">
        <f>IFERROR(IF(X207="","",X207),"")</f>
        <v>112</v>
      </c>
      <c r="Z207" s="41">
        <f>IFERROR(IF(X207="","",X207*0.01788),"")</f>
        <v>2.0025599999999999</v>
      </c>
      <c r="AA207" s="68" t="s">
        <v>46</v>
      </c>
      <c r="AB207" s="69" t="s">
        <v>46</v>
      </c>
      <c r="AC207" s="241" t="s">
        <v>320</v>
      </c>
      <c r="AG207" s="81"/>
      <c r="AJ207" s="87" t="s">
        <v>125</v>
      </c>
      <c r="AK207" s="87">
        <v>14</v>
      </c>
      <c r="BB207" s="242" t="s">
        <v>122</v>
      </c>
      <c r="BM207" s="81">
        <f>IFERROR(X207*I207,"0")</f>
        <v>379.45600000000002</v>
      </c>
      <c r="BN207" s="81">
        <f>IFERROR(Y207*I207,"0")</f>
        <v>379.45600000000002</v>
      </c>
      <c r="BO207" s="81">
        <f>IFERROR(X207/J207,"0")</f>
        <v>1.6</v>
      </c>
      <c r="BP207" s="81">
        <f>IFERROR(Y207/J207,"0")</f>
        <v>1.6</v>
      </c>
    </row>
    <row r="208" spans="1:68" ht="27" customHeight="1" x14ac:dyDescent="0.25">
      <c r="A208" s="63" t="s">
        <v>321</v>
      </c>
      <c r="B208" s="63" t="s">
        <v>322</v>
      </c>
      <c r="C208" s="36">
        <v>4301132182</v>
      </c>
      <c r="D208" s="372">
        <v>4607111035721</v>
      </c>
      <c r="E208" s="372"/>
      <c r="F208" s="62">
        <v>0.25</v>
      </c>
      <c r="G208" s="37">
        <v>12</v>
      </c>
      <c r="H208" s="62">
        <v>3</v>
      </c>
      <c r="I208" s="62">
        <v>3.3879999999999999</v>
      </c>
      <c r="J208" s="37">
        <v>70</v>
      </c>
      <c r="K208" s="37" t="s">
        <v>123</v>
      </c>
      <c r="L208" s="37" t="s">
        <v>124</v>
      </c>
      <c r="M208" s="38" t="s">
        <v>86</v>
      </c>
      <c r="N208" s="38"/>
      <c r="O208" s="37">
        <v>365</v>
      </c>
      <c r="P208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8" s="374"/>
      <c r="R208" s="374"/>
      <c r="S208" s="374"/>
      <c r="T208" s="375"/>
      <c r="U208" s="39" t="s">
        <v>46</v>
      </c>
      <c r="V208" s="39" t="s">
        <v>46</v>
      </c>
      <c r="W208" s="40" t="s">
        <v>39</v>
      </c>
      <c r="X208" s="58">
        <v>70</v>
      </c>
      <c r="Y208" s="55">
        <f>IFERROR(IF(X208="","",X208),"")</f>
        <v>70</v>
      </c>
      <c r="Z208" s="41">
        <f>IFERROR(IF(X208="","",X208*0.01788),"")</f>
        <v>1.2516</v>
      </c>
      <c r="AA208" s="68" t="s">
        <v>46</v>
      </c>
      <c r="AB208" s="69" t="s">
        <v>46</v>
      </c>
      <c r="AC208" s="243" t="s">
        <v>323</v>
      </c>
      <c r="AG208" s="81"/>
      <c r="AJ208" s="87" t="s">
        <v>125</v>
      </c>
      <c r="AK208" s="87">
        <v>14</v>
      </c>
      <c r="BB208" s="244" t="s">
        <v>122</v>
      </c>
      <c r="BM208" s="81">
        <f>IFERROR(X208*I208,"0")</f>
        <v>237.16</v>
      </c>
      <c r="BN208" s="81">
        <f>IFERROR(Y208*I208,"0")</f>
        <v>237.16</v>
      </c>
      <c r="BO208" s="81">
        <f>IFERROR(X208/J208,"0")</f>
        <v>1</v>
      </c>
      <c r="BP208" s="81">
        <f>IFERROR(Y208/J208,"0")</f>
        <v>1</v>
      </c>
    </row>
    <row r="209" spans="1:68" ht="27" customHeight="1" x14ac:dyDescent="0.25">
      <c r="A209" s="63" t="s">
        <v>324</v>
      </c>
      <c r="B209" s="63" t="s">
        <v>325</v>
      </c>
      <c r="C209" s="36">
        <v>4301132170</v>
      </c>
      <c r="D209" s="372">
        <v>4607111038487</v>
      </c>
      <c r="E209" s="372"/>
      <c r="F209" s="62">
        <v>0.25</v>
      </c>
      <c r="G209" s="37">
        <v>12</v>
      </c>
      <c r="H209" s="62">
        <v>3</v>
      </c>
      <c r="I209" s="62">
        <v>3.7360000000000002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180</v>
      </c>
      <c r="P209" s="4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9" s="374"/>
      <c r="R209" s="374"/>
      <c r="S209" s="374"/>
      <c r="T209" s="375"/>
      <c r="U209" s="39" t="s">
        <v>46</v>
      </c>
      <c r="V209" s="39" t="s">
        <v>46</v>
      </c>
      <c r="W209" s="40" t="s">
        <v>39</v>
      </c>
      <c r="X209" s="58">
        <v>126</v>
      </c>
      <c r="Y209" s="55">
        <f>IFERROR(IF(X209="","",X209),"")</f>
        <v>126</v>
      </c>
      <c r="Z209" s="41">
        <f>IFERROR(IF(X209="","",X209*0.01788),"")</f>
        <v>2.2528800000000002</v>
      </c>
      <c r="AA209" s="68" t="s">
        <v>46</v>
      </c>
      <c r="AB209" s="69" t="s">
        <v>46</v>
      </c>
      <c r="AC209" s="245" t="s">
        <v>326</v>
      </c>
      <c r="AG209" s="81"/>
      <c r="AJ209" s="87" t="s">
        <v>125</v>
      </c>
      <c r="AK209" s="87">
        <v>14</v>
      </c>
      <c r="BB209" s="246" t="s">
        <v>122</v>
      </c>
      <c r="BM209" s="81">
        <f>IFERROR(X209*I209,"0")</f>
        <v>470.73600000000005</v>
      </c>
      <c r="BN209" s="81">
        <f>IFERROR(Y209*I209,"0")</f>
        <v>470.73600000000005</v>
      </c>
      <c r="BO209" s="81">
        <f>IFERROR(X209/J209,"0")</f>
        <v>1.8</v>
      </c>
      <c r="BP209" s="81">
        <f>IFERROR(Y209/J209,"0")</f>
        <v>1.8</v>
      </c>
    </row>
    <row r="210" spans="1:68" ht="27" customHeight="1" x14ac:dyDescent="0.25">
      <c r="A210" s="63" t="s">
        <v>327</v>
      </c>
      <c r="B210" s="63" t="s">
        <v>328</v>
      </c>
      <c r="C210" s="36">
        <v>4301132243</v>
      </c>
      <c r="D210" s="372">
        <v>4620207491195</v>
      </c>
      <c r="E210" s="372"/>
      <c r="F210" s="62">
        <v>0.23</v>
      </c>
      <c r="G210" s="37">
        <v>12</v>
      </c>
      <c r="H210" s="62">
        <v>2.76</v>
      </c>
      <c r="I210" s="62">
        <v>3.1480000000000001</v>
      </c>
      <c r="J210" s="37">
        <v>70</v>
      </c>
      <c r="K210" s="37" t="s">
        <v>123</v>
      </c>
      <c r="L210" s="37" t="s">
        <v>88</v>
      </c>
      <c r="M210" s="38" t="s">
        <v>86</v>
      </c>
      <c r="N210" s="38"/>
      <c r="O210" s="37">
        <v>180</v>
      </c>
      <c r="P210" s="45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0" s="374"/>
      <c r="R210" s="374"/>
      <c r="S210" s="374"/>
      <c r="T210" s="375"/>
      <c r="U210" s="39" t="s">
        <v>46</v>
      </c>
      <c r="V210" s="39" t="s">
        <v>46</v>
      </c>
      <c r="W210" s="40" t="s">
        <v>39</v>
      </c>
      <c r="X210" s="58">
        <v>14</v>
      </c>
      <c r="Y210" s="55">
        <f>IFERROR(IF(X210="","",X210),"")</f>
        <v>14</v>
      </c>
      <c r="Z210" s="41">
        <f>IFERROR(IF(X210="","",X210*0.01788),"")</f>
        <v>0.25031999999999999</v>
      </c>
      <c r="AA210" s="68" t="s">
        <v>46</v>
      </c>
      <c r="AB210" s="69" t="s">
        <v>46</v>
      </c>
      <c r="AC210" s="247" t="s">
        <v>329</v>
      </c>
      <c r="AG210" s="81"/>
      <c r="AJ210" s="87" t="s">
        <v>89</v>
      </c>
      <c r="AK210" s="87">
        <v>1</v>
      </c>
      <c r="BB210" s="248" t="s">
        <v>122</v>
      </c>
      <c r="BM210" s="81">
        <f>IFERROR(X210*I210,"0")</f>
        <v>44.072000000000003</v>
      </c>
      <c r="BN210" s="81">
        <f>IFERROR(Y210*I210,"0")</f>
        <v>44.072000000000003</v>
      </c>
      <c r="BO210" s="81">
        <f>IFERROR(X210/J210,"0")</f>
        <v>0.2</v>
      </c>
      <c r="BP210" s="81">
        <f>IFERROR(Y210/J210,"0")</f>
        <v>0.2</v>
      </c>
    </row>
    <row r="211" spans="1:68" x14ac:dyDescent="0.2">
      <c r="A211" s="386"/>
      <c r="B211" s="386"/>
      <c r="C211" s="386"/>
      <c r="D211" s="386"/>
      <c r="E211" s="386"/>
      <c r="F211" s="386"/>
      <c r="G211" s="386"/>
      <c r="H211" s="386"/>
      <c r="I211" s="386"/>
      <c r="J211" s="386"/>
      <c r="K211" s="386"/>
      <c r="L211" s="386"/>
      <c r="M211" s="386"/>
      <c r="N211" s="386"/>
      <c r="O211" s="387"/>
      <c r="P211" s="383" t="s">
        <v>40</v>
      </c>
      <c r="Q211" s="384"/>
      <c r="R211" s="384"/>
      <c r="S211" s="384"/>
      <c r="T211" s="384"/>
      <c r="U211" s="384"/>
      <c r="V211" s="385"/>
      <c r="W211" s="42" t="s">
        <v>39</v>
      </c>
      <c r="X211" s="43">
        <f>IFERROR(SUM(X207:X210),"0")</f>
        <v>322</v>
      </c>
      <c r="Y211" s="43">
        <f>IFERROR(SUM(Y207:Y210),"0")</f>
        <v>322</v>
      </c>
      <c r="Z211" s="43">
        <f>IFERROR(IF(Z207="",0,Z207),"0")+IFERROR(IF(Z208="",0,Z208),"0")+IFERROR(IF(Z209="",0,Z209),"0")+IFERROR(IF(Z210="",0,Z210),"0")</f>
        <v>5.7573600000000003</v>
      </c>
      <c r="AA211" s="67"/>
      <c r="AB211" s="67"/>
      <c r="AC211" s="67"/>
    </row>
    <row r="212" spans="1:68" x14ac:dyDescent="0.2">
      <c r="A212" s="386"/>
      <c r="B212" s="386"/>
      <c r="C212" s="386"/>
      <c r="D212" s="386"/>
      <c r="E212" s="386"/>
      <c r="F212" s="386"/>
      <c r="G212" s="386"/>
      <c r="H212" s="386"/>
      <c r="I212" s="386"/>
      <c r="J212" s="386"/>
      <c r="K212" s="386"/>
      <c r="L212" s="386"/>
      <c r="M212" s="386"/>
      <c r="N212" s="386"/>
      <c r="O212" s="387"/>
      <c r="P212" s="383" t="s">
        <v>40</v>
      </c>
      <c r="Q212" s="384"/>
      <c r="R212" s="384"/>
      <c r="S212" s="384"/>
      <c r="T212" s="384"/>
      <c r="U212" s="384"/>
      <c r="V212" s="385"/>
      <c r="W212" s="42" t="s">
        <v>0</v>
      </c>
      <c r="X212" s="43">
        <f>IFERROR(SUMPRODUCT(X207:X210*H207:H210),"0")</f>
        <v>962.64</v>
      </c>
      <c r="Y212" s="43">
        <f>IFERROR(SUMPRODUCT(Y207:Y210*H207:H210),"0")</f>
        <v>962.64</v>
      </c>
      <c r="Z212" s="42"/>
      <c r="AA212" s="67"/>
      <c r="AB212" s="67"/>
      <c r="AC212" s="67"/>
    </row>
    <row r="213" spans="1:68" ht="27.75" hidden="1" customHeight="1" x14ac:dyDescent="0.2">
      <c r="A213" s="369" t="s">
        <v>330</v>
      </c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  <c r="AA213" s="54"/>
      <c r="AB213" s="54"/>
      <c r="AC213" s="54"/>
    </row>
    <row r="214" spans="1:68" ht="16.5" hidden="1" customHeight="1" x14ac:dyDescent="0.25">
      <c r="A214" s="370" t="s">
        <v>331</v>
      </c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65"/>
      <c r="AB214" s="65"/>
      <c r="AC214" s="82"/>
    </row>
    <row r="215" spans="1:68" ht="14.25" hidden="1" customHeight="1" x14ac:dyDescent="0.25">
      <c r="A215" s="371" t="s">
        <v>118</v>
      </c>
      <c r="B215" s="371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  <c r="AA215" s="66"/>
      <c r="AB215" s="66"/>
      <c r="AC215" s="83"/>
    </row>
    <row r="216" spans="1:68" ht="27" customHeight="1" x14ac:dyDescent="0.25">
      <c r="A216" s="63" t="s">
        <v>332</v>
      </c>
      <c r="B216" s="63" t="s">
        <v>333</v>
      </c>
      <c r="C216" s="36">
        <v>4301132227</v>
      </c>
      <c r="D216" s="372">
        <v>4620207491133</v>
      </c>
      <c r="E216" s="372"/>
      <c r="F216" s="62">
        <v>0.23</v>
      </c>
      <c r="G216" s="37">
        <v>12</v>
      </c>
      <c r="H216" s="62">
        <v>2.76</v>
      </c>
      <c r="I216" s="62">
        <v>2.98</v>
      </c>
      <c r="J216" s="37">
        <v>70</v>
      </c>
      <c r="K216" s="37" t="s">
        <v>123</v>
      </c>
      <c r="L216" s="37" t="s">
        <v>124</v>
      </c>
      <c r="M216" s="38" t="s">
        <v>86</v>
      </c>
      <c r="N216" s="38"/>
      <c r="O216" s="37">
        <v>180</v>
      </c>
      <c r="P216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6" s="374"/>
      <c r="R216" s="374"/>
      <c r="S216" s="374"/>
      <c r="T216" s="375"/>
      <c r="U216" s="39" t="s">
        <v>46</v>
      </c>
      <c r="V216" s="39" t="s">
        <v>46</v>
      </c>
      <c r="W216" s="40" t="s">
        <v>39</v>
      </c>
      <c r="X216" s="58">
        <v>28</v>
      </c>
      <c r="Y216" s="55">
        <f>IFERROR(IF(X216="","",X216),"")</f>
        <v>28</v>
      </c>
      <c r="Z216" s="41">
        <f>IFERROR(IF(X216="","",X216*0.01788),"")</f>
        <v>0.50063999999999997</v>
      </c>
      <c r="AA216" s="68" t="s">
        <v>46</v>
      </c>
      <c r="AB216" s="69" t="s">
        <v>46</v>
      </c>
      <c r="AC216" s="249" t="s">
        <v>334</v>
      </c>
      <c r="AG216" s="81"/>
      <c r="AJ216" s="87" t="s">
        <v>125</v>
      </c>
      <c r="AK216" s="87">
        <v>14</v>
      </c>
      <c r="BB216" s="250" t="s">
        <v>122</v>
      </c>
      <c r="BM216" s="81">
        <f>IFERROR(X216*I216,"0")</f>
        <v>83.44</v>
      </c>
      <c r="BN216" s="81">
        <f>IFERROR(Y216*I216,"0")</f>
        <v>83.44</v>
      </c>
      <c r="BO216" s="81">
        <f>IFERROR(X216/J216,"0")</f>
        <v>0.4</v>
      </c>
      <c r="BP216" s="81">
        <f>IFERROR(Y216/J216,"0")</f>
        <v>0.4</v>
      </c>
    </row>
    <row r="217" spans="1:68" x14ac:dyDescent="0.2">
      <c r="A217" s="386"/>
      <c r="B217" s="386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7"/>
      <c r="P217" s="383" t="s">
        <v>40</v>
      </c>
      <c r="Q217" s="384"/>
      <c r="R217" s="384"/>
      <c r="S217" s="384"/>
      <c r="T217" s="384"/>
      <c r="U217" s="384"/>
      <c r="V217" s="385"/>
      <c r="W217" s="42" t="s">
        <v>39</v>
      </c>
      <c r="X217" s="43">
        <f>IFERROR(SUM(X216:X216),"0")</f>
        <v>28</v>
      </c>
      <c r="Y217" s="43">
        <f>IFERROR(SUM(Y216:Y216),"0")</f>
        <v>28</v>
      </c>
      <c r="Z217" s="43">
        <f>IFERROR(IF(Z216="",0,Z216),"0")</f>
        <v>0.50063999999999997</v>
      </c>
      <c r="AA217" s="67"/>
      <c r="AB217" s="67"/>
      <c r="AC217" s="67"/>
    </row>
    <row r="218" spans="1:68" x14ac:dyDescent="0.2">
      <c r="A218" s="386"/>
      <c r="B218" s="386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7"/>
      <c r="P218" s="383" t="s">
        <v>40</v>
      </c>
      <c r="Q218" s="384"/>
      <c r="R218" s="384"/>
      <c r="S218" s="384"/>
      <c r="T218" s="384"/>
      <c r="U218" s="384"/>
      <c r="V218" s="385"/>
      <c r="W218" s="42" t="s">
        <v>0</v>
      </c>
      <c r="X218" s="43">
        <f>IFERROR(SUMPRODUCT(X216:X216*H216:H216),"0")</f>
        <v>77.28</v>
      </c>
      <c r="Y218" s="43">
        <f>IFERROR(SUMPRODUCT(Y216:Y216*H216:H216),"0")</f>
        <v>77.28</v>
      </c>
      <c r="Z218" s="42"/>
      <c r="AA218" s="67"/>
      <c r="AB218" s="67"/>
      <c r="AC218" s="67"/>
    </row>
    <row r="219" spans="1:68" ht="14.25" hidden="1" customHeight="1" x14ac:dyDescent="0.25">
      <c r="A219" s="371" t="s">
        <v>169</v>
      </c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66"/>
      <c r="AB219" s="66"/>
      <c r="AC219" s="83"/>
    </row>
    <row r="220" spans="1:68" ht="27" hidden="1" customHeight="1" x14ac:dyDescent="0.25">
      <c r="A220" s="63" t="s">
        <v>335</v>
      </c>
      <c r="B220" s="63" t="s">
        <v>336</v>
      </c>
      <c r="C220" s="36">
        <v>4301135834</v>
      </c>
      <c r="D220" s="372">
        <v>4620207491188</v>
      </c>
      <c r="E220" s="372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123</v>
      </c>
      <c r="L220" s="37" t="s">
        <v>88</v>
      </c>
      <c r="M220" s="38" t="s">
        <v>86</v>
      </c>
      <c r="N220" s="38"/>
      <c r="O220" s="37">
        <v>180</v>
      </c>
      <c r="P220" s="4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0" s="374"/>
      <c r="R220" s="374"/>
      <c r="S220" s="374"/>
      <c r="T220" s="375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51" t="s">
        <v>337</v>
      </c>
      <c r="AG220" s="81"/>
      <c r="AJ220" s="87" t="s">
        <v>89</v>
      </c>
      <c r="AK220" s="87">
        <v>1</v>
      </c>
      <c r="BB220" s="252" t="s">
        <v>122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t="27" hidden="1" customHeight="1" x14ac:dyDescent="0.25">
      <c r="A221" s="63" t="s">
        <v>338</v>
      </c>
      <c r="B221" s="63" t="s">
        <v>339</v>
      </c>
      <c r="C221" s="36">
        <v>4301135697</v>
      </c>
      <c r="D221" s="372">
        <v>4620207490259</v>
      </c>
      <c r="E221" s="372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123</v>
      </c>
      <c r="L221" s="37" t="s">
        <v>124</v>
      </c>
      <c r="M221" s="38" t="s">
        <v>86</v>
      </c>
      <c r="N221" s="38"/>
      <c r="O221" s="37">
        <v>180</v>
      </c>
      <c r="P221" s="46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1" s="374"/>
      <c r="R221" s="374"/>
      <c r="S221" s="374"/>
      <c r="T221" s="375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53" t="s">
        <v>340</v>
      </c>
      <c r="AG221" s="81"/>
      <c r="AJ221" s="87" t="s">
        <v>125</v>
      </c>
      <c r="AK221" s="87">
        <v>14</v>
      </c>
      <c r="BB221" s="254" t="s">
        <v>122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7"/>
      <c r="P222" s="383" t="s">
        <v>40</v>
      </c>
      <c r="Q222" s="384"/>
      <c r="R222" s="384"/>
      <c r="S222" s="384"/>
      <c r="T222" s="384"/>
      <c r="U222" s="384"/>
      <c r="V222" s="385"/>
      <c r="W222" s="42" t="s">
        <v>39</v>
      </c>
      <c r="X222" s="43">
        <f>IFERROR(SUM(X220:X221),"0")</f>
        <v>0</v>
      </c>
      <c r="Y222" s="43">
        <f>IFERROR(SUM(Y220:Y221),"0")</f>
        <v>0</v>
      </c>
      <c r="Z222" s="43">
        <f>IFERROR(IF(Z220="",0,Z220),"0")+IFERROR(IF(Z221="",0,Z221),"0")</f>
        <v>0</v>
      </c>
      <c r="AA222" s="67"/>
      <c r="AB222" s="67"/>
      <c r="AC222" s="67"/>
    </row>
    <row r="223" spans="1:68" hidden="1" x14ac:dyDescent="0.2">
      <c r="A223" s="386"/>
      <c r="B223" s="386"/>
      <c r="C223" s="386"/>
      <c r="D223" s="386"/>
      <c r="E223" s="386"/>
      <c r="F223" s="386"/>
      <c r="G223" s="386"/>
      <c r="H223" s="386"/>
      <c r="I223" s="386"/>
      <c r="J223" s="386"/>
      <c r="K223" s="386"/>
      <c r="L223" s="386"/>
      <c r="M223" s="386"/>
      <c r="N223" s="386"/>
      <c r="O223" s="387"/>
      <c r="P223" s="383" t="s">
        <v>40</v>
      </c>
      <c r="Q223" s="384"/>
      <c r="R223" s="384"/>
      <c r="S223" s="384"/>
      <c r="T223" s="384"/>
      <c r="U223" s="384"/>
      <c r="V223" s="385"/>
      <c r="W223" s="42" t="s">
        <v>0</v>
      </c>
      <c r="X223" s="43">
        <f>IFERROR(SUMPRODUCT(X220:X221*H220:H221),"0")</f>
        <v>0</v>
      </c>
      <c r="Y223" s="43">
        <f>IFERROR(SUMPRODUCT(Y220:Y221*H220:H221),"0")</f>
        <v>0</v>
      </c>
      <c r="Z223" s="42"/>
      <c r="AA223" s="67"/>
      <c r="AB223" s="67"/>
      <c r="AC223" s="67"/>
    </row>
    <row r="224" spans="1:68" ht="16.5" hidden="1" customHeight="1" x14ac:dyDescent="0.25">
      <c r="A224" s="370" t="s">
        <v>341</v>
      </c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  <c r="AA224" s="65"/>
      <c r="AB224" s="65"/>
      <c r="AC224" s="82"/>
    </row>
    <row r="225" spans="1:68" ht="14.25" hidden="1" customHeight="1" x14ac:dyDescent="0.25">
      <c r="A225" s="371" t="s">
        <v>169</v>
      </c>
      <c r="B225" s="37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  <c r="AA225" s="66"/>
      <c r="AB225" s="66"/>
      <c r="AC225" s="83"/>
    </row>
    <row r="226" spans="1:68" ht="27" hidden="1" customHeight="1" x14ac:dyDescent="0.25">
      <c r="A226" s="63" t="s">
        <v>342</v>
      </c>
      <c r="B226" s="63" t="s">
        <v>343</v>
      </c>
      <c r="C226" s="36">
        <v>4301135854</v>
      </c>
      <c r="D226" s="372">
        <v>4620207491706</v>
      </c>
      <c r="E226" s="372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123</v>
      </c>
      <c r="L226" s="37" t="s">
        <v>88</v>
      </c>
      <c r="M226" s="38" t="s">
        <v>86</v>
      </c>
      <c r="N226" s="38"/>
      <c r="O226" s="37">
        <v>180</v>
      </c>
      <c r="P226" s="46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6" s="374"/>
      <c r="R226" s="374"/>
      <c r="S226" s="374"/>
      <c r="T226" s="37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5" t="s">
        <v>344</v>
      </c>
      <c r="AG226" s="81"/>
      <c r="AJ226" s="87" t="s">
        <v>89</v>
      </c>
      <c r="AK226" s="87">
        <v>1</v>
      </c>
      <c r="BB226" s="256" t="s">
        <v>122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t="27" hidden="1" customHeight="1" x14ac:dyDescent="0.25">
      <c r="A227" s="63" t="s">
        <v>345</v>
      </c>
      <c r="B227" s="63" t="s">
        <v>346</v>
      </c>
      <c r="C227" s="36">
        <v>4301135895</v>
      </c>
      <c r="D227" s="372">
        <v>4620207491522</v>
      </c>
      <c r="E227" s="372"/>
      <c r="F227" s="62">
        <v>0.28000000000000003</v>
      </c>
      <c r="G227" s="37">
        <v>12</v>
      </c>
      <c r="H227" s="62">
        <v>3.36</v>
      </c>
      <c r="I227" s="62">
        <v>4.0636000000000001</v>
      </c>
      <c r="J227" s="37">
        <v>70</v>
      </c>
      <c r="K227" s="37" t="s">
        <v>123</v>
      </c>
      <c r="L227" s="37" t="s">
        <v>88</v>
      </c>
      <c r="M227" s="38" t="s">
        <v>86</v>
      </c>
      <c r="N227" s="38"/>
      <c r="O227" s="37">
        <v>180</v>
      </c>
      <c r="P227" s="46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7" s="374"/>
      <c r="R227" s="374"/>
      <c r="S227" s="374"/>
      <c r="T227" s="375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IFERROR(IF(X227="","",X227*0.01788),"")</f>
        <v>0</v>
      </c>
      <c r="AA227" s="68" t="s">
        <v>46</v>
      </c>
      <c r="AB227" s="69" t="s">
        <v>46</v>
      </c>
      <c r="AC227" s="257" t="s">
        <v>347</v>
      </c>
      <c r="AG227" s="81"/>
      <c r="AJ227" s="87" t="s">
        <v>89</v>
      </c>
      <c r="AK227" s="87">
        <v>1</v>
      </c>
      <c r="BB227" s="258" t="s">
        <v>122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7"/>
      <c r="P228" s="383" t="s">
        <v>40</v>
      </c>
      <c r="Q228" s="384"/>
      <c r="R228" s="384"/>
      <c r="S228" s="384"/>
      <c r="T228" s="384"/>
      <c r="U228" s="384"/>
      <c r="V228" s="385"/>
      <c r="W228" s="42" t="s">
        <v>39</v>
      </c>
      <c r="X228" s="43">
        <f>IFERROR(SUM(X226:X227),"0")</f>
        <v>0</v>
      </c>
      <c r="Y228" s="43">
        <f>IFERROR(SUM(Y226:Y227),"0")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hidden="1" x14ac:dyDescent="0.2">
      <c r="A229" s="386"/>
      <c r="B229" s="386"/>
      <c r="C229" s="386"/>
      <c r="D229" s="386"/>
      <c r="E229" s="386"/>
      <c r="F229" s="386"/>
      <c r="G229" s="386"/>
      <c r="H229" s="386"/>
      <c r="I229" s="386"/>
      <c r="J229" s="386"/>
      <c r="K229" s="386"/>
      <c r="L229" s="386"/>
      <c r="M229" s="386"/>
      <c r="N229" s="386"/>
      <c r="O229" s="387"/>
      <c r="P229" s="383" t="s">
        <v>40</v>
      </c>
      <c r="Q229" s="384"/>
      <c r="R229" s="384"/>
      <c r="S229" s="384"/>
      <c r="T229" s="384"/>
      <c r="U229" s="384"/>
      <c r="V229" s="385"/>
      <c r="W229" s="42" t="s">
        <v>0</v>
      </c>
      <c r="X229" s="43">
        <f>IFERROR(SUMPRODUCT(X226:X227*H226:H227),"0")</f>
        <v>0</v>
      </c>
      <c r="Y229" s="43">
        <f>IFERROR(SUMPRODUCT(Y226:Y227*H226:H227),"0")</f>
        <v>0</v>
      </c>
      <c r="Z229" s="42"/>
      <c r="AA229" s="67"/>
      <c r="AB229" s="67"/>
      <c r="AC229" s="67"/>
    </row>
    <row r="230" spans="1:68" ht="16.5" hidden="1" customHeight="1" x14ac:dyDescent="0.25">
      <c r="A230" s="370" t="s">
        <v>348</v>
      </c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  <c r="AA230" s="65"/>
      <c r="AB230" s="65"/>
      <c r="AC230" s="82"/>
    </row>
    <row r="231" spans="1:68" ht="14.25" hidden="1" customHeight="1" x14ac:dyDescent="0.25">
      <c r="A231" s="371" t="s">
        <v>82</v>
      </c>
      <c r="B231" s="371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  <c r="AA231" s="66"/>
      <c r="AB231" s="66"/>
      <c r="AC231" s="83"/>
    </row>
    <row r="232" spans="1:68" ht="27" customHeight="1" x14ac:dyDescent="0.25">
      <c r="A232" s="63" t="s">
        <v>349</v>
      </c>
      <c r="B232" s="63" t="s">
        <v>350</v>
      </c>
      <c r="C232" s="36">
        <v>4301071097</v>
      </c>
      <c r="D232" s="372">
        <v>4620207491096</v>
      </c>
      <c r="E232" s="372"/>
      <c r="F232" s="62">
        <v>1</v>
      </c>
      <c r="G232" s="37">
        <v>5</v>
      </c>
      <c r="H232" s="62">
        <v>5</v>
      </c>
      <c r="I232" s="62">
        <v>5.23</v>
      </c>
      <c r="J232" s="37">
        <v>84</v>
      </c>
      <c r="K232" s="37" t="s">
        <v>87</v>
      </c>
      <c r="L232" s="37" t="s">
        <v>124</v>
      </c>
      <c r="M232" s="38" t="s">
        <v>86</v>
      </c>
      <c r="N232" s="38"/>
      <c r="O232" s="37">
        <v>180</v>
      </c>
      <c r="P232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2" s="374"/>
      <c r="R232" s="374"/>
      <c r="S232" s="374"/>
      <c r="T232" s="375"/>
      <c r="U232" s="39" t="s">
        <v>46</v>
      </c>
      <c r="V232" s="39" t="s">
        <v>46</v>
      </c>
      <c r="W232" s="40" t="s">
        <v>39</v>
      </c>
      <c r="X232" s="58">
        <v>84</v>
      </c>
      <c r="Y232" s="55">
        <f>IFERROR(IF(X232="","",X232),"")</f>
        <v>84</v>
      </c>
      <c r="Z232" s="41">
        <f>IFERROR(IF(X232="","",X232*0.0155),"")</f>
        <v>1.302</v>
      </c>
      <c r="AA232" s="68" t="s">
        <v>46</v>
      </c>
      <c r="AB232" s="69" t="s">
        <v>46</v>
      </c>
      <c r="AC232" s="259" t="s">
        <v>351</v>
      </c>
      <c r="AG232" s="81"/>
      <c r="AJ232" s="87" t="s">
        <v>125</v>
      </c>
      <c r="AK232" s="87">
        <v>12</v>
      </c>
      <c r="BB232" s="260" t="s">
        <v>70</v>
      </c>
      <c r="BM232" s="81">
        <f>IFERROR(X232*I232,"0")</f>
        <v>439.32000000000005</v>
      </c>
      <c r="BN232" s="81">
        <f>IFERROR(Y232*I232,"0")</f>
        <v>439.32000000000005</v>
      </c>
      <c r="BO232" s="81">
        <f>IFERROR(X232/J232,"0")</f>
        <v>1</v>
      </c>
      <c r="BP232" s="81">
        <f>IFERROR(Y232/J232,"0")</f>
        <v>1</v>
      </c>
    </row>
    <row r="233" spans="1:68" x14ac:dyDescent="0.2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7"/>
      <c r="P233" s="383" t="s">
        <v>40</v>
      </c>
      <c r="Q233" s="384"/>
      <c r="R233" s="384"/>
      <c r="S233" s="384"/>
      <c r="T233" s="384"/>
      <c r="U233" s="384"/>
      <c r="V233" s="385"/>
      <c r="W233" s="42" t="s">
        <v>39</v>
      </c>
      <c r="X233" s="43">
        <f>IFERROR(SUM(X232:X232),"0")</f>
        <v>84</v>
      </c>
      <c r="Y233" s="43">
        <f>IFERROR(SUM(Y232:Y232),"0")</f>
        <v>84</v>
      </c>
      <c r="Z233" s="43">
        <f>IFERROR(IF(Z232="",0,Z232),"0")</f>
        <v>1.302</v>
      </c>
      <c r="AA233" s="67"/>
      <c r="AB233" s="67"/>
      <c r="AC233" s="67"/>
    </row>
    <row r="234" spans="1:68" x14ac:dyDescent="0.2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7"/>
      <c r="P234" s="383" t="s">
        <v>40</v>
      </c>
      <c r="Q234" s="384"/>
      <c r="R234" s="384"/>
      <c r="S234" s="384"/>
      <c r="T234" s="384"/>
      <c r="U234" s="384"/>
      <c r="V234" s="385"/>
      <c r="W234" s="42" t="s">
        <v>0</v>
      </c>
      <c r="X234" s="43">
        <f>IFERROR(SUMPRODUCT(X232:X232*H232:H232),"0")</f>
        <v>420</v>
      </c>
      <c r="Y234" s="43">
        <f>IFERROR(SUMPRODUCT(Y232:Y232*H232:H232),"0")</f>
        <v>420</v>
      </c>
      <c r="Z234" s="42"/>
      <c r="AA234" s="67"/>
      <c r="AB234" s="67"/>
      <c r="AC234" s="67"/>
    </row>
    <row r="235" spans="1:68" ht="27.75" hidden="1" customHeight="1" x14ac:dyDescent="0.2">
      <c r="A235" s="369" t="s">
        <v>352</v>
      </c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  <c r="AA235" s="54"/>
      <c r="AB235" s="54"/>
      <c r="AC235" s="54"/>
    </row>
    <row r="236" spans="1:68" ht="16.5" hidden="1" customHeight="1" x14ac:dyDescent="0.25">
      <c r="A236" s="370" t="s">
        <v>353</v>
      </c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  <c r="AA236" s="65"/>
      <c r="AB236" s="65"/>
      <c r="AC236" s="82"/>
    </row>
    <row r="237" spans="1:68" ht="14.25" hidden="1" customHeight="1" x14ac:dyDescent="0.25">
      <c r="A237" s="371" t="s">
        <v>82</v>
      </c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  <c r="AA237" s="66"/>
      <c r="AB237" s="66"/>
      <c r="AC237" s="83"/>
    </row>
    <row r="238" spans="1:68" ht="27" hidden="1" customHeight="1" x14ac:dyDescent="0.25">
      <c r="A238" s="63" t="s">
        <v>354</v>
      </c>
      <c r="B238" s="63" t="s">
        <v>355</v>
      </c>
      <c r="C238" s="36">
        <v>4301071036</v>
      </c>
      <c r="D238" s="372">
        <v>4607111036162</v>
      </c>
      <c r="E238" s="372"/>
      <c r="F238" s="62">
        <v>0.8</v>
      </c>
      <c r="G238" s="37">
        <v>8</v>
      </c>
      <c r="H238" s="62">
        <v>6.4</v>
      </c>
      <c r="I238" s="62">
        <v>6.6811999999999996</v>
      </c>
      <c r="J238" s="37">
        <v>84</v>
      </c>
      <c r="K238" s="37" t="s">
        <v>87</v>
      </c>
      <c r="L238" s="37" t="s">
        <v>88</v>
      </c>
      <c r="M238" s="38" t="s">
        <v>86</v>
      </c>
      <c r="N238" s="38"/>
      <c r="O238" s="37">
        <v>90</v>
      </c>
      <c r="P238" s="46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8" s="374"/>
      <c r="R238" s="374"/>
      <c r="S238" s="374"/>
      <c r="T238" s="37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IFERROR(IF(X238="","",X238*0.0155),"")</f>
        <v>0</v>
      </c>
      <c r="AA238" s="68" t="s">
        <v>46</v>
      </c>
      <c r="AB238" s="69" t="s">
        <v>46</v>
      </c>
      <c r="AC238" s="261" t="s">
        <v>356</v>
      </c>
      <c r="AG238" s="81"/>
      <c r="AJ238" s="87" t="s">
        <v>89</v>
      </c>
      <c r="AK238" s="87">
        <v>1</v>
      </c>
      <c r="BB238" s="262" t="s">
        <v>70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7"/>
      <c r="P239" s="383" t="s">
        <v>40</v>
      </c>
      <c r="Q239" s="384"/>
      <c r="R239" s="384"/>
      <c r="S239" s="384"/>
      <c r="T239" s="384"/>
      <c r="U239" s="384"/>
      <c r="V239" s="38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86"/>
      <c r="B240" s="386"/>
      <c r="C240" s="386"/>
      <c r="D240" s="386"/>
      <c r="E240" s="386"/>
      <c r="F240" s="386"/>
      <c r="G240" s="386"/>
      <c r="H240" s="386"/>
      <c r="I240" s="386"/>
      <c r="J240" s="386"/>
      <c r="K240" s="386"/>
      <c r="L240" s="386"/>
      <c r="M240" s="386"/>
      <c r="N240" s="386"/>
      <c r="O240" s="387"/>
      <c r="P240" s="383" t="s">
        <v>40</v>
      </c>
      <c r="Q240" s="384"/>
      <c r="R240" s="384"/>
      <c r="S240" s="384"/>
      <c r="T240" s="384"/>
      <c r="U240" s="384"/>
      <c r="V240" s="38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69" t="s">
        <v>357</v>
      </c>
      <c r="B241" s="369"/>
      <c r="C241" s="369"/>
      <c r="D241" s="369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  <c r="AA241" s="54"/>
      <c r="AB241" s="54"/>
      <c r="AC241" s="54"/>
    </row>
    <row r="242" spans="1:68" ht="16.5" hidden="1" customHeight="1" x14ac:dyDescent="0.25">
      <c r="A242" s="370" t="s">
        <v>358</v>
      </c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  <c r="AA242" s="65"/>
      <c r="AB242" s="65"/>
      <c r="AC242" s="82"/>
    </row>
    <row r="243" spans="1:68" ht="14.25" hidden="1" customHeight="1" x14ac:dyDescent="0.25">
      <c r="A243" s="371" t="s">
        <v>359</v>
      </c>
      <c r="B243" s="371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  <c r="AA243" s="66"/>
      <c r="AB243" s="66"/>
      <c r="AC243" s="83"/>
    </row>
    <row r="244" spans="1:68" ht="27" hidden="1" customHeight="1" x14ac:dyDescent="0.25">
      <c r="A244" s="63" t="s">
        <v>360</v>
      </c>
      <c r="B244" s="63" t="s">
        <v>361</v>
      </c>
      <c r="C244" s="36">
        <v>4301133004</v>
      </c>
      <c r="D244" s="372">
        <v>4607111039774</v>
      </c>
      <c r="E244" s="372"/>
      <c r="F244" s="62">
        <v>0.25</v>
      </c>
      <c r="G244" s="37">
        <v>12</v>
      </c>
      <c r="H244" s="62">
        <v>3</v>
      </c>
      <c r="I244" s="62">
        <v>3.22</v>
      </c>
      <c r="J244" s="37">
        <v>70</v>
      </c>
      <c r="K244" s="37" t="s">
        <v>123</v>
      </c>
      <c r="L244" s="37" t="s">
        <v>88</v>
      </c>
      <c r="M244" s="38" t="s">
        <v>86</v>
      </c>
      <c r="N244" s="38"/>
      <c r="O244" s="37">
        <v>180</v>
      </c>
      <c r="P244" s="4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4" s="374"/>
      <c r="R244" s="374"/>
      <c r="S244" s="374"/>
      <c r="T244" s="37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63" t="s">
        <v>362</v>
      </c>
      <c r="AG244" s="81"/>
      <c r="AJ244" s="87" t="s">
        <v>89</v>
      </c>
      <c r="AK244" s="87">
        <v>1</v>
      </c>
      <c r="BB244" s="264" t="s">
        <v>122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7"/>
      <c r="P245" s="383" t="s">
        <v>40</v>
      </c>
      <c r="Q245" s="384"/>
      <c r="R245" s="384"/>
      <c r="S245" s="384"/>
      <c r="T245" s="384"/>
      <c r="U245" s="384"/>
      <c r="V245" s="38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86"/>
      <c r="B246" s="386"/>
      <c r="C246" s="386"/>
      <c r="D246" s="386"/>
      <c r="E246" s="386"/>
      <c r="F246" s="386"/>
      <c r="G246" s="386"/>
      <c r="H246" s="386"/>
      <c r="I246" s="386"/>
      <c r="J246" s="386"/>
      <c r="K246" s="386"/>
      <c r="L246" s="386"/>
      <c r="M246" s="386"/>
      <c r="N246" s="386"/>
      <c r="O246" s="387"/>
      <c r="P246" s="383" t="s">
        <v>40</v>
      </c>
      <c r="Q246" s="384"/>
      <c r="R246" s="384"/>
      <c r="S246" s="384"/>
      <c r="T246" s="384"/>
      <c r="U246" s="384"/>
      <c r="V246" s="38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71" t="s">
        <v>169</v>
      </c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  <c r="AA247" s="66"/>
      <c r="AB247" s="66"/>
      <c r="AC247" s="83"/>
    </row>
    <row r="248" spans="1:68" ht="37.5" hidden="1" customHeight="1" x14ac:dyDescent="0.25">
      <c r="A248" s="63" t="s">
        <v>363</v>
      </c>
      <c r="B248" s="63" t="s">
        <v>364</v>
      </c>
      <c r="C248" s="36">
        <v>4301135400</v>
      </c>
      <c r="D248" s="372">
        <v>4607111039361</v>
      </c>
      <c r="E248" s="372"/>
      <c r="F248" s="62">
        <v>0.25</v>
      </c>
      <c r="G248" s="37">
        <v>12</v>
      </c>
      <c r="H248" s="62">
        <v>3</v>
      </c>
      <c r="I248" s="62">
        <v>3.7035999999999998</v>
      </c>
      <c r="J248" s="37">
        <v>70</v>
      </c>
      <c r="K248" s="37" t="s">
        <v>123</v>
      </c>
      <c r="L248" s="37" t="s">
        <v>88</v>
      </c>
      <c r="M248" s="38" t="s">
        <v>86</v>
      </c>
      <c r="N248" s="38"/>
      <c r="O248" s="37">
        <v>180</v>
      </c>
      <c r="P248" s="46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8" s="374"/>
      <c r="R248" s="374"/>
      <c r="S248" s="374"/>
      <c r="T248" s="37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65" t="s">
        <v>362</v>
      </c>
      <c r="AG248" s="81"/>
      <c r="AJ248" s="87" t="s">
        <v>89</v>
      </c>
      <c r="AK248" s="87">
        <v>1</v>
      </c>
      <c r="BB248" s="266" t="s">
        <v>122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86"/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7"/>
      <c r="P249" s="383" t="s">
        <v>40</v>
      </c>
      <c r="Q249" s="384"/>
      <c r="R249" s="384"/>
      <c r="S249" s="384"/>
      <c r="T249" s="384"/>
      <c r="U249" s="384"/>
      <c r="V249" s="38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7"/>
      <c r="P250" s="383" t="s">
        <v>40</v>
      </c>
      <c r="Q250" s="384"/>
      <c r="R250" s="384"/>
      <c r="S250" s="384"/>
      <c r="T250" s="384"/>
      <c r="U250" s="384"/>
      <c r="V250" s="38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69" t="s">
        <v>365</v>
      </c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69"/>
      <c r="P251" s="369"/>
      <c r="Q251" s="369"/>
      <c r="R251" s="369"/>
      <c r="S251" s="369"/>
      <c r="T251" s="369"/>
      <c r="U251" s="369"/>
      <c r="V251" s="369"/>
      <c r="W251" s="369"/>
      <c r="X251" s="369"/>
      <c r="Y251" s="369"/>
      <c r="Z251" s="369"/>
      <c r="AA251" s="54"/>
      <c r="AB251" s="54"/>
      <c r="AC251" s="54"/>
    </row>
    <row r="252" spans="1:68" ht="16.5" hidden="1" customHeight="1" x14ac:dyDescent="0.25">
      <c r="A252" s="370" t="s">
        <v>365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  <c r="AA252" s="65"/>
      <c r="AB252" s="65"/>
      <c r="AC252" s="82"/>
    </row>
    <row r="253" spans="1:68" ht="14.25" hidden="1" customHeight="1" x14ac:dyDescent="0.25">
      <c r="A253" s="371" t="s">
        <v>118</v>
      </c>
      <c r="B253" s="371"/>
      <c r="C253" s="371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  <c r="AA253" s="66"/>
      <c r="AB253" s="66"/>
      <c r="AC253" s="83"/>
    </row>
    <row r="254" spans="1:68" ht="27" hidden="1" customHeight="1" x14ac:dyDescent="0.25">
      <c r="A254" s="63" t="s">
        <v>366</v>
      </c>
      <c r="B254" s="63" t="s">
        <v>367</v>
      </c>
      <c r="C254" s="36">
        <v>4301132228</v>
      </c>
      <c r="D254" s="372">
        <v>4640242181950</v>
      </c>
      <c r="E254" s="372"/>
      <c r="F254" s="62">
        <v>0.23</v>
      </c>
      <c r="G254" s="37">
        <v>12</v>
      </c>
      <c r="H254" s="62">
        <v>2.76</v>
      </c>
      <c r="I254" s="62">
        <v>3.22</v>
      </c>
      <c r="J254" s="37">
        <v>70</v>
      </c>
      <c r="K254" s="37" t="s">
        <v>123</v>
      </c>
      <c r="L254" s="37" t="s">
        <v>88</v>
      </c>
      <c r="M254" s="38" t="s">
        <v>86</v>
      </c>
      <c r="N254" s="38"/>
      <c r="O254" s="37">
        <v>365</v>
      </c>
      <c r="P254" s="46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4" s="374"/>
      <c r="R254" s="374"/>
      <c r="S254" s="374"/>
      <c r="T254" s="37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IFERROR(IF(X254="","",X254*0.01788),"")</f>
        <v>0</v>
      </c>
      <c r="AA254" s="68" t="s">
        <v>46</v>
      </c>
      <c r="AB254" s="69" t="s">
        <v>46</v>
      </c>
      <c r="AC254" s="267" t="s">
        <v>368</v>
      </c>
      <c r="AG254" s="81"/>
      <c r="AJ254" s="87" t="s">
        <v>89</v>
      </c>
      <c r="AK254" s="87">
        <v>1</v>
      </c>
      <c r="BB254" s="268" t="s">
        <v>122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  <c r="P255" s="383" t="s">
        <v>40</v>
      </c>
      <c r="Q255" s="384"/>
      <c r="R255" s="384"/>
      <c r="S255" s="384"/>
      <c r="T255" s="384"/>
      <c r="U255" s="384"/>
      <c r="V255" s="385"/>
      <c r="W255" s="42" t="s">
        <v>39</v>
      </c>
      <c r="X255" s="43">
        <f>IFERROR(SUM(X254:X254),"0")</f>
        <v>0</v>
      </c>
      <c r="Y255" s="43">
        <f>IFERROR(SUM(Y254:Y254),"0")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386"/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  <c r="P256" s="383" t="s">
        <v>40</v>
      </c>
      <c r="Q256" s="384"/>
      <c r="R256" s="384"/>
      <c r="S256" s="384"/>
      <c r="T256" s="384"/>
      <c r="U256" s="384"/>
      <c r="V256" s="385"/>
      <c r="W256" s="42" t="s">
        <v>0</v>
      </c>
      <c r="X256" s="43">
        <f>IFERROR(SUMPRODUCT(X254:X254*H254:H254),"0")</f>
        <v>0</v>
      </c>
      <c r="Y256" s="43">
        <f>IFERROR(SUMPRODUCT(Y254:Y254*H254:H254),"0")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71" t="s">
        <v>202</v>
      </c>
      <c r="B257" s="371"/>
      <c r="C257" s="371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  <c r="AA257" s="66"/>
      <c r="AB257" s="66"/>
      <c r="AC257" s="83"/>
    </row>
    <row r="258" spans="1:68" ht="27" hidden="1" customHeight="1" x14ac:dyDescent="0.25">
      <c r="A258" s="63" t="s">
        <v>369</v>
      </c>
      <c r="B258" s="63" t="s">
        <v>370</v>
      </c>
      <c r="C258" s="36">
        <v>4301136098</v>
      </c>
      <c r="D258" s="372">
        <v>4640242181943</v>
      </c>
      <c r="E258" s="372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123</v>
      </c>
      <c r="L258" s="37" t="s">
        <v>88</v>
      </c>
      <c r="M258" s="38" t="s">
        <v>86</v>
      </c>
      <c r="N258" s="38"/>
      <c r="O258" s="37">
        <v>180</v>
      </c>
      <c r="P258" s="47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74"/>
      <c r="R258" s="374"/>
      <c r="S258" s="374"/>
      <c r="T258" s="375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9" t="s">
        <v>371</v>
      </c>
      <c r="AG258" s="81"/>
      <c r="AJ258" s="87" t="s">
        <v>89</v>
      </c>
      <c r="AK258" s="87">
        <v>1</v>
      </c>
      <c r="BB258" s="270" t="s">
        <v>122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86"/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7"/>
      <c r="P259" s="383" t="s">
        <v>40</v>
      </c>
      <c r="Q259" s="384"/>
      <c r="R259" s="384"/>
      <c r="S259" s="384"/>
      <c r="T259" s="384"/>
      <c r="U259" s="384"/>
      <c r="V259" s="38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7"/>
      <c r="P260" s="383" t="s">
        <v>40</v>
      </c>
      <c r="Q260" s="384"/>
      <c r="R260" s="384"/>
      <c r="S260" s="384"/>
      <c r="T260" s="384"/>
      <c r="U260" s="384"/>
      <c r="V260" s="38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hidden="1" customHeight="1" x14ac:dyDescent="0.2">
      <c r="A261" s="369" t="s">
        <v>293</v>
      </c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  <c r="AA261" s="54"/>
      <c r="AB261" s="54"/>
      <c r="AC261" s="54"/>
    </row>
    <row r="262" spans="1:68" ht="16.5" hidden="1" customHeight="1" x14ac:dyDescent="0.25">
      <c r="A262" s="370" t="s">
        <v>293</v>
      </c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  <c r="AA262" s="65"/>
      <c r="AB262" s="65"/>
      <c r="AC262" s="82"/>
    </row>
    <row r="263" spans="1:68" ht="14.25" hidden="1" customHeight="1" x14ac:dyDescent="0.25">
      <c r="A263" s="371" t="s">
        <v>82</v>
      </c>
      <c r="B263" s="371"/>
      <c r="C263" s="371"/>
      <c r="D263" s="371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  <c r="AA263" s="66"/>
      <c r="AB263" s="66"/>
      <c r="AC263" s="83"/>
    </row>
    <row r="264" spans="1:68" ht="27" hidden="1" customHeight="1" x14ac:dyDescent="0.25">
      <c r="A264" s="63" t="s">
        <v>372</v>
      </c>
      <c r="B264" s="63" t="s">
        <v>373</v>
      </c>
      <c r="C264" s="36">
        <v>4301071014</v>
      </c>
      <c r="D264" s="372">
        <v>4640242181264</v>
      </c>
      <c r="E264" s="372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7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74"/>
      <c r="R264" s="374"/>
      <c r="S264" s="374"/>
      <c r="T264" s="37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71" t="s">
        <v>374</v>
      </c>
      <c r="AG264" s="81"/>
      <c r="AJ264" s="87" t="s">
        <v>89</v>
      </c>
      <c r="AK264" s="87">
        <v>1</v>
      </c>
      <c r="BB264" s="272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375</v>
      </c>
      <c r="B265" s="63" t="s">
        <v>376</v>
      </c>
      <c r="C265" s="36">
        <v>4301071141</v>
      </c>
      <c r="D265" s="372">
        <v>4620207491980</v>
      </c>
      <c r="E265" s="372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87</v>
      </c>
      <c r="L265" s="37" t="s">
        <v>88</v>
      </c>
      <c r="M265" s="38" t="s">
        <v>86</v>
      </c>
      <c r="N265" s="38"/>
      <c r="O265" s="37">
        <v>180</v>
      </c>
      <c r="P265" s="47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5" s="374"/>
      <c r="R265" s="374"/>
      <c r="S265" s="374"/>
      <c r="T265" s="37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73" t="s">
        <v>377</v>
      </c>
      <c r="AG265" s="81"/>
      <c r="AJ265" s="87" t="s">
        <v>89</v>
      </c>
      <c r="AK265" s="87">
        <v>1</v>
      </c>
      <c r="BB265" s="274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idden="1" x14ac:dyDescent="0.2">
      <c r="A266" s="386"/>
      <c r="B266" s="386"/>
      <c r="C266" s="386"/>
      <c r="D266" s="386"/>
      <c r="E266" s="386"/>
      <c r="F266" s="386"/>
      <c r="G266" s="386"/>
      <c r="H266" s="386"/>
      <c r="I266" s="386"/>
      <c r="J266" s="386"/>
      <c r="K266" s="386"/>
      <c r="L266" s="386"/>
      <c r="M266" s="386"/>
      <c r="N266" s="386"/>
      <c r="O266" s="387"/>
      <c r="P266" s="383" t="s">
        <v>40</v>
      </c>
      <c r="Q266" s="384"/>
      <c r="R266" s="384"/>
      <c r="S266" s="384"/>
      <c r="T266" s="384"/>
      <c r="U266" s="384"/>
      <c r="V266" s="385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386"/>
      <c r="B267" s="386"/>
      <c r="C267" s="386"/>
      <c r="D267" s="386"/>
      <c r="E267" s="386"/>
      <c r="F267" s="386"/>
      <c r="G267" s="386"/>
      <c r="H267" s="386"/>
      <c r="I267" s="386"/>
      <c r="J267" s="386"/>
      <c r="K267" s="386"/>
      <c r="L267" s="386"/>
      <c r="M267" s="386"/>
      <c r="N267" s="386"/>
      <c r="O267" s="387"/>
      <c r="P267" s="383" t="s">
        <v>40</v>
      </c>
      <c r="Q267" s="384"/>
      <c r="R267" s="384"/>
      <c r="S267" s="384"/>
      <c r="T267" s="384"/>
      <c r="U267" s="384"/>
      <c r="V267" s="385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hidden="1" customHeight="1" x14ac:dyDescent="0.25">
      <c r="A268" s="371" t="s">
        <v>202</v>
      </c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66"/>
      <c r="AB268" s="66"/>
      <c r="AC268" s="83"/>
    </row>
    <row r="269" spans="1:68" ht="27" hidden="1" customHeight="1" x14ac:dyDescent="0.25">
      <c r="A269" s="63" t="s">
        <v>378</v>
      </c>
      <c r="B269" s="63" t="s">
        <v>379</v>
      </c>
      <c r="C269" s="36">
        <v>4301136116</v>
      </c>
      <c r="D269" s="372">
        <v>4620207492147</v>
      </c>
      <c r="E269" s="372"/>
      <c r="F269" s="62">
        <v>2.7</v>
      </c>
      <c r="G269" s="37">
        <v>1</v>
      </c>
      <c r="H269" s="62">
        <v>2.7</v>
      </c>
      <c r="I269" s="62">
        <v>2.8906000000000001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473" t="s">
        <v>380</v>
      </c>
      <c r="Q269" s="374"/>
      <c r="R269" s="374"/>
      <c r="S269" s="374"/>
      <c r="T269" s="37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75" t="s">
        <v>205</v>
      </c>
      <c r="AG269" s="81"/>
      <c r="AJ269" s="87" t="s">
        <v>89</v>
      </c>
      <c r="AK269" s="87">
        <v>1</v>
      </c>
      <c r="BB269" s="276" t="s">
        <v>122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381</v>
      </c>
      <c r="B270" s="63" t="s">
        <v>382</v>
      </c>
      <c r="C270" s="36">
        <v>4301136112</v>
      </c>
      <c r="D270" s="372">
        <v>4620207492154</v>
      </c>
      <c r="E270" s="372"/>
      <c r="F270" s="62">
        <v>5</v>
      </c>
      <c r="G270" s="37">
        <v>1</v>
      </c>
      <c r="H270" s="62">
        <v>5</v>
      </c>
      <c r="I270" s="62">
        <v>5.2350000000000003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474" t="s">
        <v>383</v>
      </c>
      <c r="Q270" s="374"/>
      <c r="R270" s="374"/>
      <c r="S270" s="374"/>
      <c r="T270" s="375"/>
      <c r="U270" s="39" t="s">
        <v>46</v>
      </c>
      <c r="V270" s="39" t="s">
        <v>46</v>
      </c>
      <c r="W270" s="40" t="s">
        <v>39</v>
      </c>
      <c r="X270" s="58">
        <v>204</v>
      </c>
      <c r="Y270" s="55">
        <f>IFERROR(IF(X270="","",X270),"")</f>
        <v>204</v>
      </c>
      <c r="Z270" s="41">
        <f>IFERROR(IF(X270="","",X270*0.0155),"")</f>
        <v>3.1619999999999999</v>
      </c>
      <c r="AA270" s="68" t="s">
        <v>46</v>
      </c>
      <c r="AB270" s="69" t="s">
        <v>46</v>
      </c>
      <c r="AC270" s="277" t="s">
        <v>205</v>
      </c>
      <c r="AG270" s="81"/>
      <c r="AJ270" s="87" t="s">
        <v>89</v>
      </c>
      <c r="AK270" s="87">
        <v>1</v>
      </c>
      <c r="BB270" s="278" t="s">
        <v>122</v>
      </c>
      <c r="BM270" s="81">
        <f>IFERROR(X270*I270,"0")</f>
        <v>1067.94</v>
      </c>
      <c r="BN270" s="81">
        <f>IFERROR(Y270*I270,"0")</f>
        <v>1067.94</v>
      </c>
      <c r="BO270" s="81">
        <f>IFERROR(X270/J270,"0")</f>
        <v>2.4285714285714284</v>
      </c>
      <c r="BP270" s="81">
        <f>IFERROR(Y270/J270,"0")</f>
        <v>2.4285714285714284</v>
      </c>
    </row>
    <row r="271" spans="1:68" ht="27" customHeight="1" x14ac:dyDescent="0.25">
      <c r="A271" s="63" t="s">
        <v>384</v>
      </c>
      <c r="B271" s="63" t="s">
        <v>385</v>
      </c>
      <c r="C271" s="36">
        <v>4301136114</v>
      </c>
      <c r="D271" s="372">
        <v>4620207492086</v>
      </c>
      <c r="E271" s="372"/>
      <c r="F271" s="62">
        <v>2.2400000000000002</v>
      </c>
      <c r="G271" s="37">
        <v>1</v>
      </c>
      <c r="H271" s="62">
        <v>2.2400000000000002</v>
      </c>
      <c r="I271" s="62">
        <v>2.4319999999999999</v>
      </c>
      <c r="J271" s="37">
        <v>126</v>
      </c>
      <c r="K271" s="37" t="s">
        <v>123</v>
      </c>
      <c r="L271" s="37" t="s">
        <v>88</v>
      </c>
      <c r="M271" s="38" t="s">
        <v>86</v>
      </c>
      <c r="N271" s="38"/>
      <c r="O271" s="37">
        <v>180</v>
      </c>
      <c r="P271" s="475" t="s">
        <v>386</v>
      </c>
      <c r="Q271" s="374"/>
      <c r="R271" s="374"/>
      <c r="S271" s="374"/>
      <c r="T271" s="375"/>
      <c r="U271" s="39" t="s">
        <v>46</v>
      </c>
      <c r="V271" s="39" t="s">
        <v>46</v>
      </c>
      <c r="W271" s="40" t="s">
        <v>39</v>
      </c>
      <c r="X271" s="58">
        <v>14</v>
      </c>
      <c r="Y271" s="55">
        <f>IFERROR(IF(X271="","",X271),"")</f>
        <v>14</v>
      </c>
      <c r="Z271" s="41">
        <f>IFERROR(IF(X271="","",X271*0.00936),"")</f>
        <v>0.13103999999999999</v>
      </c>
      <c r="AA271" s="68" t="s">
        <v>46</v>
      </c>
      <c r="AB271" s="69" t="s">
        <v>46</v>
      </c>
      <c r="AC271" s="279" t="s">
        <v>205</v>
      </c>
      <c r="AG271" s="81"/>
      <c r="AJ271" s="87" t="s">
        <v>89</v>
      </c>
      <c r="AK271" s="87">
        <v>1</v>
      </c>
      <c r="BB271" s="280" t="s">
        <v>122</v>
      </c>
      <c r="BM271" s="81">
        <f>IFERROR(X271*I271,"0")</f>
        <v>34.048000000000002</v>
      </c>
      <c r="BN271" s="81">
        <f>IFERROR(Y271*I271,"0")</f>
        <v>34.048000000000002</v>
      </c>
      <c r="BO271" s="81">
        <f>IFERROR(X271/J271,"0")</f>
        <v>0.1111111111111111</v>
      </c>
      <c r="BP271" s="81">
        <f>IFERROR(Y271/J271,"0")</f>
        <v>0.1111111111111111</v>
      </c>
    </row>
    <row r="272" spans="1:68" x14ac:dyDescent="0.2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7"/>
      <c r="P272" s="383" t="s">
        <v>40</v>
      </c>
      <c r="Q272" s="384"/>
      <c r="R272" s="384"/>
      <c r="S272" s="384"/>
      <c r="T272" s="384"/>
      <c r="U272" s="384"/>
      <c r="V272" s="385"/>
      <c r="W272" s="42" t="s">
        <v>39</v>
      </c>
      <c r="X272" s="43">
        <f>IFERROR(SUM(X269:X271),"0")</f>
        <v>218</v>
      </c>
      <c r="Y272" s="43">
        <f>IFERROR(SUM(Y269:Y271),"0")</f>
        <v>218</v>
      </c>
      <c r="Z272" s="43">
        <f>IFERROR(IF(Z269="",0,Z269),"0")+IFERROR(IF(Z270="",0,Z270),"0")+IFERROR(IF(Z271="",0,Z271),"0")</f>
        <v>3.29304</v>
      </c>
      <c r="AA272" s="67"/>
      <c r="AB272" s="67"/>
      <c r="AC272" s="67"/>
    </row>
    <row r="273" spans="1:68" x14ac:dyDescent="0.2">
      <c r="A273" s="386"/>
      <c r="B273" s="386"/>
      <c r="C273" s="386"/>
      <c r="D273" s="386"/>
      <c r="E273" s="386"/>
      <c r="F273" s="386"/>
      <c r="G273" s="386"/>
      <c r="H273" s="386"/>
      <c r="I273" s="386"/>
      <c r="J273" s="386"/>
      <c r="K273" s="386"/>
      <c r="L273" s="386"/>
      <c r="M273" s="386"/>
      <c r="N273" s="386"/>
      <c r="O273" s="387"/>
      <c r="P273" s="383" t="s">
        <v>40</v>
      </c>
      <c r="Q273" s="384"/>
      <c r="R273" s="384"/>
      <c r="S273" s="384"/>
      <c r="T273" s="384"/>
      <c r="U273" s="384"/>
      <c r="V273" s="385"/>
      <c r="W273" s="42" t="s">
        <v>0</v>
      </c>
      <c r="X273" s="43">
        <f>IFERROR(SUMPRODUCT(X269:X271*H269:H271),"0")</f>
        <v>1051.3599999999999</v>
      </c>
      <c r="Y273" s="43">
        <f>IFERROR(SUMPRODUCT(Y269:Y271*H269:H271),"0")</f>
        <v>1051.3599999999999</v>
      </c>
      <c r="Z273" s="42"/>
      <c r="AA273" s="67"/>
      <c r="AB273" s="67"/>
      <c r="AC273" s="67"/>
    </row>
    <row r="274" spans="1:68" ht="14.25" hidden="1" customHeight="1" x14ac:dyDescent="0.25">
      <c r="A274" s="371" t="s">
        <v>169</v>
      </c>
      <c r="B274" s="371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  <c r="AA274" s="66"/>
      <c r="AB274" s="66"/>
      <c r="AC274" s="83"/>
    </row>
    <row r="275" spans="1:68" ht="16.5" hidden="1" customHeight="1" x14ac:dyDescent="0.25">
      <c r="A275" s="63" t="s">
        <v>387</v>
      </c>
      <c r="B275" s="63" t="s">
        <v>388</v>
      </c>
      <c r="C275" s="36">
        <v>4301137066</v>
      </c>
      <c r="D275" s="372">
        <v>4620207492109</v>
      </c>
      <c r="E275" s="372"/>
      <c r="F275" s="62">
        <v>5.5</v>
      </c>
      <c r="G275" s="37">
        <v>1</v>
      </c>
      <c r="H275" s="62">
        <v>5.5</v>
      </c>
      <c r="I275" s="62">
        <v>5.7350000000000003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476" t="s">
        <v>389</v>
      </c>
      <c r="Q275" s="374"/>
      <c r="R275" s="374"/>
      <c r="S275" s="374"/>
      <c r="T275" s="37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ref="Y275:Y284" si="18">IFERROR(IF(X275="","",X275),"")</f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81" t="s">
        <v>302</v>
      </c>
      <c r="AG275" s="81"/>
      <c r="AJ275" s="87" t="s">
        <v>89</v>
      </c>
      <c r="AK275" s="87">
        <v>1</v>
      </c>
      <c r="BB275" s="282" t="s">
        <v>122</v>
      </c>
      <c r="BM275" s="81">
        <f t="shared" ref="BM275:BM284" si="19">IFERROR(X275*I275,"0")</f>
        <v>0</v>
      </c>
      <c r="BN275" s="81">
        <f t="shared" ref="BN275:BN284" si="20">IFERROR(Y275*I275,"0")</f>
        <v>0</v>
      </c>
      <c r="BO275" s="81">
        <f t="shared" ref="BO275:BO284" si="21">IFERROR(X275/J275,"0")</f>
        <v>0</v>
      </c>
      <c r="BP275" s="81">
        <f t="shared" ref="BP275:BP284" si="22">IFERROR(Y275/J275,"0")</f>
        <v>0</v>
      </c>
    </row>
    <row r="276" spans="1:68" ht="37.5" customHeight="1" x14ac:dyDescent="0.25">
      <c r="A276" s="63" t="s">
        <v>390</v>
      </c>
      <c r="B276" s="63" t="s">
        <v>391</v>
      </c>
      <c r="C276" s="36">
        <v>4301137068</v>
      </c>
      <c r="D276" s="372">
        <v>4620207492161</v>
      </c>
      <c r="E276" s="372"/>
      <c r="F276" s="62">
        <v>3</v>
      </c>
      <c r="G276" s="37">
        <v>1</v>
      </c>
      <c r="H276" s="62">
        <v>3</v>
      </c>
      <c r="I276" s="62">
        <v>3.1920000000000002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477" t="s">
        <v>392</v>
      </c>
      <c r="Q276" s="374"/>
      <c r="R276" s="374"/>
      <c r="S276" s="374"/>
      <c r="T276" s="375"/>
      <c r="U276" s="39" t="s">
        <v>46</v>
      </c>
      <c r="V276" s="39" t="s">
        <v>46</v>
      </c>
      <c r="W276" s="40" t="s">
        <v>39</v>
      </c>
      <c r="X276" s="58">
        <v>14</v>
      </c>
      <c r="Y276" s="55">
        <f t="shared" si="18"/>
        <v>14</v>
      </c>
      <c r="Z276" s="41">
        <f>IFERROR(IF(X276="","",X276*0.00936),"")</f>
        <v>0.13103999999999999</v>
      </c>
      <c r="AA276" s="68" t="s">
        <v>46</v>
      </c>
      <c r="AB276" s="69" t="s">
        <v>46</v>
      </c>
      <c r="AC276" s="283" t="s">
        <v>393</v>
      </c>
      <c r="AG276" s="81"/>
      <c r="AJ276" s="87" t="s">
        <v>89</v>
      </c>
      <c r="AK276" s="87">
        <v>1</v>
      </c>
      <c r="BB276" s="284" t="s">
        <v>122</v>
      </c>
      <c r="BM276" s="81">
        <f t="shared" si="19"/>
        <v>44.688000000000002</v>
      </c>
      <c r="BN276" s="81">
        <f t="shared" si="20"/>
        <v>44.688000000000002</v>
      </c>
      <c r="BO276" s="81">
        <f t="shared" si="21"/>
        <v>0.1111111111111111</v>
      </c>
      <c r="BP276" s="81">
        <f t="shared" si="22"/>
        <v>0.1111111111111111</v>
      </c>
    </row>
    <row r="277" spans="1:68" ht="27" customHeight="1" x14ac:dyDescent="0.25">
      <c r="A277" s="63" t="s">
        <v>394</v>
      </c>
      <c r="B277" s="63" t="s">
        <v>395</v>
      </c>
      <c r="C277" s="36">
        <v>4301137046</v>
      </c>
      <c r="D277" s="372">
        <v>4620207492093</v>
      </c>
      <c r="E277" s="372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123</v>
      </c>
      <c r="L277" s="37" t="s">
        <v>88</v>
      </c>
      <c r="M277" s="38" t="s">
        <v>86</v>
      </c>
      <c r="N277" s="38"/>
      <c r="O277" s="37">
        <v>180</v>
      </c>
      <c r="P277" s="478" t="s">
        <v>396</v>
      </c>
      <c r="Q277" s="374"/>
      <c r="R277" s="374"/>
      <c r="S277" s="374"/>
      <c r="T277" s="375"/>
      <c r="U277" s="39" t="s">
        <v>46</v>
      </c>
      <c r="V277" s="39" t="s">
        <v>46</v>
      </c>
      <c r="W277" s="40" t="s">
        <v>39</v>
      </c>
      <c r="X277" s="58">
        <v>42</v>
      </c>
      <c r="Y277" s="55">
        <f t="shared" si="18"/>
        <v>42</v>
      </c>
      <c r="Z277" s="41">
        <f>IFERROR(IF(X277="","",X277*0.00936),"")</f>
        <v>0.39312000000000002</v>
      </c>
      <c r="AA277" s="68" t="s">
        <v>46</v>
      </c>
      <c r="AB277" s="69" t="s">
        <v>46</v>
      </c>
      <c r="AC277" s="285" t="s">
        <v>397</v>
      </c>
      <c r="AG277" s="81"/>
      <c r="AJ277" s="87" t="s">
        <v>89</v>
      </c>
      <c r="AK277" s="87">
        <v>1</v>
      </c>
      <c r="BB277" s="286" t="s">
        <v>122</v>
      </c>
      <c r="BM277" s="81">
        <f t="shared" si="19"/>
        <v>163.464</v>
      </c>
      <c r="BN277" s="81">
        <f t="shared" si="20"/>
        <v>163.464</v>
      </c>
      <c r="BO277" s="81">
        <f t="shared" si="21"/>
        <v>0.33333333333333331</v>
      </c>
      <c r="BP277" s="81">
        <f t="shared" si="22"/>
        <v>0.33333333333333331</v>
      </c>
    </row>
    <row r="278" spans="1:68" ht="27" hidden="1" customHeight="1" x14ac:dyDescent="0.25">
      <c r="A278" s="63" t="s">
        <v>398</v>
      </c>
      <c r="B278" s="63" t="s">
        <v>399</v>
      </c>
      <c r="C278" s="36">
        <v>4301137072</v>
      </c>
      <c r="D278" s="372">
        <v>4620207492222</v>
      </c>
      <c r="E278" s="372"/>
      <c r="F278" s="62">
        <v>5</v>
      </c>
      <c r="G278" s="37">
        <v>1</v>
      </c>
      <c r="H278" s="62">
        <v>5</v>
      </c>
      <c r="I278" s="62">
        <v>5.23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479" t="s">
        <v>400</v>
      </c>
      <c r="Q278" s="374"/>
      <c r="R278" s="374"/>
      <c r="S278" s="374"/>
      <c r="T278" s="37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IFERROR(IF(X278="","",X278*0.0155),"")</f>
        <v>0</v>
      </c>
      <c r="AA278" s="68" t="s">
        <v>46</v>
      </c>
      <c r="AB278" s="69" t="s">
        <v>46</v>
      </c>
      <c r="AC278" s="287" t="s">
        <v>397</v>
      </c>
      <c r="AG278" s="81"/>
      <c r="AJ278" s="87" t="s">
        <v>89</v>
      </c>
      <c r="AK278" s="87">
        <v>1</v>
      </c>
      <c r="BB278" s="288" t="s">
        <v>122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401</v>
      </c>
      <c r="B279" s="63" t="s">
        <v>402</v>
      </c>
      <c r="C279" s="36">
        <v>4301137074</v>
      </c>
      <c r="D279" s="372">
        <v>4620207492116</v>
      </c>
      <c r="E279" s="372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480" t="s">
        <v>403</v>
      </c>
      <c r="Q279" s="374"/>
      <c r="R279" s="374"/>
      <c r="S279" s="374"/>
      <c r="T279" s="375"/>
      <c r="U279" s="39" t="s">
        <v>46</v>
      </c>
      <c r="V279" s="39" t="s">
        <v>46</v>
      </c>
      <c r="W279" s="40" t="s">
        <v>39</v>
      </c>
      <c r="X279" s="58">
        <v>154</v>
      </c>
      <c r="Y279" s="55">
        <f t="shared" si="18"/>
        <v>154</v>
      </c>
      <c r="Z279" s="41">
        <f t="shared" ref="Z279:Z284" si="23">IFERROR(IF(X279="","",X279*0.00936),"")</f>
        <v>1.4414400000000001</v>
      </c>
      <c r="AA279" s="68" t="s">
        <v>46</v>
      </c>
      <c r="AB279" s="69" t="s">
        <v>46</v>
      </c>
      <c r="AC279" s="289" t="s">
        <v>302</v>
      </c>
      <c r="AG279" s="81"/>
      <c r="AJ279" s="87" t="s">
        <v>89</v>
      </c>
      <c r="AK279" s="87">
        <v>1</v>
      </c>
      <c r="BB279" s="290" t="s">
        <v>122</v>
      </c>
      <c r="BM279" s="81">
        <f t="shared" si="19"/>
        <v>491.56800000000004</v>
      </c>
      <c r="BN279" s="81">
        <f t="shared" si="20"/>
        <v>491.56800000000004</v>
      </c>
      <c r="BO279" s="81">
        <f t="shared" si="21"/>
        <v>1.2222222222222223</v>
      </c>
      <c r="BP279" s="81">
        <f t="shared" si="22"/>
        <v>1.2222222222222223</v>
      </c>
    </row>
    <row r="280" spans="1:68" ht="37.5" hidden="1" customHeight="1" x14ac:dyDescent="0.25">
      <c r="A280" s="63" t="s">
        <v>404</v>
      </c>
      <c r="B280" s="63" t="s">
        <v>405</v>
      </c>
      <c r="C280" s="36">
        <v>4301137070</v>
      </c>
      <c r="D280" s="372">
        <v>4620207492123</v>
      </c>
      <c r="E280" s="37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481" t="s">
        <v>406</v>
      </c>
      <c r="Q280" s="374"/>
      <c r="R280" s="374"/>
      <c r="S280" s="374"/>
      <c r="T280" s="37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91" t="s">
        <v>393</v>
      </c>
      <c r="AG280" s="81"/>
      <c r="AJ280" s="87" t="s">
        <v>89</v>
      </c>
      <c r="AK280" s="87">
        <v>1</v>
      </c>
      <c r="BB280" s="292" t="s">
        <v>122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37.5" hidden="1" customHeight="1" x14ac:dyDescent="0.25">
      <c r="A281" s="63" t="s">
        <v>407</v>
      </c>
      <c r="B281" s="63" t="s">
        <v>408</v>
      </c>
      <c r="C281" s="36">
        <v>4301137078</v>
      </c>
      <c r="D281" s="372">
        <v>4620207492130</v>
      </c>
      <c r="E281" s="372"/>
      <c r="F281" s="62">
        <v>3.7</v>
      </c>
      <c r="G281" s="37">
        <v>1</v>
      </c>
      <c r="H281" s="62">
        <v>3.7</v>
      </c>
      <c r="I281" s="62">
        <v>3.8919999999999999</v>
      </c>
      <c r="J281" s="37">
        <v>126</v>
      </c>
      <c r="K281" s="37" t="s">
        <v>123</v>
      </c>
      <c r="L281" s="37" t="s">
        <v>88</v>
      </c>
      <c r="M281" s="38" t="s">
        <v>86</v>
      </c>
      <c r="N281" s="38"/>
      <c r="O281" s="37">
        <v>180</v>
      </c>
      <c r="P281" s="482" t="s">
        <v>409</v>
      </c>
      <c r="Q281" s="374"/>
      <c r="R281" s="374"/>
      <c r="S281" s="374"/>
      <c r="T281" s="37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93" t="s">
        <v>393</v>
      </c>
      <c r="AG281" s="81"/>
      <c r="AJ281" s="87" t="s">
        <v>89</v>
      </c>
      <c r="AK281" s="87">
        <v>1</v>
      </c>
      <c r="BB281" s="294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hidden="1" customHeight="1" x14ac:dyDescent="0.25">
      <c r="A282" s="63" t="s">
        <v>410</v>
      </c>
      <c r="B282" s="63" t="s">
        <v>411</v>
      </c>
      <c r="C282" s="36">
        <v>4301137092</v>
      </c>
      <c r="D282" s="372">
        <v>4620207491942</v>
      </c>
      <c r="E282" s="372"/>
      <c r="F282" s="62">
        <v>0.3</v>
      </c>
      <c r="G282" s="37">
        <v>9</v>
      </c>
      <c r="H282" s="62">
        <v>2.7</v>
      </c>
      <c r="I282" s="62">
        <v>2.88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48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2" s="374"/>
      <c r="R282" s="374"/>
      <c r="S282" s="374"/>
      <c r="T282" s="37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95" t="s">
        <v>393</v>
      </c>
      <c r="AG282" s="81"/>
      <c r="AJ282" s="87" t="s">
        <v>89</v>
      </c>
      <c r="AK282" s="87">
        <v>1</v>
      </c>
      <c r="BB282" s="296" t="s">
        <v>122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hidden="1" customHeight="1" x14ac:dyDescent="0.25">
      <c r="A283" s="63" t="s">
        <v>412</v>
      </c>
      <c r="B283" s="63" t="s">
        <v>413</v>
      </c>
      <c r="C283" s="36">
        <v>4301137014</v>
      </c>
      <c r="D283" s="372">
        <v>4620207491911</v>
      </c>
      <c r="E283" s="372"/>
      <c r="F283" s="62">
        <v>0.3</v>
      </c>
      <c r="G283" s="37">
        <v>9</v>
      </c>
      <c r="H283" s="62">
        <v>2.7</v>
      </c>
      <c r="I283" s="62">
        <v>2.988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484" t="s">
        <v>414</v>
      </c>
      <c r="Q283" s="374"/>
      <c r="R283" s="374"/>
      <c r="S283" s="374"/>
      <c r="T283" s="37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7" t="s">
        <v>397</v>
      </c>
      <c r="AG283" s="81"/>
      <c r="AJ283" s="87" t="s">
        <v>89</v>
      </c>
      <c r="AK283" s="87">
        <v>1</v>
      </c>
      <c r="BB283" s="298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hidden="1" customHeight="1" x14ac:dyDescent="0.25">
      <c r="A284" s="63" t="s">
        <v>415</v>
      </c>
      <c r="B284" s="63" t="s">
        <v>416</v>
      </c>
      <c r="C284" s="36">
        <v>4301137012</v>
      </c>
      <c r="D284" s="372">
        <v>4620207491935</v>
      </c>
      <c r="E284" s="372"/>
      <c r="F284" s="62">
        <v>0.3</v>
      </c>
      <c r="G284" s="37">
        <v>9</v>
      </c>
      <c r="H284" s="62">
        <v>2.7</v>
      </c>
      <c r="I284" s="62">
        <v>2.9249999999999998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4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4" s="374"/>
      <c r="R284" s="374"/>
      <c r="S284" s="374"/>
      <c r="T284" s="375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9" t="s">
        <v>302</v>
      </c>
      <c r="AG284" s="81"/>
      <c r="AJ284" s="87" t="s">
        <v>89</v>
      </c>
      <c r="AK284" s="87">
        <v>1</v>
      </c>
      <c r="BB284" s="300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x14ac:dyDescent="0.2">
      <c r="A285" s="386"/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  <c r="O285" s="387"/>
      <c r="P285" s="383" t="s">
        <v>40</v>
      </c>
      <c r="Q285" s="384"/>
      <c r="R285" s="384"/>
      <c r="S285" s="384"/>
      <c r="T285" s="384"/>
      <c r="U285" s="384"/>
      <c r="V285" s="385"/>
      <c r="W285" s="42" t="s">
        <v>39</v>
      </c>
      <c r="X285" s="43">
        <f>IFERROR(SUM(X275:X284),"0")</f>
        <v>210</v>
      </c>
      <c r="Y285" s="43">
        <f>IFERROR(SUM(Y275:Y284),"0")</f>
        <v>210</v>
      </c>
      <c r="Z285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</f>
        <v>1.9656</v>
      </c>
      <c r="AA285" s="67"/>
      <c r="AB285" s="67"/>
      <c r="AC285" s="67"/>
    </row>
    <row r="286" spans="1:68" x14ac:dyDescent="0.2">
      <c r="A286" s="386"/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7"/>
      <c r="P286" s="383" t="s">
        <v>40</v>
      </c>
      <c r="Q286" s="384"/>
      <c r="R286" s="384"/>
      <c r="S286" s="384"/>
      <c r="T286" s="384"/>
      <c r="U286" s="384"/>
      <c r="V286" s="385"/>
      <c r="W286" s="42" t="s">
        <v>0</v>
      </c>
      <c r="X286" s="43">
        <f>IFERROR(SUMPRODUCT(X275:X284*H275:H284),"0")</f>
        <v>659.4</v>
      </c>
      <c r="Y286" s="43">
        <f>IFERROR(SUMPRODUCT(Y275:Y284*H275:H284),"0")</f>
        <v>659.4</v>
      </c>
      <c r="Z286" s="42"/>
      <c r="AA286" s="67"/>
      <c r="AB286" s="67"/>
      <c r="AC286" s="67"/>
    </row>
    <row r="287" spans="1:68" ht="15" customHeight="1" x14ac:dyDescent="0.2">
      <c r="A287" s="386"/>
      <c r="B287" s="386"/>
      <c r="C287" s="386"/>
      <c r="D287" s="386"/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  <c r="O287" s="490"/>
      <c r="P287" s="487" t="s">
        <v>33</v>
      </c>
      <c r="Q287" s="488"/>
      <c r="R287" s="488"/>
      <c r="S287" s="488"/>
      <c r="T287" s="488"/>
      <c r="U287" s="488"/>
      <c r="V287" s="489"/>
      <c r="W287" s="42" t="s">
        <v>0</v>
      </c>
      <c r="X287" s="43">
        <f>IFERROR(X31+X35+X41+X48+X54+X62+X71+X77+X82+X88+X100+X106+X119+X123+X127+X132+X139+X145+X151+X157+X164+X170+X175+X180+X186+X192+X198+X203+X212+X218+X223+X229+X234+X240+X246+X250+X256+X260+X267+X273+X286,"0")</f>
        <v>14930.519999999999</v>
      </c>
      <c r="Y287" s="43">
        <f>IFERROR(Y31+Y35+Y41+Y48+Y54+Y62+Y71+Y77+Y82+Y88+Y100+Y106+Y119+Y123+Y127+Y132+Y139+Y145+Y151+Y157+Y164+Y170+Y175+Y180+Y186+Y192+Y198+Y203+Y212+Y218+Y223+Y229+Y234+Y240+Y246+Y250+Y256+Y260+Y267+Y273+Y286,"0")</f>
        <v>14930.519999999999</v>
      </c>
      <c r="Z287" s="42"/>
      <c r="AA287" s="67"/>
      <c r="AB287" s="67"/>
      <c r="AC287" s="67"/>
    </row>
    <row r="288" spans="1:68" x14ac:dyDescent="0.2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  <c r="O288" s="490"/>
      <c r="P288" s="487" t="s">
        <v>34</v>
      </c>
      <c r="Q288" s="488"/>
      <c r="R288" s="488"/>
      <c r="S288" s="488"/>
      <c r="T288" s="488"/>
      <c r="U288" s="488"/>
      <c r="V288" s="489"/>
      <c r="W288" s="42" t="s">
        <v>0</v>
      </c>
      <c r="X288" s="43">
        <f>IFERROR(SUM(BM22:BM284),"0")</f>
        <v>16256.645200000001</v>
      </c>
      <c r="Y288" s="43">
        <f>IFERROR(SUM(BN22:BN284),"0")</f>
        <v>16256.645200000001</v>
      </c>
      <c r="Z288" s="42"/>
      <c r="AA288" s="67"/>
      <c r="AB288" s="67"/>
      <c r="AC288" s="67"/>
    </row>
    <row r="289" spans="1:32" x14ac:dyDescent="0.2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490"/>
      <c r="P289" s="487" t="s">
        <v>35</v>
      </c>
      <c r="Q289" s="488"/>
      <c r="R289" s="488"/>
      <c r="S289" s="488"/>
      <c r="T289" s="488"/>
      <c r="U289" s="488"/>
      <c r="V289" s="489"/>
      <c r="W289" s="42" t="s">
        <v>20</v>
      </c>
      <c r="X289" s="44">
        <f>ROUNDUP(SUM(BO22:BO284),0)</f>
        <v>39</v>
      </c>
      <c r="Y289" s="44">
        <f>ROUNDUP(SUM(BP22:BP284),0)</f>
        <v>39</v>
      </c>
      <c r="Z289" s="42"/>
      <c r="AA289" s="67"/>
      <c r="AB289" s="67"/>
      <c r="AC289" s="67"/>
    </row>
    <row r="290" spans="1:32" x14ac:dyDescent="0.2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  <c r="O290" s="490"/>
      <c r="P290" s="487" t="s">
        <v>36</v>
      </c>
      <c r="Q290" s="488"/>
      <c r="R290" s="488"/>
      <c r="S290" s="488"/>
      <c r="T290" s="488"/>
      <c r="U290" s="488"/>
      <c r="V290" s="489"/>
      <c r="W290" s="42" t="s">
        <v>0</v>
      </c>
      <c r="X290" s="43">
        <f>GrossWeightTotal+PalletQtyTotal*25</f>
        <v>17231.645199999999</v>
      </c>
      <c r="Y290" s="43">
        <f>GrossWeightTotalR+PalletQtyTotalR*25</f>
        <v>17231.645199999999</v>
      </c>
      <c r="Z290" s="42"/>
      <c r="AA290" s="67"/>
      <c r="AB290" s="67"/>
      <c r="AC290" s="67"/>
    </row>
    <row r="291" spans="1:32" x14ac:dyDescent="0.2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490"/>
      <c r="P291" s="487" t="s">
        <v>37</v>
      </c>
      <c r="Q291" s="488"/>
      <c r="R291" s="488"/>
      <c r="S291" s="488"/>
      <c r="T291" s="488"/>
      <c r="U291" s="488"/>
      <c r="V291" s="489"/>
      <c r="W291" s="42" t="s">
        <v>20</v>
      </c>
      <c r="X291" s="43">
        <f>IFERROR(X30+X34+X40+X47+X53+X61+X70+X76+X81+X87+X99+X105+X118+X122+X126+X131+X138+X144+X150+X156+X163+X169+X174+X179+X185+X191+X197+X202+X211+X217+X222+X228+X233+X239+X245+X249+X255+X259+X266+X272+X285,"0")</f>
        <v>3506</v>
      </c>
      <c r="Y291" s="43">
        <f>IFERROR(Y30+Y34+Y40+Y47+Y53+Y61+Y70+Y76+Y81+Y87+Y99+Y105+Y118+Y122+Y126+Y131+Y138+Y144+Y150+Y156+Y163+Y169+Y174+Y179+Y185+Y191+Y197+Y202+Y211+Y217+Y222+Y228+Y233+Y239+Y245+Y249+Y255+Y259+Y266+Y272+Y285,"0")</f>
        <v>3506</v>
      </c>
      <c r="Z291" s="42"/>
      <c r="AA291" s="67"/>
      <c r="AB291" s="67"/>
      <c r="AC291" s="67"/>
    </row>
    <row r="292" spans="1:32" ht="14.25" hidden="1" x14ac:dyDescent="0.2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490"/>
      <c r="P292" s="487" t="s">
        <v>38</v>
      </c>
      <c r="Q292" s="488"/>
      <c r="R292" s="488"/>
      <c r="S292" s="488"/>
      <c r="T292" s="488"/>
      <c r="U292" s="488"/>
      <c r="V292" s="489"/>
      <c r="W292" s="45" t="s">
        <v>52</v>
      </c>
      <c r="X292" s="42"/>
      <c r="Y292" s="42"/>
      <c r="Z292" s="42">
        <f>IFERROR(Z30+Z34+Z40+Z47+Z53+Z61+Z70+Z76+Z81+Z87+Z99+Z105+Z118+Z122+Z126+Z131+Z138+Z144+Z150+Z156+Z163+Z169+Z174+Z179+Z185+Z191+Z197+Z202+Z211+Z217+Z222+Z228+Z233+Z239+Z245+Z249+Z255+Z259+Z266+Z272+Z285,"0")</f>
        <v>49.750979999999991</v>
      </c>
      <c r="AA292" s="67"/>
      <c r="AB292" s="67"/>
      <c r="AC292" s="67"/>
    </row>
    <row r="293" spans="1:32" ht="13.5" thickBot="1" x14ac:dyDescent="0.25"/>
    <row r="294" spans="1:32" ht="27" thickTop="1" thickBot="1" x14ac:dyDescent="0.25">
      <c r="A294" s="46" t="s">
        <v>9</v>
      </c>
      <c r="B294" s="486" t="s">
        <v>81</v>
      </c>
      <c r="C294" s="486" t="s">
        <v>81</v>
      </c>
      <c r="D294" s="486" t="s">
        <v>45</v>
      </c>
      <c r="E294" s="486" t="s">
        <v>45</v>
      </c>
      <c r="F294" s="486" t="s">
        <v>45</v>
      </c>
      <c r="G294" s="486" t="s">
        <v>45</v>
      </c>
      <c r="H294" s="486" t="s">
        <v>45</v>
      </c>
      <c r="I294" s="486" t="s">
        <v>45</v>
      </c>
      <c r="J294" s="486" t="s">
        <v>45</v>
      </c>
      <c r="K294" s="486" t="s">
        <v>45</v>
      </c>
      <c r="L294" s="486" t="s">
        <v>45</v>
      </c>
      <c r="M294" s="486" t="s">
        <v>45</v>
      </c>
      <c r="N294" s="491"/>
      <c r="O294" s="486" t="s">
        <v>45</v>
      </c>
      <c r="P294" s="486" t="s">
        <v>45</v>
      </c>
      <c r="Q294" s="486" t="s">
        <v>45</v>
      </c>
      <c r="R294" s="486" t="s">
        <v>45</v>
      </c>
      <c r="S294" s="486" t="s">
        <v>45</v>
      </c>
      <c r="T294" s="486" t="s">
        <v>45</v>
      </c>
      <c r="U294" s="486" t="s">
        <v>45</v>
      </c>
      <c r="V294" s="486" t="s">
        <v>292</v>
      </c>
      <c r="W294" s="486" t="s">
        <v>292</v>
      </c>
      <c r="X294" s="486" t="s">
        <v>292</v>
      </c>
      <c r="Y294" s="88" t="s">
        <v>316</v>
      </c>
      <c r="Z294" s="486" t="s">
        <v>330</v>
      </c>
      <c r="AA294" s="486" t="s">
        <v>330</v>
      </c>
      <c r="AB294" s="486" t="s">
        <v>330</v>
      </c>
      <c r="AC294" s="88" t="s">
        <v>352</v>
      </c>
      <c r="AD294" s="88" t="s">
        <v>357</v>
      </c>
      <c r="AE294" s="88" t="s">
        <v>365</v>
      </c>
      <c r="AF294" s="88" t="s">
        <v>293</v>
      </c>
    </row>
    <row r="295" spans="1:32" ht="14.25" customHeight="1" thickTop="1" x14ac:dyDescent="0.2">
      <c r="A295" s="492" t="s">
        <v>10</v>
      </c>
      <c r="B295" s="486" t="s">
        <v>81</v>
      </c>
      <c r="C295" s="486" t="s">
        <v>111</v>
      </c>
      <c r="D295" s="486" t="s">
        <v>117</v>
      </c>
      <c r="E295" s="486" t="s">
        <v>128</v>
      </c>
      <c r="F295" s="486" t="s">
        <v>135</v>
      </c>
      <c r="G295" s="486" t="s">
        <v>146</v>
      </c>
      <c r="H295" s="486" t="s">
        <v>161</v>
      </c>
      <c r="I295" s="486" t="s">
        <v>168</v>
      </c>
      <c r="J295" s="486" t="s">
        <v>173</v>
      </c>
      <c r="K295" s="486" t="s">
        <v>181</v>
      </c>
      <c r="L295" s="486" t="s">
        <v>201</v>
      </c>
      <c r="M295" s="486" t="s">
        <v>208</v>
      </c>
      <c r="N295" s="1"/>
      <c r="O295" s="486" t="s">
        <v>238</v>
      </c>
      <c r="P295" s="486" t="s">
        <v>259</v>
      </c>
      <c r="Q295" s="486" t="s">
        <v>265</v>
      </c>
      <c r="R295" s="486" t="s">
        <v>271</v>
      </c>
      <c r="S295" s="486" t="s">
        <v>279</v>
      </c>
      <c r="T295" s="486" t="s">
        <v>285</v>
      </c>
      <c r="U295" s="486" t="s">
        <v>289</v>
      </c>
      <c r="V295" s="486" t="s">
        <v>293</v>
      </c>
      <c r="W295" s="486" t="s">
        <v>306</v>
      </c>
      <c r="X295" s="486" t="s">
        <v>313</v>
      </c>
      <c r="Y295" s="486" t="s">
        <v>317</v>
      </c>
      <c r="Z295" s="486" t="s">
        <v>331</v>
      </c>
      <c r="AA295" s="486" t="s">
        <v>341</v>
      </c>
      <c r="AB295" s="486" t="s">
        <v>348</v>
      </c>
      <c r="AC295" s="486" t="s">
        <v>353</v>
      </c>
      <c r="AD295" s="486" t="s">
        <v>358</v>
      </c>
      <c r="AE295" s="486" t="s">
        <v>365</v>
      </c>
      <c r="AF295" s="486" t="s">
        <v>293</v>
      </c>
    </row>
    <row r="296" spans="1:32" ht="13.5" thickBot="1" x14ac:dyDescent="0.25">
      <c r="A296" s="493"/>
      <c r="B296" s="486"/>
      <c r="C296" s="486"/>
      <c r="D296" s="486"/>
      <c r="E296" s="486"/>
      <c r="F296" s="486"/>
      <c r="G296" s="486"/>
      <c r="H296" s="486"/>
      <c r="I296" s="486"/>
      <c r="J296" s="486"/>
      <c r="K296" s="486"/>
      <c r="L296" s="486"/>
      <c r="M296" s="486"/>
      <c r="N296" s="1"/>
      <c r="O296" s="486"/>
      <c r="P296" s="486"/>
      <c r="Q296" s="486"/>
      <c r="R296" s="486"/>
      <c r="S296" s="486"/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</row>
    <row r="297" spans="1:32" ht="18" thickTop="1" thickBot="1" x14ac:dyDescent="0.25">
      <c r="A297" s="46" t="s">
        <v>13</v>
      </c>
      <c r="B297" s="52">
        <f>IFERROR(X22*H22,"0")+IFERROR(X23*H23,"0")+IFERROR(X24*H24,"0")+IFERROR(X25*H25,"0")+IFERROR(X26*H26,"0")+IFERROR(X27*H27,"0")+IFERROR(X28*H28,"0")+IFERROR(X29*H29,"0")+IFERROR(X33*H33,"0")</f>
        <v>572.16000000000008</v>
      </c>
      <c r="C297" s="52">
        <f>IFERROR(X38*H38,"0")+IFERROR(X39*H39,"0")</f>
        <v>0</v>
      </c>
      <c r="D297" s="52">
        <f>IFERROR(X45*H45,"0")+IFERROR(X46*H46,"0")</f>
        <v>252</v>
      </c>
      <c r="E297" s="52">
        <f>IFERROR(X51*H51,"0")+IFERROR(X52*H52,"0")</f>
        <v>67.199999999999989</v>
      </c>
      <c r="F297" s="52">
        <f>IFERROR(X57*H57,"0")+IFERROR(X58*H58,"0")+IFERROR(X59*H59,"0")+IFERROR(X60*H60,"0")</f>
        <v>1756.8</v>
      </c>
      <c r="G297" s="52">
        <f>IFERROR(X65*H65,"0")+IFERROR(X66*H66,"0")+IFERROR(X67*H67,"0")+IFERROR(X68*H68,"0")+IFERROR(X69*H69,"0")</f>
        <v>33.6</v>
      </c>
      <c r="H297" s="52">
        <f>IFERROR(X74*H74,"0")+IFERROR(X75*H75,"0")</f>
        <v>1200</v>
      </c>
      <c r="I297" s="52">
        <f>IFERROR(X80*H80,"0")</f>
        <v>50.4</v>
      </c>
      <c r="J297" s="52">
        <f>IFERROR(X85*H85,"0")+IFERROR(X86*H86,"0")</f>
        <v>100.8</v>
      </c>
      <c r="K297" s="52">
        <f>IFERROR(X91*H91,"0")+IFERROR(X92*H92,"0")+IFERROR(X93*H93,"0")+IFERROR(X94*H94,"0")+IFERROR(X95*H95,"0")+IFERROR(X96*H96,"0")+IFERROR(X97*H97,"0")+IFERROR(X98*H98,"0")</f>
        <v>542.64</v>
      </c>
      <c r="L297" s="52">
        <f>IFERROR(X103*H103,"0")+IFERROR(X104*H104,"0")</f>
        <v>80.64</v>
      </c>
      <c r="M297" s="52">
        <f>IFERROR(X109*H109,"0")+IFERROR(X110*H110,"0")+IFERROR(X111*H111,"0")+IFERROR(X112*H112,"0")+IFERROR(X113*H113,"0")+IFERROR(X114*H114,"0")+IFERROR(X115*H115,"0")+IFERROR(X116*H116,"0")+IFERROR(X117*H117,"0")+IFERROR(X121*H121,"0")+IFERROR(X125*H125,"0")</f>
        <v>3568.8</v>
      </c>
      <c r="N297" s="1"/>
      <c r="O297" s="52">
        <f>IFERROR(X130*H130,"0")+IFERROR(X134*H134,"0")+IFERROR(X135*H135,"0")+IFERROR(X136*H136,"0")+IFERROR(X137*H137,"0")+IFERROR(X141*H141,"0")+IFERROR(X142*H142,"0")+IFERROR(X143*H143,"0")</f>
        <v>557.64</v>
      </c>
      <c r="P297" s="52">
        <f>IFERROR(X148*H148,"0")+IFERROR(X149*H149,"0")</f>
        <v>672</v>
      </c>
      <c r="Q297" s="52">
        <f>IFERROR(X154*H154,"0")+IFERROR(X155*H155,"0")</f>
        <v>336</v>
      </c>
      <c r="R297" s="52">
        <f>IFERROR(X160*H160,"0")+IFERROR(X161*H161,"0")+IFERROR(X162*H162,"0")</f>
        <v>100.80000000000001</v>
      </c>
      <c r="S297" s="52">
        <f>IFERROR(X167*H167,"0")+IFERROR(X168*H168,"0")</f>
        <v>42</v>
      </c>
      <c r="T297" s="52">
        <f>IFERROR(X173*H173,"0")</f>
        <v>0</v>
      </c>
      <c r="U297" s="52">
        <f>IFERROR(X178*H178,"0")</f>
        <v>70.56</v>
      </c>
      <c r="V297" s="52">
        <f>IFERROR(X184*H184,"0")+IFERROR(X188*H188,"0")+IFERROR(X189*H189,"0")+IFERROR(X190*H190,"0")</f>
        <v>915.8</v>
      </c>
      <c r="W297" s="52">
        <f>IFERROR(X195*H195,"0")+IFERROR(X196*H196,"0")</f>
        <v>300</v>
      </c>
      <c r="X297" s="52">
        <f>IFERROR(X201*H201,"0")</f>
        <v>540</v>
      </c>
      <c r="Y297" s="52">
        <f>IFERROR(X207*H207,"0")+IFERROR(X208*H208,"0")+IFERROR(X209*H209,"0")+IFERROR(X210*H210,"0")</f>
        <v>962.64</v>
      </c>
      <c r="Z297" s="52">
        <f>IFERROR(X216*H216,"0")+IFERROR(X220*H220,"0")+IFERROR(X221*H221,"0")</f>
        <v>77.28</v>
      </c>
      <c r="AA297" s="52">
        <f>IFERROR(X226*H226,"0")+IFERROR(X227*H227,"0")</f>
        <v>0</v>
      </c>
      <c r="AB297" s="52">
        <f>IFERROR(X232*H232,"0")</f>
        <v>420</v>
      </c>
      <c r="AC297" s="52">
        <f>IFERROR(X238*H238,"0")</f>
        <v>0</v>
      </c>
      <c r="AD297" s="52">
        <f>IFERROR(X244*H244,"0")+IFERROR(X248*H248,"0")</f>
        <v>0</v>
      </c>
      <c r="AE297" s="52">
        <f>IFERROR(X254*H254,"0")+IFERROR(X258*H258,"0")</f>
        <v>0</v>
      </c>
      <c r="AF297" s="52">
        <f>IFERROR(X264*H264,"0")+IFERROR(X265*H265,"0")+IFERROR(X269*H269,"0")+IFERROR(X270*H270,"0")+IFERROR(X271*H271,"0")+IFERROR(X275*H275,"0")+IFERROR(X276*H276,"0")+IFERROR(X277*H277,"0")+IFERROR(X278*H278,"0")+IFERROR(X279*H279,"0")+IFERROR(X280*H280,"0")+IFERROR(X281*H281,"0")+IFERROR(X282*H282,"0")+IFERROR(X283*H283,"0")+IFERROR(X284*H284,"0")</f>
        <v>1710.76</v>
      </c>
    </row>
    <row r="298" spans="1:32" ht="13.5" thickTop="1" x14ac:dyDescent="0.2">
      <c r="C298" s="1"/>
    </row>
    <row r="299" spans="1:32" ht="19.5" customHeight="1" x14ac:dyDescent="0.2">
      <c r="A299" s="70" t="s">
        <v>62</v>
      </c>
      <c r="B299" s="70" t="s">
        <v>63</v>
      </c>
      <c r="C299" s="70" t="s">
        <v>65</v>
      </c>
    </row>
    <row r="300" spans="1:32" x14ac:dyDescent="0.2">
      <c r="A300" s="71">
        <f>SUMPRODUCT(--(BB:BB="ЗПФ"),--(W:W="кор"),H:H,Y:Y)+SUMPRODUCT(--(BB:BB="ЗПФ"),--(W:W="кг"),Y:Y)</f>
        <v>8561.7599999999984</v>
      </c>
      <c r="B300" s="72">
        <f>SUMPRODUCT(--(BB:BB="ПГП"),--(W:W="кор"),H:H,Y:Y)+SUMPRODUCT(--(BB:BB="ПГП"),--(W:W="кг"),Y:Y)</f>
        <v>6368.7599999999993</v>
      </c>
      <c r="C300" s="72">
        <f>SUMPRODUCT(--(BB:BB="КИЗ"),--(W:W="кор"),H:H,Y:Y)+SUMPRODUCT(--(BB:BB="КИЗ"),--(W:W="кг"),Y:Y)</f>
        <v>0</v>
      </c>
    </row>
  </sheetData>
  <sheetProtection algorithmName="SHA-512" hashValue="YPsumzmEzbYZ9oSIOT4zdvZWmJYl33UeHIk7K2EM9aHfGFBu90WXVNc372L5hh2NCIE2s3Iz22p+EdMCoHTHiA==" saltValue="Id3hwqSPMNh5yWKxMGaBMQ==" spinCount="100000" sheet="1" objects="1" scenarios="1" sort="0" autoFilter="0" pivotTables="0"/>
  <autoFilter ref="A18:AF29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1,36"/>
        <filter val="1 200,00"/>
        <filter val="1 756,80"/>
        <filter val="100,80"/>
        <filter val="108,00"/>
        <filter val="112,00"/>
        <filter val="12,00"/>
        <filter val="126,00"/>
        <filter val="136,80"/>
        <filter val="14 930,52"/>
        <filter val="14,00"/>
        <filter val="140,00"/>
        <filter val="144,00"/>
        <filter val="154,00"/>
        <filter val="16 256,65"/>
        <filter val="168,00"/>
        <filter val="17 231,65"/>
        <filter val="182,00"/>
        <filter val="204,00"/>
        <filter val="210,00"/>
        <filter val="218,00"/>
        <filter val="224,00"/>
        <filter val="24,00"/>
        <filter val="240,00"/>
        <filter val="252,00"/>
        <filter val="28,00"/>
        <filter val="3 506,00"/>
        <filter val="3 568,80"/>
        <filter val="300,00"/>
        <filter val="308,00"/>
        <filter val="322,00"/>
        <filter val="33,60"/>
        <filter val="336,00"/>
        <filter val="36,00"/>
        <filter val="39"/>
        <filter val="42,00"/>
        <filter val="420,00"/>
        <filter val="420,84"/>
        <filter val="50,40"/>
        <filter val="51,80"/>
        <filter val="516,00"/>
        <filter val="540,00"/>
        <filter val="542,64"/>
        <filter val="572,16"/>
        <filter val="60,00"/>
        <filter val="659,40"/>
        <filter val="67,20"/>
        <filter val="672,00"/>
        <filter val="70,00"/>
        <filter val="70,56"/>
        <filter val="77,28"/>
        <filter val="80,64"/>
        <filter val="84,00"/>
        <filter val="864,00"/>
        <filter val="96,00"/>
        <filter val="962,64"/>
      </filters>
    </filterColumn>
    <filterColumn colId="29" showButton="0"/>
    <filterColumn colId="30" showButton="0"/>
  </autoFilter>
  <dataConsolidate/>
  <mergeCells count="523"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Z294:AB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T295:T296"/>
    <mergeCell ref="U295:U296"/>
    <mergeCell ref="V295:V296"/>
    <mergeCell ref="W295:W296"/>
    <mergeCell ref="X295:X296"/>
    <mergeCell ref="P287:V287"/>
    <mergeCell ref="A287:O292"/>
    <mergeCell ref="P288:V288"/>
    <mergeCell ref="P289:V289"/>
    <mergeCell ref="P290:V290"/>
    <mergeCell ref="P291:V291"/>
    <mergeCell ref="P292:V292"/>
    <mergeCell ref="B294:C294"/>
    <mergeCell ref="D294:U294"/>
    <mergeCell ref="V294:X294"/>
    <mergeCell ref="J295:J296"/>
    <mergeCell ref="K295:K296"/>
    <mergeCell ref="L295:L296"/>
    <mergeCell ref="M295:M296"/>
    <mergeCell ref="O295:O296"/>
    <mergeCell ref="P295:P296"/>
    <mergeCell ref="Q295:Q296"/>
    <mergeCell ref="R295:R296"/>
    <mergeCell ref="S295:S296"/>
    <mergeCell ref="D282:E282"/>
    <mergeCell ref="P282:T282"/>
    <mergeCell ref="D283:E283"/>
    <mergeCell ref="P283:T283"/>
    <mergeCell ref="D284:E284"/>
    <mergeCell ref="P284:T284"/>
    <mergeCell ref="P285:V285"/>
    <mergeCell ref="A285:O286"/>
    <mergeCell ref="P286:V28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58:E258"/>
    <mergeCell ref="P258:T258"/>
    <mergeCell ref="P259:V259"/>
    <mergeCell ref="A259:O260"/>
    <mergeCell ref="P260:V260"/>
    <mergeCell ref="A261:Z261"/>
    <mergeCell ref="A262:Z262"/>
    <mergeCell ref="A263:Z263"/>
    <mergeCell ref="D264:E264"/>
    <mergeCell ref="P264:T264"/>
    <mergeCell ref="A251:Z251"/>
    <mergeCell ref="A252:Z252"/>
    <mergeCell ref="A253:Z253"/>
    <mergeCell ref="D254:E254"/>
    <mergeCell ref="P254:T254"/>
    <mergeCell ref="P255:V255"/>
    <mergeCell ref="A255:O256"/>
    <mergeCell ref="P256:V256"/>
    <mergeCell ref="A257:Z257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A219:Z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P211:V211"/>
    <mergeCell ref="A211:O212"/>
    <mergeCell ref="P212:V212"/>
    <mergeCell ref="A213:Z213"/>
    <mergeCell ref="A214:Z214"/>
    <mergeCell ref="A215:Z215"/>
    <mergeCell ref="D216:E216"/>
    <mergeCell ref="P216:T216"/>
    <mergeCell ref="P217:V217"/>
    <mergeCell ref="A217:O218"/>
    <mergeCell ref="P218:V218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193:Z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84 X269:X271 X264:X265 X258 X254 X248 X244 X238 X226:X227 X220 X210 X201 X188:X190 X184 X178 X168 X160:X162 X154:X155 X148:X149 X141:X143 X134:X137 X130 X125 X121 X117 X113:X115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2 X221 X216 X207:X209 X195:X196 X173 X167 X116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417</v>
      </c>
      <c r="H1" s="9"/>
    </row>
    <row r="3" spans="2:8" x14ac:dyDescent="0.2">
      <c r="B3" s="53" t="s">
        <v>418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420</v>
      </c>
      <c r="D6" s="53" t="s">
        <v>421</v>
      </c>
      <c r="E6" s="53" t="s">
        <v>46</v>
      </c>
    </row>
    <row r="8" spans="2:8" x14ac:dyDescent="0.2">
      <c r="B8" s="53" t="s">
        <v>80</v>
      </c>
      <c r="C8" s="53" t="s">
        <v>420</v>
      </c>
      <c r="D8" s="53" t="s">
        <v>46</v>
      </c>
      <c r="E8" s="53" t="s">
        <v>46</v>
      </c>
    </row>
    <row r="10" spans="2:8" x14ac:dyDescent="0.2">
      <c r="B10" s="53" t="s">
        <v>422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432</v>
      </c>
      <c r="C20" s="53" t="s">
        <v>46</v>
      </c>
      <c r="D20" s="53" t="s">
        <v>46</v>
      </c>
      <c r="E20" s="53" t="s">
        <v>46</v>
      </c>
    </row>
  </sheetData>
  <sheetProtection algorithmName="SHA-512" hashValue="YWJ15tjbKDr+J58F+DtcDVZ0LFTuM3Xs6J0y5KTmiQIT2sZUV4lTJYdqKDMi7eLo9Jxv8ClkpYSyUft1Jp6hnA==" saltValue="UaJ78R/8+JnKgqVhK21G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