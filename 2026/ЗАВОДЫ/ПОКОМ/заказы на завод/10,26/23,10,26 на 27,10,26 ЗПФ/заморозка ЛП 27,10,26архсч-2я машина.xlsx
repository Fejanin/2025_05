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824AE8-EF91-44DE-B1FD-69A3819B2D6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<sst xmlns="http://schemas.openxmlformats.org/spreadsheetml/2006/main" count="1762" uniqueCount="408">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</sst>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151" sqref="AA1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 t="s">
        <v>407</v>
      </c>
      <c r="I5" s="296"/>
      <c r="J5" s="296"/>
      <c r="K5" s="296"/>
      <c r="L5" s="296"/>
      <c r="M5" s="296"/>
      <c r="N5" s="75"/>
      <c r="P5" s="27" t="s">
        <v>4</v>
      </c>
      <c r="Q5" s="298">
        <v>46322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Вторник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/>
      <c r="Y41" s="55" t="str">
        <f>IFERROR(IF(X41="","",X41),"")</f>
        <v/>
      </c>
      <c r="Z41" s="41" t="str">
        <f>IFERROR(IF(X41="","",X41*0.00941),"")</f>
        <v/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 t="str">
        <f>IFERROR(Y41*I41,"0")</f>
        <v>0</v>
      </c>
      <c r="BO41" s="81">
        <f>IFERROR(X41/J41,"0")</f>
        <v>0</v>
      </c>
      <c r="BP41" s="81" t="str">
        <f>IFERROR(Y41/J41,"0")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/>
      <c r="Y42" s="55" t="str">
        <f>IFERROR(IF(X42="","",X42),"")</f>
        <v/>
      </c>
      <c r="Z42" s="41" t="str">
        <f>IFERROR(IF(X42="","",X42*0.00941),"")</f>
        <v/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 t="str">
        <f>IFERROR(Y42*I42,"0")</f>
        <v>0</v>
      </c>
      <c r="BO42" s="81">
        <f>IFERROR(X42/J42,"0")</f>
        <v>0</v>
      </c>
      <c r="BP42" s="81" t="str">
        <f>IFERROR(Y42/J42,"0")</f>
        <v>0</v>
      </c>
    </row>
    <row r="43" spans="1:68" hidden="1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hidden="1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 t="str">
        <f>IFERROR(SUMPRODUCT(Y41:Y42*H41:H42),"0")</f>
        <v>0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/>
      <c r="Y71" s="55" t="str">
        <f>IFERROR(IF(X71="","",X71),"")</f>
        <v/>
      </c>
      <c r="Z71" s="41" t="str">
        <f>IFERROR(IF(X71="","",X71*0.00941),"")</f>
        <v/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 t="str">
        <f>IFERROR(Y71*I71,"0")</f>
        <v>0</v>
      </c>
      <c r="BO71" s="81">
        <f>IFERROR(X71/J71,"0")</f>
        <v>0</v>
      </c>
      <c r="BP71" s="81" t="str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/>
      <c r="Y72" s="55" t="str">
        <f>IFERROR(IF(X72="","",X72),"")</f>
        <v/>
      </c>
      <c r="Z72" s="41" t="str">
        <f>IFERROR(IF(X72="","",X72*0.00941),"")</f>
        <v/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 t="str">
        <f>IFERROR(Y72*I72,"0")</f>
        <v>0</v>
      </c>
      <c r="BO72" s="81">
        <f>IFERROR(X72/J72,"0")</f>
        <v>0</v>
      </c>
      <c r="BP72" s="81" t="str">
        <f>IFERROR(Y72/J72,"0")</f>
        <v>0</v>
      </c>
    </row>
    <row r="73" spans="1:68" hidden="1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0</v>
      </c>
      <c r="Y74" s="43" t="str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/>
      <c r="Y89" s="55" t="str">
        <f>IFERROR(IF(X89="","",X89),"")</f>
        <v/>
      </c>
      <c r="Z89" s="41" t="str">
        <f>IFERROR(IF(X89="","",X89*0.01788),"")</f>
        <v/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 t="str">
        <f>IFERROR(Y89*I89,"0")</f>
        <v>0</v>
      </c>
      <c r="BO89" s="81">
        <f>IFERROR(X89/J89,"0")</f>
        <v>0</v>
      </c>
      <c r="BP89" s="81" t="str">
        <f>IFERROR(Y89/J89,"0")</f>
        <v>0</v>
      </c>
    </row>
    <row r="90" spans="1:68" hidden="1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hidden="1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0</v>
      </c>
      <c r="Y91" s="43" t="str">
        <f>IFERROR(SUMPRODUCT(Y88:Y89*H88:H89),"0")</f>
        <v>0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/>
      <c r="Y94" s="55" t="str">
        <f t="shared" ref="Y94:Y99" si="6">IFERROR(IF(X94="","",X94),"")</f>
        <v/>
      </c>
      <c r="Z94" s="41" t="str">
        <f t="shared" ref="Z94:Z99" si="7">IFERROR(IF(X94="","",X94*0.01788),"")</f>
        <v/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 t="str">
        <f t="shared" ref="BN94:BN99" si="9">IFERROR(Y94*I94,"0")</f>
        <v>0</v>
      </c>
      <c r="BO94" s="81">
        <f t="shared" ref="BO94:BO99" si="10">IFERROR(X94/J94,"0")</f>
        <v>0</v>
      </c>
      <c r="BP94" s="81" t="str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/>
      <c r="Y95" s="55" t="str">
        <f t="shared" si="6"/>
        <v/>
      </c>
      <c r="Z95" s="41" t="str">
        <f t="shared" si="7"/>
        <v/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 t="str">
        <f t="shared" si="9"/>
        <v>0</v>
      </c>
      <c r="BO95" s="81">
        <f t="shared" si="10"/>
        <v>0</v>
      </c>
      <c r="BP95" s="81" t="str">
        <f t="shared" si="11"/>
        <v>0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/>
      <c r="Y96" s="55" t="str">
        <f t="shared" si="6"/>
        <v/>
      </c>
      <c r="Z96" s="41" t="str">
        <f t="shared" si="7"/>
        <v/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 t="str">
        <f t="shared" si="9"/>
        <v>0</v>
      </c>
      <c r="BO96" s="81">
        <f t="shared" si="10"/>
        <v>0</v>
      </c>
      <c r="BP96" s="81" t="str">
        <f t="shared" si="11"/>
        <v>0</v>
      </c>
    </row>
    <row r="97" spans="1:68" ht="27" hidden="1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/>
      <c r="Y99" s="55" t="str">
        <f t="shared" si="6"/>
        <v/>
      </c>
      <c r="Z99" s="41" t="str">
        <f t="shared" si="7"/>
        <v/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 t="str">
        <f t="shared" si="9"/>
        <v>0</v>
      </c>
      <c r="BO99" s="81">
        <f t="shared" si="10"/>
        <v>0</v>
      </c>
      <c r="BP99" s="81" t="str">
        <f t="shared" si="11"/>
        <v>0</v>
      </c>
    </row>
    <row r="100" spans="1:68" hidden="1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0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/>
      <c r="Y104" s="55" t="str">
        <f>IFERROR(IF(X104="","",X104),"")</f>
        <v/>
      </c>
      <c r="Z104" s="41" t="str">
        <f>IFERROR(IF(X104="","",X104*0.00936),"")</f>
        <v/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 t="str">
        <f>IFERROR(Y104*I104,"0")</f>
        <v>0</v>
      </c>
      <c r="BO104" s="81">
        <f>IFERROR(X104/J104,"0")</f>
        <v>0</v>
      </c>
      <c r="BP104" s="81" t="str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0</v>
      </c>
      <c r="Y107" s="43" t="str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/>
      <c r="Y113" s="55" t="str">
        <f t="shared" si="12"/>
        <v/>
      </c>
      <c r="Z113" s="41" t="str">
        <f t="shared" si="13"/>
        <v/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 t="str">
        <f t="shared" si="15"/>
        <v>0</v>
      </c>
      <c r="BO113" s="81">
        <f t="shared" si="16"/>
        <v>0</v>
      </c>
      <c r="BP113" s="81" t="str">
        <f t="shared" si="17"/>
        <v>0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hidden="1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idden="1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0</v>
      </c>
      <c r="Y120" s="43" t="str">
        <f>IFERROR(SUMPRODUCT(Y110:Y118*H110:H118),"0")</f>
        <v>0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/>
      <c r="Y131" s="55" t="str">
        <f>IFERROR(IF(X131="","",X131),"")</f>
        <v/>
      </c>
      <c r="Z131" s="41" t="str">
        <f>IFERROR(IF(X131="","",X131*0.00941),"")</f>
        <v/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 t="str">
        <f>IFERROR(Y131*I131,"0")</f>
        <v>0</v>
      </c>
      <c r="BO131" s="81">
        <f>IFERROR(X131/J131,"0")</f>
        <v>0</v>
      </c>
      <c r="BP131" s="81" t="str">
        <f>IFERROR(Y131/J131,"0")</f>
        <v>0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/>
      <c r="Y134" s="55" t="str">
        <f>IFERROR(IF(X134="","",X134),"")</f>
        <v/>
      </c>
      <c r="Z134" s="41" t="str">
        <f>IFERROR(IF(X134="","",X134*0.00941),"")</f>
        <v/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 t="str">
        <f>IFERROR(Y134*I134,"0")</f>
        <v>0</v>
      </c>
      <c r="BO134" s="81">
        <f>IFERROR(X134/J134,"0")</f>
        <v>0</v>
      </c>
      <c r="BP134" s="81" t="str">
        <f>IFERROR(Y134/J134,"0")</f>
        <v>0</v>
      </c>
    </row>
    <row r="135" spans="1:68" hidden="1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0</v>
      </c>
      <c r="Y136" s="43" t="str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hidden="1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/>
      <c r="Y145" s="55" t="str">
        <f>IFERROR(IF(X145="","",X145),"")</f>
        <v/>
      </c>
      <c r="Z145" s="41" t="str">
        <f>IFERROR(IF(X145="","",X145*0.01788),"")</f>
        <v/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 t="str">
        <f>IFERROR(Y145*I145,"0")</f>
        <v>0</v>
      </c>
      <c r="BO145" s="81">
        <f>IFERROR(X145/J145,"0")</f>
        <v>0</v>
      </c>
      <c r="BP145" s="81" t="str">
        <f>IFERROR(Y145/J145,"0")</f>
        <v>0</v>
      </c>
    </row>
    <row r="146" spans="1:68" ht="27" hidden="1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/>
      <c r="Y146" s="55" t="str">
        <f>IFERROR(IF(X146="","",X146),"")</f>
        <v/>
      </c>
      <c r="Z146" s="41" t="str">
        <f>IFERROR(IF(X146="","",X146*0.01788),"")</f>
        <v/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 t="str">
        <f>IFERROR(Y146*I146,"0")</f>
        <v>0</v>
      </c>
      <c r="BO146" s="81">
        <f>IFERROR(X146/J146,"0")</f>
        <v>0</v>
      </c>
      <c r="BP146" s="81" t="str">
        <f>IFERROR(Y146/J146,"0")</f>
        <v>0</v>
      </c>
    </row>
    <row r="147" spans="1:68" hidden="1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0</v>
      </c>
      <c r="Y148" s="43" t="str">
        <f>IFERROR(SUMPRODUCT(Y145:Y146*H145:H146),"0")</f>
        <v>0</v>
      </c>
      <c r="Z148" s="42"/>
      <c r="AA148" s="67"/>
      <c r="AB148" s="67"/>
      <c r="AC148" s="67"/>
    </row>
    <row r="149" spans="1:68" ht="16.5" hidden="1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117</v>
      </c>
      <c r="Y151" s="55">
        <f>IFERROR(IF(X151="","",X151),"")</f>
        <v>117</v>
      </c>
      <c r="Z151" s="41">
        <f>IFERROR(IF(X151="","",X151*0.01788),"")</f>
        <v>2.0919599999999998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438.51600000000002</v>
      </c>
      <c r="BN151" s="81">
        <f>IFERROR(Y151*I151,"0")</f>
        <v>438.51600000000002</v>
      </c>
      <c r="BO151" s="81">
        <f>IFERROR(X151/J151,"0")</f>
        <v>1.6714285714285715</v>
      </c>
      <c r="BP151" s="81">
        <f>IFERROR(Y151/J151,"0")</f>
        <v>1.6714285714285715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150</v>
      </c>
      <c r="Y152" s="55">
        <f>IFERROR(IF(X152="","",X152),"")</f>
        <v>150</v>
      </c>
      <c r="Z152" s="41">
        <f>IFERROR(IF(X152="","",X152*0.01788),"")</f>
        <v>2.6819999999999999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555.54</v>
      </c>
      <c r="BN152" s="81">
        <f>IFERROR(Y152*I152,"0")</f>
        <v>555.54</v>
      </c>
      <c r="BO152" s="81">
        <f>IFERROR(X152/J152,"0")</f>
        <v>2.1428571428571428</v>
      </c>
      <c r="BP152" s="81">
        <f>IFERROR(Y152/J152,"0")</f>
        <v>2.1428571428571428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267</v>
      </c>
      <c r="Y153" s="43">
        <f>IFERROR(SUM(Y151:Y152),"0")</f>
        <v>267</v>
      </c>
      <c r="Z153" s="43">
        <f>IFERROR(IF(Z151="",0,Z151),"0")+IFERROR(IF(Z152="",0,Z152),"0")</f>
        <v>4.7739599999999998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801</v>
      </c>
      <c r="Y154" s="43">
        <f>IFERROR(SUMPRODUCT(Y151:Y152*H151:H152),"0")</f>
        <v>801</v>
      </c>
      <c r="Z154" s="42"/>
      <c r="AA154" s="67"/>
      <c r="AB154" s="67"/>
      <c r="AC154" s="67"/>
    </row>
    <row r="155" spans="1:68" ht="16.5" hidden="1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42</v>
      </c>
      <c r="Y158" s="55">
        <f>IFERROR(IF(X158="","",X158),"")</f>
        <v>42</v>
      </c>
      <c r="Z158" s="41">
        <f>IFERROR(IF(X158="","",X158*0.01788),"")</f>
        <v>0.75095999999999996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112.56</v>
      </c>
      <c r="BN158" s="81">
        <f>IFERROR(Y158*I158,"0")</f>
        <v>112.56</v>
      </c>
      <c r="BO158" s="81">
        <f>IFERROR(X158/J158,"0")</f>
        <v>0.6</v>
      </c>
      <c r="BP158" s="81">
        <f>IFERROR(Y158/J158,"0")</f>
        <v>0.6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42</v>
      </c>
      <c r="Y159" s="43">
        <f>IFERROR(SUM(Y157:Y158),"0")</f>
        <v>42</v>
      </c>
      <c r="Z159" s="43">
        <f>IFERROR(IF(Z157="",0,Z157),"0")+IFERROR(IF(Z158="",0,Z158),"0")</f>
        <v>0.75095999999999996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100.8</v>
      </c>
      <c r="Y160" s="43">
        <f>IFERROR(SUMPRODUCT(Y157:Y158*H157:H158),"0")</f>
        <v>100.8</v>
      </c>
      <c r="Z160" s="42"/>
      <c r="AA160" s="67"/>
      <c r="AB160" s="67"/>
      <c r="AC160" s="67"/>
    </row>
    <row r="161" spans="1:68" ht="16.5" hidden="1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25</v>
      </c>
      <c r="Y163" s="55">
        <f>IFERROR(IF(X163="","",X163),"")</f>
        <v>25</v>
      </c>
      <c r="Z163" s="41">
        <f>IFERROR(IF(X163="","",X163*0.01788),"")</f>
        <v>0.44700000000000001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92.589999999999989</v>
      </c>
      <c r="BN163" s="81">
        <f>IFERROR(Y163*I163,"0")</f>
        <v>92.589999999999989</v>
      </c>
      <c r="BO163" s="81">
        <f>IFERROR(X163/J163,"0")</f>
        <v>0.35714285714285715</v>
      </c>
      <c r="BP163" s="81">
        <f>IFERROR(Y163/J163,"0")</f>
        <v>0.35714285714285715</v>
      </c>
    </row>
    <row r="164" spans="1:68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25</v>
      </c>
      <c r="Y164" s="43">
        <f>IFERROR(SUM(Y163:Y163),"0")</f>
        <v>25</v>
      </c>
      <c r="Z164" s="43">
        <f>IFERROR(IF(Z163="",0,Z163),"0")</f>
        <v>0.44700000000000001</v>
      </c>
      <c r="AA164" s="67"/>
      <c r="AB164" s="67"/>
      <c r="AC164" s="67"/>
    </row>
    <row r="165" spans="1:68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75</v>
      </c>
      <c r="Y165" s="43">
        <f>IFERROR(SUMPRODUCT(Y163:Y163*H163:H163),"0")</f>
        <v>75</v>
      </c>
      <c r="Z165" s="42"/>
      <c r="AA165" s="67"/>
      <c r="AB165" s="67"/>
      <c r="AC165" s="67"/>
    </row>
    <row r="166" spans="1:68" ht="16.5" hidden="1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80</v>
      </c>
      <c r="Y173" s="55">
        <f>IFERROR(IF(X173="","",X173),"")</f>
        <v>80</v>
      </c>
      <c r="Z173" s="41">
        <f>IFERROR(IF(X173="","",X173*0.00941),"")</f>
        <v>0.75280000000000002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168.14400000000001</v>
      </c>
      <c r="BN173" s="81">
        <f>IFERROR(Y173*I173,"0")</f>
        <v>168.14400000000001</v>
      </c>
      <c r="BO173" s="81">
        <f>IFERROR(X173/J173,"0")</f>
        <v>0.5714285714285714</v>
      </c>
      <c r="BP173" s="81">
        <f>IFERROR(Y173/J173,"0")</f>
        <v>0.5714285714285714</v>
      </c>
    </row>
    <row r="174" spans="1:68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80</v>
      </c>
      <c r="Y174" s="43">
        <f>IFERROR(SUM(Y173:Y173),"0")</f>
        <v>80</v>
      </c>
      <c r="Z174" s="43">
        <f>IFERROR(IF(Z173="",0,Z173),"0")</f>
        <v>0.75280000000000002</v>
      </c>
      <c r="AA174" s="67"/>
      <c r="AB174" s="67"/>
      <c r="AC174" s="67"/>
    </row>
    <row r="175" spans="1:68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134.4</v>
      </c>
      <c r="Y175" s="43">
        <f>IFERROR(SUMPRODUCT(Y173:Y173*H173:H173),"0")</f>
        <v>134.4</v>
      </c>
      <c r="Z175" s="42"/>
      <c r="AA175" s="67"/>
      <c r="AB175" s="67"/>
      <c r="AC175" s="67"/>
    </row>
    <row r="176" spans="1:68" ht="27.75" hidden="1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182</v>
      </c>
      <c r="Y191" s="55">
        <f>IFERROR(IF(X191="","",X191),"")</f>
        <v>182</v>
      </c>
      <c r="Z191" s="41">
        <f>IFERROR(IF(X191="","",X191*0.01788),"")</f>
        <v>3.2541600000000002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616.61599999999999</v>
      </c>
      <c r="BN191" s="81">
        <f>IFERROR(Y191*I191,"0")</f>
        <v>616.61599999999999</v>
      </c>
      <c r="BO191" s="81">
        <f>IFERROR(X191/J191,"0")</f>
        <v>2.6</v>
      </c>
      <c r="BP191" s="81">
        <f>IFERROR(Y191/J191,"0")</f>
        <v>2.6</v>
      </c>
    </row>
    <row r="192" spans="1:68" ht="27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182</v>
      </c>
      <c r="Y192" s="55">
        <f>IFERROR(IF(X192="","",X192),"")</f>
        <v>182</v>
      </c>
      <c r="Z192" s="41">
        <f>IFERROR(IF(X192="","",X192*0.01788),"")</f>
        <v>3.2541600000000002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616.61599999999999</v>
      </c>
      <c r="BN192" s="81">
        <f>IFERROR(Y192*I192,"0")</f>
        <v>616.61599999999999</v>
      </c>
      <c r="BO192" s="81">
        <f>IFERROR(X192/J192,"0")</f>
        <v>2.6</v>
      </c>
      <c r="BP192" s="81">
        <f>IFERROR(Y192/J192,"0")</f>
        <v>2.6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98</v>
      </c>
      <c r="Y193" s="55">
        <f>IFERROR(IF(X193="","",X193),"")</f>
        <v>98</v>
      </c>
      <c r="Z193" s="41">
        <f>IFERROR(IF(X193="","",X193*0.01788),"")</f>
        <v>1.75224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366.12800000000004</v>
      </c>
      <c r="BN193" s="81">
        <f>IFERROR(Y193*I193,"0")</f>
        <v>366.12800000000004</v>
      </c>
      <c r="BO193" s="81">
        <f>IFERROR(X193/J193,"0")</f>
        <v>1.4</v>
      </c>
      <c r="BP193" s="81">
        <f>IFERROR(Y193/J193,"0")</f>
        <v>1.4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462</v>
      </c>
      <c r="Y195" s="43">
        <f>IFERROR(SUM(Y191:Y194),"0")</f>
        <v>462</v>
      </c>
      <c r="Z195" s="43">
        <f>IFERROR(IF(Z191="",0,Z191),"0")+IFERROR(IF(Z192="",0,Z192),"0")+IFERROR(IF(Z193="",0,Z193),"0")+IFERROR(IF(Z194="",0,Z194),"0")</f>
        <v>8.2605599999999999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1386</v>
      </c>
      <c r="Y196" s="43">
        <f>IFERROR(SUMPRODUCT(Y191:Y194*H191:H194),"0")</f>
        <v>1386</v>
      </c>
      <c r="Z196" s="42"/>
      <c r="AA196" s="67"/>
      <c r="AB196" s="67"/>
      <c r="AC196" s="67"/>
    </row>
    <row r="197" spans="1:68" ht="27.75" hidden="1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112</v>
      </c>
      <c r="Y200" s="55">
        <f>IFERROR(IF(X200="","",X200),"")</f>
        <v>112</v>
      </c>
      <c r="Z200" s="41">
        <f>IFERROR(IF(X200="","",X200*0.01788),"")</f>
        <v>2.0025599999999999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333.76</v>
      </c>
      <c r="BN200" s="81">
        <f>IFERROR(Y200*I200,"0")</f>
        <v>333.76</v>
      </c>
      <c r="BO200" s="81">
        <f>IFERROR(X200/J200,"0")</f>
        <v>1.6</v>
      </c>
      <c r="BP200" s="81">
        <f>IFERROR(Y200/J200,"0")</f>
        <v>1.6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112</v>
      </c>
      <c r="Y201" s="43">
        <f>IFERROR(SUM(Y200:Y200),"0")</f>
        <v>112</v>
      </c>
      <c r="Z201" s="43">
        <f>IFERROR(IF(Z200="",0,Z200),"0")</f>
        <v>2.0025599999999999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309.12</v>
      </c>
      <c r="Y202" s="43">
        <f>IFERROR(SUMPRODUCT(Y200:Y200*H200:H200),"0")</f>
        <v>309.12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28</v>
      </c>
      <c r="Y271" s="55">
        <f t="shared" si="18"/>
        <v>28</v>
      </c>
      <c r="Z271" s="41">
        <f>IFERROR(IF(X271="","",X271*0.00936),"")</f>
        <v>0.26207999999999998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108.976</v>
      </c>
      <c r="BN271" s="81">
        <f t="shared" si="20"/>
        <v>108.976</v>
      </c>
      <c r="BO271" s="81">
        <f t="shared" si="21"/>
        <v>0.22222222222222221</v>
      </c>
      <c r="BP271" s="81">
        <f t="shared" si="22"/>
        <v>0.22222222222222221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28</v>
      </c>
      <c r="Y273" s="55">
        <f t="shared" si="18"/>
        <v>28</v>
      </c>
      <c r="Z273" s="41">
        <f t="shared" ref="Z273:Z278" si="23">IFERROR(IF(X273="","",X273*0.00936),"")</f>
        <v>0.26207999999999998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89.376000000000005</v>
      </c>
      <c r="BN273" s="81">
        <f t="shared" si="20"/>
        <v>89.376000000000005</v>
      </c>
      <c r="BO273" s="81">
        <f t="shared" si="21"/>
        <v>0.22222222222222221</v>
      </c>
      <c r="BP273" s="81">
        <f t="shared" si="22"/>
        <v>0.22222222222222221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28</v>
      </c>
      <c r="Y275" s="55">
        <f t="shared" si="18"/>
        <v>28</v>
      </c>
      <c r="Z275" s="41">
        <f t="shared" si="23"/>
        <v>0.26207999999999998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108.976</v>
      </c>
      <c r="BN275" s="81">
        <f t="shared" si="20"/>
        <v>108.976</v>
      </c>
      <c r="BO275" s="81">
        <f t="shared" si="21"/>
        <v>0.22222222222222221</v>
      </c>
      <c r="BP275" s="81">
        <f t="shared" si="22"/>
        <v>0.22222222222222221</v>
      </c>
    </row>
    <row r="276" spans="1:68" ht="37.5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28</v>
      </c>
      <c r="Y276" s="55">
        <f t="shared" si="18"/>
        <v>28</v>
      </c>
      <c r="Z276" s="41">
        <f t="shared" si="23"/>
        <v>0.26207999999999998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108.976</v>
      </c>
      <c r="BN276" s="81">
        <f t="shared" si="20"/>
        <v>108.976</v>
      </c>
      <c r="BO276" s="81">
        <f t="shared" si="21"/>
        <v>0.22222222222222221</v>
      </c>
      <c r="BP276" s="81">
        <f t="shared" si="22"/>
        <v>0.22222222222222221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112</v>
      </c>
      <c r="Y280" s="43">
        <f>IFERROR(SUM(Y270:Y279),"0")</f>
        <v>112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1.0483199999999999</v>
      </c>
      <c r="AA280" s="67"/>
      <c r="AB280" s="67"/>
      <c r="AC280" s="67"/>
    </row>
    <row r="281" spans="1:68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394.80000000000007</v>
      </c>
      <c r="Y281" s="43">
        <f>IFERROR(SUMPRODUCT(Y270:Y279*H270:H279),"0")</f>
        <v>394.80000000000007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3201.12</v>
      </c>
      <c r="Y282" s="43">
        <f>IFERROR(Y31+Y37+Y44+Y50+Y58+Y63+Y68+Y74+Y80+Y85+Y91+Y101+Y107+Y120+Y124+Y128+Y136+Y142+Y148+Y154+Y160+Y165+Y170+Y175+Y182+Y187+Y196+Y202+Y208+Y214+Y219+Y224+Y230+Y236+Y240+Y246+Y250+Y258+Y262+Y268+Y281,"0")</f>
        <v>3201.12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3716.7740000000008</v>
      </c>
      <c r="Y283" s="43">
        <f>IFERROR(SUM(BN22:BN279),"0")</f>
        <v>3716.7740000000008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15</v>
      </c>
      <c r="Y284" s="44">
        <f>ROUNDUP(SUM(BP22:BP279),0)</f>
        <v>15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4091.7740000000008</v>
      </c>
      <c r="Y285" s="43">
        <f>GrossWeightTotalR+PalletQtyTotalR*25</f>
        <v>4091.7740000000008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1100</v>
      </c>
      <c r="Y286" s="43">
        <f>IFERROR(Y30+Y36+Y43+Y49+Y57+Y62+Y67+Y73+Y79+Y84+Y90+Y100+Y106+Y119+Y123+Y127+Y135+Y141+Y147+Y153+Y159+Y164+Y169+Y174+Y181+Y186+Y195+Y201+Y207+Y213+Y218+Y223+Y229+Y235+Y239+Y245+Y249+Y257+Y261+Y267+Y280,"0")</f>
        <v>1100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18.036159999999999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0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801</v>
      </c>
      <c r="R292" s="52">
        <f>IFERROR(X157*H157,"0")+IFERROR(X158*H158,"0")</f>
        <v>100.8</v>
      </c>
      <c r="S292" s="52">
        <f>IFERROR(X163*H163,"0")</f>
        <v>75</v>
      </c>
      <c r="T292" s="52">
        <f>IFERROR(X168*H168,"0")</f>
        <v>0</v>
      </c>
      <c r="U292" s="52">
        <f>IFERROR(X173*H173,"0")</f>
        <v>134.4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1386</v>
      </c>
      <c r="Y292" s="52">
        <f>IFERROR(X200*H200,"0")+IFERROR(X204*H204,"0")+IFERROR(X205*H205,"0")+IFERROR(X206*H206,"0")</f>
        <v>309.12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394.80000000000007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3201.1199999999994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86,00"/>
        <filter val="100,80"/>
        <filter val="112,00"/>
        <filter val="117,00"/>
        <filter val="134,40"/>
        <filter val="15"/>
        <filter val="150,00"/>
        <filter val="182,00"/>
        <filter val="25,00"/>
        <filter val="267,00"/>
        <filter val="28,00"/>
        <filter val="3 201,12"/>
        <filter val="3 716,77"/>
        <filter val="309,12"/>
        <filter val="394,80"/>
        <filter val="4 091,77"/>
        <filter val="42,00"/>
        <filter val="462,00"/>
        <filter val="75,00"/>
        <filter val="80,00"/>
        <filter val="801,00"/>
        <filter val="98,00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