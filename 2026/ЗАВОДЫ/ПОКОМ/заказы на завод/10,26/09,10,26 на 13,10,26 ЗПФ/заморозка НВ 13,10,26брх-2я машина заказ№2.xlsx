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03BFE0C-83F8-477C-9698-7B6CF1A2C36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BO276" i="1"/>
  <c r="BM276" i="1"/>
  <c r="Z276" i="1"/>
  <c r="Y276" i="1"/>
  <c r="BP276" i="1" s="1"/>
  <c r="BO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X268" i="1"/>
  <c r="X267" i="1"/>
  <c r="BO266" i="1"/>
  <c r="BM266" i="1"/>
  <c r="Z266" i="1"/>
  <c r="Y266" i="1"/>
  <c r="BP266" i="1" s="1"/>
  <c r="BO265" i="1"/>
  <c r="BM265" i="1"/>
  <c r="Z265" i="1"/>
  <c r="Y265" i="1"/>
  <c r="BP265" i="1" s="1"/>
  <c r="BO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O259" i="1"/>
  <c r="BN259" i="1"/>
  <c r="BM259" i="1"/>
  <c r="Z259" i="1"/>
  <c r="Y259" i="1"/>
  <c r="BP259" i="1" s="1"/>
  <c r="P259" i="1"/>
  <c r="X255" i="1"/>
  <c r="X254" i="1"/>
  <c r="BP253" i="1"/>
  <c r="BO253" i="1"/>
  <c r="BM253" i="1"/>
  <c r="Z253" i="1"/>
  <c r="Z254" i="1" s="1"/>
  <c r="Y253" i="1"/>
  <c r="Y255" i="1" s="1"/>
  <c r="P253" i="1"/>
  <c r="X251" i="1"/>
  <c r="Y250" i="1"/>
  <c r="X250" i="1"/>
  <c r="BO249" i="1"/>
  <c r="BN249" i="1"/>
  <c r="BM249" i="1"/>
  <c r="Z249" i="1"/>
  <c r="Z250" i="1" s="1"/>
  <c r="Y249" i="1"/>
  <c r="Y251" i="1" s="1"/>
  <c r="P249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41" i="1"/>
  <c r="Y240" i="1"/>
  <c r="X240" i="1"/>
  <c r="BO239" i="1"/>
  <c r="BN239" i="1"/>
  <c r="BM239" i="1"/>
  <c r="Z239" i="1"/>
  <c r="Z240" i="1" s="1"/>
  <c r="Y239" i="1"/>
  <c r="Y241" i="1" s="1"/>
  <c r="P239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O227" i="1"/>
  <c r="BN227" i="1"/>
  <c r="BM227" i="1"/>
  <c r="Z227" i="1"/>
  <c r="Z228" i="1" s="1"/>
  <c r="Y227" i="1"/>
  <c r="Y229" i="1" s="1"/>
  <c r="P227" i="1"/>
  <c r="X224" i="1"/>
  <c r="X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P215" i="1"/>
  <c r="BO215" i="1"/>
  <c r="BM215" i="1"/>
  <c r="Z215" i="1"/>
  <c r="Y215" i="1"/>
  <c r="BN215" i="1" s="1"/>
  <c r="P215" i="1"/>
  <c r="BO214" i="1"/>
  <c r="BM214" i="1"/>
  <c r="Z214" i="1"/>
  <c r="Y214" i="1"/>
  <c r="Y218" i="1" s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O203" i="1"/>
  <c r="BM203" i="1"/>
  <c r="Z203" i="1"/>
  <c r="Y203" i="1"/>
  <c r="BP203" i="1" s="1"/>
  <c r="P203" i="1"/>
  <c r="BO202" i="1"/>
  <c r="BM202" i="1"/>
  <c r="Z202" i="1"/>
  <c r="Y202" i="1"/>
  <c r="P202" i="1"/>
  <c r="BO201" i="1"/>
  <c r="BM201" i="1"/>
  <c r="Z201" i="1"/>
  <c r="Y201" i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O190" i="1"/>
  <c r="BN190" i="1"/>
  <c r="BM190" i="1"/>
  <c r="Z190" i="1"/>
  <c r="Y190" i="1"/>
  <c r="BP190" i="1" s="1"/>
  <c r="P190" i="1"/>
  <c r="BO189" i="1"/>
  <c r="BM189" i="1"/>
  <c r="Z189" i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X171" i="1"/>
  <c r="X170" i="1"/>
  <c r="BO169" i="1"/>
  <c r="BM169" i="1"/>
  <c r="Z169" i="1"/>
  <c r="Z170" i="1" s="1"/>
  <c r="Y169" i="1"/>
  <c r="Y171" i="1" s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O158" i="1"/>
  <c r="BM158" i="1"/>
  <c r="Z158" i="1"/>
  <c r="Y158" i="1"/>
  <c r="Y160" i="1" s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BP146" i="1" s="1"/>
  <c r="P146" i="1"/>
  <c r="X143" i="1"/>
  <c r="X142" i="1"/>
  <c r="BO141" i="1"/>
  <c r="BN141" i="1"/>
  <c r="BM141" i="1"/>
  <c r="Z141" i="1"/>
  <c r="Y141" i="1"/>
  <c r="BP141" i="1" s="1"/>
  <c r="P141" i="1"/>
  <c r="BO140" i="1"/>
  <c r="BM140" i="1"/>
  <c r="Z140" i="1"/>
  <c r="Y140" i="1"/>
  <c r="BP140" i="1" s="1"/>
  <c r="P140" i="1"/>
  <c r="BO139" i="1"/>
  <c r="BN139" i="1"/>
  <c r="BM139" i="1"/>
  <c r="Z139" i="1"/>
  <c r="Y139" i="1"/>
  <c r="BP139" i="1" s="1"/>
  <c r="P139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BO132" i="1"/>
  <c r="BM132" i="1"/>
  <c r="Z132" i="1"/>
  <c r="Z136" i="1" s="1"/>
  <c r="Y132" i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O114" i="1"/>
  <c r="BM114" i="1"/>
  <c r="Z114" i="1"/>
  <c r="Y114" i="1"/>
  <c r="BN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N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BN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Z93" i="1"/>
  <c r="Y93" i="1"/>
  <c r="Y100" i="1" s="1"/>
  <c r="P93" i="1"/>
  <c r="X90" i="1"/>
  <c r="X89" i="1"/>
  <c r="BO88" i="1"/>
  <c r="BM88" i="1"/>
  <c r="Z88" i="1"/>
  <c r="Y88" i="1"/>
  <c r="BP88" i="1" s="1"/>
  <c r="P88" i="1"/>
  <c r="BO87" i="1"/>
  <c r="BM87" i="1"/>
  <c r="Z87" i="1"/>
  <c r="Y87" i="1"/>
  <c r="Y89" i="1" s="1"/>
  <c r="P87" i="1"/>
  <c r="X84" i="1"/>
  <c r="X83" i="1"/>
  <c r="BO82" i="1"/>
  <c r="BM82" i="1"/>
  <c r="Z82" i="1"/>
  <c r="Z83" i="1" s="1"/>
  <c r="Y82" i="1"/>
  <c r="Y84" i="1" s="1"/>
  <c r="P82" i="1"/>
  <c r="X79" i="1"/>
  <c r="X78" i="1"/>
  <c r="BO77" i="1"/>
  <c r="BN77" i="1"/>
  <c r="BM77" i="1"/>
  <c r="Z77" i="1"/>
  <c r="Y77" i="1"/>
  <c r="BP77" i="1" s="1"/>
  <c r="P77" i="1"/>
  <c r="BO76" i="1"/>
  <c r="BM76" i="1"/>
  <c r="Z76" i="1"/>
  <c r="Y76" i="1"/>
  <c r="Y79" i="1" s="1"/>
  <c r="P76" i="1"/>
  <c r="X73" i="1"/>
  <c r="X72" i="1"/>
  <c r="BO71" i="1"/>
  <c r="BM71" i="1"/>
  <c r="Z71" i="1"/>
  <c r="Y71" i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Y67" i="1" s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P56" i="1"/>
  <c r="BO55" i="1"/>
  <c r="BM55" i="1"/>
  <c r="Z55" i="1"/>
  <c r="Y55" i="1"/>
  <c r="BP55" i="1" s="1"/>
  <c r="P55" i="1"/>
  <c r="BO54" i="1"/>
  <c r="BN54" i="1"/>
  <c r="BM54" i="1"/>
  <c r="Z54" i="1"/>
  <c r="Y54" i="1"/>
  <c r="BP54" i="1" s="1"/>
  <c r="P54" i="1"/>
  <c r="BO53" i="1"/>
  <c r="BM53" i="1"/>
  <c r="Z53" i="1"/>
  <c r="Y53" i="1"/>
  <c r="Y57" i="1" s="1"/>
  <c r="P53" i="1"/>
  <c r="X50" i="1"/>
  <c r="X49" i="1"/>
  <c r="BO48" i="1"/>
  <c r="BM48" i="1"/>
  <c r="Z48" i="1"/>
  <c r="Y48" i="1"/>
  <c r="P48" i="1"/>
  <c r="BO47" i="1"/>
  <c r="BM47" i="1"/>
  <c r="Z47" i="1"/>
  <c r="Y47" i="1"/>
  <c r="Y49" i="1" s="1"/>
  <c r="P47" i="1"/>
  <c r="X44" i="1"/>
  <c r="X43" i="1"/>
  <c r="BO42" i="1"/>
  <c r="BM42" i="1"/>
  <c r="Z42" i="1"/>
  <c r="Y42" i="1"/>
  <c r="BN42" i="1" s="1"/>
  <c r="P42" i="1"/>
  <c r="BO41" i="1"/>
  <c r="BM41" i="1"/>
  <c r="Z41" i="1"/>
  <c r="Y41" i="1"/>
  <c r="P41" i="1"/>
  <c r="X37" i="1"/>
  <c r="X36" i="1"/>
  <c r="BO35" i="1"/>
  <c r="BM35" i="1"/>
  <c r="Z35" i="1"/>
  <c r="Y35" i="1"/>
  <c r="P35" i="1"/>
  <c r="BO34" i="1"/>
  <c r="BM34" i="1"/>
  <c r="Z34" i="1"/>
  <c r="Y34" i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Z22" i="1"/>
  <c r="Y22" i="1"/>
  <c r="Y30" i="1" s="1"/>
  <c r="P22" i="1"/>
  <c r="H10" i="1"/>
  <c r="A9" i="1"/>
  <c r="A10" i="1" s="1"/>
  <c r="D7" i="1"/>
  <c r="Q6" i="1"/>
  <c r="P2" i="1"/>
  <c r="X283" i="1" l="1"/>
  <c r="BP42" i="1"/>
  <c r="BP110" i="1"/>
  <c r="BP112" i="1"/>
  <c r="BP114" i="1"/>
  <c r="Y205" i="1"/>
  <c r="Z281" i="1"/>
  <c r="Z142" i="1"/>
  <c r="Z160" i="1"/>
  <c r="BP227" i="1"/>
  <c r="BP239" i="1"/>
  <c r="BP249" i="1"/>
  <c r="BN253" i="1"/>
  <c r="Y254" i="1"/>
  <c r="Z261" i="1"/>
  <c r="X284" i="1"/>
  <c r="Y36" i="1"/>
  <c r="Y43" i="1"/>
  <c r="Z57" i="1"/>
  <c r="Y105" i="1"/>
  <c r="Y116" i="1"/>
  <c r="Z205" i="1"/>
  <c r="Z217" i="1"/>
  <c r="Y161" i="1"/>
  <c r="Y206" i="1"/>
  <c r="Z30" i="1"/>
  <c r="X285" i="1"/>
  <c r="X286" i="1" s="1"/>
  <c r="Z36" i="1"/>
  <c r="BN34" i="1"/>
  <c r="BP34" i="1"/>
  <c r="Y37" i="1"/>
  <c r="Z43" i="1"/>
  <c r="Z49" i="1"/>
  <c r="BN47" i="1"/>
  <c r="BP47" i="1"/>
  <c r="Y50" i="1"/>
  <c r="Z72" i="1"/>
  <c r="BN70" i="1"/>
  <c r="Z78" i="1"/>
  <c r="BN82" i="1"/>
  <c r="BP82" i="1"/>
  <c r="Y83" i="1"/>
  <c r="Z89" i="1"/>
  <c r="BN87" i="1"/>
  <c r="BP87" i="1"/>
  <c r="Z99" i="1"/>
  <c r="Z105" i="1"/>
  <c r="BN103" i="1"/>
  <c r="BP103" i="1"/>
  <c r="Z116" i="1"/>
  <c r="Y137" i="1"/>
  <c r="BN133" i="1"/>
  <c r="BN135" i="1"/>
  <c r="Y143" i="1"/>
  <c r="Z148" i="1"/>
  <c r="BN146" i="1"/>
  <c r="Z154" i="1"/>
  <c r="BN158" i="1"/>
  <c r="BP158" i="1"/>
  <c r="Z191" i="1"/>
  <c r="BN195" i="1"/>
  <c r="BP195" i="1"/>
  <c r="Y196" i="1"/>
  <c r="BN201" i="1"/>
  <c r="BP201" i="1"/>
  <c r="BN203" i="1"/>
  <c r="BN222" i="1"/>
  <c r="BN264" i="1"/>
  <c r="BP264" i="1"/>
  <c r="BN265" i="1"/>
  <c r="BN266" i="1"/>
  <c r="Y267" i="1"/>
  <c r="Y282" i="1"/>
  <c r="BN275" i="1"/>
  <c r="BN276" i="1"/>
  <c r="BN277" i="1"/>
  <c r="BN279" i="1"/>
  <c r="F9" i="1"/>
  <c r="J9" i="1"/>
  <c r="F10" i="1"/>
  <c r="BN22" i="1"/>
  <c r="BP22" i="1"/>
  <c r="BN24" i="1"/>
  <c r="BN26" i="1"/>
  <c r="BN28" i="1"/>
  <c r="X287" i="1"/>
  <c r="Y31" i="1"/>
  <c r="BN35" i="1"/>
  <c r="BP35" i="1"/>
  <c r="BN41" i="1"/>
  <c r="BP41" i="1"/>
  <c r="Y44" i="1"/>
  <c r="BN48" i="1"/>
  <c r="BP48" i="1"/>
  <c r="BN53" i="1"/>
  <c r="BP53" i="1"/>
  <c r="BN55" i="1"/>
  <c r="BP56" i="1"/>
  <c r="BN56" i="1"/>
  <c r="Y66" i="1"/>
  <c r="BP65" i="1"/>
  <c r="BN65" i="1"/>
  <c r="H9" i="1"/>
  <c r="Y58" i="1"/>
  <c r="Y62" i="1"/>
  <c r="BP61" i="1"/>
  <c r="BN61" i="1"/>
  <c r="Y72" i="1"/>
  <c r="BP69" i="1"/>
  <c r="BN69" i="1"/>
  <c r="Y73" i="1"/>
  <c r="BP71" i="1"/>
  <c r="BN71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Z288" i="1" l="1"/>
  <c r="Y287" i="1"/>
  <c r="Y283" i="1"/>
  <c r="Y284" i="1"/>
  <c r="Y285" i="1"/>
  <c r="B296" i="1" l="1"/>
  <c r="Y286" i="1"/>
  <c r="A296" i="1"/>
  <c r="C296" i="1"/>
</calcChain>
</file>

<file path=xl/sharedStrings.xml><?xml version="1.0" encoding="utf-8"?>
<sst xmlns="http://schemas.openxmlformats.org/spreadsheetml/2006/main" count="1315" uniqueCount="436">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</sst>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5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7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34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8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5" xfId="0" applyBorder="1" applyProtection="1"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7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40" t="s">
        <v>0</v>
      </c>
      <c r="E1" s="303"/>
      <c r="F1" s="303"/>
      <c r="G1" s="12" t="s">
        <v>1</v>
      </c>
      <c r="H1" s="340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6"/>
      <c r="Q3" s="296"/>
      <c r="R3" s="296"/>
      <c r="S3" s="296"/>
      <c r="T3" s="296"/>
      <c r="U3" s="296"/>
      <c r="V3" s="296"/>
      <c r="W3" s="296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54" t="s">
        <v>8</v>
      </c>
      <c r="B5" s="336"/>
      <c r="C5" s="337"/>
      <c r="D5" s="342"/>
      <c r="E5" s="343"/>
      <c r="F5" s="449" t="s">
        <v>9</v>
      </c>
      <c r="G5" s="337"/>
      <c r="H5" s="342" t="s">
        <v>435</v>
      </c>
      <c r="I5" s="443"/>
      <c r="J5" s="443"/>
      <c r="K5" s="443"/>
      <c r="L5" s="443"/>
      <c r="M5" s="343"/>
      <c r="N5" s="61"/>
      <c r="P5" s="24" t="s">
        <v>10</v>
      </c>
      <c r="Q5" s="451">
        <v>46308</v>
      </c>
      <c r="R5" s="381"/>
      <c r="T5" s="377" t="s">
        <v>11</v>
      </c>
      <c r="U5" s="378"/>
      <c r="V5" s="380" t="s">
        <v>12</v>
      </c>
      <c r="W5" s="381"/>
      <c r="AB5" s="51"/>
      <c r="AC5" s="51"/>
      <c r="AD5" s="51"/>
      <c r="AE5" s="51"/>
    </row>
    <row r="6" spans="1:32" s="275" customFormat="1" ht="24" customHeight="1" x14ac:dyDescent="0.2">
      <c r="A6" s="354" t="s">
        <v>13</v>
      </c>
      <c r="B6" s="336"/>
      <c r="C6" s="337"/>
      <c r="D6" s="420" t="s">
        <v>400</v>
      </c>
      <c r="E6" s="421"/>
      <c r="F6" s="421"/>
      <c r="G6" s="421"/>
      <c r="H6" s="421"/>
      <c r="I6" s="421"/>
      <c r="J6" s="421"/>
      <c r="K6" s="421"/>
      <c r="L6" s="421"/>
      <c r="M6" s="381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Вторник</v>
      </c>
      <c r="R6" s="285"/>
      <c r="T6" s="385" t="s">
        <v>15</v>
      </c>
      <c r="U6" s="378"/>
      <c r="V6" s="426" t="s">
        <v>16</v>
      </c>
      <c r="W6" s="29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7" t="str">
        <f>IFERROR(VLOOKUP(DeliveryAddress,Table,3,0),1)</f>
        <v>1</v>
      </c>
      <c r="E7" s="318"/>
      <c r="F7" s="318"/>
      <c r="G7" s="318"/>
      <c r="H7" s="318"/>
      <c r="I7" s="318"/>
      <c r="J7" s="318"/>
      <c r="K7" s="318"/>
      <c r="L7" s="318"/>
      <c r="M7" s="319"/>
      <c r="N7" s="63"/>
      <c r="P7" s="24"/>
      <c r="Q7" s="42"/>
      <c r="R7" s="42"/>
      <c r="T7" s="296"/>
      <c r="U7" s="378"/>
      <c r="V7" s="427"/>
      <c r="W7" s="428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56">
        <v>0.41666666666666669</v>
      </c>
      <c r="R8" s="319"/>
      <c r="T8" s="296"/>
      <c r="U8" s="378"/>
      <c r="V8" s="427"/>
      <c r="W8" s="428"/>
      <c r="AB8" s="51"/>
      <c r="AC8" s="51"/>
      <c r="AD8" s="51"/>
      <c r="AE8" s="51"/>
    </row>
    <row r="9" spans="1:32" s="275" customFormat="1" ht="39.950000000000003" customHeight="1" x14ac:dyDescent="0.2">
      <c r="A9" s="3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6"/>
      <c r="C9" s="296"/>
      <c r="D9" s="363"/>
      <c r="E9" s="283"/>
      <c r="F9" s="3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6"/>
      <c r="H9" s="282" t="str">
        <f>IF(AND($A$9="Тип доверенности/получателя при получении в адресе перегруза:",$D$9="Разовая доверенность"),"Введите ФИО","")</f>
        <v/>
      </c>
      <c r="I9" s="283"/>
      <c r="J9" s="2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3"/>
      <c r="L9" s="283"/>
      <c r="M9" s="283"/>
      <c r="N9" s="276"/>
      <c r="P9" s="26" t="s">
        <v>19</v>
      </c>
      <c r="Q9" s="417"/>
      <c r="R9" s="415"/>
      <c r="T9" s="296"/>
      <c r="U9" s="378"/>
      <c r="V9" s="429"/>
      <c r="W9" s="430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6"/>
      <c r="C10" s="296"/>
      <c r="D10" s="363"/>
      <c r="E10" s="283"/>
      <c r="F10" s="3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6"/>
      <c r="H10" s="413" t="str">
        <f>IFERROR(VLOOKUP($D$10,Proxy,2,FALSE),"")</f>
        <v/>
      </c>
      <c r="I10" s="296"/>
      <c r="J10" s="296"/>
      <c r="K10" s="296"/>
      <c r="L10" s="296"/>
      <c r="M10" s="296"/>
      <c r="N10" s="274"/>
      <c r="P10" s="26" t="s">
        <v>20</v>
      </c>
      <c r="Q10" s="386"/>
      <c r="R10" s="387"/>
      <c r="U10" s="24" t="s">
        <v>21</v>
      </c>
      <c r="V10" s="298" t="s">
        <v>22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8"/>
      <c r="R11" s="381"/>
      <c r="U11" s="24" t="s">
        <v>25</v>
      </c>
      <c r="V11" s="414" t="s">
        <v>26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35" t="s">
        <v>27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7"/>
      <c r="N12" s="65"/>
      <c r="P12" s="24" t="s">
        <v>28</v>
      </c>
      <c r="Q12" s="356"/>
      <c r="R12" s="319"/>
      <c r="S12" s="23"/>
      <c r="U12" s="24"/>
      <c r="V12" s="303"/>
      <c r="W12" s="296"/>
      <c r="AB12" s="51"/>
      <c r="AC12" s="51"/>
      <c r="AD12" s="51"/>
      <c r="AE12" s="51"/>
    </row>
    <row r="13" spans="1:32" s="275" customFormat="1" ht="23.25" customHeight="1" x14ac:dyDescent="0.2">
      <c r="A13" s="335" t="s">
        <v>29</v>
      </c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7"/>
      <c r="N13" s="65"/>
      <c r="O13" s="26"/>
      <c r="P13" s="26" t="s">
        <v>30</v>
      </c>
      <c r="Q13" s="414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35" t="s">
        <v>31</v>
      </c>
      <c r="B14" s="336"/>
      <c r="C14" s="336"/>
      <c r="D14" s="336"/>
      <c r="E14" s="336"/>
      <c r="F14" s="336"/>
      <c r="G14" s="336"/>
      <c r="H14" s="336"/>
      <c r="I14" s="336"/>
      <c r="J14" s="336"/>
      <c r="K14" s="336"/>
      <c r="L14" s="336"/>
      <c r="M14" s="33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89" t="s">
        <v>32</v>
      </c>
      <c r="B15" s="336"/>
      <c r="C15" s="336"/>
      <c r="D15" s="336"/>
      <c r="E15" s="336"/>
      <c r="F15" s="336"/>
      <c r="G15" s="336"/>
      <c r="H15" s="336"/>
      <c r="I15" s="336"/>
      <c r="J15" s="336"/>
      <c r="K15" s="336"/>
      <c r="L15" s="336"/>
      <c r="M15" s="337"/>
      <c r="N15" s="66"/>
      <c r="P15" s="332" t="s">
        <v>33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33"/>
      <c r="Q16" s="333"/>
      <c r="R16" s="333"/>
      <c r="S16" s="333"/>
      <c r="T16" s="3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34</v>
      </c>
      <c r="B17" s="293" t="s">
        <v>35</v>
      </c>
      <c r="C17" s="361" t="s">
        <v>36</v>
      </c>
      <c r="D17" s="293" t="s">
        <v>37</v>
      </c>
      <c r="E17" s="349"/>
      <c r="F17" s="293" t="s">
        <v>38</v>
      </c>
      <c r="G17" s="293" t="s">
        <v>39</v>
      </c>
      <c r="H17" s="293" t="s">
        <v>40</v>
      </c>
      <c r="I17" s="293" t="s">
        <v>41</v>
      </c>
      <c r="J17" s="293" t="s">
        <v>42</v>
      </c>
      <c r="K17" s="293" t="s">
        <v>43</v>
      </c>
      <c r="L17" s="293" t="s">
        <v>44</v>
      </c>
      <c r="M17" s="293" t="s">
        <v>45</v>
      </c>
      <c r="N17" s="293" t="s">
        <v>46</v>
      </c>
      <c r="O17" s="293" t="s">
        <v>47</v>
      </c>
      <c r="P17" s="293" t="s">
        <v>48</v>
      </c>
      <c r="Q17" s="348"/>
      <c r="R17" s="348"/>
      <c r="S17" s="348"/>
      <c r="T17" s="349"/>
      <c r="U17" s="461" t="s">
        <v>49</v>
      </c>
      <c r="V17" s="337"/>
      <c r="W17" s="293" t="s">
        <v>50</v>
      </c>
      <c r="X17" s="293" t="s">
        <v>51</v>
      </c>
      <c r="Y17" s="462" t="s">
        <v>52</v>
      </c>
      <c r="Z17" s="467" t="s">
        <v>53</v>
      </c>
      <c r="AA17" s="401" t="s">
        <v>54</v>
      </c>
      <c r="AB17" s="401" t="s">
        <v>55</v>
      </c>
      <c r="AC17" s="401" t="s">
        <v>56</v>
      </c>
      <c r="AD17" s="401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294"/>
      <c r="B18" s="294"/>
      <c r="C18" s="294"/>
      <c r="D18" s="350"/>
      <c r="E18" s="352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50"/>
      <c r="Q18" s="351"/>
      <c r="R18" s="351"/>
      <c r="S18" s="351"/>
      <c r="T18" s="352"/>
      <c r="U18" s="70" t="s">
        <v>59</v>
      </c>
      <c r="V18" s="70" t="s">
        <v>60</v>
      </c>
      <c r="W18" s="294"/>
      <c r="X18" s="294"/>
      <c r="Y18" s="463"/>
      <c r="Z18" s="468"/>
      <c r="AA18" s="402"/>
      <c r="AB18" s="402"/>
      <c r="AC18" s="402"/>
      <c r="AD18" s="446"/>
      <c r="AE18" s="447"/>
      <c r="AF18" s="448"/>
      <c r="AG18" s="69"/>
      <c r="BD18" s="68"/>
    </row>
    <row r="19" spans="1:68" ht="27.75" hidden="1" customHeight="1" x14ac:dyDescent="0.2">
      <c r="A19" s="338" t="s">
        <v>61</v>
      </c>
      <c r="B19" s="339"/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  <c r="AA19" s="48"/>
      <c r="AB19" s="48"/>
      <c r="AC19" s="48"/>
    </row>
    <row r="20" spans="1:68" ht="16.5" hidden="1" customHeight="1" x14ac:dyDescent="0.25">
      <c r="A20" s="295" t="s">
        <v>61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73"/>
      <c r="AB20" s="273"/>
      <c r="AC20" s="273"/>
    </row>
    <row r="21" spans="1:68" ht="14.25" hidden="1" customHeight="1" x14ac:dyDescent="0.25">
      <c r="A21" s="310" t="s">
        <v>62</v>
      </c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4">
        <v>4620207491508</v>
      </c>
      <c r="E22" s="285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4">
        <v>4620207491256</v>
      </c>
      <c r="E23" s="285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3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4"/>
      <c r="V23" s="34"/>
      <c r="W23" s="35" t="s">
        <v>68</v>
      </c>
      <c r="X23" s="278">
        <v>48</v>
      </c>
      <c r="Y23" s="279">
        <f t="shared" si="0"/>
        <v>48</v>
      </c>
      <c r="Z23" s="36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84">
        <v>4620207491713</v>
      </c>
      <c r="E24" s="285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4"/>
      <c r="V24" s="34"/>
      <c r="W24" s="35" t="s">
        <v>68</v>
      </c>
      <c r="X24" s="278">
        <v>12</v>
      </c>
      <c r="Y24" s="279">
        <f t="shared" si="0"/>
        <v>12</v>
      </c>
      <c r="Z24" s="36">
        <f t="shared" si="1"/>
        <v>0.186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80.52</v>
      </c>
      <c r="BN24" s="67">
        <f t="shared" si="3"/>
        <v>80.52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4">
        <v>4620207491720</v>
      </c>
      <c r="E25" s="285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9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4"/>
      <c r="V25" s="34"/>
      <c r="W25" s="35" t="s">
        <v>68</v>
      </c>
      <c r="X25" s="278">
        <v>12</v>
      </c>
      <c r="Y25" s="279">
        <f t="shared" si="0"/>
        <v>12</v>
      </c>
      <c r="Z25" s="36">
        <f t="shared" si="1"/>
        <v>0.186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79.56</v>
      </c>
      <c r="BN25" s="67">
        <f t="shared" si="3"/>
        <v>79.56</v>
      </c>
      <c r="BO25" s="67">
        <f t="shared" si="4"/>
        <v>0.14285714285714285</v>
      </c>
      <c r="BP25" s="67">
        <f t="shared" si="5"/>
        <v>0.14285714285714285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4">
        <v>4607111035912</v>
      </c>
      <c r="E26" s="285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0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4">
        <v>4607111035929</v>
      </c>
      <c r="E27" s="285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4">
        <v>4607111035882</v>
      </c>
      <c r="E28" s="285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4">
        <v>4607111035905</v>
      </c>
      <c r="E29" s="285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4"/>
      <c r="V29" s="34"/>
      <c r="W29" s="35" t="s">
        <v>68</v>
      </c>
      <c r="X29" s="278">
        <v>12</v>
      </c>
      <c r="Y29" s="279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307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308"/>
      <c r="P30" s="286" t="s">
        <v>87</v>
      </c>
      <c r="Q30" s="287"/>
      <c r="R30" s="287"/>
      <c r="S30" s="287"/>
      <c r="T30" s="287"/>
      <c r="U30" s="287"/>
      <c r="V30" s="288"/>
      <c r="W30" s="37" t="s">
        <v>68</v>
      </c>
      <c r="X30" s="280">
        <f>IFERROR(SUM(X22:X29),"0")</f>
        <v>84</v>
      </c>
      <c r="Y30" s="280">
        <f>IFERROR(SUM(Y22:Y29),"0")</f>
        <v>84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1.3019999999999998</v>
      </c>
      <c r="AA30" s="281"/>
      <c r="AB30" s="281"/>
      <c r="AC30" s="281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308"/>
      <c r="P31" s="286" t="s">
        <v>87</v>
      </c>
      <c r="Q31" s="287"/>
      <c r="R31" s="287"/>
      <c r="S31" s="287"/>
      <c r="T31" s="287"/>
      <c r="U31" s="287"/>
      <c r="V31" s="288"/>
      <c r="W31" s="37" t="s">
        <v>88</v>
      </c>
      <c r="X31" s="280">
        <f>IFERROR(SUMPRODUCT(X22:X29*H22:H29),"0")</f>
        <v>547.20000000000005</v>
      </c>
      <c r="Y31" s="280">
        <f>IFERROR(SUMPRODUCT(Y22:Y29*H22:H29),"0")</f>
        <v>547.20000000000005</v>
      </c>
      <c r="Z31" s="37"/>
      <c r="AA31" s="281"/>
      <c r="AB31" s="281"/>
      <c r="AC31" s="281"/>
    </row>
    <row r="32" spans="1:68" ht="16.5" hidden="1" customHeight="1" x14ac:dyDescent="0.25">
      <c r="A32" s="295" t="s">
        <v>89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73"/>
      <c r="AB32" s="273"/>
      <c r="AC32" s="273"/>
    </row>
    <row r="33" spans="1:68" ht="14.25" hidden="1" customHeight="1" x14ac:dyDescent="0.25">
      <c r="A33" s="310" t="s">
        <v>62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4">
        <v>4607111039019</v>
      </c>
      <c r="E34" s="285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4">
        <v>4607111038708</v>
      </c>
      <c r="E35" s="285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7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308"/>
      <c r="P36" s="286" t="s">
        <v>87</v>
      </c>
      <c r="Q36" s="287"/>
      <c r="R36" s="287"/>
      <c r="S36" s="287"/>
      <c r="T36" s="287"/>
      <c r="U36" s="287"/>
      <c r="V36" s="288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308"/>
      <c r="P37" s="286" t="s">
        <v>87</v>
      </c>
      <c r="Q37" s="287"/>
      <c r="R37" s="287"/>
      <c r="S37" s="287"/>
      <c r="T37" s="287"/>
      <c r="U37" s="287"/>
      <c r="V37" s="288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38" t="s">
        <v>95</v>
      </c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  <c r="AA38" s="48"/>
      <c r="AB38" s="48"/>
      <c r="AC38" s="48"/>
    </row>
    <row r="39" spans="1:68" ht="16.5" hidden="1" customHeight="1" x14ac:dyDescent="0.25">
      <c r="A39" s="295" t="s">
        <v>96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73"/>
      <c r="AB39" s="273"/>
      <c r="AC39" s="273"/>
    </row>
    <row r="40" spans="1:68" ht="14.25" hidden="1" customHeight="1" x14ac:dyDescent="0.25">
      <c r="A40" s="310" t="s">
        <v>97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4">
        <v>4607111036537</v>
      </c>
      <c r="E41" s="285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9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4"/>
      <c r="V41" s="34"/>
      <c r="W41" s="35" t="s">
        <v>68</v>
      </c>
      <c r="X41" s="278">
        <v>56</v>
      </c>
      <c r="Y41" s="279">
        <f>IFERROR(IF(X41="","",X41),"")</f>
        <v>56</v>
      </c>
      <c r="Z41" s="36">
        <f>IFERROR(IF(X41="","",X41*0.00941),"")</f>
        <v>0.52695999999999998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107.6208</v>
      </c>
      <c r="BN41" s="67">
        <f>IFERROR(Y41*I41,"0")</f>
        <v>107.6208</v>
      </c>
      <c r="BO41" s="67">
        <f>IFERROR(X41/J41,"0")</f>
        <v>0.4</v>
      </c>
      <c r="BP41" s="67">
        <f>IFERROR(Y41/J41,"0")</f>
        <v>0.4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4">
        <v>4607111036605</v>
      </c>
      <c r="E42" s="285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4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4"/>
      <c r="V42" s="34"/>
      <c r="W42" s="35" t="s">
        <v>68</v>
      </c>
      <c r="X42" s="278">
        <v>14</v>
      </c>
      <c r="Y42" s="279">
        <f>IFERROR(IF(X42="","",X42),"")</f>
        <v>14</v>
      </c>
      <c r="Z42" s="36">
        <f>IFERROR(IF(X42="","",X42*0.00941),"")</f>
        <v>0.13174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26.905200000000001</v>
      </c>
      <c r="BN42" s="67">
        <f>IFERROR(Y42*I42,"0")</f>
        <v>26.905200000000001</v>
      </c>
      <c r="BO42" s="67">
        <f>IFERROR(X42/J42,"0")</f>
        <v>0.1</v>
      </c>
      <c r="BP42" s="67">
        <f>IFERROR(Y42/J42,"0")</f>
        <v>0.1</v>
      </c>
    </row>
    <row r="43" spans="1:68" x14ac:dyDescent="0.2">
      <c r="A43" s="307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308"/>
      <c r="P43" s="286" t="s">
        <v>87</v>
      </c>
      <c r="Q43" s="287"/>
      <c r="R43" s="287"/>
      <c r="S43" s="287"/>
      <c r="T43" s="287"/>
      <c r="U43" s="287"/>
      <c r="V43" s="288"/>
      <c r="W43" s="37" t="s">
        <v>68</v>
      </c>
      <c r="X43" s="280">
        <f>IFERROR(SUM(X41:X42),"0")</f>
        <v>70</v>
      </c>
      <c r="Y43" s="280">
        <f>IFERROR(SUM(Y41:Y42),"0")</f>
        <v>70</v>
      </c>
      <c r="Z43" s="280">
        <f>IFERROR(IF(Z41="",0,Z41),"0")+IFERROR(IF(Z42="",0,Z42),"0")</f>
        <v>0.65869999999999995</v>
      </c>
      <c r="AA43" s="281"/>
      <c r="AB43" s="281"/>
      <c r="AC43" s="281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308"/>
      <c r="P44" s="286" t="s">
        <v>87</v>
      </c>
      <c r="Q44" s="287"/>
      <c r="R44" s="287"/>
      <c r="S44" s="287"/>
      <c r="T44" s="287"/>
      <c r="U44" s="287"/>
      <c r="V44" s="288"/>
      <c r="W44" s="37" t="s">
        <v>88</v>
      </c>
      <c r="X44" s="280">
        <f>IFERROR(SUMPRODUCT(X41:X42*H41:H42),"0")</f>
        <v>105</v>
      </c>
      <c r="Y44" s="280">
        <f>IFERROR(SUMPRODUCT(Y41:Y42*H41:H42),"0")</f>
        <v>105</v>
      </c>
      <c r="Z44" s="37"/>
      <c r="AA44" s="281"/>
      <c r="AB44" s="281"/>
      <c r="AC44" s="281"/>
    </row>
    <row r="45" spans="1:68" ht="16.5" hidden="1" customHeight="1" x14ac:dyDescent="0.25">
      <c r="A45" s="295" t="s">
        <v>107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73"/>
      <c r="AB45" s="273"/>
      <c r="AC45" s="273"/>
    </row>
    <row r="46" spans="1:68" ht="14.25" hidden="1" customHeight="1" x14ac:dyDescent="0.25">
      <c r="A46" s="310" t="s">
        <v>62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72"/>
      <c r="AB46" s="272"/>
      <c r="AC46" s="272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84">
        <v>4620207490075</v>
      </c>
      <c r="E47" s="285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4">
        <v>4620207490174</v>
      </c>
      <c r="E48" s="285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1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idden="1" x14ac:dyDescent="0.2">
      <c r="A49" s="307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308"/>
      <c r="P49" s="286" t="s">
        <v>87</v>
      </c>
      <c r="Q49" s="287"/>
      <c r="R49" s="287"/>
      <c r="S49" s="287"/>
      <c r="T49" s="287"/>
      <c r="U49" s="287"/>
      <c r="V49" s="288"/>
      <c r="W49" s="37" t="s">
        <v>68</v>
      </c>
      <c r="X49" s="280">
        <f>IFERROR(SUM(X47:X48),"0")</f>
        <v>0</v>
      </c>
      <c r="Y49" s="280">
        <f>IFERROR(SUM(Y47:Y48),"0")</f>
        <v>0</v>
      </c>
      <c r="Z49" s="280">
        <f>IFERROR(IF(Z47="",0,Z47),"0")+IFERROR(IF(Z48="",0,Z48),"0")</f>
        <v>0</v>
      </c>
      <c r="AA49" s="281"/>
      <c r="AB49" s="281"/>
      <c r="AC49" s="281"/>
    </row>
    <row r="50" spans="1:68" hidden="1" x14ac:dyDescent="0.2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308"/>
      <c r="P50" s="286" t="s">
        <v>87</v>
      </c>
      <c r="Q50" s="287"/>
      <c r="R50" s="287"/>
      <c r="S50" s="287"/>
      <c r="T50" s="287"/>
      <c r="U50" s="287"/>
      <c r="V50" s="288"/>
      <c r="W50" s="37" t="s">
        <v>88</v>
      </c>
      <c r="X50" s="280">
        <f>IFERROR(SUMPRODUCT(X47:X48*H47:H48),"0")</f>
        <v>0</v>
      </c>
      <c r="Y50" s="280">
        <f>IFERROR(SUMPRODUCT(Y47:Y48*H47:H48),"0")</f>
        <v>0</v>
      </c>
      <c r="Z50" s="37"/>
      <c r="AA50" s="281"/>
      <c r="AB50" s="281"/>
      <c r="AC50" s="281"/>
    </row>
    <row r="51" spans="1:68" ht="16.5" hidden="1" customHeight="1" x14ac:dyDescent="0.25">
      <c r="A51" s="295" t="s">
        <v>114</v>
      </c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73"/>
      <c r="AB51" s="273"/>
      <c r="AC51" s="273"/>
    </row>
    <row r="52" spans="1:68" ht="14.25" hidden="1" customHeight="1" x14ac:dyDescent="0.25">
      <c r="A52" s="310" t="s">
        <v>62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4">
        <v>4607111039385</v>
      </c>
      <c r="E53" s="285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0"/>
      <c r="R53" s="290"/>
      <c r="S53" s="290"/>
      <c r="T53" s="291"/>
      <c r="U53" s="34"/>
      <c r="V53" s="34"/>
      <c r="W53" s="35" t="s">
        <v>68</v>
      </c>
      <c r="X53" s="278">
        <v>48</v>
      </c>
      <c r="Y53" s="279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350.4</v>
      </c>
      <c r="BN53" s="67">
        <f>IFERROR(Y53*I53,"0")</f>
        <v>350.4</v>
      </c>
      <c r="BO53" s="67">
        <f>IFERROR(X53/J53,"0")</f>
        <v>0.5714285714285714</v>
      </c>
      <c r="BP53" s="67">
        <f>IFERROR(Y53/J53,"0")</f>
        <v>0.5714285714285714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84">
        <v>4607111038982</v>
      </c>
      <c r="E54" s="285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0"/>
      <c r="R54" s="290"/>
      <c r="S54" s="290"/>
      <c r="T54" s="291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4">
        <v>4607111039354</v>
      </c>
      <c r="E55" s="285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0"/>
      <c r="R55" s="290"/>
      <c r="S55" s="290"/>
      <c r="T55" s="291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84">
        <v>4607111039330</v>
      </c>
      <c r="E56" s="285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29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0"/>
      <c r="R56" s="290"/>
      <c r="S56" s="290"/>
      <c r="T56" s="291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307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308"/>
      <c r="P57" s="286" t="s">
        <v>87</v>
      </c>
      <c r="Q57" s="287"/>
      <c r="R57" s="287"/>
      <c r="S57" s="287"/>
      <c r="T57" s="287"/>
      <c r="U57" s="287"/>
      <c r="V57" s="288"/>
      <c r="W57" s="37" t="s">
        <v>68</v>
      </c>
      <c r="X57" s="280">
        <f>IFERROR(SUM(X53:X56),"0")</f>
        <v>48</v>
      </c>
      <c r="Y57" s="280">
        <f>IFERROR(SUM(Y53:Y56),"0")</f>
        <v>48</v>
      </c>
      <c r="Z57" s="280">
        <f>IFERROR(IF(Z53="",0,Z53),"0")+IFERROR(IF(Z54="",0,Z54),"0")+IFERROR(IF(Z55="",0,Z55),"0")+IFERROR(IF(Z56="",0,Z56),"0")</f>
        <v>0.74399999999999999</v>
      </c>
      <c r="AA57" s="281"/>
      <c r="AB57" s="281"/>
      <c r="AC57" s="281"/>
    </row>
    <row r="58" spans="1:68" x14ac:dyDescent="0.2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308"/>
      <c r="P58" s="286" t="s">
        <v>87</v>
      </c>
      <c r="Q58" s="287"/>
      <c r="R58" s="287"/>
      <c r="S58" s="287"/>
      <c r="T58" s="287"/>
      <c r="U58" s="287"/>
      <c r="V58" s="288"/>
      <c r="W58" s="37" t="s">
        <v>88</v>
      </c>
      <c r="X58" s="280">
        <f>IFERROR(SUMPRODUCT(X53:X56*H53:H56),"0")</f>
        <v>336</v>
      </c>
      <c r="Y58" s="280">
        <f>IFERROR(SUMPRODUCT(Y53:Y56*H53:H56),"0")</f>
        <v>336</v>
      </c>
      <c r="Z58" s="37"/>
      <c r="AA58" s="281"/>
      <c r="AB58" s="281"/>
      <c r="AC58" s="281"/>
    </row>
    <row r="59" spans="1:68" ht="16.5" hidden="1" customHeight="1" x14ac:dyDescent="0.25">
      <c r="A59" s="295" t="s">
        <v>125</v>
      </c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73"/>
      <c r="AB59" s="273"/>
      <c r="AC59" s="273"/>
    </row>
    <row r="60" spans="1:68" ht="14.25" hidden="1" customHeight="1" x14ac:dyDescent="0.25">
      <c r="A60" s="310" t="s">
        <v>97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4">
        <v>4607111039712</v>
      </c>
      <c r="E61" s="285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1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0"/>
      <c r="R61" s="290"/>
      <c r="S61" s="290"/>
      <c r="T61" s="291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307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308"/>
      <c r="P62" s="286" t="s">
        <v>87</v>
      </c>
      <c r="Q62" s="287"/>
      <c r="R62" s="287"/>
      <c r="S62" s="287"/>
      <c r="T62" s="287"/>
      <c r="U62" s="287"/>
      <c r="V62" s="288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308"/>
      <c r="P63" s="286" t="s">
        <v>87</v>
      </c>
      <c r="Q63" s="287"/>
      <c r="R63" s="287"/>
      <c r="S63" s="287"/>
      <c r="T63" s="287"/>
      <c r="U63" s="287"/>
      <c r="V63" s="288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10" t="s">
        <v>129</v>
      </c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4">
        <v>4607111037398</v>
      </c>
      <c r="E65" s="285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0"/>
      <c r="R65" s="290"/>
      <c r="S65" s="290"/>
      <c r="T65" s="291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307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308"/>
      <c r="P66" s="286" t="s">
        <v>87</v>
      </c>
      <c r="Q66" s="287"/>
      <c r="R66" s="287"/>
      <c r="S66" s="287"/>
      <c r="T66" s="287"/>
      <c r="U66" s="287"/>
      <c r="V66" s="288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308"/>
      <c r="P67" s="286" t="s">
        <v>87</v>
      </c>
      <c r="Q67" s="287"/>
      <c r="R67" s="287"/>
      <c r="S67" s="287"/>
      <c r="T67" s="287"/>
      <c r="U67" s="287"/>
      <c r="V67" s="288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10" t="s">
        <v>133</v>
      </c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4">
        <v>4607111039705</v>
      </c>
      <c r="E69" s="285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0"/>
      <c r="R69" s="290"/>
      <c r="S69" s="290"/>
      <c r="T69" s="291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4">
        <v>4607111039729</v>
      </c>
      <c r="E70" s="285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0"/>
      <c r="R70" s="290"/>
      <c r="S70" s="290"/>
      <c r="T70" s="291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4">
        <v>4620207490228</v>
      </c>
      <c r="E71" s="285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0"/>
      <c r="R71" s="290"/>
      <c r="S71" s="290"/>
      <c r="T71" s="291"/>
      <c r="U71" s="34"/>
      <c r="V71" s="34"/>
      <c r="W71" s="35" t="s">
        <v>68</v>
      </c>
      <c r="X71" s="278">
        <v>14</v>
      </c>
      <c r="Y71" s="279">
        <f>IFERROR(IF(X71="","",X71),"")</f>
        <v>14</v>
      </c>
      <c r="Z71" s="36">
        <f>IFERROR(IF(X71="","",X71*0.00941),"")</f>
        <v>0.13174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21.84</v>
      </c>
      <c r="BN71" s="67">
        <f>IFERROR(Y71*I71,"0")</f>
        <v>21.84</v>
      </c>
      <c r="BO71" s="67">
        <f>IFERROR(X71/J71,"0")</f>
        <v>0.1</v>
      </c>
      <c r="BP71" s="67">
        <f>IFERROR(Y71/J71,"0")</f>
        <v>0.1</v>
      </c>
    </row>
    <row r="72" spans="1:68" x14ac:dyDescent="0.2">
      <c r="A72" s="307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308"/>
      <c r="P72" s="286" t="s">
        <v>87</v>
      </c>
      <c r="Q72" s="287"/>
      <c r="R72" s="287"/>
      <c r="S72" s="287"/>
      <c r="T72" s="287"/>
      <c r="U72" s="287"/>
      <c r="V72" s="288"/>
      <c r="W72" s="37" t="s">
        <v>68</v>
      </c>
      <c r="X72" s="280">
        <f>IFERROR(SUM(X69:X71),"0")</f>
        <v>14</v>
      </c>
      <c r="Y72" s="280">
        <f>IFERROR(SUM(Y69:Y71),"0")</f>
        <v>14</v>
      </c>
      <c r="Z72" s="280">
        <f>IFERROR(IF(Z69="",0,Z69),"0")+IFERROR(IF(Z70="",0,Z70),"0")+IFERROR(IF(Z71="",0,Z71),"0")</f>
        <v>0.13174</v>
      </c>
      <c r="AA72" s="281"/>
      <c r="AB72" s="281"/>
      <c r="AC72" s="281"/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308"/>
      <c r="P73" s="286" t="s">
        <v>87</v>
      </c>
      <c r="Q73" s="287"/>
      <c r="R73" s="287"/>
      <c r="S73" s="287"/>
      <c r="T73" s="287"/>
      <c r="U73" s="287"/>
      <c r="V73" s="288"/>
      <c r="W73" s="37" t="s">
        <v>88</v>
      </c>
      <c r="X73" s="280">
        <f>IFERROR(SUMPRODUCT(X69:X71*H69:H71),"0")</f>
        <v>16.8</v>
      </c>
      <c r="Y73" s="280">
        <f>IFERROR(SUMPRODUCT(Y69:Y71*H69:H71),"0")</f>
        <v>16.8</v>
      </c>
      <c r="Z73" s="37"/>
      <c r="AA73" s="281"/>
      <c r="AB73" s="281"/>
      <c r="AC73" s="281"/>
    </row>
    <row r="74" spans="1:68" ht="16.5" hidden="1" customHeight="1" x14ac:dyDescent="0.25">
      <c r="A74" s="295" t="s">
        <v>141</v>
      </c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73"/>
      <c r="AB74" s="273"/>
      <c r="AC74" s="273"/>
    </row>
    <row r="75" spans="1:68" ht="14.25" hidden="1" customHeight="1" x14ac:dyDescent="0.25">
      <c r="A75" s="310" t="s">
        <v>62</v>
      </c>
      <c r="B75" s="296"/>
      <c r="C75" s="296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4">
        <v>4607111037411</v>
      </c>
      <c r="E76" s="285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0"/>
      <c r="R76" s="290"/>
      <c r="S76" s="290"/>
      <c r="T76" s="291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4">
        <v>4607111036728</v>
      </c>
      <c r="E77" s="285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0"/>
      <c r="R77" s="290"/>
      <c r="S77" s="290"/>
      <c r="T77" s="291"/>
      <c r="U77" s="34"/>
      <c r="V77" s="34"/>
      <c r="W77" s="35" t="s">
        <v>68</v>
      </c>
      <c r="X77" s="278">
        <v>120</v>
      </c>
      <c r="Y77" s="279">
        <f>IFERROR(IF(X77="","",X77),"")</f>
        <v>120</v>
      </c>
      <c r="Z77" s="36">
        <f>IFERROR(IF(X77="","",X77*0.00866),"")</f>
        <v>1.0391999999999999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625.58399999999995</v>
      </c>
      <c r="BN77" s="67">
        <f>IFERROR(Y77*I77,"0")</f>
        <v>625.58399999999995</v>
      </c>
      <c r="BO77" s="67">
        <f>IFERROR(X77/J77,"0")</f>
        <v>0.83333333333333337</v>
      </c>
      <c r="BP77" s="67">
        <f>IFERROR(Y77/J77,"0")</f>
        <v>0.83333333333333337</v>
      </c>
    </row>
    <row r="78" spans="1:68" x14ac:dyDescent="0.2">
      <c r="A78" s="307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308"/>
      <c r="P78" s="286" t="s">
        <v>87</v>
      </c>
      <c r="Q78" s="287"/>
      <c r="R78" s="287"/>
      <c r="S78" s="287"/>
      <c r="T78" s="287"/>
      <c r="U78" s="287"/>
      <c r="V78" s="288"/>
      <c r="W78" s="37" t="s">
        <v>68</v>
      </c>
      <c r="X78" s="280">
        <f>IFERROR(SUM(X76:X77),"0")</f>
        <v>120</v>
      </c>
      <c r="Y78" s="280">
        <f>IFERROR(SUM(Y76:Y77),"0")</f>
        <v>120</v>
      </c>
      <c r="Z78" s="280">
        <f>IFERROR(IF(Z76="",0,Z76),"0")+IFERROR(IF(Z77="",0,Z77),"0")</f>
        <v>1.0391999999999999</v>
      </c>
      <c r="AA78" s="281"/>
      <c r="AB78" s="281"/>
      <c r="AC78" s="281"/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308"/>
      <c r="P79" s="286" t="s">
        <v>87</v>
      </c>
      <c r="Q79" s="287"/>
      <c r="R79" s="287"/>
      <c r="S79" s="287"/>
      <c r="T79" s="287"/>
      <c r="U79" s="287"/>
      <c r="V79" s="288"/>
      <c r="W79" s="37" t="s">
        <v>88</v>
      </c>
      <c r="X79" s="280">
        <f>IFERROR(SUMPRODUCT(X76:X77*H76:H77),"0")</f>
        <v>600</v>
      </c>
      <c r="Y79" s="280">
        <f>IFERROR(SUMPRODUCT(Y76:Y77*H76:H77),"0")</f>
        <v>600</v>
      </c>
      <c r="Z79" s="37"/>
      <c r="AA79" s="281"/>
      <c r="AB79" s="281"/>
      <c r="AC79" s="281"/>
    </row>
    <row r="80" spans="1:68" ht="16.5" hidden="1" customHeight="1" x14ac:dyDescent="0.25">
      <c r="A80" s="295" t="s">
        <v>148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73"/>
      <c r="AB80" s="273"/>
      <c r="AC80" s="273"/>
    </row>
    <row r="81" spans="1:68" ht="14.25" hidden="1" customHeight="1" x14ac:dyDescent="0.25">
      <c r="A81" s="310" t="s">
        <v>133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72"/>
      <c r="AB81" s="272"/>
      <c r="AC81" s="272"/>
    </row>
    <row r="82" spans="1:68" ht="27" hidden="1" customHeight="1" x14ac:dyDescent="0.25">
      <c r="A82" s="54" t="s">
        <v>149</v>
      </c>
      <c r="B82" s="54" t="s">
        <v>150</v>
      </c>
      <c r="C82" s="31">
        <v>4301135910</v>
      </c>
      <c r="D82" s="284">
        <v>4620207491638</v>
      </c>
      <c r="E82" s="285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0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0"/>
      <c r="R82" s="290"/>
      <c r="S82" s="290"/>
      <c r="T82" s="291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307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308"/>
      <c r="P83" s="286" t="s">
        <v>87</v>
      </c>
      <c r="Q83" s="287"/>
      <c r="R83" s="287"/>
      <c r="S83" s="287"/>
      <c r="T83" s="287"/>
      <c r="U83" s="287"/>
      <c r="V83" s="288"/>
      <c r="W83" s="37" t="s">
        <v>68</v>
      </c>
      <c r="X83" s="280">
        <f>IFERROR(SUM(X82:X82),"0")</f>
        <v>0</v>
      </c>
      <c r="Y83" s="280">
        <f>IFERROR(SUM(Y82:Y82),"0")</f>
        <v>0</v>
      </c>
      <c r="Z83" s="280">
        <f>IFERROR(IF(Z82="",0,Z82),"0")</f>
        <v>0</v>
      </c>
      <c r="AA83" s="281"/>
      <c r="AB83" s="281"/>
      <c r="AC83" s="281"/>
    </row>
    <row r="84" spans="1:68" hidden="1" x14ac:dyDescent="0.2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308"/>
      <c r="P84" s="286" t="s">
        <v>87</v>
      </c>
      <c r="Q84" s="287"/>
      <c r="R84" s="287"/>
      <c r="S84" s="287"/>
      <c r="T84" s="287"/>
      <c r="U84" s="287"/>
      <c r="V84" s="288"/>
      <c r="W84" s="37" t="s">
        <v>88</v>
      </c>
      <c r="X84" s="280">
        <f>IFERROR(SUMPRODUCT(X82:X82*H82:H82),"0")</f>
        <v>0</v>
      </c>
      <c r="Y84" s="280">
        <f>IFERROR(SUMPRODUCT(Y82:Y82*H82:H82),"0")</f>
        <v>0</v>
      </c>
      <c r="Z84" s="37"/>
      <c r="AA84" s="281"/>
      <c r="AB84" s="281"/>
      <c r="AC84" s="281"/>
    </row>
    <row r="85" spans="1:68" ht="16.5" hidden="1" customHeight="1" x14ac:dyDescent="0.25">
      <c r="A85" s="295" t="s">
        <v>152</v>
      </c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73"/>
      <c r="AB85" s="273"/>
      <c r="AC85" s="273"/>
    </row>
    <row r="86" spans="1:68" ht="14.25" hidden="1" customHeight="1" x14ac:dyDescent="0.25">
      <c r="A86" s="310" t="s">
        <v>153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4">
        <v>4607111034120</v>
      </c>
      <c r="E87" s="285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0"/>
      <c r="R87" s="290"/>
      <c r="S87" s="290"/>
      <c r="T87" s="291"/>
      <c r="U87" s="34"/>
      <c r="V87" s="34"/>
      <c r="W87" s="35" t="s">
        <v>68</v>
      </c>
      <c r="X87" s="278">
        <v>70</v>
      </c>
      <c r="Y87" s="279">
        <f>IFERROR(IF(X87="","",X87),"")</f>
        <v>70</v>
      </c>
      <c r="Z87" s="36">
        <f>IFERROR(IF(X87="","",X87*0.01788),"")</f>
        <v>1.2516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301.25200000000001</v>
      </c>
      <c r="BN87" s="67">
        <f>IFERROR(Y87*I87,"0")</f>
        <v>301.25200000000001</v>
      </c>
      <c r="BO87" s="67">
        <f>IFERROR(X87/J87,"0")</f>
        <v>1</v>
      </c>
      <c r="BP87" s="67">
        <f>IFERROR(Y87/J87,"0")</f>
        <v>1</v>
      </c>
    </row>
    <row r="88" spans="1:68" ht="27" hidden="1" customHeight="1" x14ac:dyDescent="0.25">
      <c r="A88" s="54" t="s">
        <v>157</v>
      </c>
      <c r="B88" s="54" t="s">
        <v>158</v>
      </c>
      <c r="C88" s="31">
        <v>4301131046</v>
      </c>
      <c r="D88" s="284">
        <v>4607111034137</v>
      </c>
      <c r="E88" s="285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7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0"/>
      <c r="R88" s="290"/>
      <c r="S88" s="290"/>
      <c r="T88" s="291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307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308"/>
      <c r="P89" s="286" t="s">
        <v>87</v>
      </c>
      <c r="Q89" s="287"/>
      <c r="R89" s="287"/>
      <c r="S89" s="287"/>
      <c r="T89" s="287"/>
      <c r="U89" s="287"/>
      <c r="V89" s="288"/>
      <c r="W89" s="37" t="s">
        <v>68</v>
      </c>
      <c r="X89" s="280">
        <f>IFERROR(SUM(X87:X88),"0")</f>
        <v>70</v>
      </c>
      <c r="Y89" s="280">
        <f>IFERROR(SUM(Y87:Y88),"0")</f>
        <v>70</v>
      </c>
      <c r="Z89" s="280">
        <f>IFERROR(IF(Z87="",0,Z87),"0")+IFERROR(IF(Z88="",0,Z88),"0")</f>
        <v>1.2516</v>
      </c>
      <c r="AA89" s="281"/>
      <c r="AB89" s="281"/>
      <c r="AC89" s="281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308"/>
      <c r="P90" s="286" t="s">
        <v>87</v>
      </c>
      <c r="Q90" s="287"/>
      <c r="R90" s="287"/>
      <c r="S90" s="287"/>
      <c r="T90" s="287"/>
      <c r="U90" s="287"/>
      <c r="V90" s="288"/>
      <c r="W90" s="37" t="s">
        <v>88</v>
      </c>
      <c r="X90" s="280">
        <f>IFERROR(SUMPRODUCT(X87:X88*H87:H88),"0")</f>
        <v>252</v>
      </c>
      <c r="Y90" s="280">
        <f>IFERROR(SUMPRODUCT(Y87:Y88*H87:H88),"0")</f>
        <v>252</v>
      </c>
      <c r="Z90" s="37"/>
      <c r="AA90" s="281"/>
      <c r="AB90" s="281"/>
      <c r="AC90" s="281"/>
    </row>
    <row r="91" spans="1:68" ht="16.5" hidden="1" customHeight="1" x14ac:dyDescent="0.25">
      <c r="A91" s="295" t="s">
        <v>160</v>
      </c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73"/>
      <c r="AB91" s="273"/>
      <c r="AC91" s="273"/>
    </row>
    <row r="92" spans="1:68" ht="14.25" hidden="1" customHeight="1" x14ac:dyDescent="0.25">
      <c r="A92" s="310" t="s">
        <v>133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4">
        <v>4620207491027</v>
      </c>
      <c r="E93" s="285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0"/>
      <c r="R93" s="290"/>
      <c r="S93" s="290"/>
      <c r="T93" s="291"/>
      <c r="U93" s="34"/>
      <c r="V93" s="34"/>
      <c r="W93" s="35" t="s">
        <v>68</v>
      </c>
      <c r="X93" s="278">
        <v>28</v>
      </c>
      <c r="Y93" s="279">
        <f t="shared" ref="Y93:Y98" si="6">IFERROR(IF(X93="","",X93),"")</f>
        <v>28</v>
      </c>
      <c r="Z93" s="36">
        <f t="shared" ref="Z93:Z98" si="7">IFERROR(IF(X93="","",X93*0.01788),"")</f>
        <v>0.50063999999999997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100.3408</v>
      </c>
      <c r="BN93" s="67">
        <f t="shared" ref="BN93:BN98" si="9">IFERROR(Y93*I93,"0")</f>
        <v>100.3408</v>
      </c>
      <c r="BO93" s="67">
        <f t="shared" ref="BO93:BO98" si="10">IFERROR(X93/J93,"0")</f>
        <v>0.4</v>
      </c>
      <c r="BP93" s="67">
        <f t="shared" ref="BP93:BP98" si="11">IFERROR(Y93/J93,"0")</f>
        <v>0.4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4">
        <v>4620207491621</v>
      </c>
      <c r="E94" s="285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0"/>
      <c r="R94" s="290"/>
      <c r="S94" s="290"/>
      <c r="T94" s="291"/>
      <c r="U94" s="34"/>
      <c r="V94" s="34"/>
      <c r="W94" s="35" t="s">
        <v>68</v>
      </c>
      <c r="X94" s="278">
        <v>14</v>
      </c>
      <c r="Y94" s="279">
        <f t="shared" si="6"/>
        <v>14</v>
      </c>
      <c r="Z94" s="36">
        <f t="shared" si="7"/>
        <v>0.25031999999999999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4">
        <v>4620207491881</v>
      </c>
      <c r="E95" s="285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8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0"/>
      <c r="R95" s="290"/>
      <c r="S95" s="290"/>
      <c r="T95" s="291"/>
      <c r="U95" s="34"/>
      <c r="V95" s="34"/>
      <c r="W95" s="35" t="s">
        <v>68</v>
      </c>
      <c r="X95" s="278">
        <v>14</v>
      </c>
      <c r="Y95" s="279">
        <f t="shared" si="6"/>
        <v>14</v>
      </c>
      <c r="Z95" s="36">
        <f t="shared" si="7"/>
        <v>0.25031999999999999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50.170400000000001</v>
      </c>
      <c r="BN95" s="67">
        <f t="shared" si="9"/>
        <v>50.170400000000001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4">
        <v>4620207491577</v>
      </c>
      <c r="E96" s="285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29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0"/>
      <c r="R96" s="290"/>
      <c r="S96" s="290"/>
      <c r="T96" s="291"/>
      <c r="U96" s="34"/>
      <c r="V96" s="34"/>
      <c r="W96" s="35" t="s">
        <v>68</v>
      </c>
      <c r="X96" s="278">
        <v>28</v>
      </c>
      <c r="Y96" s="279">
        <f t="shared" si="6"/>
        <v>28</v>
      </c>
      <c r="Z96" s="36">
        <f t="shared" si="7"/>
        <v>0.50063999999999997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100.3408</v>
      </c>
      <c r="BN96" s="67">
        <f t="shared" si="9"/>
        <v>100.3408</v>
      </c>
      <c r="BO96" s="67">
        <f t="shared" si="10"/>
        <v>0.4</v>
      </c>
      <c r="BP96" s="67">
        <f t="shared" si="11"/>
        <v>0.4</v>
      </c>
    </row>
    <row r="97" spans="1:68" ht="27" hidden="1" customHeight="1" x14ac:dyDescent="0.25">
      <c r="A97" s="54" t="s">
        <v>171</v>
      </c>
      <c r="B97" s="54" t="s">
        <v>172</v>
      </c>
      <c r="C97" s="31">
        <v>4301135984</v>
      </c>
      <c r="D97" s="284">
        <v>4620207491874</v>
      </c>
      <c r="E97" s="285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0"/>
      <c r="R97" s="290"/>
      <c r="S97" s="290"/>
      <c r="T97" s="291"/>
      <c r="U97" s="34"/>
      <c r="V97" s="34"/>
      <c r="W97" s="35" t="s">
        <v>68</v>
      </c>
      <c r="X97" s="278">
        <v>0</v>
      </c>
      <c r="Y97" s="279">
        <f t="shared" si="6"/>
        <v>0</v>
      </c>
      <c r="Z97" s="36">
        <f t="shared" si="7"/>
        <v>0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173</v>
      </c>
      <c r="B98" s="54" t="s">
        <v>174</v>
      </c>
      <c r="C98" s="31">
        <v>4301137008</v>
      </c>
      <c r="D98" s="284">
        <v>4620207491782</v>
      </c>
      <c r="E98" s="285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38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0"/>
      <c r="R98" s="290"/>
      <c r="S98" s="290"/>
      <c r="T98" s="291"/>
      <c r="U98" s="34"/>
      <c r="V98" s="34"/>
      <c r="W98" s="35" t="s">
        <v>68</v>
      </c>
      <c r="X98" s="278">
        <v>0</v>
      </c>
      <c r="Y98" s="279">
        <f t="shared" si="6"/>
        <v>0</v>
      </c>
      <c r="Z98" s="36">
        <f t="shared" si="7"/>
        <v>0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307"/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308"/>
      <c r="P99" s="286" t="s">
        <v>87</v>
      </c>
      <c r="Q99" s="287"/>
      <c r="R99" s="287"/>
      <c r="S99" s="287"/>
      <c r="T99" s="287"/>
      <c r="U99" s="287"/>
      <c r="V99" s="288"/>
      <c r="W99" s="37" t="s">
        <v>68</v>
      </c>
      <c r="X99" s="280">
        <f>IFERROR(SUM(X93:X98),"0")</f>
        <v>84</v>
      </c>
      <c r="Y99" s="280">
        <f>IFERROR(SUM(Y93:Y98),"0")</f>
        <v>84</v>
      </c>
      <c r="Z99" s="280">
        <f>IFERROR(IF(Z93="",0,Z93),"0")+IFERROR(IF(Z94="",0,Z94),"0")+IFERROR(IF(Z95="",0,Z95),"0")+IFERROR(IF(Z96="",0,Z96),"0")+IFERROR(IF(Z97="",0,Z97),"0")+IFERROR(IF(Z98="",0,Z98),"0")</f>
        <v>1.5019199999999999</v>
      </c>
      <c r="AA99" s="281"/>
      <c r="AB99" s="281"/>
      <c r="AC99" s="281"/>
    </row>
    <row r="100" spans="1:68" x14ac:dyDescent="0.2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308"/>
      <c r="P100" s="286" t="s">
        <v>87</v>
      </c>
      <c r="Q100" s="287"/>
      <c r="R100" s="287"/>
      <c r="S100" s="287"/>
      <c r="T100" s="287"/>
      <c r="U100" s="287"/>
      <c r="V100" s="288"/>
      <c r="W100" s="37" t="s">
        <v>88</v>
      </c>
      <c r="X100" s="280">
        <f>IFERROR(SUMPRODUCT(X93:X98*H93:H98),"0")</f>
        <v>241.92000000000002</v>
      </c>
      <c r="Y100" s="280">
        <f>IFERROR(SUMPRODUCT(Y93:Y98*H93:H98),"0")</f>
        <v>241.92000000000002</v>
      </c>
      <c r="Z100" s="37"/>
      <c r="AA100" s="281"/>
      <c r="AB100" s="281"/>
      <c r="AC100" s="281"/>
    </row>
    <row r="101" spans="1:68" ht="16.5" hidden="1" customHeight="1" x14ac:dyDescent="0.25">
      <c r="A101" s="295" t="s">
        <v>175</v>
      </c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73"/>
      <c r="AB101" s="273"/>
      <c r="AC101" s="273"/>
    </row>
    <row r="102" spans="1:68" ht="14.25" hidden="1" customHeight="1" x14ac:dyDescent="0.25">
      <c r="A102" s="310" t="s">
        <v>129</v>
      </c>
      <c r="B102" s="296"/>
      <c r="C102" s="296"/>
      <c r="D102" s="296"/>
      <c r="E102" s="296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72"/>
      <c r="AB102" s="272"/>
      <c r="AC102" s="272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84">
        <v>4620207491652</v>
      </c>
      <c r="E103" s="285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0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0"/>
      <c r="R103" s="290"/>
      <c r="S103" s="290"/>
      <c r="T103" s="291"/>
      <c r="U103" s="34"/>
      <c r="V103" s="34"/>
      <c r="W103" s="35" t="s">
        <v>68</v>
      </c>
      <c r="X103" s="278">
        <v>0</v>
      </c>
      <c r="Y103" s="279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4">
        <v>4620207491645</v>
      </c>
      <c r="E104" s="285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1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0"/>
      <c r="R104" s="290"/>
      <c r="S104" s="290"/>
      <c r="T104" s="291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307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308"/>
      <c r="P105" s="286" t="s">
        <v>87</v>
      </c>
      <c r="Q105" s="287"/>
      <c r="R105" s="287"/>
      <c r="S105" s="287"/>
      <c r="T105" s="287"/>
      <c r="U105" s="287"/>
      <c r="V105" s="288"/>
      <c r="W105" s="37" t="s">
        <v>68</v>
      </c>
      <c r="X105" s="280">
        <f>IFERROR(SUM(X103:X104),"0")</f>
        <v>0</v>
      </c>
      <c r="Y105" s="280">
        <f>IFERROR(SUM(Y103:Y104),"0")</f>
        <v>0</v>
      </c>
      <c r="Z105" s="280">
        <f>IFERROR(IF(Z103="",0,Z103),"0")+IFERROR(IF(Z104="",0,Z104),"0")</f>
        <v>0</v>
      </c>
      <c r="AA105" s="281"/>
      <c r="AB105" s="281"/>
      <c r="AC105" s="281"/>
    </row>
    <row r="106" spans="1:68" hidden="1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308"/>
      <c r="P106" s="286" t="s">
        <v>87</v>
      </c>
      <c r="Q106" s="287"/>
      <c r="R106" s="287"/>
      <c r="S106" s="287"/>
      <c r="T106" s="287"/>
      <c r="U106" s="287"/>
      <c r="V106" s="288"/>
      <c r="W106" s="37" t="s">
        <v>88</v>
      </c>
      <c r="X106" s="280">
        <f>IFERROR(SUMPRODUCT(X103:X104*H103:H104),"0")</f>
        <v>0</v>
      </c>
      <c r="Y106" s="280">
        <f>IFERROR(SUMPRODUCT(Y103:Y104*H103:H104),"0")</f>
        <v>0</v>
      </c>
      <c r="Z106" s="37"/>
      <c r="AA106" s="281"/>
      <c r="AB106" s="281"/>
      <c r="AC106" s="281"/>
    </row>
    <row r="107" spans="1:68" ht="16.5" hidden="1" customHeight="1" x14ac:dyDescent="0.25">
      <c r="A107" s="295" t="s">
        <v>181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73"/>
      <c r="AB107" s="273"/>
      <c r="AC107" s="273"/>
    </row>
    <row r="108" spans="1:68" ht="14.25" hidden="1" customHeight="1" x14ac:dyDescent="0.25">
      <c r="A108" s="310" t="s">
        <v>62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72"/>
      <c r="AB108" s="272"/>
      <c r="AC108" s="272"/>
    </row>
    <row r="109" spans="1:68" ht="27" hidden="1" customHeight="1" x14ac:dyDescent="0.25">
      <c r="A109" s="54" t="s">
        <v>182</v>
      </c>
      <c r="B109" s="54" t="s">
        <v>183</v>
      </c>
      <c r="C109" s="31">
        <v>4301071074</v>
      </c>
      <c r="D109" s="284">
        <v>4620207491157</v>
      </c>
      <c r="E109" s="285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3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0"/>
      <c r="R109" s="290"/>
      <c r="S109" s="290"/>
      <c r="T109" s="291"/>
      <c r="U109" s="34"/>
      <c r="V109" s="34"/>
      <c r="W109" s="35" t="s">
        <v>68</v>
      </c>
      <c r="X109" s="278">
        <v>0</v>
      </c>
      <c r="Y109" s="279">
        <f t="shared" ref="Y109:Y115" si="12">IFERROR(IF(X109="","",X109),"")</f>
        <v>0</v>
      </c>
      <c r="Z109" s="36">
        <f t="shared" ref="Z109:Z115" si="13">IFERROR(IF(X109="","",X109*0.0155),"")</f>
        <v>0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0</v>
      </c>
      <c r="BN109" s="67">
        <f t="shared" ref="BN109:BN115" si="15">IFERROR(Y109*I109,"0")</f>
        <v>0</v>
      </c>
      <c r="BO109" s="67">
        <f t="shared" ref="BO109:BO115" si="16">IFERROR(X109/J109,"0")</f>
        <v>0</v>
      </c>
      <c r="BP109" s="67">
        <f t="shared" ref="BP109:BP115" si="17">IFERROR(Y109/J109,"0")</f>
        <v>0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4">
        <v>4620207491393</v>
      </c>
      <c r="E110" s="285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0"/>
      <c r="R110" s="290"/>
      <c r="S110" s="290"/>
      <c r="T110" s="291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4">
        <v>4607111039262</v>
      </c>
      <c r="E111" s="285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0"/>
      <c r="R111" s="290"/>
      <c r="S111" s="290"/>
      <c r="T111" s="291"/>
      <c r="U111" s="34"/>
      <c r="V111" s="34"/>
      <c r="W111" s="35" t="s">
        <v>68</v>
      </c>
      <c r="X111" s="278">
        <v>12</v>
      </c>
      <c r="Y111" s="279">
        <f t="shared" si="12"/>
        <v>12</v>
      </c>
      <c r="Z111" s="36">
        <f t="shared" si="13"/>
        <v>0.186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80.635199999999998</v>
      </c>
      <c r="BN111" s="67">
        <f t="shared" si="15"/>
        <v>80.635199999999998</v>
      </c>
      <c r="BO111" s="67">
        <f t="shared" si="16"/>
        <v>0.14285714285714285</v>
      </c>
      <c r="BP111" s="67">
        <f t="shared" si="17"/>
        <v>0.14285714285714285</v>
      </c>
    </row>
    <row r="112" spans="1:68" ht="27" hidden="1" customHeight="1" x14ac:dyDescent="0.25">
      <c r="A112" s="54" t="s">
        <v>190</v>
      </c>
      <c r="B112" s="54" t="s">
        <v>191</v>
      </c>
      <c r="C112" s="31">
        <v>4301071038</v>
      </c>
      <c r="D112" s="284">
        <v>4607111039248</v>
      </c>
      <c r="E112" s="285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0"/>
      <c r="R112" s="290"/>
      <c r="S112" s="290"/>
      <c r="T112" s="291"/>
      <c r="U112" s="34"/>
      <c r="V112" s="34"/>
      <c r="W112" s="35" t="s">
        <v>68</v>
      </c>
      <c r="X112" s="278">
        <v>0</v>
      </c>
      <c r="Y112" s="279">
        <f t="shared" si="12"/>
        <v>0</v>
      </c>
      <c r="Z112" s="36">
        <f t="shared" si="13"/>
        <v>0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4">
        <v>4607111037145</v>
      </c>
      <c r="E113" s="285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0"/>
      <c r="R113" s="290"/>
      <c r="S113" s="290"/>
      <c r="T113" s="291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4">
        <v>4607111039293</v>
      </c>
      <c r="E114" s="285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39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0"/>
      <c r="R114" s="290"/>
      <c r="S114" s="290"/>
      <c r="T114" s="291"/>
      <c r="U114" s="34"/>
      <c r="V114" s="34"/>
      <c r="W114" s="35" t="s">
        <v>68</v>
      </c>
      <c r="X114" s="278">
        <v>48</v>
      </c>
      <c r="Y114" s="279">
        <f t="shared" si="12"/>
        <v>48</v>
      </c>
      <c r="Z114" s="36">
        <f t="shared" si="13"/>
        <v>0.74399999999999999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322.54079999999999</v>
      </c>
      <c r="BN114" s="67">
        <f t="shared" si="15"/>
        <v>322.54079999999999</v>
      </c>
      <c r="BO114" s="67">
        <f t="shared" si="16"/>
        <v>0.5714285714285714</v>
      </c>
      <c r="BP114" s="67">
        <f t="shared" si="17"/>
        <v>0.5714285714285714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4">
        <v>4607111039279</v>
      </c>
      <c r="E115" s="285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0"/>
      <c r="R115" s="290"/>
      <c r="S115" s="290"/>
      <c r="T115" s="291"/>
      <c r="U115" s="34"/>
      <c r="V115" s="34"/>
      <c r="W115" s="35" t="s">
        <v>68</v>
      </c>
      <c r="X115" s="278">
        <v>120</v>
      </c>
      <c r="Y115" s="279">
        <f t="shared" si="12"/>
        <v>120</v>
      </c>
      <c r="Z115" s="36">
        <f t="shared" si="13"/>
        <v>1.8599999999999999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876</v>
      </c>
      <c r="BN115" s="67">
        <f t="shared" si="15"/>
        <v>876</v>
      </c>
      <c r="BO115" s="67">
        <f t="shared" si="16"/>
        <v>1.4285714285714286</v>
      </c>
      <c r="BP115" s="67">
        <f t="shared" si="17"/>
        <v>1.4285714285714286</v>
      </c>
    </row>
    <row r="116" spans="1:68" x14ac:dyDescent="0.2">
      <c r="A116" s="307"/>
      <c r="B116" s="296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308"/>
      <c r="P116" s="286" t="s">
        <v>87</v>
      </c>
      <c r="Q116" s="287"/>
      <c r="R116" s="287"/>
      <c r="S116" s="287"/>
      <c r="T116" s="287"/>
      <c r="U116" s="287"/>
      <c r="V116" s="288"/>
      <c r="W116" s="37" t="s">
        <v>68</v>
      </c>
      <c r="X116" s="280">
        <f>IFERROR(SUM(X109:X115),"0")</f>
        <v>180</v>
      </c>
      <c r="Y116" s="280">
        <f>IFERROR(SUM(Y109:Y115),"0")</f>
        <v>180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2.79</v>
      </c>
      <c r="AA116" s="281"/>
      <c r="AB116" s="281"/>
      <c r="AC116" s="281"/>
    </row>
    <row r="117" spans="1:68" x14ac:dyDescent="0.2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308"/>
      <c r="P117" s="286" t="s">
        <v>87</v>
      </c>
      <c r="Q117" s="287"/>
      <c r="R117" s="287"/>
      <c r="S117" s="287"/>
      <c r="T117" s="287"/>
      <c r="U117" s="287"/>
      <c r="V117" s="288"/>
      <c r="W117" s="37" t="s">
        <v>88</v>
      </c>
      <c r="X117" s="280">
        <f>IFERROR(SUMPRODUCT(X109:X115*H109:H115),"0")</f>
        <v>1224</v>
      </c>
      <c r="Y117" s="280">
        <f>IFERROR(SUMPRODUCT(Y109:Y115*H109:H115),"0")</f>
        <v>1224</v>
      </c>
      <c r="Z117" s="37"/>
      <c r="AA117" s="281"/>
      <c r="AB117" s="281"/>
      <c r="AC117" s="281"/>
    </row>
    <row r="118" spans="1:68" ht="14.25" hidden="1" customHeight="1" x14ac:dyDescent="0.25">
      <c r="A118" s="310" t="s">
        <v>133</v>
      </c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4">
        <v>4620207490983</v>
      </c>
      <c r="E119" s="285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0"/>
      <c r="R119" s="290"/>
      <c r="S119" s="290"/>
      <c r="T119" s="291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7"/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308"/>
      <c r="P120" s="286" t="s">
        <v>87</v>
      </c>
      <c r="Q120" s="287"/>
      <c r="R120" s="287"/>
      <c r="S120" s="287"/>
      <c r="T120" s="287"/>
      <c r="U120" s="287"/>
      <c r="V120" s="288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308"/>
      <c r="P121" s="286" t="s">
        <v>87</v>
      </c>
      <c r="Q121" s="287"/>
      <c r="R121" s="287"/>
      <c r="S121" s="287"/>
      <c r="T121" s="287"/>
      <c r="U121" s="287"/>
      <c r="V121" s="288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10" t="s">
        <v>203</v>
      </c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4">
        <v>4620207491140</v>
      </c>
      <c r="E123" s="285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0"/>
      <c r="R123" s="290"/>
      <c r="S123" s="290"/>
      <c r="T123" s="291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307"/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308"/>
      <c r="P124" s="286" t="s">
        <v>87</v>
      </c>
      <c r="Q124" s="287"/>
      <c r="R124" s="287"/>
      <c r="S124" s="287"/>
      <c r="T124" s="287"/>
      <c r="U124" s="287"/>
      <c r="V124" s="288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308"/>
      <c r="P125" s="286" t="s">
        <v>87</v>
      </c>
      <c r="Q125" s="287"/>
      <c r="R125" s="287"/>
      <c r="S125" s="287"/>
      <c r="T125" s="287"/>
      <c r="U125" s="287"/>
      <c r="V125" s="288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5" t="s">
        <v>207</v>
      </c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  <c r="AA126" s="273"/>
      <c r="AB126" s="273"/>
      <c r="AC126" s="273"/>
    </row>
    <row r="127" spans="1:68" ht="14.25" hidden="1" customHeight="1" x14ac:dyDescent="0.25">
      <c r="A127" s="310" t="s">
        <v>62</v>
      </c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4">
        <v>4620207491904</v>
      </c>
      <c r="E128" s="285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37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0"/>
      <c r="R128" s="290"/>
      <c r="S128" s="290"/>
      <c r="T128" s="291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307"/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6"/>
      <c r="M129" s="296"/>
      <c r="N129" s="296"/>
      <c r="O129" s="308"/>
      <c r="P129" s="286" t="s">
        <v>87</v>
      </c>
      <c r="Q129" s="287"/>
      <c r="R129" s="287"/>
      <c r="S129" s="287"/>
      <c r="T129" s="287"/>
      <c r="U129" s="287"/>
      <c r="V129" s="288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96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308"/>
      <c r="P130" s="286" t="s">
        <v>87</v>
      </c>
      <c r="Q130" s="287"/>
      <c r="R130" s="287"/>
      <c r="S130" s="287"/>
      <c r="T130" s="287"/>
      <c r="U130" s="287"/>
      <c r="V130" s="288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10" t="s">
        <v>133</v>
      </c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4">
        <v>4620207491799</v>
      </c>
      <c r="E132" s="285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40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0"/>
      <c r="R132" s="290"/>
      <c r="S132" s="290"/>
      <c r="T132" s="291"/>
      <c r="U132" s="34"/>
      <c r="V132" s="34"/>
      <c r="W132" s="35" t="s">
        <v>68</v>
      </c>
      <c r="X132" s="278">
        <v>42</v>
      </c>
      <c r="Y132" s="279">
        <f>IFERROR(IF(X132="","",X132),"")</f>
        <v>42</v>
      </c>
      <c r="Z132" s="36">
        <f>IFERROR(IF(X132="","",X132*0.00941),"")</f>
        <v>0.39522000000000002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75.600000000000009</v>
      </c>
      <c r="BN132" s="67">
        <f>IFERROR(Y132*I132,"0")</f>
        <v>75.600000000000009</v>
      </c>
      <c r="BO132" s="67">
        <f>IFERROR(X132/J132,"0")</f>
        <v>0.3</v>
      </c>
      <c r="BP132" s="67">
        <f>IFERROR(Y132/J132,"0")</f>
        <v>0.3</v>
      </c>
    </row>
    <row r="133" spans="1:68" ht="27" hidden="1" customHeight="1" x14ac:dyDescent="0.25">
      <c r="A133" s="54" t="s">
        <v>215</v>
      </c>
      <c r="B133" s="54" t="s">
        <v>216</v>
      </c>
      <c r="C133" s="31">
        <v>4301135850</v>
      </c>
      <c r="D133" s="284">
        <v>4620207491492</v>
      </c>
      <c r="E133" s="285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0"/>
      <c r="R133" s="290"/>
      <c r="S133" s="290"/>
      <c r="T133" s="291"/>
      <c r="U133" s="34"/>
      <c r="V133" s="34"/>
      <c r="W133" s="35" t="s">
        <v>68</v>
      </c>
      <c r="X133" s="278">
        <v>0</v>
      </c>
      <c r="Y133" s="279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217</v>
      </c>
      <c r="B134" s="54" t="s">
        <v>218</v>
      </c>
      <c r="C134" s="31">
        <v>4301190118</v>
      </c>
      <c r="D134" s="284">
        <v>4620207491461</v>
      </c>
      <c r="E134" s="285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0"/>
      <c r="R134" s="290"/>
      <c r="S134" s="290"/>
      <c r="T134" s="291"/>
      <c r="U134" s="34"/>
      <c r="V134" s="34"/>
      <c r="W134" s="35" t="s">
        <v>68</v>
      </c>
      <c r="X134" s="278">
        <v>14</v>
      </c>
      <c r="Y134" s="279">
        <f>IFERROR(IF(X134="","",X134),"")</f>
        <v>14</v>
      </c>
      <c r="Z134" s="36">
        <f>IFERROR(IF(X134="","",X134*0.00941),"")</f>
        <v>0.13174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24.36</v>
      </c>
      <c r="BN134" s="67">
        <f>IFERROR(Y134*I134,"0")</f>
        <v>24.36</v>
      </c>
      <c r="BO134" s="67">
        <f>IFERROR(X134/J134,"0")</f>
        <v>0.1</v>
      </c>
      <c r="BP134" s="67">
        <f>IFERROR(Y134/J134,"0")</f>
        <v>0.1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4">
        <v>4620207491485</v>
      </c>
      <c r="E135" s="285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0"/>
      <c r="R135" s="290"/>
      <c r="S135" s="290"/>
      <c r="T135" s="291"/>
      <c r="U135" s="34"/>
      <c r="V135" s="34"/>
      <c r="W135" s="35" t="s">
        <v>68</v>
      </c>
      <c r="X135" s="278">
        <v>28</v>
      </c>
      <c r="Y135" s="279">
        <f>IFERROR(IF(X135="","",X135),"")</f>
        <v>28</v>
      </c>
      <c r="Z135" s="36">
        <f>IFERROR(IF(X135="","",X135*0.00941),"")</f>
        <v>0.26347999999999999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50.4</v>
      </c>
      <c r="BN135" s="67">
        <f>IFERROR(Y135*I135,"0")</f>
        <v>50.4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307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308"/>
      <c r="P136" s="286" t="s">
        <v>87</v>
      </c>
      <c r="Q136" s="287"/>
      <c r="R136" s="287"/>
      <c r="S136" s="287"/>
      <c r="T136" s="287"/>
      <c r="U136" s="287"/>
      <c r="V136" s="288"/>
      <c r="W136" s="37" t="s">
        <v>68</v>
      </c>
      <c r="X136" s="280">
        <f>IFERROR(SUM(X132:X135),"0")</f>
        <v>84</v>
      </c>
      <c r="Y136" s="280">
        <f>IFERROR(SUM(Y132:Y135),"0")</f>
        <v>84</v>
      </c>
      <c r="Z136" s="280">
        <f>IFERROR(IF(Z132="",0,Z132),"0")+IFERROR(IF(Z133="",0,Z133),"0")+IFERROR(IF(Z134="",0,Z134),"0")+IFERROR(IF(Z135="",0,Z135),"0")</f>
        <v>0.79044000000000003</v>
      </c>
      <c r="AA136" s="281"/>
      <c r="AB136" s="281"/>
      <c r="AC136" s="281"/>
    </row>
    <row r="137" spans="1:68" x14ac:dyDescent="0.2">
      <c r="A137" s="296"/>
      <c r="B137" s="296"/>
      <c r="C137" s="296"/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308"/>
      <c r="P137" s="286" t="s">
        <v>87</v>
      </c>
      <c r="Q137" s="287"/>
      <c r="R137" s="287"/>
      <c r="S137" s="287"/>
      <c r="T137" s="287"/>
      <c r="U137" s="287"/>
      <c r="V137" s="288"/>
      <c r="W137" s="37" t="s">
        <v>88</v>
      </c>
      <c r="X137" s="280">
        <f>IFERROR(SUMPRODUCT(X132:X135*H132:H135),"0")</f>
        <v>115.08</v>
      </c>
      <c r="Y137" s="280">
        <f>IFERROR(SUMPRODUCT(Y132:Y135*H132:H135),"0")</f>
        <v>115.08</v>
      </c>
      <c r="Z137" s="37"/>
      <c r="AA137" s="281"/>
      <c r="AB137" s="281"/>
      <c r="AC137" s="281"/>
    </row>
    <row r="138" spans="1:68" ht="14.25" hidden="1" customHeight="1" x14ac:dyDescent="0.25">
      <c r="A138" s="310" t="s">
        <v>221</v>
      </c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4">
        <v>4620207491386</v>
      </c>
      <c r="E139" s="285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0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0"/>
      <c r="R139" s="290"/>
      <c r="S139" s="290"/>
      <c r="T139" s="291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4">
        <v>4620207491362</v>
      </c>
      <c r="E140" s="285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0"/>
      <c r="R140" s="290"/>
      <c r="S140" s="290"/>
      <c r="T140" s="291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4">
        <v>4620207491379</v>
      </c>
      <c r="E141" s="285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0"/>
      <c r="R141" s="290"/>
      <c r="S141" s="290"/>
      <c r="T141" s="291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307"/>
      <c r="B142" s="296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308"/>
      <c r="P142" s="286" t="s">
        <v>87</v>
      </c>
      <c r="Q142" s="287"/>
      <c r="R142" s="287"/>
      <c r="S142" s="287"/>
      <c r="T142" s="287"/>
      <c r="U142" s="287"/>
      <c r="V142" s="288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96"/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  <c r="O143" s="308"/>
      <c r="P143" s="286" t="s">
        <v>87</v>
      </c>
      <c r="Q143" s="287"/>
      <c r="R143" s="287"/>
      <c r="S143" s="287"/>
      <c r="T143" s="287"/>
      <c r="U143" s="287"/>
      <c r="V143" s="288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295" t="s">
        <v>229</v>
      </c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73"/>
      <c r="AB144" s="273"/>
      <c r="AC144" s="273"/>
    </row>
    <row r="145" spans="1:68" ht="14.25" hidden="1" customHeight="1" x14ac:dyDescent="0.25">
      <c r="A145" s="310" t="s">
        <v>133</v>
      </c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  <c r="AA145" s="272"/>
      <c r="AB145" s="272"/>
      <c r="AC145" s="272"/>
    </row>
    <row r="146" spans="1:68" ht="27" hidden="1" customHeight="1" x14ac:dyDescent="0.25">
      <c r="A146" s="54" t="s">
        <v>230</v>
      </c>
      <c r="B146" s="54" t="s">
        <v>231</v>
      </c>
      <c r="C146" s="31">
        <v>4301135956</v>
      </c>
      <c r="D146" s="284">
        <v>4620207491560</v>
      </c>
      <c r="E146" s="285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0"/>
      <c r="R146" s="290"/>
      <c r="S146" s="290"/>
      <c r="T146" s="291"/>
      <c r="U146" s="34"/>
      <c r="V146" s="34"/>
      <c r="W146" s="35" t="s">
        <v>68</v>
      </c>
      <c r="X146" s="278">
        <v>0</v>
      </c>
      <c r="Y146" s="279">
        <f>IFERROR(IF(X146="","",X146),"")</f>
        <v>0</v>
      </c>
      <c r="Z146" s="36">
        <f>IFERROR(IF(X146="","",X146*0.01788),"")</f>
        <v>0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4">
        <v>4607111033994</v>
      </c>
      <c r="E147" s="285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6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0"/>
      <c r="R147" s="290"/>
      <c r="S147" s="290"/>
      <c r="T147" s="291"/>
      <c r="U147" s="34"/>
      <c r="V147" s="34"/>
      <c r="W147" s="35" t="s">
        <v>68</v>
      </c>
      <c r="X147" s="278">
        <v>28</v>
      </c>
      <c r="Y147" s="279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103.70079999999999</v>
      </c>
      <c r="BN147" s="67">
        <f>IFERROR(Y147*I147,"0")</f>
        <v>103.70079999999999</v>
      </c>
      <c r="BO147" s="67">
        <f>IFERROR(X147/J147,"0")</f>
        <v>0.4</v>
      </c>
      <c r="BP147" s="67">
        <f>IFERROR(Y147/J147,"0")</f>
        <v>0.4</v>
      </c>
    </row>
    <row r="148" spans="1:68" x14ac:dyDescent="0.2">
      <c r="A148" s="307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308"/>
      <c r="P148" s="286" t="s">
        <v>87</v>
      </c>
      <c r="Q148" s="287"/>
      <c r="R148" s="287"/>
      <c r="S148" s="287"/>
      <c r="T148" s="287"/>
      <c r="U148" s="287"/>
      <c r="V148" s="288"/>
      <c r="W148" s="37" t="s">
        <v>68</v>
      </c>
      <c r="X148" s="280">
        <f>IFERROR(SUM(X146:X147),"0")</f>
        <v>28</v>
      </c>
      <c r="Y148" s="280">
        <f>IFERROR(SUM(Y146:Y147),"0")</f>
        <v>28</v>
      </c>
      <c r="Z148" s="280">
        <f>IFERROR(IF(Z146="",0,Z146),"0")+IFERROR(IF(Z147="",0,Z147),"0")</f>
        <v>0.50063999999999997</v>
      </c>
      <c r="AA148" s="281"/>
      <c r="AB148" s="281"/>
      <c r="AC148" s="281"/>
    </row>
    <row r="149" spans="1:68" x14ac:dyDescent="0.2">
      <c r="A149" s="296"/>
      <c r="B149" s="296"/>
      <c r="C149" s="296"/>
      <c r="D149" s="29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  <c r="O149" s="308"/>
      <c r="P149" s="286" t="s">
        <v>87</v>
      </c>
      <c r="Q149" s="287"/>
      <c r="R149" s="287"/>
      <c r="S149" s="287"/>
      <c r="T149" s="287"/>
      <c r="U149" s="287"/>
      <c r="V149" s="288"/>
      <c r="W149" s="37" t="s">
        <v>88</v>
      </c>
      <c r="X149" s="280">
        <f>IFERROR(SUMPRODUCT(X146:X147*H146:H147),"0")</f>
        <v>84</v>
      </c>
      <c r="Y149" s="280">
        <f>IFERROR(SUMPRODUCT(Y146:Y147*H146:H147),"0")</f>
        <v>84</v>
      </c>
      <c r="Z149" s="37"/>
      <c r="AA149" s="281"/>
      <c r="AB149" s="281"/>
      <c r="AC149" s="281"/>
    </row>
    <row r="150" spans="1:68" ht="16.5" hidden="1" customHeight="1" x14ac:dyDescent="0.25">
      <c r="A150" s="295" t="s">
        <v>235</v>
      </c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73"/>
      <c r="AB150" s="273"/>
      <c r="AC150" s="273"/>
    </row>
    <row r="151" spans="1:68" ht="14.25" hidden="1" customHeight="1" x14ac:dyDescent="0.25">
      <c r="A151" s="310" t="s">
        <v>133</v>
      </c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  <c r="AA151" s="272"/>
      <c r="AB151" s="272"/>
      <c r="AC151" s="272"/>
    </row>
    <row r="152" spans="1:68" ht="27" customHeight="1" x14ac:dyDescent="0.25">
      <c r="A152" s="54" t="s">
        <v>236</v>
      </c>
      <c r="B152" s="54" t="s">
        <v>237</v>
      </c>
      <c r="C152" s="31">
        <v>4301135954</v>
      </c>
      <c r="D152" s="284">
        <v>4620207491768</v>
      </c>
      <c r="E152" s="285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0"/>
      <c r="R152" s="290"/>
      <c r="S152" s="290"/>
      <c r="T152" s="291"/>
      <c r="U152" s="34"/>
      <c r="V152" s="34"/>
      <c r="W152" s="35" t="s">
        <v>68</v>
      </c>
      <c r="X152" s="278">
        <v>14</v>
      </c>
      <c r="Y152" s="279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52.472000000000001</v>
      </c>
      <c r="BN152" s="67">
        <f>IFERROR(Y152*I152,"0")</f>
        <v>52.472000000000001</v>
      </c>
      <c r="BO152" s="67">
        <f>IFERROR(X152/J152,"0")</f>
        <v>0.2</v>
      </c>
      <c r="BP152" s="67">
        <f>IFERROR(Y152/J152,"0")</f>
        <v>0.2</v>
      </c>
    </row>
    <row r="153" spans="1:68" ht="16.5" hidden="1" customHeight="1" x14ac:dyDescent="0.25">
      <c r="A153" s="54" t="s">
        <v>239</v>
      </c>
      <c r="B153" s="54" t="s">
        <v>240</v>
      </c>
      <c r="C153" s="31">
        <v>4301135946</v>
      </c>
      <c r="D153" s="284">
        <v>4620207491553</v>
      </c>
      <c r="E153" s="285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0"/>
      <c r="R153" s="290"/>
      <c r="S153" s="290"/>
      <c r="T153" s="291"/>
      <c r="U153" s="34"/>
      <c r="V153" s="34"/>
      <c r="W153" s="35" t="s">
        <v>68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x14ac:dyDescent="0.2">
      <c r="A154" s="307"/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  <c r="M154" s="296"/>
      <c r="N154" s="296"/>
      <c r="O154" s="308"/>
      <c r="P154" s="286" t="s">
        <v>87</v>
      </c>
      <c r="Q154" s="287"/>
      <c r="R154" s="287"/>
      <c r="S154" s="287"/>
      <c r="T154" s="287"/>
      <c r="U154" s="287"/>
      <c r="V154" s="288"/>
      <c r="W154" s="37" t="s">
        <v>68</v>
      </c>
      <c r="X154" s="280">
        <f>IFERROR(SUM(X152:X153),"0")</f>
        <v>14</v>
      </c>
      <c r="Y154" s="280">
        <f>IFERROR(SUM(Y152:Y153),"0")</f>
        <v>14</v>
      </c>
      <c r="Z154" s="280">
        <f>IFERROR(IF(Z152="",0,Z152),"0")+IFERROR(IF(Z153="",0,Z153),"0")</f>
        <v>0.25031999999999999</v>
      </c>
      <c r="AA154" s="281"/>
      <c r="AB154" s="281"/>
      <c r="AC154" s="281"/>
    </row>
    <row r="155" spans="1:68" x14ac:dyDescent="0.2">
      <c r="A155" s="296"/>
      <c r="B155" s="296"/>
      <c r="C155" s="296"/>
      <c r="D155" s="296"/>
      <c r="E155" s="296"/>
      <c r="F155" s="296"/>
      <c r="G155" s="296"/>
      <c r="H155" s="296"/>
      <c r="I155" s="296"/>
      <c r="J155" s="296"/>
      <c r="K155" s="296"/>
      <c r="L155" s="296"/>
      <c r="M155" s="296"/>
      <c r="N155" s="296"/>
      <c r="O155" s="308"/>
      <c r="P155" s="286" t="s">
        <v>87</v>
      </c>
      <c r="Q155" s="287"/>
      <c r="R155" s="287"/>
      <c r="S155" s="287"/>
      <c r="T155" s="287"/>
      <c r="U155" s="287"/>
      <c r="V155" s="288"/>
      <c r="W155" s="37" t="s">
        <v>88</v>
      </c>
      <c r="X155" s="280">
        <f>IFERROR(SUMPRODUCT(X152:X153*H152:H153),"0")</f>
        <v>42</v>
      </c>
      <c r="Y155" s="280">
        <f>IFERROR(SUMPRODUCT(Y152:Y153*H152:H153),"0")</f>
        <v>42</v>
      </c>
      <c r="Z155" s="37"/>
      <c r="AA155" s="281"/>
      <c r="AB155" s="281"/>
      <c r="AC155" s="281"/>
    </row>
    <row r="156" spans="1:68" ht="16.5" hidden="1" customHeight="1" x14ac:dyDescent="0.25">
      <c r="A156" s="295" t="s">
        <v>241</v>
      </c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  <c r="AA156" s="273"/>
      <c r="AB156" s="273"/>
      <c r="AC156" s="273"/>
    </row>
    <row r="157" spans="1:68" ht="14.25" hidden="1" customHeight="1" x14ac:dyDescent="0.25">
      <c r="A157" s="310" t="s">
        <v>133</v>
      </c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272"/>
      <c r="AB157" s="272"/>
      <c r="AC157" s="272"/>
    </row>
    <row r="158" spans="1:68" ht="27" hidden="1" customHeight="1" x14ac:dyDescent="0.25">
      <c r="A158" s="54" t="s">
        <v>242</v>
      </c>
      <c r="B158" s="54" t="s">
        <v>243</v>
      </c>
      <c r="C158" s="31">
        <v>4301135753</v>
      </c>
      <c r="D158" s="284">
        <v>4620207490914</v>
      </c>
      <c r="E158" s="285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0"/>
      <c r="R158" s="290"/>
      <c r="S158" s="290"/>
      <c r="T158" s="291"/>
      <c r="U158" s="34"/>
      <c r="V158" s="34"/>
      <c r="W158" s="35" t="s">
        <v>68</v>
      </c>
      <c r="X158" s="278">
        <v>0</v>
      </c>
      <c r="Y158" s="279">
        <f>IFERROR(IF(X158="","",X158),"")</f>
        <v>0</v>
      </c>
      <c r="Z158" s="36">
        <f>IFERROR(IF(X158="","",X158*0.01788),"")</f>
        <v>0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t="27" hidden="1" customHeight="1" x14ac:dyDescent="0.25">
      <c r="A159" s="54" t="s">
        <v>245</v>
      </c>
      <c r="B159" s="54" t="s">
        <v>246</v>
      </c>
      <c r="C159" s="31">
        <v>4301135932</v>
      </c>
      <c r="D159" s="284">
        <v>4620207491676</v>
      </c>
      <c r="E159" s="285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28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0"/>
      <c r="R159" s="290"/>
      <c r="S159" s="290"/>
      <c r="T159" s="291"/>
      <c r="U159" s="34"/>
      <c r="V159" s="34"/>
      <c r="W159" s="35" t="s">
        <v>68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idden="1" x14ac:dyDescent="0.2">
      <c r="A160" s="307"/>
      <c r="B160" s="296"/>
      <c r="C160" s="296"/>
      <c r="D160" s="296"/>
      <c r="E160" s="296"/>
      <c r="F160" s="296"/>
      <c r="G160" s="296"/>
      <c r="H160" s="296"/>
      <c r="I160" s="296"/>
      <c r="J160" s="296"/>
      <c r="K160" s="296"/>
      <c r="L160" s="296"/>
      <c r="M160" s="296"/>
      <c r="N160" s="296"/>
      <c r="O160" s="308"/>
      <c r="P160" s="286" t="s">
        <v>87</v>
      </c>
      <c r="Q160" s="287"/>
      <c r="R160" s="287"/>
      <c r="S160" s="287"/>
      <c r="T160" s="287"/>
      <c r="U160" s="287"/>
      <c r="V160" s="288"/>
      <c r="W160" s="37" t="s">
        <v>68</v>
      </c>
      <c r="X160" s="280">
        <f>IFERROR(SUM(X158:X159),"0")</f>
        <v>0</v>
      </c>
      <c r="Y160" s="280">
        <f>IFERROR(SUM(Y158:Y159),"0")</f>
        <v>0</v>
      </c>
      <c r="Z160" s="280">
        <f>IFERROR(IF(Z158="",0,Z158),"0")+IFERROR(IF(Z159="",0,Z159),"0")</f>
        <v>0</v>
      </c>
      <c r="AA160" s="281"/>
      <c r="AB160" s="281"/>
      <c r="AC160" s="281"/>
    </row>
    <row r="161" spans="1:68" hidden="1" x14ac:dyDescent="0.2">
      <c r="A161" s="296"/>
      <c r="B161" s="296"/>
      <c r="C161" s="296"/>
      <c r="D161" s="296"/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  <c r="O161" s="308"/>
      <c r="P161" s="286" t="s">
        <v>87</v>
      </c>
      <c r="Q161" s="287"/>
      <c r="R161" s="287"/>
      <c r="S161" s="287"/>
      <c r="T161" s="287"/>
      <c r="U161" s="287"/>
      <c r="V161" s="288"/>
      <c r="W161" s="37" t="s">
        <v>88</v>
      </c>
      <c r="X161" s="280">
        <f>IFERROR(SUMPRODUCT(X158:X159*H158:H159),"0")</f>
        <v>0</v>
      </c>
      <c r="Y161" s="280">
        <f>IFERROR(SUMPRODUCT(Y158:Y159*H158:H159),"0")</f>
        <v>0</v>
      </c>
      <c r="Z161" s="37"/>
      <c r="AA161" s="281"/>
      <c r="AB161" s="281"/>
      <c r="AC161" s="281"/>
    </row>
    <row r="162" spans="1:68" ht="16.5" hidden="1" customHeight="1" x14ac:dyDescent="0.25">
      <c r="A162" s="295" t="s">
        <v>248</v>
      </c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73"/>
      <c r="AB162" s="273"/>
      <c r="AC162" s="273"/>
    </row>
    <row r="163" spans="1:68" ht="14.25" hidden="1" customHeight="1" x14ac:dyDescent="0.25">
      <c r="A163" s="310" t="s">
        <v>133</v>
      </c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72"/>
      <c r="AB163" s="272"/>
      <c r="AC163" s="272"/>
    </row>
    <row r="164" spans="1:68" ht="27" hidden="1" customHeight="1" x14ac:dyDescent="0.25">
      <c r="A164" s="54" t="s">
        <v>249</v>
      </c>
      <c r="B164" s="54" t="s">
        <v>250</v>
      </c>
      <c r="C164" s="31">
        <v>4301135940</v>
      </c>
      <c r="D164" s="284">
        <v>4620207491614</v>
      </c>
      <c r="E164" s="285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4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0"/>
      <c r="R164" s="290"/>
      <c r="S164" s="290"/>
      <c r="T164" s="291"/>
      <c r="U164" s="34"/>
      <c r="V164" s="34"/>
      <c r="W164" s="35" t="s">
        <v>68</v>
      </c>
      <c r="X164" s="278">
        <v>0</v>
      </c>
      <c r="Y164" s="279">
        <f>IFERROR(IF(X164="","",X164),"")</f>
        <v>0</v>
      </c>
      <c r="Z164" s="36">
        <f>IFERROR(IF(X164="","",X164*0.01788),"")</f>
        <v>0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0</v>
      </c>
      <c r="BN164" s="67">
        <f>IFERROR(Y164*I164,"0")</f>
        <v>0</v>
      </c>
      <c r="BO164" s="67">
        <f>IFERROR(X164/J164,"0")</f>
        <v>0</v>
      </c>
      <c r="BP164" s="67">
        <f>IFERROR(Y164/J164,"0")</f>
        <v>0</v>
      </c>
    </row>
    <row r="165" spans="1:68" hidden="1" x14ac:dyDescent="0.2">
      <c r="A165" s="307"/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308"/>
      <c r="P165" s="286" t="s">
        <v>87</v>
      </c>
      <c r="Q165" s="287"/>
      <c r="R165" s="287"/>
      <c r="S165" s="287"/>
      <c r="T165" s="287"/>
      <c r="U165" s="287"/>
      <c r="V165" s="288"/>
      <c r="W165" s="37" t="s">
        <v>68</v>
      </c>
      <c r="X165" s="280">
        <f>IFERROR(SUM(X164:X164),"0")</f>
        <v>0</v>
      </c>
      <c r="Y165" s="280">
        <f>IFERROR(SUM(Y164:Y164),"0")</f>
        <v>0</v>
      </c>
      <c r="Z165" s="280">
        <f>IFERROR(IF(Z164="",0,Z164),"0")</f>
        <v>0</v>
      </c>
      <c r="AA165" s="281"/>
      <c r="AB165" s="281"/>
      <c r="AC165" s="281"/>
    </row>
    <row r="166" spans="1:68" hidden="1" x14ac:dyDescent="0.2">
      <c r="A166" s="296"/>
      <c r="B166" s="296"/>
      <c r="C166" s="296"/>
      <c r="D166" s="296"/>
      <c r="E166" s="296"/>
      <c r="F166" s="296"/>
      <c r="G166" s="296"/>
      <c r="H166" s="296"/>
      <c r="I166" s="296"/>
      <c r="J166" s="296"/>
      <c r="K166" s="296"/>
      <c r="L166" s="296"/>
      <c r="M166" s="296"/>
      <c r="N166" s="296"/>
      <c r="O166" s="308"/>
      <c r="P166" s="286" t="s">
        <v>87</v>
      </c>
      <c r="Q166" s="287"/>
      <c r="R166" s="287"/>
      <c r="S166" s="287"/>
      <c r="T166" s="287"/>
      <c r="U166" s="287"/>
      <c r="V166" s="288"/>
      <c r="W166" s="37" t="s">
        <v>88</v>
      </c>
      <c r="X166" s="280">
        <f>IFERROR(SUMPRODUCT(X164:X164*H164:H164),"0")</f>
        <v>0</v>
      </c>
      <c r="Y166" s="280">
        <f>IFERROR(SUMPRODUCT(Y164:Y164*H164:H164),"0")</f>
        <v>0</v>
      </c>
      <c r="Z166" s="37"/>
      <c r="AA166" s="281"/>
      <c r="AB166" s="281"/>
      <c r="AC166" s="281"/>
    </row>
    <row r="167" spans="1:68" ht="16.5" hidden="1" customHeight="1" x14ac:dyDescent="0.25">
      <c r="A167" s="295" t="s">
        <v>251</v>
      </c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73"/>
      <c r="AB167" s="273"/>
      <c r="AC167" s="273"/>
    </row>
    <row r="168" spans="1:68" ht="14.25" hidden="1" customHeight="1" x14ac:dyDescent="0.25">
      <c r="A168" s="310" t="s">
        <v>133</v>
      </c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4">
        <v>4607111039613</v>
      </c>
      <c r="E169" s="285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0"/>
      <c r="R169" s="290"/>
      <c r="S169" s="290"/>
      <c r="T169" s="291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307"/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308"/>
      <c r="P170" s="286" t="s">
        <v>87</v>
      </c>
      <c r="Q170" s="287"/>
      <c r="R170" s="287"/>
      <c r="S170" s="287"/>
      <c r="T170" s="287"/>
      <c r="U170" s="287"/>
      <c r="V170" s="288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96"/>
      <c r="B171" s="296"/>
      <c r="C171" s="296"/>
      <c r="D171" s="296"/>
      <c r="E171" s="296"/>
      <c r="F171" s="296"/>
      <c r="G171" s="296"/>
      <c r="H171" s="296"/>
      <c r="I171" s="296"/>
      <c r="J171" s="296"/>
      <c r="K171" s="296"/>
      <c r="L171" s="296"/>
      <c r="M171" s="296"/>
      <c r="N171" s="296"/>
      <c r="O171" s="308"/>
      <c r="P171" s="286" t="s">
        <v>87</v>
      </c>
      <c r="Q171" s="287"/>
      <c r="R171" s="287"/>
      <c r="S171" s="287"/>
      <c r="T171" s="287"/>
      <c r="U171" s="287"/>
      <c r="V171" s="288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5" t="s">
        <v>255</v>
      </c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  <c r="AA172" s="273"/>
      <c r="AB172" s="273"/>
      <c r="AC172" s="273"/>
    </row>
    <row r="173" spans="1:68" ht="14.25" hidden="1" customHeight="1" x14ac:dyDescent="0.25">
      <c r="A173" s="310" t="s">
        <v>133</v>
      </c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4">
        <v>4620207491751</v>
      </c>
      <c r="E174" s="285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0"/>
      <c r="R174" s="290"/>
      <c r="S174" s="290"/>
      <c r="T174" s="291"/>
      <c r="U174" s="34"/>
      <c r="V174" s="34"/>
      <c r="W174" s="35" t="s">
        <v>68</v>
      </c>
      <c r="X174" s="278">
        <v>70</v>
      </c>
      <c r="Y174" s="279">
        <f>IFERROR(IF(X174="","",X174),"")</f>
        <v>70</v>
      </c>
      <c r="Z174" s="36">
        <f>IFERROR(IF(X174="","",X174*0.00941),"")</f>
        <v>0.65869999999999995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147.126</v>
      </c>
      <c r="BN174" s="67">
        <f>IFERROR(Y174*I174,"0")</f>
        <v>147.126</v>
      </c>
      <c r="BO174" s="67">
        <f>IFERROR(X174/J174,"0")</f>
        <v>0.5</v>
      </c>
      <c r="BP174" s="67">
        <f>IFERROR(Y174/J174,"0")</f>
        <v>0.5</v>
      </c>
    </row>
    <row r="175" spans="1:68" x14ac:dyDescent="0.2">
      <c r="A175" s="307"/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308"/>
      <c r="P175" s="286" t="s">
        <v>87</v>
      </c>
      <c r="Q175" s="287"/>
      <c r="R175" s="287"/>
      <c r="S175" s="287"/>
      <c r="T175" s="287"/>
      <c r="U175" s="287"/>
      <c r="V175" s="288"/>
      <c r="W175" s="37" t="s">
        <v>68</v>
      </c>
      <c r="X175" s="280">
        <f>IFERROR(SUM(X174:X174),"0")</f>
        <v>70</v>
      </c>
      <c r="Y175" s="280">
        <f>IFERROR(SUM(Y174:Y174),"0")</f>
        <v>70</v>
      </c>
      <c r="Z175" s="280">
        <f>IFERROR(IF(Z174="",0,Z174),"0")</f>
        <v>0.65869999999999995</v>
      </c>
      <c r="AA175" s="281"/>
      <c r="AB175" s="281"/>
      <c r="AC175" s="281"/>
    </row>
    <row r="176" spans="1:68" x14ac:dyDescent="0.2">
      <c r="A176" s="296"/>
      <c r="B176" s="296"/>
      <c r="C176" s="296"/>
      <c r="D176" s="296"/>
      <c r="E176" s="296"/>
      <c r="F176" s="296"/>
      <c r="G176" s="296"/>
      <c r="H176" s="296"/>
      <c r="I176" s="296"/>
      <c r="J176" s="296"/>
      <c r="K176" s="296"/>
      <c r="L176" s="296"/>
      <c r="M176" s="296"/>
      <c r="N176" s="296"/>
      <c r="O176" s="308"/>
      <c r="P176" s="286" t="s">
        <v>87</v>
      </c>
      <c r="Q176" s="287"/>
      <c r="R176" s="287"/>
      <c r="S176" s="287"/>
      <c r="T176" s="287"/>
      <c r="U176" s="287"/>
      <c r="V176" s="288"/>
      <c r="W176" s="37" t="s">
        <v>88</v>
      </c>
      <c r="X176" s="280">
        <f>IFERROR(SUMPRODUCT(X174:X174*H174:H174),"0")</f>
        <v>117.6</v>
      </c>
      <c r="Y176" s="280">
        <f>IFERROR(SUMPRODUCT(Y174:Y174*H174:H174),"0")</f>
        <v>117.6</v>
      </c>
      <c r="Z176" s="37"/>
      <c r="AA176" s="281"/>
      <c r="AB176" s="281"/>
      <c r="AC176" s="281"/>
    </row>
    <row r="177" spans="1:68" ht="27.75" hidden="1" customHeight="1" x14ac:dyDescent="0.2">
      <c r="A177" s="338" t="s">
        <v>258</v>
      </c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  <c r="AA177" s="48"/>
      <c r="AB177" s="48"/>
      <c r="AC177" s="48"/>
    </row>
    <row r="178" spans="1:68" ht="16.5" hidden="1" customHeight="1" x14ac:dyDescent="0.25">
      <c r="A178" s="295" t="s">
        <v>259</v>
      </c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73"/>
      <c r="AB178" s="273"/>
      <c r="AC178" s="273"/>
    </row>
    <row r="179" spans="1:68" ht="14.25" hidden="1" customHeight="1" x14ac:dyDescent="0.25">
      <c r="A179" s="310" t="s">
        <v>97</v>
      </c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4">
        <v>4620207490631</v>
      </c>
      <c r="E180" s="285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419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0"/>
      <c r="R180" s="290"/>
      <c r="S180" s="290"/>
      <c r="T180" s="291"/>
      <c r="U180" s="34"/>
      <c r="V180" s="34"/>
      <c r="W180" s="35" t="s">
        <v>68</v>
      </c>
      <c r="X180" s="278">
        <v>24</v>
      </c>
      <c r="Y180" s="279">
        <f>IFERROR(IF(X180="","",X180),"")</f>
        <v>24</v>
      </c>
      <c r="Z180" s="36">
        <f>IFERROR(IF(X180="","",X180*0.0155),"")</f>
        <v>0.372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149.64000000000001</v>
      </c>
      <c r="BN180" s="67">
        <f>IFERROR(Y180*I180,"0")</f>
        <v>149.64000000000001</v>
      </c>
      <c r="BO180" s="67">
        <f>IFERROR(X180/J180,"0")</f>
        <v>0.2857142857142857</v>
      </c>
      <c r="BP180" s="67">
        <f>IFERROR(Y180/J180,"0")</f>
        <v>0.2857142857142857</v>
      </c>
    </row>
    <row r="181" spans="1:68" x14ac:dyDescent="0.2">
      <c r="A181" s="307"/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308"/>
      <c r="P181" s="286" t="s">
        <v>87</v>
      </c>
      <c r="Q181" s="287"/>
      <c r="R181" s="287"/>
      <c r="S181" s="287"/>
      <c r="T181" s="287"/>
      <c r="U181" s="287"/>
      <c r="V181" s="288"/>
      <c r="W181" s="37" t="s">
        <v>68</v>
      </c>
      <c r="X181" s="280">
        <f>IFERROR(SUM(X180:X180),"0")</f>
        <v>24</v>
      </c>
      <c r="Y181" s="280">
        <f>IFERROR(SUM(Y180:Y180),"0")</f>
        <v>24</v>
      </c>
      <c r="Z181" s="280">
        <f>IFERROR(IF(Z180="",0,Z180),"0")</f>
        <v>0.372</v>
      </c>
      <c r="AA181" s="281"/>
      <c r="AB181" s="281"/>
      <c r="AC181" s="281"/>
    </row>
    <row r="182" spans="1:68" x14ac:dyDescent="0.2">
      <c r="A182" s="296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308"/>
      <c r="P182" s="286" t="s">
        <v>87</v>
      </c>
      <c r="Q182" s="287"/>
      <c r="R182" s="287"/>
      <c r="S182" s="287"/>
      <c r="T182" s="287"/>
      <c r="U182" s="287"/>
      <c r="V182" s="288"/>
      <c r="W182" s="37" t="s">
        <v>88</v>
      </c>
      <c r="X182" s="280">
        <f>IFERROR(SUMPRODUCT(X180:X180*H180:H180),"0")</f>
        <v>144</v>
      </c>
      <c r="Y182" s="280">
        <f>IFERROR(SUMPRODUCT(Y180:Y180*H180:H180),"0")</f>
        <v>144</v>
      </c>
      <c r="Z182" s="37"/>
      <c r="AA182" s="281"/>
      <c r="AB182" s="281"/>
      <c r="AC182" s="281"/>
    </row>
    <row r="183" spans="1:68" ht="14.25" hidden="1" customHeight="1" x14ac:dyDescent="0.25">
      <c r="A183" s="310" t="s">
        <v>133</v>
      </c>
      <c r="B183" s="296"/>
      <c r="C183" s="296"/>
      <c r="D183" s="296"/>
      <c r="E183" s="296"/>
      <c r="F183" s="296"/>
      <c r="G183" s="296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4">
        <v>4607111039132</v>
      </c>
      <c r="E184" s="285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41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0"/>
      <c r="R184" s="290"/>
      <c r="S184" s="290"/>
      <c r="T184" s="291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307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308"/>
      <c r="P185" s="286" t="s">
        <v>87</v>
      </c>
      <c r="Q185" s="287"/>
      <c r="R185" s="287"/>
      <c r="S185" s="287"/>
      <c r="T185" s="287"/>
      <c r="U185" s="287"/>
      <c r="V185" s="288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308"/>
      <c r="P186" s="286" t="s">
        <v>87</v>
      </c>
      <c r="Q186" s="287"/>
      <c r="R186" s="287"/>
      <c r="S186" s="287"/>
      <c r="T186" s="287"/>
      <c r="U186" s="287"/>
      <c r="V186" s="288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5" t="s">
        <v>266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73"/>
      <c r="AB187" s="273"/>
      <c r="AC187" s="273"/>
    </row>
    <row r="188" spans="1:68" ht="14.25" hidden="1" customHeight="1" x14ac:dyDescent="0.25">
      <c r="A188" s="310" t="s">
        <v>62</v>
      </c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4">
        <v>4607111036384</v>
      </c>
      <c r="E189" s="285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0"/>
      <c r="R189" s="290"/>
      <c r="S189" s="290"/>
      <c r="T189" s="291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4">
        <v>4607111036216</v>
      </c>
      <c r="E190" s="285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0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0"/>
      <c r="R190" s="290"/>
      <c r="S190" s="290"/>
      <c r="T190" s="291"/>
      <c r="U190" s="34"/>
      <c r="V190" s="34"/>
      <c r="W190" s="35" t="s">
        <v>68</v>
      </c>
      <c r="X190" s="278">
        <v>156</v>
      </c>
      <c r="Y190" s="279">
        <f>IFERROR(IF(X190="","",X190),"")</f>
        <v>156</v>
      </c>
      <c r="Z190" s="36">
        <f>IFERROR(IF(X190="","",X190*0.00866),"")</f>
        <v>1.3509599999999999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813.25919999999996</v>
      </c>
      <c r="BN190" s="67">
        <f>IFERROR(Y190*I190,"0")</f>
        <v>813.25919999999996</v>
      </c>
      <c r="BO190" s="67">
        <f>IFERROR(X190/J190,"0")</f>
        <v>1.0833333333333333</v>
      </c>
      <c r="BP190" s="67">
        <f>IFERROR(Y190/J190,"0")</f>
        <v>1.0833333333333333</v>
      </c>
    </row>
    <row r="191" spans="1:68" x14ac:dyDescent="0.2">
      <c r="A191" s="307"/>
      <c r="B191" s="296"/>
      <c r="C191" s="296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308"/>
      <c r="P191" s="286" t="s">
        <v>87</v>
      </c>
      <c r="Q191" s="287"/>
      <c r="R191" s="287"/>
      <c r="S191" s="287"/>
      <c r="T191" s="287"/>
      <c r="U191" s="287"/>
      <c r="V191" s="288"/>
      <c r="W191" s="37" t="s">
        <v>68</v>
      </c>
      <c r="X191" s="280">
        <f>IFERROR(SUM(X189:X190),"0")</f>
        <v>156</v>
      </c>
      <c r="Y191" s="280">
        <f>IFERROR(SUM(Y189:Y190),"0")</f>
        <v>156</v>
      </c>
      <c r="Z191" s="280">
        <f>IFERROR(IF(Z189="",0,Z189),"0")+IFERROR(IF(Z190="",0,Z190),"0")</f>
        <v>1.3509599999999999</v>
      </c>
      <c r="AA191" s="281"/>
      <c r="AB191" s="281"/>
      <c r="AC191" s="281"/>
    </row>
    <row r="192" spans="1:68" x14ac:dyDescent="0.2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308"/>
      <c r="P192" s="286" t="s">
        <v>87</v>
      </c>
      <c r="Q192" s="287"/>
      <c r="R192" s="287"/>
      <c r="S192" s="287"/>
      <c r="T192" s="287"/>
      <c r="U192" s="287"/>
      <c r="V192" s="288"/>
      <c r="W192" s="37" t="s">
        <v>88</v>
      </c>
      <c r="X192" s="280">
        <f>IFERROR(SUMPRODUCT(X189:X190*H189:H190),"0")</f>
        <v>780</v>
      </c>
      <c r="Y192" s="280">
        <f>IFERROR(SUMPRODUCT(Y189:Y190*H189:H190),"0")</f>
        <v>780</v>
      </c>
      <c r="Z192" s="37"/>
      <c r="AA192" s="281"/>
      <c r="AB192" s="281"/>
      <c r="AC192" s="281"/>
    </row>
    <row r="193" spans="1:68" ht="16.5" hidden="1" customHeight="1" x14ac:dyDescent="0.25">
      <c r="A193" s="295" t="s">
        <v>273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73"/>
      <c r="AB193" s="273"/>
      <c r="AC193" s="273"/>
    </row>
    <row r="194" spans="1:68" ht="14.25" hidden="1" customHeight="1" x14ac:dyDescent="0.25">
      <c r="A194" s="310" t="s">
        <v>62</v>
      </c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72"/>
      <c r="AB194" s="272"/>
      <c r="AC194" s="272"/>
    </row>
    <row r="195" spans="1:68" ht="27" hidden="1" customHeight="1" x14ac:dyDescent="0.25">
      <c r="A195" s="54" t="s">
        <v>274</v>
      </c>
      <c r="B195" s="54" t="s">
        <v>275</v>
      </c>
      <c r="C195" s="31">
        <v>4301071117</v>
      </c>
      <c r="D195" s="284">
        <v>4620207491737</v>
      </c>
      <c r="E195" s="285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6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0"/>
      <c r="R195" s="290"/>
      <c r="S195" s="290"/>
      <c r="T195" s="291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IFERROR(IF(X195="","",X195*0.0155),"")</f>
        <v>0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307"/>
      <c r="B196" s="296"/>
      <c r="C196" s="296"/>
      <c r="D196" s="296"/>
      <c r="E196" s="296"/>
      <c r="F196" s="296"/>
      <c r="G196" s="296"/>
      <c r="H196" s="296"/>
      <c r="I196" s="296"/>
      <c r="J196" s="296"/>
      <c r="K196" s="296"/>
      <c r="L196" s="296"/>
      <c r="M196" s="296"/>
      <c r="N196" s="296"/>
      <c r="O196" s="308"/>
      <c r="P196" s="286" t="s">
        <v>87</v>
      </c>
      <c r="Q196" s="287"/>
      <c r="R196" s="287"/>
      <c r="S196" s="287"/>
      <c r="T196" s="287"/>
      <c r="U196" s="287"/>
      <c r="V196" s="288"/>
      <c r="W196" s="37" t="s">
        <v>68</v>
      </c>
      <c r="X196" s="280">
        <f>IFERROR(SUM(X195:X195),"0")</f>
        <v>0</v>
      </c>
      <c r="Y196" s="280">
        <f>IFERROR(SUM(Y195:Y195),"0")</f>
        <v>0</v>
      </c>
      <c r="Z196" s="280">
        <f>IFERROR(IF(Z195="",0,Z195),"0")</f>
        <v>0</v>
      </c>
      <c r="AA196" s="281"/>
      <c r="AB196" s="281"/>
      <c r="AC196" s="281"/>
    </row>
    <row r="197" spans="1:68" hidden="1" x14ac:dyDescent="0.2">
      <c r="A197" s="296"/>
      <c r="B197" s="296"/>
      <c r="C197" s="296"/>
      <c r="D197" s="296"/>
      <c r="E197" s="296"/>
      <c r="F197" s="296"/>
      <c r="G197" s="296"/>
      <c r="H197" s="296"/>
      <c r="I197" s="296"/>
      <c r="J197" s="296"/>
      <c r="K197" s="296"/>
      <c r="L197" s="296"/>
      <c r="M197" s="296"/>
      <c r="N197" s="296"/>
      <c r="O197" s="308"/>
      <c r="P197" s="286" t="s">
        <v>87</v>
      </c>
      <c r="Q197" s="287"/>
      <c r="R197" s="287"/>
      <c r="S197" s="287"/>
      <c r="T197" s="287"/>
      <c r="U197" s="287"/>
      <c r="V197" s="288"/>
      <c r="W197" s="37" t="s">
        <v>88</v>
      </c>
      <c r="X197" s="280">
        <f>IFERROR(SUMPRODUCT(X195:X195*H195:H195),"0")</f>
        <v>0</v>
      </c>
      <c r="Y197" s="280">
        <f>IFERROR(SUMPRODUCT(Y195:Y195*H195:H195),"0")</f>
        <v>0</v>
      </c>
      <c r="Z197" s="37"/>
      <c r="AA197" s="281"/>
      <c r="AB197" s="281"/>
      <c r="AC197" s="281"/>
    </row>
    <row r="198" spans="1:68" ht="27.75" hidden="1" customHeight="1" x14ac:dyDescent="0.2">
      <c r="A198" s="338" t="s">
        <v>276</v>
      </c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  <c r="AA198" s="48"/>
      <c r="AB198" s="48"/>
      <c r="AC198" s="48"/>
    </row>
    <row r="199" spans="1:68" ht="16.5" hidden="1" customHeight="1" x14ac:dyDescent="0.25">
      <c r="A199" s="295" t="s">
        <v>277</v>
      </c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73"/>
      <c r="AB199" s="273"/>
      <c r="AC199" s="273"/>
    </row>
    <row r="200" spans="1:68" ht="14.25" hidden="1" customHeight="1" x14ac:dyDescent="0.25">
      <c r="A200" s="310" t="s">
        <v>97</v>
      </c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4">
        <v>4607111035691</v>
      </c>
      <c r="E201" s="285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0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0"/>
      <c r="R201" s="290"/>
      <c r="S201" s="290"/>
      <c r="T201" s="291"/>
      <c r="U201" s="34"/>
      <c r="V201" s="34"/>
      <c r="W201" s="35" t="s">
        <v>68</v>
      </c>
      <c r="X201" s="278">
        <v>14</v>
      </c>
      <c r="Y201" s="279">
        <f>IFERROR(IF(X201="","",X201),"")</f>
        <v>14</v>
      </c>
      <c r="Z201" s="36">
        <f>IFERROR(IF(X201="","",X201*0.01788),"")</f>
        <v>0.25031999999999999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47.432000000000002</v>
      </c>
      <c r="BN201" s="67">
        <f>IFERROR(Y201*I201,"0")</f>
        <v>47.432000000000002</v>
      </c>
      <c r="BO201" s="67">
        <f>IFERROR(X201/J201,"0")</f>
        <v>0.2</v>
      </c>
      <c r="BP201" s="67">
        <f>IFERROR(Y201/J201,"0")</f>
        <v>0.2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4">
        <v>4607111035721</v>
      </c>
      <c r="E202" s="285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0"/>
      <c r="R202" s="290"/>
      <c r="S202" s="290"/>
      <c r="T202" s="291"/>
      <c r="U202" s="34"/>
      <c r="V202" s="34"/>
      <c r="W202" s="35" t="s">
        <v>68</v>
      </c>
      <c r="X202" s="278">
        <v>42</v>
      </c>
      <c r="Y202" s="279">
        <f>IFERROR(IF(X202="","",X202),"")</f>
        <v>42</v>
      </c>
      <c r="Z202" s="36">
        <f>IFERROR(IF(X202="","",X202*0.01788),"")</f>
        <v>0.75095999999999996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142.29599999999999</v>
      </c>
      <c r="BN202" s="67">
        <f>IFERROR(Y202*I202,"0")</f>
        <v>142.29599999999999</v>
      </c>
      <c r="BO202" s="67">
        <f>IFERROR(X202/J202,"0")</f>
        <v>0.6</v>
      </c>
      <c r="BP202" s="67">
        <f>IFERROR(Y202/J202,"0")</f>
        <v>0.6</v>
      </c>
    </row>
    <row r="203" spans="1:68" ht="27" hidden="1" customHeight="1" x14ac:dyDescent="0.25">
      <c r="A203" s="54" t="s">
        <v>284</v>
      </c>
      <c r="B203" s="54" t="s">
        <v>285</v>
      </c>
      <c r="C203" s="31">
        <v>4301132170</v>
      </c>
      <c r="D203" s="284">
        <v>4607111038487</v>
      </c>
      <c r="E203" s="285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0"/>
      <c r="R203" s="290"/>
      <c r="S203" s="290"/>
      <c r="T203" s="291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4">
        <v>4620207491195</v>
      </c>
      <c r="E204" s="285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0"/>
      <c r="R204" s="290"/>
      <c r="S204" s="290"/>
      <c r="T204" s="291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307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308"/>
      <c r="P205" s="286" t="s">
        <v>87</v>
      </c>
      <c r="Q205" s="287"/>
      <c r="R205" s="287"/>
      <c r="S205" s="287"/>
      <c r="T205" s="287"/>
      <c r="U205" s="287"/>
      <c r="V205" s="288"/>
      <c r="W205" s="37" t="s">
        <v>68</v>
      </c>
      <c r="X205" s="280">
        <f>IFERROR(SUM(X201:X204),"0")</f>
        <v>56</v>
      </c>
      <c r="Y205" s="280">
        <f>IFERROR(SUM(Y201:Y204),"0")</f>
        <v>56</v>
      </c>
      <c r="Z205" s="280">
        <f>IFERROR(IF(Z201="",0,Z201),"0")+IFERROR(IF(Z202="",0,Z202),"0")+IFERROR(IF(Z203="",0,Z203),"0")+IFERROR(IF(Z204="",0,Z204),"0")</f>
        <v>1.0012799999999999</v>
      </c>
      <c r="AA205" s="281"/>
      <c r="AB205" s="281"/>
      <c r="AC205" s="281"/>
    </row>
    <row r="206" spans="1:68" x14ac:dyDescent="0.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308"/>
      <c r="P206" s="286" t="s">
        <v>87</v>
      </c>
      <c r="Q206" s="287"/>
      <c r="R206" s="287"/>
      <c r="S206" s="287"/>
      <c r="T206" s="287"/>
      <c r="U206" s="287"/>
      <c r="V206" s="288"/>
      <c r="W206" s="37" t="s">
        <v>88</v>
      </c>
      <c r="X206" s="280">
        <f>IFERROR(SUMPRODUCT(X201:X204*H201:H204),"0")</f>
        <v>168</v>
      </c>
      <c r="Y206" s="280">
        <f>IFERROR(SUMPRODUCT(Y201:Y204*H201:H204),"0")</f>
        <v>168</v>
      </c>
      <c r="Z206" s="37"/>
      <c r="AA206" s="281"/>
      <c r="AB206" s="281"/>
      <c r="AC206" s="281"/>
    </row>
    <row r="207" spans="1:68" ht="27.75" hidden="1" customHeight="1" x14ac:dyDescent="0.2">
      <c r="A207" s="338" t="s">
        <v>290</v>
      </c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  <c r="AA207" s="48"/>
      <c r="AB207" s="48"/>
      <c r="AC207" s="48"/>
    </row>
    <row r="208" spans="1:68" ht="16.5" hidden="1" customHeight="1" x14ac:dyDescent="0.25">
      <c r="A208" s="295" t="s">
        <v>291</v>
      </c>
      <c r="B208" s="296"/>
      <c r="C208" s="296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73"/>
      <c r="AB208" s="273"/>
      <c r="AC208" s="273"/>
    </row>
    <row r="209" spans="1:68" ht="14.25" hidden="1" customHeight="1" x14ac:dyDescent="0.25">
      <c r="A209" s="310" t="s">
        <v>97</v>
      </c>
      <c r="B209" s="296"/>
      <c r="C209" s="296"/>
      <c r="D209" s="296"/>
      <c r="E209" s="296"/>
      <c r="F209" s="296"/>
      <c r="G209" s="296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72"/>
      <c r="AB209" s="272"/>
      <c r="AC209" s="272"/>
    </row>
    <row r="210" spans="1:68" ht="27" hidden="1" customHeight="1" x14ac:dyDescent="0.25">
      <c r="A210" s="54" t="s">
        <v>292</v>
      </c>
      <c r="B210" s="54" t="s">
        <v>293</v>
      </c>
      <c r="C210" s="31">
        <v>4301132227</v>
      </c>
      <c r="D210" s="284">
        <v>4620207491133</v>
      </c>
      <c r="E210" s="285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0"/>
      <c r="R210" s="290"/>
      <c r="S210" s="290"/>
      <c r="T210" s="291"/>
      <c r="U210" s="34"/>
      <c r="V210" s="34"/>
      <c r="W210" s="35" t="s">
        <v>68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307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308"/>
      <c r="P211" s="286" t="s">
        <v>87</v>
      </c>
      <c r="Q211" s="287"/>
      <c r="R211" s="287"/>
      <c r="S211" s="287"/>
      <c r="T211" s="287"/>
      <c r="U211" s="287"/>
      <c r="V211" s="288"/>
      <c r="W211" s="37" t="s">
        <v>68</v>
      </c>
      <c r="X211" s="280">
        <f>IFERROR(SUM(X210:X210),"0")</f>
        <v>0</v>
      </c>
      <c r="Y211" s="280">
        <f>IFERROR(SUM(Y210:Y210),"0")</f>
        <v>0</v>
      </c>
      <c r="Z211" s="280">
        <f>IFERROR(IF(Z210="",0,Z210),"0")</f>
        <v>0</v>
      </c>
      <c r="AA211" s="281"/>
      <c r="AB211" s="281"/>
      <c r="AC211" s="281"/>
    </row>
    <row r="212" spans="1:68" hidden="1" x14ac:dyDescent="0.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308"/>
      <c r="P212" s="286" t="s">
        <v>87</v>
      </c>
      <c r="Q212" s="287"/>
      <c r="R212" s="287"/>
      <c r="S212" s="287"/>
      <c r="T212" s="287"/>
      <c r="U212" s="287"/>
      <c r="V212" s="288"/>
      <c r="W212" s="37" t="s">
        <v>88</v>
      </c>
      <c r="X212" s="280">
        <f>IFERROR(SUMPRODUCT(X210:X210*H210:H210),"0")</f>
        <v>0</v>
      </c>
      <c r="Y212" s="280">
        <f>IFERROR(SUMPRODUCT(Y210:Y210*H210:H210),"0")</f>
        <v>0</v>
      </c>
      <c r="Z212" s="37"/>
      <c r="AA212" s="281"/>
      <c r="AB212" s="281"/>
      <c r="AC212" s="281"/>
    </row>
    <row r="213" spans="1:68" ht="14.25" hidden="1" customHeight="1" x14ac:dyDescent="0.25">
      <c r="A213" s="310" t="s">
        <v>133</v>
      </c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4">
        <v>4620207491188</v>
      </c>
      <c r="E214" s="285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4">
        <v>4620207490235</v>
      </c>
      <c r="E215" s="285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0"/>
      <c r="R215" s="290"/>
      <c r="S215" s="290"/>
      <c r="T215" s="291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4">
        <v>4620207490259</v>
      </c>
      <c r="E216" s="285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7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0"/>
      <c r="R216" s="290"/>
      <c r="S216" s="290"/>
      <c r="T216" s="291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307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308"/>
      <c r="P217" s="286" t="s">
        <v>87</v>
      </c>
      <c r="Q217" s="287"/>
      <c r="R217" s="287"/>
      <c r="S217" s="287"/>
      <c r="T217" s="287"/>
      <c r="U217" s="287"/>
      <c r="V217" s="288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96"/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308"/>
      <c r="P218" s="286" t="s">
        <v>87</v>
      </c>
      <c r="Q218" s="287"/>
      <c r="R218" s="287"/>
      <c r="S218" s="287"/>
      <c r="T218" s="287"/>
      <c r="U218" s="287"/>
      <c r="V218" s="288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5" t="s">
        <v>304</v>
      </c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73"/>
      <c r="AB219" s="273"/>
      <c r="AC219" s="273"/>
    </row>
    <row r="220" spans="1:68" ht="14.25" hidden="1" customHeight="1" x14ac:dyDescent="0.25">
      <c r="A220" s="310" t="s">
        <v>133</v>
      </c>
      <c r="B220" s="296"/>
      <c r="C220" s="296"/>
      <c r="D220" s="296"/>
      <c r="E220" s="296"/>
      <c r="F220" s="296"/>
      <c r="G220" s="296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4">
        <v>4620207491706</v>
      </c>
      <c r="E221" s="285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30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0"/>
      <c r="R221" s="290"/>
      <c r="S221" s="290"/>
      <c r="T221" s="291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4">
        <v>4620207491522</v>
      </c>
      <c r="E222" s="285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6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0"/>
      <c r="R222" s="290"/>
      <c r="S222" s="290"/>
      <c r="T222" s="291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307"/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308"/>
      <c r="P223" s="286" t="s">
        <v>87</v>
      </c>
      <c r="Q223" s="287"/>
      <c r="R223" s="287"/>
      <c r="S223" s="287"/>
      <c r="T223" s="287"/>
      <c r="U223" s="287"/>
      <c r="V223" s="288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96"/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308"/>
      <c r="P224" s="286" t="s">
        <v>87</v>
      </c>
      <c r="Q224" s="287"/>
      <c r="R224" s="287"/>
      <c r="S224" s="287"/>
      <c r="T224" s="287"/>
      <c r="U224" s="287"/>
      <c r="V224" s="288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5" t="s">
        <v>311</v>
      </c>
      <c r="B225" s="296"/>
      <c r="C225" s="296"/>
      <c r="D225" s="296"/>
      <c r="E225" s="296"/>
      <c r="F225" s="296"/>
      <c r="G225" s="296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73"/>
      <c r="AB225" s="273"/>
      <c r="AC225" s="273"/>
    </row>
    <row r="226" spans="1:68" ht="14.25" hidden="1" customHeight="1" x14ac:dyDescent="0.25">
      <c r="A226" s="310" t="s">
        <v>62</v>
      </c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72"/>
      <c r="AB226" s="272"/>
      <c r="AC226" s="272"/>
    </row>
    <row r="227" spans="1:68" ht="27" hidden="1" customHeight="1" x14ac:dyDescent="0.25">
      <c r="A227" s="54" t="s">
        <v>312</v>
      </c>
      <c r="B227" s="54" t="s">
        <v>313</v>
      </c>
      <c r="C227" s="31">
        <v>4301071097</v>
      </c>
      <c r="D227" s="284">
        <v>4620207491096</v>
      </c>
      <c r="E227" s="285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0"/>
      <c r="R227" s="290"/>
      <c r="S227" s="290"/>
      <c r="T227" s="291"/>
      <c r="U227" s="34"/>
      <c r="V227" s="34"/>
      <c r="W227" s="35" t="s">
        <v>68</v>
      </c>
      <c r="X227" s="278">
        <v>0</v>
      </c>
      <c r="Y227" s="279">
        <f>IFERROR(IF(X227="","",X227),"")</f>
        <v>0</v>
      </c>
      <c r="Z227" s="36">
        <f>IFERROR(IF(X227="","",X227*0.0155),"")</f>
        <v>0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307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308"/>
      <c r="P228" s="286" t="s">
        <v>87</v>
      </c>
      <c r="Q228" s="287"/>
      <c r="R228" s="287"/>
      <c r="S228" s="287"/>
      <c r="T228" s="287"/>
      <c r="U228" s="287"/>
      <c r="V228" s="288"/>
      <c r="W228" s="37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308"/>
      <c r="P229" s="286" t="s">
        <v>87</v>
      </c>
      <c r="Q229" s="287"/>
      <c r="R229" s="287"/>
      <c r="S229" s="287"/>
      <c r="T229" s="287"/>
      <c r="U229" s="287"/>
      <c r="V229" s="288"/>
      <c r="W229" s="37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7"/>
      <c r="AA229" s="281"/>
      <c r="AB229" s="281"/>
      <c r="AC229" s="281"/>
    </row>
    <row r="230" spans="1:68" ht="27.75" hidden="1" customHeight="1" x14ac:dyDescent="0.2">
      <c r="A230" s="338" t="s">
        <v>315</v>
      </c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48"/>
      <c r="AB230" s="48"/>
      <c r="AC230" s="48"/>
    </row>
    <row r="231" spans="1:68" ht="16.5" hidden="1" customHeight="1" x14ac:dyDescent="0.25">
      <c r="A231" s="295" t="s">
        <v>316</v>
      </c>
      <c r="B231" s="296"/>
      <c r="C231" s="296"/>
      <c r="D231" s="29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73"/>
      <c r="AB231" s="273"/>
      <c r="AC231" s="273"/>
    </row>
    <row r="232" spans="1:68" ht="14.25" hidden="1" customHeight="1" x14ac:dyDescent="0.25">
      <c r="A232" s="310" t="s">
        <v>62</v>
      </c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4">
        <v>4607111036162</v>
      </c>
      <c r="E233" s="285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0"/>
      <c r="R233" s="290"/>
      <c r="S233" s="290"/>
      <c r="T233" s="291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307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308"/>
      <c r="P234" s="286" t="s">
        <v>87</v>
      </c>
      <c r="Q234" s="287"/>
      <c r="R234" s="287"/>
      <c r="S234" s="287"/>
      <c r="T234" s="287"/>
      <c r="U234" s="287"/>
      <c r="V234" s="288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6"/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308"/>
      <c r="P235" s="286" t="s">
        <v>87</v>
      </c>
      <c r="Q235" s="287"/>
      <c r="R235" s="287"/>
      <c r="S235" s="287"/>
      <c r="T235" s="287"/>
      <c r="U235" s="287"/>
      <c r="V235" s="288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38" t="s">
        <v>320</v>
      </c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48"/>
      <c r="AB236" s="48"/>
      <c r="AC236" s="48"/>
    </row>
    <row r="237" spans="1:68" ht="16.5" hidden="1" customHeight="1" x14ac:dyDescent="0.25">
      <c r="A237" s="295" t="s">
        <v>321</v>
      </c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  <c r="AA237" s="273"/>
      <c r="AB237" s="273"/>
      <c r="AC237" s="273"/>
    </row>
    <row r="238" spans="1:68" ht="14.25" hidden="1" customHeight="1" x14ac:dyDescent="0.25">
      <c r="A238" s="310" t="s">
        <v>322</v>
      </c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4">
        <v>4607111039774</v>
      </c>
      <c r="E239" s="285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0"/>
      <c r="R239" s="290"/>
      <c r="S239" s="290"/>
      <c r="T239" s="291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307"/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308"/>
      <c r="P240" s="286" t="s">
        <v>87</v>
      </c>
      <c r="Q240" s="287"/>
      <c r="R240" s="287"/>
      <c r="S240" s="287"/>
      <c r="T240" s="287"/>
      <c r="U240" s="287"/>
      <c r="V240" s="288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96"/>
      <c r="B241" s="296"/>
      <c r="C241" s="296"/>
      <c r="D241" s="296"/>
      <c r="E241" s="296"/>
      <c r="F241" s="296"/>
      <c r="G241" s="296"/>
      <c r="H241" s="296"/>
      <c r="I241" s="296"/>
      <c r="J241" s="296"/>
      <c r="K241" s="296"/>
      <c r="L241" s="296"/>
      <c r="M241" s="296"/>
      <c r="N241" s="296"/>
      <c r="O241" s="308"/>
      <c r="P241" s="286" t="s">
        <v>87</v>
      </c>
      <c r="Q241" s="287"/>
      <c r="R241" s="287"/>
      <c r="S241" s="287"/>
      <c r="T241" s="287"/>
      <c r="U241" s="287"/>
      <c r="V241" s="288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10" t="s">
        <v>133</v>
      </c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4">
        <v>4607111039361</v>
      </c>
      <c r="E243" s="285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39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0"/>
      <c r="R243" s="290"/>
      <c r="S243" s="290"/>
      <c r="T243" s="291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307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308"/>
      <c r="P244" s="286" t="s">
        <v>87</v>
      </c>
      <c r="Q244" s="287"/>
      <c r="R244" s="287"/>
      <c r="S244" s="287"/>
      <c r="T244" s="287"/>
      <c r="U244" s="287"/>
      <c r="V244" s="288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6"/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308"/>
      <c r="P245" s="286" t="s">
        <v>87</v>
      </c>
      <c r="Q245" s="287"/>
      <c r="R245" s="287"/>
      <c r="S245" s="287"/>
      <c r="T245" s="287"/>
      <c r="U245" s="287"/>
      <c r="V245" s="288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38" t="s">
        <v>328</v>
      </c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48"/>
      <c r="AB246" s="48"/>
      <c r="AC246" s="48"/>
    </row>
    <row r="247" spans="1:68" ht="16.5" hidden="1" customHeight="1" x14ac:dyDescent="0.25">
      <c r="A247" s="295" t="s">
        <v>328</v>
      </c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73"/>
      <c r="AB247" s="273"/>
      <c r="AC247" s="273"/>
    </row>
    <row r="248" spans="1:68" ht="14.25" hidden="1" customHeight="1" x14ac:dyDescent="0.25">
      <c r="A248" s="310" t="s">
        <v>97</v>
      </c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4">
        <v>4640242181950</v>
      </c>
      <c r="E249" s="285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31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0"/>
      <c r="R249" s="290"/>
      <c r="S249" s="290"/>
      <c r="T249" s="291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307"/>
      <c r="B250" s="296"/>
      <c r="C250" s="296"/>
      <c r="D250" s="296"/>
      <c r="E250" s="296"/>
      <c r="F250" s="296"/>
      <c r="G250" s="296"/>
      <c r="H250" s="296"/>
      <c r="I250" s="296"/>
      <c r="J250" s="296"/>
      <c r="K250" s="296"/>
      <c r="L250" s="296"/>
      <c r="M250" s="296"/>
      <c r="N250" s="296"/>
      <c r="O250" s="308"/>
      <c r="P250" s="286" t="s">
        <v>87</v>
      </c>
      <c r="Q250" s="287"/>
      <c r="R250" s="287"/>
      <c r="S250" s="287"/>
      <c r="T250" s="287"/>
      <c r="U250" s="287"/>
      <c r="V250" s="288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308"/>
      <c r="P251" s="286" t="s">
        <v>87</v>
      </c>
      <c r="Q251" s="287"/>
      <c r="R251" s="287"/>
      <c r="S251" s="287"/>
      <c r="T251" s="287"/>
      <c r="U251" s="287"/>
      <c r="V251" s="288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10" t="s">
        <v>129</v>
      </c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4">
        <v>4640242181943</v>
      </c>
      <c r="E253" s="285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39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0"/>
      <c r="R253" s="290"/>
      <c r="S253" s="290"/>
      <c r="T253" s="291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307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308"/>
      <c r="P254" s="286" t="s">
        <v>87</v>
      </c>
      <c r="Q254" s="287"/>
      <c r="R254" s="287"/>
      <c r="S254" s="287"/>
      <c r="T254" s="287"/>
      <c r="U254" s="287"/>
      <c r="V254" s="288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308"/>
      <c r="P255" s="286" t="s">
        <v>87</v>
      </c>
      <c r="Q255" s="287"/>
      <c r="R255" s="287"/>
      <c r="S255" s="287"/>
      <c r="T255" s="287"/>
      <c r="U255" s="287"/>
      <c r="V255" s="288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38" t="s">
        <v>259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48"/>
      <c r="AB256" s="48"/>
      <c r="AC256" s="48"/>
    </row>
    <row r="257" spans="1:68" ht="16.5" hidden="1" customHeight="1" x14ac:dyDescent="0.25">
      <c r="A257" s="295" t="s">
        <v>259</v>
      </c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73"/>
      <c r="AB257" s="273"/>
      <c r="AC257" s="273"/>
    </row>
    <row r="258" spans="1:68" ht="14.25" hidden="1" customHeight="1" x14ac:dyDescent="0.25">
      <c r="A258" s="310" t="s">
        <v>62</v>
      </c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4">
        <v>4640242181264</v>
      </c>
      <c r="E259" s="285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4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0"/>
      <c r="R259" s="290"/>
      <c r="S259" s="290"/>
      <c r="T259" s="291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hidden="1" customHeight="1" x14ac:dyDescent="0.25">
      <c r="A260" s="54" t="s">
        <v>338</v>
      </c>
      <c r="B260" s="54" t="s">
        <v>339</v>
      </c>
      <c r="C260" s="31">
        <v>4301071141</v>
      </c>
      <c r="D260" s="284">
        <v>4620207491980</v>
      </c>
      <c r="E260" s="285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6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0"/>
      <c r="R260" s="290"/>
      <c r="S260" s="290"/>
      <c r="T260" s="291"/>
      <c r="U260" s="34"/>
      <c r="V260" s="34"/>
      <c r="W260" s="35" t="s">
        <v>68</v>
      </c>
      <c r="X260" s="278">
        <v>0</v>
      </c>
      <c r="Y260" s="279">
        <f>IFERROR(IF(X260="","",X260),"")</f>
        <v>0</v>
      </c>
      <c r="Z260" s="36">
        <f>IFERROR(IF(X260="","",X260*0.0155),"")</f>
        <v>0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0</v>
      </c>
      <c r="BN260" s="67">
        <f>IFERROR(Y260*I260,"0")</f>
        <v>0</v>
      </c>
      <c r="BO260" s="67">
        <f>IFERROR(X260/J260,"0")</f>
        <v>0</v>
      </c>
      <c r="BP260" s="67">
        <f>IFERROR(Y260/J260,"0")</f>
        <v>0</v>
      </c>
    </row>
    <row r="261" spans="1:68" hidden="1" x14ac:dyDescent="0.2">
      <c r="A261" s="307"/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308"/>
      <c r="P261" s="286" t="s">
        <v>87</v>
      </c>
      <c r="Q261" s="287"/>
      <c r="R261" s="287"/>
      <c r="S261" s="287"/>
      <c r="T261" s="287"/>
      <c r="U261" s="287"/>
      <c r="V261" s="288"/>
      <c r="W261" s="37" t="s">
        <v>68</v>
      </c>
      <c r="X261" s="280">
        <f>IFERROR(SUM(X259:X260),"0")</f>
        <v>0</v>
      </c>
      <c r="Y261" s="280">
        <f>IFERROR(SUM(Y259:Y260),"0")</f>
        <v>0</v>
      </c>
      <c r="Z261" s="280">
        <f>IFERROR(IF(Z259="",0,Z259),"0")+IFERROR(IF(Z260="",0,Z260),"0")</f>
        <v>0</v>
      </c>
      <c r="AA261" s="281"/>
      <c r="AB261" s="281"/>
      <c r="AC261" s="281"/>
    </row>
    <row r="262" spans="1:68" hidden="1" x14ac:dyDescent="0.2">
      <c r="A262" s="296"/>
      <c r="B262" s="296"/>
      <c r="C262" s="296"/>
      <c r="D262" s="296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308"/>
      <c r="P262" s="286" t="s">
        <v>87</v>
      </c>
      <c r="Q262" s="287"/>
      <c r="R262" s="287"/>
      <c r="S262" s="287"/>
      <c r="T262" s="287"/>
      <c r="U262" s="287"/>
      <c r="V262" s="288"/>
      <c r="W262" s="37" t="s">
        <v>88</v>
      </c>
      <c r="X262" s="280">
        <f>IFERROR(SUMPRODUCT(X259:X260*H259:H260),"0")</f>
        <v>0</v>
      </c>
      <c r="Y262" s="280">
        <f>IFERROR(SUMPRODUCT(Y259:Y260*H259:H260),"0")</f>
        <v>0</v>
      </c>
      <c r="Z262" s="37"/>
      <c r="AA262" s="281"/>
      <c r="AB262" s="281"/>
      <c r="AC262" s="281"/>
    </row>
    <row r="263" spans="1:68" ht="14.25" hidden="1" customHeight="1" x14ac:dyDescent="0.25">
      <c r="A263" s="310" t="s">
        <v>129</v>
      </c>
      <c r="B263" s="296"/>
      <c r="C263" s="296"/>
      <c r="D263" s="296"/>
      <c r="E263" s="296"/>
      <c r="F263" s="296"/>
      <c r="G263" s="296"/>
      <c r="H263" s="296"/>
      <c r="I263" s="296"/>
      <c r="J263" s="296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4">
        <v>4620207492147</v>
      </c>
      <c r="E264" s="285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6" t="s">
        <v>343</v>
      </c>
      <c r="Q264" s="290"/>
      <c r="R264" s="290"/>
      <c r="S264" s="290"/>
      <c r="T264" s="291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4">
        <v>4620207492154</v>
      </c>
      <c r="E265" s="285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3" t="s">
        <v>346</v>
      </c>
      <c r="Q265" s="290"/>
      <c r="R265" s="290"/>
      <c r="S265" s="290"/>
      <c r="T265" s="291"/>
      <c r="U265" s="34"/>
      <c r="V265" s="34"/>
      <c r="W265" s="35" t="s">
        <v>68</v>
      </c>
      <c r="X265" s="278">
        <v>168</v>
      </c>
      <c r="Y265" s="279">
        <f>IFERROR(IF(X265="","",X265),"")</f>
        <v>168</v>
      </c>
      <c r="Z265" s="36">
        <f>IFERROR(IF(X265="","",X265*0.0155),"")</f>
        <v>2.6040000000000001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879.48</v>
      </c>
      <c r="BN265" s="67">
        <f>IFERROR(Y265*I265,"0")</f>
        <v>879.48</v>
      </c>
      <c r="BO265" s="67">
        <f>IFERROR(X265/J265,"0")</f>
        <v>2</v>
      </c>
      <c r="BP265" s="67">
        <f>IFERROR(Y265/J265,"0")</f>
        <v>2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4">
        <v>4620207492086</v>
      </c>
      <c r="E266" s="285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9" t="s">
        <v>349</v>
      </c>
      <c r="Q266" s="290"/>
      <c r="R266" s="290"/>
      <c r="S266" s="290"/>
      <c r="T266" s="291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307"/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308"/>
      <c r="P267" s="286" t="s">
        <v>87</v>
      </c>
      <c r="Q267" s="287"/>
      <c r="R267" s="287"/>
      <c r="S267" s="287"/>
      <c r="T267" s="287"/>
      <c r="U267" s="287"/>
      <c r="V267" s="288"/>
      <c r="W267" s="37" t="s">
        <v>68</v>
      </c>
      <c r="X267" s="280">
        <f>IFERROR(SUM(X264:X266),"0")</f>
        <v>168</v>
      </c>
      <c r="Y267" s="280">
        <f>IFERROR(SUM(Y264:Y266),"0")</f>
        <v>168</v>
      </c>
      <c r="Z267" s="280">
        <f>IFERROR(IF(Z264="",0,Z264),"0")+IFERROR(IF(Z265="",0,Z265),"0")+IFERROR(IF(Z266="",0,Z266),"0")</f>
        <v>2.6040000000000001</v>
      </c>
      <c r="AA267" s="281"/>
      <c r="AB267" s="281"/>
      <c r="AC267" s="281"/>
    </row>
    <row r="268" spans="1:68" x14ac:dyDescent="0.2">
      <c r="A268" s="296"/>
      <c r="B268" s="296"/>
      <c r="C268" s="296"/>
      <c r="D268" s="296"/>
      <c r="E268" s="296"/>
      <c r="F268" s="296"/>
      <c r="G268" s="296"/>
      <c r="H268" s="296"/>
      <c r="I268" s="296"/>
      <c r="J268" s="296"/>
      <c r="K268" s="296"/>
      <c r="L268" s="296"/>
      <c r="M268" s="296"/>
      <c r="N268" s="296"/>
      <c r="O268" s="308"/>
      <c r="P268" s="286" t="s">
        <v>87</v>
      </c>
      <c r="Q268" s="287"/>
      <c r="R268" s="287"/>
      <c r="S268" s="287"/>
      <c r="T268" s="287"/>
      <c r="U268" s="287"/>
      <c r="V268" s="288"/>
      <c r="W268" s="37" t="s">
        <v>88</v>
      </c>
      <c r="X268" s="280">
        <f>IFERROR(SUMPRODUCT(X264:X266*H264:H266),"0")</f>
        <v>840</v>
      </c>
      <c r="Y268" s="280">
        <f>IFERROR(SUMPRODUCT(Y264:Y266*H264:H266),"0")</f>
        <v>840</v>
      </c>
      <c r="Z268" s="37"/>
      <c r="AA268" s="281"/>
      <c r="AB268" s="281"/>
      <c r="AC268" s="281"/>
    </row>
    <row r="269" spans="1:68" ht="14.25" hidden="1" customHeight="1" x14ac:dyDescent="0.25">
      <c r="A269" s="310" t="s">
        <v>133</v>
      </c>
      <c r="B269" s="296"/>
      <c r="C269" s="296"/>
      <c r="D269" s="296"/>
      <c r="E269" s="296"/>
      <c r="F269" s="296"/>
      <c r="G269" s="296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  <c r="AA269" s="272"/>
      <c r="AB269" s="272"/>
      <c r="AC269" s="272"/>
    </row>
    <row r="270" spans="1:68" ht="16.5" hidden="1" customHeight="1" x14ac:dyDescent="0.25">
      <c r="A270" s="54" t="s">
        <v>350</v>
      </c>
      <c r="B270" s="54" t="s">
        <v>351</v>
      </c>
      <c r="C270" s="31">
        <v>4301137066</v>
      </c>
      <c r="D270" s="284">
        <v>4620207492109</v>
      </c>
      <c r="E270" s="285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35" t="s">
        <v>352</v>
      </c>
      <c r="Q270" s="290"/>
      <c r="R270" s="290"/>
      <c r="S270" s="290"/>
      <c r="T270" s="291"/>
      <c r="U270" s="34"/>
      <c r="V270" s="34"/>
      <c r="W270" s="35" t="s">
        <v>68</v>
      </c>
      <c r="X270" s="278">
        <v>0</v>
      </c>
      <c r="Y270" s="279">
        <f t="shared" ref="Y270:Y280" si="18">IFERROR(IF(X270="","",X270),"")</f>
        <v>0</v>
      </c>
      <c r="Z270" s="36">
        <f>IFERROR(IF(X270="","",X270*0.0155),"")</f>
        <v>0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0</v>
      </c>
      <c r="BN270" s="67">
        <f t="shared" ref="BN270:BN280" si="20">IFERROR(Y270*I270,"0")</f>
        <v>0</v>
      </c>
      <c r="BO270" s="67">
        <f t="shared" ref="BO270:BO280" si="21">IFERROR(X270/J270,"0")</f>
        <v>0</v>
      </c>
      <c r="BP270" s="67">
        <f t="shared" ref="BP270:BP280" si="22">IFERROR(Y270/J270,"0")</f>
        <v>0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4">
        <v>4620207492161</v>
      </c>
      <c r="E271" s="285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21" t="s">
        <v>356</v>
      </c>
      <c r="Q271" s="290"/>
      <c r="R271" s="290"/>
      <c r="S271" s="290"/>
      <c r="T271" s="291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4">
        <v>4620207492222</v>
      </c>
      <c r="E272" s="285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2" t="s">
        <v>360</v>
      </c>
      <c r="Q272" s="290"/>
      <c r="R272" s="290"/>
      <c r="S272" s="290"/>
      <c r="T272" s="291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362</v>
      </c>
      <c r="B273" s="54" t="s">
        <v>363</v>
      </c>
      <c r="C273" s="31">
        <v>4301137046</v>
      </c>
      <c r="D273" s="284">
        <v>4620207492093</v>
      </c>
      <c r="E273" s="285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14" t="s">
        <v>364</v>
      </c>
      <c r="Q273" s="290"/>
      <c r="R273" s="290"/>
      <c r="S273" s="290"/>
      <c r="T273" s="291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ref="Z273:Z280" si="23">IFERROR(IF(X273="","",X273*0.00936),"")</f>
        <v>0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4">
        <v>4620207492116</v>
      </c>
      <c r="E274" s="285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64" t="s">
        <v>367</v>
      </c>
      <c r="Q274" s="290"/>
      <c r="R274" s="290"/>
      <c r="S274" s="290"/>
      <c r="T274" s="291"/>
      <c r="U274" s="34"/>
      <c r="V274" s="34"/>
      <c r="W274" s="35" t="s">
        <v>68</v>
      </c>
      <c r="X274" s="278">
        <v>14</v>
      </c>
      <c r="Y274" s="279">
        <f t="shared" si="18"/>
        <v>14</v>
      </c>
      <c r="Z274" s="36">
        <f t="shared" si="23"/>
        <v>0.13103999999999999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44.688000000000002</v>
      </c>
      <c r="BN274" s="67">
        <f t="shared" si="20"/>
        <v>44.688000000000002</v>
      </c>
      <c r="BO274" s="67">
        <f t="shared" si="21"/>
        <v>0.1111111111111111</v>
      </c>
      <c r="BP274" s="67">
        <f t="shared" si="22"/>
        <v>0.1111111111111111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4">
        <v>4640242181486</v>
      </c>
      <c r="E275" s="285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1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0"/>
      <c r="R275" s="290"/>
      <c r="S275" s="290"/>
      <c r="T275" s="291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4">
        <v>4620207492123</v>
      </c>
      <c r="E276" s="285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3" t="s">
        <v>373</v>
      </c>
      <c r="Q276" s="290"/>
      <c r="R276" s="290"/>
      <c r="S276" s="290"/>
      <c r="T276" s="291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4">
        <v>4620207492130</v>
      </c>
      <c r="E277" s="285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4" t="s">
        <v>376</v>
      </c>
      <c r="Q277" s="290"/>
      <c r="R277" s="290"/>
      <c r="S277" s="290"/>
      <c r="T277" s="291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4">
        <v>4640242181240</v>
      </c>
      <c r="E278" s="285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3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0"/>
      <c r="R278" s="290"/>
      <c r="S278" s="290"/>
      <c r="T278" s="291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4">
        <v>4640242181318</v>
      </c>
      <c r="E279" s="285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0"/>
      <c r="R279" s="290"/>
      <c r="S279" s="290"/>
      <c r="T279" s="291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4">
        <v>4620207491935</v>
      </c>
      <c r="E280" s="285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7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0"/>
      <c r="R280" s="290"/>
      <c r="S280" s="290"/>
      <c r="T280" s="291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307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08"/>
      <c r="P281" s="286" t="s">
        <v>87</v>
      </c>
      <c r="Q281" s="287"/>
      <c r="R281" s="287"/>
      <c r="S281" s="287"/>
      <c r="T281" s="287"/>
      <c r="U281" s="287"/>
      <c r="V281" s="288"/>
      <c r="W281" s="37" t="s">
        <v>68</v>
      </c>
      <c r="X281" s="280">
        <f>IFERROR(SUM(X270:X280),"0")</f>
        <v>14</v>
      </c>
      <c r="Y281" s="280">
        <f>IFERROR(SUM(Y270:Y280),"0")</f>
        <v>14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0.13103999999999999</v>
      </c>
      <c r="AA281" s="281"/>
      <c r="AB281" s="281"/>
      <c r="AC281" s="281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08"/>
      <c r="P282" s="286" t="s">
        <v>87</v>
      </c>
      <c r="Q282" s="287"/>
      <c r="R282" s="287"/>
      <c r="S282" s="287"/>
      <c r="T282" s="287"/>
      <c r="U282" s="287"/>
      <c r="V282" s="288"/>
      <c r="W282" s="37" t="s">
        <v>88</v>
      </c>
      <c r="X282" s="280">
        <f>IFERROR(SUMPRODUCT(X270:X280*H270:H280),"0")</f>
        <v>42</v>
      </c>
      <c r="Y282" s="280">
        <f>IFERROR(SUMPRODUCT(Y270:Y280*H270:H280),"0")</f>
        <v>42</v>
      </c>
      <c r="Z282" s="37"/>
      <c r="AA282" s="281"/>
      <c r="AB282" s="281"/>
      <c r="AC282" s="281"/>
    </row>
    <row r="283" spans="1:68" ht="15" customHeight="1" x14ac:dyDescent="0.2">
      <c r="A283" s="470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78"/>
      <c r="P283" s="375" t="s">
        <v>384</v>
      </c>
      <c r="Q283" s="336"/>
      <c r="R283" s="336"/>
      <c r="S283" s="336"/>
      <c r="T283" s="336"/>
      <c r="U283" s="336"/>
      <c r="V283" s="337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5655.6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5655.6</v>
      </c>
      <c r="Z283" s="37"/>
      <c r="AA283" s="281"/>
      <c r="AB283" s="281"/>
      <c r="AC283" s="281"/>
    </row>
    <row r="284" spans="1:68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78"/>
      <c r="P284" s="375" t="s">
        <v>385</v>
      </c>
      <c r="Q284" s="336"/>
      <c r="R284" s="336"/>
      <c r="S284" s="336"/>
      <c r="T284" s="336"/>
      <c r="U284" s="336"/>
      <c r="V284" s="337"/>
      <c r="W284" s="37" t="s">
        <v>88</v>
      </c>
      <c r="X284" s="280">
        <f>IFERROR(SUM(BM22:BM280),"0")</f>
        <v>6112.2144000000008</v>
      </c>
      <c r="Y284" s="280">
        <f>IFERROR(SUM(BN22:BN280),"0")</f>
        <v>6112.2144000000008</v>
      </c>
      <c r="Z284" s="37"/>
      <c r="AA284" s="281"/>
      <c r="AB284" s="281"/>
      <c r="AC284" s="281"/>
    </row>
    <row r="285" spans="1:68" x14ac:dyDescent="0.2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78"/>
      <c r="P285" s="375" t="s">
        <v>386</v>
      </c>
      <c r="Q285" s="336"/>
      <c r="R285" s="336"/>
      <c r="S285" s="336"/>
      <c r="T285" s="336"/>
      <c r="U285" s="336"/>
      <c r="V285" s="337"/>
      <c r="W285" s="37" t="s">
        <v>387</v>
      </c>
      <c r="X285" s="38">
        <f>ROUNDUP(SUM(BO22:BO280),0)</f>
        <v>14</v>
      </c>
      <c r="Y285" s="38">
        <f>ROUNDUP(SUM(BP22:BP280),0)</f>
        <v>14</v>
      </c>
      <c r="Z285" s="37"/>
      <c r="AA285" s="281"/>
      <c r="AB285" s="281"/>
      <c r="AC285" s="281"/>
    </row>
    <row r="286" spans="1:68" x14ac:dyDescent="0.2">
      <c r="A286" s="296"/>
      <c r="B286" s="296"/>
      <c r="C286" s="296"/>
      <c r="D286" s="296"/>
      <c r="E286" s="296"/>
      <c r="F286" s="296"/>
      <c r="G286" s="296"/>
      <c r="H286" s="296"/>
      <c r="I286" s="296"/>
      <c r="J286" s="296"/>
      <c r="K286" s="296"/>
      <c r="L286" s="296"/>
      <c r="M286" s="296"/>
      <c r="N286" s="296"/>
      <c r="O286" s="378"/>
      <c r="P286" s="375" t="s">
        <v>388</v>
      </c>
      <c r="Q286" s="336"/>
      <c r="R286" s="336"/>
      <c r="S286" s="336"/>
      <c r="T286" s="336"/>
      <c r="U286" s="336"/>
      <c r="V286" s="337"/>
      <c r="W286" s="37" t="s">
        <v>88</v>
      </c>
      <c r="X286" s="280">
        <f>GrossWeightTotal+PalletQtyTotal*25</f>
        <v>6462.2144000000008</v>
      </c>
      <c r="Y286" s="280">
        <f>GrossWeightTotalR+PalletQtyTotalR*25</f>
        <v>6462.2144000000008</v>
      </c>
      <c r="Z286" s="37"/>
      <c r="AA286" s="281"/>
      <c r="AB286" s="281"/>
      <c r="AC286" s="281"/>
    </row>
    <row r="287" spans="1:68" x14ac:dyDescent="0.2">
      <c r="A287" s="296"/>
      <c r="B287" s="296"/>
      <c r="C287" s="296"/>
      <c r="D287" s="296"/>
      <c r="E287" s="296"/>
      <c r="F287" s="296"/>
      <c r="G287" s="296"/>
      <c r="H287" s="296"/>
      <c r="I287" s="296"/>
      <c r="J287" s="296"/>
      <c r="K287" s="296"/>
      <c r="L287" s="296"/>
      <c r="M287" s="296"/>
      <c r="N287" s="296"/>
      <c r="O287" s="378"/>
      <c r="P287" s="375" t="s">
        <v>389</v>
      </c>
      <c r="Q287" s="336"/>
      <c r="R287" s="336"/>
      <c r="S287" s="336"/>
      <c r="T287" s="336"/>
      <c r="U287" s="336"/>
      <c r="V287" s="337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1284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1284</v>
      </c>
      <c r="Z287" s="37"/>
      <c r="AA287" s="281"/>
      <c r="AB287" s="281"/>
      <c r="AC287" s="281"/>
    </row>
    <row r="288" spans="1:68" ht="14.25" hidden="1" customHeight="1" x14ac:dyDescent="0.2">
      <c r="A288" s="296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96"/>
      <c r="O288" s="378"/>
      <c r="P288" s="375" t="s">
        <v>390</v>
      </c>
      <c r="Q288" s="336"/>
      <c r="R288" s="336"/>
      <c r="S288" s="336"/>
      <c r="T288" s="336"/>
      <c r="U288" s="336"/>
      <c r="V288" s="337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17.07854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2" t="s">
        <v>61</v>
      </c>
      <c r="C290" s="390"/>
      <c r="D290" s="312" t="s">
        <v>95</v>
      </c>
      <c r="E290" s="399"/>
      <c r="F290" s="399"/>
      <c r="G290" s="399"/>
      <c r="H290" s="399"/>
      <c r="I290" s="399"/>
      <c r="J290" s="399"/>
      <c r="K290" s="399"/>
      <c r="L290" s="399"/>
      <c r="M290" s="399"/>
      <c r="N290" s="399"/>
      <c r="O290" s="399"/>
      <c r="P290" s="399"/>
      <c r="Q290" s="399"/>
      <c r="R290" s="399"/>
      <c r="S290" s="399"/>
      <c r="T290" s="399"/>
      <c r="U290" s="390"/>
      <c r="V290" s="312" t="s">
        <v>258</v>
      </c>
      <c r="W290" s="399"/>
      <c r="X290" s="390"/>
      <c r="Y290" s="270" t="s">
        <v>276</v>
      </c>
      <c r="Z290" s="312" t="s">
        <v>290</v>
      </c>
      <c r="AA290" s="399"/>
      <c r="AB290" s="390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4" t="s">
        <v>393</v>
      </c>
      <c r="B291" s="312" t="s">
        <v>61</v>
      </c>
      <c r="C291" s="312" t="s">
        <v>89</v>
      </c>
      <c r="D291" s="312" t="s">
        <v>96</v>
      </c>
      <c r="E291" s="312" t="s">
        <v>107</v>
      </c>
      <c r="F291" s="312" t="s">
        <v>114</v>
      </c>
      <c r="G291" s="312" t="s">
        <v>125</v>
      </c>
      <c r="H291" s="312" t="s">
        <v>141</v>
      </c>
      <c r="I291" s="312" t="s">
        <v>148</v>
      </c>
      <c r="J291" s="312" t="s">
        <v>152</v>
      </c>
      <c r="K291" s="312" t="s">
        <v>160</v>
      </c>
      <c r="L291" s="312" t="s">
        <v>175</v>
      </c>
      <c r="M291" s="312" t="s">
        <v>181</v>
      </c>
      <c r="N291" s="271"/>
      <c r="O291" s="312" t="s">
        <v>207</v>
      </c>
      <c r="P291" s="312" t="s">
        <v>229</v>
      </c>
      <c r="Q291" s="312" t="s">
        <v>235</v>
      </c>
      <c r="R291" s="312" t="s">
        <v>241</v>
      </c>
      <c r="S291" s="312" t="s">
        <v>248</v>
      </c>
      <c r="T291" s="312" t="s">
        <v>251</v>
      </c>
      <c r="U291" s="312" t="s">
        <v>255</v>
      </c>
      <c r="V291" s="312" t="s">
        <v>259</v>
      </c>
      <c r="W291" s="312" t="s">
        <v>266</v>
      </c>
      <c r="X291" s="312" t="s">
        <v>273</v>
      </c>
      <c r="Y291" s="312" t="s">
        <v>277</v>
      </c>
      <c r="Z291" s="312" t="s">
        <v>291</v>
      </c>
      <c r="AA291" s="312" t="s">
        <v>304</v>
      </c>
      <c r="AB291" s="312" t="s">
        <v>311</v>
      </c>
      <c r="AC291" s="312" t="s">
        <v>316</v>
      </c>
      <c r="AD291" s="312" t="s">
        <v>321</v>
      </c>
      <c r="AE291" s="312" t="s">
        <v>328</v>
      </c>
      <c r="AF291" s="312" t="s">
        <v>259</v>
      </c>
    </row>
    <row r="292" spans="1:32" ht="13.5" customHeight="1" thickBot="1" x14ac:dyDescent="0.25">
      <c r="A292" s="405"/>
      <c r="B292" s="313"/>
      <c r="C292" s="313"/>
      <c r="D292" s="313"/>
      <c r="E292" s="313"/>
      <c r="F292" s="313"/>
      <c r="G292" s="313"/>
      <c r="H292" s="313"/>
      <c r="I292" s="313"/>
      <c r="J292" s="313"/>
      <c r="K292" s="313"/>
      <c r="L292" s="313"/>
      <c r="M292" s="313"/>
      <c r="N292" s="271"/>
      <c r="O292" s="313"/>
      <c r="P292" s="313"/>
      <c r="Q292" s="313"/>
      <c r="R292" s="313"/>
      <c r="S292" s="313"/>
      <c r="T292" s="313"/>
      <c r="U292" s="313"/>
      <c r="V292" s="313"/>
      <c r="W292" s="313"/>
      <c r="X292" s="313"/>
      <c r="Y292" s="313"/>
      <c r="Z292" s="313"/>
      <c r="AA292" s="313"/>
      <c r="AB292" s="313"/>
      <c r="AC292" s="313"/>
      <c r="AD292" s="313"/>
      <c r="AE292" s="313"/>
      <c r="AF292" s="313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547.20000000000005</v>
      </c>
      <c r="C293" s="46">
        <f>IFERROR(X34*H34,"0")+IFERROR(X35*H35,"0")</f>
        <v>0</v>
      </c>
      <c r="D293" s="46">
        <f>IFERROR(X41*H41,"0")+IFERROR(X42*H42,"0")</f>
        <v>105</v>
      </c>
      <c r="E293" s="46">
        <f>IFERROR(X47*H47,"0")+IFERROR(X48*H48,"0")</f>
        <v>0</v>
      </c>
      <c r="F293" s="46">
        <f>IFERROR(X53*H53,"0")+IFERROR(X54*H54,"0")+IFERROR(X55*H55,"0")+IFERROR(X56*H56,"0")</f>
        <v>336</v>
      </c>
      <c r="G293" s="46">
        <f>IFERROR(X61*H61,"0")+IFERROR(X65*H65,"0")+IFERROR(X69*H69,"0")+IFERROR(X70*H70,"0")+IFERROR(X71*H71,"0")</f>
        <v>16.8</v>
      </c>
      <c r="H293" s="46">
        <f>IFERROR(X76*H76,"0")+IFERROR(X77*H77,"0")</f>
        <v>600</v>
      </c>
      <c r="I293" s="46">
        <f>IFERROR(X82*H82,"0")</f>
        <v>0</v>
      </c>
      <c r="J293" s="46">
        <f>IFERROR(X87*H87,"0")+IFERROR(X88*H88,"0")</f>
        <v>252</v>
      </c>
      <c r="K293" s="46">
        <f>IFERROR(X93*H93,"0")+IFERROR(X94*H94,"0")+IFERROR(X95*H95,"0")+IFERROR(X96*H96,"0")+IFERROR(X97*H97,"0")+IFERROR(X98*H98,"0")</f>
        <v>241.92000000000002</v>
      </c>
      <c r="L293" s="46">
        <f>IFERROR(X103*H103,"0")+IFERROR(X104*H104,"0")</f>
        <v>0</v>
      </c>
      <c r="M293" s="46">
        <f>IFERROR(X109*H109,"0")+IFERROR(X110*H110,"0")+IFERROR(X111*H111,"0")+IFERROR(X112*H112,"0")+IFERROR(X113*H113,"0")+IFERROR(X114*H114,"0")+IFERROR(X115*H115,"0")+IFERROR(X119*H119,"0")+IFERROR(X123*H123,"0")</f>
        <v>1224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115.08</v>
      </c>
      <c r="P293" s="46">
        <f>IFERROR(X146*H146,"0")+IFERROR(X147*H147,"0")</f>
        <v>84</v>
      </c>
      <c r="Q293" s="46">
        <f>IFERROR(X152*H152,"0")+IFERROR(X153*H153,"0")</f>
        <v>42</v>
      </c>
      <c r="R293" s="46">
        <f>IFERROR(X158*H158,"0")+IFERROR(X159*H159,"0")</f>
        <v>0</v>
      </c>
      <c r="S293" s="46">
        <f>IFERROR(X164*H164,"0")</f>
        <v>0</v>
      </c>
      <c r="T293" s="46">
        <f>IFERROR(X169*H169,"0")</f>
        <v>0</v>
      </c>
      <c r="U293" s="46">
        <f>IFERROR(X174*H174,"0")</f>
        <v>117.6</v>
      </c>
      <c r="V293" s="46">
        <f>IFERROR(X180*H180,"0")+IFERROR(X184*H184,"0")</f>
        <v>144</v>
      </c>
      <c r="W293" s="46">
        <f>IFERROR(X189*H189,"0")+IFERROR(X190*H190,"0")</f>
        <v>780</v>
      </c>
      <c r="X293" s="46">
        <f>IFERROR(X195*H195,"0")</f>
        <v>0</v>
      </c>
      <c r="Y293" s="46">
        <f>IFERROR(X201*H201,"0")+IFERROR(X202*H202,"0")+IFERROR(X203*H203,"0")+IFERROR(X204*H204,"0")</f>
        <v>168</v>
      </c>
      <c r="Z293" s="46">
        <f>IFERROR(X210*H210,"0")+IFERROR(X214*H214,"0")+IFERROR(X215*H215,"0")+IFERROR(X216*H216,"0")</f>
        <v>0</v>
      </c>
      <c r="AA293" s="46">
        <f>IFERROR(X221*H221,"0")+IFERROR(X222*H222,"0")</f>
        <v>0</v>
      </c>
      <c r="AB293" s="46">
        <f>IFERROR(X227*H227,"0")</f>
        <v>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882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3487.2</v>
      </c>
      <c r="B296" s="60">
        <f>SUMPRODUCT(--(BB:BB="ПГП"),--(W:W="кор"),H:H,Y:Y)+SUMPRODUCT(--(BB:BB="ПГП"),--(W:W="кг"),Y:Y)</f>
        <v>2168.4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24,00"/>
        <filter val="1 284,00"/>
        <filter val="105,00"/>
        <filter val="115,08"/>
        <filter val="117,60"/>
        <filter val="12,00"/>
        <filter val="120,00"/>
        <filter val="14"/>
        <filter val="14,00"/>
        <filter val="144,00"/>
        <filter val="156,00"/>
        <filter val="16,80"/>
        <filter val="168,00"/>
        <filter val="180,00"/>
        <filter val="24,00"/>
        <filter val="241,92"/>
        <filter val="252,00"/>
        <filter val="28,00"/>
        <filter val="336,00"/>
        <filter val="42,00"/>
        <filter val="48,00"/>
        <filter val="5 655,60"/>
        <filter val="547,20"/>
        <filter val="56,00"/>
        <filter val="6 112,21"/>
        <filter val="6 462,21"/>
        <filter val="600,00"/>
        <filter val="70,00"/>
        <filter val="780,00"/>
        <filter val="84,00"/>
        <filter val="840,0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U17:V17"/>
    <mergeCell ref="Y17:Y18"/>
    <mergeCell ref="M17:M18"/>
    <mergeCell ref="O17:O18"/>
    <mergeCell ref="P223:V223"/>
    <mergeCell ref="A248:Z248"/>
    <mergeCell ref="A247:Z247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P78:V78"/>
    <mergeCell ref="P205:V205"/>
    <mergeCell ref="D22:E22"/>
    <mergeCell ref="A157:Z157"/>
    <mergeCell ref="A62:O63"/>
    <mergeCell ref="H5:M5"/>
    <mergeCell ref="P31:V31"/>
    <mergeCell ref="P25:T25"/>
    <mergeCell ref="A142:O143"/>
    <mergeCell ref="D239:E239"/>
    <mergeCell ref="D95:E95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A228:O229"/>
    <mergeCell ref="P98:T98"/>
    <mergeCell ref="D146:E146"/>
    <mergeCell ref="P287:V287"/>
    <mergeCell ref="P281:V281"/>
    <mergeCell ref="D164:E164"/>
    <mergeCell ref="D270:E270"/>
    <mergeCell ref="P285:V285"/>
    <mergeCell ref="P174:T174"/>
    <mergeCell ref="D266:E26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D227:E227"/>
    <mergeCell ref="P262:V262"/>
    <mergeCell ref="A9:C9"/>
    <mergeCell ref="H10:M10"/>
    <mergeCell ref="Q13:R13"/>
    <mergeCell ref="P27:T27"/>
    <mergeCell ref="P181:V181"/>
    <mergeCell ref="Q9:R9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A151:Z151"/>
    <mergeCell ref="P154:V154"/>
    <mergeCell ref="P255:V255"/>
    <mergeCell ref="P34:T34"/>
    <mergeCell ref="P214:T214"/>
    <mergeCell ref="P192:V192"/>
    <mergeCell ref="A191:O192"/>
    <mergeCell ref="P129:V129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P268:V268"/>
    <mergeCell ref="P201:T201"/>
    <mergeCell ref="A220:Z220"/>
    <mergeCell ref="P139:T139"/>
    <mergeCell ref="D204:E204"/>
    <mergeCell ref="A252:Z252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V290:X290"/>
    <mergeCell ref="D169:E169"/>
    <mergeCell ref="P132:T132"/>
    <mergeCell ref="P190:T190"/>
    <mergeCell ref="P240:V240"/>
    <mergeCell ref="P111:T111"/>
    <mergeCell ref="P61:T61"/>
    <mergeCell ref="P48:T48"/>
    <mergeCell ref="A105:O106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P49:V49"/>
    <mergeCell ref="P36:V36"/>
    <mergeCell ref="A78:O79"/>
    <mergeCell ref="P241:V241"/>
    <mergeCell ref="P105:V105"/>
    <mergeCell ref="P99:V99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B291:B292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A234:O235"/>
    <mergeCell ref="P275:T275"/>
    <mergeCell ref="P235:V235"/>
    <mergeCell ref="P245:V245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A258:Z258"/>
    <mergeCell ref="X291:X292"/>
    <mergeCell ref="D291:D292"/>
    <mergeCell ref="E291:E292"/>
    <mergeCell ref="P267:V267"/>
    <mergeCell ref="K291:K292"/>
    <mergeCell ref="D273:E273"/>
    <mergeCell ref="U291:U292"/>
    <mergeCell ref="P276:T276"/>
    <mergeCell ref="P270:T270"/>
    <mergeCell ref="P284:V284"/>
    <mergeCell ref="P278:T278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P37:V37"/>
    <mergeCell ref="P104:T104"/>
    <mergeCell ref="B17:B18"/>
    <mergeCell ref="P143:V143"/>
    <mergeCell ref="A52:Z52"/>
    <mergeCell ref="A60:Z60"/>
    <mergeCell ref="A165:O166"/>
    <mergeCell ref="D174:E174"/>
    <mergeCell ref="H9:I9"/>
    <mergeCell ref="P224:V224"/>
    <mergeCell ref="P89:V89"/>
    <mergeCell ref="P211:V211"/>
    <mergeCell ref="J9:M9"/>
    <mergeCell ref="D203:E203"/>
    <mergeCell ref="P165:V165"/>
    <mergeCell ref="P30:V30"/>
    <mergeCell ref="P159:T159"/>
    <mergeCell ref="D140:E140"/>
    <mergeCell ref="P96:T96"/>
    <mergeCell ref="H17:H18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A150:Z150"/>
    <mergeCell ref="A144:Z144"/>
    <mergeCell ref="A120:O121"/>
    <mergeCell ref="P23:T23"/>
    <mergeCell ref="A12:M12"/>
    <mergeCell ref="A19:Z19"/>
    <mergeCell ref="A14:M1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2026-10-09T12:43:53Z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