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09CA61-78B9-4838-99DB-5F623F0328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X267" i="1"/>
  <c r="BP266" i="1"/>
  <c r="BO266" i="1"/>
  <c r="BM266" i="1"/>
  <c r="Z266" i="1"/>
  <c r="Y266" i="1"/>
  <c r="BN266" i="1" s="1"/>
  <c r="BO265" i="1"/>
  <c r="BN265" i="1"/>
  <c r="BM265" i="1"/>
  <c r="Z265" i="1"/>
  <c r="Y265" i="1"/>
  <c r="BP265" i="1" s="1"/>
  <c r="BP264" i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O222" i="1"/>
  <c r="BN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N203" i="1"/>
  <c r="BM203" i="1"/>
  <c r="Z203" i="1"/>
  <c r="Y203" i="1"/>
  <c r="BP203" i="1" s="1"/>
  <c r="P203" i="1"/>
  <c r="BO202" i="1"/>
  <c r="BM202" i="1"/>
  <c r="Z202" i="1"/>
  <c r="Y202" i="1"/>
  <c r="P202" i="1"/>
  <c r="BO201" i="1"/>
  <c r="BN201" i="1"/>
  <c r="BM201" i="1"/>
  <c r="Z201" i="1"/>
  <c r="Y201" i="1"/>
  <c r="BP201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N158" i="1"/>
  <c r="BM158" i="1"/>
  <c r="Z158" i="1"/>
  <c r="Y158" i="1"/>
  <c r="BP158" i="1" s="1"/>
  <c r="P158" i="1"/>
  <c r="X155" i="1"/>
  <c r="X154" i="1"/>
  <c r="BO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N146" i="1" s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O135" i="1"/>
  <c r="BN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N133" i="1"/>
  <c r="BM133" i="1"/>
  <c r="Z133" i="1"/>
  <c r="Y133" i="1"/>
  <c r="BP133" i="1" s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N103" i="1"/>
  <c r="BM103" i="1"/>
  <c r="Z103" i="1"/>
  <c r="Y103" i="1"/>
  <c r="BP103" i="1" s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P93" i="1"/>
  <c r="X90" i="1"/>
  <c r="X89" i="1"/>
  <c r="BO88" i="1"/>
  <c r="BM88" i="1"/>
  <c r="Z88" i="1"/>
  <c r="Y88" i="1"/>
  <c r="BP88" i="1" s="1"/>
  <c r="P88" i="1"/>
  <c r="BP87" i="1"/>
  <c r="BO87" i="1"/>
  <c r="BM87" i="1"/>
  <c r="Z87" i="1"/>
  <c r="Z89" i="1" s="1"/>
  <c r="Y87" i="1"/>
  <c r="BN87" i="1" s="1"/>
  <c r="P87" i="1"/>
  <c r="X84" i="1"/>
  <c r="Y83" i="1"/>
  <c r="X83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P70" i="1"/>
  <c r="BO70" i="1"/>
  <c r="BM70" i="1"/>
  <c r="Z70" i="1"/>
  <c r="Z72" i="1" s="1"/>
  <c r="Y70" i="1"/>
  <c r="BN70" i="1" s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N48" i="1"/>
  <c r="BM48" i="1"/>
  <c r="Z48" i="1"/>
  <c r="Y48" i="1"/>
  <c r="BP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BP22" i="1" s="1"/>
  <c r="P22" i="1"/>
  <c r="H10" i="1"/>
  <c r="F9" i="1"/>
  <c r="A9" i="1"/>
  <c r="A10" i="1" s="1"/>
  <c r="D7" i="1"/>
  <c r="Q6" i="1"/>
  <c r="P2" i="1"/>
  <c r="J9" i="1" l="1"/>
  <c r="Z148" i="1"/>
  <c r="BP146" i="1"/>
  <c r="BP195" i="1"/>
  <c r="F10" i="1"/>
  <c r="Z30" i="1"/>
  <c r="BP82" i="1"/>
  <c r="Z99" i="1"/>
  <c r="Z105" i="1"/>
  <c r="BN264" i="1"/>
  <c r="Z154" i="1"/>
  <c r="Z160" i="1"/>
  <c r="BN195" i="1"/>
  <c r="Y196" i="1"/>
  <c r="Z205" i="1"/>
  <c r="Y268" i="1"/>
  <c r="BP26" i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4" i="1"/>
  <c r="Y287" i="1"/>
  <c r="Y286" i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<sst xmlns="http://schemas.openxmlformats.org/spreadsheetml/2006/main" count="1315" uniqueCount="436">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</sst>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46308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412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Вторник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5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0.41666666666666669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12</v>
      </c>
      <c r="Y53" s="27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12</v>
      </c>
      <c r="Y57" s="280">
        <f>IFERROR(SUM(Y53:Y56),"0")</f>
        <v>12</v>
      </c>
      <c r="Z57" s="280">
        <f>IFERROR(IF(Z53="",0,Z53),"0")+IFERROR(IF(Z54="",0,Z54),"0")+IFERROR(IF(Z55="",0,Z55),"0")+IFERROR(IF(Z56="",0,Z56),"0")</f>
        <v>0.186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84</v>
      </c>
      <c r="Y58" s="280">
        <f>IFERROR(SUMPRODUCT(Y53:Y56*H53:H56),"0")</f>
        <v>84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28</v>
      </c>
      <c r="Y71" s="279">
        <f>IFERROR(IF(X71="","",X71),"")</f>
        <v>28</v>
      </c>
      <c r="Z71" s="36">
        <f>IFERROR(IF(X71="","",X71*0.00941),"")</f>
        <v>0.26347999999999999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43.68</v>
      </c>
      <c r="BN71" s="67">
        <f>IFERROR(Y71*I71,"0")</f>
        <v>43.68</v>
      </c>
      <c r="BO71" s="67">
        <f>IFERROR(X71/J71,"0")</f>
        <v>0.2</v>
      </c>
      <c r="BP71" s="67">
        <f>IFERROR(Y71/J71,"0")</f>
        <v>0.2</v>
      </c>
    </row>
    <row r="72" spans="1:68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28</v>
      </c>
      <c r="Y72" s="280">
        <f>IFERROR(SUM(Y69:Y71),"0")</f>
        <v>28</v>
      </c>
      <c r="Z72" s="280">
        <f>IFERROR(IF(Z69="",0,Z69),"0")+IFERROR(IF(Z70="",0,Z70),"0")+IFERROR(IF(Z71="",0,Z71),"0")</f>
        <v>0.26347999999999999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33.6</v>
      </c>
      <c r="Y73" s="280">
        <f>IFERROR(SUMPRODUCT(Y69:Y71*H69:H71),"0")</f>
        <v>33.6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0</v>
      </c>
      <c r="Y78" s="280">
        <f>IFERROR(SUM(Y76:Y77),"0")</f>
        <v>0</v>
      </c>
      <c r="Z78" s="280">
        <f>IFERROR(IF(Z76="",0,Z76),"0")+IFERROR(IF(Z77="",0,Z77),"0")</f>
        <v>0</v>
      </c>
      <c r="AA78" s="281"/>
      <c r="AB78" s="281"/>
      <c r="AC78" s="281"/>
    </row>
    <row r="79" spans="1:68" hidden="1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0</v>
      </c>
      <c r="Y79" s="280">
        <f>IFERROR(SUMPRODUCT(Y76:Y77*H76:H77),"0")</f>
        <v>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56</v>
      </c>
      <c r="Y87" s="279">
        <f>IFERROR(IF(X87="","",X87),"")</f>
        <v>56</v>
      </c>
      <c r="Z87" s="36">
        <f>IFERROR(IF(X87="","",X87*0.01788),"")</f>
        <v>1.0012799999999999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241.00160000000002</v>
      </c>
      <c r="BN87" s="67">
        <f>IFERROR(Y87*I87,"0")</f>
        <v>241.00160000000002</v>
      </c>
      <c r="BO87" s="67">
        <f>IFERROR(X87/J87,"0")</f>
        <v>0.8</v>
      </c>
      <c r="BP87" s="67">
        <f>IFERROR(Y87/J87,"0")</f>
        <v>0.8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84</v>
      </c>
      <c r="Y89" s="280">
        <f>IFERROR(SUM(Y87:Y88),"0")</f>
        <v>84</v>
      </c>
      <c r="Z89" s="280">
        <f>IFERROR(IF(Z87="",0,Z87),"0")+IFERROR(IF(Z88="",0,Z88),"0")</f>
        <v>1.5019199999999999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302.39999999999998</v>
      </c>
      <c r="Y90" s="280">
        <f>IFERROR(SUMPRODUCT(Y87:Y88*H87:H88),"0")</f>
        <v>302.39999999999998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42</v>
      </c>
      <c r="Y96" s="279">
        <f t="shared" si="6"/>
        <v>42</v>
      </c>
      <c r="Z96" s="36">
        <f t="shared" si="7"/>
        <v>0.75095999999999996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161.28</v>
      </c>
      <c r="Y100" s="280">
        <f>IFERROR(SUMPRODUCT(Y93:Y98*H93:H98),"0")</f>
        <v>161.28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96</v>
      </c>
      <c r="Y115" s="279">
        <f t="shared" si="12"/>
        <v>96</v>
      </c>
      <c r="Z115" s="36">
        <f t="shared" si="13"/>
        <v>1.488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700.8</v>
      </c>
      <c r="BN115" s="67">
        <f t="shared" si="15"/>
        <v>700.8</v>
      </c>
      <c r="BO115" s="67">
        <f t="shared" si="16"/>
        <v>1.1428571428571428</v>
      </c>
      <c r="BP115" s="67">
        <f t="shared" si="17"/>
        <v>1.1428571428571428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156</v>
      </c>
      <c r="Y116" s="280">
        <f>IFERROR(SUM(Y109:Y115),"0")</f>
        <v>156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2.4180000000000001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1084.8</v>
      </c>
      <c r="Y117" s="280">
        <f>IFERROR(SUMPRODUCT(Y109:Y115*H109:H115),"0")</f>
        <v>1084.8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70</v>
      </c>
      <c r="Y132" s="279">
        <f>IFERROR(IF(X132="","",X132),"")</f>
        <v>70</v>
      </c>
      <c r="Z132" s="36">
        <f>IFERROR(IF(X132="","",X132*0.00941),"")</f>
        <v>0.65869999999999995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126</v>
      </c>
      <c r="BN132" s="67">
        <f>IFERROR(Y132*I132,"0")</f>
        <v>126</v>
      </c>
      <c r="BO132" s="67">
        <f>IFERROR(X132/J132,"0")</f>
        <v>0.5</v>
      </c>
      <c r="BP132" s="67">
        <f>IFERROR(Y132/J132,"0")</f>
        <v>0.5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0.65869999999999995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96.6</v>
      </c>
      <c r="Y137" s="280">
        <f>IFERROR(SUMPRODUCT(Y132:Y135*H132:H135),"0")</f>
        <v>96.6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28</v>
      </c>
      <c r="Y146" s="27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103.70079999999999</v>
      </c>
      <c r="BN146" s="67">
        <f>IFERROR(Y146*I146,"0")</f>
        <v>103.70079999999999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84</v>
      </c>
      <c r="Y148" s="280">
        <f>IFERROR(SUM(Y146:Y147),"0")</f>
        <v>84</v>
      </c>
      <c r="Z148" s="280">
        <f>IFERROR(IF(Z146="",0,Z146),"0")+IFERROR(IF(Z147="",0,Z147),"0")</f>
        <v>1.5019199999999999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252</v>
      </c>
      <c r="Y149" s="280">
        <f>IFERROR(SUMPRODUCT(Y146:Y147*H146:H147),"0")</f>
        <v>252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14</v>
      </c>
      <c r="Y153" s="279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14</v>
      </c>
      <c r="Y154" s="280">
        <f>IFERROR(SUM(Y152:Y153),"0")</f>
        <v>14</v>
      </c>
      <c r="Z154" s="280">
        <f>IFERROR(IF(Z152="",0,Z152),"0")+IFERROR(IF(Z153="",0,Z153),"0")</f>
        <v>0.25031999999999999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42</v>
      </c>
      <c r="Y155" s="280">
        <f>IFERROR(SUMPRODUCT(Y152:Y153*H152:H153),"0")</f>
        <v>42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132</v>
      </c>
      <c r="Y195" s="279">
        <f>IFERROR(IF(X195="","",X195),"")</f>
        <v>132</v>
      </c>
      <c r="Z195" s="36">
        <f>IFERROR(IF(X195="","",X195*0.0155),"")</f>
        <v>2.0459999999999998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694.58399999999995</v>
      </c>
      <c r="BN195" s="67">
        <f>IFERROR(Y195*I195,"0")</f>
        <v>694.58399999999995</v>
      </c>
      <c r="BO195" s="67">
        <f>IFERROR(X195/J195,"0")</f>
        <v>1.5714285714285714</v>
      </c>
      <c r="BP195" s="67">
        <f>IFERROR(Y195/J195,"0")</f>
        <v>1.5714285714285714</v>
      </c>
    </row>
    <row r="196" spans="1:68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132</v>
      </c>
      <c r="Y196" s="280">
        <f>IFERROR(SUM(Y195:Y195),"0")</f>
        <v>132</v>
      </c>
      <c r="Z196" s="280">
        <f>IFERROR(IF(Z195="",0,Z195),"0")</f>
        <v>2.0459999999999998</v>
      </c>
      <c r="AA196" s="281"/>
      <c r="AB196" s="281"/>
      <c r="AC196" s="281"/>
    </row>
    <row r="197" spans="1:68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660</v>
      </c>
      <c r="Y197" s="280">
        <f>IFERROR(SUMPRODUCT(Y195:Y195*H195:H195),"0")</f>
        <v>660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42</v>
      </c>
      <c r="Y202" s="279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142.29599999999999</v>
      </c>
      <c r="BN202" s="67">
        <f>IFERROR(Y202*I202,"0")</f>
        <v>142.29599999999999</v>
      </c>
      <c r="BO202" s="67">
        <f>IFERROR(X202/J202,"0")</f>
        <v>0.6</v>
      </c>
      <c r="BP202" s="67">
        <f>IFERROR(Y202/J202,"0")</f>
        <v>0.6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1.75224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84</v>
      </c>
      <c r="Y227" s="279">
        <f>IFERROR(IF(X227="","",X227),"")</f>
        <v>84</v>
      </c>
      <c r="Z227" s="36">
        <f>IFERROR(IF(X227="","",X227*0.0155),"")</f>
        <v>1.302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439.32000000000005</v>
      </c>
      <c r="BN227" s="67">
        <f>IFERROR(Y227*I227,"0")</f>
        <v>439.32000000000005</v>
      </c>
      <c r="BO227" s="67">
        <f>IFERROR(X227/J227,"0")</f>
        <v>1</v>
      </c>
      <c r="BP227" s="67">
        <f>IFERROR(Y227/J227,"0")</f>
        <v>1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84</v>
      </c>
      <c r="Y228" s="280">
        <f>IFERROR(SUM(Y227:Y227),"0")</f>
        <v>84</v>
      </c>
      <c r="Z228" s="280">
        <f>IFERROR(IF(Z227="",0,Z227),"0")</f>
        <v>1.302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420</v>
      </c>
      <c r="Y229" s="280">
        <f>IFERROR(SUMPRODUCT(Y227:Y227*H227:H227),"0")</f>
        <v>420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48</v>
      </c>
      <c r="Y260" s="279">
        <f>IFERROR(IF(X260="","",X260),"")</f>
        <v>48</v>
      </c>
      <c r="Z260" s="36">
        <f>IFERROR(IF(X260="","",X260*0.0155),"")</f>
        <v>0.74399999999999999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349.44</v>
      </c>
      <c r="BN260" s="67">
        <f>IFERROR(Y260*I260,"0")</f>
        <v>349.44</v>
      </c>
      <c r="BO260" s="67">
        <f>IFERROR(X260/J260,"0")</f>
        <v>0.5714285714285714</v>
      </c>
      <c r="BP260" s="67">
        <f>IFERROR(Y260/J260,"0")</f>
        <v>0.5714285714285714</v>
      </c>
    </row>
    <row r="261" spans="1:68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48</v>
      </c>
      <c r="Y261" s="280">
        <f>IFERROR(SUM(Y259:Y260),"0")</f>
        <v>48</v>
      </c>
      <c r="Z261" s="280">
        <f>IFERROR(IF(Z259="",0,Z259),"0")+IFERROR(IF(Z260="",0,Z260),"0")</f>
        <v>0.74399999999999999</v>
      </c>
      <c r="AA261" s="281"/>
      <c r="AB261" s="281"/>
      <c r="AC261" s="281"/>
    </row>
    <row r="262" spans="1:68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336</v>
      </c>
      <c r="Y262" s="280">
        <f>IFERROR(SUMPRODUCT(Y259:Y260*H259:H260),"0")</f>
        <v>336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112</v>
      </c>
      <c r="Y264" s="279">
        <f>IFERROR(IF(X264="","",X264),"")</f>
        <v>112</v>
      </c>
      <c r="Z264" s="36">
        <f>IFERROR(IF(X264="","",X264*0.00936),"")</f>
        <v>1.0483199999999999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323.74720000000002</v>
      </c>
      <c r="BN264" s="67">
        <f>IFERROR(Y264*I264,"0")</f>
        <v>323.74720000000002</v>
      </c>
      <c r="BO264" s="67">
        <f>IFERROR(X264/J264,"0")</f>
        <v>0.88888888888888884</v>
      </c>
      <c r="BP264" s="67">
        <f>IFERROR(Y264/J264,"0")</f>
        <v>0.88888888888888884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36</v>
      </c>
      <c r="Y265" s="279">
        <f>IFERROR(IF(X265="","",X265),"")</f>
        <v>36</v>
      </c>
      <c r="Z265" s="36">
        <f>IFERROR(IF(X265="","",X265*0.0155),"")</f>
        <v>0.55800000000000005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188.46</v>
      </c>
      <c r="BN265" s="67">
        <f>IFERROR(Y265*I265,"0")</f>
        <v>188.46</v>
      </c>
      <c r="BO265" s="67">
        <f>IFERROR(X265/J265,"0")</f>
        <v>0.42857142857142855</v>
      </c>
      <c r="BP265" s="67">
        <f>IFERROR(Y265/J265,"0")</f>
        <v>0.42857142857142855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148</v>
      </c>
      <c r="Y267" s="280">
        <f>IFERROR(SUM(Y264:Y266),"0")</f>
        <v>148</v>
      </c>
      <c r="Z267" s="280">
        <f>IFERROR(IF(Z264="",0,Z264),"0")+IFERROR(IF(Z265="",0,Z265),"0")+IFERROR(IF(Z266="",0,Z266),"0")</f>
        <v>1.60632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482.40000000000003</v>
      </c>
      <c r="Y268" s="280">
        <f>IFERROR(SUMPRODUCT(Y264:Y266*H264:H266),"0")</f>
        <v>482.40000000000003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70</v>
      </c>
      <c r="Y273" s="279">
        <f t="shared" si="18"/>
        <v>70</v>
      </c>
      <c r="Z273" s="36">
        <f t="shared" ref="Z273:Z280" si="23">IFERROR(IF(X273="","",X273*0.00936),"")</f>
        <v>0.6552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272.44</v>
      </c>
      <c r="BN273" s="67">
        <f t="shared" si="20"/>
        <v>272.44</v>
      </c>
      <c r="BO273" s="67">
        <f t="shared" si="21"/>
        <v>0.55555555555555558</v>
      </c>
      <c r="BP273" s="67">
        <f t="shared" si="22"/>
        <v>0.55555555555555558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42</v>
      </c>
      <c r="Y274" s="279">
        <f t="shared" si="18"/>
        <v>42</v>
      </c>
      <c r="Z274" s="36">
        <f t="shared" si="23"/>
        <v>0.39312000000000002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134.06400000000002</v>
      </c>
      <c r="BN274" s="67">
        <f t="shared" si="20"/>
        <v>134.06400000000002</v>
      </c>
      <c r="BO274" s="67">
        <f t="shared" si="21"/>
        <v>0.33333333333333331</v>
      </c>
      <c r="BP274" s="67">
        <f t="shared" si="22"/>
        <v>0.33333333333333331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136</v>
      </c>
      <c r="Y281" s="280">
        <f>IFERROR(SUM(Y270:Y280),"0")</f>
        <v>136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1.4203200000000002</v>
      </c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517</v>
      </c>
      <c r="Y282" s="280">
        <f>IFERROR(SUMPRODUCT(Y270:Y280*H270:H280),"0")</f>
        <v>517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5778.7599999999993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5778.7599999999993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6298.2403999999997</v>
      </c>
      <c r="Y284" s="280">
        <f>IFERROR(SUM(BN22:BN280),"0")</f>
        <v>6298.2403999999997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16</v>
      </c>
      <c r="Y285" s="38">
        <f>ROUNDUP(SUM(BP22:BP280),0)</f>
        <v>16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6698.2403999999997</v>
      </c>
      <c r="Y286" s="280">
        <f>GrossWeightTotalR+PalletQtyTotalR*25</f>
        <v>6698.2403999999997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1410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1410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20.185639999999999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307.20000000000005</v>
      </c>
      <c r="C293" s="46">
        <f>IFERROR(X34*H34,"0")+IFERROR(X35*H35,"0")</f>
        <v>0</v>
      </c>
      <c r="D293" s="46">
        <f>IFERROR(X41*H41,"0")+IFERROR(X42*H42,"0")</f>
        <v>63</v>
      </c>
      <c r="E293" s="46">
        <f>IFERROR(X47*H47,"0")+IFERROR(X48*H48,"0")</f>
        <v>134.39999999999998</v>
      </c>
      <c r="F293" s="46">
        <f>IFERROR(X53*H53,"0")+IFERROR(X54*H54,"0")+IFERROR(X55*H55,"0")+IFERROR(X56*H56,"0")</f>
        <v>84</v>
      </c>
      <c r="G293" s="46">
        <f>IFERROR(X61*H61,"0")+IFERROR(X65*H65,"0")+IFERROR(X69*H69,"0")+IFERROR(X70*H70,"0")+IFERROR(X71*H71,"0")</f>
        <v>33.6</v>
      </c>
      <c r="H293" s="46">
        <f>IFERROR(X76*H76,"0")+IFERROR(X77*H77,"0")</f>
        <v>0</v>
      </c>
      <c r="I293" s="46">
        <f>IFERROR(X82*H82,"0")</f>
        <v>50.4</v>
      </c>
      <c r="J293" s="46">
        <f>IFERROR(X87*H87,"0")+IFERROR(X88*H88,"0")</f>
        <v>302.39999999999998</v>
      </c>
      <c r="K293" s="46">
        <f>IFERROR(X93*H93,"0")+IFERROR(X94*H94,"0")+IFERROR(X95*H95,"0")+IFERROR(X96*H96,"0")+IFERROR(X97*H97,"0")+IFERROR(X98*H98,"0")</f>
        <v>161.28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1084.8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96.6</v>
      </c>
      <c r="P293" s="46">
        <f>IFERROR(X146*H146,"0")+IFERROR(X147*H147,"0")</f>
        <v>252</v>
      </c>
      <c r="Q293" s="46">
        <f>IFERROR(X152*H152,"0")+IFERROR(X153*H153,"0")</f>
        <v>42</v>
      </c>
      <c r="R293" s="46">
        <f>IFERROR(X158*H158,"0")+IFERROR(X159*H159,"0")</f>
        <v>33.6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288</v>
      </c>
      <c r="W293" s="46">
        <f>IFERROR(X189*H189,"0")+IFERROR(X190*H190,"0")</f>
        <v>0</v>
      </c>
      <c r="X293" s="46">
        <f>IFERROR(X195*H195,"0")</f>
        <v>660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420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1335.4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3026.4</v>
      </c>
      <c r="B296" s="60">
        <f>SUMPRODUCT(--(BB:BB="ПГП"),--(W:W="кор"),H:H,Y:Y)+SUMPRODUCT(--(BB:BB="ПГП"),--(W:W="кг"),Y:Y)</f>
        <v>2752.36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4,80"/>
        <filter val="1 410,00"/>
        <filter val="112,00"/>
        <filter val="12,00"/>
        <filter val="132,00"/>
        <filter val="134,40"/>
        <filter val="136,00"/>
        <filter val="14,00"/>
        <filter val="148,00"/>
        <filter val="156,00"/>
        <filter val="16"/>
        <filter val="161,28"/>
        <filter val="24,00"/>
        <filter val="252,00"/>
        <filter val="28,00"/>
        <filter val="288,00"/>
        <filter val="294,00"/>
        <filter val="302,40"/>
        <filter val="307,20"/>
        <filter val="33,60"/>
        <filter val="336,00"/>
        <filter val="36,00"/>
        <filter val="42,00"/>
        <filter val="420,00"/>
        <filter val="48,00"/>
        <filter val="482,40"/>
        <filter val="5 778,76"/>
        <filter val="50,40"/>
        <filter val="517,00"/>
        <filter val="56,00"/>
        <filter val="6 298,24"/>
        <filter val="6 698,24"/>
        <filter val="63,00"/>
        <filter val="660,00"/>
        <filter val="70,00"/>
        <filter val="84,00"/>
        <filter val="94,08"/>
        <filter val="96,00"/>
        <filter val="96,6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