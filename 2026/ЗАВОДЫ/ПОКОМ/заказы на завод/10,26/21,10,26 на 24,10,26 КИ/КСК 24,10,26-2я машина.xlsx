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0501EED-B69A-4BB5-BD34-B3FD3005CC3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Z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Z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Z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Z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P220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Z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Y148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N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Z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24" i="2" l="1"/>
  <c r="BN206" i="2"/>
  <c r="BN238" i="2"/>
  <c r="BN265" i="2"/>
  <c r="BN296" i="2"/>
  <c r="BN415" i="2"/>
  <c r="BN443" i="2"/>
  <c r="BN468" i="2"/>
  <c r="Y156" i="2"/>
  <c r="BN171" i="2"/>
  <c r="Y173" i="2"/>
  <c r="Z183" i="2"/>
  <c r="BP276" i="2"/>
  <c r="BN289" i="2"/>
  <c r="Z323" i="2"/>
  <c r="BN325" i="2"/>
  <c r="Z390" i="2"/>
  <c r="BN444" i="2"/>
  <c r="BP457" i="2"/>
  <c r="Y459" i="2"/>
  <c r="Z457" i="2"/>
  <c r="BN362" i="2"/>
  <c r="Z362" i="2"/>
  <c r="BN228" i="2"/>
  <c r="BN313" i="2"/>
  <c r="Z278" i="2"/>
  <c r="Z333" i="2"/>
  <c r="BN383" i="2"/>
  <c r="BN515" i="2"/>
  <c r="BN511" i="2"/>
  <c r="BN503" i="2"/>
  <c r="Z488" i="2"/>
  <c r="Z478" i="2"/>
  <c r="BP478" i="2"/>
  <c r="Z468" i="2"/>
  <c r="BP467" i="2"/>
  <c r="Z467" i="2"/>
  <c r="Y469" i="2"/>
  <c r="Z455" i="2"/>
  <c r="Y458" i="2"/>
  <c r="BP455" i="2"/>
  <c r="Z451" i="2"/>
  <c r="BP442" i="2"/>
  <c r="Z442" i="2"/>
  <c r="Z439" i="2"/>
  <c r="BP432" i="2"/>
  <c r="Z432" i="2"/>
  <c r="BP424" i="2"/>
  <c r="BN416" i="2"/>
  <c r="Z415" i="2"/>
  <c r="Z418" i="2" s="1"/>
  <c r="BN404" i="2"/>
  <c r="Z398" i="2"/>
  <c r="BP392" i="2"/>
  <c r="Z392" i="2"/>
  <c r="BN384" i="2"/>
  <c r="Z383" i="2"/>
  <c r="BP382" i="2"/>
  <c r="Z380" i="2"/>
  <c r="BN374" i="2"/>
  <c r="Z373" i="2"/>
  <c r="BP373" i="2"/>
  <c r="BP372" i="2"/>
  <c r="Z372" i="2"/>
  <c r="Z370" i="2"/>
  <c r="Y359" i="2"/>
  <c r="Y349" i="2"/>
  <c r="BN347" i="2"/>
  <c r="Z346" i="2"/>
  <c r="BP346" i="2"/>
  <c r="BN346" i="2"/>
  <c r="BN327" i="2"/>
  <c r="Z325" i="2"/>
  <c r="BN323" i="2"/>
  <c r="Z315" i="2"/>
  <c r="BN300" i="2"/>
  <c r="Z285" i="2"/>
  <c r="Z282" i="2"/>
  <c r="BN280" i="2"/>
  <c r="BP271" i="2"/>
  <c r="Z271" i="2"/>
  <c r="Z268" i="2"/>
  <c r="BP266" i="2"/>
  <c r="Y262" i="2"/>
  <c r="Z255" i="2"/>
  <c r="BN254" i="2"/>
  <c r="Y250" i="2"/>
  <c r="BN249" i="2"/>
  <c r="Y251" i="2"/>
  <c r="Y246" i="2"/>
  <c r="Z245" i="2"/>
  <c r="BP243" i="2"/>
  <c r="BN236" i="2"/>
  <c r="Y241" i="2"/>
  <c r="BN231" i="2"/>
  <c r="BN226" i="2"/>
  <c r="BN222" i="2"/>
  <c r="Z204" i="2"/>
  <c r="Y199" i="2"/>
  <c r="Z193" i="2"/>
  <c r="Z194" i="2" s="1"/>
  <c r="BP183" i="2"/>
  <c r="Z180" i="2"/>
  <c r="BP178" i="2"/>
  <c r="BN154" i="2"/>
  <c r="I574" i="2"/>
  <c r="Y143" i="2"/>
  <c r="Z126" i="2"/>
  <c r="BP126" i="2"/>
  <c r="Z124" i="2"/>
  <c r="BP110" i="2"/>
  <c r="BP106" i="2"/>
  <c r="Z106" i="2"/>
  <c r="Z94" i="2"/>
  <c r="BN92" i="2"/>
  <c r="Z92" i="2"/>
  <c r="Y86" i="2"/>
  <c r="BP82" i="2"/>
  <c r="Z82" i="2"/>
  <c r="Y85" i="2"/>
  <c r="BP70" i="2"/>
  <c r="Z70" i="2"/>
  <c r="Z62" i="2"/>
  <c r="BP62" i="2"/>
  <c r="BN52" i="2"/>
  <c r="Z51" i="2"/>
  <c r="BP51" i="2"/>
  <c r="Y37" i="2"/>
  <c r="Z35" i="2"/>
  <c r="BP35" i="2"/>
  <c r="BP34" i="2"/>
  <c r="Z34" i="2"/>
  <c r="Z36" i="2" s="1"/>
  <c r="Y36" i="2"/>
  <c r="X568" i="2"/>
  <c r="BN29" i="2"/>
  <c r="Y24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Z365" i="2" s="1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Z291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Z406" i="2" s="1"/>
  <c r="Y418" i="2"/>
  <c r="Z477" i="2"/>
  <c r="Z479" i="2" s="1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Z67" i="2" s="1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6" i="2" s="1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Z79" i="2" s="1"/>
  <c r="BN90" i="2"/>
  <c r="BN100" i="2"/>
  <c r="BN111" i="2"/>
  <c r="Y137" i="2"/>
  <c r="Z178" i="2"/>
  <c r="Z188" i="2"/>
  <c r="Z223" i="2"/>
  <c r="Z243" i="2"/>
  <c r="Z246" i="2" s="1"/>
  <c r="Y257" i="2"/>
  <c r="Z266" i="2"/>
  <c r="Z272" i="2" s="1"/>
  <c r="Z276" i="2"/>
  <c r="Z297" i="2"/>
  <c r="Z302" i="2" s="1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399" i="2" l="1"/>
  <c r="Z386" i="2"/>
  <c r="Z335" i="2"/>
  <c r="Z458" i="2"/>
  <c r="Z469" i="2"/>
  <c r="Z127" i="2"/>
  <c r="Z137" i="2"/>
  <c r="Z524" i="2"/>
  <c r="Z518" i="2"/>
  <c r="Z505" i="2"/>
  <c r="Z452" i="2"/>
  <c r="Z446" i="2"/>
  <c r="Z433" i="2"/>
  <c r="Z393" i="2"/>
  <c r="Z328" i="2"/>
  <c r="Z317" i="2"/>
  <c r="Z240" i="2"/>
  <c r="Z190" i="2"/>
  <c r="Z172" i="2"/>
  <c r="Z155" i="2"/>
  <c r="Z74" i="2"/>
  <c r="Z55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<sst xmlns="http://schemas.openxmlformats.org/spreadsheetml/2006/main" count="4241" uniqueCount="894">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</sst>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893</v>
      </c>
      <c r="I5" s="983"/>
      <c r="J5" s="983"/>
      <c r="K5" s="983"/>
      <c r="L5" s="983"/>
      <c r="M5" s="983"/>
      <c r="N5" s="72"/>
      <c r="P5" s="27" t="s">
        <v>4</v>
      </c>
      <c r="Q5" s="985">
        <v>46319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8.3333333333333329E-2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200</v>
      </c>
      <c r="Y53" s="55">
        <f>IFERROR(IF(X53="",0,CEILING((X53/$H53),1)*$H53),"")</f>
        <v>200</v>
      </c>
      <c r="Z53" s="41">
        <f>IFERROR(IF(Y53=0,"",ROUNDUP(Y53/H53,0)*0.00902),"")</f>
        <v>0.45100000000000001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209.50000000000003</v>
      </c>
      <c r="BN53" s="78">
        <f>IFERROR(Y53*I53/H53,"0")</f>
        <v>209.50000000000003</v>
      </c>
      <c r="BO53" s="78">
        <f>IFERROR(1/J53*(X53/H53),"0")</f>
        <v>0.37878787878787878</v>
      </c>
      <c r="BP53" s="78">
        <f>IFERROR(1/J53*(Y53/H53),"0")</f>
        <v>0.37878787878787878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63.888888888888886</v>
      </c>
      <c r="Y55" s="43">
        <f>IFERROR(Y51/H51,"0")+IFERROR(Y52/H52,"0")+IFERROR(Y53/H53,"0")+IFERROR(Y54/H54,"0")</f>
        <v>64</v>
      </c>
      <c r="Z55" s="43">
        <f>IFERROR(IF(Z51="",0,Z51),"0")+IFERROR(IF(Z52="",0,Z52),"0")+IFERROR(IF(Z53="",0,Z53),"0")+IFERROR(IF(Z54="",0,Z54),"0")</f>
        <v>0.71672000000000002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350</v>
      </c>
      <c r="Y56" s="43">
        <f>IFERROR(SUM(Y51:Y54),"0")</f>
        <v>351.20000000000005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160</v>
      </c>
      <c r="Y60" s="55">
        <f t="shared" si="0"/>
        <v>162</v>
      </c>
      <c r="Z60" s="41">
        <f>IFERROR(IF(Y60=0,"",ROUNDUP(Y60/H60,0)*0.01898),"")</f>
        <v>0.28470000000000001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166.07407407407408</v>
      </c>
      <c r="BN60" s="78">
        <f t="shared" si="2"/>
        <v>168.15</v>
      </c>
      <c r="BO60" s="78">
        <f t="shared" si="3"/>
        <v>0.23148148148148145</v>
      </c>
      <c r="BP60" s="78">
        <f t="shared" si="4"/>
        <v>0.23437499999999997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315</v>
      </c>
      <c r="Y66" s="55">
        <f t="shared" si="0"/>
        <v>315</v>
      </c>
      <c r="Z66" s="41">
        <f>IFERROR(IF(Y66=0,"",ROUNDUP(Y66/H66,0)*0.00902),"")</f>
        <v>0.63139999999999996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328.3</v>
      </c>
      <c r="BN66" s="78">
        <f t="shared" si="2"/>
        <v>328.3</v>
      </c>
      <c r="BO66" s="78">
        <f t="shared" si="3"/>
        <v>0.53030303030303028</v>
      </c>
      <c r="BP66" s="78">
        <f t="shared" si="4"/>
        <v>0.53030303030303028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84.81481481481481</v>
      </c>
      <c r="Y67" s="43">
        <f>IFERROR(Y59/H59,"0")+IFERROR(Y60/H60,"0")+IFERROR(Y61/H61,"0")+IFERROR(Y62/H62,"0")+IFERROR(Y63/H63,"0")+IFERROR(Y64/H64,"0")+IFERROR(Y65/H65,"0")+IFERROR(Y66/H66,"0")</f>
        <v>85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0.91609999999999991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475</v>
      </c>
      <c r="Y68" s="43">
        <f>IFERROR(SUM(Y59:Y66),"0")</f>
        <v>477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112</v>
      </c>
      <c r="Y73" s="55">
        <f>IFERROR(IF(X73="",0,CEILING((X73/$H73),1)*$H73),"")</f>
        <v>113.4</v>
      </c>
      <c r="Z73" s="41">
        <f>IFERROR(IF(Y73=0,"",ROUNDUP(Y73/H73,0)*0.00651),"")</f>
        <v>0.27342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119.46666666666665</v>
      </c>
      <c r="BN73" s="78">
        <f>IFERROR(Y73*I73/H73,"0")</f>
        <v>120.95999999999998</v>
      </c>
      <c r="BO73" s="78">
        <f>IFERROR(1/J73*(X73/H73),"0")</f>
        <v>0.22792022792022792</v>
      </c>
      <c r="BP73" s="78">
        <f>IFERROR(1/J73*(Y73/H73),"0")</f>
        <v>0.23076923076923078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46.111111111111114</v>
      </c>
      <c r="Y74" s="43">
        <f>IFERROR(Y70/H70,"0")+IFERROR(Y71/H71,"0")+IFERROR(Y72/H72,"0")+IFERROR(Y73/H73,"0")</f>
        <v>47</v>
      </c>
      <c r="Z74" s="43">
        <f>IFERROR(IF(Z70="",0,Z70),"0")+IFERROR(IF(Z71="",0,Z71),"0")+IFERROR(IF(Z72="",0,Z72),"0")+IFERROR(IF(Z73="",0,Z73),"0")</f>
        <v>0.36831999999999998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162</v>
      </c>
      <c r="Y75" s="43">
        <f>IFERROR(SUM(Y70:Y73),"0")</f>
        <v>167.4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100</v>
      </c>
      <c r="Y89" s="55">
        <f t="shared" ref="Y89:Y94" si="5">IFERROR(IF(X89="",0,CEILING((X89/$H89),1)*$H89),"")</f>
        <v>108</v>
      </c>
      <c r="Z89" s="41">
        <f>IFERROR(IF(Y89=0,"",ROUNDUP(Y89/H89,0)*0.01898),"")</f>
        <v>0.1898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103.79629629629629</v>
      </c>
      <c r="BN89" s="78">
        <f t="shared" ref="BN89:BN94" si="7">IFERROR(Y89*I89/H89,"0")</f>
        <v>112.1</v>
      </c>
      <c r="BO89" s="78">
        <f t="shared" ref="BO89:BO94" si="8">IFERROR(1/J89*(X89/H89),"0")</f>
        <v>0.14467592592592593</v>
      </c>
      <c r="BP89" s="78">
        <f t="shared" ref="BP89:BP94" si="9">IFERROR(1/J89*(Y89/H89),"0")</f>
        <v>0.15625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428</v>
      </c>
      <c r="Y94" s="55">
        <f t="shared" si="5"/>
        <v>432</v>
      </c>
      <c r="Z94" s="41">
        <f>IFERROR(IF(Y94=0,"",ROUNDUP(Y94/H94,0)*0.00902),"")</f>
        <v>0.86592000000000002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446.07111111111112</v>
      </c>
      <c r="BN94" s="78">
        <f t="shared" si="7"/>
        <v>450.24</v>
      </c>
      <c r="BO94" s="78">
        <f t="shared" si="8"/>
        <v>0.72053872053872059</v>
      </c>
      <c r="BP94" s="78">
        <f t="shared" si="9"/>
        <v>0.72727272727272729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104.37037037037038</v>
      </c>
      <c r="Y95" s="43">
        <f>IFERROR(Y89/H89,"0")+IFERROR(Y90/H90,"0")+IFERROR(Y91/H91,"0")+IFERROR(Y92/H92,"0")+IFERROR(Y93/H93,"0")+IFERROR(Y94/H94,"0")</f>
        <v>106</v>
      </c>
      <c r="Z95" s="43">
        <f>IFERROR(IF(Z89="",0,Z89),"0")+IFERROR(IF(Z90="",0,Z90),"0")+IFERROR(IF(Z91="",0,Z91),"0")+IFERROR(IF(Z92="",0,Z92),"0")+IFERROR(IF(Z93="",0,Z93),"0")+IFERROR(IF(Z94="",0,Z94),"0")</f>
        <v>1.05572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528</v>
      </c>
      <c r="Y96" s="43">
        <f>IFERROR(SUM(Y89:Y94),"0")</f>
        <v>540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250</v>
      </c>
      <c r="Y98" s="55">
        <f>IFERROR(IF(X98="",0,CEILING((X98/$H98),1)*$H98),"")</f>
        <v>251.1</v>
      </c>
      <c r="Z98" s="41">
        <f>IFERROR(IF(Y98=0,"",ROUNDUP(Y98/H98,0)*0.01898),"")</f>
        <v>0.58838000000000001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265.24691358024694</v>
      </c>
      <c r="BN98" s="78">
        <f>IFERROR(Y98*I98/H98,"0")</f>
        <v>266.41399999999999</v>
      </c>
      <c r="BO98" s="78">
        <f>IFERROR(1/J98*(X98/H98),"0")</f>
        <v>0.48225308641975312</v>
      </c>
      <c r="BP98" s="78">
        <f>IFERROR(1/J98*(Y98/H98),"0")</f>
        <v>0.484375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405</v>
      </c>
      <c r="Y100" s="55">
        <f>IFERROR(IF(X100="",0,CEILING((X100/$H100),1)*$H100),"")</f>
        <v>405</v>
      </c>
      <c r="Z100" s="41">
        <f>IFERROR(IF(Y100=0,"",ROUNDUP(Y100/H100,0)*0.00651),"")</f>
        <v>0.97650000000000003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442.79999999999995</v>
      </c>
      <c r="BN100" s="78">
        <f>IFERROR(Y100*I100/H100,"0")</f>
        <v>442.79999999999995</v>
      </c>
      <c r="BO100" s="78">
        <f>IFERROR(1/J100*(X100/H100),"0")</f>
        <v>0.82417582417582425</v>
      </c>
      <c r="BP100" s="78">
        <f>IFERROR(1/J100*(Y100/H100),"0")</f>
        <v>0.82417582417582425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180.8641975308642</v>
      </c>
      <c r="Y102" s="43">
        <f>IFERROR(Y98/H98,"0")+IFERROR(Y99/H99,"0")+IFERROR(Y100/H100,"0")+IFERROR(Y101/H101,"0")</f>
        <v>181</v>
      </c>
      <c r="Z102" s="43">
        <f>IFERROR(IF(Z98="",0,Z98),"0")+IFERROR(IF(Z99="",0,Z99),"0")+IFERROR(IF(Z100="",0,Z100),"0")+IFERROR(IF(Z101="",0,Z101),"0")</f>
        <v>1.56488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655</v>
      </c>
      <c r="Y103" s="43">
        <f>IFERROR(SUM(Y98:Y101),"0")</f>
        <v>656.1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50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51.898148148148145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7.2337962962962965E-2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405</v>
      </c>
      <c r="Y110" s="55">
        <f t="shared" si="10"/>
        <v>405</v>
      </c>
      <c r="Z110" s="41">
        <f>IFERROR(IF(Y110=0,"",ROUNDUP(Y110/H110,0)*0.00902),"")</f>
        <v>0.81180000000000008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422.1</v>
      </c>
      <c r="BN110" s="78">
        <f t="shared" si="12"/>
        <v>422.1</v>
      </c>
      <c r="BO110" s="78">
        <f t="shared" si="13"/>
        <v>0.68181818181818188</v>
      </c>
      <c r="BP110" s="78">
        <f t="shared" si="14"/>
        <v>0.68181818181818188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94.629629629629633</v>
      </c>
      <c r="Y113" s="43">
        <f>IFERROR(Y106/H106,"0")+IFERROR(Y107/H107,"0")+IFERROR(Y108/H108,"0")+IFERROR(Y109/H109,"0")+IFERROR(Y110/H110,"0")+IFERROR(Y111/H111,"0")+IFERROR(Y112/H112,"0")</f>
        <v>95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0.90670000000000006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455</v>
      </c>
      <c r="Y114" s="43">
        <f>IFERROR(SUM(Y106:Y112),"0")</f>
        <v>459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390</v>
      </c>
      <c r="Y123" s="55">
        <f>IFERROR(IF(X123="",0,CEILING((X123/$H123),1)*$H123),"")</f>
        <v>396.9</v>
      </c>
      <c r="Z123" s="41">
        <f>IFERROR(IF(Y123=0,"",ROUNDUP(Y123/H123,0)*0.01898),"")</f>
        <v>0.93002000000000007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413.49629629629629</v>
      </c>
      <c r="BN123" s="78">
        <f>IFERROR(Y123*I123/H123,"0")</f>
        <v>420.81199999999995</v>
      </c>
      <c r="BO123" s="78">
        <f>IFERROR(1/J123*(X123/H123),"0")</f>
        <v>0.75231481481481488</v>
      </c>
      <c r="BP123" s="78">
        <f>IFERROR(1/J123*(Y123/H123),"0")</f>
        <v>0.765625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450</v>
      </c>
      <c r="Y125" s="55">
        <f>IFERROR(IF(X125="",0,CEILING((X125/$H125),1)*$H125),"")</f>
        <v>450.90000000000003</v>
      </c>
      <c r="Z125" s="41">
        <f>IFERROR(IF(Y125=0,"",ROUNDUP(Y125/H125,0)*0.00651),"")</f>
        <v>1.08717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492</v>
      </c>
      <c r="BN125" s="78">
        <f>IFERROR(Y125*I125/H125,"0")</f>
        <v>492.98399999999998</v>
      </c>
      <c r="BO125" s="78">
        <f>IFERROR(1/J125*(X125/H125),"0")</f>
        <v>0.91575091575091572</v>
      </c>
      <c r="BP125" s="78">
        <f>IFERROR(1/J125*(Y125/H125),"0")</f>
        <v>0.91758241758241765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24</v>
      </c>
      <c r="Y126" s="55">
        <f>IFERROR(IF(X126="",0,CEILING((X126/$H126),1)*$H126),"")</f>
        <v>25.2</v>
      </c>
      <c r="Z126" s="41">
        <f>IFERROR(IF(Y126=0,"",ROUNDUP(Y126/H126,0)*0.00651),"")</f>
        <v>9.1139999999999999E-2</v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26.4</v>
      </c>
      <c r="BN126" s="78">
        <f>IFERROR(Y126*I126/H126,"0")</f>
        <v>27.72</v>
      </c>
      <c r="BO126" s="78">
        <f>IFERROR(1/J126*(X126/H126),"0")</f>
        <v>7.3260073260073263E-2</v>
      </c>
      <c r="BP126" s="78">
        <f>IFERROR(1/J126*(Y126/H126),"0")</f>
        <v>7.6923076923076927E-2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228.14814814814815</v>
      </c>
      <c r="Y127" s="43">
        <f>IFERROR(Y123/H123,"0")+IFERROR(Y124/H124,"0")+IFERROR(Y125/H125,"0")+IFERROR(Y126/H126,"0")</f>
        <v>230</v>
      </c>
      <c r="Z127" s="43">
        <f>IFERROR(IF(Z123="",0,Z123),"0")+IFERROR(IF(Z124="",0,Z124),"0")+IFERROR(IF(Z125="",0,Z125),"0")+IFERROR(IF(Z126="",0,Z126),"0")</f>
        <v>2.1083300000000005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864</v>
      </c>
      <c r="Y128" s="43">
        <f>IFERROR(SUM(Y123:Y126),"0")</f>
        <v>873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33</v>
      </c>
      <c r="Y130" s="55">
        <f>IFERROR(IF(X130="",0,CEILING((X130/$H130),1)*$H130),"")</f>
        <v>33.659999999999997</v>
      </c>
      <c r="Z130" s="41">
        <f>IFERROR(IF(Y130=0,"",ROUNDUP(Y130/H130,0)*0.00651),"")</f>
        <v>0.11067</v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37.299999999999997</v>
      </c>
      <c r="BN130" s="78">
        <f>IFERROR(Y130*I130/H130,"0")</f>
        <v>38.045999999999992</v>
      </c>
      <c r="BO130" s="78">
        <f>IFERROR(1/J130*(X130/H130),"0")</f>
        <v>9.1575091575091583E-2</v>
      </c>
      <c r="BP130" s="78">
        <f>IFERROR(1/J130*(Y130/H130),"0")</f>
        <v>9.3406593406593408E-2</v>
      </c>
    </row>
    <row r="131" spans="1:68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16.666666666666668</v>
      </c>
      <c r="Y131" s="43">
        <f>IFERROR(Y130/H130,"0")</f>
        <v>17</v>
      </c>
      <c r="Z131" s="43">
        <f>IFERROR(IF(Z130="",0,Z130),"0")</f>
        <v>0.11067</v>
      </c>
      <c r="AA131" s="67"/>
      <c r="AB131" s="67"/>
      <c r="AC131" s="67"/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33</v>
      </c>
      <c r="Y132" s="43">
        <f>IFERROR(SUM(Y130:Y130),"0")</f>
        <v>33.659999999999997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160</v>
      </c>
      <c r="Y136" s="55">
        <f>IFERROR(IF(X136="",0,CEILING((X136/$H136),1)*$H136),"")</f>
        <v>160</v>
      </c>
      <c r="Z136" s="41">
        <f>IFERROR(IF(Y136=0,"",ROUNDUP(Y136/H136,0)*0.00651),"")</f>
        <v>0.32550000000000001</v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168.99999999999997</v>
      </c>
      <c r="BN136" s="78">
        <f>IFERROR(Y136*I136/H136,"0")</f>
        <v>168.99999999999997</v>
      </c>
      <c r="BO136" s="78">
        <f>IFERROR(1/J136*(X136/H136),"0")</f>
        <v>0.27472527472527475</v>
      </c>
      <c r="BP136" s="78">
        <f>IFERROR(1/J136*(Y136/H136),"0")</f>
        <v>0.27472527472527475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50</v>
      </c>
      <c r="Y137" s="43">
        <f>IFERROR(Y135/H135,"0")+IFERROR(Y136/H136,"0")</f>
        <v>50</v>
      </c>
      <c r="Z137" s="43">
        <f>IFERROR(IF(Z135="",0,Z135),"0")+IFERROR(IF(Z136="",0,Z136),"0")</f>
        <v>0.32550000000000001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160</v>
      </c>
      <c r="Y138" s="43">
        <f>IFERROR(SUM(Y135:Y136),"0")</f>
        <v>160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140</v>
      </c>
      <c r="Y140" s="55">
        <f>IFERROR(IF(X140="",0,CEILING((X140/$H140),1)*$H140),"")</f>
        <v>140</v>
      </c>
      <c r="Z140" s="41">
        <f>IFERROR(IF(Y140=0,"",ROUNDUP(Y140/H140,0)*0.00651),"")</f>
        <v>0.32550000000000001</v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153.4</v>
      </c>
      <c r="BN140" s="78">
        <f>IFERROR(Y140*I140/H140,"0")</f>
        <v>153.4</v>
      </c>
      <c r="BO140" s="78">
        <f>IFERROR(1/J140*(X140/H140),"0")</f>
        <v>0.27472527472527475</v>
      </c>
      <c r="BP140" s="78">
        <f>IFERROR(1/J140*(Y140/H140),"0")</f>
        <v>0.27472527472527475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50</v>
      </c>
      <c r="Y142" s="43">
        <f>IFERROR(Y140/H140,"0")+IFERROR(Y141/H141,"0")</f>
        <v>50</v>
      </c>
      <c r="Z142" s="43">
        <f>IFERROR(IF(Z140="",0,Z140),"0")+IFERROR(IF(Z141="",0,Z141),"0")</f>
        <v>0.32550000000000001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140</v>
      </c>
      <c r="Y143" s="43">
        <f>IFERROR(SUM(Y140:Y141),"0")</f>
        <v>140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33</v>
      </c>
      <c r="Y145" s="55">
        <f>IFERROR(IF(X145="",0,CEILING((X145/$H145),1)*$H145),"")</f>
        <v>34.32</v>
      </c>
      <c r="Z145" s="41">
        <f>IFERROR(IF(Y145=0,"",ROUNDUP(Y145/H145,0)*0.00651),"")</f>
        <v>8.4629999999999997E-2</v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36.349999999999994</v>
      </c>
      <c r="BN145" s="78">
        <f>IFERROR(Y145*I145/H145,"0")</f>
        <v>37.803999999999995</v>
      </c>
      <c r="BO145" s="78">
        <f>IFERROR(1/J145*(X145/H145),"0")</f>
        <v>6.8681318681318687E-2</v>
      </c>
      <c r="BP145" s="78">
        <f>IFERROR(1/J145*(Y145/H145),"0")</f>
        <v>7.1428571428571438E-2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12.5</v>
      </c>
      <c r="Y147" s="43">
        <f>IFERROR(Y145/H145,"0")+IFERROR(Y146/H146,"0")</f>
        <v>13</v>
      </c>
      <c r="Z147" s="43">
        <f>IFERROR(IF(Z145="",0,Z145),"0")+IFERROR(IF(Z146="",0,Z146),"0")</f>
        <v>8.4629999999999997E-2</v>
      </c>
      <c r="AA147" s="67"/>
      <c r="AB147" s="67"/>
      <c r="AC147" s="67"/>
    </row>
    <row r="148" spans="1:68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33</v>
      </c>
      <c r="Y148" s="43">
        <f>IFERROR(SUM(Y145:Y146),"0")</f>
        <v>34.32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150</v>
      </c>
      <c r="Y175" s="55">
        <f t="shared" ref="Y175:Y184" si="15">IFERROR(IF(X175="",0,CEILING((X175/$H175),1)*$H175),"")</f>
        <v>150.5</v>
      </c>
      <c r="Z175" s="41">
        <f>IFERROR(IF(Y175=0,"",ROUNDUP(Y175/H175,0)*0.00902),"")</f>
        <v>0.38785999999999998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158.14285714285714</v>
      </c>
      <c r="BN175" s="78">
        <f t="shared" ref="BN175:BN184" si="17">IFERROR(Y175*I175/H175,"0")</f>
        <v>158.67000000000002</v>
      </c>
      <c r="BO175" s="78">
        <f t="shared" ref="BO175:BO184" si="18">IFERROR(1/J175*(X175/H175),"0")</f>
        <v>0.32467532467532467</v>
      </c>
      <c r="BP175" s="78">
        <f t="shared" ref="BP175:BP184" si="19">IFERROR(1/J175*(Y175/H175),"0")</f>
        <v>0.32575757575757575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500</v>
      </c>
      <c r="Y177" s="55">
        <f t="shared" si="15"/>
        <v>500.5</v>
      </c>
      <c r="Z177" s="41">
        <f>IFERROR(IF(Y177=0,"",ROUNDUP(Y177/H177,0)*0.00902),"")</f>
        <v>1.28986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527.14285714285711</v>
      </c>
      <c r="BN177" s="78">
        <f t="shared" si="17"/>
        <v>527.66999999999996</v>
      </c>
      <c r="BO177" s="78">
        <f t="shared" si="18"/>
        <v>1.0822510822510822</v>
      </c>
      <c r="BP177" s="78">
        <f t="shared" si="19"/>
        <v>1.0833333333333333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220</v>
      </c>
      <c r="Y178" s="55">
        <f t="shared" si="15"/>
        <v>220.5</v>
      </c>
      <c r="Z178" s="41">
        <f>IFERROR(IF(Y178=0,"",ROUNDUP(Y178/H178,0)*0.00902),"")</f>
        <v>0.56825999999999999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231.94285714285712</v>
      </c>
      <c r="BN178" s="78">
        <f t="shared" si="17"/>
        <v>232.47</v>
      </c>
      <c r="BO178" s="78">
        <f t="shared" si="18"/>
        <v>0.47619047619047616</v>
      </c>
      <c r="BP178" s="78">
        <f t="shared" si="19"/>
        <v>0.47727272727272729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70</v>
      </c>
      <c r="Y180" s="55">
        <f t="shared" si="15"/>
        <v>70.56</v>
      </c>
      <c r="Z180" s="41">
        <f>IFERROR(IF(Y180=0,"",ROUNDUP(Y180/H180,0)*0.00502),"")</f>
        <v>0.21084</v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74.166666666666671</v>
      </c>
      <c r="BN180" s="78">
        <f t="shared" si="17"/>
        <v>74.760000000000005</v>
      </c>
      <c r="BO180" s="78">
        <f t="shared" si="18"/>
        <v>0.17806267806267811</v>
      </c>
      <c r="BP180" s="78">
        <f t="shared" si="19"/>
        <v>0.17948717948717952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4</v>
      </c>
      <c r="Y181" s="55">
        <f t="shared" si="15"/>
        <v>4.5</v>
      </c>
      <c r="Z181" s="41">
        <f>IFERROR(IF(Y181=0,"",ROUNDUP(Y181/H181,0)*0.00417),"")</f>
        <v>2.085E-2</v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4.9333333333333336</v>
      </c>
      <c r="BN181" s="78">
        <f t="shared" si="17"/>
        <v>5.55</v>
      </c>
      <c r="BO181" s="78">
        <f t="shared" si="18"/>
        <v>1.4245014245014245E-2</v>
      </c>
      <c r="BP181" s="78">
        <f t="shared" si="19"/>
        <v>1.6025641025641024E-2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67</v>
      </c>
      <c r="Y182" s="55">
        <f t="shared" si="15"/>
        <v>67.2</v>
      </c>
      <c r="Z182" s="41">
        <f>IFERROR(IF(Y182=0,"",ROUNDUP(Y182/H182,0)*0.00502),"")</f>
        <v>0.20080000000000001</v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70.988095238095241</v>
      </c>
      <c r="BN182" s="78">
        <f t="shared" si="17"/>
        <v>71.200000000000017</v>
      </c>
      <c r="BO182" s="78">
        <f t="shared" si="18"/>
        <v>0.17043142043142046</v>
      </c>
      <c r="BP182" s="78">
        <f t="shared" si="19"/>
        <v>0.17094017094017094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15"/>
        <v>141.12</v>
      </c>
      <c r="Z184" s="41">
        <f>IFERROR(IF(Y184=0,"",ROUNDUP(Y184/H184,0)*0.00502),"")</f>
        <v>0.42168</v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148.33333333333334</v>
      </c>
      <c r="BN184" s="78">
        <f t="shared" si="17"/>
        <v>149.52000000000001</v>
      </c>
      <c r="BO184" s="78">
        <f t="shared" si="18"/>
        <v>0.35612535612535623</v>
      </c>
      <c r="BP184" s="78">
        <f t="shared" si="19"/>
        <v>0.35897435897435903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417.89682539682542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420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3.1001499999999997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1151</v>
      </c>
      <c r="Y186" s="43">
        <f>IFERROR(SUM(Y175:Y184),"0")</f>
        <v>1154.8800000000001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40</v>
      </c>
      <c r="Y208" s="55">
        <f t="shared" si="20"/>
        <v>43.2</v>
      </c>
      <c r="Z208" s="41">
        <f t="shared" si="21"/>
        <v>7.5920000000000001E-2</v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41.518518518518519</v>
      </c>
      <c r="BN208" s="78">
        <f t="shared" si="23"/>
        <v>44.84</v>
      </c>
      <c r="BO208" s="78">
        <f t="shared" si="24"/>
        <v>5.7870370370370364E-2</v>
      </c>
      <c r="BP208" s="78">
        <f t="shared" si="25"/>
        <v>6.25E-2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3.7037037037037033</v>
      </c>
      <c r="Y210" s="43">
        <f>IFERROR(Y203/H203,"0")+IFERROR(Y204/H204,"0")+IFERROR(Y205/H205,"0")+IFERROR(Y206/H206,"0")+IFERROR(Y207/H207,"0")+IFERROR(Y208/H208,"0")+IFERROR(Y209/H209,"0")</f>
        <v>4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7.5920000000000001E-2</v>
      </c>
      <c r="AA210" s="67"/>
      <c r="AB210" s="67"/>
      <c r="AC210" s="67"/>
    </row>
    <row r="211" spans="1:68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40</v>
      </c>
      <c r="Y211" s="43">
        <f>IFERROR(SUM(Y203:Y209),"0")</f>
        <v>43.2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40</v>
      </c>
      <c r="Y219" s="55">
        <f t="shared" si="26"/>
        <v>42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42.38095238095238</v>
      </c>
      <c r="BN219" s="78">
        <f t="shared" si="28"/>
        <v>44.5</v>
      </c>
      <c r="BO219" s="78">
        <f t="shared" si="29"/>
        <v>7.2150072150072145E-2</v>
      </c>
      <c r="BP219" s="78">
        <f t="shared" si="30"/>
        <v>7.575757575757576E-2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12</v>
      </c>
      <c r="Y222" s="55">
        <f t="shared" si="26"/>
        <v>12</v>
      </c>
      <c r="Z222" s="41">
        <f>IFERROR(IF(Y222=0,"",ROUNDUP(Y222/H222,0)*0.00556),"")</f>
        <v>8.3400000000000002E-2</v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13.95</v>
      </c>
      <c r="BN222" s="78">
        <f t="shared" si="28"/>
        <v>13.95</v>
      </c>
      <c r="BO222" s="78">
        <f t="shared" si="29"/>
        <v>6.4102564102564111E-2</v>
      </c>
      <c r="BP222" s="78">
        <f t="shared" si="30"/>
        <v>6.4102564102564111E-2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35</v>
      </c>
      <c r="Y225" s="55">
        <f t="shared" si="26"/>
        <v>35.700000000000003</v>
      </c>
      <c r="Z225" s="41">
        <f>IFERROR(IF(Y225=0,"",ROUNDUP(Y225/H225,0)*0.00502),"")</f>
        <v>8.5339999999999999E-2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37.166666666666664</v>
      </c>
      <c r="BN225" s="78">
        <f t="shared" si="28"/>
        <v>37.910000000000004</v>
      </c>
      <c r="BO225" s="78">
        <f t="shared" si="29"/>
        <v>7.1225071225071226E-2</v>
      </c>
      <c r="BP225" s="78">
        <f t="shared" si="30"/>
        <v>7.2649572649572655E-2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12</v>
      </c>
      <c r="Y228" s="55">
        <f t="shared" si="26"/>
        <v>12</v>
      </c>
      <c r="Z228" s="41">
        <f>IFERROR(IF(Y228=0,"",ROUNDUP(Y228/H228,0)*0.00417),"")</f>
        <v>6.2549999999999994E-2</v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15.15</v>
      </c>
      <c r="BN228" s="78">
        <f t="shared" si="28"/>
        <v>15.15</v>
      </c>
      <c r="BO228" s="78">
        <f t="shared" si="29"/>
        <v>4.8076923076923073E-2</v>
      </c>
      <c r="BP228" s="78">
        <f t="shared" si="30"/>
        <v>4.8076923076923073E-2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35</v>
      </c>
      <c r="Y229" s="55">
        <f t="shared" si="26"/>
        <v>35.700000000000003</v>
      </c>
      <c r="Z229" s="41">
        <f>IFERROR(IF(Y229=0,"",ROUNDUP(Y229/H229,0)*0.00502),"")</f>
        <v>8.5339999999999999E-2</v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36.666666666666664</v>
      </c>
      <c r="BN229" s="78">
        <f t="shared" si="28"/>
        <v>37.4</v>
      </c>
      <c r="BO229" s="78">
        <f t="shared" si="29"/>
        <v>7.1225071225071226E-2</v>
      </c>
      <c r="BP229" s="78">
        <f t="shared" si="30"/>
        <v>7.2649572649572655E-2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72.857142857142861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74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0.40683000000000002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134</v>
      </c>
      <c r="Y233" s="43">
        <f>IFERROR(SUM(Y218:Y231),"0")</f>
        <v>137.4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4</v>
      </c>
      <c r="Y243" s="55">
        <f>IFERROR(IF(X243="",0,CEILING((X243/$H243),1)*$H243),"")</f>
        <v>5.04</v>
      </c>
      <c r="Z243" s="41">
        <f>IFERROR(IF(Y243=0,"",ROUNDUP(Y243/H243,0)*0.0059),"")</f>
        <v>2.3599999999999999E-2</v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4.6031746031746028</v>
      </c>
      <c r="BN243" s="78">
        <f>IFERROR(Y243*I243/H243,"0")</f>
        <v>5.8</v>
      </c>
      <c r="BO243" s="78">
        <f>IFERROR(1/J243*(X243/H243),"0")</f>
        <v>1.469723691945914E-2</v>
      </c>
      <c r="BP243" s="78">
        <f>IFERROR(1/J243*(Y243/H243),"0")</f>
        <v>1.8518518518518517E-2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14</v>
      </c>
      <c r="Y244" s="55">
        <f>IFERROR(IF(X244="",0,CEILING((X244/$H244),1)*$H244),"")</f>
        <v>15.120000000000001</v>
      </c>
      <c r="Z244" s="41">
        <f>IFERROR(IF(Y244=0,"",ROUNDUP(Y244/H244,0)*0.0059),"")</f>
        <v>7.0800000000000002E-2</v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16.111111111111111</v>
      </c>
      <c r="BN244" s="78">
        <f>IFERROR(Y244*I244/H244,"0")</f>
        <v>17.399999999999999</v>
      </c>
      <c r="BO244" s="78">
        <f>IFERROR(1/J244*(X244/H244),"0")</f>
        <v>5.1440329218106991E-2</v>
      </c>
      <c r="BP244" s="78">
        <f>IFERROR(1/J244*(Y244/H244),"0")</f>
        <v>5.5555555555555552E-2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14.285714285714285</v>
      </c>
      <c r="Y246" s="43">
        <f>IFERROR(Y243/H243,"0")+IFERROR(Y244/H244,"0")+IFERROR(Y245/H245,"0")</f>
        <v>16</v>
      </c>
      <c r="Z246" s="43">
        <f>IFERROR(IF(Z243="",0,Z243),"0")+IFERROR(IF(Z244="",0,Z244),"0")+IFERROR(IF(Z245="",0,Z245),"0")</f>
        <v>9.4399999999999998E-2</v>
      </c>
      <c r="AA246" s="67"/>
      <c r="AB246" s="67"/>
      <c r="AC246" s="67"/>
    </row>
    <row r="247" spans="1:68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18</v>
      </c>
      <c r="Y247" s="43">
        <f>IFERROR(SUM(Y243:Y245),"0")</f>
        <v>20.16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250</v>
      </c>
      <c r="Y264" s="55">
        <f t="shared" ref="Y264:Y271" si="31">IFERROR(IF(X264="",0,CEILING((X264/$H264),1)*$H264),"")</f>
        <v>253.8</v>
      </c>
      <c r="Z264" s="41">
        <f>IFERROR(IF(Y264=0,"",ROUNDUP(Y264/H264,0)*0.00902),"")</f>
        <v>0.42393999999999998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258.7962962962963</v>
      </c>
      <c r="BN264" s="78">
        <f t="shared" ref="BN264:BN271" si="33">IFERROR(Y264*I264/H264,"0")</f>
        <v>262.72999999999996</v>
      </c>
      <c r="BO264" s="78">
        <f t="shared" ref="BO264:BO271" si="34">IFERROR(1/J264*(X264/H264),"0")</f>
        <v>0.35072951739618402</v>
      </c>
      <c r="BP264" s="78">
        <f t="shared" ref="BP264:BP271" si="35">IFERROR(1/J264*(Y264/H264),"0")</f>
        <v>0.35606060606060608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1"/>
        <v>64.800000000000011</v>
      </c>
      <c r="Z265" s="41">
        <f>IFERROR(IF(Y265=0,"",ROUNDUP(Y265/H265,0)*0.00902),"")</f>
        <v>0.10824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62.1111111111111</v>
      </c>
      <c r="BN265" s="78">
        <f t="shared" si="33"/>
        <v>67.08</v>
      </c>
      <c r="BO265" s="78">
        <f t="shared" si="34"/>
        <v>8.4175084175084181E-2</v>
      </c>
      <c r="BP265" s="78">
        <f t="shared" si="35"/>
        <v>9.0909090909090925E-2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60</v>
      </c>
      <c r="Y268" s="55">
        <f t="shared" si="31"/>
        <v>61.2</v>
      </c>
      <c r="Z268" s="41">
        <f>IFERROR(IF(Y268=0,"",ROUNDUP(Y268/H268,0)*0.00502),"")</f>
        <v>0.17068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64.333333333333329</v>
      </c>
      <c r="BN268" s="78">
        <f t="shared" si="33"/>
        <v>65.62</v>
      </c>
      <c r="BO268" s="78">
        <f t="shared" si="34"/>
        <v>0.14245014245014248</v>
      </c>
      <c r="BP268" s="78">
        <f t="shared" si="35"/>
        <v>0.14529914529914531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75</v>
      </c>
      <c r="Y270" s="55">
        <f t="shared" si="31"/>
        <v>75.600000000000009</v>
      </c>
      <c r="Z270" s="41">
        <f>IFERROR(IF(Y270=0,"",ROUNDUP(Y270/H270,0)*0.00502),"")</f>
        <v>0.21084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79.166666666666671</v>
      </c>
      <c r="BN270" s="78">
        <f t="shared" si="33"/>
        <v>79.800000000000011</v>
      </c>
      <c r="BO270" s="78">
        <f t="shared" si="34"/>
        <v>0.17806267806267806</v>
      </c>
      <c r="BP270" s="78">
        <f t="shared" si="35"/>
        <v>0.17948717948717954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1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31.666666666666664</v>
      </c>
      <c r="BN271" s="78">
        <f t="shared" si="33"/>
        <v>32.299999999999997</v>
      </c>
      <c r="BO271" s="78">
        <f t="shared" si="34"/>
        <v>7.122507122507124E-2</v>
      </c>
      <c r="BP271" s="78">
        <f t="shared" si="35"/>
        <v>7.2649572649572655E-2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149.07407407407405</v>
      </c>
      <c r="Y272" s="43">
        <f>IFERROR(Y264/H264,"0")+IFERROR(Y265/H265,"0")+IFERROR(Y266/H266,"0")+IFERROR(Y267/H267,"0")+IFERROR(Y268/H268,"0")+IFERROR(Y269/H269,"0")+IFERROR(Y270/H270,"0")+IFERROR(Y271/H271,"0")</f>
        <v>152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0.99904000000000004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475</v>
      </c>
      <c r="Y273" s="43">
        <f>IFERROR(SUM(Y264:Y271),"0")</f>
        <v>486.00000000000006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35</v>
      </c>
      <c r="Y275" s="55">
        <f t="shared" ref="Y275:Y285" si="36">IFERROR(IF(X275="",0,CEILING((X275/$H275),1)*$H275),"")</f>
        <v>40.5</v>
      </c>
      <c r="Z275" s="41">
        <f>IFERROR(IF(Y275=0,"",ROUNDUP(Y275/H275,0)*0.01898),"")</f>
        <v>9.4899999999999998E-2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37.134567901234568</v>
      </c>
      <c r="BN275" s="78">
        <f t="shared" ref="BN275:BN285" si="38">IFERROR(Y275*I275/H275,"0")</f>
        <v>42.97</v>
      </c>
      <c r="BO275" s="78">
        <f t="shared" ref="BO275:BO285" si="39">IFERROR(1/J275*(X275/H275),"0")</f>
        <v>6.751543209876544E-2</v>
      </c>
      <c r="BP275" s="78">
        <f t="shared" ref="BP275:BP285" si="40">IFERROR(1/J275*(Y275/H275),"0")</f>
        <v>7.8125E-2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si="36"/>
        <v>153.9</v>
      </c>
      <c r="Z276" s="41">
        <f>IFERROR(IF(Y276=0,"",ROUNDUP(Y276/H276,0)*0.01898),"")</f>
        <v>0.36062</v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158.81481481481484</v>
      </c>
      <c r="BN276" s="78">
        <f t="shared" si="38"/>
        <v>162.94400000000002</v>
      </c>
      <c r="BO276" s="78">
        <f t="shared" si="39"/>
        <v>0.28935185185185186</v>
      </c>
      <c r="BP276" s="78">
        <f t="shared" si="40"/>
        <v>0.296875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110</v>
      </c>
      <c r="Y277" s="55">
        <f t="shared" si="36"/>
        <v>113.1</v>
      </c>
      <c r="Z277" s="41">
        <f>IFERROR(IF(Y277=0,"",ROUNDUP(Y277/H277,0)*0.01898),"")</f>
        <v>0.24674000000000001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116.24597701149428</v>
      </c>
      <c r="BN277" s="78">
        <f t="shared" si="38"/>
        <v>119.52200000000001</v>
      </c>
      <c r="BO277" s="78">
        <f t="shared" si="39"/>
        <v>0.19755747126436785</v>
      </c>
      <c r="BP277" s="78">
        <f t="shared" si="40"/>
        <v>0.203125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340</v>
      </c>
      <c r="Y278" s="55">
        <f t="shared" si="36"/>
        <v>340.8</v>
      </c>
      <c r="Z278" s="41">
        <f>IFERROR(IF(Y278=0,"",ROUNDUP(Y278/H278,0)*0.00651),"")</f>
        <v>0.92442000000000002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378.25</v>
      </c>
      <c r="BN278" s="78">
        <f t="shared" si="38"/>
        <v>379.14000000000004</v>
      </c>
      <c r="BO278" s="78">
        <f t="shared" si="39"/>
        <v>0.77838827838827851</v>
      </c>
      <c r="BP278" s="78">
        <f t="shared" si="40"/>
        <v>0.78021978021978033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260</v>
      </c>
      <c r="Y280" s="55">
        <f t="shared" si="36"/>
        <v>261.59999999999997</v>
      </c>
      <c r="Z280" s="41">
        <f>IFERROR(IF(Y280=0,"",ROUNDUP(Y280/H280,0)*0.00651),"")</f>
        <v>0.70959000000000005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287.3</v>
      </c>
      <c r="BN280" s="78">
        <f t="shared" si="38"/>
        <v>289.06799999999998</v>
      </c>
      <c r="BO280" s="78">
        <f t="shared" si="39"/>
        <v>0.59523809523809534</v>
      </c>
      <c r="BP280" s="78">
        <f t="shared" si="40"/>
        <v>0.59890109890109888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80</v>
      </c>
      <c r="Y283" s="55">
        <f t="shared" si="36"/>
        <v>81.599999999999994</v>
      </c>
      <c r="Z283" s="41">
        <f>IFERROR(IF(Y283=0,"",ROUNDUP(Y283/H283,0)*0.00651),"")</f>
        <v>0.22134000000000001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88.40000000000002</v>
      </c>
      <c r="BN283" s="78">
        <f t="shared" si="38"/>
        <v>90.168000000000006</v>
      </c>
      <c r="BO283" s="78">
        <f t="shared" si="39"/>
        <v>0.18315018315018317</v>
      </c>
      <c r="BP283" s="78">
        <f t="shared" si="40"/>
        <v>0.18681318681318682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208</v>
      </c>
      <c r="Y284" s="55">
        <f t="shared" si="36"/>
        <v>208.79999999999998</v>
      </c>
      <c r="Z284" s="41">
        <f>IFERROR(IF(Y284=0,"",ROUNDUP(Y284/H284,0)*0.00651),"")</f>
        <v>0.56637000000000004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230.36</v>
      </c>
      <c r="BN284" s="78">
        <f t="shared" si="38"/>
        <v>231.24599999999998</v>
      </c>
      <c r="BO284" s="78">
        <f t="shared" si="39"/>
        <v>0.47619047619047628</v>
      </c>
      <c r="BP284" s="78">
        <f t="shared" si="40"/>
        <v>0.47802197802197804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405.48318433375908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409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3.12398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1183</v>
      </c>
      <c r="Y287" s="43">
        <f>IFERROR(SUM(Y275:Y285),"0")</f>
        <v>1200.3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60</v>
      </c>
      <c r="Y290" s="55">
        <f>IFERROR(IF(X290="",0,CEILING((X290/$H290),1)*$H290),"")</f>
        <v>60</v>
      </c>
      <c r="Z290" s="41">
        <f>IFERROR(IF(Y290=0,"",ROUNDUP(Y290/H290,0)*0.00651),"")</f>
        <v>0.16275000000000001</v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66.300000000000011</v>
      </c>
      <c r="BN290" s="78">
        <f>IFERROR(Y290*I290/H290,"0")</f>
        <v>66.300000000000011</v>
      </c>
      <c r="BO290" s="78">
        <f>IFERROR(1/J290*(X290/H290),"0")</f>
        <v>0.13736263736263737</v>
      </c>
      <c r="BP290" s="78">
        <f>IFERROR(1/J290*(Y290/H290),"0")</f>
        <v>0.13736263736263737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25</v>
      </c>
      <c r="Y291" s="43">
        <f>IFERROR(Y289/H289,"0")+IFERROR(Y290/H290,"0")</f>
        <v>25</v>
      </c>
      <c r="Z291" s="43">
        <f>IFERROR(IF(Z289="",0,Z289),"0")+IFERROR(IF(Z290="",0,Z290),"0")</f>
        <v>0.16275000000000001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60</v>
      </c>
      <c r="Y292" s="43">
        <f>IFERROR(SUM(Y289:Y290),"0")</f>
        <v>60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8</v>
      </c>
      <c r="Y298" s="55">
        <f t="shared" si="41"/>
        <v>8</v>
      </c>
      <c r="Z298" s="41">
        <f>IFERROR(IF(Y298=0,"",ROUNDUP(Y298/H298,0)*0.00902),"")</f>
        <v>1.804E-2</v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8.3800000000000008</v>
      </c>
      <c r="BN298" s="78">
        <f t="shared" si="43"/>
        <v>8.3800000000000008</v>
      </c>
      <c r="BO298" s="78">
        <f t="shared" si="44"/>
        <v>1.5151515151515152E-2</v>
      </c>
      <c r="BP298" s="78">
        <f t="shared" si="45"/>
        <v>1.5151515151515152E-2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32</v>
      </c>
      <c r="Y301" s="55">
        <f t="shared" si="41"/>
        <v>32</v>
      </c>
      <c r="Z301" s="41">
        <f>IFERROR(IF(Y301=0,"",ROUNDUP(Y301/H301,0)*0.00902),"")</f>
        <v>7.2160000000000002E-2</v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33.520000000000003</v>
      </c>
      <c r="BN301" s="78">
        <f t="shared" si="43"/>
        <v>33.520000000000003</v>
      </c>
      <c r="BO301" s="78">
        <f t="shared" si="44"/>
        <v>6.0606060606060608E-2</v>
      </c>
      <c r="BP301" s="78">
        <f t="shared" si="45"/>
        <v>6.0606060606060608E-2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10</v>
      </c>
      <c r="Y302" s="43">
        <f>IFERROR(Y295/H295,"0")+IFERROR(Y296/H296,"0")+IFERROR(Y297/H297,"0")+IFERROR(Y298/H298,"0")+IFERROR(Y299/H299,"0")+IFERROR(Y300/H300,"0")+IFERROR(Y301/H301,"0")</f>
        <v>10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9.0200000000000002E-2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40</v>
      </c>
      <c r="Y303" s="43">
        <f>IFERROR(SUM(Y295:Y301),"0")</f>
        <v>40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33</v>
      </c>
      <c r="Y305" s="55">
        <f>IFERROR(IF(X305="",0,CEILING((X305/$H305),1)*$H305),"")</f>
        <v>33.659999999999997</v>
      </c>
      <c r="Z305" s="41">
        <f>IFERROR(IF(Y305=0,"",ROUNDUP(Y305/H305,0)*0.00502),"")</f>
        <v>8.5339999999999999E-2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34.666666666666664</v>
      </c>
      <c r="BN305" s="78">
        <f>IFERROR(Y305*I305/H305,"0")</f>
        <v>35.36</v>
      </c>
      <c r="BO305" s="78">
        <f>IFERROR(1/J305*(X305/H305),"0")</f>
        <v>7.122507122507124E-2</v>
      </c>
      <c r="BP305" s="78">
        <f>IFERROR(1/J305*(Y305/H305),"0")</f>
        <v>7.2649572649572655E-2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16.666666666666668</v>
      </c>
      <c r="Y306" s="43">
        <f>IFERROR(Y305/H305,"0")</f>
        <v>17</v>
      </c>
      <c r="Z306" s="43">
        <f>IFERROR(IF(Z305="",0,Z305),"0")</f>
        <v>8.5339999999999999E-2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33</v>
      </c>
      <c r="Y307" s="43">
        <f>IFERROR(SUM(Y305:Y305),"0")</f>
        <v>33.659999999999997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12</v>
      </c>
      <c r="Y309" s="55">
        <f>IFERROR(IF(X309="",0,CEILING((X309/$H309),1)*$H309),"")</f>
        <v>12.6</v>
      </c>
      <c r="Z309" s="41">
        <f>IFERROR(IF(Y309=0,"",ROUNDUP(Y309/H309,0)*0.0059),"")</f>
        <v>4.1299999999999996E-2</v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13.166666666666668</v>
      </c>
      <c r="BN309" s="78">
        <f>IFERROR(Y309*I309/H309,"0")</f>
        <v>13.825000000000001</v>
      </c>
      <c r="BO309" s="78">
        <f>IFERROR(1/J309*(X309/H309),"0")</f>
        <v>3.0864197530864192E-2</v>
      </c>
      <c r="BP309" s="78">
        <f>IFERROR(1/J309*(Y309/H309),"0")</f>
        <v>3.2407407407407406E-2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6.6666666666666661</v>
      </c>
      <c r="Y310" s="43">
        <f>IFERROR(Y309/H309,"0")</f>
        <v>7</v>
      </c>
      <c r="Z310" s="43">
        <f>IFERROR(IF(Z309="",0,Z309),"0")</f>
        <v>4.1299999999999996E-2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12</v>
      </c>
      <c r="Y311" s="43">
        <f>IFERROR(SUM(Y309:Y309),"0")</f>
        <v>12.6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24</v>
      </c>
      <c r="Y313" s="55">
        <f>IFERROR(IF(X313="",0,CEILING((X313/$H313),1)*$H313),"")</f>
        <v>25.2</v>
      </c>
      <c r="Z313" s="41">
        <f>IFERROR(IF(Y313=0,"",ROUNDUP(Y313/H313,0)*0.0059),"")</f>
        <v>8.2599999999999993E-2</v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26.333333333333336</v>
      </c>
      <c r="BN313" s="78">
        <f>IFERROR(Y313*I313/H313,"0")</f>
        <v>27.650000000000002</v>
      </c>
      <c r="BO313" s="78">
        <f>IFERROR(1/J313*(X313/H313),"0")</f>
        <v>6.1728395061728385E-2</v>
      </c>
      <c r="BP313" s="78">
        <f>IFERROR(1/J313*(Y313/H313),"0")</f>
        <v>6.4814814814814811E-2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13.333333333333332</v>
      </c>
      <c r="Y317" s="43">
        <f>IFERROR(Y313/H313,"0")+IFERROR(Y314/H314,"0")+IFERROR(Y315/H315,"0")+IFERROR(Y316/H316,"0")</f>
        <v>14</v>
      </c>
      <c r="Z317" s="43">
        <f>IFERROR(IF(Z313="",0,Z313),"0")+IFERROR(IF(Z314="",0,Z314),"0")+IFERROR(IF(Z315="",0,Z315),"0")+IFERROR(IF(Z316="",0,Z316),"0")</f>
        <v>8.2599999999999993E-2</v>
      </c>
      <c r="AA317" s="67"/>
      <c r="AB317" s="67"/>
      <c r="AC317" s="67"/>
    </row>
    <row r="318" spans="1:68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24</v>
      </c>
      <c r="Y318" s="43">
        <f>IFERROR(SUM(Y313:Y316),"0")</f>
        <v>25.2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140</v>
      </c>
      <c r="Y333" s="55">
        <f>IFERROR(IF(X333="",0,CEILING((X333/$H333),1)*$H333),"")</f>
        <v>141.6</v>
      </c>
      <c r="Z333" s="41">
        <f>IFERROR(IF(Y333=0,"",ROUNDUP(Y333/H333,0)*0.00651),"")</f>
        <v>0.38408999999999999</v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154.70000000000002</v>
      </c>
      <c r="BN333" s="78">
        <f>IFERROR(Y333*I333/H333,"0")</f>
        <v>156.46800000000002</v>
      </c>
      <c r="BO333" s="78">
        <f>IFERROR(1/J333*(X333/H333),"0")</f>
        <v>0.32051282051282054</v>
      </c>
      <c r="BP333" s="78">
        <f>IFERROR(1/J333*(Y333/H333),"0")</f>
        <v>0.32417582417582419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120</v>
      </c>
      <c r="Y334" s="55">
        <f>IFERROR(IF(X334="",0,CEILING((X334/$H334),1)*$H334),"")</f>
        <v>120</v>
      </c>
      <c r="Z334" s="41">
        <f>IFERROR(IF(Y334=0,"",ROUNDUP(Y334/H334,0)*0.00651),"")</f>
        <v>0.32550000000000001</v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129.00000000000003</v>
      </c>
      <c r="BN334" s="78">
        <f>IFERROR(Y334*I334/H334,"0")</f>
        <v>129.00000000000003</v>
      </c>
      <c r="BO334" s="78">
        <f>IFERROR(1/J334*(X334/H334),"0")</f>
        <v>0.27472527472527475</v>
      </c>
      <c r="BP334" s="78">
        <f>IFERROR(1/J334*(Y334/H334),"0")</f>
        <v>0.27472527472527475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108.33333333333334</v>
      </c>
      <c r="Y335" s="43">
        <f>IFERROR(Y332/H332,"0")+IFERROR(Y333/H333,"0")+IFERROR(Y334/H334,"0")</f>
        <v>109</v>
      </c>
      <c r="Z335" s="43">
        <f>IFERROR(IF(Z332="",0,Z332),"0")+IFERROR(IF(Z333="",0,Z333),"0")+IFERROR(IF(Z334="",0,Z334),"0")</f>
        <v>0.70958999999999994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260</v>
      </c>
      <c r="Y336" s="43">
        <f>IFERROR(SUM(Y332:Y334),"0")</f>
        <v>261.60000000000002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220</v>
      </c>
      <c r="Y362" s="55">
        <f>IFERROR(IF(X362="",0,CEILING((X362/$H362),1)*$H362),"")</f>
        <v>226.2</v>
      </c>
      <c r="Z362" s="41">
        <f>IFERROR(IF(Y362=0,"",ROUNDUP(Y362/H362,0)*0.01898),"")</f>
        <v>0.55042000000000002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231.5641025641026</v>
      </c>
      <c r="BN362" s="78">
        <f>IFERROR(Y362*I362/H362,"0")</f>
        <v>238.09</v>
      </c>
      <c r="BO362" s="78">
        <f>IFERROR(1/J362*(X362/H362),"0")</f>
        <v>0.44070512820512819</v>
      </c>
      <c r="BP362" s="78">
        <f>IFERROR(1/J362*(Y362/H362),"0")</f>
        <v>0.453125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240</v>
      </c>
      <c r="Y363" s="55">
        <f>IFERROR(IF(X363="",0,CEILING((X363/$H363),1)*$H363),"")</f>
        <v>241.79999999999998</v>
      </c>
      <c r="Z363" s="41">
        <f>IFERROR(IF(Y363=0,"",ROUNDUP(Y363/H363,0)*0.01898),"")</f>
        <v>0.58838000000000001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252.61538461538464</v>
      </c>
      <c r="BN363" s="78">
        <f>IFERROR(Y363*I363/H363,"0")</f>
        <v>254.51000000000002</v>
      </c>
      <c r="BO363" s="78">
        <f>IFERROR(1/J363*(X363/H363),"0")</f>
        <v>0.48076923076923078</v>
      </c>
      <c r="BP363" s="78">
        <f>IFERROR(1/J363*(Y363/H363),"0")</f>
        <v>0.484375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80</v>
      </c>
      <c r="Y364" s="55">
        <f>IFERROR(IF(X364="",0,CEILING((X364/$H364),1)*$H364),"")</f>
        <v>85.8</v>
      </c>
      <c r="Z364" s="41">
        <f>IFERROR(IF(Y364=0,"",ROUNDUP(Y364/H364,0)*0.01898),"")</f>
        <v>0.20877999999999999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84.205128205128219</v>
      </c>
      <c r="BN364" s="78">
        <f>IFERROR(Y364*I364/H364,"0")</f>
        <v>90.31</v>
      </c>
      <c r="BO364" s="78">
        <f>IFERROR(1/J364*(X364/H364),"0")</f>
        <v>0.16025641025641027</v>
      </c>
      <c r="BP364" s="78">
        <f>IFERROR(1/J364*(Y364/H364),"0")</f>
        <v>0.171875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69.230769230769241</v>
      </c>
      <c r="Y365" s="43">
        <f>IFERROR(Y362/H362,"0")+IFERROR(Y363/H363,"0")+IFERROR(Y364/H364,"0")</f>
        <v>71</v>
      </c>
      <c r="Z365" s="43">
        <f>IFERROR(IF(Z362="",0,Z362),"0")+IFERROR(IF(Z363="",0,Z363),"0")+IFERROR(IF(Z364="",0,Z364),"0")</f>
        <v>1.34758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540</v>
      </c>
      <c r="Y366" s="43">
        <f>IFERROR(SUM(Y362:Y364),"0")</f>
        <v>553.79999999999995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10</v>
      </c>
      <c r="Y380" s="55">
        <f t="shared" si="56"/>
        <v>12.600000000000001</v>
      </c>
      <c r="Z380" s="41">
        <f>IFERROR(IF(Y380=0,"",ROUNDUP(Y380/H380,0)*0.00902),"")</f>
        <v>2.7060000000000001E-2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10.595238095238095</v>
      </c>
      <c r="BN380" s="78">
        <f t="shared" si="58"/>
        <v>13.350000000000001</v>
      </c>
      <c r="BO380" s="78">
        <f t="shared" si="59"/>
        <v>1.8037518037518036E-2</v>
      </c>
      <c r="BP380" s="78">
        <f t="shared" si="60"/>
        <v>2.2727272727272728E-2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105</v>
      </c>
      <c r="Y383" s="55">
        <f t="shared" si="56"/>
        <v>105</v>
      </c>
      <c r="Z383" s="41">
        <f>IFERROR(IF(Y383=0,"",ROUNDUP(Y383/H383,0)*0.00502),"")</f>
        <v>0.251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110.00000000000001</v>
      </c>
      <c r="BN383" s="78">
        <f t="shared" si="58"/>
        <v>110.00000000000001</v>
      </c>
      <c r="BO383" s="78">
        <f t="shared" si="59"/>
        <v>0.21367521367521369</v>
      </c>
      <c r="BP383" s="78">
        <f t="shared" si="60"/>
        <v>0.21367521367521369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52.38095238095238</v>
      </c>
      <c r="Y386" s="43">
        <f>IFERROR(Y379/H379,"0")+IFERROR(Y380/H380,"0")+IFERROR(Y381/H381,"0")+IFERROR(Y382/H382,"0")+IFERROR(Y383/H383,"0")+IFERROR(Y384/H384,"0")+IFERROR(Y385/H385,"0")</f>
        <v>53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0.27805999999999997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115</v>
      </c>
      <c r="Y387" s="43">
        <f>IFERROR(SUM(Y379:Y385),"0")</f>
        <v>117.6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250</v>
      </c>
      <c r="Y396" s="55">
        <f>IFERROR(IF(X396="",0,CEILING((X396/$H396),1)*$H396),"")</f>
        <v>252</v>
      </c>
      <c r="Z396" s="41">
        <f>IFERROR(IF(Y396=0,"",ROUNDUP(Y396/H396,0)*0.01898),"")</f>
        <v>0.56940000000000002</v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264.70238095238096</v>
      </c>
      <c r="BN396" s="78">
        <f>IFERROR(Y396*I396/H396,"0")</f>
        <v>266.82</v>
      </c>
      <c r="BO396" s="78">
        <f>IFERROR(1/J396*(X396/H396),"0")</f>
        <v>0.46502976190476186</v>
      </c>
      <c r="BP396" s="78">
        <f>IFERROR(1/J396*(Y396/H396),"0")</f>
        <v>0.46875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330</v>
      </c>
      <c r="Y397" s="55">
        <f>IFERROR(IF(X397="",0,CEILING((X397/$H397),1)*$H397),"")</f>
        <v>335.4</v>
      </c>
      <c r="Z397" s="41">
        <f>IFERROR(IF(Y397=0,"",ROUNDUP(Y397/H397,0)*0.01898),"")</f>
        <v>0.81613999999999998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350.9</v>
      </c>
      <c r="BN397" s="78">
        <f>IFERROR(Y397*I397/H397,"0")</f>
        <v>356.642</v>
      </c>
      <c r="BO397" s="78">
        <f>IFERROR(1/J397*(X397/H397),"0")</f>
        <v>0.66105769230769229</v>
      </c>
      <c r="BP397" s="78">
        <f>IFERROR(1/J397*(Y397/H397),"0")</f>
        <v>0.671875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50</v>
      </c>
      <c r="Y398" s="55">
        <f>IFERROR(IF(X398="",0,CEILING((X398/$H398),1)*$H398),"")</f>
        <v>50.400000000000006</v>
      </c>
      <c r="Z398" s="41">
        <f>IFERROR(IF(Y398=0,"",ROUNDUP(Y398/H398,0)*0.01898),"")</f>
        <v>0.11388000000000001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52.94047619047619</v>
      </c>
      <c r="BN398" s="78">
        <f>IFERROR(Y398*I398/H398,"0")</f>
        <v>53.364000000000004</v>
      </c>
      <c r="BO398" s="78">
        <f>IFERROR(1/J398*(X398/H398),"0")</f>
        <v>9.3005952380952384E-2</v>
      </c>
      <c r="BP398" s="78">
        <f>IFERROR(1/J398*(Y398/H398),"0")</f>
        <v>9.375E-2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78.021978021978015</v>
      </c>
      <c r="Y399" s="43">
        <f>IFERROR(Y396/H396,"0")+IFERROR(Y397/H397,"0")+IFERROR(Y398/H398,"0")</f>
        <v>79</v>
      </c>
      <c r="Z399" s="43">
        <f>IFERROR(IF(Z396="",0,Z396),"0")+IFERROR(IF(Z397="",0,Z397),"0")+IFERROR(IF(Z398="",0,Z398),"0")</f>
        <v>1.49942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630</v>
      </c>
      <c r="Y400" s="43">
        <f>IFERROR(SUM(Y396:Y398),"0")</f>
        <v>637.79999999999995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20</v>
      </c>
      <c r="Y422" s="55">
        <f>IFERROR(IF(X422="",0,CEILING((X422/$H422),1)*$H422),"")</f>
        <v>23.4</v>
      </c>
      <c r="Z422" s="41">
        <f>IFERROR(IF(Y422=0,"",ROUNDUP(Y422/H422,0)*0.01898),"")</f>
        <v>5.6940000000000004E-2</v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21.051282051282055</v>
      </c>
      <c r="BN422" s="78">
        <f>IFERROR(Y422*I422/H422,"0")</f>
        <v>24.630000000000003</v>
      </c>
      <c r="BO422" s="78">
        <f>IFERROR(1/J422*(X422/H422),"0")</f>
        <v>4.0064102564102567E-2</v>
      </c>
      <c r="BP422" s="78">
        <f>IFERROR(1/J422*(Y422/H422),"0")</f>
        <v>4.6875E-2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2.5641025641025643</v>
      </c>
      <c r="Y426" s="43">
        <f>IFERROR(Y422/H422,"0")+IFERROR(Y423/H423,"0")+IFERROR(Y424/H424,"0")+IFERROR(Y425/H425,"0")</f>
        <v>3</v>
      </c>
      <c r="Z426" s="43">
        <f>IFERROR(IF(Z422="",0,Z422),"0")+IFERROR(IF(Z423="",0,Z423),"0")+IFERROR(IF(Z424="",0,Z424),"0")+IFERROR(IF(Z425="",0,Z425),"0")</f>
        <v>5.6940000000000004E-2</v>
      </c>
      <c r="AA426" s="67"/>
      <c r="AB426" s="67"/>
      <c r="AC426" s="67"/>
    </row>
    <row r="427" spans="1:68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20</v>
      </c>
      <c r="Y427" s="43">
        <f>IFERROR(SUM(Y422:Y425),"0")</f>
        <v>23.4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665</v>
      </c>
      <c r="Y431" s="55">
        <f>IFERROR(IF(X431="",0,CEILING((X431/$H431),1)*$H431),"")</f>
        <v>665.7</v>
      </c>
      <c r="Z431" s="41">
        <f>IFERROR(IF(Y431=0,"",ROUNDUP(Y431/H431,0)*0.00651),"")</f>
        <v>2.0636700000000001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744.8</v>
      </c>
      <c r="BN431" s="78">
        <f>IFERROR(Y431*I431/H431,"0")</f>
        <v>745.58399999999995</v>
      </c>
      <c r="BO431" s="78">
        <f>IFERROR(1/J431*(X431/H431),"0")</f>
        <v>1.73992673992674</v>
      </c>
      <c r="BP431" s="78">
        <f>IFERROR(1/J431*(Y431/H431),"0")</f>
        <v>1.7417582417582418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105</v>
      </c>
      <c r="Y432" s="55">
        <f>IFERROR(IF(X432="",0,CEILING((X432/$H432),1)*$H432),"")</f>
        <v>105</v>
      </c>
      <c r="Z432" s="41">
        <f>IFERROR(IF(Y432=0,"",ROUNDUP(Y432/H432,0)*0.00651),"")</f>
        <v>0.32550000000000001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116.99999999999999</v>
      </c>
      <c r="BN432" s="78">
        <f>IFERROR(Y432*I432/H432,"0")</f>
        <v>116.99999999999999</v>
      </c>
      <c r="BO432" s="78">
        <f>IFERROR(1/J432*(X432/H432),"0")</f>
        <v>0.27472527472527475</v>
      </c>
      <c r="BP432" s="78">
        <f>IFERROR(1/J432*(Y432/H432),"0")</f>
        <v>0.27472527472527475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366.66666666666663</v>
      </c>
      <c r="Y433" s="43">
        <f>IFERROR(Y430/H430,"0")+IFERROR(Y431/H431,"0")+IFERROR(Y432/H432,"0")</f>
        <v>367</v>
      </c>
      <c r="Z433" s="43">
        <f>IFERROR(IF(Z430="",0,Z430),"0")+IFERROR(IF(Z431="",0,Z431),"0")+IFERROR(IF(Z432="",0,Z432),"0")</f>
        <v>2.38917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770</v>
      </c>
      <c r="Y434" s="43">
        <f>IFERROR(SUM(Y430:Y432),"0")</f>
        <v>770.7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ref="Y438:Y445" si="61"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103.13333333333334</v>
      </c>
      <c r="BN438" s="78">
        <f t="shared" ref="BN438:BN445" si="63">IFERROR(Y438*I438/H438,"0")</f>
        <v>108.29</v>
      </c>
      <c r="BO438" s="78">
        <f t="shared" ref="BO438:BO445" si="64">IFERROR(1/J438*(X438/H438),"0")</f>
        <v>0.1388888888888889</v>
      </c>
      <c r="BP438" s="78">
        <f t="shared" ref="BP438:BP445" si="65">IFERROR(1/J438*(Y438/H438),"0")</f>
        <v>0.14583333333333331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1400</v>
      </c>
      <c r="Y439" s="55">
        <f t="shared" si="61"/>
        <v>1410</v>
      </c>
      <c r="Z439" s="41">
        <f>IFERROR(IF(Y439=0,"",ROUNDUP(Y439/H439,0)*0.02175),"")</f>
        <v>2.0444999999999998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1443.8666666666666</v>
      </c>
      <c r="BN439" s="78">
        <f t="shared" si="63"/>
        <v>1454.18</v>
      </c>
      <c r="BO439" s="78">
        <f t="shared" si="64"/>
        <v>1.9444444444444442</v>
      </c>
      <c r="BP439" s="78">
        <f t="shared" si="65"/>
        <v>1.9583333333333333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1000</v>
      </c>
      <c r="Y440" s="55">
        <f t="shared" si="61"/>
        <v>1005</v>
      </c>
      <c r="Z440" s="41">
        <f>IFERROR(IF(Y440=0,"",ROUNDUP(Y440/H440,0)*0.02175),"")</f>
        <v>1.4572499999999999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1031.3333333333333</v>
      </c>
      <c r="BN440" s="78">
        <f t="shared" si="63"/>
        <v>1036.49</v>
      </c>
      <c r="BO440" s="78">
        <f t="shared" si="64"/>
        <v>1.3888888888888888</v>
      </c>
      <c r="BP440" s="78">
        <f t="shared" si="65"/>
        <v>1.3958333333333333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1250</v>
      </c>
      <c r="Y441" s="55">
        <f t="shared" si="61"/>
        <v>1260</v>
      </c>
      <c r="Z441" s="41">
        <f>IFERROR(IF(Y441=0,"",ROUNDUP(Y441/H441,0)*0.02175),"")</f>
        <v>1.827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1289.1666666666667</v>
      </c>
      <c r="BN441" s="78">
        <f t="shared" si="63"/>
        <v>1299.48</v>
      </c>
      <c r="BO441" s="78">
        <f t="shared" si="64"/>
        <v>1.7361111111111109</v>
      </c>
      <c r="BP441" s="78">
        <f t="shared" si="65"/>
        <v>1.75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600</v>
      </c>
      <c r="Y442" s="55">
        <f t="shared" si="61"/>
        <v>600</v>
      </c>
      <c r="Z442" s="41">
        <f>IFERROR(IF(Y442=0,"",ROUNDUP(Y442/H442,0)*0.02175),"")</f>
        <v>0.86999999999999988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618.79999999999995</v>
      </c>
      <c r="BN442" s="78">
        <f t="shared" si="63"/>
        <v>618.79999999999995</v>
      </c>
      <c r="BO442" s="78">
        <f t="shared" si="64"/>
        <v>0.83333333333333326</v>
      </c>
      <c r="BP442" s="78">
        <f t="shared" si="65"/>
        <v>0.83333333333333326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10</v>
      </c>
      <c r="Y445" s="55">
        <f t="shared" si="61"/>
        <v>10</v>
      </c>
      <c r="Z445" s="41">
        <f>IFERROR(IF(Y445=0,"",ROUNDUP(Y445/H445,0)*0.00902),"")</f>
        <v>1.804E-2</v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10.38</v>
      </c>
      <c r="BN445" s="78">
        <f t="shared" si="63"/>
        <v>10.38</v>
      </c>
      <c r="BO445" s="78">
        <f t="shared" si="64"/>
        <v>1.5151515151515152E-2</v>
      </c>
      <c r="BP445" s="78">
        <f t="shared" si="65"/>
        <v>1.5151515151515152E-2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292</v>
      </c>
      <c r="Y446" s="43">
        <f>IFERROR(Y438/H438,"0")+IFERROR(Y439/H439,"0")+IFERROR(Y440/H440,"0")+IFERROR(Y441/H441,"0")+IFERROR(Y442/H442,"0")+IFERROR(Y443/H443,"0")+IFERROR(Y444/H444,"0")+IFERROR(Y445/H445,"0")</f>
        <v>294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6.36904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4360</v>
      </c>
      <c r="Y447" s="43">
        <f>IFERROR(SUM(Y438:Y445),"0")</f>
        <v>4390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1100</v>
      </c>
      <c r="Y449" s="55">
        <f>IFERROR(IF(X449="",0,CEILING((X449/$H449),1)*$H449),"")</f>
        <v>1110</v>
      </c>
      <c r="Z449" s="41">
        <f>IFERROR(IF(Y449=0,"",ROUNDUP(Y449/H449,0)*0.02175),"")</f>
        <v>1.6094999999999999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1134.4666666666667</v>
      </c>
      <c r="BN449" s="78">
        <f>IFERROR(Y449*I449/H449,"0")</f>
        <v>1144.78</v>
      </c>
      <c r="BO449" s="78">
        <f>IFERROR(1/J449*(X449/H449),"0")</f>
        <v>1.5277777777777777</v>
      </c>
      <c r="BP449" s="78">
        <f>IFERROR(1/J449*(Y449/H449),"0")</f>
        <v>1.5416666666666665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100</v>
      </c>
      <c r="Y450" s="55">
        <f>IFERROR(IF(X450="",0,CEILING((X450/$H450),1)*$H450),"")</f>
        <v>105</v>
      </c>
      <c r="Z450" s="41">
        <f>IFERROR(IF(Y450=0,"",ROUNDUP(Y450/H450,0)*0.02175),"")</f>
        <v>0.15225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103.13333333333334</v>
      </c>
      <c r="BN450" s="78">
        <f>IFERROR(Y450*I450/H450,"0")</f>
        <v>108.29</v>
      </c>
      <c r="BO450" s="78">
        <f>IFERROR(1/J450*(X450/H450),"0")</f>
        <v>0.1388888888888889</v>
      </c>
      <c r="BP450" s="78">
        <f>IFERROR(1/J450*(Y450/H450),"0")</f>
        <v>0.14583333333333331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80</v>
      </c>
      <c r="Y452" s="43">
        <f>IFERROR(Y449/H449,"0")+IFERROR(Y450/H450,"0")+IFERROR(Y451/H451,"0")</f>
        <v>81</v>
      </c>
      <c r="Z452" s="43">
        <f>IFERROR(IF(Z449="",0,Z449),"0")+IFERROR(IF(Z450="",0,Z450),"0")+IFERROR(IF(Z451="",0,Z451),"0")</f>
        <v>1.7617499999999999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1200</v>
      </c>
      <c r="Y453" s="43">
        <f>IFERROR(SUM(Y449:Y451),"0")</f>
        <v>1215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50</v>
      </c>
      <c r="Y455" s="55">
        <f>IFERROR(IF(X455="",0,CEILING((X455/$H455),1)*$H455),"")</f>
        <v>54</v>
      </c>
      <c r="Z455" s="41">
        <f>IFERROR(IF(Y455=0,"",ROUNDUP(Y455/H455,0)*0.01898),"")</f>
        <v>0.11388000000000001</v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52.777777777777779</v>
      </c>
      <c r="BN455" s="78">
        <f>IFERROR(Y455*I455/H455,"0")</f>
        <v>57</v>
      </c>
      <c r="BO455" s="78">
        <f>IFERROR(1/J455*(X455/H455),"0")</f>
        <v>8.6805555555555552E-2</v>
      </c>
      <c r="BP455" s="78">
        <f>IFERROR(1/J455*(Y455/H455),"0")</f>
        <v>9.375E-2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10</v>
      </c>
      <c r="Y456" s="55">
        <f>IFERROR(IF(X456="",0,CEILING((X456/$H456),1)*$H456),"")</f>
        <v>18</v>
      </c>
      <c r="Z456" s="41">
        <f>IFERROR(IF(Y456=0,"",ROUNDUP(Y456/H456,0)*0.01898),"")</f>
        <v>3.7960000000000001E-2</v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10.548888888888889</v>
      </c>
      <c r="BN456" s="78">
        <f>IFERROR(Y456*I456/H456,"0")</f>
        <v>18.988</v>
      </c>
      <c r="BO456" s="78">
        <f>IFERROR(1/J456*(X456/H456),"0")</f>
        <v>1.7361111111111112E-2</v>
      </c>
      <c r="BP456" s="78">
        <f>IFERROR(1/J456*(Y456/H456),"0")</f>
        <v>3.125E-2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40</v>
      </c>
      <c r="Y457" s="55">
        <f>IFERROR(IF(X457="",0,CEILING((X457/$H457),1)*$H457),"")</f>
        <v>43.199999999999996</v>
      </c>
      <c r="Z457" s="41">
        <f>IFERROR(IF(Y457=0,"",ROUNDUP(Y457/H457,0)*0.01196),"")</f>
        <v>0.10764</v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43.466666666666669</v>
      </c>
      <c r="BN457" s="78">
        <f>IFERROR(Y457*I457/H457,"0")</f>
        <v>46.944000000000003</v>
      </c>
      <c r="BO457" s="78">
        <f>IFERROR(1/J457*(X457/H457),"0")</f>
        <v>8.0128205128205135E-2</v>
      </c>
      <c r="BP457" s="78">
        <f>IFERROR(1/J457*(Y457/H457),"0")</f>
        <v>8.6538461538461536E-2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15</v>
      </c>
      <c r="Y458" s="43">
        <f>IFERROR(Y455/H455,"0")+IFERROR(Y456/H456,"0")+IFERROR(Y457/H457,"0")</f>
        <v>17</v>
      </c>
      <c r="Z458" s="43">
        <f>IFERROR(IF(Z455="",0,Z455),"0")+IFERROR(IF(Z456="",0,Z456),"0")+IFERROR(IF(Z457="",0,Z457),"0")</f>
        <v>0.25947999999999999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100</v>
      </c>
      <c r="Y459" s="43">
        <f>IFERROR(SUM(Y455:Y457),"0")</f>
        <v>115.19999999999999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100</v>
      </c>
      <c r="Y461" s="55">
        <f>IFERROR(IF(X461="",0,CEILING((X461/$H461),1)*$H461),"")</f>
        <v>100.80000000000001</v>
      </c>
      <c r="Z461" s="41">
        <f>IFERROR(IF(Y461=0,"",ROUNDUP(Y461/H461,0)*0.01196),"")</f>
        <v>0.28704000000000002</v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109.9047619047619</v>
      </c>
      <c r="BN461" s="78">
        <f>IFERROR(Y461*I461/H461,"0")</f>
        <v>110.78399999999999</v>
      </c>
      <c r="BO461" s="78">
        <f>IFERROR(1/J461*(X461/H461),"0")</f>
        <v>0.22893772893772896</v>
      </c>
      <c r="BP461" s="78">
        <f>IFERROR(1/J461*(Y461/H461),"0")</f>
        <v>0.23076923076923078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23.80952380952381</v>
      </c>
      <c r="Y463" s="43">
        <f>IFERROR(Y461/H461,"0")+IFERROR(Y462/H462,"0")</f>
        <v>24</v>
      </c>
      <c r="Z463" s="43">
        <f>IFERROR(IF(Z461="",0,Z461),"0")+IFERROR(IF(Z462="",0,Z462),"0")</f>
        <v>0.28704000000000002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100</v>
      </c>
      <c r="Y464" s="43">
        <f>IFERROR(SUM(Y461:Y462),"0")</f>
        <v>100.80000000000001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30</v>
      </c>
      <c r="Y467" s="55">
        <f>IFERROR(IF(X467="",0,CEILING((X467/$H467),1)*$H467),"")</f>
        <v>36</v>
      </c>
      <c r="Z467" s="41">
        <f>IFERROR(IF(Y467=0,"",ROUNDUP(Y467/H467,0)*0.01898),"")</f>
        <v>5.6940000000000004E-2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31.025000000000002</v>
      </c>
      <c r="BN467" s="78">
        <f>IFERROR(Y467*I467/H467,"0")</f>
        <v>37.229999999999997</v>
      </c>
      <c r="BO467" s="78">
        <f>IFERROR(1/J467*(X467/H467),"0")</f>
        <v>3.90625E-2</v>
      </c>
      <c r="BP467" s="78">
        <f>IFERROR(1/J467*(Y467/H467),"0")</f>
        <v>4.6875E-2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280</v>
      </c>
      <c r="Y468" s="55">
        <f>IFERROR(IF(X468="",0,CEILING((X468/$H468),1)*$H468),"")</f>
        <v>280</v>
      </c>
      <c r="Z468" s="41">
        <f>IFERROR(IF(Y468=0,"",ROUNDUP(Y468/H468,0)*0.00902),"")</f>
        <v>0.63139999999999996</v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293.3</v>
      </c>
      <c r="BN468" s="78">
        <f>IFERROR(Y468*I468/H468,"0")</f>
        <v>293.3</v>
      </c>
      <c r="BO468" s="78">
        <f>IFERROR(1/J468*(X468/H468),"0")</f>
        <v>0.53030303030303028</v>
      </c>
      <c r="BP468" s="78">
        <f>IFERROR(1/J468*(Y468/H468),"0")</f>
        <v>0.53030303030303028</v>
      </c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72.5</v>
      </c>
      <c r="Y469" s="43">
        <f>IFERROR(Y467/H467,"0")+IFERROR(Y468/H468,"0")</f>
        <v>73</v>
      </c>
      <c r="Z469" s="43">
        <f>IFERROR(IF(Z467="",0,Z467),"0")+IFERROR(IF(Z468="",0,Z468),"0")</f>
        <v>0.68833999999999995</v>
      </c>
      <c r="AA469" s="67"/>
      <c r="AB469" s="67"/>
      <c r="AC469" s="67"/>
    </row>
    <row r="470" spans="1:68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310</v>
      </c>
      <c r="Y470" s="43">
        <f>IFERROR(SUM(Y467:Y468),"0")</f>
        <v>316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70</v>
      </c>
      <c r="Y510" s="55">
        <f t="shared" ref="Y510:Y517" si="71">IFERROR(IF(X510="",0,CEILING((X510/$H510),1)*$H510),"")</f>
        <v>73.92</v>
      </c>
      <c r="Z510" s="41">
        <f>IFERROR(IF(Y510=0,"",ROUNDUP(Y510/H510,0)*0.01196),"")</f>
        <v>0.16744000000000001</v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74.640151515151501</v>
      </c>
      <c r="BN510" s="78">
        <f t="shared" ref="BN510:BN517" si="73">IFERROR(Y510*I510/H510,"0")</f>
        <v>78.819999999999993</v>
      </c>
      <c r="BO510" s="78">
        <f t="shared" ref="BO510:BO517" si="74">IFERROR(1/J510*(X510/H510),"0")</f>
        <v>0.12747668997668998</v>
      </c>
      <c r="BP510" s="78">
        <f t="shared" ref="BP510:BP517" si="75">IFERROR(1/J510*(Y510/H510),"0")</f>
        <v>0.13461538461538464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340</v>
      </c>
      <c r="Y514" s="55">
        <f t="shared" si="71"/>
        <v>343.2</v>
      </c>
      <c r="Z514" s="41">
        <f>IFERROR(IF(Y514=0,"",ROUNDUP(Y514/H514,0)*0.01196),"")</f>
        <v>0.77739999999999998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362.53787878787875</v>
      </c>
      <c r="BN514" s="78">
        <f t="shared" si="73"/>
        <v>365.95</v>
      </c>
      <c r="BO514" s="78">
        <f t="shared" si="74"/>
        <v>0.6191724941724942</v>
      </c>
      <c r="BP514" s="78">
        <f t="shared" si="75"/>
        <v>0.625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60</v>
      </c>
      <c r="Y516" s="55">
        <f t="shared" si="71"/>
        <v>62.4</v>
      </c>
      <c r="Z516" s="41">
        <f>IFERROR(IF(Y516=0,"",ROUNDUP(Y516/H516,0)*0.00902),"")</f>
        <v>0.11726</v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86.375000000000014</v>
      </c>
      <c r="BN516" s="78">
        <f t="shared" si="73"/>
        <v>89.830000000000013</v>
      </c>
      <c r="BO516" s="78">
        <f t="shared" si="74"/>
        <v>9.4696969696969696E-2</v>
      </c>
      <c r="BP516" s="78">
        <f t="shared" si="75"/>
        <v>9.8484848484848481E-2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240</v>
      </c>
      <c r="Y517" s="55">
        <f t="shared" si="71"/>
        <v>240</v>
      </c>
      <c r="Z517" s="41">
        <f>IFERROR(IF(Y517=0,"",ROUNDUP(Y517/H517,0)*0.00902),"")</f>
        <v>0.45100000000000001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345.50000000000006</v>
      </c>
      <c r="BN517" s="78">
        <f t="shared" si="73"/>
        <v>345.50000000000006</v>
      </c>
      <c r="BO517" s="78">
        <f t="shared" si="74"/>
        <v>0.37878787878787878</v>
      </c>
      <c r="BP517" s="78">
        <f t="shared" si="75"/>
        <v>0.37878787878787878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149.62121212121212</v>
      </c>
      <c r="Y518" s="43">
        <f>IFERROR(Y510/H510,"0")+IFERROR(Y511/H511,"0")+IFERROR(Y512/H512,"0")+IFERROR(Y513/H513,"0")+IFERROR(Y514/H514,"0")+IFERROR(Y515/H515,"0")+IFERROR(Y516/H516,"0")+IFERROR(Y517/H517,"0")</f>
        <v>152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1.6327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760</v>
      </c>
      <c r="Y519" s="43">
        <f>IFERROR(SUM(Y510:Y517),"0")</f>
        <v>772.31999999999994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300</v>
      </c>
      <c r="Y521" s="55">
        <f>IFERROR(IF(X521="",0,CEILING((X521/$H521),1)*$H521),"")</f>
        <v>300.96000000000004</v>
      </c>
      <c r="Z521" s="41">
        <f>IFERROR(IF(Y521=0,"",ROUNDUP(Y521/H521,0)*0.01196),"")</f>
        <v>0.68171999999999999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319.88636363636363</v>
      </c>
      <c r="BN521" s="78">
        <f>IFERROR(Y521*I521/H521,"0")</f>
        <v>320.91000000000003</v>
      </c>
      <c r="BO521" s="78">
        <f>IFERROR(1/J521*(X521/H521),"0")</f>
        <v>0.54632867132867136</v>
      </c>
      <c r="BP521" s="78">
        <f>IFERROR(1/J521*(Y521/H521),"0")</f>
        <v>0.54807692307692313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90</v>
      </c>
      <c r="Y523" s="55">
        <f>IFERROR(IF(X523="",0,CEILING((X523/$H523),1)*$H523),"")</f>
        <v>91.2</v>
      </c>
      <c r="Z523" s="41">
        <f>IFERROR(IF(Y523=0,"",ROUNDUP(Y523/H523,0)*0.00902),"")</f>
        <v>0.17138</v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129.5625</v>
      </c>
      <c r="BN523" s="78">
        <f>IFERROR(Y523*I523/H523,"0")</f>
        <v>131.29000000000002</v>
      </c>
      <c r="BO523" s="78">
        <f>IFERROR(1/J523*(X523/H523),"0")</f>
        <v>0.14204545454545456</v>
      </c>
      <c r="BP523" s="78">
        <f>IFERROR(1/J523*(Y523/H523),"0")</f>
        <v>0.14393939393939395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75.568181818181813</v>
      </c>
      <c r="Y524" s="43">
        <f>IFERROR(Y521/H521,"0")+IFERROR(Y522/H522,"0")+IFERROR(Y523/H523,"0")</f>
        <v>76</v>
      </c>
      <c r="Z524" s="43">
        <f>IFERROR(IF(Z521="",0,Z521),"0")+IFERROR(IF(Z522="",0,Z522),"0")+IFERROR(IF(Z523="",0,Z523),"0")</f>
        <v>0.85309999999999997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390</v>
      </c>
      <c r="Y525" s="43">
        <f>IFERROR(SUM(Y521:Y523),"0")</f>
        <v>392.16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30</v>
      </c>
      <c r="Y527" s="55">
        <f t="shared" ref="Y527:Y533" si="76">IFERROR(IF(X527="",0,CEILING((X527/$H527),1)*$H527),"")</f>
        <v>31.68</v>
      </c>
      <c r="Z527" s="41">
        <f>IFERROR(IF(Y527=0,"",ROUNDUP(Y527/H527,0)*0.01196),"")</f>
        <v>7.1760000000000004E-2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31.988636363636363</v>
      </c>
      <c r="BN527" s="78">
        <f t="shared" ref="BN527:BN533" si="78">IFERROR(Y527*I527/H527,"0")</f>
        <v>33.779999999999994</v>
      </c>
      <c r="BO527" s="78">
        <f t="shared" ref="BO527:BO533" si="79">IFERROR(1/J527*(X527/H527),"0")</f>
        <v>5.4632867132867136E-2</v>
      </c>
      <c r="BP527" s="78">
        <f t="shared" ref="BP527:BP533" si="80">IFERROR(1/J527*(Y527/H527),"0")</f>
        <v>5.7692307692307696E-2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7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21.325757575757574</v>
      </c>
      <c r="BN528" s="78">
        <f t="shared" si="78"/>
        <v>22.52</v>
      </c>
      <c r="BO528" s="78">
        <f t="shared" si="79"/>
        <v>3.6421911421911424E-2</v>
      </c>
      <c r="BP528" s="78">
        <f t="shared" si="80"/>
        <v>3.8461538461538464E-2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120</v>
      </c>
      <c r="Y529" s="55">
        <f t="shared" si="76"/>
        <v>121.44000000000001</v>
      </c>
      <c r="Z529" s="41">
        <f>IFERROR(IF(Y529=0,"",ROUNDUP(Y529/H529,0)*0.01196),"")</f>
        <v>0.27507999999999999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127.95454545454545</v>
      </c>
      <c r="BN529" s="78">
        <f t="shared" si="78"/>
        <v>129.49</v>
      </c>
      <c r="BO529" s="78">
        <f t="shared" si="79"/>
        <v>0.21853146853146854</v>
      </c>
      <c r="BP529" s="78">
        <f t="shared" si="80"/>
        <v>0.22115384615384617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48</v>
      </c>
      <c r="Y530" s="55">
        <f t="shared" si="76"/>
        <v>48</v>
      </c>
      <c r="Z530" s="41">
        <f>IFERROR(IF(Y530=0,"",ROUNDUP(Y530/H530,0)*0.00902),"")</f>
        <v>9.0200000000000002E-2</v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69.100000000000009</v>
      </c>
      <c r="BN530" s="78">
        <f t="shared" si="78"/>
        <v>69.100000000000009</v>
      </c>
      <c r="BO530" s="78">
        <f t="shared" si="79"/>
        <v>7.575757575757576E-2</v>
      </c>
      <c r="BP530" s="78">
        <f t="shared" si="80"/>
        <v>7.575757575757576E-2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120</v>
      </c>
      <c r="Y533" s="55">
        <f t="shared" si="76"/>
        <v>120</v>
      </c>
      <c r="Z533" s="41">
        <f>IFERROR(IF(Y533=0,"",ROUNDUP(Y533/H533,0)*0.00902),"")</f>
        <v>0.22550000000000001</v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166.75</v>
      </c>
      <c r="BN533" s="78">
        <f t="shared" si="78"/>
        <v>166.75</v>
      </c>
      <c r="BO533" s="78">
        <f t="shared" si="79"/>
        <v>0.18939393939393939</v>
      </c>
      <c r="BP533" s="78">
        <f t="shared" si="80"/>
        <v>0.18939393939393939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67.196969696969688</v>
      </c>
      <c r="Y534" s="43">
        <f>IFERROR(Y527/H527,"0")+IFERROR(Y528/H528,"0")+IFERROR(Y529/H529,"0")+IFERROR(Y530/H530,"0")+IFERROR(Y531/H531,"0")+IFERROR(Y532/H532,"0")+IFERROR(Y533/H533,"0")</f>
        <v>68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0.71038000000000001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338</v>
      </c>
      <c r="Y535" s="43">
        <f>IFERROR(SUM(Y527:Y533),"0")</f>
        <v>342.24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100</v>
      </c>
      <c r="Y539" s="55">
        <f>IFERROR(IF(X539="",0,CEILING((X539/$H539),1)*$H539),"")</f>
        <v>108</v>
      </c>
      <c r="Z539" s="41">
        <f>IFERROR(IF(Y539=0,"",ROUNDUP(Y539/H539,0)*0.01898),"")</f>
        <v>0.17082</v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103.41666666666667</v>
      </c>
      <c r="BN539" s="78">
        <f>IFERROR(Y539*I539/H539,"0")</f>
        <v>111.69</v>
      </c>
      <c r="BO539" s="78">
        <f>IFERROR(1/J539*(X539/H539),"0")</f>
        <v>0.13020833333333334</v>
      </c>
      <c r="BP539" s="78">
        <f>IFERROR(1/J539*(Y539/H539),"0")</f>
        <v>0.140625</v>
      </c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8.3333333333333339</v>
      </c>
      <c r="Y540" s="43">
        <f>IFERROR(Y539/H539,"0")</f>
        <v>9</v>
      </c>
      <c r="Z540" s="43">
        <f>IFERROR(IF(Z539="",0,Z539),"0")</f>
        <v>0.17082</v>
      </c>
      <c r="AA540" s="67"/>
      <c r="AB540" s="67"/>
      <c r="AC540" s="67"/>
    </row>
    <row r="541" spans="1:68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100</v>
      </c>
      <c r="Y541" s="43">
        <f>IFERROR(SUM(Y539:Y539),"0")</f>
        <v>108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580</v>
      </c>
      <c r="Y551" s="55">
        <f>IFERROR(IF(X551="",0,CEILING((X551/$H551),1)*$H551),"")</f>
        <v>585</v>
      </c>
      <c r="Z551" s="41">
        <f>IFERROR(IF(Y551=0,"",ROUNDUP(Y551/H551,0)*0.01898),"")</f>
        <v>1.2337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611.83555555555552</v>
      </c>
      <c r="BN551" s="78">
        <f>IFERROR(Y551*I551/H551,"0")</f>
        <v>617.11</v>
      </c>
      <c r="BO551" s="78">
        <f>IFERROR(1/J551*(X551/H551),"0")</f>
        <v>1.0069444444444444</v>
      </c>
      <c r="BP551" s="78">
        <f>IFERROR(1/J551*(Y551/H551),"0")</f>
        <v>1.015625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64.444444444444443</v>
      </c>
      <c r="Y552" s="43">
        <f>IFERROR(Y551/H551,"0")</f>
        <v>65</v>
      </c>
      <c r="Z552" s="43">
        <f>IFERROR(IF(Z551="",0,Z551),"0")</f>
        <v>1.2337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580</v>
      </c>
      <c r="Y553" s="43">
        <f>IFERROR(SUM(Y551:Y551),"0")</f>
        <v>585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17598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17806.7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18792.499826587842</v>
      </c>
      <c r="Y565" s="43">
        <f>IFERROR(SUM(BN22:BN561),"0")</f>
        <v>19013.526999999998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32</v>
      </c>
      <c r="Y566" s="44">
        <f>ROUNDUP(SUM(BP22:BP561),0)</f>
        <v>32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19592.499826587842</v>
      </c>
      <c r="Y567" s="43">
        <f>GrossWeightTotalR+PalletQtyTotalR*25</f>
        <v>19813.526999999998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3592.6326058998475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3627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36.992689999999989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351.20000000000005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644.4</v>
      </c>
      <c r="F574" s="52">
        <f>IFERROR(Y89*1,"0")+IFERROR(Y90*1,"0")+IFERROR(Y91*1,"0")+IFERROR(Y92*1,"0")+IFERROR(Y93*1,"0")+IFERROR(Y94*1,"0")+IFERROR(Y98*1,"0")+IFERROR(Y99*1,"0")+IFERROR(Y100*1,"0")+IFERROR(Y101*1,"0")</f>
        <v>1196.0999999999999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1365.66</v>
      </c>
      <c r="H574" s="52">
        <f>IFERROR(Y135*1,"0")+IFERROR(Y136*1,"0")+IFERROR(Y140*1,"0")+IFERROR(Y141*1,"0")+IFERROR(Y145*1,"0")+IFERROR(Y146*1,"0")</f>
        <v>334.32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1154.8800000000001</v>
      </c>
      <c r="K574" s="52">
        <f>IFERROR(Y203*1,"0")+IFERROR(Y204*1,"0")+IFERROR(Y205*1,"0")+IFERROR(Y206*1,"0")+IFERROR(Y207*1,"0")+IFERROR(Y208*1,"0")+IFERROR(Y209*1,"0")</f>
        <v>43.2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157.56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1746.2999999999997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111.46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261.60000000000002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553.79999999999995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755.4</v>
      </c>
      <c r="V574" s="52">
        <f>IFERROR(Y422*1,"0")+IFERROR(Y423*1,"0")+IFERROR(Y424*1,"0")+IFERROR(Y425*1,"0")</f>
        <v>23.4</v>
      </c>
      <c r="W574" s="52">
        <f>IFERROR(Y430*1,"0")+IFERROR(Y431*1,"0")+IFERROR(Y432*1,"0")</f>
        <v>770.7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5821</v>
      </c>
      <c r="Y574" s="52">
        <f>IFERROR(Y467*1,"0")+IFERROR(Y468*1,"0")+IFERROR(Y472*1,"0")+IFERROR(Y476*1,"0")+IFERROR(Y477*1,"0")+IFERROR(Y478*1,"0")</f>
        <v>316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1506.72</v>
      </c>
      <c r="AC574" s="52">
        <f>IFERROR(Y539*1,"0")+IFERROR(Y543*1,"0")+IFERROR(Y547*1,"0")+IFERROR(Y551*1,"0")+IFERROR(Y555*1,"0")+IFERROR(Y556*1,"0")</f>
        <v>693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151,00"/>
        <filter val="1 183,00"/>
        <filter val="1 200,00"/>
        <filter val="1 250,00"/>
        <filter val="1 400,00"/>
        <filter val="10,00"/>
        <filter val="100,00"/>
        <filter val="104,37"/>
        <filter val="105,00"/>
        <filter val="108,33"/>
        <filter val="110,00"/>
        <filter val="112,00"/>
        <filter val="115,00"/>
        <filter val="12,00"/>
        <filter val="12,50"/>
        <filter val="120,00"/>
        <filter val="13,33"/>
        <filter val="134,00"/>
        <filter val="14,00"/>
        <filter val="14,29"/>
        <filter val="140,00"/>
        <filter val="149,07"/>
        <filter val="149,62"/>
        <filter val="15,00"/>
        <filter val="150,00"/>
        <filter val="16,67"/>
        <filter val="160,00"/>
        <filter val="162,00"/>
        <filter val="17 598,00"/>
        <filter val="18 792,50"/>
        <filter val="18,00"/>
        <filter val="180,86"/>
        <filter val="19 592,50"/>
        <filter val="2,56"/>
        <filter val="20,00"/>
        <filter val="200,00"/>
        <filter val="208,00"/>
        <filter val="220,00"/>
        <filter val="228,15"/>
        <filter val="23,81"/>
        <filter val="24,00"/>
        <filter val="240,00"/>
        <filter val="25,00"/>
        <filter val="250,00"/>
        <filter val="260,00"/>
        <filter val="280,00"/>
        <filter val="292,00"/>
        <filter val="3 592,63"/>
        <filter val="3,70"/>
        <filter val="30,00"/>
        <filter val="300,00"/>
        <filter val="310,00"/>
        <filter val="315,00"/>
        <filter val="32"/>
        <filter val="32,00"/>
        <filter val="33,00"/>
        <filter val="330,00"/>
        <filter val="338,00"/>
        <filter val="340,00"/>
        <filter val="35,00"/>
        <filter val="350,00"/>
        <filter val="366,67"/>
        <filter val="390,00"/>
        <filter val="4 360,00"/>
        <filter val="4,00"/>
        <filter val="40,00"/>
        <filter val="405,00"/>
        <filter val="405,48"/>
        <filter val="417,90"/>
        <filter val="428,00"/>
        <filter val="450,00"/>
        <filter val="455,00"/>
        <filter val="46,11"/>
        <filter val="475,00"/>
        <filter val="48,00"/>
        <filter val="50,00"/>
        <filter val="500,00"/>
        <filter val="52,38"/>
        <filter val="528,00"/>
        <filter val="540,00"/>
        <filter val="580,00"/>
        <filter val="6,67"/>
        <filter val="60,00"/>
        <filter val="600,00"/>
        <filter val="63,89"/>
        <filter val="630,00"/>
        <filter val="64,44"/>
        <filter val="655,00"/>
        <filter val="665,00"/>
        <filter val="67,00"/>
        <filter val="67,20"/>
        <filter val="69,23"/>
        <filter val="70,00"/>
        <filter val="72,50"/>
        <filter val="72,86"/>
        <filter val="75,00"/>
        <filter val="75,57"/>
        <filter val="760,00"/>
        <filter val="770,00"/>
        <filter val="78,02"/>
        <filter val="8,00"/>
        <filter val="8,33"/>
        <filter val="80,00"/>
        <filter val="84,81"/>
        <filter val="864,00"/>
        <filter val="90,00"/>
        <filter val="94,63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