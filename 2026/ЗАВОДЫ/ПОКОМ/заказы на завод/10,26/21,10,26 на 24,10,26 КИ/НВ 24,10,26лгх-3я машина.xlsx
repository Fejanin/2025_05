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9EFF55A-3957-4409-84CE-9ECFB838E23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P551" i="1"/>
  <c r="BO551" i="1"/>
  <c r="BM551" i="1"/>
  <c r="Z551" i="1"/>
  <c r="Z552" i="1" s="1"/>
  <c r="Y551" i="1"/>
  <c r="Y553" i="1" s="1"/>
  <c r="P551" i="1"/>
  <c r="X549" i="1"/>
  <c r="Y548" i="1"/>
  <c r="X548" i="1"/>
  <c r="BO547" i="1"/>
  <c r="BN547" i="1"/>
  <c r="BM547" i="1"/>
  <c r="Y547" i="1"/>
  <c r="Y549" i="1" s="1"/>
  <c r="P547" i="1"/>
  <c r="X545" i="1"/>
  <c r="X544" i="1"/>
  <c r="BP543" i="1"/>
  <c r="BO543" i="1"/>
  <c r="BM543" i="1"/>
  <c r="Z543" i="1"/>
  <c r="Z544" i="1" s="1"/>
  <c r="Y543" i="1"/>
  <c r="Y545" i="1" s="1"/>
  <c r="P543" i="1"/>
  <c r="X541" i="1"/>
  <c r="Y540" i="1"/>
  <c r="X540" i="1"/>
  <c r="BO539" i="1"/>
  <c r="BN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M517" i="1"/>
  <c r="Z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M503" i="1"/>
  <c r="Z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M486" i="1"/>
  <c r="Z486" i="1"/>
  <c r="Y486" i="1"/>
  <c r="BN486" i="1" s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O476" i="1"/>
  <c r="BN476" i="1"/>
  <c r="BM476" i="1"/>
  <c r="Y476" i="1"/>
  <c r="BP476" i="1" s="1"/>
  <c r="P476" i="1"/>
  <c r="X474" i="1"/>
  <c r="X473" i="1"/>
  <c r="BP472" i="1"/>
  <c r="BO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M461" i="1"/>
  <c r="Y461" i="1"/>
  <c r="BP461" i="1" s="1"/>
  <c r="P461" i="1"/>
  <c r="X459" i="1"/>
  <c r="X458" i="1"/>
  <c r="BP457" i="1"/>
  <c r="BO457" i="1"/>
  <c r="BM457" i="1"/>
  <c r="Z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M451" i="1"/>
  <c r="Z451" i="1"/>
  <c r="Y451" i="1"/>
  <c r="BN451" i="1" s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M441" i="1"/>
  <c r="Z441" i="1"/>
  <c r="Y441" i="1"/>
  <c r="BN441" i="1" s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N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M415" i="1"/>
  <c r="Z415" i="1"/>
  <c r="Y415" i="1"/>
  <c r="BN415" i="1" s="1"/>
  <c r="P415" i="1"/>
  <c r="X413" i="1"/>
  <c r="X412" i="1"/>
  <c r="BP411" i="1"/>
  <c r="BO411" i="1"/>
  <c r="BM411" i="1"/>
  <c r="Z411" i="1"/>
  <c r="Y411" i="1"/>
  <c r="BN411" i="1" s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N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M389" i="1"/>
  <c r="Z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M379" i="1"/>
  <c r="Z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M369" i="1"/>
  <c r="Z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X358" i="1"/>
  <c r="BO357" i="1"/>
  <c r="BM357" i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M333" i="1"/>
  <c r="Z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M324" i="1"/>
  <c r="Z324" i="1"/>
  <c r="Y324" i="1"/>
  <c r="BN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M313" i="1"/>
  <c r="Z313" i="1"/>
  <c r="Y313" i="1"/>
  <c r="BN313" i="1" s="1"/>
  <c r="P313" i="1"/>
  <c r="X311" i="1"/>
  <c r="Y310" i="1"/>
  <c r="X310" i="1"/>
  <c r="BO309" i="1"/>
  <c r="BN309" i="1"/>
  <c r="BM309" i="1"/>
  <c r="Y309" i="1"/>
  <c r="Y311" i="1" s="1"/>
  <c r="P309" i="1"/>
  <c r="X307" i="1"/>
  <c r="X306" i="1"/>
  <c r="BP305" i="1"/>
  <c r="BO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M295" i="1"/>
  <c r="Z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M254" i="1"/>
  <c r="Z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M239" i="1"/>
  <c r="Z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N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X23" i="1"/>
  <c r="BO22" i="1"/>
  <c r="BM22" i="1"/>
  <c r="Y22" i="1"/>
  <c r="BP22" i="1" s="1"/>
  <c r="P22" i="1"/>
  <c r="H10" i="1"/>
  <c r="A9" i="1"/>
  <c r="A10" i="1" s="1"/>
  <c r="D7" i="1"/>
  <c r="Q6" i="1"/>
  <c r="P2" i="1"/>
  <c r="BN22" i="1" l="1"/>
  <c r="Y23" i="1"/>
  <c r="Z26" i="1"/>
  <c r="BP26" i="1"/>
  <c r="BN42" i="1"/>
  <c r="Z59" i="1"/>
  <c r="BP59" i="1"/>
  <c r="Z71" i="1"/>
  <c r="BP71" i="1"/>
  <c r="Z90" i="1"/>
  <c r="BP90" i="1"/>
  <c r="Z100" i="1"/>
  <c r="BP100" i="1"/>
  <c r="G574" i="1"/>
  <c r="BN117" i="1"/>
  <c r="BN136" i="1"/>
  <c r="BN153" i="1"/>
  <c r="Z176" i="1"/>
  <c r="BP176" i="1"/>
  <c r="BN184" i="1"/>
  <c r="Z208" i="1"/>
  <c r="BP208" i="1"/>
  <c r="BN225" i="1"/>
  <c r="BN235" i="1"/>
  <c r="BN245" i="1"/>
  <c r="BN284" i="1"/>
  <c r="BN322" i="1"/>
  <c r="BN342" i="1"/>
  <c r="BN357" i="1"/>
  <c r="Y358" i="1"/>
  <c r="BN397" i="1"/>
  <c r="BN461" i="1"/>
  <c r="BN513" i="1"/>
  <c r="BN523" i="1"/>
  <c r="BN531" i="1"/>
  <c r="Z22" i="1"/>
  <c r="Z23" i="1" s="1"/>
  <c r="Z42" i="1"/>
  <c r="Z117" i="1"/>
  <c r="Z136" i="1"/>
  <c r="Z153" i="1"/>
  <c r="Z184" i="1"/>
  <c r="Z225" i="1"/>
  <c r="Z235" i="1"/>
  <c r="Z245" i="1"/>
  <c r="Z246" i="1" s="1"/>
  <c r="Z284" i="1"/>
  <c r="Z322" i="1"/>
  <c r="Z342" i="1"/>
  <c r="Z357" i="1"/>
  <c r="Z358" i="1" s="1"/>
  <c r="BP357" i="1"/>
  <c r="Z397" i="1"/>
  <c r="Z461" i="1"/>
  <c r="Z513" i="1"/>
  <c r="Z523" i="1"/>
  <c r="Z531" i="1"/>
  <c r="Z249" i="1"/>
  <c r="Z250" i="1" s="1"/>
  <c r="BP249" i="1"/>
  <c r="Z268" i="1"/>
  <c r="Z280" i="1"/>
  <c r="BN305" i="1"/>
  <c r="Y306" i="1"/>
  <c r="Z309" i="1"/>
  <c r="Z310" i="1" s="1"/>
  <c r="BP309" i="1"/>
  <c r="Z348" i="1"/>
  <c r="S574" i="1"/>
  <c r="Z405" i="1"/>
  <c r="Z431" i="1"/>
  <c r="BN472" i="1"/>
  <c r="Y473" i="1"/>
  <c r="Z476" i="1"/>
  <c r="Z539" i="1"/>
  <c r="Z540" i="1" s="1"/>
  <c r="BP539" i="1"/>
  <c r="BN543" i="1"/>
  <c r="Y544" i="1"/>
  <c r="Z547" i="1"/>
  <c r="Z548" i="1" s="1"/>
  <c r="BP547" i="1"/>
  <c r="BN551" i="1"/>
  <c r="Y552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Z261" i="1" s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Z302" i="1" s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Z343" i="1" s="1"/>
  <c r="Y343" i="1"/>
  <c r="Z349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33" i="1" l="1"/>
  <c r="Z518" i="1"/>
  <c r="Z291" i="1"/>
  <c r="Z155" i="1"/>
  <c r="Z534" i="1"/>
  <c r="Z406" i="1"/>
  <c r="Z490" i="1"/>
  <c r="Z127" i="1"/>
  <c r="Z67" i="1"/>
  <c r="Y565" i="1"/>
  <c r="Z317" i="1"/>
  <c r="Z524" i="1"/>
  <c r="Z479" i="1"/>
  <c r="Z376" i="1"/>
  <c r="Z272" i="1"/>
  <c r="Z142" i="1"/>
  <c r="Z120" i="1"/>
  <c r="Z113" i="1"/>
  <c r="Z102" i="1"/>
  <c r="Z95" i="1"/>
  <c r="Z74" i="1"/>
  <c r="Z55" i="1"/>
  <c r="Y566" i="1"/>
  <c r="Z46" i="1"/>
  <c r="Z36" i="1"/>
  <c r="Z31" i="1"/>
  <c r="Z386" i="1"/>
  <c r="Y568" i="1"/>
  <c r="Z446" i="1"/>
  <c r="X567" i="1"/>
  <c r="Z232" i="1"/>
  <c r="Z167" i="1"/>
  <c r="Z426" i="1"/>
  <c r="Z505" i="1"/>
  <c r="Z328" i="1"/>
  <c r="Z286" i="1"/>
  <c r="Z399" i="1"/>
  <c r="Z210" i="1"/>
  <c r="Z85" i="1"/>
  <c r="Y564" i="1"/>
  <c r="Z335" i="1"/>
  <c r="Z185" i="1"/>
  <c r="Y567" i="1" l="1"/>
  <c r="Z569" i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<sst xmlns="http://schemas.openxmlformats.org/spreadsheetml/2006/main" count="2538" uniqueCount="917">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</sst>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5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74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9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" fillId="0" borderId="0" xfId="0" applyFont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9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8" t="s">
        <v>0</v>
      </c>
      <c r="E1" s="668"/>
      <c r="F1" s="668"/>
      <c r="G1" s="12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7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87" t="s">
        <v>8</v>
      </c>
      <c r="B5" s="757"/>
      <c r="C5" s="672"/>
      <c r="D5" s="770"/>
      <c r="E5" s="772"/>
      <c r="F5" s="708" t="s">
        <v>9</v>
      </c>
      <c r="G5" s="672"/>
      <c r="H5" s="770" t="s">
        <v>916</v>
      </c>
      <c r="I5" s="771"/>
      <c r="J5" s="771"/>
      <c r="K5" s="771"/>
      <c r="L5" s="771"/>
      <c r="M5" s="772"/>
      <c r="N5" s="58"/>
      <c r="P5" s="24" t="s">
        <v>10</v>
      </c>
      <c r="Q5" s="684">
        <v>46319</v>
      </c>
      <c r="R5" s="685"/>
      <c r="T5" s="850" t="s">
        <v>11</v>
      </c>
      <c r="U5" s="851"/>
      <c r="V5" s="852" t="s">
        <v>12</v>
      </c>
      <c r="W5" s="685"/>
      <c r="AB5" s="51"/>
      <c r="AC5" s="51"/>
      <c r="AD5" s="51"/>
      <c r="AE5" s="51"/>
    </row>
    <row r="6" spans="1:32" s="627" customFormat="1" ht="24" customHeight="1" x14ac:dyDescent="0.2">
      <c r="A6" s="887" t="s">
        <v>13</v>
      </c>
      <c r="B6" s="757"/>
      <c r="C6" s="672"/>
      <c r="D6" s="777" t="s">
        <v>889</v>
      </c>
      <c r="E6" s="778"/>
      <c r="F6" s="778"/>
      <c r="G6" s="778"/>
      <c r="H6" s="778"/>
      <c r="I6" s="778"/>
      <c r="J6" s="778"/>
      <c r="K6" s="778"/>
      <c r="L6" s="778"/>
      <c r="M6" s="685"/>
      <c r="N6" s="59"/>
      <c r="P6" s="24" t="s">
        <v>14</v>
      </c>
      <c r="Q6" s="692" t="str">
        <f>IF(Q5=0," ",CHOOSE(WEEKDAY(Q5,2),"Понедельник","Вторник","Среда","Четверг","Пятница","Суббота","Воскресенье"))</f>
        <v>Суббота</v>
      </c>
      <c r="R6" s="641"/>
      <c r="T6" s="861" t="s">
        <v>15</v>
      </c>
      <c r="U6" s="851"/>
      <c r="V6" s="791" t="s">
        <v>16</v>
      </c>
      <c r="W6" s="792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41" t="str">
        <f>IFERROR(VLOOKUP(DeliveryAddress,Table,3,0),1)</f>
        <v>6</v>
      </c>
      <c r="E7" s="942"/>
      <c r="F7" s="942"/>
      <c r="G7" s="942"/>
      <c r="H7" s="942"/>
      <c r="I7" s="942"/>
      <c r="J7" s="942"/>
      <c r="K7" s="942"/>
      <c r="L7" s="942"/>
      <c r="M7" s="856"/>
      <c r="N7" s="60"/>
      <c r="P7" s="24"/>
      <c r="Q7" s="42"/>
      <c r="R7" s="42"/>
      <c r="T7" s="646"/>
      <c r="U7" s="851"/>
      <c r="V7" s="793"/>
      <c r="W7" s="794"/>
      <c r="AB7" s="51"/>
      <c r="AC7" s="51"/>
      <c r="AD7" s="51"/>
      <c r="AE7" s="51"/>
    </row>
    <row r="8" spans="1:32" s="627" customFormat="1" ht="25.5" customHeight="1" x14ac:dyDescent="0.2">
      <c r="A8" s="637" t="s">
        <v>17</v>
      </c>
      <c r="B8" s="638"/>
      <c r="C8" s="639"/>
      <c r="D8" s="952"/>
      <c r="E8" s="953"/>
      <c r="F8" s="953"/>
      <c r="G8" s="953"/>
      <c r="H8" s="953"/>
      <c r="I8" s="953"/>
      <c r="J8" s="953"/>
      <c r="K8" s="953"/>
      <c r="L8" s="953"/>
      <c r="M8" s="954"/>
      <c r="N8" s="61"/>
      <c r="P8" s="24" t="s">
        <v>18</v>
      </c>
      <c r="Q8" s="855">
        <v>0.41666666666666669</v>
      </c>
      <c r="R8" s="856"/>
      <c r="T8" s="646"/>
      <c r="U8" s="851"/>
      <c r="V8" s="793"/>
      <c r="W8" s="794"/>
      <c r="AB8" s="51"/>
      <c r="AC8" s="51"/>
      <c r="AD8" s="51"/>
      <c r="AE8" s="51"/>
    </row>
    <row r="9" spans="1:32" s="627" customFormat="1" ht="39.950000000000003" customHeight="1" x14ac:dyDescent="0.2">
      <c r="A9" s="6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19"/>
      <c r="E9" s="720"/>
      <c r="F9" s="6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1000" t="str">
        <f>IF(AND($A$9="Тип доверенности/получателя при получении в адресе перегруза:",$D$9="Разовая доверенность"),"Введите ФИО","")</f>
        <v/>
      </c>
      <c r="I9" s="720"/>
      <c r="J9" s="10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20"/>
      <c r="L9" s="720"/>
      <c r="M9" s="720"/>
      <c r="N9" s="625"/>
      <c r="P9" s="26" t="s">
        <v>19</v>
      </c>
      <c r="Q9" s="1001"/>
      <c r="R9" s="711"/>
      <c r="T9" s="646"/>
      <c r="U9" s="851"/>
      <c r="V9" s="795"/>
      <c r="W9" s="796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19"/>
      <c r="E10" s="720"/>
      <c r="F10" s="6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1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62"/>
      <c r="R10" s="863"/>
      <c r="U10" s="24" t="s">
        <v>21</v>
      </c>
      <c r="V10" s="968" t="s">
        <v>22</v>
      </c>
      <c r="W10" s="792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1002"/>
      <c r="R11" s="685"/>
      <c r="U11" s="24" t="s">
        <v>25</v>
      </c>
      <c r="V11" s="710" t="s">
        <v>26</v>
      </c>
      <c r="W11" s="71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7" t="s">
        <v>27</v>
      </c>
      <c r="B12" s="757"/>
      <c r="C12" s="757"/>
      <c r="D12" s="757"/>
      <c r="E12" s="757"/>
      <c r="F12" s="757"/>
      <c r="G12" s="757"/>
      <c r="H12" s="757"/>
      <c r="I12" s="757"/>
      <c r="J12" s="757"/>
      <c r="K12" s="757"/>
      <c r="L12" s="757"/>
      <c r="M12" s="672"/>
      <c r="N12" s="62"/>
      <c r="P12" s="24" t="s">
        <v>28</v>
      </c>
      <c r="Q12" s="855"/>
      <c r="R12" s="856"/>
      <c r="S12" s="23"/>
      <c r="U12" s="24"/>
      <c r="V12" s="668"/>
      <c r="W12" s="646"/>
      <c r="AB12" s="51"/>
      <c r="AC12" s="51"/>
      <c r="AD12" s="51"/>
      <c r="AE12" s="51"/>
    </row>
    <row r="13" spans="1:32" s="627" customFormat="1" ht="23.25" customHeight="1" x14ac:dyDescent="0.2">
      <c r="A13" s="827" t="s">
        <v>29</v>
      </c>
      <c r="B13" s="757"/>
      <c r="C13" s="757"/>
      <c r="D13" s="757"/>
      <c r="E13" s="757"/>
      <c r="F13" s="757"/>
      <c r="G13" s="757"/>
      <c r="H13" s="757"/>
      <c r="I13" s="757"/>
      <c r="J13" s="757"/>
      <c r="K13" s="757"/>
      <c r="L13" s="757"/>
      <c r="M13" s="672"/>
      <c r="N13" s="62"/>
      <c r="O13" s="26"/>
      <c r="P13" s="26" t="s">
        <v>30</v>
      </c>
      <c r="Q13" s="710"/>
      <c r="R13" s="71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7" t="s">
        <v>31</v>
      </c>
      <c r="B14" s="757"/>
      <c r="C14" s="757"/>
      <c r="D14" s="757"/>
      <c r="E14" s="757"/>
      <c r="F14" s="757"/>
      <c r="G14" s="757"/>
      <c r="H14" s="757"/>
      <c r="I14" s="757"/>
      <c r="J14" s="757"/>
      <c r="K14" s="757"/>
      <c r="L14" s="757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30" t="s">
        <v>32</v>
      </c>
      <c r="B15" s="757"/>
      <c r="C15" s="757"/>
      <c r="D15" s="757"/>
      <c r="E15" s="757"/>
      <c r="F15" s="757"/>
      <c r="G15" s="757"/>
      <c r="H15" s="757"/>
      <c r="I15" s="757"/>
      <c r="J15" s="757"/>
      <c r="K15" s="757"/>
      <c r="L15" s="757"/>
      <c r="M15" s="672"/>
      <c r="N15" s="63"/>
      <c r="P15" s="874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75"/>
      <c r="Q16" s="875"/>
      <c r="R16" s="875"/>
      <c r="S16" s="875"/>
      <c r="T16" s="87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6" t="s">
        <v>34</v>
      </c>
      <c r="B17" s="656" t="s">
        <v>35</v>
      </c>
      <c r="C17" s="893" t="s">
        <v>36</v>
      </c>
      <c r="D17" s="656" t="s">
        <v>37</v>
      </c>
      <c r="E17" s="657"/>
      <c r="F17" s="656" t="s">
        <v>38</v>
      </c>
      <c r="G17" s="656" t="s">
        <v>39</v>
      </c>
      <c r="H17" s="656" t="s">
        <v>40</v>
      </c>
      <c r="I17" s="656" t="s">
        <v>41</v>
      </c>
      <c r="J17" s="656" t="s">
        <v>42</v>
      </c>
      <c r="K17" s="656" t="s">
        <v>43</v>
      </c>
      <c r="L17" s="656" t="s">
        <v>44</v>
      </c>
      <c r="M17" s="656" t="s">
        <v>45</v>
      </c>
      <c r="N17" s="656" t="s">
        <v>46</v>
      </c>
      <c r="O17" s="656" t="s">
        <v>47</v>
      </c>
      <c r="P17" s="656" t="s">
        <v>48</v>
      </c>
      <c r="Q17" s="921"/>
      <c r="R17" s="921"/>
      <c r="S17" s="921"/>
      <c r="T17" s="657"/>
      <c r="U17" s="671" t="s">
        <v>49</v>
      </c>
      <c r="V17" s="672"/>
      <c r="W17" s="656" t="s">
        <v>50</v>
      </c>
      <c r="X17" s="656" t="s">
        <v>51</v>
      </c>
      <c r="Y17" s="675" t="s">
        <v>52</v>
      </c>
      <c r="Z17" s="803" t="s">
        <v>53</v>
      </c>
      <c r="AA17" s="702" t="s">
        <v>54</v>
      </c>
      <c r="AB17" s="702" t="s">
        <v>55</v>
      </c>
      <c r="AC17" s="702" t="s">
        <v>56</v>
      </c>
      <c r="AD17" s="702" t="s">
        <v>57</v>
      </c>
      <c r="AE17" s="703"/>
      <c r="AF17" s="704"/>
      <c r="AG17" s="66"/>
      <c r="BD17" s="65" t="s">
        <v>58</v>
      </c>
    </row>
    <row r="18" spans="1:68" ht="14.25" customHeight="1" x14ac:dyDescent="0.2">
      <c r="A18" s="664"/>
      <c r="B18" s="664"/>
      <c r="C18" s="664"/>
      <c r="D18" s="658"/>
      <c r="E18" s="659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58"/>
      <c r="Q18" s="922"/>
      <c r="R18" s="922"/>
      <c r="S18" s="922"/>
      <c r="T18" s="659"/>
      <c r="U18" s="67" t="s">
        <v>59</v>
      </c>
      <c r="V18" s="67" t="s">
        <v>60</v>
      </c>
      <c r="W18" s="664"/>
      <c r="X18" s="664"/>
      <c r="Y18" s="676"/>
      <c r="Z18" s="804"/>
      <c r="AA18" s="809"/>
      <c r="AB18" s="809"/>
      <c r="AC18" s="809"/>
      <c r="AD18" s="705"/>
      <c r="AE18" s="706"/>
      <c r="AF18" s="707"/>
      <c r="AG18" s="66"/>
      <c r="BD18" s="65"/>
    </row>
    <row r="19" spans="1:68" ht="27.75" hidden="1" customHeight="1" x14ac:dyDescent="0.2">
      <c r="A19" s="695" t="s">
        <v>61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654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hidden="1" customHeight="1" x14ac:dyDescent="0.25">
      <c r="A21" s="651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0">
        <v>4680115889071</v>
      </c>
      <c r="E22" s="641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5"/>
      <c r="B23" s="646"/>
      <c r="C23" s="646"/>
      <c r="D23" s="646"/>
      <c r="E23" s="646"/>
      <c r="F23" s="646"/>
      <c r="G23" s="646"/>
      <c r="H23" s="646"/>
      <c r="I23" s="646"/>
      <c r="J23" s="646"/>
      <c r="K23" s="646"/>
      <c r="L23" s="646"/>
      <c r="M23" s="646"/>
      <c r="N23" s="646"/>
      <c r="O23" s="647"/>
      <c r="P23" s="648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6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7"/>
      <c r="P24" s="648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51" t="s">
        <v>71</v>
      </c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6"/>
      <c r="P25" s="646"/>
      <c r="Q25" s="646"/>
      <c r="R25" s="646"/>
      <c r="S25" s="646"/>
      <c r="T25" s="646"/>
      <c r="U25" s="646"/>
      <c r="V25" s="646"/>
      <c r="W25" s="646"/>
      <c r="X25" s="646"/>
      <c r="Y25" s="646"/>
      <c r="Z25" s="646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0">
        <v>4680115885912</v>
      </c>
      <c r="E26" s="641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0">
        <v>4607091388237</v>
      </c>
      <c r="E27" s="641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10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3"/>
      <c r="R27" s="643"/>
      <c r="S27" s="643"/>
      <c r="T27" s="644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40">
        <v>4680115887350</v>
      </c>
      <c r="E28" s="641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9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3"/>
      <c r="R28" s="643"/>
      <c r="S28" s="643"/>
      <c r="T28" s="644"/>
      <c r="U28" s="34"/>
      <c r="V28" s="34"/>
      <c r="W28" s="35" t="s">
        <v>67</v>
      </c>
      <c r="X28" s="633">
        <v>21</v>
      </c>
      <c r="Y28" s="634">
        <f>IFERROR(IF(X28="",0,CEILING((X28/$H28),1)*$H28),"")</f>
        <v>21.6</v>
      </c>
      <c r="Z28" s="36">
        <f>IFERROR(IF(Y28=0,"",ROUNDUP(Y28/H28,0)*0.00651),"")</f>
        <v>7.8119999999999995E-2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37.1</v>
      </c>
      <c r="BN28" s="64">
        <f>IFERROR(Y28*I28/H28,"0")</f>
        <v>38.160000000000004</v>
      </c>
      <c r="BO28" s="64">
        <f>IFERROR(1/J28*(X28/H28),"0")</f>
        <v>6.4102564102564111E-2</v>
      </c>
      <c r="BP28" s="64">
        <f>IFERROR(1/J28*(Y28/H28),"0")</f>
        <v>6.5934065934065936E-2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40">
        <v>4680115885905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3"/>
      <c r="R29" s="643"/>
      <c r="S29" s="643"/>
      <c r="T29" s="644"/>
      <c r="U29" s="34"/>
      <c r="V29" s="34"/>
      <c r="W29" s="35" t="s">
        <v>67</v>
      </c>
      <c r="X29" s="633">
        <v>10</v>
      </c>
      <c r="Y29" s="634">
        <f>IFERROR(IF(X29="",0,CEILING((X29/$H29),1)*$H29),"")</f>
        <v>10.8</v>
      </c>
      <c r="Z29" s="36">
        <f>IFERROR(IF(Y29=0,"",ROUNDUP(Y29/H29,0)*0.00651),"")</f>
        <v>3.9059999999999997E-2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17.666666666666668</v>
      </c>
      <c r="BN29" s="64">
        <f>IFERROR(Y29*I29/H29,"0")</f>
        <v>19.080000000000002</v>
      </c>
      <c r="BO29" s="64">
        <f>IFERROR(1/J29*(X29/H29),"0")</f>
        <v>3.0525030525030528E-2</v>
      </c>
      <c r="BP29" s="64">
        <f>IFERROR(1/J29*(Y29/H29),"0")</f>
        <v>3.2967032967032968E-2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0">
        <v>4680115887619</v>
      </c>
      <c r="E30" s="641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98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5"/>
      <c r="B31" s="646"/>
      <c r="C31" s="646"/>
      <c r="D31" s="646"/>
      <c r="E31" s="646"/>
      <c r="F31" s="646"/>
      <c r="G31" s="646"/>
      <c r="H31" s="646"/>
      <c r="I31" s="646"/>
      <c r="J31" s="646"/>
      <c r="K31" s="646"/>
      <c r="L31" s="646"/>
      <c r="M31" s="646"/>
      <c r="N31" s="646"/>
      <c r="O31" s="647"/>
      <c r="P31" s="648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35">
        <f>IFERROR(X26/H26,"0")+IFERROR(X27/H27,"0")+IFERROR(X28/H28,"0")+IFERROR(X29/H29,"0")+IFERROR(X30/H30,"0")</f>
        <v>17.222222222222221</v>
      </c>
      <c r="Y31" s="635">
        <f>IFERROR(Y26/H26,"0")+IFERROR(Y27/H27,"0")+IFERROR(Y28/H28,"0")+IFERROR(Y29/H29,"0")+IFERROR(Y30/H30,"0")</f>
        <v>18</v>
      </c>
      <c r="Z31" s="635">
        <f>IFERROR(IF(Z26="",0,Z26),"0")+IFERROR(IF(Z27="",0,Z27),"0")+IFERROR(IF(Z28="",0,Z28),"0")+IFERROR(IF(Z29="",0,Z29),"0")+IFERROR(IF(Z30="",0,Z30),"0")</f>
        <v>0.11717999999999999</v>
      </c>
      <c r="AA31" s="636"/>
      <c r="AB31" s="636"/>
      <c r="AC31" s="636"/>
    </row>
    <row r="32" spans="1:68" x14ac:dyDescent="0.2">
      <c r="A32" s="646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7"/>
      <c r="P32" s="648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35">
        <f>IFERROR(SUM(X26:X30),"0")</f>
        <v>31</v>
      </c>
      <c r="Y32" s="635">
        <f>IFERROR(SUM(Y26:Y30),"0")</f>
        <v>32.400000000000006</v>
      </c>
      <c r="Z32" s="37"/>
      <c r="AA32" s="636"/>
      <c r="AB32" s="636"/>
      <c r="AC32" s="636"/>
    </row>
    <row r="33" spans="1:68" ht="14.25" hidden="1" customHeight="1" x14ac:dyDescent="0.25">
      <c r="A33" s="651" t="s">
        <v>89</v>
      </c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6"/>
      <c r="P33" s="646"/>
      <c r="Q33" s="646"/>
      <c r="R33" s="646"/>
      <c r="S33" s="646"/>
      <c r="T33" s="646"/>
      <c r="U33" s="646"/>
      <c r="V33" s="646"/>
      <c r="W33" s="646"/>
      <c r="X33" s="646"/>
      <c r="Y33" s="646"/>
      <c r="Z33" s="646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0">
        <v>4680115889262</v>
      </c>
      <c r="E34" s="641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7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3"/>
      <c r="R34" s="643"/>
      <c r="S34" s="643"/>
      <c r="T34" s="644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0">
        <v>4680115889040</v>
      </c>
      <c r="E35" s="641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1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3"/>
      <c r="R35" s="643"/>
      <c r="S35" s="643"/>
      <c r="T35" s="644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5"/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7"/>
      <c r="P36" s="648" t="s">
        <v>69</v>
      </c>
      <c r="Q36" s="638"/>
      <c r="R36" s="638"/>
      <c r="S36" s="638"/>
      <c r="T36" s="638"/>
      <c r="U36" s="638"/>
      <c r="V36" s="639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6"/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7"/>
      <c r="P37" s="648" t="s">
        <v>69</v>
      </c>
      <c r="Q37" s="638"/>
      <c r="R37" s="638"/>
      <c r="S37" s="638"/>
      <c r="T37" s="638"/>
      <c r="U37" s="638"/>
      <c r="V37" s="639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95" t="s">
        <v>100</v>
      </c>
      <c r="B38" s="696"/>
      <c r="C38" s="696"/>
      <c r="D38" s="696"/>
      <c r="E38" s="696"/>
      <c r="F38" s="696"/>
      <c r="G38" s="696"/>
      <c r="H38" s="696"/>
      <c r="I38" s="696"/>
      <c r="J38" s="696"/>
      <c r="K38" s="696"/>
      <c r="L38" s="696"/>
      <c r="M38" s="696"/>
      <c r="N38" s="696"/>
      <c r="O38" s="696"/>
      <c r="P38" s="696"/>
      <c r="Q38" s="696"/>
      <c r="R38" s="696"/>
      <c r="S38" s="696"/>
      <c r="T38" s="696"/>
      <c r="U38" s="696"/>
      <c r="V38" s="696"/>
      <c r="W38" s="696"/>
      <c r="X38" s="696"/>
      <c r="Y38" s="696"/>
      <c r="Z38" s="696"/>
      <c r="AA38" s="48"/>
      <c r="AB38" s="48"/>
      <c r="AC38" s="48"/>
    </row>
    <row r="39" spans="1:68" ht="16.5" hidden="1" customHeight="1" x14ac:dyDescent="0.25">
      <c r="A39" s="654" t="s">
        <v>101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28"/>
      <c r="AB39" s="628"/>
      <c r="AC39" s="628"/>
    </row>
    <row r="40" spans="1:68" ht="14.25" hidden="1" customHeight="1" x14ac:dyDescent="0.25">
      <c r="A40" s="651" t="s">
        <v>71</v>
      </c>
      <c r="B40" s="646"/>
      <c r="C40" s="646"/>
      <c r="D40" s="646"/>
      <c r="E40" s="646"/>
      <c r="F40" s="646"/>
      <c r="G40" s="646"/>
      <c r="H40" s="646"/>
      <c r="I40" s="646"/>
      <c r="J40" s="646"/>
      <c r="K40" s="646"/>
      <c r="L40" s="646"/>
      <c r="M40" s="646"/>
      <c r="N40" s="646"/>
      <c r="O40" s="646"/>
      <c r="P40" s="646"/>
      <c r="Q40" s="646"/>
      <c r="R40" s="646"/>
      <c r="S40" s="646"/>
      <c r="T40" s="646"/>
      <c r="U40" s="646"/>
      <c r="V40" s="646"/>
      <c r="W40" s="646"/>
      <c r="X40" s="646"/>
      <c r="Y40" s="646"/>
      <c r="Z40" s="646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0">
        <v>4680115889354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7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0">
        <v>4680115888463</v>
      </c>
      <c r="E42" s="641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3"/>
      <c r="R42" s="643"/>
      <c r="S42" s="643"/>
      <c r="T42" s="644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0">
        <v>4680115889590</v>
      </c>
      <c r="E43" s="641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6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3"/>
      <c r="R43" s="643"/>
      <c r="S43" s="643"/>
      <c r="T43" s="644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0">
        <v>4680115888272</v>
      </c>
      <c r="E44" s="641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95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3"/>
      <c r="R44" s="643"/>
      <c r="S44" s="643"/>
      <c r="T44" s="644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0">
        <v>4680115888364</v>
      </c>
      <c r="E45" s="641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7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3"/>
      <c r="R45" s="643"/>
      <c r="S45" s="643"/>
      <c r="T45" s="644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5"/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7"/>
      <c r="P46" s="648" t="s">
        <v>69</v>
      </c>
      <c r="Q46" s="638"/>
      <c r="R46" s="638"/>
      <c r="S46" s="638"/>
      <c r="T46" s="638"/>
      <c r="U46" s="638"/>
      <c r="V46" s="639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6"/>
      <c r="B47" s="646"/>
      <c r="C47" s="646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7"/>
      <c r="P47" s="648" t="s">
        <v>69</v>
      </c>
      <c r="Q47" s="638"/>
      <c r="R47" s="638"/>
      <c r="S47" s="638"/>
      <c r="T47" s="638"/>
      <c r="U47" s="638"/>
      <c r="V47" s="639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95" t="s">
        <v>117</v>
      </c>
      <c r="B48" s="696"/>
      <c r="C48" s="696"/>
      <c r="D48" s="696"/>
      <c r="E48" s="696"/>
      <c r="F48" s="696"/>
      <c r="G48" s="696"/>
      <c r="H48" s="696"/>
      <c r="I48" s="696"/>
      <c r="J48" s="696"/>
      <c r="K48" s="696"/>
      <c r="L48" s="696"/>
      <c r="M48" s="696"/>
      <c r="N48" s="696"/>
      <c r="O48" s="696"/>
      <c r="P48" s="696"/>
      <c r="Q48" s="696"/>
      <c r="R48" s="696"/>
      <c r="S48" s="696"/>
      <c r="T48" s="696"/>
      <c r="U48" s="696"/>
      <c r="V48" s="696"/>
      <c r="W48" s="696"/>
      <c r="X48" s="696"/>
      <c r="Y48" s="696"/>
      <c r="Z48" s="696"/>
      <c r="AA48" s="48"/>
      <c r="AB48" s="48"/>
      <c r="AC48" s="48"/>
    </row>
    <row r="49" spans="1:68" ht="16.5" hidden="1" customHeight="1" x14ac:dyDescent="0.25">
      <c r="A49" s="654" t="s">
        <v>118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28"/>
      <c r="AB49" s="628"/>
      <c r="AC49" s="628"/>
    </row>
    <row r="50" spans="1:68" ht="14.25" hidden="1" customHeight="1" x14ac:dyDescent="0.25">
      <c r="A50" s="651" t="s">
        <v>119</v>
      </c>
      <c r="B50" s="646"/>
      <c r="C50" s="646"/>
      <c r="D50" s="646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6"/>
      <c r="R50" s="646"/>
      <c r="S50" s="646"/>
      <c r="T50" s="646"/>
      <c r="U50" s="646"/>
      <c r="V50" s="646"/>
      <c r="W50" s="646"/>
      <c r="X50" s="646"/>
      <c r="Y50" s="646"/>
      <c r="Z50" s="646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0">
        <v>4607091385670</v>
      </c>
      <c r="E51" s="641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3"/>
      <c r="R51" s="643"/>
      <c r="S51" s="643"/>
      <c r="T51" s="644"/>
      <c r="U51" s="34"/>
      <c r="V51" s="34"/>
      <c r="W51" s="35" t="s">
        <v>67</v>
      </c>
      <c r="X51" s="633">
        <v>294</v>
      </c>
      <c r="Y51" s="634">
        <f>IFERROR(IF(X51="",0,CEILING((X51/$H51),1)*$H51),"")</f>
        <v>302.40000000000003</v>
      </c>
      <c r="Z51" s="36">
        <f>IFERROR(IF(Y51=0,"",ROUNDUP(Y51/H51,0)*0.01898),"")</f>
        <v>0.53144000000000002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305.1611111111111</v>
      </c>
      <c r="BN51" s="64">
        <f>IFERROR(Y51*I51/H51,"0")</f>
        <v>313.88</v>
      </c>
      <c r="BO51" s="64">
        <f>IFERROR(1/J51*(X51/H51),"0")</f>
        <v>0.42534722222222221</v>
      </c>
      <c r="BP51" s="64">
        <f>IFERROR(1/J51*(Y51/H51),"0")</f>
        <v>0.4375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0">
        <v>4680115887725</v>
      </c>
      <c r="E52" s="641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3"/>
      <c r="R52" s="643"/>
      <c r="S52" s="643"/>
      <c r="T52" s="644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0">
        <v>4607091385687</v>
      </c>
      <c r="E53" s="641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9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3"/>
      <c r="R53" s="643"/>
      <c r="S53" s="643"/>
      <c r="T53" s="644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40">
        <v>4680115882539</v>
      </c>
      <c r="E54" s="641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7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3"/>
      <c r="R54" s="643"/>
      <c r="S54" s="643"/>
      <c r="T54" s="644"/>
      <c r="U54" s="34"/>
      <c r="V54" s="34"/>
      <c r="W54" s="35" t="s">
        <v>67</v>
      </c>
      <c r="X54" s="633">
        <v>29</v>
      </c>
      <c r="Y54" s="634">
        <f>IFERROR(IF(X54="",0,CEILING((X54/$H54),1)*$H54),"")</f>
        <v>29.6</v>
      </c>
      <c r="Z54" s="36">
        <f>IFERROR(IF(Y54=0,"",ROUNDUP(Y54/H54,0)*0.00902),"")</f>
        <v>7.2160000000000002E-2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30.489189189189187</v>
      </c>
      <c r="BN54" s="64">
        <f>IFERROR(Y54*I54/H54,"0")</f>
        <v>31.12</v>
      </c>
      <c r="BO54" s="64">
        <f>IFERROR(1/J54*(X54/H54),"0")</f>
        <v>5.9377559377559376E-2</v>
      </c>
      <c r="BP54" s="64">
        <f>IFERROR(1/J54*(Y54/H54),"0")</f>
        <v>6.0606060606060608E-2</v>
      </c>
    </row>
    <row r="55" spans="1:68" x14ac:dyDescent="0.2">
      <c r="A55" s="645"/>
      <c r="B55" s="646"/>
      <c r="C55" s="646"/>
      <c r="D55" s="646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7"/>
      <c r="P55" s="648" t="s">
        <v>69</v>
      </c>
      <c r="Q55" s="638"/>
      <c r="R55" s="638"/>
      <c r="S55" s="638"/>
      <c r="T55" s="638"/>
      <c r="U55" s="638"/>
      <c r="V55" s="639"/>
      <c r="W55" s="37" t="s">
        <v>70</v>
      </c>
      <c r="X55" s="635">
        <f>IFERROR(X51/H51,"0")+IFERROR(X52/H52,"0")+IFERROR(X53/H53,"0")+IFERROR(X54/H54,"0")</f>
        <v>35.06006006006006</v>
      </c>
      <c r="Y55" s="635">
        <f>IFERROR(Y51/H51,"0")+IFERROR(Y52/H52,"0")+IFERROR(Y53/H53,"0")+IFERROR(Y54/H54,"0")</f>
        <v>36</v>
      </c>
      <c r="Z55" s="635">
        <f>IFERROR(IF(Z51="",0,Z51),"0")+IFERROR(IF(Z52="",0,Z52),"0")+IFERROR(IF(Z53="",0,Z53),"0")+IFERROR(IF(Z54="",0,Z54),"0")</f>
        <v>0.60360000000000003</v>
      </c>
      <c r="AA55" s="636"/>
      <c r="AB55" s="636"/>
      <c r="AC55" s="636"/>
    </row>
    <row r="56" spans="1:68" x14ac:dyDescent="0.2">
      <c r="A56" s="646"/>
      <c r="B56" s="646"/>
      <c r="C56" s="646"/>
      <c r="D56" s="646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7"/>
      <c r="P56" s="648" t="s">
        <v>69</v>
      </c>
      <c r="Q56" s="638"/>
      <c r="R56" s="638"/>
      <c r="S56" s="638"/>
      <c r="T56" s="638"/>
      <c r="U56" s="638"/>
      <c r="V56" s="639"/>
      <c r="W56" s="37" t="s">
        <v>67</v>
      </c>
      <c r="X56" s="635">
        <f>IFERROR(SUM(X51:X54),"0")</f>
        <v>323</v>
      </c>
      <c r="Y56" s="635">
        <f>IFERROR(SUM(Y51:Y54),"0")</f>
        <v>332.00000000000006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28"/>
      <c r="AB57" s="628"/>
      <c r="AC57" s="628"/>
    </row>
    <row r="58" spans="1:68" ht="14.25" hidden="1" customHeight="1" x14ac:dyDescent="0.25">
      <c r="A58" s="651" t="s">
        <v>119</v>
      </c>
      <c r="B58" s="646"/>
      <c r="C58" s="646"/>
      <c r="D58" s="646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6"/>
      <c r="P58" s="646"/>
      <c r="Q58" s="646"/>
      <c r="R58" s="646"/>
      <c r="S58" s="646"/>
      <c r="T58" s="646"/>
      <c r="U58" s="646"/>
      <c r="V58" s="646"/>
      <c r="W58" s="646"/>
      <c r="X58" s="646"/>
      <c r="Y58" s="646"/>
      <c r="Z58" s="646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40">
        <v>4680115885882</v>
      </c>
      <c r="E59" s="641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76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3"/>
      <c r="R59" s="643"/>
      <c r="S59" s="643"/>
      <c r="T59" s="644"/>
      <c r="U59" s="34"/>
      <c r="V59" s="34"/>
      <c r="W59" s="35" t="s">
        <v>67</v>
      </c>
      <c r="X59" s="633">
        <v>28</v>
      </c>
      <c r="Y59" s="634">
        <f t="shared" ref="Y59:Y66" si="0">IFERROR(IF(X59="",0,CEILING((X59/$H59),1)*$H59),"")</f>
        <v>33.599999999999994</v>
      </c>
      <c r="Z59" s="36">
        <f>IFERROR(IF(Y59=0,"",ROUNDUP(Y59/H59,0)*0.01898),"")</f>
        <v>5.6940000000000004E-2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29.025000000000002</v>
      </c>
      <c r="BN59" s="64">
        <f t="shared" ref="BN59:BN66" si="2">IFERROR(Y59*I59/H59,"0")</f>
        <v>34.829999999999991</v>
      </c>
      <c r="BO59" s="64">
        <f t="shared" ref="BO59:BO66" si="3">IFERROR(1/J59*(X59/H59),"0")</f>
        <v>3.90625E-2</v>
      </c>
      <c r="BP59" s="64">
        <f t="shared" ref="BP59:BP66" si="4">IFERROR(1/J59*(Y59/H59),"0")</f>
        <v>4.6874999999999993E-2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40">
        <v>4680115881426</v>
      </c>
      <c r="E60" s="641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6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3">
        <v>450</v>
      </c>
      <c r="Y60" s="634">
        <f t="shared" si="0"/>
        <v>453.6</v>
      </c>
      <c r="Z60" s="36">
        <f>IFERROR(IF(Y60=0,"",ROUNDUP(Y60/H60,0)*0.01898),"")</f>
        <v>0.79715999999999998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467.08333333333331</v>
      </c>
      <c r="BN60" s="64">
        <f t="shared" si="2"/>
        <v>470.82000000000005</v>
      </c>
      <c r="BO60" s="64">
        <f t="shared" si="3"/>
        <v>0.65104166666666663</v>
      </c>
      <c r="BP60" s="64">
        <f t="shared" si="4"/>
        <v>0.65625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40">
        <v>4680115881426</v>
      </c>
      <c r="E61" s="641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76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0">
        <v>4680115880283</v>
      </c>
      <c r="E62" s="641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7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40">
        <v>4680115881525</v>
      </c>
      <c r="E63" s="641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3"/>
      <c r="R63" s="643"/>
      <c r="S63" s="643"/>
      <c r="T63" s="644"/>
      <c r="U63" s="34"/>
      <c r="V63" s="34"/>
      <c r="W63" s="35" t="s">
        <v>67</v>
      </c>
      <c r="X63" s="633">
        <v>196</v>
      </c>
      <c r="Y63" s="634">
        <f t="shared" si="0"/>
        <v>196</v>
      </c>
      <c r="Z63" s="36">
        <f>IFERROR(IF(Y63=0,"",ROUNDUP(Y63/H63,0)*0.00902),"")</f>
        <v>0.44198000000000004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205.31000000000003</v>
      </c>
      <c r="BN63" s="64">
        <f t="shared" si="2"/>
        <v>205.31000000000003</v>
      </c>
      <c r="BO63" s="64">
        <f t="shared" si="3"/>
        <v>0.37121212121212122</v>
      </c>
      <c r="BP63" s="64">
        <f t="shared" si="4"/>
        <v>0.37121212121212122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0">
        <v>4680115881525</v>
      </c>
      <c r="E64" s="641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7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3"/>
      <c r="R64" s="643"/>
      <c r="S64" s="643"/>
      <c r="T64" s="644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40">
        <v>4680115885899</v>
      </c>
      <c r="E65" s="641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68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3"/>
      <c r="R65" s="643"/>
      <c r="S65" s="643"/>
      <c r="T65" s="644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40">
        <v>4680115881419</v>
      </c>
      <c r="E66" s="641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89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3">
        <v>35</v>
      </c>
      <c r="Y66" s="634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36.477777777777781</v>
      </c>
      <c r="BN66" s="64">
        <f t="shared" si="2"/>
        <v>37.520000000000003</v>
      </c>
      <c r="BO66" s="64">
        <f t="shared" si="3"/>
        <v>5.8922558922558925E-2</v>
      </c>
      <c r="BP66" s="64">
        <f t="shared" si="4"/>
        <v>6.0606060606060608E-2</v>
      </c>
    </row>
    <row r="67" spans="1:68" x14ac:dyDescent="0.2">
      <c r="A67" s="645"/>
      <c r="B67" s="646"/>
      <c r="C67" s="646"/>
      <c r="D67" s="646"/>
      <c r="E67" s="646"/>
      <c r="F67" s="646"/>
      <c r="G67" s="646"/>
      <c r="H67" s="646"/>
      <c r="I67" s="646"/>
      <c r="J67" s="646"/>
      <c r="K67" s="646"/>
      <c r="L67" s="646"/>
      <c r="M67" s="646"/>
      <c r="N67" s="646"/>
      <c r="O67" s="647"/>
      <c r="P67" s="648" t="s">
        <v>69</v>
      </c>
      <c r="Q67" s="638"/>
      <c r="R67" s="638"/>
      <c r="S67" s="638"/>
      <c r="T67" s="638"/>
      <c r="U67" s="638"/>
      <c r="V67" s="639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100.94444444444443</v>
      </c>
      <c r="Y67" s="635">
        <f>IFERROR(Y59/H59,"0")+IFERROR(Y60/H60,"0")+IFERROR(Y61/H61,"0")+IFERROR(Y62/H62,"0")+IFERROR(Y63/H63,"0")+IFERROR(Y64/H64,"0")+IFERROR(Y65/H65,"0")+IFERROR(Y66/H66,"0")</f>
        <v>102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1.3682399999999999</v>
      </c>
      <c r="AA67" s="636"/>
      <c r="AB67" s="636"/>
      <c r="AC67" s="636"/>
    </row>
    <row r="68" spans="1:68" x14ac:dyDescent="0.2">
      <c r="A68" s="646"/>
      <c r="B68" s="646"/>
      <c r="C68" s="646"/>
      <c r="D68" s="646"/>
      <c r="E68" s="646"/>
      <c r="F68" s="646"/>
      <c r="G68" s="646"/>
      <c r="H68" s="646"/>
      <c r="I68" s="646"/>
      <c r="J68" s="646"/>
      <c r="K68" s="646"/>
      <c r="L68" s="646"/>
      <c r="M68" s="646"/>
      <c r="N68" s="646"/>
      <c r="O68" s="647"/>
      <c r="P68" s="648" t="s">
        <v>69</v>
      </c>
      <c r="Q68" s="638"/>
      <c r="R68" s="638"/>
      <c r="S68" s="638"/>
      <c r="T68" s="638"/>
      <c r="U68" s="638"/>
      <c r="V68" s="639"/>
      <c r="W68" s="37" t="s">
        <v>67</v>
      </c>
      <c r="X68" s="635">
        <f>IFERROR(SUM(X59:X66),"0")</f>
        <v>709</v>
      </c>
      <c r="Y68" s="635">
        <f>IFERROR(SUM(Y59:Y66),"0")</f>
        <v>719.2</v>
      </c>
      <c r="Z68" s="37"/>
      <c r="AA68" s="636"/>
      <c r="AB68" s="636"/>
      <c r="AC68" s="636"/>
    </row>
    <row r="69" spans="1:68" ht="14.25" hidden="1" customHeight="1" x14ac:dyDescent="0.25">
      <c r="A69" s="651" t="s">
        <v>154</v>
      </c>
      <c r="B69" s="646"/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46"/>
      <c r="P69" s="646"/>
      <c r="Q69" s="646"/>
      <c r="R69" s="646"/>
      <c r="S69" s="646"/>
      <c r="T69" s="646"/>
      <c r="U69" s="646"/>
      <c r="V69" s="646"/>
      <c r="W69" s="646"/>
      <c r="X69" s="646"/>
      <c r="Y69" s="646"/>
      <c r="Z69" s="646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40">
        <v>4680115881440</v>
      </c>
      <c r="E70" s="641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69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3"/>
      <c r="R70" s="643"/>
      <c r="S70" s="643"/>
      <c r="T70" s="644"/>
      <c r="U70" s="34"/>
      <c r="V70" s="34"/>
      <c r="W70" s="35" t="s">
        <v>67</v>
      </c>
      <c r="X70" s="633">
        <v>609</v>
      </c>
      <c r="Y70" s="634">
        <f>IFERROR(IF(X70="",0,CEILING((X70/$H70),1)*$H70),"")</f>
        <v>615.6</v>
      </c>
      <c r="Z70" s="36">
        <f>IFERROR(IF(Y70=0,"",ROUNDUP(Y70/H70,0)*0.01898),"")</f>
        <v>1.08186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632.11944444444441</v>
      </c>
      <c r="BN70" s="64">
        <f>IFERROR(Y70*I70/H70,"0")</f>
        <v>638.97</v>
      </c>
      <c r="BO70" s="64">
        <f>IFERROR(1/J70*(X70/H70),"0")</f>
        <v>0.88107638888888884</v>
      </c>
      <c r="BP70" s="64">
        <f>IFERROR(1/J70*(Y70/H70),"0")</f>
        <v>0.890625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40">
        <v>4680115885950</v>
      </c>
      <c r="E71" s="641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6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3"/>
      <c r="R71" s="643"/>
      <c r="S71" s="643"/>
      <c r="T71" s="644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40">
        <v>4680115887688</v>
      </c>
      <c r="E72" s="641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6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3"/>
      <c r="R72" s="643"/>
      <c r="S72" s="643"/>
      <c r="T72" s="644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40">
        <v>4680115881433</v>
      </c>
      <c r="E73" s="641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99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5"/>
      <c r="B74" s="646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7"/>
      <c r="P74" s="648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35">
        <f>IFERROR(X70/H70,"0")+IFERROR(X71/H71,"0")+IFERROR(X72/H72,"0")+IFERROR(X73/H73,"0")</f>
        <v>56.388888888888886</v>
      </c>
      <c r="Y74" s="635">
        <f>IFERROR(Y70/H70,"0")+IFERROR(Y71/H71,"0")+IFERROR(Y72/H72,"0")+IFERROR(Y73/H73,"0")</f>
        <v>57</v>
      </c>
      <c r="Z74" s="635">
        <f>IFERROR(IF(Z70="",0,Z70),"0")+IFERROR(IF(Z71="",0,Z71),"0")+IFERROR(IF(Z72="",0,Z72),"0")+IFERROR(IF(Z73="",0,Z73),"0")</f>
        <v>1.08186</v>
      </c>
      <c r="AA74" s="636"/>
      <c r="AB74" s="636"/>
      <c r="AC74" s="636"/>
    </row>
    <row r="75" spans="1:68" x14ac:dyDescent="0.2">
      <c r="A75" s="646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7"/>
      <c r="P75" s="648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35">
        <f>IFERROR(SUM(X70:X73),"0")</f>
        <v>609</v>
      </c>
      <c r="Y75" s="635">
        <f>IFERROR(SUM(Y70:Y73),"0")</f>
        <v>615.6</v>
      </c>
      <c r="Z75" s="37"/>
      <c r="AA75" s="636"/>
      <c r="AB75" s="636"/>
      <c r="AC75" s="636"/>
    </row>
    <row r="76" spans="1:68" ht="14.25" hidden="1" customHeight="1" x14ac:dyDescent="0.25">
      <c r="A76" s="651" t="s">
        <v>71</v>
      </c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646"/>
      <c r="Q76" s="646"/>
      <c r="R76" s="646"/>
      <c r="S76" s="646"/>
      <c r="T76" s="646"/>
      <c r="U76" s="646"/>
      <c r="V76" s="646"/>
      <c r="W76" s="646"/>
      <c r="X76" s="646"/>
      <c r="Y76" s="646"/>
      <c r="Z76" s="646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40">
        <v>4680115884311</v>
      </c>
      <c r="E77" s="641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3"/>
      <c r="R77" s="643"/>
      <c r="S77" s="643"/>
      <c r="T77" s="644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40">
        <v>4680115884403</v>
      </c>
      <c r="E78" s="641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91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5"/>
      <c r="B79" s="646"/>
      <c r="C79" s="646"/>
      <c r="D79" s="646"/>
      <c r="E79" s="646"/>
      <c r="F79" s="646"/>
      <c r="G79" s="646"/>
      <c r="H79" s="646"/>
      <c r="I79" s="646"/>
      <c r="J79" s="646"/>
      <c r="K79" s="646"/>
      <c r="L79" s="646"/>
      <c r="M79" s="646"/>
      <c r="N79" s="646"/>
      <c r="O79" s="647"/>
      <c r="P79" s="648" t="s">
        <v>69</v>
      </c>
      <c r="Q79" s="638"/>
      <c r="R79" s="638"/>
      <c r="S79" s="638"/>
      <c r="T79" s="638"/>
      <c r="U79" s="638"/>
      <c r="V79" s="639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6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7"/>
      <c r="P80" s="648" t="s">
        <v>69</v>
      </c>
      <c r="Q80" s="638"/>
      <c r="R80" s="638"/>
      <c r="S80" s="638"/>
      <c r="T80" s="638"/>
      <c r="U80" s="638"/>
      <c r="V80" s="639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51" t="s">
        <v>172</v>
      </c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6"/>
      <c r="P81" s="646"/>
      <c r="Q81" s="646"/>
      <c r="R81" s="646"/>
      <c r="S81" s="646"/>
      <c r="T81" s="646"/>
      <c r="U81" s="646"/>
      <c r="V81" s="646"/>
      <c r="W81" s="646"/>
      <c r="X81" s="646"/>
      <c r="Y81" s="646"/>
      <c r="Z81" s="646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40">
        <v>4680115881532</v>
      </c>
      <c r="E82" s="641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7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3"/>
      <c r="R82" s="643"/>
      <c r="S82" s="643"/>
      <c r="T82" s="644"/>
      <c r="U82" s="34"/>
      <c r="V82" s="34"/>
      <c r="W82" s="35" t="s">
        <v>67</v>
      </c>
      <c r="X82" s="633">
        <v>62</v>
      </c>
      <c r="Y82" s="634">
        <f>IFERROR(IF(X82="",0,CEILING((X82/$H82),1)*$H82),"")</f>
        <v>62.4</v>
      </c>
      <c r="Z82" s="36">
        <f>IFERROR(IF(Y82=0,"",ROUNDUP(Y82/H82,0)*0.01898),"")</f>
        <v>0.15184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65.25897435897437</v>
      </c>
      <c r="BN82" s="64">
        <f>IFERROR(Y82*I82/H82,"0")</f>
        <v>65.680000000000007</v>
      </c>
      <c r="BO82" s="64">
        <f>IFERROR(1/J82*(X82/H82),"0")</f>
        <v>0.12419871794871795</v>
      </c>
      <c r="BP82" s="64">
        <f>IFERROR(1/J82*(Y82/H82),"0")</f>
        <v>0.125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40">
        <v>4680115881532</v>
      </c>
      <c r="E83" s="641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72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3"/>
      <c r="R83" s="643"/>
      <c r="S83" s="643"/>
      <c r="T83" s="644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40">
        <v>4680115881464</v>
      </c>
      <c r="E84" s="641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79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3"/>
      <c r="R84" s="643"/>
      <c r="S84" s="643"/>
      <c r="T84" s="644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5"/>
      <c r="B85" s="646"/>
      <c r="C85" s="646"/>
      <c r="D85" s="646"/>
      <c r="E85" s="646"/>
      <c r="F85" s="646"/>
      <c r="G85" s="646"/>
      <c r="H85" s="646"/>
      <c r="I85" s="646"/>
      <c r="J85" s="646"/>
      <c r="K85" s="646"/>
      <c r="L85" s="646"/>
      <c r="M85" s="646"/>
      <c r="N85" s="646"/>
      <c r="O85" s="647"/>
      <c r="P85" s="648" t="s">
        <v>69</v>
      </c>
      <c r="Q85" s="638"/>
      <c r="R85" s="638"/>
      <c r="S85" s="638"/>
      <c r="T85" s="638"/>
      <c r="U85" s="638"/>
      <c r="V85" s="639"/>
      <c r="W85" s="37" t="s">
        <v>70</v>
      </c>
      <c r="X85" s="635">
        <f>IFERROR(X82/H82,"0")+IFERROR(X83/H83,"0")+IFERROR(X84/H84,"0")</f>
        <v>7.9487179487179489</v>
      </c>
      <c r="Y85" s="635">
        <f>IFERROR(Y82/H82,"0")+IFERROR(Y83/H83,"0")+IFERROR(Y84/H84,"0")</f>
        <v>8</v>
      </c>
      <c r="Z85" s="635">
        <f>IFERROR(IF(Z82="",0,Z82),"0")+IFERROR(IF(Z83="",0,Z83),"0")+IFERROR(IF(Z84="",0,Z84),"0")</f>
        <v>0.15184</v>
      </c>
      <c r="AA85" s="636"/>
      <c r="AB85" s="636"/>
      <c r="AC85" s="636"/>
    </row>
    <row r="86" spans="1:68" x14ac:dyDescent="0.2">
      <c r="A86" s="646"/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7"/>
      <c r="P86" s="648" t="s">
        <v>69</v>
      </c>
      <c r="Q86" s="638"/>
      <c r="R86" s="638"/>
      <c r="S86" s="638"/>
      <c r="T86" s="638"/>
      <c r="U86" s="638"/>
      <c r="V86" s="639"/>
      <c r="W86" s="37" t="s">
        <v>67</v>
      </c>
      <c r="X86" s="635">
        <f>IFERROR(SUM(X82:X84),"0")</f>
        <v>62</v>
      </c>
      <c r="Y86" s="635">
        <f>IFERROR(SUM(Y82:Y84),"0")</f>
        <v>62.4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6"/>
      <c r="C87" s="646"/>
      <c r="D87" s="646"/>
      <c r="E87" s="646"/>
      <c r="F87" s="646"/>
      <c r="G87" s="646"/>
      <c r="H87" s="646"/>
      <c r="I87" s="646"/>
      <c r="J87" s="646"/>
      <c r="K87" s="646"/>
      <c r="L87" s="646"/>
      <c r="M87" s="646"/>
      <c r="N87" s="646"/>
      <c r="O87" s="646"/>
      <c r="P87" s="646"/>
      <c r="Q87" s="646"/>
      <c r="R87" s="646"/>
      <c r="S87" s="646"/>
      <c r="T87" s="646"/>
      <c r="U87" s="646"/>
      <c r="V87" s="646"/>
      <c r="W87" s="646"/>
      <c r="X87" s="646"/>
      <c r="Y87" s="646"/>
      <c r="Z87" s="646"/>
      <c r="AA87" s="628"/>
      <c r="AB87" s="628"/>
      <c r="AC87" s="628"/>
    </row>
    <row r="88" spans="1:68" ht="14.25" hidden="1" customHeight="1" x14ac:dyDescent="0.25">
      <c r="A88" s="651" t="s">
        <v>119</v>
      </c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46"/>
      <c r="R88" s="646"/>
      <c r="S88" s="646"/>
      <c r="T88" s="646"/>
      <c r="U88" s="646"/>
      <c r="V88" s="646"/>
      <c r="W88" s="646"/>
      <c r="X88" s="646"/>
      <c r="Y88" s="646"/>
      <c r="Z88" s="646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40">
        <v>4680115881327</v>
      </c>
      <c r="E89" s="641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3"/>
      <c r="R89" s="643"/>
      <c r="S89" s="643"/>
      <c r="T89" s="644"/>
      <c r="U89" s="34"/>
      <c r="V89" s="34"/>
      <c r="W89" s="35" t="s">
        <v>67</v>
      </c>
      <c r="X89" s="633">
        <v>208</v>
      </c>
      <c r="Y89" s="634">
        <f t="shared" ref="Y89:Y94" si="5">IFERROR(IF(X89="",0,CEILING((X89/$H89),1)*$H89),"")</f>
        <v>216</v>
      </c>
      <c r="Z89" s="36">
        <f>IFERROR(IF(Y89=0,"",ROUNDUP(Y89/H89,0)*0.01898),"")</f>
        <v>0.37959999999999999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215.8962962962963</v>
      </c>
      <c r="BN89" s="64">
        <f t="shared" ref="BN89:BN94" si="7">IFERROR(Y89*I89/H89,"0")</f>
        <v>224.2</v>
      </c>
      <c r="BO89" s="64">
        <f t="shared" ref="BO89:BO94" si="8">IFERROR(1/J89*(X89/H89),"0")</f>
        <v>0.30092592592592593</v>
      </c>
      <c r="BP89" s="64">
        <f t="shared" ref="BP89:BP94" si="9">IFERROR(1/J89*(Y89/H89),"0")</f>
        <v>0.3125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40">
        <v>4680115881327</v>
      </c>
      <c r="E90" s="641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4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40">
        <v>4680115887732</v>
      </c>
      <c r="E91" s="641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3"/>
      <c r="R91" s="643"/>
      <c r="S91" s="643"/>
      <c r="T91" s="644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40">
        <v>4680115881518</v>
      </c>
      <c r="E92" s="641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94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3"/>
      <c r="R92" s="643"/>
      <c r="S92" s="643"/>
      <c r="T92" s="644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40">
        <v>4680115881518</v>
      </c>
      <c r="E93" s="641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78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3"/>
      <c r="R93" s="643"/>
      <c r="S93" s="643"/>
      <c r="T93" s="644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40">
        <v>4680115881303</v>
      </c>
      <c r="E94" s="641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95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3">
        <v>138</v>
      </c>
      <c r="Y94" s="634">
        <f t="shared" si="5"/>
        <v>139.5</v>
      </c>
      <c r="Z94" s="36">
        <f>IFERROR(IF(Y94=0,"",ROUNDUP(Y94/H94,0)*0.00902),"")</f>
        <v>0.27961999999999998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143.82666666666668</v>
      </c>
      <c r="BN94" s="64">
        <f t="shared" si="7"/>
        <v>145.39000000000001</v>
      </c>
      <c r="BO94" s="64">
        <f t="shared" si="8"/>
        <v>0.23232323232323235</v>
      </c>
      <c r="BP94" s="64">
        <f t="shared" si="9"/>
        <v>0.23484848484848486</v>
      </c>
    </row>
    <row r="95" spans="1:68" x14ac:dyDescent="0.2">
      <c r="A95" s="645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47"/>
      <c r="P95" s="648" t="s">
        <v>69</v>
      </c>
      <c r="Q95" s="638"/>
      <c r="R95" s="638"/>
      <c r="S95" s="638"/>
      <c r="T95" s="638"/>
      <c r="U95" s="638"/>
      <c r="V95" s="639"/>
      <c r="W95" s="37" t="s">
        <v>70</v>
      </c>
      <c r="X95" s="635">
        <f>IFERROR(X89/H89,"0")+IFERROR(X90/H90,"0")+IFERROR(X91/H91,"0")+IFERROR(X92/H92,"0")+IFERROR(X93/H93,"0")+IFERROR(X94/H94,"0")</f>
        <v>49.925925925925924</v>
      </c>
      <c r="Y95" s="635">
        <f>IFERROR(Y89/H89,"0")+IFERROR(Y90/H90,"0")+IFERROR(Y91/H91,"0")+IFERROR(Y92/H92,"0")+IFERROR(Y93/H93,"0")+IFERROR(Y94/H94,"0")</f>
        <v>51</v>
      </c>
      <c r="Z95" s="635">
        <f>IFERROR(IF(Z89="",0,Z89),"0")+IFERROR(IF(Z90="",0,Z90),"0")+IFERROR(IF(Z91="",0,Z91),"0")+IFERROR(IF(Z92="",0,Z92),"0")+IFERROR(IF(Z93="",0,Z93),"0")+IFERROR(IF(Z94="",0,Z94),"0")</f>
        <v>0.65921999999999992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47"/>
      <c r="P96" s="648" t="s">
        <v>69</v>
      </c>
      <c r="Q96" s="638"/>
      <c r="R96" s="638"/>
      <c r="S96" s="638"/>
      <c r="T96" s="638"/>
      <c r="U96" s="638"/>
      <c r="V96" s="639"/>
      <c r="W96" s="37" t="s">
        <v>67</v>
      </c>
      <c r="X96" s="635">
        <f>IFERROR(SUM(X89:X94),"0")</f>
        <v>346</v>
      </c>
      <c r="Y96" s="635">
        <f>IFERROR(SUM(Y89:Y94),"0")</f>
        <v>355.5</v>
      </c>
      <c r="Z96" s="37"/>
      <c r="AA96" s="636"/>
      <c r="AB96" s="636"/>
      <c r="AC96" s="636"/>
    </row>
    <row r="97" spans="1:68" ht="14.25" hidden="1" customHeight="1" x14ac:dyDescent="0.25">
      <c r="A97" s="651" t="s">
        <v>71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40">
        <v>4607091386967</v>
      </c>
      <c r="E98" s="641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77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3"/>
      <c r="R98" s="643"/>
      <c r="S98" s="643"/>
      <c r="T98" s="644"/>
      <c r="U98" s="34"/>
      <c r="V98" s="34"/>
      <c r="W98" s="35" t="s">
        <v>67</v>
      </c>
      <c r="X98" s="633">
        <v>833</v>
      </c>
      <c r="Y98" s="634">
        <f>IFERROR(IF(X98="",0,CEILING((X98/$H98),1)*$H98),"")</f>
        <v>834.3</v>
      </c>
      <c r="Z98" s="36">
        <f>IFERROR(IF(Y98=0,"",ROUNDUP(Y98/H98,0)*0.01898),"")</f>
        <v>1.9549400000000001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883.80271604938275</v>
      </c>
      <c r="BN98" s="64">
        <f>IFERROR(Y98*I98/H98,"0")</f>
        <v>885.1819999999999</v>
      </c>
      <c r="BO98" s="64">
        <f>IFERROR(1/J98*(X98/H98),"0")</f>
        <v>1.6068672839506173</v>
      </c>
      <c r="BP98" s="64">
        <f>IFERROR(1/J98*(Y98/H98),"0")</f>
        <v>1.609375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40">
        <v>4680115884953</v>
      </c>
      <c r="E99" s="641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9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3"/>
      <c r="R99" s="643"/>
      <c r="S99" s="643"/>
      <c r="T99" s="644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40">
        <v>4607091385731</v>
      </c>
      <c r="E100" s="641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94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3"/>
      <c r="R100" s="643"/>
      <c r="S100" s="643"/>
      <c r="T100" s="644"/>
      <c r="U100" s="34"/>
      <c r="V100" s="34"/>
      <c r="W100" s="35" t="s">
        <v>67</v>
      </c>
      <c r="X100" s="633">
        <v>173</v>
      </c>
      <c r="Y100" s="634">
        <f>IFERROR(IF(X100="",0,CEILING((X100/$H100),1)*$H100),"")</f>
        <v>175.5</v>
      </c>
      <c r="Z100" s="36">
        <f>IFERROR(IF(Y100=0,"",ROUNDUP(Y100/H100,0)*0.00651),"")</f>
        <v>0.42315000000000003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189.14666666666665</v>
      </c>
      <c r="BN100" s="64">
        <f>IFERROR(Y100*I100/H100,"0")</f>
        <v>191.88</v>
      </c>
      <c r="BO100" s="64">
        <f>IFERROR(1/J100*(X100/H100),"0")</f>
        <v>0.3520553520553521</v>
      </c>
      <c r="BP100" s="64">
        <f>IFERROR(1/J100*(Y100/H100),"0")</f>
        <v>0.35714285714285715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40">
        <v>4680115880894</v>
      </c>
      <c r="E101" s="641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3"/>
      <c r="R101" s="643"/>
      <c r="S101" s="643"/>
      <c r="T101" s="644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5"/>
      <c r="B102" s="646"/>
      <c r="C102" s="646"/>
      <c r="D102" s="646"/>
      <c r="E102" s="646"/>
      <c r="F102" s="646"/>
      <c r="G102" s="646"/>
      <c r="H102" s="646"/>
      <c r="I102" s="646"/>
      <c r="J102" s="646"/>
      <c r="K102" s="646"/>
      <c r="L102" s="646"/>
      <c r="M102" s="646"/>
      <c r="N102" s="646"/>
      <c r="O102" s="647"/>
      <c r="P102" s="648" t="s">
        <v>69</v>
      </c>
      <c r="Q102" s="638"/>
      <c r="R102" s="638"/>
      <c r="S102" s="638"/>
      <c r="T102" s="638"/>
      <c r="U102" s="638"/>
      <c r="V102" s="639"/>
      <c r="W102" s="37" t="s">
        <v>70</v>
      </c>
      <c r="X102" s="635">
        <f>IFERROR(X98/H98,"0")+IFERROR(X99/H99,"0")+IFERROR(X100/H100,"0")+IFERROR(X101/H101,"0")</f>
        <v>166.91358024691357</v>
      </c>
      <c r="Y102" s="635">
        <f>IFERROR(Y98/H98,"0")+IFERROR(Y99/H99,"0")+IFERROR(Y100/H100,"0")+IFERROR(Y101/H101,"0")</f>
        <v>168</v>
      </c>
      <c r="Z102" s="635">
        <f>IFERROR(IF(Z98="",0,Z98),"0")+IFERROR(IF(Z99="",0,Z99),"0")+IFERROR(IF(Z100="",0,Z100),"0")+IFERROR(IF(Z101="",0,Z101),"0")</f>
        <v>2.3780900000000003</v>
      </c>
      <c r="AA102" s="636"/>
      <c r="AB102" s="636"/>
      <c r="AC102" s="636"/>
    </row>
    <row r="103" spans="1:68" x14ac:dyDescent="0.2">
      <c r="A103" s="646"/>
      <c r="B103" s="646"/>
      <c r="C103" s="646"/>
      <c r="D103" s="646"/>
      <c r="E103" s="646"/>
      <c r="F103" s="646"/>
      <c r="G103" s="646"/>
      <c r="H103" s="646"/>
      <c r="I103" s="646"/>
      <c r="J103" s="646"/>
      <c r="K103" s="646"/>
      <c r="L103" s="646"/>
      <c r="M103" s="646"/>
      <c r="N103" s="646"/>
      <c r="O103" s="647"/>
      <c r="P103" s="648" t="s">
        <v>69</v>
      </c>
      <c r="Q103" s="638"/>
      <c r="R103" s="638"/>
      <c r="S103" s="638"/>
      <c r="T103" s="638"/>
      <c r="U103" s="638"/>
      <c r="V103" s="639"/>
      <c r="W103" s="37" t="s">
        <v>67</v>
      </c>
      <c r="X103" s="635">
        <f>IFERROR(SUM(X98:X101),"0")</f>
        <v>1006</v>
      </c>
      <c r="Y103" s="635">
        <f>IFERROR(SUM(Y98:Y101),"0")</f>
        <v>1009.8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6"/>
      <c r="C104" s="646"/>
      <c r="D104" s="646"/>
      <c r="E104" s="646"/>
      <c r="F104" s="646"/>
      <c r="G104" s="646"/>
      <c r="H104" s="646"/>
      <c r="I104" s="646"/>
      <c r="J104" s="646"/>
      <c r="K104" s="646"/>
      <c r="L104" s="646"/>
      <c r="M104" s="646"/>
      <c r="N104" s="646"/>
      <c r="O104" s="646"/>
      <c r="P104" s="646"/>
      <c r="Q104" s="646"/>
      <c r="R104" s="646"/>
      <c r="S104" s="646"/>
      <c r="T104" s="646"/>
      <c r="U104" s="646"/>
      <c r="V104" s="646"/>
      <c r="W104" s="646"/>
      <c r="X104" s="646"/>
      <c r="Y104" s="646"/>
      <c r="Z104" s="646"/>
      <c r="AA104" s="628"/>
      <c r="AB104" s="628"/>
      <c r="AC104" s="628"/>
    </row>
    <row r="105" spans="1:68" ht="14.25" hidden="1" customHeight="1" x14ac:dyDescent="0.25">
      <c r="A105" s="651" t="s">
        <v>119</v>
      </c>
      <c r="B105" s="646"/>
      <c r="C105" s="646"/>
      <c r="D105" s="646"/>
      <c r="E105" s="646"/>
      <c r="F105" s="646"/>
      <c r="G105" s="646"/>
      <c r="H105" s="646"/>
      <c r="I105" s="646"/>
      <c r="J105" s="646"/>
      <c r="K105" s="646"/>
      <c r="L105" s="646"/>
      <c r="M105" s="646"/>
      <c r="N105" s="646"/>
      <c r="O105" s="646"/>
      <c r="P105" s="646"/>
      <c r="Q105" s="646"/>
      <c r="R105" s="646"/>
      <c r="S105" s="646"/>
      <c r="T105" s="646"/>
      <c r="U105" s="646"/>
      <c r="V105" s="646"/>
      <c r="W105" s="646"/>
      <c r="X105" s="646"/>
      <c r="Y105" s="646"/>
      <c r="Z105" s="646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40">
        <v>4680115882133</v>
      </c>
      <c r="E106" s="641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78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3">
        <v>517</v>
      </c>
      <c r="Y106" s="634">
        <f t="shared" ref="Y106:Y112" si="10">IFERROR(IF(X106="",0,CEILING((X106/$H106),1)*$H106),"")</f>
        <v>518.40000000000009</v>
      </c>
      <c r="Z106" s="36">
        <f>IFERROR(IF(Y106=0,"",ROUNDUP(Y106/H106,0)*0.01898),"")</f>
        <v>0.91104000000000007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536.62685185185182</v>
      </c>
      <c r="BN106" s="64">
        <f t="shared" ref="BN106:BN112" si="12">IFERROR(Y106*I106/H106,"0")</f>
        <v>538.08000000000004</v>
      </c>
      <c r="BO106" s="64">
        <f t="shared" ref="BO106:BO112" si="13">IFERROR(1/J106*(X106/H106),"0")</f>
        <v>0.74797453703703698</v>
      </c>
      <c r="BP106" s="64">
        <f t="shared" ref="BP106:BP112" si="14">IFERROR(1/J106*(Y106/H106),"0")</f>
        <v>0.75000000000000011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40">
        <v>4680115882133</v>
      </c>
      <c r="E107" s="641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74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40">
        <v>4680115887718</v>
      </c>
      <c r="E108" s="641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1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40">
        <v>4680115880269</v>
      </c>
      <c r="E109" s="641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79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3"/>
      <c r="R109" s="643"/>
      <c r="S109" s="643"/>
      <c r="T109" s="644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40">
        <v>4680115880429</v>
      </c>
      <c r="E110" s="641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68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3"/>
      <c r="R110" s="643"/>
      <c r="S110" s="643"/>
      <c r="T110" s="644"/>
      <c r="U110" s="34"/>
      <c r="V110" s="34"/>
      <c r="W110" s="35" t="s">
        <v>67</v>
      </c>
      <c r="X110" s="633">
        <v>100</v>
      </c>
      <c r="Y110" s="634">
        <f t="shared" si="10"/>
        <v>103.5</v>
      </c>
      <c r="Z110" s="36">
        <f>IFERROR(IF(Y110=0,"",ROUNDUP(Y110/H110,0)*0.00902),"")</f>
        <v>0.20746000000000001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104.22222222222223</v>
      </c>
      <c r="BN110" s="64">
        <f t="shared" si="12"/>
        <v>107.87</v>
      </c>
      <c r="BO110" s="64">
        <f t="shared" si="13"/>
        <v>0.16835016835016836</v>
      </c>
      <c r="BP110" s="64">
        <f t="shared" si="14"/>
        <v>0.17424242424242425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40">
        <v>4680115881457</v>
      </c>
      <c r="E111" s="641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76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3"/>
      <c r="R111" s="643"/>
      <c r="S111" s="643"/>
      <c r="T111" s="644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40">
        <v>4680115889477</v>
      </c>
      <c r="E112" s="641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75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5"/>
      <c r="B113" s="646"/>
      <c r="C113" s="646"/>
      <c r="D113" s="646"/>
      <c r="E113" s="646"/>
      <c r="F113" s="646"/>
      <c r="G113" s="646"/>
      <c r="H113" s="646"/>
      <c r="I113" s="646"/>
      <c r="J113" s="646"/>
      <c r="K113" s="646"/>
      <c r="L113" s="646"/>
      <c r="M113" s="646"/>
      <c r="N113" s="646"/>
      <c r="O113" s="647"/>
      <c r="P113" s="648" t="s">
        <v>69</v>
      </c>
      <c r="Q113" s="638"/>
      <c r="R113" s="638"/>
      <c r="S113" s="638"/>
      <c r="T113" s="638"/>
      <c r="U113" s="638"/>
      <c r="V113" s="639"/>
      <c r="W113" s="37" t="s">
        <v>70</v>
      </c>
      <c r="X113" s="635">
        <f>IFERROR(X106/H106,"0")+IFERROR(X107/H107,"0")+IFERROR(X108/H108,"0")+IFERROR(X109/H109,"0")+IFERROR(X110/H110,"0")+IFERROR(X111/H111,"0")+IFERROR(X112/H112,"0")</f>
        <v>70.092592592592581</v>
      </c>
      <c r="Y113" s="635">
        <f>IFERROR(Y106/H106,"0")+IFERROR(Y107/H107,"0")+IFERROR(Y108/H108,"0")+IFERROR(Y109/H109,"0")+IFERROR(Y110/H110,"0")+IFERROR(Y111/H111,"0")+IFERROR(Y112/H112,"0")</f>
        <v>71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1.1185</v>
      </c>
      <c r="AA113" s="636"/>
      <c r="AB113" s="636"/>
      <c r="AC113" s="636"/>
    </row>
    <row r="114" spans="1:68" x14ac:dyDescent="0.2">
      <c r="A114" s="646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47"/>
      <c r="P114" s="648" t="s">
        <v>69</v>
      </c>
      <c r="Q114" s="638"/>
      <c r="R114" s="638"/>
      <c r="S114" s="638"/>
      <c r="T114" s="638"/>
      <c r="U114" s="638"/>
      <c r="V114" s="639"/>
      <c r="W114" s="37" t="s">
        <v>67</v>
      </c>
      <c r="X114" s="635">
        <f>IFERROR(SUM(X106:X112),"0")</f>
        <v>617</v>
      </c>
      <c r="Y114" s="635">
        <f>IFERROR(SUM(Y106:Y112),"0")</f>
        <v>621.90000000000009</v>
      </c>
      <c r="Z114" s="37"/>
      <c r="AA114" s="636"/>
      <c r="AB114" s="636"/>
      <c r="AC114" s="636"/>
    </row>
    <row r="115" spans="1:68" ht="14.25" hidden="1" customHeight="1" x14ac:dyDescent="0.25">
      <c r="A115" s="651" t="s">
        <v>154</v>
      </c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46"/>
      <c r="P115" s="646"/>
      <c r="Q115" s="646"/>
      <c r="R115" s="646"/>
      <c r="S115" s="646"/>
      <c r="T115" s="646"/>
      <c r="U115" s="646"/>
      <c r="V115" s="646"/>
      <c r="W115" s="646"/>
      <c r="X115" s="646"/>
      <c r="Y115" s="646"/>
      <c r="Z115" s="646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40">
        <v>4680115881488</v>
      </c>
      <c r="E116" s="641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92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3"/>
      <c r="R116" s="643"/>
      <c r="S116" s="643"/>
      <c r="T116" s="644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40">
        <v>4680115887664</v>
      </c>
      <c r="E117" s="641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9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3"/>
      <c r="R117" s="643"/>
      <c r="S117" s="643"/>
      <c r="T117" s="644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40">
        <v>4680115882775</v>
      </c>
      <c r="E118" s="641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8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231</v>
      </c>
      <c r="B119" s="54" t="s">
        <v>232</v>
      </c>
      <c r="C119" s="31">
        <v>4301020392</v>
      </c>
      <c r="D119" s="640">
        <v>4680115880658</v>
      </c>
      <c r="E119" s="641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90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3">
        <v>100</v>
      </c>
      <c r="Y119" s="634">
        <f>IFERROR(IF(X119="",0,CEILING((X119/$H119),1)*$H119),"")</f>
        <v>100.8</v>
      </c>
      <c r="Z119" s="36">
        <f>IFERROR(IF(Y119=0,"",ROUNDUP(Y119/H119,0)*0.00651),"")</f>
        <v>0.27342</v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107.5</v>
      </c>
      <c r="BN119" s="64">
        <f>IFERROR(Y119*I119/H119,"0")</f>
        <v>108.36000000000001</v>
      </c>
      <c r="BO119" s="64">
        <f>IFERROR(1/J119*(X119/H119),"0")</f>
        <v>0.22893772893772898</v>
      </c>
      <c r="BP119" s="64">
        <f>IFERROR(1/J119*(Y119/H119),"0")</f>
        <v>0.23076923076923078</v>
      </c>
    </row>
    <row r="120" spans="1:68" x14ac:dyDescent="0.2">
      <c r="A120" s="645"/>
      <c r="B120" s="646"/>
      <c r="C120" s="646"/>
      <c r="D120" s="646"/>
      <c r="E120" s="646"/>
      <c r="F120" s="646"/>
      <c r="G120" s="646"/>
      <c r="H120" s="646"/>
      <c r="I120" s="646"/>
      <c r="J120" s="646"/>
      <c r="K120" s="646"/>
      <c r="L120" s="646"/>
      <c r="M120" s="646"/>
      <c r="N120" s="646"/>
      <c r="O120" s="647"/>
      <c r="P120" s="648" t="s">
        <v>69</v>
      </c>
      <c r="Q120" s="638"/>
      <c r="R120" s="638"/>
      <c r="S120" s="638"/>
      <c r="T120" s="638"/>
      <c r="U120" s="638"/>
      <c r="V120" s="639"/>
      <c r="W120" s="37" t="s">
        <v>70</v>
      </c>
      <c r="X120" s="635">
        <f>IFERROR(X116/H116,"0")+IFERROR(X117/H117,"0")+IFERROR(X118/H118,"0")+IFERROR(X119/H119,"0")</f>
        <v>41.666666666666671</v>
      </c>
      <c r="Y120" s="635">
        <f>IFERROR(Y116/H116,"0")+IFERROR(Y117/H117,"0")+IFERROR(Y118/H118,"0")+IFERROR(Y119/H119,"0")</f>
        <v>42</v>
      </c>
      <c r="Z120" s="635">
        <f>IFERROR(IF(Z116="",0,Z116),"0")+IFERROR(IF(Z117="",0,Z117),"0")+IFERROR(IF(Z118="",0,Z118),"0")+IFERROR(IF(Z119="",0,Z119),"0")</f>
        <v>0.27342</v>
      </c>
      <c r="AA120" s="636"/>
      <c r="AB120" s="636"/>
      <c r="AC120" s="636"/>
    </row>
    <row r="121" spans="1:68" x14ac:dyDescent="0.2">
      <c r="A121" s="646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47"/>
      <c r="P121" s="648" t="s">
        <v>69</v>
      </c>
      <c r="Q121" s="638"/>
      <c r="R121" s="638"/>
      <c r="S121" s="638"/>
      <c r="T121" s="638"/>
      <c r="U121" s="638"/>
      <c r="V121" s="639"/>
      <c r="W121" s="37" t="s">
        <v>67</v>
      </c>
      <c r="X121" s="635">
        <f>IFERROR(SUM(X116:X119),"0")</f>
        <v>100</v>
      </c>
      <c r="Y121" s="635">
        <f>IFERROR(SUM(Y116:Y119),"0")</f>
        <v>100.8</v>
      </c>
      <c r="Z121" s="37"/>
      <c r="AA121" s="636"/>
      <c r="AB121" s="636"/>
      <c r="AC121" s="636"/>
    </row>
    <row r="122" spans="1:68" ht="14.25" hidden="1" customHeight="1" x14ac:dyDescent="0.25">
      <c r="A122" s="651" t="s">
        <v>71</v>
      </c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46"/>
      <c r="P122" s="646"/>
      <c r="Q122" s="646"/>
      <c r="R122" s="646"/>
      <c r="S122" s="646"/>
      <c r="T122" s="646"/>
      <c r="U122" s="646"/>
      <c r="V122" s="646"/>
      <c r="W122" s="646"/>
      <c r="X122" s="646"/>
      <c r="Y122" s="646"/>
      <c r="Z122" s="646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40">
        <v>4607091385168</v>
      </c>
      <c r="E123" s="641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68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3"/>
      <c r="R123" s="643"/>
      <c r="S123" s="643"/>
      <c r="T123" s="644"/>
      <c r="U123" s="34"/>
      <c r="V123" s="34"/>
      <c r="W123" s="35" t="s">
        <v>67</v>
      </c>
      <c r="X123" s="633">
        <v>297</v>
      </c>
      <c r="Y123" s="634">
        <f>IFERROR(IF(X123="",0,CEILING((X123/$H123),1)*$H123),"")</f>
        <v>299.7</v>
      </c>
      <c r="Z123" s="36">
        <f>IFERROR(IF(Y123=0,"",ROUNDUP(Y123/H123,0)*0.01898),"")</f>
        <v>0.70226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314.89333333333332</v>
      </c>
      <c r="BN123" s="64">
        <f>IFERROR(Y123*I123/H123,"0")</f>
        <v>317.75599999999997</v>
      </c>
      <c r="BO123" s="64">
        <f>IFERROR(1/J123*(X123/H123),"0")</f>
        <v>0.57291666666666674</v>
      </c>
      <c r="BP123" s="64">
        <f>IFERROR(1/J123*(Y123/H123),"0")</f>
        <v>0.578125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40">
        <v>4607091383256</v>
      </c>
      <c r="E124" s="641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6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3"/>
      <c r="R124" s="643"/>
      <c r="S124" s="643"/>
      <c r="T124" s="644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40">
        <v>4607091385748</v>
      </c>
      <c r="E125" s="641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75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3">
        <v>350</v>
      </c>
      <c r="Y125" s="634">
        <f>IFERROR(IF(X125="",0,CEILING((X125/$H125),1)*$H125),"")</f>
        <v>351</v>
      </c>
      <c r="Z125" s="36">
        <f>IFERROR(IF(Y125=0,"",ROUNDUP(Y125/H125,0)*0.00651),"")</f>
        <v>0.84630000000000005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382.66666666666669</v>
      </c>
      <c r="BN125" s="64">
        <f>IFERROR(Y125*I125/H125,"0")</f>
        <v>383.76</v>
      </c>
      <c r="BO125" s="64">
        <f>IFERROR(1/J125*(X125/H125),"0")</f>
        <v>0.71225071225071224</v>
      </c>
      <c r="BP125" s="64">
        <f>IFERROR(1/J125*(Y125/H125),"0")</f>
        <v>0.7142857142857143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40">
        <v>4680115884533</v>
      </c>
      <c r="E126" s="641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65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3"/>
      <c r="R126" s="643"/>
      <c r="S126" s="643"/>
      <c r="T126" s="644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5"/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7"/>
      <c r="P127" s="648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35">
        <f>IFERROR(X123/H123,"0")+IFERROR(X124/H124,"0")+IFERROR(X125/H125,"0")+IFERROR(X126/H126,"0")</f>
        <v>166.2962962962963</v>
      </c>
      <c r="Y127" s="635">
        <f>IFERROR(Y123/H123,"0")+IFERROR(Y124/H124,"0")+IFERROR(Y125/H125,"0")+IFERROR(Y126/H126,"0")</f>
        <v>167</v>
      </c>
      <c r="Z127" s="635">
        <f>IFERROR(IF(Z123="",0,Z123),"0")+IFERROR(IF(Z124="",0,Z124),"0")+IFERROR(IF(Z125="",0,Z125),"0")+IFERROR(IF(Z126="",0,Z126),"0")</f>
        <v>1.5485600000000002</v>
      </c>
      <c r="AA127" s="636"/>
      <c r="AB127" s="636"/>
      <c r="AC127" s="636"/>
    </row>
    <row r="128" spans="1:68" x14ac:dyDescent="0.2">
      <c r="A128" s="646"/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7"/>
      <c r="P128" s="648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35">
        <f>IFERROR(SUM(X123:X126),"0")</f>
        <v>647</v>
      </c>
      <c r="Y128" s="635">
        <f>IFERROR(SUM(Y123:Y126),"0")</f>
        <v>650.70000000000005</v>
      </c>
      <c r="Z128" s="37"/>
      <c r="AA128" s="636"/>
      <c r="AB128" s="636"/>
      <c r="AC128" s="636"/>
    </row>
    <row r="129" spans="1:68" ht="14.25" hidden="1" customHeight="1" x14ac:dyDescent="0.25">
      <c r="A129" s="651" t="s">
        <v>172</v>
      </c>
      <c r="B129" s="646"/>
      <c r="C129" s="646"/>
      <c r="D129" s="646"/>
      <c r="E129" s="646"/>
      <c r="F129" s="646"/>
      <c r="G129" s="646"/>
      <c r="H129" s="646"/>
      <c r="I129" s="646"/>
      <c r="J129" s="646"/>
      <c r="K129" s="646"/>
      <c r="L129" s="646"/>
      <c r="M129" s="646"/>
      <c r="N129" s="646"/>
      <c r="O129" s="646"/>
      <c r="P129" s="646"/>
      <c r="Q129" s="646"/>
      <c r="R129" s="646"/>
      <c r="S129" s="646"/>
      <c r="T129" s="646"/>
      <c r="U129" s="646"/>
      <c r="V129" s="646"/>
      <c r="W129" s="646"/>
      <c r="X129" s="646"/>
      <c r="Y129" s="646"/>
      <c r="Z129" s="646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40">
        <v>4680115880238</v>
      </c>
      <c r="E130" s="641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76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3"/>
      <c r="R130" s="643"/>
      <c r="S130" s="643"/>
      <c r="T130" s="644"/>
      <c r="U130" s="34"/>
      <c r="V130" s="34"/>
      <c r="W130" s="35" t="s">
        <v>67</v>
      </c>
      <c r="X130" s="633">
        <v>2</v>
      </c>
      <c r="Y130" s="634">
        <f>IFERROR(IF(X130="",0,CEILING((X130/$H130),1)*$H130),"")</f>
        <v>3.96</v>
      </c>
      <c r="Z130" s="36">
        <f>IFERROR(IF(Y130=0,"",ROUNDUP(Y130/H130,0)*0.00651),"")</f>
        <v>1.302E-2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2.2606060606060607</v>
      </c>
      <c r="BN130" s="64">
        <f>IFERROR(Y130*I130/H130,"0")</f>
        <v>4.476</v>
      </c>
      <c r="BO130" s="64">
        <f>IFERROR(1/J130*(X130/H130),"0")</f>
        <v>5.5500055500055509E-3</v>
      </c>
      <c r="BP130" s="64">
        <f>IFERROR(1/J130*(Y130/H130),"0")</f>
        <v>1.098901098901099E-2</v>
      </c>
    </row>
    <row r="131" spans="1:68" x14ac:dyDescent="0.2">
      <c r="A131" s="645"/>
      <c r="B131" s="646"/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7"/>
      <c r="P131" s="648" t="s">
        <v>69</v>
      </c>
      <c r="Q131" s="638"/>
      <c r="R131" s="638"/>
      <c r="S131" s="638"/>
      <c r="T131" s="638"/>
      <c r="U131" s="638"/>
      <c r="V131" s="639"/>
      <c r="W131" s="37" t="s">
        <v>70</v>
      </c>
      <c r="X131" s="635">
        <f>IFERROR(X130/H130,"0")</f>
        <v>1.0101010101010102</v>
      </c>
      <c r="Y131" s="635">
        <f>IFERROR(Y130/H130,"0")</f>
        <v>2</v>
      </c>
      <c r="Z131" s="635">
        <f>IFERROR(IF(Z130="",0,Z130),"0")</f>
        <v>1.302E-2</v>
      </c>
      <c r="AA131" s="636"/>
      <c r="AB131" s="636"/>
      <c r="AC131" s="636"/>
    </row>
    <row r="132" spans="1:68" x14ac:dyDescent="0.2">
      <c r="A132" s="646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47"/>
      <c r="P132" s="648" t="s">
        <v>69</v>
      </c>
      <c r="Q132" s="638"/>
      <c r="R132" s="638"/>
      <c r="S132" s="638"/>
      <c r="T132" s="638"/>
      <c r="U132" s="638"/>
      <c r="V132" s="639"/>
      <c r="W132" s="37" t="s">
        <v>67</v>
      </c>
      <c r="X132" s="635">
        <f>IFERROR(SUM(X130:X130),"0")</f>
        <v>2</v>
      </c>
      <c r="Y132" s="635">
        <f>IFERROR(SUM(Y130:Y130),"0")</f>
        <v>3.96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46"/>
      <c r="P133" s="646"/>
      <c r="Q133" s="646"/>
      <c r="R133" s="646"/>
      <c r="S133" s="646"/>
      <c r="T133" s="646"/>
      <c r="U133" s="646"/>
      <c r="V133" s="646"/>
      <c r="W133" s="646"/>
      <c r="X133" s="646"/>
      <c r="Y133" s="646"/>
      <c r="Z133" s="646"/>
      <c r="AA133" s="628"/>
      <c r="AB133" s="628"/>
      <c r="AC133" s="628"/>
    </row>
    <row r="134" spans="1:68" ht="14.25" hidden="1" customHeight="1" x14ac:dyDescent="0.25">
      <c r="A134" s="651" t="s">
        <v>119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40">
        <v>4680115882577</v>
      </c>
      <c r="E135" s="641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7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3"/>
      <c r="R135" s="643"/>
      <c r="S135" s="643"/>
      <c r="T135" s="644"/>
      <c r="U135" s="34"/>
      <c r="V135" s="34"/>
      <c r="W135" s="35" t="s">
        <v>67</v>
      </c>
      <c r="X135" s="633">
        <v>4</v>
      </c>
      <c r="Y135" s="634">
        <f>IFERROR(IF(X135="",0,CEILING((X135/$H135),1)*$H135),"")</f>
        <v>6.4</v>
      </c>
      <c r="Z135" s="36">
        <f>IFERROR(IF(Y135=0,"",ROUNDUP(Y135/H135,0)*0.00651),"")</f>
        <v>1.302E-2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4.2249999999999996</v>
      </c>
      <c r="BN135" s="64">
        <f>IFERROR(Y135*I135/H135,"0")</f>
        <v>6.76</v>
      </c>
      <c r="BO135" s="64">
        <f>IFERROR(1/J135*(X135/H135),"0")</f>
        <v>6.8681318681318689E-3</v>
      </c>
      <c r="BP135" s="64">
        <f>IFERROR(1/J135*(Y135/H135),"0")</f>
        <v>1.098901098901099E-2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40">
        <v>4680115882577</v>
      </c>
      <c r="E136" s="641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3"/>
      <c r="R136" s="643"/>
      <c r="S136" s="643"/>
      <c r="T136" s="644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5"/>
      <c r="B137" s="646"/>
      <c r="C137" s="646"/>
      <c r="D137" s="646"/>
      <c r="E137" s="646"/>
      <c r="F137" s="646"/>
      <c r="G137" s="646"/>
      <c r="H137" s="646"/>
      <c r="I137" s="646"/>
      <c r="J137" s="646"/>
      <c r="K137" s="646"/>
      <c r="L137" s="646"/>
      <c r="M137" s="646"/>
      <c r="N137" s="646"/>
      <c r="O137" s="647"/>
      <c r="P137" s="648" t="s">
        <v>69</v>
      </c>
      <c r="Q137" s="638"/>
      <c r="R137" s="638"/>
      <c r="S137" s="638"/>
      <c r="T137" s="638"/>
      <c r="U137" s="638"/>
      <c r="V137" s="639"/>
      <c r="W137" s="37" t="s">
        <v>70</v>
      </c>
      <c r="X137" s="635">
        <f>IFERROR(X135/H135,"0")+IFERROR(X136/H136,"0")</f>
        <v>1.25</v>
      </c>
      <c r="Y137" s="635">
        <f>IFERROR(Y135/H135,"0")+IFERROR(Y136/H136,"0")</f>
        <v>2</v>
      </c>
      <c r="Z137" s="635">
        <f>IFERROR(IF(Z135="",0,Z135),"0")+IFERROR(IF(Z136="",0,Z136),"0")</f>
        <v>1.302E-2</v>
      </c>
      <c r="AA137" s="636"/>
      <c r="AB137" s="636"/>
      <c r="AC137" s="636"/>
    </row>
    <row r="138" spans="1:68" x14ac:dyDescent="0.2">
      <c r="A138" s="646"/>
      <c r="B138" s="646"/>
      <c r="C138" s="646"/>
      <c r="D138" s="646"/>
      <c r="E138" s="646"/>
      <c r="F138" s="646"/>
      <c r="G138" s="646"/>
      <c r="H138" s="646"/>
      <c r="I138" s="646"/>
      <c r="J138" s="646"/>
      <c r="K138" s="646"/>
      <c r="L138" s="646"/>
      <c r="M138" s="646"/>
      <c r="N138" s="646"/>
      <c r="O138" s="647"/>
      <c r="P138" s="648" t="s">
        <v>69</v>
      </c>
      <c r="Q138" s="638"/>
      <c r="R138" s="638"/>
      <c r="S138" s="638"/>
      <c r="T138" s="638"/>
      <c r="U138" s="638"/>
      <c r="V138" s="639"/>
      <c r="W138" s="37" t="s">
        <v>67</v>
      </c>
      <c r="X138" s="635">
        <f>IFERROR(SUM(X135:X136),"0")</f>
        <v>4</v>
      </c>
      <c r="Y138" s="635">
        <f>IFERROR(SUM(Y135:Y136),"0")</f>
        <v>6.4</v>
      </c>
      <c r="Z138" s="37"/>
      <c r="AA138" s="636"/>
      <c r="AB138" s="636"/>
      <c r="AC138" s="636"/>
    </row>
    <row r="139" spans="1:68" ht="14.25" hidden="1" customHeight="1" x14ac:dyDescent="0.25">
      <c r="A139" s="651" t="s">
        <v>62</v>
      </c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46"/>
      <c r="P139" s="646"/>
      <c r="Q139" s="646"/>
      <c r="R139" s="646"/>
      <c r="S139" s="646"/>
      <c r="T139" s="646"/>
      <c r="U139" s="646"/>
      <c r="V139" s="646"/>
      <c r="W139" s="646"/>
      <c r="X139" s="646"/>
      <c r="Y139" s="646"/>
      <c r="Z139" s="646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40">
        <v>4680115883444</v>
      </c>
      <c r="E140" s="641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3"/>
      <c r="R140" s="643"/>
      <c r="S140" s="643"/>
      <c r="T140" s="644"/>
      <c r="U140" s="34"/>
      <c r="V140" s="34"/>
      <c r="W140" s="35" t="s">
        <v>67</v>
      </c>
      <c r="X140" s="633">
        <v>3</v>
      </c>
      <c r="Y140" s="634">
        <f>IFERROR(IF(X140="",0,CEILING((X140/$H140),1)*$H140),"")</f>
        <v>5.6</v>
      </c>
      <c r="Z140" s="36">
        <f>IFERROR(IF(Y140=0,"",ROUNDUP(Y140/H140,0)*0.00651),"")</f>
        <v>1.302E-2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3.2871428571428574</v>
      </c>
      <c r="BN140" s="64">
        <f>IFERROR(Y140*I140/H140,"0")</f>
        <v>6.1359999999999992</v>
      </c>
      <c r="BO140" s="64">
        <f>IFERROR(1/J140*(X140/H140),"0")</f>
        <v>5.8869701726844588E-3</v>
      </c>
      <c r="BP140" s="64">
        <f>IFERROR(1/J140*(Y140/H140),"0")</f>
        <v>1.098901098901099E-2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40">
        <v>4680115883444</v>
      </c>
      <c r="E141" s="641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3"/>
      <c r="R141" s="643"/>
      <c r="S141" s="643"/>
      <c r="T141" s="644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5"/>
      <c r="B142" s="646"/>
      <c r="C142" s="646"/>
      <c r="D142" s="646"/>
      <c r="E142" s="646"/>
      <c r="F142" s="646"/>
      <c r="G142" s="646"/>
      <c r="H142" s="646"/>
      <c r="I142" s="646"/>
      <c r="J142" s="646"/>
      <c r="K142" s="646"/>
      <c r="L142" s="646"/>
      <c r="M142" s="646"/>
      <c r="N142" s="646"/>
      <c r="O142" s="647"/>
      <c r="P142" s="648" t="s">
        <v>69</v>
      </c>
      <c r="Q142" s="638"/>
      <c r="R142" s="638"/>
      <c r="S142" s="638"/>
      <c r="T142" s="638"/>
      <c r="U142" s="638"/>
      <c r="V142" s="639"/>
      <c r="W142" s="37" t="s">
        <v>70</v>
      </c>
      <c r="X142" s="635">
        <f>IFERROR(X140/H140,"0")+IFERROR(X141/H141,"0")</f>
        <v>1.0714285714285714</v>
      </c>
      <c r="Y142" s="635">
        <f>IFERROR(Y140/H140,"0")+IFERROR(Y141/H141,"0")</f>
        <v>2</v>
      </c>
      <c r="Z142" s="635">
        <f>IFERROR(IF(Z140="",0,Z140),"0")+IFERROR(IF(Z141="",0,Z141),"0")</f>
        <v>1.302E-2</v>
      </c>
      <c r="AA142" s="636"/>
      <c r="AB142" s="636"/>
      <c r="AC142" s="636"/>
    </row>
    <row r="143" spans="1:68" x14ac:dyDescent="0.2">
      <c r="A143" s="646"/>
      <c r="B143" s="646"/>
      <c r="C143" s="646"/>
      <c r="D143" s="646"/>
      <c r="E143" s="646"/>
      <c r="F143" s="646"/>
      <c r="G143" s="646"/>
      <c r="H143" s="646"/>
      <c r="I143" s="646"/>
      <c r="J143" s="646"/>
      <c r="K143" s="646"/>
      <c r="L143" s="646"/>
      <c r="M143" s="646"/>
      <c r="N143" s="646"/>
      <c r="O143" s="647"/>
      <c r="P143" s="648" t="s">
        <v>69</v>
      </c>
      <c r="Q143" s="638"/>
      <c r="R143" s="638"/>
      <c r="S143" s="638"/>
      <c r="T143" s="638"/>
      <c r="U143" s="638"/>
      <c r="V143" s="639"/>
      <c r="W143" s="37" t="s">
        <v>67</v>
      </c>
      <c r="X143" s="635">
        <f>IFERROR(SUM(X140:X141),"0")</f>
        <v>3</v>
      </c>
      <c r="Y143" s="635">
        <f>IFERROR(SUM(Y140:Y141),"0")</f>
        <v>5.6</v>
      </c>
      <c r="Z143" s="37"/>
      <c r="AA143" s="636"/>
      <c r="AB143" s="636"/>
      <c r="AC143" s="636"/>
    </row>
    <row r="144" spans="1:68" ht="14.25" hidden="1" customHeight="1" x14ac:dyDescent="0.25">
      <c r="A144" s="651" t="s">
        <v>71</v>
      </c>
      <c r="B144" s="646"/>
      <c r="C144" s="646"/>
      <c r="D144" s="646"/>
      <c r="E144" s="646"/>
      <c r="F144" s="646"/>
      <c r="G144" s="646"/>
      <c r="H144" s="646"/>
      <c r="I144" s="646"/>
      <c r="J144" s="646"/>
      <c r="K144" s="646"/>
      <c r="L144" s="646"/>
      <c r="M144" s="646"/>
      <c r="N144" s="646"/>
      <c r="O144" s="646"/>
      <c r="P144" s="646"/>
      <c r="Q144" s="646"/>
      <c r="R144" s="646"/>
      <c r="S144" s="646"/>
      <c r="T144" s="646"/>
      <c r="U144" s="646"/>
      <c r="V144" s="646"/>
      <c r="W144" s="646"/>
      <c r="X144" s="646"/>
      <c r="Y144" s="646"/>
      <c r="Z144" s="646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40">
        <v>4680115882584</v>
      </c>
      <c r="E145" s="641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97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3"/>
      <c r="R145" s="643"/>
      <c r="S145" s="643"/>
      <c r="T145" s="644"/>
      <c r="U145" s="34"/>
      <c r="V145" s="34"/>
      <c r="W145" s="35" t="s">
        <v>67</v>
      </c>
      <c r="X145" s="633">
        <v>39</v>
      </c>
      <c r="Y145" s="634">
        <f>IFERROR(IF(X145="",0,CEILING((X145/$H145),1)*$H145),"")</f>
        <v>39.6</v>
      </c>
      <c r="Z145" s="36">
        <f>IFERROR(IF(Y145=0,"",ROUNDUP(Y145/H145,0)*0.00651),"")</f>
        <v>9.7650000000000001E-2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42.959090909090904</v>
      </c>
      <c r="BN145" s="64">
        <f>IFERROR(Y145*I145/H145,"0")</f>
        <v>43.62</v>
      </c>
      <c r="BO145" s="64">
        <f>IFERROR(1/J145*(X145/H145),"0")</f>
        <v>8.1168831168831168E-2</v>
      </c>
      <c r="BP145" s="64">
        <f>IFERROR(1/J145*(Y145/H145),"0")</f>
        <v>8.241758241758243E-2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40">
        <v>4680115882584</v>
      </c>
      <c r="E146" s="641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73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3"/>
      <c r="R146" s="643"/>
      <c r="S146" s="643"/>
      <c r="T146" s="644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5"/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7"/>
      <c r="P147" s="648" t="s">
        <v>69</v>
      </c>
      <c r="Q147" s="638"/>
      <c r="R147" s="638"/>
      <c r="S147" s="638"/>
      <c r="T147" s="638"/>
      <c r="U147" s="638"/>
      <c r="V147" s="639"/>
      <c r="W147" s="37" t="s">
        <v>70</v>
      </c>
      <c r="X147" s="635">
        <f>IFERROR(X145/H145,"0")+IFERROR(X146/H146,"0")</f>
        <v>14.772727272727272</v>
      </c>
      <c r="Y147" s="635">
        <f>IFERROR(Y145/H145,"0")+IFERROR(Y146/H146,"0")</f>
        <v>15</v>
      </c>
      <c r="Z147" s="635">
        <f>IFERROR(IF(Z145="",0,Z145),"0")+IFERROR(IF(Z146="",0,Z146),"0")</f>
        <v>9.7650000000000001E-2</v>
      </c>
      <c r="AA147" s="636"/>
      <c r="AB147" s="636"/>
      <c r="AC147" s="636"/>
    </row>
    <row r="148" spans="1:68" x14ac:dyDescent="0.2">
      <c r="A148" s="646"/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7"/>
      <c r="P148" s="648" t="s">
        <v>69</v>
      </c>
      <c r="Q148" s="638"/>
      <c r="R148" s="638"/>
      <c r="S148" s="638"/>
      <c r="T148" s="638"/>
      <c r="U148" s="638"/>
      <c r="V148" s="639"/>
      <c r="W148" s="37" t="s">
        <v>67</v>
      </c>
      <c r="X148" s="635">
        <f>IFERROR(SUM(X145:X146),"0")</f>
        <v>39</v>
      </c>
      <c r="Y148" s="635">
        <f>IFERROR(SUM(Y145:Y146),"0")</f>
        <v>39.6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6"/>
      <c r="C149" s="646"/>
      <c r="D149" s="646"/>
      <c r="E149" s="646"/>
      <c r="F149" s="646"/>
      <c r="G149" s="646"/>
      <c r="H149" s="646"/>
      <c r="I149" s="646"/>
      <c r="J149" s="646"/>
      <c r="K149" s="646"/>
      <c r="L149" s="646"/>
      <c r="M149" s="646"/>
      <c r="N149" s="646"/>
      <c r="O149" s="646"/>
      <c r="P149" s="646"/>
      <c r="Q149" s="646"/>
      <c r="R149" s="646"/>
      <c r="S149" s="646"/>
      <c r="T149" s="646"/>
      <c r="U149" s="646"/>
      <c r="V149" s="646"/>
      <c r="W149" s="646"/>
      <c r="X149" s="646"/>
      <c r="Y149" s="646"/>
      <c r="Z149" s="646"/>
      <c r="AA149" s="628"/>
      <c r="AB149" s="628"/>
      <c r="AC149" s="628"/>
    </row>
    <row r="150" spans="1:68" ht="14.25" hidden="1" customHeight="1" x14ac:dyDescent="0.25">
      <c r="A150" s="651" t="s">
        <v>71</v>
      </c>
      <c r="B150" s="646"/>
      <c r="C150" s="646"/>
      <c r="D150" s="646"/>
      <c r="E150" s="646"/>
      <c r="F150" s="646"/>
      <c r="G150" s="646"/>
      <c r="H150" s="646"/>
      <c r="I150" s="646"/>
      <c r="J150" s="646"/>
      <c r="K150" s="646"/>
      <c r="L150" s="646"/>
      <c r="M150" s="646"/>
      <c r="N150" s="646"/>
      <c r="O150" s="646"/>
      <c r="P150" s="646"/>
      <c r="Q150" s="646"/>
      <c r="R150" s="646"/>
      <c r="S150" s="646"/>
      <c r="T150" s="646"/>
      <c r="U150" s="646"/>
      <c r="V150" s="646"/>
      <c r="W150" s="646"/>
      <c r="X150" s="646"/>
      <c r="Y150" s="646"/>
      <c r="Z150" s="646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40">
        <v>4680115888203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64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3"/>
      <c r="R151" s="643"/>
      <c r="S151" s="643"/>
      <c r="T151" s="644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40">
        <v>4680115888180</v>
      </c>
      <c r="E152" s="641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9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3"/>
      <c r="R152" s="643"/>
      <c r="S152" s="643"/>
      <c r="T152" s="644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40">
        <v>4680115888210</v>
      </c>
      <c r="E154" s="641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10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3"/>
      <c r="R154" s="643"/>
      <c r="S154" s="643"/>
      <c r="T154" s="644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5"/>
      <c r="B155" s="646"/>
      <c r="C155" s="646"/>
      <c r="D155" s="646"/>
      <c r="E155" s="646"/>
      <c r="F155" s="646"/>
      <c r="G155" s="646"/>
      <c r="H155" s="646"/>
      <c r="I155" s="646"/>
      <c r="J155" s="646"/>
      <c r="K155" s="646"/>
      <c r="L155" s="646"/>
      <c r="M155" s="646"/>
      <c r="N155" s="646"/>
      <c r="O155" s="647"/>
      <c r="P155" s="648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6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7"/>
      <c r="P156" s="648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51" t="s">
        <v>89</v>
      </c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46"/>
      <c r="P157" s="646"/>
      <c r="Q157" s="646"/>
      <c r="R157" s="646"/>
      <c r="S157" s="646"/>
      <c r="T157" s="646"/>
      <c r="U157" s="646"/>
      <c r="V157" s="646"/>
      <c r="W157" s="646"/>
      <c r="X157" s="646"/>
      <c r="Y157" s="646"/>
      <c r="Z157" s="646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40">
        <v>4680115889132</v>
      </c>
      <c r="E158" s="641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9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5"/>
      <c r="B159" s="646"/>
      <c r="C159" s="646"/>
      <c r="D159" s="646"/>
      <c r="E159" s="646"/>
      <c r="F159" s="646"/>
      <c r="G159" s="646"/>
      <c r="H159" s="646"/>
      <c r="I159" s="646"/>
      <c r="J159" s="646"/>
      <c r="K159" s="646"/>
      <c r="L159" s="646"/>
      <c r="M159" s="646"/>
      <c r="N159" s="646"/>
      <c r="O159" s="647"/>
      <c r="P159" s="648" t="s">
        <v>69</v>
      </c>
      <c r="Q159" s="638"/>
      <c r="R159" s="638"/>
      <c r="S159" s="638"/>
      <c r="T159" s="638"/>
      <c r="U159" s="638"/>
      <c r="V159" s="639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6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7"/>
      <c r="P160" s="648" t="s">
        <v>69</v>
      </c>
      <c r="Q160" s="638"/>
      <c r="R160" s="638"/>
      <c r="S160" s="638"/>
      <c r="T160" s="638"/>
      <c r="U160" s="638"/>
      <c r="V160" s="639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6"/>
      <c r="P161" s="646"/>
      <c r="Q161" s="646"/>
      <c r="R161" s="646"/>
      <c r="S161" s="646"/>
      <c r="T161" s="646"/>
      <c r="U161" s="646"/>
      <c r="V161" s="646"/>
      <c r="W161" s="646"/>
      <c r="X161" s="646"/>
      <c r="Y161" s="646"/>
      <c r="Z161" s="646"/>
      <c r="AA161" s="628"/>
      <c r="AB161" s="628"/>
      <c r="AC161" s="628"/>
    </row>
    <row r="162" spans="1:68" ht="14.25" hidden="1" customHeight="1" x14ac:dyDescent="0.25">
      <c r="A162" s="651" t="s">
        <v>119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40">
        <v>4680115887374</v>
      </c>
      <c r="E163" s="641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6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3"/>
      <c r="R163" s="643"/>
      <c r="S163" s="643"/>
      <c r="T163" s="644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40">
        <v>4607091384604</v>
      </c>
      <c r="E164" s="641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7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3"/>
      <c r="R164" s="643"/>
      <c r="S164" s="643"/>
      <c r="T164" s="644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98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5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7"/>
      <c r="P167" s="648" t="s">
        <v>69</v>
      </c>
      <c r="Q167" s="638"/>
      <c r="R167" s="638"/>
      <c r="S167" s="638"/>
      <c r="T167" s="638"/>
      <c r="U167" s="638"/>
      <c r="V167" s="639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47"/>
      <c r="P168" s="648" t="s">
        <v>69</v>
      </c>
      <c r="Q168" s="638"/>
      <c r="R168" s="638"/>
      <c r="S168" s="638"/>
      <c r="T168" s="638"/>
      <c r="U168" s="638"/>
      <c r="V168" s="639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51" t="s">
        <v>154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9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9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5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7"/>
      <c r="P172" s="648" t="s">
        <v>69</v>
      </c>
      <c r="Q172" s="638"/>
      <c r="R172" s="638"/>
      <c r="S172" s="638"/>
      <c r="T172" s="638"/>
      <c r="U172" s="638"/>
      <c r="V172" s="639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47"/>
      <c r="P173" s="648" t="s">
        <v>69</v>
      </c>
      <c r="Q173" s="638"/>
      <c r="R173" s="638"/>
      <c r="S173" s="638"/>
      <c r="T173" s="638"/>
      <c r="U173" s="638"/>
      <c r="V173" s="639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51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77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3">
        <v>270</v>
      </c>
      <c r="Y175" s="634">
        <f t="shared" ref="Y175:Y184" si="15">IFERROR(IF(X175="",0,CEILING((X175/$H175),1)*$H175),"")</f>
        <v>273</v>
      </c>
      <c r="Z175" s="36">
        <f>IFERROR(IF(Y175=0,"",ROUNDUP(Y175/H175,0)*0.00902),"")</f>
        <v>0.70355999999999996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284.65714285714284</v>
      </c>
      <c r="BN175" s="64">
        <f t="shared" ref="BN175:BN184" si="17">IFERROR(Y175*I175/H175,"0")</f>
        <v>287.82</v>
      </c>
      <c r="BO175" s="64">
        <f t="shared" ref="BO175:BO184" si="18">IFERROR(1/J175*(X175/H175),"0")</f>
        <v>0.58441558441558439</v>
      </c>
      <c r="BP175" s="64">
        <f t="shared" ref="BP175:BP184" si="19">IFERROR(1/J175*(Y175/H175),"0")</f>
        <v>0.59090909090909094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7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3">
        <v>827</v>
      </c>
      <c r="Y177" s="634">
        <f t="shared" si="15"/>
        <v>829.5</v>
      </c>
      <c r="Z177" s="36">
        <f>IFERROR(IF(Y177=0,"",ROUNDUP(Y177/H177,0)*0.00902),"")</f>
        <v>2.13774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871.89428571428573</v>
      </c>
      <c r="BN177" s="64">
        <f t="shared" si="17"/>
        <v>874.53</v>
      </c>
      <c r="BO177" s="64">
        <f t="shared" si="18"/>
        <v>1.7900432900432901</v>
      </c>
      <c r="BP177" s="64">
        <f t="shared" si="19"/>
        <v>1.7954545454545454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73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3">
        <v>606</v>
      </c>
      <c r="Y178" s="634">
        <f t="shared" si="15"/>
        <v>609</v>
      </c>
      <c r="Z178" s="36">
        <f>IFERROR(IF(Y178=0,"",ROUNDUP(Y178/H178,0)*0.00902),"")</f>
        <v>1.56948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638.89714285714285</v>
      </c>
      <c r="BN178" s="64">
        <f t="shared" si="17"/>
        <v>642.06000000000006</v>
      </c>
      <c r="BO178" s="64">
        <f t="shared" si="18"/>
        <v>1.3116883116883118</v>
      </c>
      <c r="BP178" s="64">
        <f t="shared" si="19"/>
        <v>1.3181818181818181</v>
      </c>
    </row>
    <row r="179" spans="1:68" ht="16.5" customHeight="1" x14ac:dyDescent="0.25">
      <c r="A179" s="54" t="s">
        <v>303</v>
      </c>
      <c r="B179" s="54" t="s">
        <v>304</v>
      </c>
      <c r="C179" s="31">
        <v>4301031528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3">
        <v>2</v>
      </c>
      <c r="Y179" s="634">
        <f t="shared" si="15"/>
        <v>2.7</v>
      </c>
      <c r="Z179" s="36">
        <f>IFERROR(IF(Y179=0,"",ROUNDUP(Y179/H179,0)*0.00726),"")</f>
        <v>2.1780000000000001E-2</v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2.4666666666666668</v>
      </c>
      <c r="BN179" s="64">
        <f t="shared" si="17"/>
        <v>3.33</v>
      </c>
      <c r="BO179" s="64">
        <f t="shared" si="18"/>
        <v>1.1574074074074073E-2</v>
      </c>
      <c r="BP179" s="64">
        <f t="shared" si="19"/>
        <v>1.5625E-2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8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3">
        <v>68</v>
      </c>
      <c r="Y180" s="634">
        <f t="shared" si="15"/>
        <v>68.88</v>
      </c>
      <c r="Z180" s="36">
        <f>IFERROR(IF(Y180=0,"",ROUNDUP(Y180/H180,0)*0.00502),"")</f>
        <v>0.20582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72.047619047619051</v>
      </c>
      <c r="BN180" s="64">
        <f t="shared" si="17"/>
        <v>72.98</v>
      </c>
      <c r="BO180" s="64">
        <f t="shared" si="18"/>
        <v>0.17297517297517298</v>
      </c>
      <c r="BP180" s="64">
        <f t="shared" si="19"/>
        <v>0.17521367521367523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7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3"/>
      <c r="R181" s="643"/>
      <c r="S181" s="643"/>
      <c r="T181" s="644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40">
        <v>4680115887480</v>
      </c>
      <c r="E182" s="641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90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3"/>
      <c r="R182" s="643"/>
      <c r="S182" s="643"/>
      <c r="T182" s="644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40">
        <v>4680115888067</v>
      </c>
      <c r="E183" s="641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3"/>
      <c r="R183" s="643"/>
      <c r="S183" s="643"/>
      <c r="T183" s="644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40">
        <v>4680115887435</v>
      </c>
      <c r="E184" s="641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3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3">
        <v>28</v>
      </c>
      <c r="Y184" s="634">
        <f t="shared" si="15"/>
        <v>28.56</v>
      </c>
      <c r="Z184" s="36">
        <f>IFERROR(IF(Y184=0,"",ROUNDUP(Y184/H184,0)*0.00502),"")</f>
        <v>8.5339999999999999E-2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29.666666666666671</v>
      </c>
      <c r="BN184" s="64">
        <f t="shared" si="17"/>
        <v>30.259999999999998</v>
      </c>
      <c r="BO184" s="64">
        <f t="shared" si="18"/>
        <v>7.122507122507124E-2</v>
      </c>
      <c r="BP184" s="64">
        <f t="shared" si="19"/>
        <v>7.2649572649572655E-2</v>
      </c>
    </row>
    <row r="185" spans="1:68" x14ac:dyDescent="0.2">
      <c r="A185" s="645"/>
      <c r="B185" s="646"/>
      <c r="C185" s="646"/>
      <c r="D185" s="646"/>
      <c r="E185" s="646"/>
      <c r="F185" s="646"/>
      <c r="G185" s="646"/>
      <c r="H185" s="646"/>
      <c r="I185" s="646"/>
      <c r="J185" s="646"/>
      <c r="K185" s="646"/>
      <c r="L185" s="646"/>
      <c r="M185" s="646"/>
      <c r="N185" s="646"/>
      <c r="O185" s="647"/>
      <c r="P185" s="648" t="s">
        <v>69</v>
      </c>
      <c r="Q185" s="638"/>
      <c r="R185" s="638"/>
      <c r="S185" s="638"/>
      <c r="T185" s="638"/>
      <c r="U185" s="638"/>
      <c r="V185" s="639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545.93650793650784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550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4.7237200000000001</v>
      </c>
      <c r="AA185" s="636"/>
      <c r="AB185" s="636"/>
      <c r="AC185" s="636"/>
    </row>
    <row r="186" spans="1:68" x14ac:dyDescent="0.2">
      <c r="A186" s="646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47"/>
      <c r="P186" s="648" t="s">
        <v>69</v>
      </c>
      <c r="Q186" s="638"/>
      <c r="R186" s="638"/>
      <c r="S186" s="638"/>
      <c r="T186" s="638"/>
      <c r="U186" s="638"/>
      <c r="V186" s="639"/>
      <c r="W186" s="37" t="s">
        <v>67</v>
      </c>
      <c r="X186" s="635">
        <f>IFERROR(SUM(X175:X184),"0")</f>
        <v>1801</v>
      </c>
      <c r="Y186" s="635">
        <f>IFERROR(SUM(Y175:Y184),"0")</f>
        <v>1811.6399999999999</v>
      </c>
      <c r="Z186" s="37"/>
      <c r="AA186" s="636"/>
      <c r="AB186" s="636"/>
      <c r="AC186" s="636"/>
    </row>
    <row r="187" spans="1:68" ht="14.25" hidden="1" customHeight="1" x14ac:dyDescent="0.25">
      <c r="A187" s="651" t="s">
        <v>71</v>
      </c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6"/>
      <c r="P187" s="646"/>
      <c r="Q187" s="646"/>
      <c r="R187" s="646"/>
      <c r="S187" s="646"/>
      <c r="T187" s="646"/>
      <c r="U187" s="646"/>
      <c r="V187" s="646"/>
      <c r="W187" s="646"/>
      <c r="X187" s="646"/>
      <c r="Y187" s="646"/>
      <c r="Z187" s="646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40">
        <v>4680115888395</v>
      </c>
      <c r="E188" s="641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3"/>
      <c r="R188" s="643"/>
      <c r="S188" s="643"/>
      <c r="T188" s="644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40">
        <v>4680115888371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9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5"/>
      <c r="B190" s="646"/>
      <c r="C190" s="646"/>
      <c r="D190" s="646"/>
      <c r="E190" s="646"/>
      <c r="F190" s="646"/>
      <c r="G190" s="646"/>
      <c r="H190" s="646"/>
      <c r="I190" s="646"/>
      <c r="J190" s="646"/>
      <c r="K190" s="646"/>
      <c r="L190" s="646"/>
      <c r="M190" s="646"/>
      <c r="N190" s="646"/>
      <c r="O190" s="647"/>
      <c r="P190" s="648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6"/>
      <c r="B191" s="646"/>
      <c r="C191" s="646"/>
      <c r="D191" s="646"/>
      <c r="E191" s="646"/>
      <c r="F191" s="646"/>
      <c r="G191" s="646"/>
      <c r="H191" s="646"/>
      <c r="I191" s="646"/>
      <c r="J191" s="646"/>
      <c r="K191" s="646"/>
      <c r="L191" s="646"/>
      <c r="M191" s="646"/>
      <c r="N191" s="646"/>
      <c r="O191" s="647"/>
      <c r="P191" s="648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51" t="s">
        <v>89</v>
      </c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46"/>
      <c r="P192" s="646"/>
      <c r="Q192" s="646"/>
      <c r="R192" s="646"/>
      <c r="S192" s="646"/>
      <c r="T192" s="646"/>
      <c r="U192" s="646"/>
      <c r="V192" s="646"/>
      <c r="W192" s="646"/>
      <c r="X192" s="646"/>
      <c r="Y192" s="646"/>
      <c r="Z192" s="646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40">
        <v>4680115889026</v>
      </c>
      <c r="E193" s="641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5"/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7"/>
      <c r="P194" s="648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6"/>
      <c r="B195" s="646"/>
      <c r="C195" s="646"/>
      <c r="D195" s="646"/>
      <c r="E195" s="646"/>
      <c r="F195" s="646"/>
      <c r="G195" s="646"/>
      <c r="H195" s="646"/>
      <c r="I195" s="646"/>
      <c r="J195" s="646"/>
      <c r="K195" s="646"/>
      <c r="L195" s="646"/>
      <c r="M195" s="646"/>
      <c r="N195" s="646"/>
      <c r="O195" s="647"/>
      <c r="P195" s="648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51" t="s">
        <v>328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40">
        <v>4680115889033</v>
      </c>
      <c r="E197" s="641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3"/>
      <c r="R197" s="643"/>
      <c r="S197" s="643"/>
      <c r="T197" s="644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5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47"/>
      <c r="P198" s="648" t="s">
        <v>69</v>
      </c>
      <c r="Q198" s="638"/>
      <c r="R198" s="638"/>
      <c r="S198" s="638"/>
      <c r="T198" s="638"/>
      <c r="U198" s="638"/>
      <c r="V198" s="639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6"/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7"/>
      <c r="P199" s="648" t="s">
        <v>69</v>
      </c>
      <c r="Q199" s="638"/>
      <c r="R199" s="638"/>
      <c r="S199" s="638"/>
      <c r="T199" s="638"/>
      <c r="U199" s="638"/>
      <c r="V199" s="639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95" t="s">
        <v>332</v>
      </c>
      <c r="B200" s="696"/>
      <c r="C200" s="696"/>
      <c r="D200" s="696"/>
      <c r="E200" s="696"/>
      <c r="F200" s="696"/>
      <c r="G200" s="696"/>
      <c r="H200" s="696"/>
      <c r="I200" s="696"/>
      <c r="J200" s="696"/>
      <c r="K200" s="696"/>
      <c r="L200" s="696"/>
      <c r="M200" s="696"/>
      <c r="N200" s="696"/>
      <c r="O200" s="696"/>
      <c r="P200" s="696"/>
      <c r="Q200" s="696"/>
      <c r="R200" s="696"/>
      <c r="S200" s="696"/>
      <c r="T200" s="696"/>
      <c r="U200" s="696"/>
      <c r="V200" s="696"/>
      <c r="W200" s="696"/>
      <c r="X200" s="696"/>
      <c r="Y200" s="696"/>
      <c r="Z200" s="696"/>
      <c r="AA200" s="48"/>
      <c r="AB200" s="48"/>
      <c r="AC200" s="48"/>
    </row>
    <row r="201" spans="1:68" ht="16.5" hidden="1" customHeight="1" x14ac:dyDescent="0.25">
      <c r="A201" s="654" t="s">
        <v>333</v>
      </c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46"/>
      <c r="P201" s="646"/>
      <c r="Q201" s="646"/>
      <c r="R201" s="646"/>
      <c r="S201" s="646"/>
      <c r="T201" s="646"/>
      <c r="U201" s="646"/>
      <c r="V201" s="646"/>
      <c r="W201" s="646"/>
      <c r="X201" s="646"/>
      <c r="Y201" s="646"/>
      <c r="Z201" s="646"/>
      <c r="AA201" s="628"/>
      <c r="AB201" s="628"/>
      <c r="AC201" s="628"/>
    </row>
    <row r="202" spans="1:68" ht="14.25" hidden="1" customHeight="1" x14ac:dyDescent="0.25">
      <c r="A202" s="651" t="s">
        <v>119</v>
      </c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46"/>
      <c r="P202" s="646"/>
      <c r="Q202" s="646"/>
      <c r="R202" s="646"/>
      <c r="S202" s="646"/>
      <c r="T202" s="646"/>
      <c r="U202" s="646"/>
      <c r="V202" s="646"/>
      <c r="W202" s="646"/>
      <c r="X202" s="646"/>
      <c r="Y202" s="646"/>
      <c r="Z202" s="646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40">
        <v>4607091383423</v>
      </c>
      <c r="E203" s="641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5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3"/>
      <c r="R203" s="643"/>
      <c r="S203" s="643"/>
      <c r="T203" s="644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40">
        <v>4680115888760</v>
      </c>
      <c r="E204" s="641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40">
        <v>4680115888807</v>
      </c>
      <c r="E205" s="641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9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40">
        <v>4680115888852</v>
      </c>
      <c r="E206" s="641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3"/>
      <c r="R206" s="643"/>
      <c r="S206" s="643"/>
      <c r="T206" s="644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40">
        <v>4680115886957</v>
      </c>
      <c r="E207" s="641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2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3"/>
      <c r="R207" s="643"/>
      <c r="S207" s="643"/>
      <c r="T207" s="644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40">
        <v>4680115885660</v>
      </c>
      <c r="E208" s="641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7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3"/>
      <c r="R208" s="643"/>
      <c r="S208" s="643"/>
      <c r="T208" s="644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40">
        <v>4680115886773</v>
      </c>
      <c r="E209" s="641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9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3"/>
      <c r="R209" s="643"/>
      <c r="S209" s="643"/>
      <c r="T209" s="644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5"/>
      <c r="B210" s="646"/>
      <c r="C210" s="646"/>
      <c r="D210" s="646"/>
      <c r="E210" s="646"/>
      <c r="F210" s="646"/>
      <c r="G210" s="646"/>
      <c r="H210" s="646"/>
      <c r="I210" s="646"/>
      <c r="J210" s="646"/>
      <c r="K210" s="646"/>
      <c r="L210" s="646"/>
      <c r="M210" s="646"/>
      <c r="N210" s="646"/>
      <c r="O210" s="647"/>
      <c r="P210" s="648" t="s">
        <v>69</v>
      </c>
      <c r="Q210" s="638"/>
      <c r="R210" s="638"/>
      <c r="S210" s="638"/>
      <c r="T210" s="638"/>
      <c r="U210" s="638"/>
      <c r="V210" s="639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6"/>
      <c r="B211" s="646"/>
      <c r="C211" s="646"/>
      <c r="D211" s="646"/>
      <c r="E211" s="646"/>
      <c r="F211" s="646"/>
      <c r="G211" s="646"/>
      <c r="H211" s="646"/>
      <c r="I211" s="646"/>
      <c r="J211" s="646"/>
      <c r="K211" s="646"/>
      <c r="L211" s="646"/>
      <c r="M211" s="646"/>
      <c r="N211" s="646"/>
      <c r="O211" s="647"/>
      <c r="P211" s="648" t="s">
        <v>69</v>
      </c>
      <c r="Q211" s="638"/>
      <c r="R211" s="638"/>
      <c r="S211" s="638"/>
      <c r="T211" s="638"/>
      <c r="U211" s="638"/>
      <c r="V211" s="639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6"/>
      <c r="C212" s="646"/>
      <c r="D212" s="646"/>
      <c r="E212" s="646"/>
      <c r="F212" s="646"/>
      <c r="G212" s="646"/>
      <c r="H212" s="646"/>
      <c r="I212" s="646"/>
      <c r="J212" s="646"/>
      <c r="K212" s="646"/>
      <c r="L212" s="646"/>
      <c r="M212" s="646"/>
      <c r="N212" s="646"/>
      <c r="O212" s="646"/>
      <c r="P212" s="646"/>
      <c r="Q212" s="646"/>
      <c r="R212" s="646"/>
      <c r="S212" s="646"/>
      <c r="T212" s="646"/>
      <c r="U212" s="646"/>
      <c r="V212" s="646"/>
      <c r="W212" s="646"/>
      <c r="X212" s="646"/>
      <c r="Y212" s="646"/>
      <c r="Z212" s="646"/>
      <c r="AA212" s="628"/>
      <c r="AB212" s="628"/>
      <c r="AC212" s="628"/>
    </row>
    <row r="213" spans="1:68" ht="14.25" hidden="1" customHeight="1" x14ac:dyDescent="0.25">
      <c r="A213" s="651" t="s">
        <v>154</v>
      </c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46"/>
      <c r="P213" s="646"/>
      <c r="Q213" s="646"/>
      <c r="R213" s="646"/>
      <c r="S213" s="646"/>
      <c r="T213" s="646"/>
      <c r="U213" s="646"/>
      <c r="V213" s="646"/>
      <c r="W213" s="646"/>
      <c r="X213" s="646"/>
      <c r="Y213" s="646"/>
      <c r="Z213" s="646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40">
        <v>4680115886223</v>
      </c>
      <c r="E214" s="641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7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3"/>
      <c r="R214" s="643"/>
      <c r="S214" s="643"/>
      <c r="T214" s="644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5"/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7"/>
      <c r="P215" s="648" t="s">
        <v>69</v>
      </c>
      <c r="Q215" s="638"/>
      <c r="R215" s="638"/>
      <c r="S215" s="638"/>
      <c r="T215" s="638"/>
      <c r="U215" s="638"/>
      <c r="V215" s="639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6"/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7"/>
      <c r="P216" s="648" t="s">
        <v>69</v>
      </c>
      <c r="Q216" s="638"/>
      <c r="R216" s="638"/>
      <c r="S216" s="638"/>
      <c r="T216" s="638"/>
      <c r="U216" s="638"/>
      <c r="V216" s="639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51" t="s">
        <v>62</v>
      </c>
      <c r="B217" s="646"/>
      <c r="C217" s="646"/>
      <c r="D217" s="646"/>
      <c r="E217" s="646"/>
      <c r="F217" s="646"/>
      <c r="G217" s="646"/>
      <c r="H217" s="646"/>
      <c r="I217" s="646"/>
      <c r="J217" s="646"/>
      <c r="K217" s="646"/>
      <c r="L217" s="646"/>
      <c r="M217" s="646"/>
      <c r="N217" s="646"/>
      <c r="O217" s="646"/>
      <c r="P217" s="646"/>
      <c r="Q217" s="646"/>
      <c r="R217" s="646"/>
      <c r="S217" s="646"/>
      <c r="T217" s="646"/>
      <c r="U217" s="646"/>
      <c r="V217" s="646"/>
      <c r="W217" s="646"/>
      <c r="X217" s="646"/>
      <c r="Y217" s="646"/>
      <c r="Z217" s="646"/>
      <c r="AA217" s="629"/>
      <c r="AB217" s="629"/>
      <c r="AC217" s="629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40">
        <v>4680115880993</v>
      </c>
      <c r="E218" s="641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65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3"/>
      <c r="R218" s="643"/>
      <c r="S218" s="643"/>
      <c r="T218" s="644"/>
      <c r="U218" s="34"/>
      <c r="V218" s="34"/>
      <c r="W218" s="35" t="s">
        <v>67</v>
      </c>
      <c r="X218" s="633">
        <v>100</v>
      </c>
      <c r="Y218" s="634">
        <f t="shared" ref="Y218:Y231" si="26">IFERROR(IF(X218="",0,CEILING((X218/$H218),1)*$H218),"")</f>
        <v>100.80000000000001</v>
      </c>
      <c r="Z218" s="36">
        <f>IFERROR(IF(Y218=0,"",ROUNDUP(Y218/H218,0)*0.00902),"")</f>
        <v>0.21648000000000001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105.95238095238095</v>
      </c>
      <c r="BN218" s="64">
        <f t="shared" ref="BN218:BN231" si="28">IFERROR(Y218*I218/H218,"0")</f>
        <v>106.80000000000001</v>
      </c>
      <c r="BO218" s="64">
        <f t="shared" ref="BO218:BO231" si="29">IFERROR(1/J218*(X218/H218),"0")</f>
        <v>0.18037518037518038</v>
      </c>
      <c r="BP218" s="64">
        <f t="shared" ref="BP218:BP231" si="30">IFERROR(1/J218*(Y218/H218),"0")</f>
        <v>0.18181818181818182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40">
        <v>4680115881761</v>
      </c>
      <c r="E219" s="641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3"/>
      <c r="R219" s="643"/>
      <c r="S219" s="643"/>
      <c r="T219" s="644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40">
        <v>4680115881563</v>
      </c>
      <c r="E220" s="641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3">
        <v>116</v>
      </c>
      <c r="Y220" s="634">
        <f t="shared" si="26"/>
        <v>117.60000000000001</v>
      </c>
      <c r="Z220" s="36">
        <f>IFERROR(IF(Y220=0,"",ROUNDUP(Y220/H220,0)*0.00902),"")</f>
        <v>0.25256000000000001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121.24761904761903</v>
      </c>
      <c r="BN220" s="64">
        <f t="shared" si="28"/>
        <v>122.92</v>
      </c>
      <c r="BO220" s="64">
        <f t="shared" si="29"/>
        <v>0.20923520923520922</v>
      </c>
      <c r="BP220" s="64">
        <f t="shared" si="30"/>
        <v>0.21212121212121213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40">
        <v>4680115881563</v>
      </c>
      <c r="E221" s="641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98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40">
        <v>4680115887565</v>
      </c>
      <c r="E222" s="641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40">
        <v>4680115880986</v>
      </c>
      <c r="E223" s="641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9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3"/>
      <c r="R223" s="643"/>
      <c r="S223" s="643"/>
      <c r="T223" s="644"/>
      <c r="U223" s="34"/>
      <c r="V223" s="34"/>
      <c r="W223" s="35" t="s">
        <v>67</v>
      </c>
      <c r="X223" s="633">
        <v>155</v>
      </c>
      <c r="Y223" s="634">
        <f t="shared" si="26"/>
        <v>155.4</v>
      </c>
      <c r="Z223" s="36">
        <f>IFERROR(IF(Y223=0,"",ROUNDUP(Y223/H223,0)*0.00502),"")</f>
        <v>0.37148000000000003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164.59523809523807</v>
      </c>
      <c r="BN223" s="64">
        <f t="shared" si="28"/>
        <v>165.02</v>
      </c>
      <c r="BO223" s="64">
        <f t="shared" si="29"/>
        <v>0.31542531542531543</v>
      </c>
      <c r="BP223" s="64">
        <f t="shared" si="30"/>
        <v>0.31623931623931628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40">
        <v>4680115887213</v>
      </c>
      <c r="E224" s="641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40">
        <v>4680115881785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7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3"/>
      <c r="R225" s="643"/>
      <c r="S225" s="643"/>
      <c r="T225" s="644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40">
        <v>4680115888432</v>
      </c>
      <c r="E226" s="641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78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40">
        <v>4680115886537</v>
      </c>
      <c r="E227" s="641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78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3"/>
      <c r="R227" s="643"/>
      <c r="S227" s="643"/>
      <c r="T227" s="644"/>
      <c r="U227" s="34"/>
      <c r="V227" s="34"/>
      <c r="W227" s="35" t="s">
        <v>67</v>
      </c>
      <c r="X227" s="633">
        <v>15</v>
      </c>
      <c r="Y227" s="634">
        <f t="shared" si="26"/>
        <v>16.2</v>
      </c>
      <c r="Z227" s="36">
        <f>IFERROR(IF(Y227=0,"",ROUNDUP(Y227/H227,0)*0.00502),"")</f>
        <v>4.5179999999999998E-2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16.083333333333332</v>
      </c>
      <c r="BN227" s="64">
        <f t="shared" si="28"/>
        <v>17.369999999999997</v>
      </c>
      <c r="BO227" s="64">
        <f t="shared" si="29"/>
        <v>3.561253561253562E-2</v>
      </c>
      <c r="BP227" s="64">
        <f t="shared" si="30"/>
        <v>3.8461538461538464E-2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40">
        <v>4680115887596</v>
      </c>
      <c r="E228" s="641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6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3"/>
      <c r="R228" s="643"/>
      <c r="S228" s="643"/>
      <c r="T228" s="644"/>
      <c r="U228" s="34"/>
      <c r="V228" s="34"/>
      <c r="W228" s="35" t="s">
        <v>67</v>
      </c>
      <c r="X228" s="633">
        <v>6</v>
      </c>
      <c r="Y228" s="634">
        <f t="shared" si="26"/>
        <v>6.4</v>
      </c>
      <c r="Z228" s="36">
        <f>IFERROR(IF(Y228=0,"",ROUNDUP(Y228/H228,0)*0.00417),"")</f>
        <v>3.3360000000000001E-2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7.5750000000000002</v>
      </c>
      <c r="BN228" s="64">
        <f t="shared" si="28"/>
        <v>8.08</v>
      </c>
      <c r="BO228" s="64">
        <f t="shared" si="29"/>
        <v>2.4038461538461536E-2</v>
      </c>
      <c r="BP228" s="64">
        <f t="shared" si="30"/>
        <v>2.564102564102564E-2</v>
      </c>
    </row>
    <row r="229" spans="1:68" ht="37.5" hidden="1" customHeight="1" x14ac:dyDescent="0.25">
      <c r="A229" s="54" t="s">
        <v>387</v>
      </c>
      <c r="B229" s="54" t="s">
        <v>388</v>
      </c>
      <c r="C229" s="31">
        <v>4301031530</v>
      </c>
      <c r="D229" s="640">
        <v>4680115881679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2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3"/>
      <c r="R229" s="643"/>
      <c r="S229" s="643"/>
      <c r="T229" s="644"/>
      <c r="U229" s="34"/>
      <c r="V229" s="34"/>
      <c r="W229" s="35" t="s">
        <v>67</v>
      </c>
      <c r="X229" s="633">
        <v>0</v>
      </c>
      <c r="Y229" s="634">
        <f t="shared" si="26"/>
        <v>0</v>
      </c>
      <c r="Z229" s="36" t="str">
        <f>IFERROR(IF(Y229=0,"",ROUNDUP(Y229/H229,0)*0.00502),"")</f>
        <v/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40">
        <v>4680115880191</v>
      </c>
      <c r="E230" s="641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9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40">
        <v>4680115883963</v>
      </c>
      <c r="E231" s="641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9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5"/>
      <c r="B232" s="646"/>
      <c r="C232" s="646"/>
      <c r="D232" s="646"/>
      <c r="E232" s="646"/>
      <c r="F232" s="646"/>
      <c r="G232" s="646"/>
      <c r="H232" s="646"/>
      <c r="I232" s="646"/>
      <c r="J232" s="646"/>
      <c r="K232" s="646"/>
      <c r="L232" s="646"/>
      <c r="M232" s="646"/>
      <c r="N232" s="646"/>
      <c r="O232" s="647"/>
      <c r="P232" s="648" t="s">
        <v>69</v>
      </c>
      <c r="Q232" s="638"/>
      <c r="R232" s="638"/>
      <c r="S232" s="638"/>
      <c r="T232" s="638"/>
      <c r="U232" s="638"/>
      <c r="V232" s="639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141.07142857142858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143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0.91905999999999999</v>
      </c>
      <c r="AA232" s="636"/>
      <c r="AB232" s="636"/>
      <c r="AC232" s="636"/>
    </row>
    <row r="233" spans="1:68" x14ac:dyDescent="0.2">
      <c r="A233" s="646"/>
      <c r="B233" s="646"/>
      <c r="C233" s="646"/>
      <c r="D233" s="646"/>
      <c r="E233" s="646"/>
      <c r="F233" s="646"/>
      <c r="G233" s="646"/>
      <c r="H233" s="646"/>
      <c r="I233" s="646"/>
      <c r="J233" s="646"/>
      <c r="K233" s="646"/>
      <c r="L233" s="646"/>
      <c r="M233" s="646"/>
      <c r="N233" s="646"/>
      <c r="O233" s="647"/>
      <c r="P233" s="648" t="s">
        <v>69</v>
      </c>
      <c r="Q233" s="638"/>
      <c r="R233" s="638"/>
      <c r="S233" s="638"/>
      <c r="T233" s="638"/>
      <c r="U233" s="638"/>
      <c r="V233" s="639"/>
      <c r="W233" s="37" t="s">
        <v>67</v>
      </c>
      <c r="X233" s="635">
        <f>IFERROR(SUM(X218:X231),"0")</f>
        <v>392</v>
      </c>
      <c r="Y233" s="635">
        <f>IFERROR(SUM(Y218:Y231),"0")</f>
        <v>396.40000000000003</v>
      </c>
      <c r="Z233" s="37"/>
      <c r="AA233" s="636"/>
      <c r="AB233" s="636"/>
      <c r="AC233" s="636"/>
    </row>
    <row r="234" spans="1:68" ht="14.25" hidden="1" customHeight="1" x14ac:dyDescent="0.25">
      <c r="A234" s="651" t="s">
        <v>71</v>
      </c>
      <c r="B234" s="646"/>
      <c r="C234" s="646"/>
      <c r="D234" s="646"/>
      <c r="E234" s="646"/>
      <c r="F234" s="646"/>
      <c r="G234" s="646"/>
      <c r="H234" s="646"/>
      <c r="I234" s="646"/>
      <c r="J234" s="646"/>
      <c r="K234" s="646"/>
      <c r="L234" s="646"/>
      <c r="M234" s="646"/>
      <c r="N234" s="646"/>
      <c r="O234" s="646"/>
      <c r="P234" s="646"/>
      <c r="Q234" s="646"/>
      <c r="R234" s="646"/>
      <c r="S234" s="646"/>
      <c r="T234" s="646"/>
      <c r="U234" s="646"/>
      <c r="V234" s="646"/>
      <c r="W234" s="646"/>
      <c r="X234" s="646"/>
      <c r="Y234" s="646"/>
      <c r="Z234" s="646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40">
        <v>4680115888692</v>
      </c>
      <c r="E235" s="641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2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3"/>
      <c r="R235" s="643"/>
      <c r="S235" s="643"/>
      <c r="T235" s="644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40">
        <v>4680115888722</v>
      </c>
      <c r="E236" s="641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94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3"/>
      <c r="R236" s="643"/>
      <c r="S236" s="643"/>
      <c r="T236" s="644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40">
        <v>4680115888951</v>
      </c>
      <c r="E237" s="641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9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3"/>
      <c r="R237" s="643"/>
      <c r="S237" s="643"/>
      <c r="T237" s="644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40">
        <v>4680115888975</v>
      </c>
      <c r="E238" s="641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40">
        <v>4680115888982</v>
      </c>
      <c r="E239" s="641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5"/>
      <c r="B240" s="646"/>
      <c r="C240" s="646"/>
      <c r="D240" s="646"/>
      <c r="E240" s="646"/>
      <c r="F240" s="646"/>
      <c r="G240" s="646"/>
      <c r="H240" s="646"/>
      <c r="I240" s="646"/>
      <c r="J240" s="646"/>
      <c r="K240" s="646"/>
      <c r="L240" s="646"/>
      <c r="M240" s="646"/>
      <c r="N240" s="646"/>
      <c r="O240" s="647"/>
      <c r="P240" s="648" t="s">
        <v>69</v>
      </c>
      <c r="Q240" s="638"/>
      <c r="R240" s="638"/>
      <c r="S240" s="638"/>
      <c r="T240" s="638"/>
      <c r="U240" s="638"/>
      <c r="V240" s="639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6"/>
      <c r="B241" s="646"/>
      <c r="C241" s="646"/>
      <c r="D241" s="646"/>
      <c r="E241" s="646"/>
      <c r="F241" s="646"/>
      <c r="G241" s="646"/>
      <c r="H241" s="646"/>
      <c r="I241" s="646"/>
      <c r="J241" s="646"/>
      <c r="K241" s="646"/>
      <c r="L241" s="646"/>
      <c r="M241" s="646"/>
      <c r="N241" s="646"/>
      <c r="O241" s="647"/>
      <c r="P241" s="648" t="s">
        <v>69</v>
      </c>
      <c r="Q241" s="638"/>
      <c r="R241" s="638"/>
      <c r="S241" s="638"/>
      <c r="T241" s="638"/>
      <c r="U241" s="638"/>
      <c r="V241" s="639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51" t="s">
        <v>89</v>
      </c>
      <c r="B242" s="646"/>
      <c r="C242" s="646"/>
      <c r="D242" s="646"/>
      <c r="E242" s="646"/>
      <c r="F242" s="646"/>
      <c r="G242" s="646"/>
      <c r="H242" s="646"/>
      <c r="I242" s="646"/>
      <c r="J242" s="646"/>
      <c r="K242" s="646"/>
      <c r="L242" s="646"/>
      <c r="M242" s="646"/>
      <c r="N242" s="646"/>
      <c r="O242" s="646"/>
      <c r="P242" s="646"/>
      <c r="Q242" s="646"/>
      <c r="R242" s="646"/>
      <c r="S242" s="646"/>
      <c r="T242" s="646"/>
      <c r="U242" s="646"/>
      <c r="V242" s="646"/>
      <c r="W242" s="646"/>
      <c r="X242" s="646"/>
      <c r="Y242" s="646"/>
      <c r="Z242" s="646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40">
        <v>4680115886780</v>
      </c>
      <c r="E243" s="641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6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3"/>
      <c r="R243" s="643"/>
      <c r="S243" s="643"/>
      <c r="T243" s="644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40">
        <v>4680115886742</v>
      </c>
      <c r="E244" s="641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99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40">
        <v>4680115886766</v>
      </c>
      <c r="E245" s="641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8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3"/>
      <c r="R245" s="643"/>
      <c r="S245" s="643"/>
      <c r="T245" s="644"/>
      <c r="U245" s="34"/>
      <c r="V245" s="34"/>
      <c r="W245" s="35" t="s">
        <v>67</v>
      </c>
      <c r="X245" s="633">
        <v>14</v>
      </c>
      <c r="Y245" s="634">
        <f>IFERROR(IF(X245="",0,CEILING((X245/$H245),1)*$H245),"")</f>
        <v>15.120000000000001</v>
      </c>
      <c r="Z245" s="36">
        <f>IFERROR(IF(Y245=0,"",ROUNDUP(Y245/H245,0)*0.0059),"")</f>
        <v>7.0800000000000002E-2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16.111111111111111</v>
      </c>
      <c r="BN245" s="64">
        <f>IFERROR(Y245*I245/H245,"0")</f>
        <v>17.399999999999999</v>
      </c>
      <c r="BO245" s="64">
        <f>IFERROR(1/J245*(X245/H245),"0")</f>
        <v>5.1440329218106991E-2</v>
      </c>
      <c r="BP245" s="64">
        <f>IFERROR(1/J245*(Y245/H245),"0")</f>
        <v>5.5555555555555552E-2</v>
      </c>
    </row>
    <row r="246" spans="1:68" x14ac:dyDescent="0.2">
      <c r="A246" s="645"/>
      <c r="B246" s="646"/>
      <c r="C246" s="646"/>
      <c r="D246" s="646"/>
      <c r="E246" s="646"/>
      <c r="F246" s="646"/>
      <c r="G246" s="646"/>
      <c r="H246" s="646"/>
      <c r="I246" s="646"/>
      <c r="J246" s="646"/>
      <c r="K246" s="646"/>
      <c r="L246" s="646"/>
      <c r="M246" s="646"/>
      <c r="N246" s="646"/>
      <c r="O246" s="647"/>
      <c r="P246" s="648" t="s">
        <v>69</v>
      </c>
      <c r="Q246" s="638"/>
      <c r="R246" s="638"/>
      <c r="S246" s="638"/>
      <c r="T246" s="638"/>
      <c r="U246" s="638"/>
      <c r="V246" s="639"/>
      <c r="W246" s="37" t="s">
        <v>70</v>
      </c>
      <c r="X246" s="635">
        <f>IFERROR(X243/H243,"0")+IFERROR(X244/H244,"0")+IFERROR(X245/H245,"0")</f>
        <v>11.111111111111111</v>
      </c>
      <c r="Y246" s="635">
        <f>IFERROR(Y243/H243,"0")+IFERROR(Y244/H244,"0")+IFERROR(Y245/H245,"0")</f>
        <v>12</v>
      </c>
      <c r="Z246" s="635">
        <f>IFERROR(IF(Z243="",0,Z243),"0")+IFERROR(IF(Z244="",0,Z244),"0")+IFERROR(IF(Z245="",0,Z245),"0")</f>
        <v>7.0800000000000002E-2</v>
      </c>
      <c r="AA246" s="636"/>
      <c r="AB246" s="636"/>
      <c r="AC246" s="636"/>
    </row>
    <row r="247" spans="1:68" x14ac:dyDescent="0.2">
      <c r="A247" s="646"/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7"/>
      <c r="P247" s="648" t="s">
        <v>69</v>
      </c>
      <c r="Q247" s="638"/>
      <c r="R247" s="638"/>
      <c r="S247" s="638"/>
      <c r="T247" s="638"/>
      <c r="U247" s="638"/>
      <c r="V247" s="639"/>
      <c r="W247" s="37" t="s">
        <v>67</v>
      </c>
      <c r="X247" s="635">
        <f>IFERROR(SUM(X243:X245),"0")</f>
        <v>14</v>
      </c>
      <c r="Y247" s="635">
        <f>IFERROR(SUM(Y243:Y245),"0")</f>
        <v>15.120000000000001</v>
      </c>
      <c r="Z247" s="37"/>
      <c r="AA247" s="636"/>
      <c r="AB247" s="636"/>
      <c r="AC247" s="636"/>
    </row>
    <row r="248" spans="1:68" ht="14.25" hidden="1" customHeight="1" x14ac:dyDescent="0.25">
      <c r="A248" s="651" t="s">
        <v>415</v>
      </c>
      <c r="B248" s="646"/>
      <c r="C248" s="646"/>
      <c r="D248" s="646"/>
      <c r="E248" s="646"/>
      <c r="F248" s="646"/>
      <c r="G248" s="646"/>
      <c r="H248" s="646"/>
      <c r="I248" s="646"/>
      <c r="J248" s="646"/>
      <c r="K248" s="646"/>
      <c r="L248" s="646"/>
      <c r="M248" s="646"/>
      <c r="N248" s="646"/>
      <c r="O248" s="646"/>
      <c r="P248" s="646"/>
      <c r="Q248" s="646"/>
      <c r="R248" s="646"/>
      <c r="S248" s="646"/>
      <c r="T248" s="646"/>
      <c r="U248" s="646"/>
      <c r="V248" s="646"/>
      <c r="W248" s="646"/>
      <c r="X248" s="646"/>
      <c r="Y248" s="646"/>
      <c r="Z248" s="646"/>
      <c r="AA248" s="629"/>
      <c r="AB248" s="629"/>
      <c r="AC248" s="629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40">
        <v>4680115886797</v>
      </c>
      <c r="E249" s="641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99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3">
        <v>3</v>
      </c>
      <c r="Y249" s="634">
        <f>IFERROR(IF(X249="",0,CEILING((X249/$H249),1)*$H249),"")</f>
        <v>3.7800000000000002</v>
      </c>
      <c r="Z249" s="36">
        <f>IFERROR(IF(Y249=0,"",ROUNDUP(Y249/H249,0)*0.0059),"")</f>
        <v>1.77E-2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3.4523809523809521</v>
      </c>
      <c r="BN249" s="64">
        <f>IFERROR(Y249*I249/H249,"0")</f>
        <v>4.3499999999999996</v>
      </c>
      <c r="BO249" s="64">
        <f>IFERROR(1/J249*(X249/H249),"0")</f>
        <v>1.1022927689594356E-2</v>
      </c>
      <c r="BP249" s="64">
        <f>IFERROR(1/J249*(Y249/H249),"0")</f>
        <v>1.3888888888888888E-2</v>
      </c>
    </row>
    <row r="250" spans="1:68" x14ac:dyDescent="0.2">
      <c r="A250" s="645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47"/>
      <c r="P250" s="648" t="s">
        <v>69</v>
      </c>
      <c r="Q250" s="638"/>
      <c r="R250" s="638"/>
      <c r="S250" s="638"/>
      <c r="T250" s="638"/>
      <c r="U250" s="638"/>
      <c r="V250" s="639"/>
      <c r="W250" s="37" t="s">
        <v>70</v>
      </c>
      <c r="X250" s="635">
        <f>IFERROR(X249/H249,"0")</f>
        <v>2.3809523809523809</v>
      </c>
      <c r="Y250" s="635">
        <f>IFERROR(Y249/H249,"0")</f>
        <v>3</v>
      </c>
      <c r="Z250" s="635">
        <f>IFERROR(IF(Z249="",0,Z249),"0")</f>
        <v>1.77E-2</v>
      </c>
      <c r="AA250" s="636"/>
      <c r="AB250" s="636"/>
      <c r="AC250" s="636"/>
    </row>
    <row r="251" spans="1:68" x14ac:dyDescent="0.2">
      <c r="A251" s="646"/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7"/>
      <c r="P251" s="648" t="s">
        <v>69</v>
      </c>
      <c r="Q251" s="638"/>
      <c r="R251" s="638"/>
      <c r="S251" s="638"/>
      <c r="T251" s="638"/>
      <c r="U251" s="638"/>
      <c r="V251" s="639"/>
      <c r="W251" s="37" t="s">
        <v>67</v>
      </c>
      <c r="X251" s="635">
        <f>IFERROR(SUM(X249:X249),"0")</f>
        <v>3</v>
      </c>
      <c r="Y251" s="635">
        <f>IFERROR(SUM(Y249:Y249),"0")</f>
        <v>3.7800000000000002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6"/>
      <c r="C252" s="646"/>
      <c r="D252" s="646"/>
      <c r="E252" s="646"/>
      <c r="F252" s="646"/>
      <c r="G252" s="646"/>
      <c r="H252" s="646"/>
      <c r="I252" s="646"/>
      <c r="J252" s="646"/>
      <c r="K252" s="646"/>
      <c r="L252" s="646"/>
      <c r="M252" s="646"/>
      <c r="N252" s="646"/>
      <c r="O252" s="646"/>
      <c r="P252" s="646"/>
      <c r="Q252" s="646"/>
      <c r="R252" s="646"/>
      <c r="S252" s="646"/>
      <c r="T252" s="646"/>
      <c r="U252" s="646"/>
      <c r="V252" s="646"/>
      <c r="W252" s="646"/>
      <c r="X252" s="646"/>
      <c r="Y252" s="646"/>
      <c r="Z252" s="646"/>
      <c r="AA252" s="628"/>
      <c r="AB252" s="628"/>
      <c r="AC252" s="628"/>
    </row>
    <row r="253" spans="1:68" ht="14.25" hidden="1" customHeight="1" x14ac:dyDescent="0.25">
      <c r="A253" s="651" t="s">
        <v>119</v>
      </c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6"/>
      <c r="P253" s="646"/>
      <c r="Q253" s="646"/>
      <c r="R253" s="646"/>
      <c r="S253" s="646"/>
      <c r="T253" s="646"/>
      <c r="U253" s="646"/>
      <c r="V253" s="646"/>
      <c r="W253" s="646"/>
      <c r="X253" s="646"/>
      <c r="Y253" s="646"/>
      <c r="Z253" s="646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40">
        <v>4680115881402</v>
      </c>
      <c r="E254" s="641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3"/>
      <c r="R254" s="643"/>
      <c r="S254" s="643"/>
      <c r="T254" s="644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40">
        <v>4680115881396</v>
      </c>
      <c r="E255" s="641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9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3"/>
      <c r="R255" s="643"/>
      <c r="S255" s="643"/>
      <c r="T255" s="644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5"/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7"/>
      <c r="P256" s="648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6"/>
      <c r="B257" s="646"/>
      <c r="C257" s="646"/>
      <c r="D257" s="646"/>
      <c r="E257" s="646"/>
      <c r="F257" s="646"/>
      <c r="G257" s="646"/>
      <c r="H257" s="646"/>
      <c r="I257" s="646"/>
      <c r="J257" s="646"/>
      <c r="K257" s="646"/>
      <c r="L257" s="646"/>
      <c r="M257" s="646"/>
      <c r="N257" s="646"/>
      <c r="O257" s="647"/>
      <c r="P257" s="648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51" t="s">
        <v>154</v>
      </c>
      <c r="B258" s="646"/>
      <c r="C258" s="646"/>
      <c r="D258" s="646"/>
      <c r="E258" s="646"/>
      <c r="F258" s="646"/>
      <c r="G258" s="646"/>
      <c r="H258" s="646"/>
      <c r="I258" s="646"/>
      <c r="J258" s="646"/>
      <c r="K258" s="646"/>
      <c r="L258" s="646"/>
      <c r="M258" s="646"/>
      <c r="N258" s="646"/>
      <c r="O258" s="646"/>
      <c r="P258" s="646"/>
      <c r="Q258" s="646"/>
      <c r="R258" s="646"/>
      <c r="S258" s="646"/>
      <c r="T258" s="646"/>
      <c r="U258" s="646"/>
      <c r="V258" s="646"/>
      <c r="W258" s="646"/>
      <c r="X258" s="646"/>
      <c r="Y258" s="646"/>
      <c r="Z258" s="646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40">
        <v>4680115882935</v>
      </c>
      <c r="E259" s="641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96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3"/>
      <c r="R259" s="643"/>
      <c r="S259" s="643"/>
      <c r="T259" s="644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40">
        <v>4680115880764</v>
      </c>
      <c r="E260" s="641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6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3"/>
      <c r="R260" s="643"/>
      <c r="S260" s="643"/>
      <c r="T260" s="644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5"/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7"/>
      <c r="P261" s="648" t="s">
        <v>69</v>
      </c>
      <c r="Q261" s="638"/>
      <c r="R261" s="638"/>
      <c r="S261" s="638"/>
      <c r="T261" s="638"/>
      <c r="U261" s="638"/>
      <c r="V261" s="639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6"/>
      <c r="B262" s="646"/>
      <c r="C262" s="646"/>
      <c r="D262" s="646"/>
      <c r="E262" s="646"/>
      <c r="F262" s="646"/>
      <c r="G262" s="646"/>
      <c r="H262" s="646"/>
      <c r="I262" s="646"/>
      <c r="J262" s="646"/>
      <c r="K262" s="646"/>
      <c r="L262" s="646"/>
      <c r="M262" s="646"/>
      <c r="N262" s="646"/>
      <c r="O262" s="647"/>
      <c r="P262" s="648" t="s">
        <v>69</v>
      </c>
      <c r="Q262" s="638"/>
      <c r="R262" s="638"/>
      <c r="S262" s="638"/>
      <c r="T262" s="638"/>
      <c r="U262" s="638"/>
      <c r="V262" s="639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51" t="s">
        <v>62</v>
      </c>
      <c r="B263" s="646"/>
      <c r="C263" s="646"/>
      <c r="D263" s="646"/>
      <c r="E263" s="646"/>
      <c r="F263" s="646"/>
      <c r="G263" s="646"/>
      <c r="H263" s="646"/>
      <c r="I263" s="646"/>
      <c r="J263" s="646"/>
      <c r="K263" s="646"/>
      <c r="L263" s="646"/>
      <c r="M263" s="646"/>
      <c r="N263" s="646"/>
      <c r="O263" s="646"/>
      <c r="P263" s="646"/>
      <c r="Q263" s="646"/>
      <c r="R263" s="646"/>
      <c r="S263" s="646"/>
      <c r="T263" s="646"/>
      <c r="U263" s="646"/>
      <c r="V263" s="646"/>
      <c r="W263" s="646"/>
      <c r="X263" s="646"/>
      <c r="Y263" s="646"/>
      <c r="Z263" s="646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40">
        <v>4680115882683</v>
      </c>
      <c r="E264" s="641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3">
        <v>370</v>
      </c>
      <c r="Y264" s="634">
        <f t="shared" ref="Y264:Y271" si="31">IFERROR(IF(X264="",0,CEILING((X264/$H264),1)*$H264),"")</f>
        <v>372.6</v>
      </c>
      <c r="Z264" s="36">
        <f>IFERROR(IF(Y264=0,"",ROUNDUP(Y264/H264,0)*0.00902),"")</f>
        <v>0.62238000000000004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383.01851851851842</v>
      </c>
      <c r="BN264" s="64">
        <f t="shared" ref="BN264:BN271" si="33">IFERROR(Y264*I264/H264,"0")</f>
        <v>385.71000000000004</v>
      </c>
      <c r="BO264" s="64">
        <f t="shared" ref="BO264:BO271" si="34">IFERROR(1/J264*(X264/H264),"0")</f>
        <v>0.51907968574635244</v>
      </c>
      <c r="BP264" s="64">
        <f t="shared" ref="BP264:BP271" si="35">IFERROR(1/J264*(Y264/H264),"0")</f>
        <v>0.52272727272727271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40">
        <v>4680115882690</v>
      </c>
      <c r="E265" s="641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9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3">
        <v>100</v>
      </c>
      <c r="Y265" s="634">
        <f t="shared" si="31"/>
        <v>102.60000000000001</v>
      </c>
      <c r="Z265" s="36">
        <f>IFERROR(IF(Y265=0,"",ROUNDUP(Y265/H265,0)*0.00902),"")</f>
        <v>0.17138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103.5185185185185</v>
      </c>
      <c r="BN265" s="64">
        <f t="shared" si="33"/>
        <v>106.21</v>
      </c>
      <c r="BO265" s="64">
        <f t="shared" si="34"/>
        <v>0.14029180695847362</v>
      </c>
      <c r="BP265" s="64">
        <f t="shared" si="35"/>
        <v>0.14393939393939395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40">
        <v>4680115882669</v>
      </c>
      <c r="E266" s="641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9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3">
        <v>150</v>
      </c>
      <c r="Y266" s="634">
        <f t="shared" si="31"/>
        <v>151.20000000000002</v>
      </c>
      <c r="Z266" s="36">
        <f>IFERROR(IF(Y266=0,"",ROUNDUP(Y266/H266,0)*0.00902),"")</f>
        <v>0.25256000000000001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155.27777777777777</v>
      </c>
      <c r="BN266" s="64">
        <f t="shared" si="33"/>
        <v>156.52000000000001</v>
      </c>
      <c r="BO266" s="64">
        <f t="shared" si="34"/>
        <v>0.21043771043771042</v>
      </c>
      <c r="BP266" s="64">
        <f t="shared" si="35"/>
        <v>0.21212121212121213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40">
        <v>4680115882676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3">
        <v>100</v>
      </c>
      <c r="Y267" s="634">
        <f t="shared" si="31"/>
        <v>102.60000000000001</v>
      </c>
      <c r="Z267" s="36">
        <f>IFERROR(IF(Y267=0,"",ROUNDUP(Y267/H267,0)*0.00902),"")</f>
        <v>0.17138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103.5185185185185</v>
      </c>
      <c r="BN267" s="64">
        <f t="shared" si="33"/>
        <v>106.21</v>
      </c>
      <c r="BO267" s="64">
        <f t="shared" si="34"/>
        <v>0.14029180695847362</v>
      </c>
      <c r="BP267" s="64">
        <f t="shared" si="35"/>
        <v>0.14393939393939395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40">
        <v>4680115884014</v>
      </c>
      <c r="E268" s="641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9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3"/>
      <c r="R268" s="643"/>
      <c r="S268" s="643"/>
      <c r="T268" s="644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40">
        <v>4680115884007</v>
      </c>
      <c r="E269" s="641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3"/>
      <c r="R269" s="643"/>
      <c r="S269" s="643"/>
      <c r="T269" s="644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40">
        <v>4680115884038</v>
      </c>
      <c r="E270" s="641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7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3"/>
      <c r="R270" s="643"/>
      <c r="S270" s="643"/>
      <c r="T270" s="644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40">
        <v>4680115884021</v>
      </c>
      <c r="E271" s="641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5"/>
      <c r="B272" s="646"/>
      <c r="C272" s="646"/>
      <c r="D272" s="646"/>
      <c r="E272" s="646"/>
      <c r="F272" s="646"/>
      <c r="G272" s="646"/>
      <c r="H272" s="646"/>
      <c r="I272" s="646"/>
      <c r="J272" s="646"/>
      <c r="K272" s="646"/>
      <c r="L272" s="646"/>
      <c r="M272" s="646"/>
      <c r="N272" s="646"/>
      <c r="O272" s="647"/>
      <c r="P272" s="648" t="s">
        <v>69</v>
      </c>
      <c r="Q272" s="638"/>
      <c r="R272" s="638"/>
      <c r="S272" s="638"/>
      <c r="T272" s="638"/>
      <c r="U272" s="638"/>
      <c r="V272" s="639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133.33333333333331</v>
      </c>
      <c r="Y272" s="635">
        <f>IFERROR(Y264/H264,"0")+IFERROR(Y265/H265,"0")+IFERROR(Y266/H266,"0")+IFERROR(Y267/H267,"0")+IFERROR(Y268/H268,"0")+IFERROR(Y269/H269,"0")+IFERROR(Y270/H270,"0")+IFERROR(Y271/H271,"0")</f>
        <v>135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1.2177000000000002</v>
      </c>
      <c r="AA272" s="636"/>
      <c r="AB272" s="636"/>
      <c r="AC272" s="636"/>
    </row>
    <row r="273" spans="1:68" x14ac:dyDescent="0.2">
      <c r="A273" s="646"/>
      <c r="B273" s="646"/>
      <c r="C273" s="646"/>
      <c r="D273" s="646"/>
      <c r="E273" s="646"/>
      <c r="F273" s="646"/>
      <c r="G273" s="646"/>
      <c r="H273" s="646"/>
      <c r="I273" s="646"/>
      <c r="J273" s="646"/>
      <c r="K273" s="646"/>
      <c r="L273" s="646"/>
      <c r="M273" s="646"/>
      <c r="N273" s="646"/>
      <c r="O273" s="647"/>
      <c r="P273" s="648" t="s">
        <v>69</v>
      </c>
      <c r="Q273" s="638"/>
      <c r="R273" s="638"/>
      <c r="S273" s="638"/>
      <c r="T273" s="638"/>
      <c r="U273" s="638"/>
      <c r="V273" s="639"/>
      <c r="W273" s="37" t="s">
        <v>67</v>
      </c>
      <c r="X273" s="635">
        <f>IFERROR(SUM(X264:X271),"0")</f>
        <v>720</v>
      </c>
      <c r="Y273" s="635">
        <f>IFERROR(SUM(Y264:Y271),"0")</f>
        <v>729.00000000000011</v>
      </c>
      <c r="Z273" s="37"/>
      <c r="AA273" s="636"/>
      <c r="AB273" s="636"/>
      <c r="AC273" s="636"/>
    </row>
    <row r="274" spans="1:68" ht="14.25" hidden="1" customHeight="1" x14ac:dyDescent="0.25">
      <c r="A274" s="651" t="s">
        <v>71</v>
      </c>
      <c r="B274" s="646"/>
      <c r="C274" s="646"/>
      <c r="D274" s="646"/>
      <c r="E274" s="646"/>
      <c r="F274" s="646"/>
      <c r="G274" s="646"/>
      <c r="H274" s="646"/>
      <c r="I274" s="646"/>
      <c r="J274" s="646"/>
      <c r="K274" s="646"/>
      <c r="L274" s="646"/>
      <c r="M274" s="646"/>
      <c r="N274" s="646"/>
      <c r="O274" s="646"/>
      <c r="P274" s="646"/>
      <c r="Q274" s="646"/>
      <c r="R274" s="646"/>
      <c r="S274" s="646"/>
      <c r="T274" s="646"/>
      <c r="U274" s="646"/>
      <c r="V274" s="646"/>
      <c r="W274" s="646"/>
      <c r="X274" s="646"/>
      <c r="Y274" s="646"/>
      <c r="Z274" s="646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40">
        <v>4680115881594</v>
      </c>
      <c r="E275" s="641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99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3">
        <v>20</v>
      </c>
      <c r="Y275" s="634">
        <f t="shared" ref="Y275:Y285" si="36">IFERROR(IF(X275="",0,CEILING((X275/$H275),1)*$H275),"")</f>
        <v>24.299999999999997</v>
      </c>
      <c r="Z275" s="36">
        <f>IFERROR(IF(Y275=0,"",ROUNDUP(Y275/H275,0)*0.01898),"")</f>
        <v>5.6940000000000004E-2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21.219753086419754</v>
      </c>
      <c r="BN275" s="64">
        <f t="shared" ref="BN275:BN285" si="38">IFERROR(Y275*I275/H275,"0")</f>
        <v>25.781999999999996</v>
      </c>
      <c r="BO275" s="64">
        <f t="shared" ref="BO275:BO285" si="39">IFERROR(1/J275*(X275/H275),"0")</f>
        <v>3.8580246913580252E-2</v>
      </c>
      <c r="BP275" s="64">
        <f t="shared" ref="BP275:BP285" si="40">IFERROR(1/J275*(Y275/H275),"0")</f>
        <v>4.6875E-2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40">
        <v>4680115881617</v>
      </c>
      <c r="E276" s="641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73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3"/>
      <c r="R276" s="643"/>
      <c r="S276" s="643"/>
      <c r="T276" s="644"/>
      <c r="U276" s="34"/>
      <c r="V276" s="34"/>
      <c r="W276" s="35" t="s">
        <v>67</v>
      </c>
      <c r="X276" s="633">
        <v>450</v>
      </c>
      <c r="Y276" s="634">
        <f t="shared" si="36"/>
        <v>453.59999999999997</v>
      </c>
      <c r="Z276" s="36">
        <f>IFERROR(IF(Y276=0,"",ROUNDUP(Y276/H276,0)*0.01898),"")</f>
        <v>1.06288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476.44444444444451</v>
      </c>
      <c r="BN276" s="64">
        <f t="shared" si="38"/>
        <v>480.25599999999997</v>
      </c>
      <c r="BO276" s="64">
        <f t="shared" si="39"/>
        <v>0.86805555555555558</v>
      </c>
      <c r="BP276" s="64">
        <f t="shared" si="40"/>
        <v>0.875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40">
        <v>4680115880573</v>
      </c>
      <c r="E277" s="641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3">
        <v>73</v>
      </c>
      <c r="Y277" s="634">
        <f t="shared" si="36"/>
        <v>78.3</v>
      </c>
      <c r="Z277" s="36">
        <f>IFERROR(IF(Y277=0,"",ROUNDUP(Y277/H277,0)*0.01898),"")</f>
        <v>0.17082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77.14505747126438</v>
      </c>
      <c r="BN277" s="64">
        <f t="shared" si="38"/>
        <v>82.746000000000009</v>
      </c>
      <c r="BO277" s="64">
        <f t="shared" si="39"/>
        <v>0.13110632183908047</v>
      </c>
      <c r="BP277" s="64">
        <f t="shared" si="40"/>
        <v>0.140625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40">
        <v>4680115882195</v>
      </c>
      <c r="E278" s="641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3">
        <v>114</v>
      </c>
      <c r="Y278" s="634">
        <f t="shared" si="36"/>
        <v>115.19999999999999</v>
      </c>
      <c r="Z278" s="36">
        <f>IFERROR(IF(Y278=0,"",ROUNDUP(Y278/H278,0)*0.00651),"")</f>
        <v>0.31247999999999998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126.825</v>
      </c>
      <c r="BN278" s="64">
        <f t="shared" si="38"/>
        <v>128.15999999999997</v>
      </c>
      <c r="BO278" s="64">
        <f t="shared" si="39"/>
        <v>0.26098901098901101</v>
      </c>
      <c r="BP278" s="64">
        <f t="shared" si="40"/>
        <v>0.26373626373626374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40">
        <v>4680115882607</v>
      </c>
      <c r="E279" s="641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1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40">
        <v>4680115880092</v>
      </c>
      <c r="E280" s="641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9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3"/>
      <c r="R280" s="643"/>
      <c r="S280" s="643"/>
      <c r="T280" s="644"/>
      <c r="U280" s="34"/>
      <c r="V280" s="34"/>
      <c r="W280" s="35" t="s">
        <v>67</v>
      </c>
      <c r="X280" s="633">
        <v>620</v>
      </c>
      <c r="Y280" s="634">
        <f t="shared" si="36"/>
        <v>621.6</v>
      </c>
      <c r="Z280" s="36">
        <f>IFERROR(IF(Y280=0,"",ROUNDUP(Y280/H280,0)*0.00651),"")</f>
        <v>1.6860900000000001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685.1</v>
      </c>
      <c r="BN280" s="64">
        <f t="shared" si="38"/>
        <v>686.86800000000005</v>
      </c>
      <c r="BO280" s="64">
        <f t="shared" si="39"/>
        <v>1.4194139194139197</v>
      </c>
      <c r="BP280" s="64">
        <f t="shared" si="40"/>
        <v>1.4230769230769231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40">
        <v>4680115889064</v>
      </c>
      <c r="E281" s="641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9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40">
        <v>4680115880221</v>
      </c>
      <c r="E282" s="641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7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3">
        <v>160</v>
      </c>
      <c r="Y282" s="634">
        <f t="shared" si="36"/>
        <v>160.79999999999998</v>
      </c>
      <c r="Z282" s="36">
        <f>IFERROR(IF(Y282=0,"",ROUNDUP(Y282/H282,0)*0.00651),"")</f>
        <v>0.43617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176.80000000000004</v>
      </c>
      <c r="BN282" s="64">
        <f t="shared" si="38"/>
        <v>177.684</v>
      </c>
      <c r="BO282" s="64">
        <f t="shared" si="39"/>
        <v>0.36630036630036633</v>
      </c>
      <c r="BP282" s="64">
        <f t="shared" si="40"/>
        <v>0.36813186813186816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4301051945</v>
      </c>
      <c r="D283" s="640">
        <v>4680115880504</v>
      </c>
      <c r="E283" s="641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3"/>
      <c r="R283" s="643"/>
      <c r="S283" s="643"/>
      <c r="T283" s="644"/>
      <c r="U283" s="34"/>
      <c r="V283" s="34"/>
      <c r="W283" s="35" t="s">
        <v>67</v>
      </c>
      <c r="X283" s="633">
        <v>0</v>
      </c>
      <c r="Y283" s="634">
        <f t="shared" si="36"/>
        <v>0</v>
      </c>
      <c r="Z283" s="36" t="str">
        <f>IFERROR(IF(Y283=0,"",ROUNDUP(Y283/H283,0)*0.00651),"")</f>
        <v/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40">
        <v>4680115882164</v>
      </c>
      <c r="E284" s="641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9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3"/>
      <c r="R284" s="643"/>
      <c r="S284" s="643"/>
      <c r="T284" s="644"/>
      <c r="U284" s="34"/>
      <c r="V284" s="34"/>
      <c r="W284" s="35" t="s">
        <v>67</v>
      </c>
      <c r="X284" s="633">
        <v>148</v>
      </c>
      <c r="Y284" s="634">
        <f t="shared" si="36"/>
        <v>148.79999999999998</v>
      </c>
      <c r="Z284" s="36">
        <f>IFERROR(IF(Y284=0,"",ROUNDUP(Y284/H284,0)*0.00651),"")</f>
        <v>0.40362000000000003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163.91000000000003</v>
      </c>
      <c r="BN284" s="64">
        <f t="shared" si="38"/>
        <v>164.79599999999999</v>
      </c>
      <c r="BO284" s="64">
        <f t="shared" si="39"/>
        <v>0.3388278388278389</v>
      </c>
      <c r="BP284" s="64">
        <f t="shared" si="40"/>
        <v>0.34065934065934067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40">
        <v>4680115888340</v>
      </c>
      <c r="E285" s="641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3"/>
      <c r="R285" s="643"/>
      <c r="S285" s="643"/>
      <c r="T285" s="644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5"/>
      <c r="B286" s="646"/>
      <c r="C286" s="646"/>
      <c r="D286" s="646"/>
      <c r="E286" s="646"/>
      <c r="F286" s="646"/>
      <c r="G286" s="646"/>
      <c r="H286" s="646"/>
      <c r="I286" s="646"/>
      <c r="J286" s="646"/>
      <c r="K286" s="646"/>
      <c r="L286" s="646"/>
      <c r="M286" s="646"/>
      <c r="N286" s="646"/>
      <c r="O286" s="647"/>
      <c r="P286" s="648" t="s">
        <v>69</v>
      </c>
      <c r="Q286" s="638"/>
      <c r="R286" s="638"/>
      <c r="S286" s="638"/>
      <c r="T286" s="638"/>
      <c r="U286" s="638"/>
      <c r="V286" s="639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500.58216262239262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504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4.1290000000000004</v>
      </c>
      <c r="AA286" s="636"/>
      <c r="AB286" s="636"/>
      <c r="AC286" s="636"/>
    </row>
    <row r="287" spans="1:68" x14ac:dyDescent="0.2">
      <c r="A287" s="646"/>
      <c r="B287" s="646"/>
      <c r="C287" s="646"/>
      <c r="D287" s="646"/>
      <c r="E287" s="646"/>
      <c r="F287" s="646"/>
      <c r="G287" s="646"/>
      <c r="H287" s="646"/>
      <c r="I287" s="646"/>
      <c r="J287" s="646"/>
      <c r="K287" s="646"/>
      <c r="L287" s="646"/>
      <c r="M287" s="646"/>
      <c r="N287" s="646"/>
      <c r="O287" s="647"/>
      <c r="P287" s="648" t="s">
        <v>69</v>
      </c>
      <c r="Q287" s="638"/>
      <c r="R287" s="638"/>
      <c r="S287" s="638"/>
      <c r="T287" s="638"/>
      <c r="U287" s="638"/>
      <c r="V287" s="639"/>
      <c r="W287" s="37" t="s">
        <v>67</v>
      </c>
      <c r="X287" s="635">
        <f>IFERROR(SUM(X275:X285),"0")</f>
        <v>1585</v>
      </c>
      <c r="Y287" s="635">
        <f>IFERROR(SUM(Y275:Y285),"0")</f>
        <v>1602.6</v>
      </c>
      <c r="Z287" s="37"/>
      <c r="AA287" s="636"/>
      <c r="AB287" s="636"/>
      <c r="AC287" s="636"/>
    </row>
    <row r="288" spans="1:68" ht="14.25" hidden="1" customHeight="1" x14ac:dyDescent="0.25">
      <c r="A288" s="651" t="s">
        <v>172</v>
      </c>
      <c r="B288" s="646"/>
      <c r="C288" s="646"/>
      <c r="D288" s="646"/>
      <c r="E288" s="646"/>
      <c r="F288" s="646"/>
      <c r="G288" s="646"/>
      <c r="H288" s="646"/>
      <c r="I288" s="646"/>
      <c r="J288" s="646"/>
      <c r="K288" s="646"/>
      <c r="L288" s="646"/>
      <c r="M288" s="646"/>
      <c r="N288" s="646"/>
      <c r="O288" s="646"/>
      <c r="P288" s="646"/>
      <c r="Q288" s="646"/>
      <c r="R288" s="646"/>
      <c r="S288" s="646"/>
      <c r="T288" s="646"/>
      <c r="U288" s="646"/>
      <c r="V288" s="646"/>
      <c r="W288" s="646"/>
      <c r="X288" s="646"/>
      <c r="Y288" s="646"/>
      <c r="Z288" s="646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40">
        <v>4680115880818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91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3"/>
      <c r="R289" s="643"/>
      <c r="S289" s="643"/>
      <c r="T289" s="644"/>
      <c r="U289" s="34"/>
      <c r="V289" s="34"/>
      <c r="W289" s="35" t="s">
        <v>67</v>
      </c>
      <c r="X289" s="633">
        <v>24</v>
      </c>
      <c r="Y289" s="634">
        <f>IFERROR(IF(X289="",0,CEILING((X289/$H289),1)*$H289),"")</f>
        <v>24</v>
      </c>
      <c r="Z289" s="36">
        <f>IFERROR(IF(Y289=0,"",ROUNDUP(Y289/H289,0)*0.00651),"")</f>
        <v>6.5100000000000005E-2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26.520000000000003</v>
      </c>
      <c r="BN289" s="64">
        <f>IFERROR(Y289*I289/H289,"0")</f>
        <v>26.520000000000003</v>
      </c>
      <c r="BO289" s="64">
        <f>IFERROR(1/J289*(X289/H289),"0")</f>
        <v>5.4945054945054951E-2</v>
      </c>
      <c r="BP289" s="64">
        <f>IFERROR(1/J289*(Y289/H289),"0")</f>
        <v>5.4945054945054951E-2</v>
      </c>
    </row>
    <row r="290" spans="1:68" ht="27" customHeight="1" x14ac:dyDescent="0.25">
      <c r="A290" s="54" t="s">
        <v>481</v>
      </c>
      <c r="B290" s="54" t="s">
        <v>482</v>
      </c>
      <c r="C290" s="31">
        <v>4301060389</v>
      </c>
      <c r="D290" s="640">
        <v>4680115880801</v>
      </c>
      <c r="E290" s="641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3"/>
      <c r="R290" s="643"/>
      <c r="S290" s="643"/>
      <c r="T290" s="644"/>
      <c r="U290" s="34"/>
      <c r="V290" s="34"/>
      <c r="W290" s="35" t="s">
        <v>67</v>
      </c>
      <c r="X290" s="633">
        <v>6</v>
      </c>
      <c r="Y290" s="634">
        <f>IFERROR(IF(X290="",0,CEILING((X290/$H290),1)*$H290),"")</f>
        <v>7.1999999999999993</v>
      </c>
      <c r="Z290" s="36">
        <f>IFERROR(IF(Y290=0,"",ROUNDUP(Y290/H290,0)*0.00651),"")</f>
        <v>1.9529999999999999E-2</v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6.6300000000000008</v>
      </c>
      <c r="BN290" s="64">
        <f>IFERROR(Y290*I290/H290,"0")</f>
        <v>7.9560000000000004</v>
      </c>
      <c r="BO290" s="64">
        <f>IFERROR(1/J290*(X290/H290),"0")</f>
        <v>1.3736263736263738E-2</v>
      </c>
      <c r="BP290" s="64">
        <f>IFERROR(1/J290*(Y290/H290),"0")</f>
        <v>1.6483516483516484E-2</v>
      </c>
    </row>
    <row r="291" spans="1:68" x14ac:dyDescent="0.2">
      <c r="A291" s="645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47"/>
      <c r="P291" s="648" t="s">
        <v>69</v>
      </c>
      <c r="Q291" s="638"/>
      <c r="R291" s="638"/>
      <c r="S291" s="638"/>
      <c r="T291" s="638"/>
      <c r="U291" s="638"/>
      <c r="V291" s="639"/>
      <c r="W291" s="37" t="s">
        <v>70</v>
      </c>
      <c r="X291" s="635">
        <f>IFERROR(X289/H289,"0")+IFERROR(X290/H290,"0")</f>
        <v>12.5</v>
      </c>
      <c r="Y291" s="635">
        <f>IFERROR(Y289/H289,"0")+IFERROR(Y290/H290,"0")</f>
        <v>13</v>
      </c>
      <c r="Z291" s="635">
        <f>IFERROR(IF(Z289="",0,Z289),"0")+IFERROR(IF(Z290="",0,Z290),"0")</f>
        <v>8.4630000000000011E-2</v>
      </c>
      <c r="AA291" s="636"/>
      <c r="AB291" s="636"/>
      <c r="AC291" s="636"/>
    </row>
    <row r="292" spans="1:68" x14ac:dyDescent="0.2">
      <c r="A292" s="646"/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7"/>
      <c r="P292" s="648" t="s">
        <v>69</v>
      </c>
      <c r="Q292" s="638"/>
      <c r="R292" s="638"/>
      <c r="S292" s="638"/>
      <c r="T292" s="638"/>
      <c r="U292" s="638"/>
      <c r="V292" s="639"/>
      <c r="W292" s="37" t="s">
        <v>67</v>
      </c>
      <c r="X292" s="635">
        <f>IFERROR(SUM(X289:X290),"0")</f>
        <v>30</v>
      </c>
      <c r="Y292" s="635">
        <f>IFERROR(SUM(Y289:Y290),"0")</f>
        <v>31.2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6"/>
      <c r="C293" s="646"/>
      <c r="D293" s="646"/>
      <c r="E293" s="646"/>
      <c r="F293" s="646"/>
      <c r="G293" s="646"/>
      <c r="H293" s="646"/>
      <c r="I293" s="646"/>
      <c r="J293" s="646"/>
      <c r="K293" s="646"/>
      <c r="L293" s="646"/>
      <c r="M293" s="646"/>
      <c r="N293" s="646"/>
      <c r="O293" s="646"/>
      <c r="P293" s="646"/>
      <c r="Q293" s="646"/>
      <c r="R293" s="646"/>
      <c r="S293" s="646"/>
      <c r="T293" s="646"/>
      <c r="U293" s="646"/>
      <c r="V293" s="646"/>
      <c r="W293" s="646"/>
      <c r="X293" s="646"/>
      <c r="Y293" s="646"/>
      <c r="Z293" s="646"/>
      <c r="AA293" s="628"/>
      <c r="AB293" s="628"/>
      <c r="AC293" s="628"/>
    </row>
    <row r="294" spans="1:68" ht="14.25" hidden="1" customHeight="1" x14ac:dyDescent="0.25">
      <c r="A294" s="651" t="s">
        <v>119</v>
      </c>
      <c r="B294" s="646"/>
      <c r="C294" s="646"/>
      <c r="D294" s="646"/>
      <c r="E294" s="646"/>
      <c r="F294" s="646"/>
      <c r="G294" s="646"/>
      <c r="H294" s="646"/>
      <c r="I294" s="646"/>
      <c r="J294" s="646"/>
      <c r="K294" s="646"/>
      <c r="L294" s="646"/>
      <c r="M294" s="646"/>
      <c r="N294" s="646"/>
      <c r="O294" s="646"/>
      <c r="P294" s="646"/>
      <c r="Q294" s="646"/>
      <c r="R294" s="646"/>
      <c r="S294" s="646"/>
      <c r="T294" s="646"/>
      <c r="U294" s="646"/>
      <c r="V294" s="646"/>
      <c r="W294" s="646"/>
      <c r="X294" s="646"/>
      <c r="Y294" s="646"/>
      <c r="Z294" s="646"/>
      <c r="AA294" s="629"/>
      <c r="AB294" s="629"/>
      <c r="AC294" s="629"/>
    </row>
    <row r="295" spans="1:68" ht="27" customHeight="1" x14ac:dyDescent="0.25">
      <c r="A295" s="54" t="s">
        <v>485</v>
      </c>
      <c r="B295" s="54" t="s">
        <v>486</v>
      </c>
      <c r="C295" s="31">
        <v>4301011826</v>
      </c>
      <c r="D295" s="640">
        <v>4680115884137</v>
      </c>
      <c r="E295" s="641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73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3">
        <v>44</v>
      </c>
      <c r="Y295" s="634">
        <f t="shared" ref="Y295:Y301" si="41">IFERROR(IF(X295="",0,CEILING((X295/$H295),1)*$H295),"")</f>
        <v>46.4</v>
      </c>
      <c r="Z295" s="36">
        <f>IFERROR(IF(Y295=0,"",ROUNDUP(Y295/H295,0)*0.01898),"")</f>
        <v>7.5920000000000001E-2</v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45.555172413793102</v>
      </c>
      <c r="BN295" s="64">
        <f t="shared" ref="BN295:BN301" si="43">IFERROR(Y295*I295/H295,"0")</f>
        <v>48.04</v>
      </c>
      <c r="BO295" s="64">
        <f t="shared" ref="BO295:BO301" si="44">IFERROR(1/J295*(X295/H295),"0")</f>
        <v>5.9267241379310345E-2</v>
      </c>
      <c r="BP295" s="64">
        <f t="shared" ref="BP295:BP301" si="45">IFERROR(1/J295*(Y295/H295),"0")</f>
        <v>6.25E-2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40">
        <v>4680115884236</v>
      </c>
      <c r="E296" s="641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40">
        <v>4680115884175</v>
      </c>
      <c r="E297" s="641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40">
        <v>4680115884144</v>
      </c>
      <c r="E298" s="641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40">
        <v>4680115886551</v>
      </c>
      <c r="E299" s="641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3"/>
      <c r="R299" s="643"/>
      <c r="S299" s="643"/>
      <c r="T299" s="644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40">
        <v>4680115887282</v>
      </c>
      <c r="E300" s="641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8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3"/>
      <c r="R300" s="643"/>
      <c r="S300" s="643"/>
      <c r="T300" s="644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customHeight="1" x14ac:dyDescent="0.25">
      <c r="A301" s="54" t="s">
        <v>501</v>
      </c>
      <c r="B301" s="54" t="s">
        <v>502</v>
      </c>
      <c r="C301" s="31">
        <v>4301011722</v>
      </c>
      <c r="D301" s="640">
        <v>4680115884205</v>
      </c>
      <c r="E301" s="641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3"/>
      <c r="R301" s="643"/>
      <c r="S301" s="643"/>
      <c r="T301" s="644"/>
      <c r="U301" s="34"/>
      <c r="V301" s="34"/>
      <c r="W301" s="35" t="s">
        <v>67</v>
      </c>
      <c r="X301" s="633">
        <v>81</v>
      </c>
      <c r="Y301" s="634">
        <f t="shared" si="41"/>
        <v>84</v>
      </c>
      <c r="Z301" s="36">
        <f>IFERROR(IF(Y301=0,"",ROUNDUP(Y301/H301,0)*0.00902),"")</f>
        <v>0.18942000000000001</v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84.847500000000011</v>
      </c>
      <c r="BN301" s="64">
        <f t="shared" si="43"/>
        <v>87.990000000000009</v>
      </c>
      <c r="BO301" s="64">
        <f t="shared" si="44"/>
        <v>0.15340909090909091</v>
      </c>
      <c r="BP301" s="64">
        <f t="shared" si="45"/>
        <v>0.15909090909090909</v>
      </c>
    </row>
    <row r="302" spans="1:68" x14ac:dyDescent="0.2">
      <c r="A302" s="645"/>
      <c r="B302" s="646"/>
      <c r="C302" s="646"/>
      <c r="D302" s="646"/>
      <c r="E302" s="646"/>
      <c r="F302" s="646"/>
      <c r="G302" s="646"/>
      <c r="H302" s="646"/>
      <c r="I302" s="646"/>
      <c r="J302" s="646"/>
      <c r="K302" s="646"/>
      <c r="L302" s="646"/>
      <c r="M302" s="646"/>
      <c r="N302" s="646"/>
      <c r="O302" s="647"/>
      <c r="P302" s="648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35">
        <f>IFERROR(X295/H295,"0")+IFERROR(X296/H296,"0")+IFERROR(X297/H297,"0")+IFERROR(X298/H298,"0")+IFERROR(X299/H299,"0")+IFERROR(X300/H300,"0")+IFERROR(X301/H301,"0")</f>
        <v>24.043103448275861</v>
      </c>
      <c r="Y302" s="635">
        <f>IFERROR(Y295/H295,"0")+IFERROR(Y296/H296,"0")+IFERROR(Y297/H297,"0")+IFERROR(Y298/H298,"0")+IFERROR(Y299/H299,"0")+IFERROR(Y300/H300,"0")+IFERROR(Y301/H301,"0")</f>
        <v>25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0.26534000000000002</v>
      </c>
      <c r="AA302" s="636"/>
      <c r="AB302" s="636"/>
      <c r="AC302" s="636"/>
    </row>
    <row r="303" spans="1:68" x14ac:dyDescent="0.2">
      <c r="A303" s="646"/>
      <c r="B303" s="646"/>
      <c r="C303" s="646"/>
      <c r="D303" s="646"/>
      <c r="E303" s="646"/>
      <c r="F303" s="646"/>
      <c r="G303" s="646"/>
      <c r="H303" s="646"/>
      <c r="I303" s="646"/>
      <c r="J303" s="646"/>
      <c r="K303" s="646"/>
      <c r="L303" s="646"/>
      <c r="M303" s="646"/>
      <c r="N303" s="646"/>
      <c r="O303" s="647"/>
      <c r="P303" s="648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35">
        <f>IFERROR(SUM(X295:X301),"0")</f>
        <v>125</v>
      </c>
      <c r="Y303" s="635">
        <f>IFERROR(SUM(Y295:Y301),"0")</f>
        <v>130.4</v>
      </c>
      <c r="Z303" s="37"/>
      <c r="AA303" s="636"/>
      <c r="AB303" s="636"/>
      <c r="AC303" s="636"/>
    </row>
    <row r="304" spans="1:68" ht="14.25" hidden="1" customHeight="1" x14ac:dyDescent="0.25">
      <c r="A304" s="651" t="s">
        <v>154</v>
      </c>
      <c r="B304" s="646"/>
      <c r="C304" s="646"/>
      <c r="D304" s="646"/>
      <c r="E304" s="646"/>
      <c r="F304" s="646"/>
      <c r="G304" s="646"/>
      <c r="H304" s="646"/>
      <c r="I304" s="646"/>
      <c r="J304" s="646"/>
      <c r="K304" s="646"/>
      <c r="L304" s="646"/>
      <c r="M304" s="646"/>
      <c r="N304" s="646"/>
      <c r="O304" s="646"/>
      <c r="P304" s="646"/>
      <c r="Q304" s="646"/>
      <c r="R304" s="646"/>
      <c r="S304" s="646"/>
      <c r="T304" s="646"/>
      <c r="U304" s="646"/>
      <c r="V304" s="646"/>
      <c r="W304" s="646"/>
      <c r="X304" s="646"/>
      <c r="Y304" s="646"/>
      <c r="Z304" s="646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40">
        <v>4680115885981</v>
      </c>
      <c r="E305" s="641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8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3"/>
      <c r="R305" s="643"/>
      <c r="S305" s="643"/>
      <c r="T305" s="644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5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47"/>
      <c r="P306" s="648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47"/>
      <c r="P307" s="648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51" t="s">
        <v>506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40">
        <v>4680115886803</v>
      </c>
      <c r="E309" s="641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3"/>
      <c r="R309" s="643"/>
      <c r="S309" s="643"/>
      <c r="T309" s="644"/>
      <c r="U309" s="34"/>
      <c r="V309" s="34"/>
      <c r="W309" s="35" t="s">
        <v>67</v>
      </c>
      <c r="X309" s="633">
        <v>1</v>
      </c>
      <c r="Y309" s="634">
        <f>IFERROR(IF(X309="",0,CEILING((X309/$H309),1)*$H309),"")</f>
        <v>1.8</v>
      </c>
      <c r="Z309" s="36">
        <f>IFERROR(IF(Y309=0,"",ROUNDUP(Y309/H309,0)*0.0059),"")</f>
        <v>5.8999999999999999E-3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1.0972222222222223</v>
      </c>
      <c r="BN309" s="64">
        <f>IFERROR(Y309*I309/H309,"0")</f>
        <v>1.9750000000000001</v>
      </c>
      <c r="BO309" s="64">
        <f>IFERROR(1/J309*(X309/H309),"0")</f>
        <v>2.5720164609053498E-3</v>
      </c>
      <c r="BP309" s="64">
        <f>IFERROR(1/J309*(Y309/H309),"0")</f>
        <v>4.6296296296296294E-3</v>
      </c>
    </row>
    <row r="310" spans="1:68" x14ac:dyDescent="0.2">
      <c r="A310" s="645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47"/>
      <c r="P310" s="648" t="s">
        <v>69</v>
      </c>
      <c r="Q310" s="638"/>
      <c r="R310" s="638"/>
      <c r="S310" s="638"/>
      <c r="T310" s="638"/>
      <c r="U310" s="638"/>
      <c r="V310" s="639"/>
      <c r="W310" s="37" t="s">
        <v>70</v>
      </c>
      <c r="X310" s="635">
        <f>IFERROR(X309/H309,"0")</f>
        <v>0.55555555555555558</v>
      </c>
      <c r="Y310" s="635">
        <f>IFERROR(Y309/H309,"0")</f>
        <v>1</v>
      </c>
      <c r="Z310" s="635">
        <f>IFERROR(IF(Z309="",0,Z309),"0")</f>
        <v>5.8999999999999999E-3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47"/>
      <c r="P311" s="648" t="s">
        <v>69</v>
      </c>
      <c r="Q311" s="638"/>
      <c r="R311" s="638"/>
      <c r="S311" s="638"/>
      <c r="T311" s="638"/>
      <c r="U311" s="638"/>
      <c r="V311" s="639"/>
      <c r="W311" s="37" t="s">
        <v>67</v>
      </c>
      <c r="X311" s="635">
        <f>IFERROR(SUM(X309:X309),"0")</f>
        <v>1</v>
      </c>
      <c r="Y311" s="635">
        <f>IFERROR(SUM(Y309:Y309),"0")</f>
        <v>1.8</v>
      </c>
      <c r="Z311" s="37"/>
      <c r="AA311" s="636"/>
      <c r="AB311" s="636"/>
      <c r="AC311" s="636"/>
    </row>
    <row r="312" spans="1:68" ht="14.25" hidden="1" customHeight="1" x14ac:dyDescent="0.25">
      <c r="A312" s="651" t="s">
        <v>328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40">
        <v>4680115886681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6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40">
        <v>4680115886735</v>
      </c>
      <c r="E314" s="641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3"/>
      <c r="R314" s="643"/>
      <c r="S314" s="643"/>
      <c r="T314" s="644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40">
        <v>4680115886728</v>
      </c>
      <c r="E315" s="641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9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3"/>
      <c r="R315" s="643"/>
      <c r="S315" s="643"/>
      <c r="T315" s="644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40">
        <v>4680115886711</v>
      </c>
      <c r="E316" s="641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9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3"/>
      <c r="R316" s="643"/>
      <c r="S316" s="643"/>
      <c r="T316" s="644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5"/>
      <c r="B317" s="646"/>
      <c r="C317" s="646"/>
      <c r="D317" s="646"/>
      <c r="E317" s="646"/>
      <c r="F317" s="646"/>
      <c r="G317" s="646"/>
      <c r="H317" s="646"/>
      <c r="I317" s="646"/>
      <c r="J317" s="646"/>
      <c r="K317" s="646"/>
      <c r="L317" s="646"/>
      <c r="M317" s="646"/>
      <c r="N317" s="646"/>
      <c r="O317" s="647"/>
      <c r="P317" s="648" t="s">
        <v>69</v>
      </c>
      <c r="Q317" s="638"/>
      <c r="R317" s="638"/>
      <c r="S317" s="638"/>
      <c r="T317" s="638"/>
      <c r="U317" s="638"/>
      <c r="V317" s="639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6"/>
      <c r="B318" s="646"/>
      <c r="C318" s="646"/>
      <c r="D318" s="646"/>
      <c r="E318" s="646"/>
      <c r="F318" s="646"/>
      <c r="G318" s="646"/>
      <c r="H318" s="646"/>
      <c r="I318" s="646"/>
      <c r="J318" s="646"/>
      <c r="K318" s="646"/>
      <c r="L318" s="646"/>
      <c r="M318" s="646"/>
      <c r="N318" s="646"/>
      <c r="O318" s="647"/>
      <c r="P318" s="648" t="s">
        <v>69</v>
      </c>
      <c r="Q318" s="638"/>
      <c r="R318" s="638"/>
      <c r="S318" s="638"/>
      <c r="T318" s="638"/>
      <c r="U318" s="638"/>
      <c r="V318" s="639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6"/>
      <c r="C319" s="646"/>
      <c r="D319" s="646"/>
      <c r="E319" s="646"/>
      <c r="F319" s="646"/>
      <c r="G319" s="646"/>
      <c r="H319" s="646"/>
      <c r="I319" s="646"/>
      <c r="J319" s="646"/>
      <c r="K319" s="646"/>
      <c r="L319" s="646"/>
      <c r="M319" s="646"/>
      <c r="N319" s="646"/>
      <c r="O319" s="646"/>
      <c r="P319" s="646"/>
      <c r="Q319" s="646"/>
      <c r="R319" s="646"/>
      <c r="S319" s="646"/>
      <c r="T319" s="646"/>
      <c r="U319" s="646"/>
      <c r="V319" s="646"/>
      <c r="W319" s="646"/>
      <c r="X319" s="646"/>
      <c r="Y319" s="646"/>
      <c r="Z319" s="646"/>
      <c r="AA319" s="628"/>
      <c r="AB319" s="628"/>
      <c r="AC319" s="628"/>
    </row>
    <row r="320" spans="1:68" ht="14.25" hidden="1" customHeight="1" x14ac:dyDescent="0.25">
      <c r="A320" s="651" t="s">
        <v>119</v>
      </c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46"/>
      <c r="P320" s="646"/>
      <c r="Q320" s="646"/>
      <c r="R320" s="646"/>
      <c r="S320" s="646"/>
      <c r="T320" s="646"/>
      <c r="U320" s="646"/>
      <c r="V320" s="646"/>
      <c r="W320" s="646"/>
      <c r="X320" s="646"/>
      <c r="Y320" s="646"/>
      <c r="Z320" s="646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40">
        <v>4680115885837</v>
      </c>
      <c r="E321" s="641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40">
        <v>4680115887077</v>
      </c>
      <c r="E322" s="641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74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40">
        <v>4680115889637</v>
      </c>
      <c r="E323" s="641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75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40">
        <v>4680115887237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40">
        <v>4680115885806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10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40">
        <v>4680115885844</v>
      </c>
      <c r="E326" s="641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9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3"/>
      <c r="R326" s="643"/>
      <c r="S326" s="643"/>
      <c r="T326" s="644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40">
        <v>4680115885820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3"/>
      <c r="R327" s="643"/>
      <c r="S327" s="643"/>
      <c r="T327" s="644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5"/>
      <c r="B328" s="646"/>
      <c r="C328" s="646"/>
      <c r="D328" s="646"/>
      <c r="E328" s="646"/>
      <c r="F328" s="646"/>
      <c r="G328" s="646"/>
      <c r="H328" s="646"/>
      <c r="I328" s="646"/>
      <c r="J328" s="646"/>
      <c r="K328" s="646"/>
      <c r="L328" s="646"/>
      <c r="M328" s="646"/>
      <c r="N328" s="646"/>
      <c r="O328" s="647"/>
      <c r="P328" s="648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6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47"/>
      <c r="P329" s="648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28"/>
      <c r="AB330" s="628"/>
      <c r="AC330" s="628"/>
    </row>
    <row r="331" spans="1:68" ht="14.25" hidden="1" customHeight="1" x14ac:dyDescent="0.25">
      <c r="A331" s="651" t="s">
        <v>71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40">
        <v>4680115886186</v>
      </c>
      <c r="E332" s="641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9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3"/>
      <c r="R332" s="643"/>
      <c r="S332" s="643"/>
      <c r="T332" s="644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40">
        <v>4680115881228</v>
      </c>
      <c r="E333" s="641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10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3"/>
      <c r="R333" s="643"/>
      <c r="S333" s="643"/>
      <c r="T333" s="644"/>
      <c r="U333" s="34"/>
      <c r="V333" s="34"/>
      <c r="W333" s="35" t="s">
        <v>67</v>
      </c>
      <c r="X333" s="633">
        <v>237</v>
      </c>
      <c r="Y333" s="634">
        <f>IFERROR(IF(X333="",0,CEILING((X333/$H333),1)*$H333),"")</f>
        <v>237.6</v>
      </c>
      <c r="Z333" s="36">
        <f>IFERROR(IF(Y333=0,"",ROUNDUP(Y333/H333,0)*0.00651),"")</f>
        <v>0.64449000000000001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261.88499999999999</v>
      </c>
      <c r="BN333" s="64">
        <f>IFERROR(Y333*I333/H333,"0")</f>
        <v>262.54800000000006</v>
      </c>
      <c r="BO333" s="64">
        <f>IFERROR(1/J333*(X333/H333),"0")</f>
        <v>0.54258241758241765</v>
      </c>
      <c r="BP333" s="64">
        <f>IFERROR(1/J333*(Y333/H333),"0")</f>
        <v>0.54395604395604402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40">
        <v>4680115881211</v>
      </c>
      <c r="E334" s="641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9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3"/>
      <c r="R334" s="643"/>
      <c r="S334" s="643"/>
      <c r="T334" s="644"/>
      <c r="U334" s="34"/>
      <c r="V334" s="34"/>
      <c r="W334" s="35" t="s">
        <v>67</v>
      </c>
      <c r="X334" s="633">
        <v>92</v>
      </c>
      <c r="Y334" s="634">
        <f>IFERROR(IF(X334="",0,CEILING((X334/$H334),1)*$H334),"")</f>
        <v>93.6</v>
      </c>
      <c r="Z334" s="36">
        <f>IFERROR(IF(Y334=0,"",ROUNDUP(Y334/H334,0)*0.00651),"")</f>
        <v>0.25389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98.9</v>
      </c>
      <c r="BN334" s="64">
        <f>IFERROR(Y334*I334/H334,"0")</f>
        <v>100.62</v>
      </c>
      <c r="BO334" s="64">
        <f>IFERROR(1/J334*(X334/H334),"0")</f>
        <v>0.21062271062271065</v>
      </c>
      <c r="BP334" s="64">
        <f>IFERROR(1/J334*(Y334/H334),"0")</f>
        <v>0.2142857142857143</v>
      </c>
    </row>
    <row r="335" spans="1:68" x14ac:dyDescent="0.2">
      <c r="A335" s="645"/>
      <c r="B335" s="646"/>
      <c r="C335" s="646"/>
      <c r="D335" s="646"/>
      <c r="E335" s="646"/>
      <c r="F335" s="646"/>
      <c r="G335" s="646"/>
      <c r="H335" s="646"/>
      <c r="I335" s="646"/>
      <c r="J335" s="646"/>
      <c r="K335" s="646"/>
      <c r="L335" s="646"/>
      <c r="M335" s="646"/>
      <c r="N335" s="646"/>
      <c r="O335" s="647"/>
      <c r="P335" s="648" t="s">
        <v>69</v>
      </c>
      <c r="Q335" s="638"/>
      <c r="R335" s="638"/>
      <c r="S335" s="638"/>
      <c r="T335" s="638"/>
      <c r="U335" s="638"/>
      <c r="V335" s="639"/>
      <c r="W335" s="37" t="s">
        <v>70</v>
      </c>
      <c r="X335" s="635">
        <f>IFERROR(X332/H332,"0")+IFERROR(X333/H333,"0")+IFERROR(X334/H334,"0")</f>
        <v>137.08333333333334</v>
      </c>
      <c r="Y335" s="635">
        <f>IFERROR(Y332/H332,"0")+IFERROR(Y333/H333,"0")+IFERROR(Y334/H334,"0")</f>
        <v>138</v>
      </c>
      <c r="Z335" s="635">
        <f>IFERROR(IF(Z332="",0,Z332),"0")+IFERROR(IF(Z333="",0,Z333),"0")+IFERROR(IF(Z334="",0,Z334),"0")</f>
        <v>0.89837999999999996</v>
      </c>
      <c r="AA335" s="636"/>
      <c r="AB335" s="636"/>
      <c r="AC335" s="636"/>
    </row>
    <row r="336" spans="1:68" x14ac:dyDescent="0.2">
      <c r="A336" s="646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47"/>
      <c r="P336" s="648" t="s">
        <v>69</v>
      </c>
      <c r="Q336" s="638"/>
      <c r="R336" s="638"/>
      <c r="S336" s="638"/>
      <c r="T336" s="638"/>
      <c r="U336" s="638"/>
      <c r="V336" s="639"/>
      <c r="W336" s="37" t="s">
        <v>67</v>
      </c>
      <c r="X336" s="635">
        <f>IFERROR(SUM(X332:X334),"0")</f>
        <v>329</v>
      </c>
      <c r="Y336" s="635">
        <f>IFERROR(SUM(Y332:Y334),"0")</f>
        <v>331.2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6"/>
      <c r="P337" s="646"/>
      <c r="Q337" s="646"/>
      <c r="R337" s="646"/>
      <c r="S337" s="646"/>
      <c r="T337" s="646"/>
      <c r="U337" s="646"/>
      <c r="V337" s="646"/>
      <c r="W337" s="646"/>
      <c r="X337" s="646"/>
      <c r="Y337" s="646"/>
      <c r="Z337" s="646"/>
      <c r="AA337" s="628"/>
      <c r="AB337" s="628"/>
      <c r="AC337" s="628"/>
    </row>
    <row r="338" spans="1:68" ht="14.25" hidden="1" customHeight="1" x14ac:dyDescent="0.25">
      <c r="A338" s="651" t="s">
        <v>62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40">
        <v>4680115888319</v>
      </c>
      <c r="E339" s="641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9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3"/>
      <c r="R339" s="643"/>
      <c r="S339" s="643"/>
      <c r="T339" s="644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40">
        <v>4680115884700</v>
      </c>
      <c r="E340" s="641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40">
        <v>4680115880344</v>
      </c>
      <c r="E341" s="641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7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3"/>
      <c r="R341" s="643"/>
      <c r="S341" s="643"/>
      <c r="T341" s="644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40">
        <v>4680115886919</v>
      </c>
      <c r="E342" s="641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6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3"/>
      <c r="R342" s="643"/>
      <c r="S342" s="643"/>
      <c r="T342" s="644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5"/>
      <c r="B343" s="646"/>
      <c r="C343" s="646"/>
      <c r="D343" s="646"/>
      <c r="E343" s="646"/>
      <c r="F343" s="646"/>
      <c r="G343" s="646"/>
      <c r="H343" s="646"/>
      <c r="I343" s="646"/>
      <c r="J343" s="646"/>
      <c r="K343" s="646"/>
      <c r="L343" s="646"/>
      <c r="M343" s="646"/>
      <c r="N343" s="646"/>
      <c r="O343" s="647"/>
      <c r="P343" s="648" t="s">
        <v>69</v>
      </c>
      <c r="Q343" s="638"/>
      <c r="R343" s="638"/>
      <c r="S343" s="638"/>
      <c r="T343" s="638"/>
      <c r="U343" s="638"/>
      <c r="V343" s="639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6"/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7"/>
      <c r="P344" s="648" t="s">
        <v>69</v>
      </c>
      <c r="Q344" s="638"/>
      <c r="R344" s="638"/>
      <c r="S344" s="638"/>
      <c r="T344" s="638"/>
      <c r="U344" s="638"/>
      <c r="V344" s="639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51" t="s">
        <v>71</v>
      </c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6"/>
      <c r="P345" s="646"/>
      <c r="Q345" s="646"/>
      <c r="R345" s="646"/>
      <c r="S345" s="646"/>
      <c r="T345" s="646"/>
      <c r="U345" s="646"/>
      <c r="V345" s="646"/>
      <c r="W345" s="646"/>
      <c r="X345" s="646"/>
      <c r="Y345" s="646"/>
      <c r="Z345" s="646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40">
        <v>4680115884618</v>
      </c>
      <c r="E346" s="641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40">
        <v>4680115887114</v>
      </c>
      <c r="E347" s="641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7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3"/>
      <c r="R347" s="643"/>
      <c r="S347" s="643"/>
      <c r="T347" s="644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40">
        <v>4680115887466</v>
      </c>
      <c r="E348" s="641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3"/>
      <c r="R348" s="643"/>
      <c r="S348" s="643"/>
      <c r="T348" s="644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5"/>
      <c r="B349" s="646"/>
      <c r="C349" s="646"/>
      <c r="D349" s="646"/>
      <c r="E349" s="646"/>
      <c r="F349" s="646"/>
      <c r="G349" s="646"/>
      <c r="H349" s="646"/>
      <c r="I349" s="646"/>
      <c r="J349" s="646"/>
      <c r="K349" s="646"/>
      <c r="L349" s="646"/>
      <c r="M349" s="646"/>
      <c r="N349" s="646"/>
      <c r="O349" s="647"/>
      <c r="P349" s="648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6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47"/>
      <c r="P350" s="648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28"/>
      <c r="AB351" s="628"/>
      <c r="AC351" s="628"/>
    </row>
    <row r="352" spans="1:68" ht="14.25" hidden="1" customHeight="1" x14ac:dyDescent="0.25">
      <c r="A352" s="651" t="s">
        <v>62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40">
        <v>4680115886001</v>
      </c>
      <c r="E353" s="641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88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3"/>
      <c r="R353" s="643"/>
      <c r="S353" s="643"/>
      <c r="T353" s="644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5"/>
      <c r="B354" s="646"/>
      <c r="C354" s="646"/>
      <c r="D354" s="646"/>
      <c r="E354" s="646"/>
      <c r="F354" s="646"/>
      <c r="G354" s="646"/>
      <c r="H354" s="646"/>
      <c r="I354" s="646"/>
      <c r="J354" s="646"/>
      <c r="K354" s="646"/>
      <c r="L354" s="646"/>
      <c r="M354" s="646"/>
      <c r="N354" s="646"/>
      <c r="O354" s="647"/>
      <c r="P354" s="648" t="s">
        <v>69</v>
      </c>
      <c r="Q354" s="638"/>
      <c r="R354" s="638"/>
      <c r="S354" s="638"/>
      <c r="T354" s="638"/>
      <c r="U354" s="638"/>
      <c r="V354" s="639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6"/>
      <c r="B355" s="646"/>
      <c r="C355" s="646"/>
      <c r="D355" s="646"/>
      <c r="E355" s="646"/>
      <c r="F355" s="646"/>
      <c r="G355" s="646"/>
      <c r="H355" s="646"/>
      <c r="I355" s="646"/>
      <c r="J355" s="646"/>
      <c r="K355" s="646"/>
      <c r="L355" s="646"/>
      <c r="M355" s="646"/>
      <c r="N355" s="646"/>
      <c r="O355" s="647"/>
      <c r="P355" s="648" t="s">
        <v>69</v>
      </c>
      <c r="Q355" s="638"/>
      <c r="R355" s="638"/>
      <c r="S355" s="638"/>
      <c r="T355" s="638"/>
      <c r="U355" s="638"/>
      <c r="V355" s="639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51" t="s">
        <v>71</v>
      </c>
      <c r="B356" s="646"/>
      <c r="C356" s="646"/>
      <c r="D356" s="646"/>
      <c r="E356" s="646"/>
      <c r="F356" s="646"/>
      <c r="G356" s="646"/>
      <c r="H356" s="646"/>
      <c r="I356" s="646"/>
      <c r="J356" s="646"/>
      <c r="K356" s="646"/>
      <c r="L356" s="646"/>
      <c r="M356" s="646"/>
      <c r="N356" s="646"/>
      <c r="O356" s="646"/>
      <c r="P356" s="646"/>
      <c r="Q356" s="646"/>
      <c r="R356" s="646"/>
      <c r="S356" s="646"/>
      <c r="T356" s="646"/>
      <c r="U356" s="646"/>
      <c r="V356" s="646"/>
      <c r="W356" s="646"/>
      <c r="X356" s="646"/>
      <c r="Y356" s="646"/>
      <c r="Z356" s="646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40">
        <v>4680115886087</v>
      </c>
      <c r="E357" s="641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73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3"/>
      <c r="R357" s="643"/>
      <c r="S357" s="643"/>
      <c r="T357" s="644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5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47"/>
      <c r="P358" s="648" t="s">
        <v>69</v>
      </c>
      <c r="Q358" s="638"/>
      <c r="R358" s="638"/>
      <c r="S358" s="638"/>
      <c r="T358" s="638"/>
      <c r="U358" s="638"/>
      <c r="V358" s="639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6"/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7"/>
      <c r="P359" s="648" t="s">
        <v>69</v>
      </c>
      <c r="Q359" s="638"/>
      <c r="R359" s="638"/>
      <c r="S359" s="638"/>
      <c r="T359" s="638"/>
      <c r="U359" s="638"/>
      <c r="V359" s="639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8"/>
      <c r="AB360" s="628"/>
      <c r="AC360" s="628"/>
    </row>
    <row r="361" spans="1:68" ht="14.25" hidden="1" customHeight="1" x14ac:dyDescent="0.25">
      <c r="A361" s="651" t="s">
        <v>119</v>
      </c>
      <c r="B361" s="646"/>
      <c r="C361" s="646"/>
      <c r="D361" s="646"/>
      <c r="E361" s="646"/>
      <c r="F361" s="646"/>
      <c r="G361" s="646"/>
      <c r="H361" s="646"/>
      <c r="I361" s="646"/>
      <c r="J361" s="646"/>
      <c r="K361" s="646"/>
      <c r="L361" s="646"/>
      <c r="M361" s="646"/>
      <c r="N361" s="646"/>
      <c r="O361" s="646"/>
      <c r="P361" s="646"/>
      <c r="Q361" s="646"/>
      <c r="R361" s="646"/>
      <c r="S361" s="646"/>
      <c r="T361" s="646"/>
      <c r="U361" s="646"/>
      <c r="V361" s="646"/>
      <c r="W361" s="646"/>
      <c r="X361" s="646"/>
      <c r="Y361" s="646"/>
      <c r="Z361" s="646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40">
        <v>4680115887947</v>
      </c>
      <c r="E362" s="641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7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3">
        <v>107</v>
      </c>
      <c r="Y362" s="634">
        <f>IFERROR(IF(X362="",0,CEILING((X362/$H362),1)*$H362),"")</f>
        <v>109.2</v>
      </c>
      <c r="Z362" s="36">
        <f>IFERROR(IF(Y362=0,"",ROUNDUP(Y362/H362,0)*0.01898),"")</f>
        <v>0.26572000000000001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112.624358974359</v>
      </c>
      <c r="BN362" s="64">
        <f>IFERROR(Y362*I362/H362,"0")</f>
        <v>114.94000000000003</v>
      </c>
      <c r="BO362" s="64">
        <f>IFERROR(1/J362*(X362/H362),"0")</f>
        <v>0.21434294871794873</v>
      </c>
      <c r="BP362" s="64">
        <f>IFERROR(1/J362*(Y362/H362),"0")</f>
        <v>0.21875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40">
        <v>4680115887978</v>
      </c>
      <c r="E363" s="641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65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3"/>
      <c r="R363" s="643"/>
      <c r="S363" s="643"/>
      <c r="T363" s="644"/>
      <c r="U363" s="34"/>
      <c r="V363" s="34"/>
      <c r="W363" s="35" t="s">
        <v>67</v>
      </c>
      <c r="X363" s="633">
        <v>332</v>
      </c>
      <c r="Y363" s="634">
        <f>IFERROR(IF(X363="",0,CEILING((X363/$H363),1)*$H363),"")</f>
        <v>335.4</v>
      </c>
      <c r="Z363" s="36">
        <f>IFERROR(IF(Y363=0,"",ROUNDUP(Y363/H363,0)*0.01898),"")</f>
        <v>0.81613999999999998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349.45128205128208</v>
      </c>
      <c r="BN363" s="64">
        <f>IFERROR(Y363*I363/H363,"0")</f>
        <v>353.03000000000003</v>
      </c>
      <c r="BO363" s="64">
        <f>IFERROR(1/J363*(X363/H363),"0")</f>
        <v>0.66506410256410253</v>
      </c>
      <c r="BP363" s="64">
        <f>IFERROR(1/J363*(Y363/H363),"0")</f>
        <v>0.671875</v>
      </c>
    </row>
    <row r="364" spans="1:68" ht="27" customHeight="1" x14ac:dyDescent="0.25">
      <c r="A364" s="54" t="s">
        <v>585</v>
      </c>
      <c r="B364" s="54" t="s">
        <v>586</v>
      </c>
      <c r="C364" s="31">
        <v>4301012327</v>
      </c>
      <c r="D364" s="640">
        <v>4680115887992</v>
      </c>
      <c r="E364" s="641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3"/>
      <c r="R364" s="643"/>
      <c r="S364" s="643"/>
      <c r="T364" s="644"/>
      <c r="U364" s="34"/>
      <c r="V364" s="34"/>
      <c r="W364" s="35" t="s">
        <v>67</v>
      </c>
      <c r="X364" s="633">
        <v>68</v>
      </c>
      <c r="Y364" s="634">
        <f>IFERROR(IF(X364="",0,CEILING((X364/$H364),1)*$H364),"")</f>
        <v>70.2</v>
      </c>
      <c r="Z364" s="36">
        <f>IFERROR(IF(Y364=0,"",ROUNDUP(Y364/H364,0)*0.01898),"")</f>
        <v>0.17082</v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71.574358974358987</v>
      </c>
      <c r="BN364" s="64">
        <f>IFERROR(Y364*I364/H364,"0")</f>
        <v>73.890000000000015</v>
      </c>
      <c r="BO364" s="64">
        <f>IFERROR(1/J364*(X364/H364),"0")</f>
        <v>0.13621794871794873</v>
      </c>
      <c r="BP364" s="64">
        <f>IFERROR(1/J364*(Y364/H364),"0")</f>
        <v>0.140625</v>
      </c>
    </row>
    <row r="365" spans="1:68" x14ac:dyDescent="0.2">
      <c r="A365" s="645"/>
      <c r="B365" s="646"/>
      <c r="C365" s="646"/>
      <c r="D365" s="646"/>
      <c r="E365" s="646"/>
      <c r="F365" s="646"/>
      <c r="G365" s="646"/>
      <c r="H365" s="646"/>
      <c r="I365" s="646"/>
      <c r="J365" s="646"/>
      <c r="K365" s="646"/>
      <c r="L365" s="646"/>
      <c r="M365" s="646"/>
      <c r="N365" s="646"/>
      <c r="O365" s="647"/>
      <c r="P365" s="648" t="s">
        <v>69</v>
      </c>
      <c r="Q365" s="638"/>
      <c r="R365" s="638"/>
      <c r="S365" s="638"/>
      <c r="T365" s="638"/>
      <c r="U365" s="638"/>
      <c r="V365" s="639"/>
      <c r="W365" s="37" t="s">
        <v>70</v>
      </c>
      <c r="X365" s="635">
        <f>IFERROR(X362/H362,"0")+IFERROR(X363/H363,"0")+IFERROR(X364/H364,"0")</f>
        <v>65</v>
      </c>
      <c r="Y365" s="635">
        <f>IFERROR(Y362/H362,"0")+IFERROR(Y363/H363,"0")+IFERROR(Y364/H364,"0")</f>
        <v>66</v>
      </c>
      <c r="Z365" s="635">
        <f>IFERROR(IF(Z362="",0,Z362),"0")+IFERROR(IF(Z363="",0,Z363),"0")+IFERROR(IF(Z364="",0,Z364),"0")</f>
        <v>1.25268</v>
      </c>
      <c r="AA365" s="636"/>
      <c r="AB365" s="636"/>
      <c r="AC365" s="636"/>
    </row>
    <row r="366" spans="1:68" x14ac:dyDescent="0.2">
      <c r="A366" s="646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47"/>
      <c r="P366" s="648" t="s">
        <v>69</v>
      </c>
      <c r="Q366" s="638"/>
      <c r="R366" s="638"/>
      <c r="S366" s="638"/>
      <c r="T366" s="638"/>
      <c r="U366" s="638"/>
      <c r="V366" s="639"/>
      <c r="W366" s="37" t="s">
        <v>67</v>
      </c>
      <c r="X366" s="635">
        <f>IFERROR(SUM(X362:X364),"0")</f>
        <v>507</v>
      </c>
      <c r="Y366" s="635">
        <f>IFERROR(SUM(Y362:Y364),"0")</f>
        <v>514.79999999999995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46"/>
      <c r="P367" s="646"/>
      <c r="Q367" s="646"/>
      <c r="R367" s="646"/>
      <c r="S367" s="646"/>
      <c r="T367" s="646"/>
      <c r="U367" s="646"/>
      <c r="V367" s="646"/>
      <c r="W367" s="646"/>
      <c r="X367" s="646"/>
      <c r="Y367" s="646"/>
      <c r="Z367" s="646"/>
      <c r="AA367" s="628"/>
      <c r="AB367" s="628"/>
      <c r="AC367" s="628"/>
    </row>
    <row r="368" spans="1:68" ht="14.25" hidden="1" customHeight="1" x14ac:dyDescent="0.25">
      <c r="A368" s="651" t="s">
        <v>119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40">
        <v>4680115889293</v>
      </c>
      <c r="E369" s="641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7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40">
        <v>4680115887190</v>
      </c>
      <c r="E370" s="641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68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40">
        <v>4680115889880</v>
      </c>
      <c r="E371" s="641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89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40">
        <v>4680115887138</v>
      </c>
      <c r="E372" s="641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6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customHeight="1" x14ac:dyDescent="0.25">
      <c r="A373" s="54" t="s">
        <v>600</v>
      </c>
      <c r="B373" s="54" t="s">
        <v>601</v>
      </c>
      <c r="C373" s="31">
        <v>4301012016</v>
      </c>
      <c r="D373" s="640">
        <v>4680115885554</v>
      </c>
      <c r="E373" s="641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3">
        <v>95</v>
      </c>
      <c r="Y373" s="634">
        <f t="shared" si="51"/>
        <v>97.2</v>
      </c>
      <c r="Z373" s="36">
        <f>IFERROR(IF(Y373=0,"",ROUNDUP(Y373/H373,0)*0.01898),"")</f>
        <v>0.17082</v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98.606481481481481</v>
      </c>
      <c r="BN373" s="64">
        <f t="shared" si="53"/>
        <v>100.89</v>
      </c>
      <c r="BO373" s="64">
        <f t="shared" si="54"/>
        <v>0.13744212962962962</v>
      </c>
      <c r="BP373" s="64">
        <f t="shared" si="55"/>
        <v>0.140625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40">
        <v>4680115887220</v>
      </c>
      <c r="E374" s="641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5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3"/>
      <c r="R374" s="643"/>
      <c r="S374" s="643"/>
      <c r="T374" s="644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40">
        <v>4680115885608</v>
      </c>
      <c r="E375" s="641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3"/>
      <c r="R375" s="643"/>
      <c r="S375" s="643"/>
      <c r="T375" s="644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x14ac:dyDescent="0.2">
      <c r="A376" s="645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47"/>
      <c r="P376" s="648" t="s">
        <v>69</v>
      </c>
      <c r="Q376" s="638"/>
      <c r="R376" s="638"/>
      <c r="S376" s="638"/>
      <c r="T376" s="638"/>
      <c r="U376" s="638"/>
      <c r="V376" s="639"/>
      <c r="W376" s="37" t="s">
        <v>70</v>
      </c>
      <c r="X376" s="635">
        <f>IFERROR(X369/H369,"0")+IFERROR(X370/H370,"0")+IFERROR(X371/H371,"0")+IFERROR(X372/H372,"0")+IFERROR(X373/H373,"0")+IFERROR(X374/H374,"0")+IFERROR(X375/H375,"0")</f>
        <v>8.7962962962962958</v>
      </c>
      <c r="Y376" s="635">
        <f>IFERROR(Y369/H369,"0")+IFERROR(Y370/H370,"0")+IFERROR(Y371/H371,"0")+IFERROR(Y372/H372,"0")+IFERROR(Y373/H373,"0")+IFERROR(Y374/H374,"0")+IFERROR(Y375/H375,"0")</f>
        <v>9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0.17082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47"/>
      <c r="P377" s="648" t="s">
        <v>69</v>
      </c>
      <c r="Q377" s="638"/>
      <c r="R377" s="638"/>
      <c r="S377" s="638"/>
      <c r="T377" s="638"/>
      <c r="U377" s="638"/>
      <c r="V377" s="639"/>
      <c r="W377" s="37" t="s">
        <v>67</v>
      </c>
      <c r="X377" s="635">
        <f>IFERROR(SUM(X369:X375),"0")</f>
        <v>95</v>
      </c>
      <c r="Y377" s="635">
        <f>IFERROR(SUM(Y369:Y375),"0")</f>
        <v>97.2</v>
      </c>
      <c r="Z377" s="37"/>
      <c r="AA377" s="636"/>
      <c r="AB377" s="636"/>
      <c r="AC377" s="636"/>
    </row>
    <row r="378" spans="1:68" ht="14.25" hidden="1" customHeight="1" x14ac:dyDescent="0.25">
      <c r="A378" s="651" t="s">
        <v>62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40">
        <v>4607091387193</v>
      </c>
      <c r="E379" s="641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96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40">
        <v>4607091387230</v>
      </c>
      <c r="E380" s="641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40">
        <v>4607091387292</v>
      </c>
      <c r="E381" s="641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40">
        <v>4607091387285</v>
      </c>
      <c r="E382" s="641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93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3"/>
      <c r="R382" s="643"/>
      <c r="S382" s="643"/>
      <c r="T382" s="644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40">
        <v>4607091389845</v>
      </c>
      <c r="E383" s="641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6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40">
        <v>4680115887442</v>
      </c>
      <c r="E384" s="641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9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3"/>
      <c r="R384" s="643"/>
      <c r="S384" s="643"/>
      <c r="T384" s="644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40">
        <v>4607091383836</v>
      </c>
      <c r="E385" s="641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6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3"/>
      <c r="R385" s="643"/>
      <c r="S385" s="643"/>
      <c r="T385" s="644"/>
      <c r="U385" s="34"/>
      <c r="V385" s="34"/>
      <c r="W385" s="35" t="s">
        <v>67</v>
      </c>
      <c r="X385" s="633">
        <v>18</v>
      </c>
      <c r="Y385" s="634">
        <f t="shared" si="56"/>
        <v>18</v>
      </c>
      <c r="Z385" s="36">
        <f>IFERROR(IF(Y385=0,"",ROUNDUP(Y385/H385,0)*0.00651),"")</f>
        <v>6.5100000000000005E-2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20.279999999999998</v>
      </c>
      <c r="BN385" s="64">
        <f t="shared" si="58"/>
        <v>20.279999999999998</v>
      </c>
      <c r="BO385" s="64">
        <f t="shared" si="59"/>
        <v>5.4945054945054951E-2</v>
      </c>
      <c r="BP385" s="64">
        <f t="shared" si="60"/>
        <v>5.4945054945054951E-2</v>
      </c>
    </row>
    <row r="386" spans="1:68" x14ac:dyDescent="0.2">
      <c r="A386" s="645"/>
      <c r="B386" s="646"/>
      <c r="C386" s="646"/>
      <c r="D386" s="646"/>
      <c r="E386" s="646"/>
      <c r="F386" s="646"/>
      <c r="G386" s="646"/>
      <c r="H386" s="646"/>
      <c r="I386" s="646"/>
      <c r="J386" s="646"/>
      <c r="K386" s="646"/>
      <c r="L386" s="646"/>
      <c r="M386" s="646"/>
      <c r="N386" s="646"/>
      <c r="O386" s="647"/>
      <c r="P386" s="648" t="s">
        <v>69</v>
      </c>
      <c r="Q386" s="638"/>
      <c r="R386" s="638"/>
      <c r="S386" s="638"/>
      <c r="T386" s="638"/>
      <c r="U386" s="638"/>
      <c r="V386" s="639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10</v>
      </c>
      <c r="Y386" s="635">
        <f>IFERROR(Y379/H379,"0")+IFERROR(Y380/H380,"0")+IFERROR(Y381/H381,"0")+IFERROR(Y382/H382,"0")+IFERROR(Y383/H383,"0")+IFERROR(Y384/H384,"0")+IFERROR(Y385/H385,"0")</f>
        <v>10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6.5100000000000005E-2</v>
      </c>
      <c r="AA386" s="636"/>
      <c r="AB386" s="636"/>
      <c r="AC386" s="636"/>
    </row>
    <row r="387" spans="1:68" x14ac:dyDescent="0.2">
      <c r="A387" s="646"/>
      <c r="B387" s="646"/>
      <c r="C387" s="646"/>
      <c r="D387" s="646"/>
      <c r="E387" s="646"/>
      <c r="F387" s="646"/>
      <c r="G387" s="646"/>
      <c r="H387" s="646"/>
      <c r="I387" s="646"/>
      <c r="J387" s="646"/>
      <c r="K387" s="646"/>
      <c r="L387" s="646"/>
      <c r="M387" s="646"/>
      <c r="N387" s="646"/>
      <c r="O387" s="647"/>
      <c r="P387" s="648" t="s">
        <v>69</v>
      </c>
      <c r="Q387" s="638"/>
      <c r="R387" s="638"/>
      <c r="S387" s="638"/>
      <c r="T387" s="638"/>
      <c r="U387" s="638"/>
      <c r="V387" s="639"/>
      <c r="W387" s="37" t="s">
        <v>67</v>
      </c>
      <c r="X387" s="635">
        <f>IFERROR(SUM(X379:X385),"0")</f>
        <v>18</v>
      </c>
      <c r="Y387" s="635">
        <f>IFERROR(SUM(Y379:Y385),"0")</f>
        <v>18</v>
      </c>
      <c r="Z387" s="37"/>
      <c r="AA387" s="636"/>
      <c r="AB387" s="636"/>
      <c r="AC387" s="636"/>
    </row>
    <row r="388" spans="1:68" ht="14.25" hidden="1" customHeight="1" x14ac:dyDescent="0.25">
      <c r="A388" s="651" t="s">
        <v>71</v>
      </c>
      <c r="B388" s="646"/>
      <c r="C388" s="646"/>
      <c r="D388" s="646"/>
      <c r="E388" s="646"/>
      <c r="F388" s="646"/>
      <c r="G388" s="646"/>
      <c r="H388" s="646"/>
      <c r="I388" s="646"/>
      <c r="J388" s="646"/>
      <c r="K388" s="646"/>
      <c r="L388" s="646"/>
      <c r="M388" s="646"/>
      <c r="N388" s="646"/>
      <c r="O388" s="646"/>
      <c r="P388" s="646"/>
      <c r="Q388" s="646"/>
      <c r="R388" s="646"/>
      <c r="S388" s="646"/>
      <c r="T388" s="646"/>
      <c r="U388" s="646"/>
      <c r="V388" s="646"/>
      <c r="W388" s="646"/>
      <c r="X388" s="646"/>
      <c r="Y388" s="646"/>
      <c r="Z388" s="646"/>
      <c r="AA388" s="629"/>
      <c r="AB388" s="629"/>
      <c r="AC388" s="629"/>
    </row>
    <row r="389" spans="1:68" ht="27" customHeight="1" x14ac:dyDescent="0.25">
      <c r="A389" s="54" t="s">
        <v>627</v>
      </c>
      <c r="B389" s="54" t="s">
        <v>628</v>
      </c>
      <c r="C389" s="31">
        <v>4301051100</v>
      </c>
      <c r="D389" s="640">
        <v>4607091387766</v>
      </c>
      <c r="E389" s="641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9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3"/>
      <c r="R389" s="643"/>
      <c r="S389" s="643"/>
      <c r="T389" s="644"/>
      <c r="U389" s="34"/>
      <c r="V389" s="34"/>
      <c r="W389" s="35" t="s">
        <v>67</v>
      </c>
      <c r="X389" s="633">
        <v>50</v>
      </c>
      <c r="Y389" s="634">
        <f>IFERROR(IF(X389="",0,CEILING((X389/$H389),1)*$H389),"")</f>
        <v>54.6</v>
      </c>
      <c r="Z389" s="36">
        <f>IFERROR(IF(Y389=0,"",ROUNDUP(Y389/H389,0)*0.01898),"")</f>
        <v>0.13286000000000001</v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53.128205128205131</v>
      </c>
      <c r="BN389" s="64">
        <f>IFERROR(Y389*I389/H389,"0")</f>
        <v>58.016000000000005</v>
      </c>
      <c r="BO389" s="64">
        <f>IFERROR(1/J389*(X389/H389),"0")</f>
        <v>0.10016025641025642</v>
      </c>
      <c r="BP389" s="64">
        <f>IFERROR(1/J389*(Y389/H389),"0")</f>
        <v>0.109375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40">
        <v>4607091387957</v>
      </c>
      <c r="E390" s="641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3"/>
      <c r="R390" s="643"/>
      <c r="S390" s="643"/>
      <c r="T390" s="644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40">
        <v>4607091387964</v>
      </c>
      <c r="E391" s="641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9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3"/>
      <c r="R391" s="643"/>
      <c r="S391" s="643"/>
      <c r="T391" s="644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40">
        <v>4680115884588</v>
      </c>
      <c r="E392" s="641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9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3"/>
      <c r="R392" s="643"/>
      <c r="S392" s="643"/>
      <c r="T392" s="644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45"/>
      <c r="B393" s="646"/>
      <c r="C393" s="646"/>
      <c r="D393" s="646"/>
      <c r="E393" s="646"/>
      <c r="F393" s="646"/>
      <c r="G393" s="646"/>
      <c r="H393" s="646"/>
      <c r="I393" s="646"/>
      <c r="J393" s="646"/>
      <c r="K393" s="646"/>
      <c r="L393" s="646"/>
      <c r="M393" s="646"/>
      <c r="N393" s="646"/>
      <c r="O393" s="647"/>
      <c r="P393" s="648" t="s">
        <v>69</v>
      </c>
      <c r="Q393" s="638"/>
      <c r="R393" s="638"/>
      <c r="S393" s="638"/>
      <c r="T393" s="638"/>
      <c r="U393" s="638"/>
      <c r="V393" s="639"/>
      <c r="W393" s="37" t="s">
        <v>70</v>
      </c>
      <c r="X393" s="635">
        <f>IFERROR(X389/H389,"0")+IFERROR(X390/H390,"0")+IFERROR(X391/H391,"0")+IFERROR(X392/H392,"0")</f>
        <v>6.4102564102564106</v>
      </c>
      <c r="Y393" s="635">
        <f>IFERROR(Y389/H389,"0")+IFERROR(Y390/H390,"0")+IFERROR(Y391/H391,"0")+IFERROR(Y392/H392,"0")</f>
        <v>7</v>
      </c>
      <c r="Z393" s="635">
        <f>IFERROR(IF(Z389="",0,Z389),"0")+IFERROR(IF(Z390="",0,Z390),"0")+IFERROR(IF(Z391="",0,Z391),"0")+IFERROR(IF(Z392="",0,Z392),"0")</f>
        <v>0.13286000000000001</v>
      </c>
      <c r="AA393" s="636"/>
      <c r="AB393" s="636"/>
      <c r="AC393" s="636"/>
    </row>
    <row r="394" spans="1:68" x14ac:dyDescent="0.2">
      <c r="A394" s="646"/>
      <c r="B394" s="646"/>
      <c r="C394" s="646"/>
      <c r="D394" s="646"/>
      <c r="E394" s="646"/>
      <c r="F394" s="646"/>
      <c r="G394" s="646"/>
      <c r="H394" s="646"/>
      <c r="I394" s="646"/>
      <c r="J394" s="646"/>
      <c r="K394" s="646"/>
      <c r="L394" s="646"/>
      <c r="M394" s="646"/>
      <c r="N394" s="646"/>
      <c r="O394" s="647"/>
      <c r="P394" s="648" t="s">
        <v>69</v>
      </c>
      <c r="Q394" s="638"/>
      <c r="R394" s="638"/>
      <c r="S394" s="638"/>
      <c r="T394" s="638"/>
      <c r="U394" s="638"/>
      <c r="V394" s="639"/>
      <c r="W394" s="37" t="s">
        <v>67</v>
      </c>
      <c r="X394" s="635">
        <f>IFERROR(SUM(X389:X392),"0")</f>
        <v>50</v>
      </c>
      <c r="Y394" s="635">
        <f>IFERROR(SUM(Y389:Y392),"0")</f>
        <v>54.6</v>
      </c>
      <c r="Z394" s="37"/>
      <c r="AA394" s="636"/>
      <c r="AB394" s="636"/>
      <c r="AC394" s="636"/>
    </row>
    <row r="395" spans="1:68" ht="14.25" hidden="1" customHeight="1" x14ac:dyDescent="0.25">
      <c r="A395" s="651" t="s">
        <v>172</v>
      </c>
      <c r="B395" s="646"/>
      <c r="C395" s="646"/>
      <c r="D395" s="646"/>
      <c r="E395" s="646"/>
      <c r="F395" s="646"/>
      <c r="G395" s="646"/>
      <c r="H395" s="646"/>
      <c r="I395" s="646"/>
      <c r="J395" s="646"/>
      <c r="K395" s="646"/>
      <c r="L395" s="646"/>
      <c r="M395" s="646"/>
      <c r="N395" s="646"/>
      <c r="O395" s="646"/>
      <c r="P395" s="646"/>
      <c r="Q395" s="646"/>
      <c r="R395" s="646"/>
      <c r="S395" s="646"/>
      <c r="T395" s="646"/>
      <c r="U395" s="646"/>
      <c r="V395" s="646"/>
      <c r="W395" s="646"/>
      <c r="X395" s="646"/>
      <c r="Y395" s="646"/>
      <c r="Z395" s="646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40">
        <v>4607091380880</v>
      </c>
      <c r="E396" s="641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3">
        <v>165</v>
      </c>
      <c r="Y396" s="634">
        <f>IFERROR(IF(X396="",0,CEILING((X396/$H396),1)*$H396),"")</f>
        <v>168</v>
      </c>
      <c r="Z396" s="36">
        <f>IFERROR(IF(Y396=0,"",ROUNDUP(Y396/H396,0)*0.01898),"")</f>
        <v>0.37959999999999999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174.70357142857142</v>
      </c>
      <c r="BN396" s="64">
        <f>IFERROR(Y396*I396/H396,"0")</f>
        <v>177.88</v>
      </c>
      <c r="BO396" s="64">
        <f>IFERROR(1/J396*(X396/H396),"0")</f>
        <v>0.30691964285714285</v>
      </c>
      <c r="BP396" s="64">
        <f>IFERROR(1/J396*(Y396/H396),"0")</f>
        <v>0.3125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40">
        <v>4607091384482</v>
      </c>
      <c r="E397" s="641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6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3"/>
      <c r="R397" s="643"/>
      <c r="S397" s="643"/>
      <c r="T397" s="644"/>
      <c r="U397" s="34"/>
      <c r="V397" s="34"/>
      <c r="W397" s="35" t="s">
        <v>67</v>
      </c>
      <c r="X397" s="633">
        <v>250</v>
      </c>
      <c r="Y397" s="634">
        <f>IFERROR(IF(X397="",0,CEILING((X397/$H397),1)*$H397),"")</f>
        <v>257.39999999999998</v>
      </c>
      <c r="Z397" s="36">
        <f>IFERROR(IF(Y397=0,"",ROUNDUP(Y397/H397,0)*0.01898),"")</f>
        <v>0.62634000000000001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265.83333333333331</v>
      </c>
      <c r="BN397" s="64">
        <f>IFERROR(Y397*I397/H397,"0")</f>
        <v>273.702</v>
      </c>
      <c r="BO397" s="64">
        <f>IFERROR(1/J397*(X397/H397),"0")</f>
        <v>0.50080128205128205</v>
      </c>
      <c r="BP397" s="64">
        <f>IFERROR(1/J397*(Y397/H397),"0")</f>
        <v>0.515625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40">
        <v>4607091380897</v>
      </c>
      <c r="E398" s="641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3"/>
      <c r="R398" s="643"/>
      <c r="S398" s="643"/>
      <c r="T398" s="644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5"/>
      <c r="B399" s="646"/>
      <c r="C399" s="646"/>
      <c r="D399" s="646"/>
      <c r="E399" s="646"/>
      <c r="F399" s="646"/>
      <c r="G399" s="646"/>
      <c r="H399" s="646"/>
      <c r="I399" s="646"/>
      <c r="J399" s="646"/>
      <c r="K399" s="646"/>
      <c r="L399" s="646"/>
      <c r="M399" s="646"/>
      <c r="N399" s="646"/>
      <c r="O399" s="647"/>
      <c r="P399" s="648" t="s">
        <v>69</v>
      </c>
      <c r="Q399" s="638"/>
      <c r="R399" s="638"/>
      <c r="S399" s="638"/>
      <c r="T399" s="638"/>
      <c r="U399" s="638"/>
      <c r="V399" s="639"/>
      <c r="W399" s="37" t="s">
        <v>70</v>
      </c>
      <c r="X399" s="635">
        <f>IFERROR(X396/H396,"0")+IFERROR(X397/H397,"0")+IFERROR(X398/H398,"0")</f>
        <v>51.694139194139197</v>
      </c>
      <c r="Y399" s="635">
        <f>IFERROR(Y396/H396,"0")+IFERROR(Y397/H397,"0")+IFERROR(Y398/H398,"0")</f>
        <v>53</v>
      </c>
      <c r="Z399" s="635">
        <f>IFERROR(IF(Z396="",0,Z396),"0")+IFERROR(IF(Z397="",0,Z397),"0")+IFERROR(IF(Z398="",0,Z398),"0")</f>
        <v>1.0059400000000001</v>
      </c>
      <c r="AA399" s="636"/>
      <c r="AB399" s="636"/>
      <c r="AC399" s="636"/>
    </row>
    <row r="400" spans="1:68" x14ac:dyDescent="0.2">
      <c r="A400" s="646"/>
      <c r="B400" s="646"/>
      <c r="C400" s="646"/>
      <c r="D400" s="646"/>
      <c r="E400" s="646"/>
      <c r="F400" s="646"/>
      <c r="G400" s="646"/>
      <c r="H400" s="646"/>
      <c r="I400" s="646"/>
      <c r="J400" s="646"/>
      <c r="K400" s="646"/>
      <c r="L400" s="646"/>
      <c r="M400" s="646"/>
      <c r="N400" s="646"/>
      <c r="O400" s="647"/>
      <c r="P400" s="648" t="s">
        <v>69</v>
      </c>
      <c r="Q400" s="638"/>
      <c r="R400" s="638"/>
      <c r="S400" s="638"/>
      <c r="T400" s="638"/>
      <c r="U400" s="638"/>
      <c r="V400" s="639"/>
      <c r="W400" s="37" t="s">
        <v>67</v>
      </c>
      <c r="X400" s="635">
        <f>IFERROR(SUM(X396:X398),"0")</f>
        <v>415</v>
      </c>
      <c r="Y400" s="635">
        <f>IFERROR(SUM(Y396:Y398),"0")</f>
        <v>425.4</v>
      </c>
      <c r="Z400" s="37"/>
      <c r="AA400" s="636"/>
      <c r="AB400" s="636"/>
      <c r="AC400" s="636"/>
    </row>
    <row r="401" spans="1:68" ht="14.25" hidden="1" customHeight="1" x14ac:dyDescent="0.25">
      <c r="A401" s="651" t="s">
        <v>89</v>
      </c>
      <c r="B401" s="646"/>
      <c r="C401" s="646"/>
      <c r="D401" s="646"/>
      <c r="E401" s="646"/>
      <c r="F401" s="646"/>
      <c r="G401" s="646"/>
      <c r="H401" s="646"/>
      <c r="I401" s="646"/>
      <c r="J401" s="646"/>
      <c r="K401" s="646"/>
      <c r="L401" s="646"/>
      <c r="M401" s="646"/>
      <c r="N401" s="646"/>
      <c r="O401" s="646"/>
      <c r="P401" s="646"/>
      <c r="Q401" s="646"/>
      <c r="R401" s="646"/>
      <c r="S401" s="646"/>
      <c r="T401" s="646"/>
      <c r="U401" s="646"/>
      <c r="V401" s="646"/>
      <c r="W401" s="646"/>
      <c r="X401" s="646"/>
      <c r="Y401" s="646"/>
      <c r="Z401" s="646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40">
        <v>4607091388381</v>
      </c>
      <c r="E402" s="641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40">
        <v>4607091388374</v>
      </c>
      <c r="E403" s="641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90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40">
        <v>4607091383102</v>
      </c>
      <c r="E404" s="641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9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3"/>
      <c r="R404" s="643"/>
      <c r="S404" s="643"/>
      <c r="T404" s="644"/>
      <c r="U404" s="34"/>
      <c r="V404" s="34"/>
      <c r="W404" s="35" t="s">
        <v>67</v>
      </c>
      <c r="X404" s="633">
        <v>6</v>
      </c>
      <c r="Y404" s="634">
        <f>IFERROR(IF(X404="",0,CEILING((X404/$H404),1)*$H404),"")</f>
        <v>7.6499999999999995</v>
      </c>
      <c r="Z404" s="36">
        <f>IFERROR(IF(Y404=0,"",ROUNDUP(Y404/H404,0)*0.00651),"")</f>
        <v>1.9529999999999999E-2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6.9529411764705893</v>
      </c>
      <c r="BN404" s="64">
        <f>IFERROR(Y404*I404/H404,"0")</f>
        <v>8.8650000000000002</v>
      </c>
      <c r="BO404" s="64">
        <f>IFERROR(1/J404*(X404/H404),"0")</f>
        <v>1.292824822236587E-2</v>
      </c>
      <c r="BP404" s="64">
        <f>IFERROR(1/J404*(Y404/H404),"0")</f>
        <v>1.6483516483516484E-2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40">
        <v>4607091388404</v>
      </c>
      <c r="E405" s="641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9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3"/>
      <c r="R405" s="643"/>
      <c r="S405" s="643"/>
      <c r="T405" s="644"/>
      <c r="U405" s="34"/>
      <c r="V405" s="34"/>
      <c r="W405" s="35" t="s">
        <v>67</v>
      </c>
      <c r="X405" s="633">
        <v>25</v>
      </c>
      <c r="Y405" s="634">
        <f>IFERROR(IF(X405="",0,CEILING((X405/$H405),1)*$H405),"")</f>
        <v>25.5</v>
      </c>
      <c r="Z405" s="36">
        <f>IFERROR(IF(Y405=0,"",ROUNDUP(Y405/H405,0)*0.00651),"")</f>
        <v>6.5100000000000005E-2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28.235294117647062</v>
      </c>
      <c r="BN405" s="64">
        <f>IFERROR(Y405*I405/H405,"0")</f>
        <v>28.8</v>
      </c>
      <c r="BO405" s="64">
        <f>IFERROR(1/J405*(X405/H405),"0")</f>
        <v>5.3867700926524466E-2</v>
      </c>
      <c r="BP405" s="64">
        <f>IFERROR(1/J405*(Y405/H405),"0")</f>
        <v>5.4945054945054951E-2</v>
      </c>
    </row>
    <row r="406" spans="1:68" x14ac:dyDescent="0.2">
      <c r="A406" s="645"/>
      <c r="B406" s="646"/>
      <c r="C406" s="646"/>
      <c r="D406" s="646"/>
      <c r="E406" s="646"/>
      <c r="F406" s="646"/>
      <c r="G406" s="646"/>
      <c r="H406" s="646"/>
      <c r="I406" s="646"/>
      <c r="J406" s="646"/>
      <c r="K406" s="646"/>
      <c r="L406" s="646"/>
      <c r="M406" s="646"/>
      <c r="N406" s="646"/>
      <c r="O406" s="647"/>
      <c r="P406" s="648" t="s">
        <v>69</v>
      </c>
      <c r="Q406" s="638"/>
      <c r="R406" s="638"/>
      <c r="S406" s="638"/>
      <c r="T406" s="638"/>
      <c r="U406" s="638"/>
      <c r="V406" s="639"/>
      <c r="W406" s="37" t="s">
        <v>70</v>
      </c>
      <c r="X406" s="635">
        <f>IFERROR(X402/H402,"0")+IFERROR(X403/H403,"0")+IFERROR(X404/H404,"0")+IFERROR(X405/H405,"0")</f>
        <v>12.15686274509804</v>
      </c>
      <c r="Y406" s="635">
        <f>IFERROR(Y402/H402,"0")+IFERROR(Y403/H403,"0")+IFERROR(Y404/H404,"0")+IFERROR(Y405/H405,"0")</f>
        <v>13</v>
      </c>
      <c r="Z406" s="635">
        <f>IFERROR(IF(Z402="",0,Z402),"0")+IFERROR(IF(Z403="",0,Z403),"0")+IFERROR(IF(Z404="",0,Z404),"0")+IFERROR(IF(Z405="",0,Z405),"0")</f>
        <v>8.4630000000000011E-2</v>
      </c>
      <c r="AA406" s="636"/>
      <c r="AB406" s="636"/>
      <c r="AC406" s="636"/>
    </row>
    <row r="407" spans="1:68" x14ac:dyDescent="0.2">
      <c r="A407" s="646"/>
      <c r="B407" s="646"/>
      <c r="C407" s="646"/>
      <c r="D407" s="646"/>
      <c r="E407" s="646"/>
      <c r="F407" s="646"/>
      <c r="G407" s="646"/>
      <c r="H407" s="646"/>
      <c r="I407" s="646"/>
      <c r="J407" s="646"/>
      <c r="K407" s="646"/>
      <c r="L407" s="646"/>
      <c r="M407" s="646"/>
      <c r="N407" s="646"/>
      <c r="O407" s="647"/>
      <c r="P407" s="648" t="s">
        <v>69</v>
      </c>
      <c r="Q407" s="638"/>
      <c r="R407" s="638"/>
      <c r="S407" s="638"/>
      <c r="T407" s="638"/>
      <c r="U407" s="638"/>
      <c r="V407" s="639"/>
      <c r="W407" s="37" t="s">
        <v>67</v>
      </c>
      <c r="X407" s="635">
        <f>IFERROR(SUM(X402:X405),"0")</f>
        <v>31</v>
      </c>
      <c r="Y407" s="635">
        <f>IFERROR(SUM(Y402:Y405),"0")</f>
        <v>33.15</v>
      </c>
      <c r="Z407" s="37"/>
      <c r="AA407" s="636"/>
      <c r="AB407" s="636"/>
      <c r="AC407" s="636"/>
    </row>
    <row r="408" spans="1:68" ht="14.25" hidden="1" customHeight="1" x14ac:dyDescent="0.25">
      <c r="A408" s="651" t="s">
        <v>656</v>
      </c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46"/>
      <c r="P408" s="646"/>
      <c r="Q408" s="646"/>
      <c r="R408" s="646"/>
      <c r="S408" s="646"/>
      <c r="T408" s="646"/>
      <c r="U408" s="646"/>
      <c r="V408" s="646"/>
      <c r="W408" s="646"/>
      <c r="X408" s="646"/>
      <c r="Y408" s="646"/>
      <c r="Z408" s="646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40">
        <v>4680115881808</v>
      </c>
      <c r="E409" s="641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7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3"/>
      <c r="R409" s="643"/>
      <c r="S409" s="643"/>
      <c r="T409" s="644"/>
      <c r="U409" s="34"/>
      <c r="V409" s="34"/>
      <c r="W409" s="35" t="s">
        <v>67</v>
      </c>
      <c r="X409" s="633">
        <v>14</v>
      </c>
      <c r="Y409" s="634">
        <f>IFERROR(IF(X409="",0,CEILING((X409/$H409),1)*$H409),"")</f>
        <v>14</v>
      </c>
      <c r="Z409" s="36">
        <f>IFERROR(IF(Y409=0,"",ROUNDUP(Y409/H409,0)*0.00474),"")</f>
        <v>3.3180000000000001E-2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15.680000000000001</v>
      </c>
      <c r="BN409" s="64">
        <f>IFERROR(Y409*I409/H409,"0")</f>
        <v>15.680000000000001</v>
      </c>
      <c r="BO409" s="64">
        <f>IFERROR(1/J409*(X409/H409),"0")</f>
        <v>2.9411764705882353E-2</v>
      </c>
      <c r="BP409" s="64">
        <f>IFERROR(1/J409*(Y409/H409),"0")</f>
        <v>2.9411764705882353E-2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40">
        <v>4680115881822</v>
      </c>
      <c r="E410" s="641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67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3"/>
      <c r="R410" s="643"/>
      <c r="S410" s="643"/>
      <c r="T410" s="644"/>
      <c r="U410" s="34"/>
      <c r="V410" s="34"/>
      <c r="W410" s="35" t="s">
        <v>67</v>
      </c>
      <c r="X410" s="633">
        <v>8</v>
      </c>
      <c r="Y410" s="634">
        <f>IFERROR(IF(X410="",0,CEILING((X410/$H410),1)*$H410),"")</f>
        <v>8</v>
      </c>
      <c r="Z410" s="36">
        <f>IFERROR(IF(Y410=0,"",ROUNDUP(Y410/H410,0)*0.00474),"")</f>
        <v>1.8960000000000001E-2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8.9600000000000009</v>
      </c>
      <c r="BN410" s="64">
        <f>IFERROR(Y410*I410/H410,"0")</f>
        <v>8.9600000000000009</v>
      </c>
      <c r="BO410" s="64">
        <f>IFERROR(1/J410*(X410/H410),"0")</f>
        <v>1.680672268907563E-2</v>
      </c>
      <c r="BP410" s="64">
        <f>IFERROR(1/J410*(Y410/H410),"0")</f>
        <v>1.680672268907563E-2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40">
        <v>4680115880016</v>
      </c>
      <c r="E411" s="641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90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3"/>
      <c r="R411" s="643"/>
      <c r="S411" s="643"/>
      <c r="T411" s="644"/>
      <c r="U411" s="34"/>
      <c r="V411" s="34"/>
      <c r="W411" s="35" t="s">
        <v>67</v>
      </c>
      <c r="X411" s="633">
        <v>12</v>
      </c>
      <c r="Y411" s="634">
        <f>IFERROR(IF(X411="",0,CEILING((X411/$H411),1)*$H411),"")</f>
        <v>12</v>
      </c>
      <c r="Z411" s="36">
        <f>IFERROR(IF(Y411=0,"",ROUNDUP(Y411/H411,0)*0.00474),"")</f>
        <v>2.844E-2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13.440000000000001</v>
      </c>
      <c r="BN411" s="64">
        <f>IFERROR(Y411*I411/H411,"0")</f>
        <v>13.440000000000001</v>
      </c>
      <c r="BO411" s="64">
        <f>IFERROR(1/J411*(X411/H411),"0")</f>
        <v>2.5210084033613446E-2</v>
      </c>
      <c r="BP411" s="64">
        <f>IFERROR(1/J411*(Y411/H411),"0")</f>
        <v>2.5210084033613446E-2</v>
      </c>
    </row>
    <row r="412" spans="1:68" x14ac:dyDescent="0.2">
      <c r="A412" s="645"/>
      <c r="B412" s="646"/>
      <c r="C412" s="646"/>
      <c r="D412" s="646"/>
      <c r="E412" s="646"/>
      <c r="F412" s="646"/>
      <c r="G412" s="646"/>
      <c r="H412" s="646"/>
      <c r="I412" s="646"/>
      <c r="J412" s="646"/>
      <c r="K412" s="646"/>
      <c r="L412" s="646"/>
      <c r="M412" s="646"/>
      <c r="N412" s="646"/>
      <c r="O412" s="647"/>
      <c r="P412" s="648" t="s">
        <v>69</v>
      </c>
      <c r="Q412" s="638"/>
      <c r="R412" s="638"/>
      <c r="S412" s="638"/>
      <c r="T412" s="638"/>
      <c r="U412" s="638"/>
      <c r="V412" s="639"/>
      <c r="W412" s="37" t="s">
        <v>70</v>
      </c>
      <c r="X412" s="635">
        <f>IFERROR(X409/H409,"0")+IFERROR(X410/H410,"0")+IFERROR(X411/H411,"0")</f>
        <v>17</v>
      </c>
      <c r="Y412" s="635">
        <f>IFERROR(Y409/H409,"0")+IFERROR(Y410/H410,"0")+IFERROR(Y411/H411,"0")</f>
        <v>17</v>
      </c>
      <c r="Z412" s="635">
        <f>IFERROR(IF(Z409="",0,Z409),"0")+IFERROR(IF(Z410="",0,Z410),"0")+IFERROR(IF(Z411="",0,Z411),"0")</f>
        <v>8.0580000000000013E-2</v>
      </c>
      <c r="AA412" s="636"/>
      <c r="AB412" s="636"/>
      <c r="AC412" s="636"/>
    </row>
    <row r="413" spans="1:68" x14ac:dyDescent="0.2">
      <c r="A413" s="646"/>
      <c r="B413" s="646"/>
      <c r="C413" s="646"/>
      <c r="D413" s="646"/>
      <c r="E413" s="646"/>
      <c r="F413" s="646"/>
      <c r="G413" s="646"/>
      <c r="H413" s="646"/>
      <c r="I413" s="646"/>
      <c r="J413" s="646"/>
      <c r="K413" s="646"/>
      <c r="L413" s="646"/>
      <c r="M413" s="646"/>
      <c r="N413" s="646"/>
      <c r="O413" s="647"/>
      <c r="P413" s="648" t="s">
        <v>69</v>
      </c>
      <c r="Q413" s="638"/>
      <c r="R413" s="638"/>
      <c r="S413" s="638"/>
      <c r="T413" s="638"/>
      <c r="U413" s="638"/>
      <c r="V413" s="639"/>
      <c r="W413" s="37" t="s">
        <v>67</v>
      </c>
      <c r="X413" s="635">
        <f>IFERROR(SUM(X409:X411),"0")</f>
        <v>34</v>
      </c>
      <c r="Y413" s="635">
        <f>IFERROR(SUM(Y409:Y411),"0")</f>
        <v>34</v>
      </c>
      <c r="Z413" s="37"/>
      <c r="AA413" s="636"/>
      <c r="AB413" s="636"/>
      <c r="AC413" s="636"/>
    </row>
    <row r="414" spans="1:68" ht="14.25" hidden="1" customHeight="1" x14ac:dyDescent="0.25">
      <c r="A414" s="651" t="s">
        <v>665</v>
      </c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46"/>
      <c r="P414" s="646"/>
      <c r="Q414" s="646"/>
      <c r="R414" s="646"/>
      <c r="S414" s="646"/>
      <c r="T414" s="646"/>
      <c r="U414" s="646"/>
      <c r="V414" s="646"/>
      <c r="W414" s="646"/>
      <c r="X414" s="646"/>
      <c r="Y414" s="646"/>
      <c r="Z414" s="646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40">
        <v>4680115888678</v>
      </c>
      <c r="E415" s="641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40">
        <v>4680115888654</v>
      </c>
      <c r="E416" s="641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89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3"/>
      <c r="R416" s="643"/>
      <c r="S416" s="643"/>
      <c r="T416" s="644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40">
        <v>4680115888753</v>
      </c>
      <c r="E417" s="641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7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3"/>
      <c r="R417" s="643"/>
      <c r="S417" s="643"/>
      <c r="T417" s="644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5"/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7"/>
      <c r="P418" s="648" t="s">
        <v>69</v>
      </c>
      <c r="Q418" s="638"/>
      <c r="R418" s="638"/>
      <c r="S418" s="638"/>
      <c r="T418" s="638"/>
      <c r="U418" s="638"/>
      <c r="V418" s="639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6"/>
      <c r="B419" s="646"/>
      <c r="C419" s="646"/>
      <c r="D419" s="646"/>
      <c r="E419" s="646"/>
      <c r="F419" s="646"/>
      <c r="G419" s="646"/>
      <c r="H419" s="646"/>
      <c r="I419" s="646"/>
      <c r="J419" s="646"/>
      <c r="K419" s="646"/>
      <c r="L419" s="646"/>
      <c r="M419" s="646"/>
      <c r="N419" s="646"/>
      <c r="O419" s="647"/>
      <c r="P419" s="648" t="s">
        <v>69</v>
      </c>
      <c r="Q419" s="638"/>
      <c r="R419" s="638"/>
      <c r="S419" s="638"/>
      <c r="T419" s="638"/>
      <c r="U419" s="638"/>
      <c r="V419" s="639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6"/>
      <c r="C420" s="646"/>
      <c r="D420" s="646"/>
      <c r="E420" s="646"/>
      <c r="F420" s="646"/>
      <c r="G420" s="646"/>
      <c r="H420" s="646"/>
      <c r="I420" s="646"/>
      <c r="J420" s="646"/>
      <c r="K420" s="646"/>
      <c r="L420" s="646"/>
      <c r="M420" s="646"/>
      <c r="N420" s="646"/>
      <c r="O420" s="646"/>
      <c r="P420" s="646"/>
      <c r="Q420" s="646"/>
      <c r="R420" s="646"/>
      <c r="S420" s="646"/>
      <c r="T420" s="646"/>
      <c r="U420" s="646"/>
      <c r="V420" s="646"/>
      <c r="W420" s="646"/>
      <c r="X420" s="646"/>
      <c r="Y420" s="646"/>
      <c r="Z420" s="646"/>
      <c r="AA420" s="628"/>
      <c r="AB420" s="628"/>
      <c r="AC420" s="628"/>
    </row>
    <row r="421" spans="1:68" ht="14.25" hidden="1" customHeight="1" x14ac:dyDescent="0.25">
      <c r="A421" s="651" t="s">
        <v>71</v>
      </c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46"/>
      <c r="P421" s="646"/>
      <c r="Q421" s="646"/>
      <c r="R421" s="646"/>
      <c r="S421" s="646"/>
      <c r="T421" s="646"/>
      <c r="U421" s="646"/>
      <c r="V421" s="646"/>
      <c r="W421" s="646"/>
      <c r="X421" s="646"/>
      <c r="Y421" s="646"/>
      <c r="Z421" s="646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40">
        <v>4680115889415</v>
      </c>
      <c r="E422" s="641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90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40">
        <v>4660663720026</v>
      </c>
      <c r="E423" s="641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925" t="s">
        <v>679</v>
      </c>
      <c r="Q423" s="643"/>
      <c r="R423" s="643"/>
      <c r="S423" s="643"/>
      <c r="T423" s="644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40">
        <v>4680115889422</v>
      </c>
      <c r="E424" s="641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7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3"/>
      <c r="R424" s="643"/>
      <c r="S424" s="643"/>
      <c r="T424" s="644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40">
        <v>4680115889972</v>
      </c>
      <c r="E425" s="641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6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3"/>
      <c r="R425" s="643"/>
      <c r="S425" s="643"/>
      <c r="T425" s="644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5"/>
      <c r="B426" s="646"/>
      <c r="C426" s="646"/>
      <c r="D426" s="646"/>
      <c r="E426" s="646"/>
      <c r="F426" s="646"/>
      <c r="G426" s="646"/>
      <c r="H426" s="646"/>
      <c r="I426" s="646"/>
      <c r="J426" s="646"/>
      <c r="K426" s="646"/>
      <c r="L426" s="646"/>
      <c r="M426" s="646"/>
      <c r="N426" s="646"/>
      <c r="O426" s="647"/>
      <c r="P426" s="648" t="s">
        <v>69</v>
      </c>
      <c r="Q426" s="638"/>
      <c r="R426" s="638"/>
      <c r="S426" s="638"/>
      <c r="T426" s="638"/>
      <c r="U426" s="638"/>
      <c r="V426" s="639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6"/>
      <c r="B427" s="646"/>
      <c r="C427" s="646"/>
      <c r="D427" s="646"/>
      <c r="E427" s="646"/>
      <c r="F427" s="646"/>
      <c r="G427" s="646"/>
      <c r="H427" s="646"/>
      <c r="I427" s="646"/>
      <c r="J427" s="646"/>
      <c r="K427" s="646"/>
      <c r="L427" s="646"/>
      <c r="M427" s="646"/>
      <c r="N427" s="646"/>
      <c r="O427" s="647"/>
      <c r="P427" s="648" t="s">
        <v>69</v>
      </c>
      <c r="Q427" s="638"/>
      <c r="R427" s="638"/>
      <c r="S427" s="638"/>
      <c r="T427" s="638"/>
      <c r="U427" s="638"/>
      <c r="V427" s="639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6"/>
      <c r="C428" s="646"/>
      <c r="D428" s="646"/>
      <c r="E428" s="646"/>
      <c r="F428" s="646"/>
      <c r="G428" s="646"/>
      <c r="H428" s="646"/>
      <c r="I428" s="646"/>
      <c r="J428" s="646"/>
      <c r="K428" s="646"/>
      <c r="L428" s="646"/>
      <c r="M428" s="646"/>
      <c r="N428" s="646"/>
      <c r="O428" s="646"/>
      <c r="P428" s="646"/>
      <c r="Q428" s="646"/>
      <c r="R428" s="646"/>
      <c r="S428" s="646"/>
      <c r="T428" s="646"/>
      <c r="U428" s="646"/>
      <c r="V428" s="646"/>
      <c r="W428" s="646"/>
      <c r="X428" s="646"/>
      <c r="Y428" s="646"/>
      <c r="Z428" s="646"/>
      <c r="AA428" s="628"/>
      <c r="AB428" s="628"/>
      <c r="AC428" s="628"/>
    </row>
    <row r="429" spans="1:68" ht="14.25" hidden="1" customHeight="1" x14ac:dyDescent="0.25">
      <c r="A429" s="651" t="s">
        <v>71</v>
      </c>
      <c r="B429" s="646"/>
      <c r="C429" s="646"/>
      <c r="D429" s="646"/>
      <c r="E429" s="646"/>
      <c r="F429" s="646"/>
      <c r="G429" s="646"/>
      <c r="H429" s="646"/>
      <c r="I429" s="646"/>
      <c r="J429" s="646"/>
      <c r="K429" s="646"/>
      <c r="L429" s="646"/>
      <c r="M429" s="646"/>
      <c r="N429" s="646"/>
      <c r="O429" s="646"/>
      <c r="P429" s="646"/>
      <c r="Q429" s="646"/>
      <c r="R429" s="646"/>
      <c r="S429" s="646"/>
      <c r="T429" s="646"/>
      <c r="U429" s="646"/>
      <c r="V429" s="646"/>
      <c r="W429" s="646"/>
      <c r="X429" s="646"/>
      <c r="Y429" s="646"/>
      <c r="Z429" s="646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40">
        <v>4607091387919</v>
      </c>
      <c r="E430" s="641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3"/>
      <c r="R430" s="643"/>
      <c r="S430" s="643"/>
      <c r="T430" s="644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40">
        <v>4680115883604</v>
      </c>
      <c r="E431" s="641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8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3"/>
      <c r="R431" s="643"/>
      <c r="S431" s="643"/>
      <c r="T431" s="644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40">
        <v>4680115883567</v>
      </c>
      <c r="E432" s="641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98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3"/>
      <c r="R432" s="643"/>
      <c r="S432" s="643"/>
      <c r="T432" s="644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5"/>
      <c r="B433" s="646"/>
      <c r="C433" s="646"/>
      <c r="D433" s="646"/>
      <c r="E433" s="646"/>
      <c r="F433" s="646"/>
      <c r="G433" s="646"/>
      <c r="H433" s="646"/>
      <c r="I433" s="646"/>
      <c r="J433" s="646"/>
      <c r="K433" s="646"/>
      <c r="L433" s="646"/>
      <c r="M433" s="646"/>
      <c r="N433" s="646"/>
      <c r="O433" s="647"/>
      <c r="P433" s="648" t="s">
        <v>69</v>
      </c>
      <c r="Q433" s="638"/>
      <c r="R433" s="638"/>
      <c r="S433" s="638"/>
      <c r="T433" s="638"/>
      <c r="U433" s="638"/>
      <c r="V433" s="639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6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47"/>
      <c r="P434" s="648" t="s">
        <v>69</v>
      </c>
      <c r="Q434" s="638"/>
      <c r="R434" s="638"/>
      <c r="S434" s="638"/>
      <c r="T434" s="638"/>
      <c r="U434" s="638"/>
      <c r="V434" s="639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95" t="s">
        <v>696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48"/>
      <c r="AB435" s="48"/>
      <c r="AC435" s="48"/>
    </row>
    <row r="436" spans="1:68" ht="16.5" hidden="1" customHeight="1" x14ac:dyDescent="0.25">
      <c r="A436" s="654" t="s">
        <v>697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8"/>
      <c r="AB436" s="628"/>
      <c r="AC436" s="628"/>
    </row>
    <row r="437" spans="1:68" ht="14.25" hidden="1" customHeight="1" x14ac:dyDescent="0.25">
      <c r="A437" s="651" t="s">
        <v>119</v>
      </c>
      <c r="B437" s="646"/>
      <c r="C437" s="646"/>
      <c r="D437" s="646"/>
      <c r="E437" s="646"/>
      <c r="F437" s="646"/>
      <c r="G437" s="646"/>
      <c r="H437" s="646"/>
      <c r="I437" s="646"/>
      <c r="J437" s="646"/>
      <c r="K437" s="646"/>
      <c r="L437" s="646"/>
      <c r="M437" s="646"/>
      <c r="N437" s="646"/>
      <c r="O437" s="646"/>
      <c r="P437" s="646"/>
      <c r="Q437" s="646"/>
      <c r="R437" s="646"/>
      <c r="S437" s="646"/>
      <c r="T437" s="646"/>
      <c r="U437" s="646"/>
      <c r="V437" s="646"/>
      <c r="W437" s="646"/>
      <c r="X437" s="646"/>
      <c r="Y437" s="646"/>
      <c r="Z437" s="646"/>
      <c r="AA437" s="629"/>
      <c r="AB437" s="629"/>
      <c r="AC437" s="629"/>
    </row>
    <row r="438" spans="1:68" ht="27" customHeight="1" x14ac:dyDescent="0.25">
      <c r="A438" s="54" t="s">
        <v>698</v>
      </c>
      <c r="B438" s="54" t="s">
        <v>699</v>
      </c>
      <c r="C438" s="31">
        <v>4301012332</v>
      </c>
      <c r="D438" s="640">
        <v>4680115888401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5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3"/>
      <c r="R438" s="643"/>
      <c r="S438" s="643"/>
      <c r="T438" s="644"/>
      <c r="U438" s="34"/>
      <c r="V438" s="34"/>
      <c r="W438" s="35" t="s">
        <v>67</v>
      </c>
      <c r="X438" s="633">
        <v>205</v>
      </c>
      <c r="Y438" s="634">
        <f t="shared" ref="Y438:Y445" si="61">IFERROR(IF(X438="",0,CEILING((X438/$H438),1)*$H438),"")</f>
        <v>210</v>
      </c>
      <c r="Z438" s="36">
        <f>IFERROR(IF(Y438=0,"",ROUNDUP(Y438/H438,0)*0.02175),"")</f>
        <v>0.30449999999999999</v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211.42333333333332</v>
      </c>
      <c r="BN438" s="64">
        <f t="shared" ref="BN438:BN445" si="63">IFERROR(Y438*I438/H438,"0")</f>
        <v>216.58</v>
      </c>
      <c r="BO438" s="64">
        <f t="shared" ref="BO438:BO445" si="64">IFERROR(1/J438*(X438/H438),"0")</f>
        <v>0.28472222222222221</v>
      </c>
      <c r="BP438" s="64">
        <f t="shared" ref="BP438:BP445" si="65">IFERROR(1/J438*(Y438/H438),"0")</f>
        <v>0.29166666666666663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40">
        <v>4680115884847</v>
      </c>
      <c r="E439" s="641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6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3"/>
      <c r="R439" s="643"/>
      <c r="S439" s="643"/>
      <c r="T439" s="644"/>
      <c r="U439" s="34"/>
      <c r="V439" s="34"/>
      <c r="W439" s="35" t="s">
        <v>67</v>
      </c>
      <c r="X439" s="633">
        <v>967</v>
      </c>
      <c r="Y439" s="634">
        <f t="shared" si="61"/>
        <v>975</v>
      </c>
      <c r="Z439" s="36">
        <f>IFERROR(IF(Y439=0,"",ROUNDUP(Y439/H439,0)*0.02175),"")</f>
        <v>1.4137499999999998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997.29933333333327</v>
      </c>
      <c r="BN439" s="64">
        <f t="shared" si="63"/>
        <v>1005.55</v>
      </c>
      <c r="BO439" s="64">
        <f t="shared" si="64"/>
        <v>1.3430555555555554</v>
      </c>
      <c r="BP439" s="64">
        <f t="shared" si="65"/>
        <v>1.3541666666666665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40">
        <v>4680115884854</v>
      </c>
      <c r="E440" s="641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3"/>
      <c r="R440" s="643"/>
      <c r="S440" s="643"/>
      <c r="T440" s="644"/>
      <c r="U440" s="34"/>
      <c r="V440" s="34"/>
      <c r="W440" s="35" t="s">
        <v>67</v>
      </c>
      <c r="X440" s="633">
        <v>450</v>
      </c>
      <c r="Y440" s="634">
        <f t="shared" si="61"/>
        <v>450</v>
      </c>
      <c r="Z440" s="36">
        <f>IFERROR(IF(Y440=0,"",ROUNDUP(Y440/H440,0)*0.02175),"")</f>
        <v>0.65249999999999997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464.1</v>
      </c>
      <c r="BN440" s="64">
        <f t="shared" si="63"/>
        <v>464.1</v>
      </c>
      <c r="BO440" s="64">
        <f t="shared" si="64"/>
        <v>0.625</v>
      </c>
      <c r="BP440" s="64">
        <f t="shared" si="65"/>
        <v>0.625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40">
        <v>4680115884830</v>
      </c>
      <c r="E441" s="641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3"/>
      <c r="R441" s="643"/>
      <c r="S441" s="643"/>
      <c r="T441" s="644"/>
      <c r="U441" s="34"/>
      <c r="V441" s="34"/>
      <c r="W441" s="35" t="s">
        <v>67</v>
      </c>
      <c r="X441" s="633">
        <v>380</v>
      </c>
      <c r="Y441" s="634">
        <f t="shared" si="61"/>
        <v>390</v>
      </c>
      <c r="Z441" s="36">
        <f>IFERROR(IF(Y441=0,"",ROUNDUP(Y441/H441,0)*0.02175),"")</f>
        <v>0.5655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391.90666666666669</v>
      </c>
      <c r="BN441" s="64">
        <f t="shared" si="63"/>
        <v>402.22</v>
      </c>
      <c r="BO441" s="64">
        <f t="shared" si="64"/>
        <v>0.52777777777777768</v>
      </c>
      <c r="BP441" s="64">
        <f t="shared" si="65"/>
        <v>0.54166666666666663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40">
        <v>4680115889231</v>
      </c>
      <c r="E442" s="641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3">
        <v>1087</v>
      </c>
      <c r="Y442" s="634">
        <f t="shared" si="61"/>
        <v>1095</v>
      </c>
      <c r="Z442" s="36">
        <f>IFERROR(IF(Y442=0,"",ROUNDUP(Y442/H442,0)*0.02175),"")</f>
        <v>1.58775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1121.0593333333334</v>
      </c>
      <c r="BN442" s="64">
        <f t="shared" si="63"/>
        <v>1129.3100000000002</v>
      </c>
      <c r="BO442" s="64">
        <f t="shared" si="64"/>
        <v>1.5097222222222222</v>
      </c>
      <c r="BP442" s="64">
        <f t="shared" si="65"/>
        <v>1.5208333333333333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40">
        <v>4680115882638</v>
      </c>
      <c r="E443" s="641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40">
        <v>4680115884922</v>
      </c>
      <c r="E444" s="641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6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3"/>
      <c r="R444" s="643"/>
      <c r="S444" s="643"/>
      <c r="T444" s="644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40">
        <v>4680115884861</v>
      </c>
      <c r="E445" s="641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9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3"/>
      <c r="R445" s="643"/>
      <c r="S445" s="643"/>
      <c r="T445" s="644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5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47"/>
      <c r="P446" s="648" t="s">
        <v>69</v>
      </c>
      <c r="Q446" s="638"/>
      <c r="R446" s="638"/>
      <c r="S446" s="638"/>
      <c r="T446" s="638"/>
      <c r="U446" s="638"/>
      <c r="V446" s="639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205.93333333333334</v>
      </c>
      <c r="Y446" s="635">
        <f>IFERROR(Y438/H438,"0")+IFERROR(Y439/H439,"0")+IFERROR(Y440/H440,"0")+IFERROR(Y441/H441,"0")+IFERROR(Y442/H442,"0")+IFERROR(Y443/H443,"0")+IFERROR(Y444/H444,"0")+IFERROR(Y445/H445,"0")</f>
        <v>208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4.524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7"/>
      <c r="P447" s="648" t="s">
        <v>69</v>
      </c>
      <c r="Q447" s="638"/>
      <c r="R447" s="638"/>
      <c r="S447" s="638"/>
      <c r="T447" s="638"/>
      <c r="U447" s="638"/>
      <c r="V447" s="639"/>
      <c r="W447" s="37" t="s">
        <v>67</v>
      </c>
      <c r="X447" s="635">
        <f>IFERROR(SUM(X438:X445),"0")</f>
        <v>3089</v>
      </c>
      <c r="Y447" s="635">
        <f>IFERROR(SUM(Y438:Y445),"0")</f>
        <v>3120</v>
      </c>
      <c r="Z447" s="37"/>
      <c r="AA447" s="636"/>
      <c r="AB447" s="636"/>
      <c r="AC447" s="636"/>
    </row>
    <row r="448" spans="1:68" ht="14.25" hidden="1" customHeight="1" x14ac:dyDescent="0.25">
      <c r="A448" s="651" t="s">
        <v>154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40">
        <v>4607091383980</v>
      </c>
      <c r="E449" s="641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64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3"/>
      <c r="R449" s="643"/>
      <c r="S449" s="643"/>
      <c r="T449" s="644"/>
      <c r="U449" s="34"/>
      <c r="V449" s="34"/>
      <c r="W449" s="35" t="s">
        <v>67</v>
      </c>
      <c r="X449" s="633">
        <v>1025</v>
      </c>
      <c r="Y449" s="634">
        <f>IFERROR(IF(X449="",0,CEILING((X449/$H449),1)*$H449),"")</f>
        <v>1035</v>
      </c>
      <c r="Z449" s="36">
        <f>IFERROR(IF(Y449=0,"",ROUNDUP(Y449/H449,0)*0.02175),"")</f>
        <v>1.5007499999999998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1057.1166666666666</v>
      </c>
      <c r="BN449" s="64">
        <f>IFERROR(Y449*I449/H449,"0")</f>
        <v>1067.43</v>
      </c>
      <c r="BO449" s="64">
        <f>IFERROR(1/J449*(X449/H449),"0")</f>
        <v>1.4236111111111109</v>
      </c>
      <c r="BP449" s="64">
        <f>IFERROR(1/J449*(Y449/H449),"0")</f>
        <v>1.4375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40">
        <v>4680115888425</v>
      </c>
      <c r="E450" s="641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7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3"/>
      <c r="R450" s="643"/>
      <c r="S450" s="643"/>
      <c r="T450" s="644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40">
        <v>4607091384178</v>
      </c>
      <c r="E451" s="641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3"/>
      <c r="R451" s="643"/>
      <c r="S451" s="643"/>
      <c r="T451" s="644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5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47"/>
      <c r="P452" s="648" t="s">
        <v>69</v>
      </c>
      <c r="Q452" s="638"/>
      <c r="R452" s="638"/>
      <c r="S452" s="638"/>
      <c r="T452" s="638"/>
      <c r="U452" s="638"/>
      <c r="V452" s="639"/>
      <c r="W452" s="37" t="s">
        <v>70</v>
      </c>
      <c r="X452" s="635">
        <f>IFERROR(X449/H449,"0")+IFERROR(X450/H450,"0")+IFERROR(X451/H451,"0")</f>
        <v>68.333333333333329</v>
      </c>
      <c r="Y452" s="635">
        <f>IFERROR(Y449/H449,"0")+IFERROR(Y450/H450,"0")+IFERROR(Y451/H451,"0")</f>
        <v>69</v>
      </c>
      <c r="Z452" s="635">
        <f>IFERROR(IF(Z449="",0,Z449),"0")+IFERROR(IF(Z450="",0,Z450),"0")+IFERROR(IF(Z451="",0,Z451),"0")</f>
        <v>1.5007499999999998</v>
      </c>
      <c r="AA452" s="636"/>
      <c r="AB452" s="636"/>
      <c r="AC452" s="636"/>
    </row>
    <row r="453" spans="1:68" x14ac:dyDescent="0.2">
      <c r="A453" s="646"/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7"/>
      <c r="P453" s="648" t="s">
        <v>69</v>
      </c>
      <c r="Q453" s="638"/>
      <c r="R453" s="638"/>
      <c r="S453" s="638"/>
      <c r="T453" s="638"/>
      <c r="U453" s="638"/>
      <c r="V453" s="639"/>
      <c r="W453" s="37" t="s">
        <v>67</v>
      </c>
      <c r="X453" s="635">
        <f>IFERROR(SUM(X449:X451),"0")</f>
        <v>1025</v>
      </c>
      <c r="Y453" s="635">
        <f>IFERROR(SUM(Y449:Y451),"0")</f>
        <v>1035</v>
      </c>
      <c r="Z453" s="37"/>
      <c r="AA453" s="636"/>
      <c r="AB453" s="636"/>
      <c r="AC453" s="636"/>
    </row>
    <row r="454" spans="1:68" ht="14.25" hidden="1" customHeight="1" x14ac:dyDescent="0.25">
      <c r="A454" s="651" t="s">
        <v>71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40">
        <v>4607091383928</v>
      </c>
      <c r="E455" s="641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9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40">
        <v>4607091384260</v>
      </c>
      <c r="E456" s="641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9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3"/>
      <c r="R456" s="643"/>
      <c r="S456" s="643"/>
      <c r="T456" s="644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40">
        <v>4680115889538</v>
      </c>
      <c r="E457" s="641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3"/>
      <c r="R457" s="643"/>
      <c r="S457" s="643"/>
      <c r="T457" s="644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5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47"/>
      <c r="P458" s="648" t="s">
        <v>69</v>
      </c>
      <c r="Q458" s="638"/>
      <c r="R458" s="638"/>
      <c r="S458" s="638"/>
      <c r="T458" s="638"/>
      <c r="U458" s="638"/>
      <c r="V458" s="639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6"/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7"/>
      <c r="P459" s="648" t="s">
        <v>69</v>
      </c>
      <c r="Q459" s="638"/>
      <c r="R459" s="638"/>
      <c r="S459" s="638"/>
      <c r="T459" s="638"/>
      <c r="U459" s="638"/>
      <c r="V459" s="639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51" t="s">
        <v>172</v>
      </c>
      <c r="B460" s="646"/>
      <c r="C460" s="646"/>
      <c r="D460" s="646"/>
      <c r="E460" s="646"/>
      <c r="F460" s="646"/>
      <c r="G460" s="646"/>
      <c r="H460" s="646"/>
      <c r="I460" s="646"/>
      <c r="J460" s="646"/>
      <c r="K460" s="646"/>
      <c r="L460" s="646"/>
      <c r="M460" s="646"/>
      <c r="N460" s="646"/>
      <c r="O460" s="646"/>
      <c r="P460" s="646"/>
      <c r="Q460" s="646"/>
      <c r="R460" s="646"/>
      <c r="S460" s="646"/>
      <c r="T460" s="646"/>
      <c r="U460" s="646"/>
      <c r="V460" s="646"/>
      <c r="W460" s="646"/>
      <c r="X460" s="646"/>
      <c r="Y460" s="646"/>
      <c r="Z460" s="646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40">
        <v>4680115889545</v>
      </c>
      <c r="E461" s="641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77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3"/>
      <c r="R461" s="643"/>
      <c r="S461" s="643"/>
      <c r="T461" s="644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customHeight="1" x14ac:dyDescent="0.25">
      <c r="A462" s="54" t="s">
        <v>743</v>
      </c>
      <c r="B462" s="54" t="s">
        <v>744</v>
      </c>
      <c r="C462" s="31">
        <v>4301060524</v>
      </c>
      <c r="D462" s="640">
        <v>4607091384673</v>
      </c>
      <c r="E462" s="641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7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3"/>
      <c r="R462" s="643"/>
      <c r="S462" s="643"/>
      <c r="T462" s="644"/>
      <c r="U462" s="34"/>
      <c r="V462" s="34"/>
      <c r="W462" s="35" t="s">
        <v>67</v>
      </c>
      <c r="X462" s="633">
        <v>29</v>
      </c>
      <c r="Y462" s="634">
        <f>IFERROR(IF(X462="",0,CEILING((X462/$H462),1)*$H462),"")</f>
        <v>36</v>
      </c>
      <c r="Z462" s="36">
        <f>IFERROR(IF(Y462=0,"",ROUNDUP(Y462/H462,0)*0.01898),"")</f>
        <v>7.5920000000000001E-2</v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30.591777777777779</v>
      </c>
      <c r="BN462" s="64">
        <f>IFERROR(Y462*I462/H462,"0")</f>
        <v>37.975999999999999</v>
      </c>
      <c r="BO462" s="64">
        <f>IFERROR(1/J462*(X462/H462),"0")</f>
        <v>5.0347222222222224E-2</v>
      </c>
      <c r="BP462" s="64">
        <f>IFERROR(1/J462*(Y462/H462),"0")</f>
        <v>6.25E-2</v>
      </c>
    </row>
    <row r="463" spans="1:68" x14ac:dyDescent="0.2">
      <c r="A463" s="645"/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7"/>
      <c r="P463" s="648" t="s">
        <v>69</v>
      </c>
      <c r="Q463" s="638"/>
      <c r="R463" s="638"/>
      <c r="S463" s="638"/>
      <c r="T463" s="638"/>
      <c r="U463" s="638"/>
      <c r="V463" s="639"/>
      <c r="W463" s="37" t="s">
        <v>70</v>
      </c>
      <c r="X463" s="635">
        <f>IFERROR(X461/H461,"0")+IFERROR(X462/H462,"0")</f>
        <v>3.2222222222222223</v>
      </c>
      <c r="Y463" s="635">
        <f>IFERROR(Y461/H461,"0")+IFERROR(Y462/H462,"0")</f>
        <v>4</v>
      </c>
      <c r="Z463" s="635">
        <f>IFERROR(IF(Z461="",0,Z461),"0")+IFERROR(IF(Z462="",0,Z462),"0")</f>
        <v>7.5920000000000001E-2</v>
      </c>
      <c r="AA463" s="636"/>
      <c r="AB463" s="636"/>
      <c r="AC463" s="636"/>
    </row>
    <row r="464" spans="1:68" x14ac:dyDescent="0.2">
      <c r="A464" s="646"/>
      <c r="B464" s="646"/>
      <c r="C464" s="646"/>
      <c r="D464" s="646"/>
      <c r="E464" s="646"/>
      <c r="F464" s="646"/>
      <c r="G464" s="646"/>
      <c r="H464" s="646"/>
      <c r="I464" s="646"/>
      <c r="J464" s="646"/>
      <c r="K464" s="646"/>
      <c r="L464" s="646"/>
      <c r="M464" s="646"/>
      <c r="N464" s="646"/>
      <c r="O464" s="647"/>
      <c r="P464" s="648" t="s">
        <v>69</v>
      </c>
      <c r="Q464" s="638"/>
      <c r="R464" s="638"/>
      <c r="S464" s="638"/>
      <c r="T464" s="638"/>
      <c r="U464" s="638"/>
      <c r="V464" s="639"/>
      <c r="W464" s="37" t="s">
        <v>67</v>
      </c>
      <c r="X464" s="635">
        <f>IFERROR(SUM(X461:X462),"0")</f>
        <v>29</v>
      </c>
      <c r="Y464" s="635">
        <f>IFERROR(SUM(Y461:Y462),"0")</f>
        <v>36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6"/>
      <c r="C465" s="646"/>
      <c r="D465" s="646"/>
      <c r="E465" s="646"/>
      <c r="F465" s="646"/>
      <c r="G465" s="646"/>
      <c r="H465" s="646"/>
      <c r="I465" s="646"/>
      <c r="J465" s="646"/>
      <c r="K465" s="646"/>
      <c r="L465" s="646"/>
      <c r="M465" s="646"/>
      <c r="N465" s="646"/>
      <c r="O465" s="646"/>
      <c r="P465" s="646"/>
      <c r="Q465" s="646"/>
      <c r="R465" s="646"/>
      <c r="S465" s="646"/>
      <c r="T465" s="646"/>
      <c r="U465" s="646"/>
      <c r="V465" s="646"/>
      <c r="W465" s="646"/>
      <c r="X465" s="646"/>
      <c r="Y465" s="646"/>
      <c r="Z465" s="646"/>
      <c r="AA465" s="628"/>
      <c r="AB465" s="628"/>
      <c r="AC465" s="628"/>
    </row>
    <row r="466" spans="1:68" ht="14.25" hidden="1" customHeight="1" x14ac:dyDescent="0.25">
      <c r="A466" s="651" t="s">
        <v>119</v>
      </c>
      <c r="B466" s="646"/>
      <c r="C466" s="646"/>
      <c r="D466" s="646"/>
      <c r="E466" s="646"/>
      <c r="F466" s="646"/>
      <c r="G466" s="646"/>
      <c r="H466" s="646"/>
      <c r="I466" s="646"/>
      <c r="J466" s="646"/>
      <c r="K466" s="646"/>
      <c r="L466" s="646"/>
      <c r="M466" s="646"/>
      <c r="N466" s="646"/>
      <c r="O466" s="646"/>
      <c r="P466" s="646"/>
      <c r="Q466" s="646"/>
      <c r="R466" s="646"/>
      <c r="S466" s="646"/>
      <c r="T466" s="646"/>
      <c r="U466" s="646"/>
      <c r="V466" s="646"/>
      <c r="W466" s="646"/>
      <c r="X466" s="646"/>
      <c r="Y466" s="646"/>
      <c r="Z466" s="646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40">
        <v>4680115884885</v>
      </c>
      <c r="E467" s="641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9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3"/>
      <c r="R467" s="643"/>
      <c r="S467" s="643"/>
      <c r="T467" s="644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40">
        <v>4680115884908</v>
      </c>
      <c r="E468" s="641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9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3"/>
      <c r="R468" s="643"/>
      <c r="S468" s="643"/>
      <c r="T468" s="644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5"/>
      <c r="B469" s="646"/>
      <c r="C469" s="646"/>
      <c r="D469" s="646"/>
      <c r="E469" s="646"/>
      <c r="F469" s="646"/>
      <c r="G469" s="646"/>
      <c r="H469" s="646"/>
      <c r="I469" s="646"/>
      <c r="J469" s="646"/>
      <c r="K469" s="646"/>
      <c r="L469" s="646"/>
      <c r="M469" s="646"/>
      <c r="N469" s="646"/>
      <c r="O469" s="647"/>
      <c r="P469" s="648" t="s">
        <v>69</v>
      </c>
      <c r="Q469" s="638"/>
      <c r="R469" s="638"/>
      <c r="S469" s="638"/>
      <c r="T469" s="638"/>
      <c r="U469" s="638"/>
      <c r="V469" s="639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6"/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7"/>
      <c r="P470" s="648" t="s">
        <v>69</v>
      </c>
      <c r="Q470" s="638"/>
      <c r="R470" s="638"/>
      <c r="S470" s="638"/>
      <c r="T470" s="638"/>
      <c r="U470" s="638"/>
      <c r="V470" s="639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51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40">
        <v>4607091384802</v>
      </c>
      <c r="E472" s="641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3"/>
      <c r="R472" s="643"/>
      <c r="S472" s="643"/>
      <c r="T472" s="644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5"/>
      <c r="B473" s="646"/>
      <c r="C473" s="646"/>
      <c r="D473" s="646"/>
      <c r="E473" s="646"/>
      <c r="F473" s="646"/>
      <c r="G473" s="646"/>
      <c r="H473" s="646"/>
      <c r="I473" s="646"/>
      <c r="J473" s="646"/>
      <c r="K473" s="646"/>
      <c r="L473" s="646"/>
      <c r="M473" s="646"/>
      <c r="N473" s="646"/>
      <c r="O473" s="647"/>
      <c r="P473" s="648" t="s">
        <v>69</v>
      </c>
      <c r="Q473" s="638"/>
      <c r="R473" s="638"/>
      <c r="S473" s="638"/>
      <c r="T473" s="638"/>
      <c r="U473" s="638"/>
      <c r="V473" s="639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6"/>
      <c r="B474" s="646"/>
      <c r="C474" s="646"/>
      <c r="D474" s="646"/>
      <c r="E474" s="646"/>
      <c r="F474" s="646"/>
      <c r="G474" s="646"/>
      <c r="H474" s="646"/>
      <c r="I474" s="646"/>
      <c r="J474" s="646"/>
      <c r="K474" s="646"/>
      <c r="L474" s="646"/>
      <c r="M474" s="646"/>
      <c r="N474" s="646"/>
      <c r="O474" s="647"/>
      <c r="P474" s="648" t="s">
        <v>69</v>
      </c>
      <c r="Q474" s="638"/>
      <c r="R474" s="638"/>
      <c r="S474" s="638"/>
      <c r="T474" s="638"/>
      <c r="U474" s="638"/>
      <c r="V474" s="639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51" t="s">
        <v>71</v>
      </c>
      <c r="B475" s="646"/>
      <c r="C475" s="646"/>
      <c r="D475" s="646"/>
      <c r="E475" s="646"/>
      <c r="F475" s="646"/>
      <c r="G475" s="646"/>
      <c r="H475" s="646"/>
      <c r="I475" s="646"/>
      <c r="J475" s="646"/>
      <c r="K475" s="646"/>
      <c r="L475" s="646"/>
      <c r="M475" s="646"/>
      <c r="N475" s="646"/>
      <c r="O475" s="646"/>
      <c r="P475" s="646"/>
      <c r="Q475" s="646"/>
      <c r="R475" s="646"/>
      <c r="S475" s="646"/>
      <c r="T475" s="646"/>
      <c r="U475" s="646"/>
      <c r="V475" s="646"/>
      <c r="W475" s="646"/>
      <c r="X475" s="646"/>
      <c r="Y475" s="646"/>
      <c r="Z475" s="646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40">
        <v>4607091384246</v>
      </c>
      <c r="E476" s="641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3">
        <v>632</v>
      </c>
      <c r="Y476" s="634">
        <f>IFERROR(IF(X476="",0,CEILING((X476/$H476),1)*$H476),"")</f>
        <v>639</v>
      </c>
      <c r="Z476" s="36">
        <f>IFERROR(IF(Y476=0,"",ROUNDUP(Y476/H476,0)*0.01898),"")</f>
        <v>1.34758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666.68977777777775</v>
      </c>
      <c r="BN476" s="64">
        <f>IFERROR(Y476*I476/H476,"0")</f>
        <v>674.07400000000007</v>
      </c>
      <c r="BO476" s="64">
        <f>IFERROR(1/J476*(X476/H476),"0")</f>
        <v>1.0972222222222223</v>
      </c>
      <c r="BP476" s="64">
        <f>IFERROR(1/J476*(Y476/H476),"0")</f>
        <v>1.109375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40">
        <v>4607091384253</v>
      </c>
      <c r="E477" s="641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3"/>
      <c r="R477" s="643"/>
      <c r="S477" s="643"/>
      <c r="T477" s="644"/>
      <c r="U477" s="34"/>
      <c r="V477" s="34"/>
      <c r="W477" s="35" t="s">
        <v>67</v>
      </c>
      <c r="X477" s="633">
        <v>2</v>
      </c>
      <c r="Y477" s="634">
        <f>IFERROR(IF(X477="",0,CEILING((X477/$H477),1)*$H477),"")</f>
        <v>2.4</v>
      </c>
      <c r="Z477" s="36">
        <f>IFERROR(IF(Y477=0,"",ROUNDUP(Y477/H477,0)*0.00651),"")</f>
        <v>6.5100000000000002E-3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2.2200000000000002</v>
      </c>
      <c r="BN477" s="64">
        <f>IFERROR(Y477*I477/H477,"0")</f>
        <v>2.6640000000000001</v>
      </c>
      <c r="BO477" s="64">
        <f>IFERROR(1/J477*(X477/H477),"0")</f>
        <v>4.578754578754579E-3</v>
      </c>
      <c r="BP477" s="64">
        <f>IFERROR(1/J477*(Y477/H477),"0")</f>
        <v>5.4945054945054949E-3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40">
        <v>4607091384253</v>
      </c>
      <c r="E478" s="641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74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3"/>
      <c r="R478" s="643"/>
      <c r="S478" s="643"/>
      <c r="T478" s="644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5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7"/>
      <c r="P479" s="648" t="s">
        <v>69</v>
      </c>
      <c r="Q479" s="638"/>
      <c r="R479" s="638"/>
      <c r="S479" s="638"/>
      <c r="T479" s="638"/>
      <c r="U479" s="638"/>
      <c r="V479" s="639"/>
      <c r="W479" s="37" t="s">
        <v>70</v>
      </c>
      <c r="X479" s="635">
        <f>IFERROR(X476/H476,"0")+IFERROR(X477/H477,"0")+IFERROR(X478/H478,"0")</f>
        <v>71.055555555555557</v>
      </c>
      <c r="Y479" s="635">
        <f>IFERROR(Y476/H476,"0")+IFERROR(Y477/H477,"0")+IFERROR(Y478/H478,"0")</f>
        <v>72</v>
      </c>
      <c r="Z479" s="635">
        <f>IFERROR(IF(Z476="",0,Z476),"0")+IFERROR(IF(Z477="",0,Z477),"0")+IFERROR(IF(Z478="",0,Z478),"0")</f>
        <v>1.35409</v>
      </c>
      <c r="AA479" s="636"/>
      <c r="AB479" s="636"/>
      <c r="AC479" s="636"/>
    </row>
    <row r="480" spans="1:68" x14ac:dyDescent="0.2">
      <c r="A480" s="646"/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7"/>
      <c r="P480" s="648" t="s">
        <v>69</v>
      </c>
      <c r="Q480" s="638"/>
      <c r="R480" s="638"/>
      <c r="S480" s="638"/>
      <c r="T480" s="638"/>
      <c r="U480" s="638"/>
      <c r="V480" s="639"/>
      <c r="W480" s="37" t="s">
        <v>67</v>
      </c>
      <c r="X480" s="635">
        <f>IFERROR(SUM(X476:X478),"0")</f>
        <v>634</v>
      </c>
      <c r="Y480" s="635">
        <f>IFERROR(SUM(Y476:Y478),"0")</f>
        <v>641.4</v>
      </c>
      <c r="Z480" s="37"/>
      <c r="AA480" s="636"/>
      <c r="AB480" s="636"/>
      <c r="AC480" s="636"/>
    </row>
    <row r="481" spans="1:68" ht="27.75" hidden="1" customHeight="1" x14ac:dyDescent="0.2">
      <c r="A481" s="695" t="s">
        <v>762</v>
      </c>
      <c r="B481" s="696"/>
      <c r="C481" s="696"/>
      <c r="D481" s="696"/>
      <c r="E481" s="696"/>
      <c r="F481" s="696"/>
      <c r="G481" s="696"/>
      <c r="H481" s="696"/>
      <c r="I481" s="696"/>
      <c r="J481" s="696"/>
      <c r="K481" s="696"/>
      <c r="L481" s="696"/>
      <c r="M481" s="696"/>
      <c r="N481" s="696"/>
      <c r="O481" s="696"/>
      <c r="P481" s="696"/>
      <c r="Q481" s="696"/>
      <c r="R481" s="696"/>
      <c r="S481" s="696"/>
      <c r="T481" s="696"/>
      <c r="U481" s="696"/>
      <c r="V481" s="696"/>
      <c r="W481" s="696"/>
      <c r="X481" s="696"/>
      <c r="Y481" s="696"/>
      <c r="Z481" s="696"/>
      <c r="AA481" s="48"/>
      <c r="AB481" s="48"/>
      <c r="AC481" s="48"/>
    </row>
    <row r="482" spans="1:68" ht="16.5" hidden="1" customHeight="1" x14ac:dyDescent="0.25">
      <c r="A482" s="654" t="s">
        <v>763</v>
      </c>
      <c r="B482" s="646"/>
      <c r="C482" s="646"/>
      <c r="D482" s="646"/>
      <c r="E482" s="646"/>
      <c r="F482" s="646"/>
      <c r="G482" s="646"/>
      <c r="H482" s="646"/>
      <c r="I482" s="646"/>
      <c r="J482" s="646"/>
      <c r="K482" s="646"/>
      <c r="L482" s="646"/>
      <c r="M482" s="646"/>
      <c r="N482" s="646"/>
      <c r="O482" s="646"/>
      <c r="P482" s="646"/>
      <c r="Q482" s="646"/>
      <c r="R482" s="646"/>
      <c r="S482" s="646"/>
      <c r="T482" s="646"/>
      <c r="U482" s="646"/>
      <c r="V482" s="646"/>
      <c r="W482" s="646"/>
      <c r="X482" s="646"/>
      <c r="Y482" s="646"/>
      <c r="Z482" s="646"/>
      <c r="AA482" s="628"/>
      <c r="AB482" s="628"/>
      <c r="AC482" s="628"/>
    </row>
    <row r="483" spans="1:68" ht="14.25" hidden="1" customHeight="1" x14ac:dyDescent="0.25">
      <c r="A483" s="651" t="s">
        <v>62</v>
      </c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46"/>
      <c r="P483" s="646"/>
      <c r="Q483" s="646"/>
      <c r="R483" s="646"/>
      <c r="S483" s="646"/>
      <c r="T483" s="646"/>
      <c r="U483" s="646"/>
      <c r="V483" s="646"/>
      <c r="W483" s="646"/>
      <c r="X483" s="646"/>
      <c r="Y483" s="646"/>
      <c r="Z483" s="646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40">
        <v>4680115886100</v>
      </c>
      <c r="E484" s="641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6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3"/>
      <c r="R484" s="643"/>
      <c r="S484" s="643"/>
      <c r="T484" s="644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40">
        <v>4680115886124</v>
      </c>
      <c r="E485" s="641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40">
        <v>4607091384338</v>
      </c>
      <c r="E486" s="641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7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40">
        <v>4680115883161</v>
      </c>
      <c r="E487" s="641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3"/>
      <c r="R487" s="643"/>
      <c r="S487" s="643"/>
      <c r="T487" s="644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40">
        <v>4607091389531</v>
      </c>
      <c r="E488" s="641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7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3"/>
      <c r="R488" s="643"/>
      <c r="S488" s="643"/>
      <c r="T488" s="644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40">
        <v>4607091384345</v>
      </c>
      <c r="E489" s="641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3"/>
      <c r="R489" s="643"/>
      <c r="S489" s="643"/>
      <c r="T489" s="644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5"/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7"/>
      <c r="P490" s="648" t="s">
        <v>69</v>
      </c>
      <c r="Q490" s="638"/>
      <c r="R490" s="638"/>
      <c r="S490" s="638"/>
      <c r="T490" s="638"/>
      <c r="U490" s="638"/>
      <c r="V490" s="639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6"/>
      <c r="B491" s="646"/>
      <c r="C491" s="646"/>
      <c r="D491" s="646"/>
      <c r="E491" s="646"/>
      <c r="F491" s="646"/>
      <c r="G491" s="646"/>
      <c r="H491" s="646"/>
      <c r="I491" s="646"/>
      <c r="J491" s="646"/>
      <c r="K491" s="646"/>
      <c r="L491" s="646"/>
      <c r="M491" s="646"/>
      <c r="N491" s="646"/>
      <c r="O491" s="647"/>
      <c r="P491" s="648" t="s">
        <v>69</v>
      </c>
      <c r="Q491" s="638"/>
      <c r="R491" s="638"/>
      <c r="S491" s="638"/>
      <c r="T491" s="638"/>
      <c r="U491" s="638"/>
      <c r="V491" s="639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51" t="s">
        <v>71</v>
      </c>
      <c r="B492" s="646"/>
      <c r="C492" s="646"/>
      <c r="D492" s="646"/>
      <c r="E492" s="646"/>
      <c r="F492" s="646"/>
      <c r="G492" s="646"/>
      <c r="H492" s="646"/>
      <c r="I492" s="646"/>
      <c r="J492" s="646"/>
      <c r="K492" s="646"/>
      <c r="L492" s="646"/>
      <c r="M492" s="646"/>
      <c r="N492" s="646"/>
      <c r="O492" s="646"/>
      <c r="P492" s="646"/>
      <c r="Q492" s="646"/>
      <c r="R492" s="646"/>
      <c r="S492" s="646"/>
      <c r="T492" s="646"/>
      <c r="U492" s="646"/>
      <c r="V492" s="646"/>
      <c r="W492" s="646"/>
      <c r="X492" s="646"/>
      <c r="Y492" s="646"/>
      <c r="Z492" s="646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40">
        <v>4607091384352</v>
      </c>
      <c r="E493" s="641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89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3"/>
      <c r="R493" s="643"/>
      <c r="S493" s="643"/>
      <c r="T493" s="644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5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47"/>
      <c r="P494" s="648" t="s">
        <v>69</v>
      </c>
      <c r="Q494" s="638"/>
      <c r="R494" s="638"/>
      <c r="S494" s="638"/>
      <c r="T494" s="638"/>
      <c r="U494" s="638"/>
      <c r="V494" s="639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47"/>
      <c r="P495" s="648" t="s">
        <v>69</v>
      </c>
      <c r="Q495" s="638"/>
      <c r="R495" s="638"/>
      <c r="S495" s="638"/>
      <c r="T495" s="638"/>
      <c r="U495" s="638"/>
      <c r="V495" s="639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6"/>
      <c r="C496" s="646"/>
      <c r="D496" s="646"/>
      <c r="E496" s="646"/>
      <c r="F496" s="646"/>
      <c r="G496" s="646"/>
      <c r="H496" s="646"/>
      <c r="I496" s="646"/>
      <c r="J496" s="646"/>
      <c r="K496" s="646"/>
      <c r="L496" s="646"/>
      <c r="M496" s="646"/>
      <c r="N496" s="646"/>
      <c r="O496" s="646"/>
      <c r="P496" s="646"/>
      <c r="Q496" s="646"/>
      <c r="R496" s="646"/>
      <c r="S496" s="646"/>
      <c r="T496" s="646"/>
      <c r="U496" s="646"/>
      <c r="V496" s="646"/>
      <c r="W496" s="646"/>
      <c r="X496" s="646"/>
      <c r="Y496" s="646"/>
      <c r="Z496" s="646"/>
      <c r="AA496" s="628"/>
      <c r="AB496" s="628"/>
      <c r="AC496" s="628"/>
    </row>
    <row r="497" spans="1:68" ht="14.25" hidden="1" customHeight="1" x14ac:dyDescent="0.25">
      <c r="A497" s="651" t="s">
        <v>154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40">
        <v>4680115885240</v>
      </c>
      <c r="E498" s="641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9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3"/>
      <c r="R498" s="643"/>
      <c r="S498" s="643"/>
      <c r="T498" s="644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5"/>
      <c r="B499" s="646"/>
      <c r="C499" s="646"/>
      <c r="D499" s="646"/>
      <c r="E499" s="646"/>
      <c r="F499" s="646"/>
      <c r="G499" s="646"/>
      <c r="H499" s="646"/>
      <c r="I499" s="646"/>
      <c r="J499" s="646"/>
      <c r="K499" s="646"/>
      <c r="L499" s="646"/>
      <c r="M499" s="646"/>
      <c r="N499" s="646"/>
      <c r="O499" s="647"/>
      <c r="P499" s="648" t="s">
        <v>69</v>
      </c>
      <c r="Q499" s="638"/>
      <c r="R499" s="638"/>
      <c r="S499" s="638"/>
      <c r="T499" s="638"/>
      <c r="U499" s="638"/>
      <c r="V499" s="639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6"/>
      <c r="B500" s="646"/>
      <c r="C500" s="646"/>
      <c r="D500" s="646"/>
      <c r="E500" s="646"/>
      <c r="F500" s="646"/>
      <c r="G500" s="646"/>
      <c r="H500" s="646"/>
      <c r="I500" s="646"/>
      <c r="J500" s="646"/>
      <c r="K500" s="646"/>
      <c r="L500" s="646"/>
      <c r="M500" s="646"/>
      <c r="N500" s="646"/>
      <c r="O500" s="647"/>
      <c r="P500" s="648" t="s">
        <v>69</v>
      </c>
      <c r="Q500" s="638"/>
      <c r="R500" s="638"/>
      <c r="S500" s="638"/>
      <c r="T500" s="638"/>
      <c r="U500" s="638"/>
      <c r="V500" s="639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51" t="s">
        <v>62</v>
      </c>
      <c r="B501" s="646"/>
      <c r="C501" s="646"/>
      <c r="D501" s="646"/>
      <c r="E501" s="646"/>
      <c r="F501" s="646"/>
      <c r="G501" s="646"/>
      <c r="H501" s="646"/>
      <c r="I501" s="646"/>
      <c r="J501" s="646"/>
      <c r="K501" s="646"/>
      <c r="L501" s="646"/>
      <c r="M501" s="646"/>
      <c r="N501" s="646"/>
      <c r="O501" s="646"/>
      <c r="P501" s="646"/>
      <c r="Q501" s="646"/>
      <c r="R501" s="646"/>
      <c r="S501" s="646"/>
      <c r="T501" s="646"/>
      <c r="U501" s="646"/>
      <c r="V501" s="646"/>
      <c r="W501" s="646"/>
      <c r="X501" s="646"/>
      <c r="Y501" s="646"/>
      <c r="Z501" s="646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40">
        <v>4680115886094</v>
      </c>
      <c r="E502" s="641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9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3"/>
      <c r="R502" s="643"/>
      <c r="S502" s="643"/>
      <c r="T502" s="644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40">
        <v>4680115880771</v>
      </c>
      <c r="E503" s="641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3"/>
      <c r="R503" s="643"/>
      <c r="S503" s="643"/>
      <c r="T503" s="644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40">
        <v>4607091389500</v>
      </c>
      <c r="E504" s="641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3"/>
      <c r="R504" s="643"/>
      <c r="S504" s="643"/>
      <c r="T504" s="644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5"/>
      <c r="B505" s="646"/>
      <c r="C505" s="646"/>
      <c r="D505" s="646"/>
      <c r="E505" s="646"/>
      <c r="F505" s="646"/>
      <c r="G505" s="646"/>
      <c r="H505" s="646"/>
      <c r="I505" s="646"/>
      <c r="J505" s="646"/>
      <c r="K505" s="646"/>
      <c r="L505" s="646"/>
      <c r="M505" s="646"/>
      <c r="N505" s="646"/>
      <c r="O505" s="647"/>
      <c r="P505" s="648" t="s">
        <v>69</v>
      </c>
      <c r="Q505" s="638"/>
      <c r="R505" s="638"/>
      <c r="S505" s="638"/>
      <c r="T505" s="638"/>
      <c r="U505" s="638"/>
      <c r="V505" s="639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6"/>
      <c r="B506" s="646"/>
      <c r="C506" s="646"/>
      <c r="D506" s="646"/>
      <c r="E506" s="646"/>
      <c r="F506" s="646"/>
      <c r="G506" s="646"/>
      <c r="H506" s="646"/>
      <c r="I506" s="646"/>
      <c r="J506" s="646"/>
      <c r="K506" s="646"/>
      <c r="L506" s="646"/>
      <c r="M506" s="646"/>
      <c r="N506" s="646"/>
      <c r="O506" s="647"/>
      <c r="P506" s="648" t="s">
        <v>69</v>
      </c>
      <c r="Q506" s="638"/>
      <c r="R506" s="638"/>
      <c r="S506" s="638"/>
      <c r="T506" s="638"/>
      <c r="U506" s="638"/>
      <c r="V506" s="639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95" t="s">
        <v>795</v>
      </c>
      <c r="B507" s="696"/>
      <c r="C507" s="696"/>
      <c r="D507" s="696"/>
      <c r="E507" s="696"/>
      <c r="F507" s="696"/>
      <c r="G507" s="696"/>
      <c r="H507" s="696"/>
      <c r="I507" s="696"/>
      <c r="J507" s="696"/>
      <c r="K507" s="696"/>
      <c r="L507" s="696"/>
      <c r="M507" s="696"/>
      <c r="N507" s="696"/>
      <c r="O507" s="696"/>
      <c r="P507" s="696"/>
      <c r="Q507" s="696"/>
      <c r="R507" s="696"/>
      <c r="S507" s="696"/>
      <c r="T507" s="696"/>
      <c r="U507" s="696"/>
      <c r="V507" s="696"/>
      <c r="W507" s="696"/>
      <c r="X507" s="696"/>
      <c r="Y507" s="696"/>
      <c r="Z507" s="696"/>
      <c r="AA507" s="48"/>
      <c r="AB507" s="48"/>
      <c r="AC507" s="48"/>
    </row>
    <row r="508" spans="1:68" ht="16.5" hidden="1" customHeight="1" x14ac:dyDescent="0.25">
      <c r="A508" s="654" t="s">
        <v>795</v>
      </c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46"/>
      <c r="P508" s="646"/>
      <c r="Q508" s="646"/>
      <c r="R508" s="646"/>
      <c r="S508" s="646"/>
      <c r="T508" s="646"/>
      <c r="U508" s="646"/>
      <c r="V508" s="646"/>
      <c r="W508" s="646"/>
      <c r="X508" s="646"/>
      <c r="Y508" s="646"/>
      <c r="Z508" s="646"/>
      <c r="AA508" s="628"/>
      <c r="AB508" s="628"/>
      <c r="AC508" s="628"/>
    </row>
    <row r="509" spans="1:68" ht="14.25" hidden="1" customHeight="1" x14ac:dyDescent="0.25">
      <c r="A509" s="651" t="s">
        <v>119</v>
      </c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46"/>
      <c r="P509" s="646"/>
      <c r="Q509" s="646"/>
      <c r="R509" s="646"/>
      <c r="S509" s="646"/>
      <c r="T509" s="646"/>
      <c r="U509" s="646"/>
      <c r="V509" s="646"/>
      <c r="W509" s="646"/>
      <c r="X509" s="646"/>
      <c r="Y509" s="646"/>
      <c r="Z509" s="646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40">
        <v>4607091389067</v>
      </c>
      <c r="E510" s="641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3"/>
      <c r="R510" s="643"/>
      <c r="S510" s="643"/>
      <c r="T510" s="644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40">
        <v>4680115889576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3"/>
      <c r="R511" s="643"/>
      <c r="S511" s="643"/>
      <c r="T511" s="644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40">
        <v>4680115885271</v>
      </c>
      <c r="E512" s="641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3">
        <v>83</v>
      </c>
      <c r="Y512" s="634">
        <f t="shared" si="71"/>
        <v>84.48</v>
      </c>
      <c r="Z512" s="36">
        <f>IFERROR(IF(Y512=0,"",ROUNDUP(Y512/H512,0)*0.01196),"")</f>
        <v>0.19136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88.501893939393923</v>
      </c>
      <c r="BN512" s="64">
        <f t="shared" si="73"/>
        <v>90.08</v>
      </c>
      <c r="BO512" s="64">
        <f t="shared" si="74"/>
        <v>0.15115093240093241</v>
      </c>
      <c r="BP512" s="64">
        <f t="shared" si="75"/>
        <v>0.15384615384615385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40">
        <v>4680115885226</v>
      </c>
      <c r="E513" s="641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8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3"/>
      <c r="R513" s="643"/>
      <c r="S513" s="643"/>
      <c r="T513" s="644"/>
      <c r="U513" s="34"/>
      <c r="V513" s="34"/>
      <c r="W513" s="35" t="s">
        <v>67</v>
      </c>
      <c r="X513" s="633">
        <v>264</v>
      </c>
      <c r="Y513" s="634">
        <f t="shared" si="71"/>
        <v>264</v>
      </c>
      <c r="Z513" s="36">
        <f>IFERROR(IF(Y513=0,"",ROUNDUP(Y513/H513,0)*0.01196),"")</f>
        <v>0.59799999999999998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281.5</v>
      </c>
      <c r="BN513" s="64">
        <f t="shared" si="73"/>
        <v>281.5</v>
      </c>
      <c r="BO513" s="64">
        <f t="shared" si="74"/>
        <v>0.48076923076923078</v>
      </c>
      <c r="BP513" s="64">
        <f t="shared" si="75"/>
        <v>0.48076923076923078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40">
        <v>4607091389104</v>
      </c>
      <c r="E514" s="641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3">
        <v>400</v>
      </c>
      <c r="Y514" s="634">
        <f t="shared" si="71"/>
        <v>401.28000000000003</v>
      </c>
      <c r="Z514" s="36">
        <f>IFERROR(IF(Y514=0,"",ROUNDUP(Y514/H514,0)*0.01196),"")</f>
        <v>0.90895999999999999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426.5151515151515</v>
      </c>
      <c r="BN514" s="64">
        <f t="shared" si="73"/>
        <v>427.88</v>
      </c>
      <c r="BO514" s="64">
        <f t="shared" si="74"/>
        <v>0.72843822843822836</v>
      </c>
      <c r="BP514" s="64">
        <f t="shared" si="75"/>
        <v>0.73076923076923084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40">
        <v>4680115886391</v>
      </c>
      <c r="E515" s="641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3"/>
      <c r="R515" s="643"/>
      <c r="S515" s="643"/>
      <c r="T515" s="644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4301012048</v>
      </c>
      <c r="D516" s="640">
        <v>4680115880603</v>
      </c>
      <c r="E516" s="641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3"/>
      <c r="R516" s="643"/>
      <c r="S516" s="643"/>
      <c r="T516" s="644"/>
      <c r="U516" s="34"/>
      <c r="V516" s="34"/>
      <c r="W516" s="35" t="s">
        <v>67</v>
      </c>
      <c r="X516" s="633">
        <v>50</v>
      </c>
      <c r="Y516" s="634">
        <f t="shared" si="71"/>
        <v>52.8</v>
      </c>
      <c r="Z516" s="36">
        <f>IFERROR(IF(Y516=0,"",ROUNDUP(Y516/H516,0)*0.00902),"")</f>
        <v>9.9220000000000003E-2</v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71.979166666666671</v>
      </c>
      <c r="BN516" s="64">
        <f t="shared" si="73"/>
        <v>76.010000000000005</v>
      </c>
      <c r="BO516" s="64">
        <f t="shared" si="74"/>
        <v>7.8914141414141423E-2</v>
      </c>
      <c r="BP516" s="64">
        <f t="shared" si="75"/>
        <v>8.3333333333333343E-2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40">
        <v>4607091389982</v>
      </c>
      <c r="E517" s="641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3"/>
      <c r="R517" s="643"/>
      <c r="S517" s="643"/>
      <c r="T517" s="644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5"/>
      <c r="B518" s="646"/>
      <c r="C518" s="646"/>
      <c r="D518" s="646"/>
      <c r="E518" s="646"/>
      <c r="F518" s="646"/>
      <c r="G518" s="646"/>
      <c r="H518" s="646"/>
      <c r="I518" s="646"/>
      <c r="J518" s="646"/>
      <c r="K518" s="646"/>
      <c r="L518" s="646"/>
      <c r="M518" s="646"/>
      <c r="N518" s="646"/>
      <c r="O518" s="647"/>
      <c r="P518" s="648" t="s">
        <v>69</v>
      </c>
      <c r="Q518" s="638"/>
      <c r="R518" s="638"/>
      <c r="S518" s="638"/>
      <c r="T518" s="638"/>
      <c r="U518" s="638"/>
      <c r="V518" s="639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151.89393939393938</v>
      </c>
      <c r="Y518" s="635">
        <f>IFERROR(Y510/H510,"0")+IFERROR(Y511/H511,"0")+IFERROR(Y512/H512,"0")+IFERROR(Y513/H513,"0")+IFERROR(Y514/H514,"0")+IFERROR(Y515/H515,"0")+IFERROR(Y516/H516,"0")+IFERROR(Y517/H517,"0")</f>
        <v>153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1.7975399999999999</v>
      </c>
      <c r="AA518" s="636"/>
      <c r="AB518" s="636"/>
      <c r="AC518" s="636"/>
    </row>
    <row r="519" spans="1:68" x14ac:dyDescent="0.2">
      <c r="A519" s="646"/>
      <c r="B519" s="646"/>
      <c r="C519" s="646"/>
      <c r="D519" s="646"/>
      <c r="E519" s="646"/>
      <c r="F519" s="646"/>
      <c r="G519" s="646"/>
      <c r="H519" s="646"/>
      <c r="I519" s="646"/>
      <c r="J519" s="646"/>
      <c r="K519" s="646"/>
      <c r="L519" s="646"/>
      <c r="M519" s="646"/>
      <c r="N519" s="646"/>
      <c r="O519" s="647"/>
      <c r="P519" s="648" t="s">
        <v>69</v>
      </c>
      <c r="Q519" s="638"/>
      <c r="R519" s="638"/>
      <c r="S519" s="638"/>
      <c r="T519" s="638"/>
      <c r="U519" s="638"/>
      <c r="V519" s="639"/>
      <c r="W519" s="37" t="s">
        <v>67</v>
      </c>
      <c r="X519" s="635">
        <f>IFERROR(SUM(X510:X517),"0")</f>
        <v>797</v>
      </c>
      <c r="Y519" s="635">
        <f>IFERROR(SUM(Y510:Y517),"0")</f>
        <v>802.56</v>
      </c>
      <c r="Z519" s="37"/>
      <c r="AA519" s="636"/>
      <c r="AB519" s="636"/>
      <c r="AC519" s="636"/>
    </row>
    <row r="520" spans="1:68" ht="14.25" hidden="1" customHeight="1" x14ac:dyDescent="0.25">
      <c r="A520" s="651" t="s">
        <v>154</v>
      </c>
      <c r="B520" s="646"/>
      <c r="C520" s="646"/>
      <c r="D520" s="646"/>
      <c r="E520" s="646"/>
      <c r="F520" s="646"/>
      <c r="G520" s="646"/>
      <c r="H520" s="646"/>
      <c r="I520" s="646"/>
      <c r="J520" s="646"/>
      <c r="K520" s="646"/>
      <c r="L520" s="646"/>
      <c r="M520" s="646"/>
      <c r="N520" s="646"/>
      <c r="O520" s="646"/>
      <c r="P520" s="646"/>
      <c r="Q520" s="646"/>
      <c r="R520" s="646"/>
      <c r="S520" s="646"/>
      <c r="T520" s="646"/>
      <c r="U520" s="646"/>
      <c r="V520" s="646"/>
      <c r="W520" s="646"/>
      <c r="X520" s="646"/>
      <c r="Y520" s="646"/>
      <c r="Z520" s="646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40">
        <v>4607091388930</v>
      </c>
      <c r="E521" s="641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3"/>
      <c r="R521" s="643"/>
      <c r="S521" s="643"/>
      <c r="T521" s="644"/>
      <c r="U521" s="34"/>
      <c r="V521" s="34"/>
      <c r="W521" s="35" t="s">
        <v>67</v>
      </c>
      <c r="X521" s="633">
        <v>800</v>
      </c>
      <c r="Y521" s="634">
        <f>IFERROR(IF(X521="",0,CEILING((X521/$H521),1)*$H521),"")</f>
        <v>802.56000000000006</v>
      </c>
      <c r="Z521" s="36">
        <f>IFERROR(IF(Y521=0,"",ROUNDUP(Y521/H521,0)*0.01196),"")</f>
        <v>1.81792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853.030303030303</v>
      </c>
      <c r="BN521" s="64">
        <f>IFERROR(Y521*I521/H521,"0")</f>
        <v>855.76</v>
      </c>
      <c r="BO521" s="64">
        <f>IFERROR(1/J521*(X521/H521),"0")</f>
        <v>1.4568764568764567</v>
      </c>
      <c r="BP521" s="64">
        <f>IFERROR(1/J521*(Y521/H521),"0")</f>
        <v>1.4615384615384617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40">
        <v>4680115886407</v>
      </c>
      <c r="E522" s="641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3"/>
      <c r="R522" s="643"/>
      <c r="S522" s="643"/>
      <c r="T522" s="644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40">
        <v>4680115880054</v>
      </c>
      <c r="E523" s="641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91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3"/>
      <c r="R523" s="643"/>
      <c r="S523" s="643"/>
      <c r="T523" s="644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45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47"/>
      <c r="P524" s="648" t="s">
        <v>69</v>
      </c>
      <c r="Q524" s="638"/>
      <c r="R524" s="638"/>
      <c r="S524" s="638"/>
      <c r="T524" s="638"/>
      <c r="U524" s="638"/>
      <c r="V524" s="639"/>
      <c r="W524" s="37" t="s">
        <v>70</v>
      </c>
      <c r="X524" s="635">
        <f>IFERROR(X521/H521,"0")+IFERROR(X522/H522,"0")+IFERROR(X523/H523,"0")</f>
        <v>151.5151515151515</v>
      </c>
      <c r="Y524" s="635">
        <f>IFERROR(Y521/H521,"0")+IFERROR(Y522/H522,"0")+IFERROR(Y523/H523,"0")</f>
        <v>152</v>
      </c>
      <c r="Z524" s="635">
        <f>IFERROR(IF(Z521="",0,Z521),"0")+IFERROR(IF(Z522="",0,Z522),"0")+IFERROR(IF(Z523="",0,Z523),"0")</f>
        <v>1.81792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47"/>
      <c r="P525" s="648" t="s">
        <v>69</v>
      </c>
      <c r="Q525" s="638"/>
      <c r="R525" s="638"/>
      <c r="S525" s="638"/>
      <c r="T525" s="638"/>
      <c r="U525" s="638"/>
      <c r="V525" s="639"/>
      <c r="W525" s="37" t="s">
        <v>67</v>
      </c>
      <c r="X525" s="635">
        <f>IFERROR(SUM(X521:X523),"0")</f>
        <v>800</v>
      </c>
      <c r="Y525" s="635">
        <f>IFERROR(SUM(Y521:Y523),"0")</f>
        <v>802.56000000000006</v>
      </c>
      <c r="Z525" s="37"/>
      <c r="AA525" s="636"/>
      <c r="AB525" s="636"/>
      <c r="AC525" s="636"/>
    </row>
    <row r="526" spans="1:68" ht="14.25" hidden="1" customHeight="1" x14ac:dyDescent="0.25">
      <c r="A526" s="651" t="s">
        <v>62</v>
      </c>
      <c r="B526" s="646"/>
      <c r="C526" s="646"/>
      <c r="D526" s="646"/>
      <c r="E526" s="646"/>
      <c r="F526" s="646"/>
      <c r="G526" s="646"/>
      <c r="H526" s="646"/>
      <c r="I526" s="646"/>
      <c r="J526" s="646"/>
      <c r="K526" s="646"/>
      <c r="L526" s="646"/>
      <c r="M526" s="646"/>
      <c r="N526" s="646"/>
      <c r="O526" s="646"/>
      <c r="P526" s="646"/>
      <c r="Q526" s="646"/>
      <c r="R526" s="646"/>
      <c r="S526" s="646"/>
      <c r="T526" s="646"/>
      <c r="U526" s="646"/>
      <c r="V526" s="646"/>
      <c r="W526" s="646"/>
      <c r="X526" s="646"/>
      <c r="Y526" s="646"/>
      <c r="Z526" s="646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40">
        <v>4680115883116</v>
      </c>
      <c r="E527" s="641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3">
        <v>298</v>
      </c>
      <c r="Y527" s="634">
        <f t="shared" ref="Y527:Y533" si="76">IFERROR(IF(X527="",0,CEILING((X527/$H527),1)*$H527),"")</f>
        <v>300.96000000000004</v>
      </c>
      <c r="Z527" s="36">
        <f>IFERROR(IF(Y527=0,"",ROUNDUP(Y527/H527,0)*0.01196),"")</f>
        <v>0.68171999999999999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317.75378787878788</v>
      </c>
      <c r="BN527" s="64">
        <f t="shared" ref="BN527:BN533" si="78">IFERROR(Y527*I527/H527,"0")</f>
        <v>320.91000000000003</v>
      </c>
      <c r="BO527" s="64">
        <f t="shared" ref="BO527:BO533" si="79">IFERROR(1/J527*(X527/H527),"0")</f>
        <v>0.54268648018648025</v>
      </c>
      <c r="BP527" s="64">
        <f t="shared" ref="BP527:BP533" si="80">IFERROR(1/J527*(Y527/H527),"0")</f>
        <v>0.54807692307692313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40">
        <v>4680115883093</v>
      </c>
      <c r="E528" s="641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6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3">
        <v>28</v>
      </c>
      <c r="Y528" s="634">
        <f t="shared" si="76"/>
        <v>31.68</v>
      </c>
      <c r="Z528" s="36">
        <f>IFERROR(IF(Y528=0,"",ROUNDUP(Y528/H528,0)*0.01196),"")</f>
        <v>7.1760000000000004E-2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29.856060606060602</v>
      </c>
      <c r="BN528" s="64">
        <f t="shared" si="78"/>
        <v>33.779999999999994</v>
      </c>
      <c r="BO528" s="64">
        <f t="shared" si="79"/>
        <v>5.0990675990675992E-2</v>
      </c>
      <c r="BP528" s="64">
        <f t="shared" si="80"/>
        <v>5.7692307692307696E-2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40">
        <v>4680115883109</v>
      </c>
      <c r="E529" s="641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8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3"/>
      <c r="R529" s="643"/>
      <c r="S529" s="643"/>
      <c r="T529" s="644"/>
      <c r="U529" s="34"/>
      <c r="V529" s="34"/>
      <c r="W529" s="35" t="s">
        <v>67</v>
      </c>
      <c r="X529" s="633">
        <v>211</v>
      </c>
      <c r="Y529" s="634">
        <f t="shared" si="76"/>
        <v>211.20000000000002</v>
      </c>
      <c r="Z529" s="36">
        <f>IFERROR(IF(Y529=0,"",ROUNDUP(Y529/H529,0)*0.01196),"")</f>
        <v>0.47839999999999999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224.98674242424244</v>
      </c>
      <c r="BN529" s="64">
        <f t="shared" si="78"/>
        <v>225.2</v>
      </c>
      <c r="BO529" s="64">
        <f t="shared" si="79"/>
        <v>0.3842511655011655</v>
      </c>
      <c r="BP529" s="64">
        <f t="shared" si="80"/>
        <v>0.38461538461538464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40">
        <v>4680115882072</v>
      </c>
      <c r="E530" s="641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7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3"/>
      <c r="R530" s="643"/>
      <c r="S530" s="643"/>
      <c r="T530" s="644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40">
        <v>4680115882102</v>
      </c>
      <c r="E531" s="641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9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40">
        <v>4680115882102</v>
      </c>
      <c r="E532" s="641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3"/>
      <c r="R532" s="643"/>
      <c r="S532" s="643"/>
      <c r="T532" s="644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customHeight="1" x14ac:dyDescent="0.25">
      <c r="A533" s="54" t="s">
        <v>837</v>
      </c>
      <c r="B533" s="54" t="s">
        <v>838</v>
      </c>
      <c r="C533" s="31">
        <v>4301031417</v>
      </c>
      <c r="D533" s="640">
        <v>4680115882096</v>
      </c>
      <c r="E533" s="641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3"/>
      <c r="R533" s="643"/>
      <c r="S533" s="643"/>
      <c r="T533" s="644"/>
      <c r="U533" s="34"/>
      <c r="V533" s="34"/>
      <c r="W533" s="35" t="s">
        <v>67</v>
      </c>
      <c r="X533" s="633">
        <v>2</v>
      </c>
      <c r="Y533" s="634">
        <f t="shared" si="76"/>
        <v>4.8</v>
      </c>
      <c r="Z533" s="36">
        <f>IFERROR(IF(Y533=0,"",ROUNDUP(Y533/H533,0)*0.00902),"")</f>
        <v>9.0200000000000002E-3</v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2.7791666666666668</v>
      </c>
      <c r="BN533" s="64">
        <f t="shared" si="78"/>
        <v>6.67</v>
      </c>
      <c r="BO533" s="64">
        <f t="shared" si="79"/>
        <v>3.1565656565656569E-3</v>
      </c>
      <c r="BP533" s="64">
        <f t="shared" si="80"/>
        <v>7.575757575757576E-3</v>
      </c>
    </row>
    <row r="534" spans="1:68" x14ac:dyDescent="0.2">
      <c r="A534" s="645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47"/>
      <c r="P534" s="648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102.12121212121212</v>
      </c>
      <c r="Y534" s="635">
        <f>IFERROR(Y527/H527,"0")+IFERROR(Y528/H528,"0")+IFERROR(Y529/H529,"0")+IFERROR(Y530/H530,"0")+IFERROR(Y531/H531,"0")+IFERROR(Y532/H532,"0")+IFERROR(Y533/H533,"0")</f>
        <v>104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1.2409000000000001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47"/>
      <c r="P535" s="648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35">
        <f>IFERROR(SUM(X527:X533),"0")</f>
        <v>539</v>
      </c>
      <c r="Y535" s="635">
        <f>IFERROR(SUM(Y527:Y533),"0")</f>
        <v>548.64</v>
      </c>
      <c r="Z535" s="37"/>
      <c r="AA535" s="636"/>
      <c r="AB535" s="636"/>
      <c r="AC535" s="636"/>
    </row>
    <row r="536" spans="1:68" ht="27.75" hidden="1" customHeight="1" x14ac:dyDescent="0.2">
      <c r="A536" s="695" t="s">
        <v>839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48"/>
      <c r="AB536" s="48"/>
      <c r="AC536" s="48"/>
    </row>
    <row r="537" spans="1:68" ht="16.5" hidden="1" customHeight="1" x14ac:dyDescent="0.25">
      <c r="A537" s="654" t="s">
        <v>839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28"/>
      <c r="AB537" s="628"/>
      <c r="AC537" s="628"/>
    </row>
    <row r="538" spans="1:68" ht="14.25" hidden="1" customHeight="1" x14ac:dyDescent="0.25">
      <c r="A538" s="651" t="s">
        <v>119</v>
      </c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46"/>
      <c r="P538" s="646"/>
      <c r="Q538" s="646"/>
      <c r="R538" s="646"/>
      <c r="S538" s="646"/>
      <c r="T538" s="646"/>
      <c r="U538" s="646"/>
      <c r="V538" s="646"/>
      <c r="W538" s="646"/>
      <c r="X538" s="646"/>
      <c r="Y538" s="646"/>
      <c r="Z538" s="646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40">
        <v>4680115889736</v>
      </c>
      <c r="E539" s="641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93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3"/>
      <c r="R539" s="643"/>
      <c r="S539" s="643"/>
      <c r="T539" s="644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5"/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7"/>
      <c r="P540" s="648" t="s">
        <v>69</v>
      </c>
      <c r="Q540" s="638"/>
      <c r="R540" s="638"/>
      <c r="S540" s="638"/>
      <c r="T540" s="638"/>
      <c r="U540" s="638"/>
      <c r="V540" s="639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6"/>
      <c r="B541" s="646"/>
      <c r="C541" s="646"/>
      <c r="D541" s="646"/>
      <c r="E541" s="646"/>
      <c r="F541" s="646"/>
      <c r="G541" s="646"/>
      <c r="H541" s="646"/>
      <c r="I541" s="646"/>
      <c r="J541" s="646"/>
      <c r="K541" s="646"/>
      <c r="L541" s="646"/>
      <c r="M541" s="646"/>
      <c r="N541" s="646"/>
      <c r="O541" s="647"/>
      <c r="P541" s="648" t="s">
        <v>69</v>
      </c>
      <c r="Q541" s="638"/>
      <c r="R541" s="638"/>
      <c r="S541" s="638"/>
      <c r="T541" s="638"/>
      <c r="U541" s="638"/>
      <c r="V541" s="639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51" t="s">
        <v>154</v>
      </c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46"/>
      <c r="P542" s="646"/>
      <c r="Q542" s="646"/>
      <c r="R542" s="646"/>
      <c r="S542" s="646"/>
      <c r="T542" s="646"/>
      <c r="U542" s="646"/>
      <c r="V542" s="646"/>
      <c r="W542" s="646"/>
      <c r="X542" s="646"/>
      <c r="Y542" s="646"/>
      <c r="Z542" s="646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40">
        <v>4680115889781</v>
      </c>
      <c r="E543" s="641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74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3"/>
      <c r="R543" s="643"/>
      <c r="S543" s="643"/>
      <c r="T543" s="644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5"/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7"/>
      <c r="P544" s="648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6"/>
      <c r="B545" s="646"/>
      <c r="C545" s="646"/>
      <c r="D545" s="646"/>
      <c r="E545" s="646"/>
      <c r="F545" s="646"/>
      <c r="G545" s="646"/>
      <c r="H545" s="646"/>
      <c r="I545" s="646"/>
      <c r="J545" s="646"/>
      <c r="K545" s="646"/>
      <c r="L545" s="646"/>
      <c r="M545" s="646"/>
      <c r="N545" s="646"/>
      <c r="O545" s="647"/>
      <c r="P545" s="648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51" t="s">
        <v>62</v>
      </c>
      <c r="B546" s="646"/>
      <c r="C546" s="646"/>
      <c r="D546" s="646"/>
      <c r="E546" s="646"/>
      <c r="F546" s="646"/>
      <c r="G546" s="646"/>
      <c r="H546" s="646"/>
      <c r="I546" s="646"/>
      <c r="J546" s="646"/>
      <c r="K546" s="646"/>
      <c r="L546" s="646"/>
      <c r="M546" s="646"/>
      <c r="N546" s="646"/>
      <c r="O546" s="646"/>
      <c r="P546" s="646"/>
      <c r="Q546" s="646"/>
      <c r="R546" s="646"/>
      <c r="S546" s="646"/>
      <c r="T546" s="646"/>
      <c r="U546" s="646"/>
      <c r="V546" s="646"/>
      <c r="W546" s="646"/>
      <c r="X546" s="646"/>
      <c r="Y546" s="646"/>
      <c r="Z546" s="646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40">
        <v>4680115889774</v>
      </c>
      <c r="E547" s="641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7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3"/>
      <c r="R547" s="643"/>
      <c r="S547" s="643"/>
      <c r="T547" s="644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5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47"/>
      <c r="P548" s="648" t="s">
        <v>69</v>
      </c>
      <c r="Q548" s="638"/>
      <c r="R548" s="638"/>
      <c r="S548" s="638"/>
      <c r="T548" s="638"/>
      <c r="U548" s="638"/>
      <c r="V548" s="639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6"/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7"/>
      <c r="P549" s="648" t="s">
        <v>69</v>
      </c>
      <c r="Q549" s="638"/>
      <c r="R549" s="638"/>
      <c r="S549" s="638"/>
      <c r="T549" s="638"/>
      <c r="U549" s="638"/>
      <c r="V549" s="639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51" t="s">
        <v>71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40">
        <v>4680115889811</v>
      </c>
      <c r="E551" s="641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7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3"/>
      <c r="R551" s="643"/>
      <c r="S551" s="643"/>
      <c r="T551" s="644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5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47"/>
      <c r="P552" s="648" t="s">
        <v>69</v>
      </c>
      <c r="Q552" s="638"/>
      <c r="R552" s="638"/>
      <c r="S552" s="638"/>
      <c r="T552" s="638"/>
      <c r="U552" s="638"/>
      <c r="V552" s="639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47"/>
      <c r="P553" s="648" t="s">
        <v>69</v>
      </c>
      <c r="Q553" s="638"/>
      <c r="R553" s="638"/>
      <c r="S553" s="638"/>
      <c r="T553" s="638"/>
      <c r="U553" s="638"/>
      <c r="V553" s="639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51" t="s">
        <v>172</v>
      </c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646"/>
      <c r="P554" s="646"/>
      <c r="Q554" s="646"/>
      <c r="R554" s="646"/>
      <c r="S554" s="646"/>
      <c r="T554" s="646"/>
      <c r="U554" s="646"/>
      <c r="V554" s="646"/>
      <c r="W554" s="646"/>
      <c r="X554" s="646"/>
      <c r="Y554" s="646"/>
      <c r="Z554" s="646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40">
        <v>4680115889804</v>
      </c>
      <c r="E555" s="641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75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3"/>
      <c r="R555" s="643"/>
      <c r="S555" s="643"/>
      <c r="T555" s="644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customHeight="1" x14ac:dyDescent="0.25">
      <c r="A556" s="54" t="s">
        <v>854</v>
      </c>
      <c r="B556" s="54" t="s">
        <v>855</v>
      </c>
      <c r="C556" s="31">
        <v>4301060544</v>
      </c>
      <c r="D556" s="640">
        <v>4680115889828</v>
      </c>
      <c r="E556" s="641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92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3"/>
      <c r="R556" s="643"/>
      <c r="S556" s="643"/>
      <c r="T556" s="644"/>
      <c r="U556" s="34"/>
      <c r="V556" s="34"/>
      <c r="W556" s="35" t="s">
        <v>67</v>
      </c>
      <c r="X556" s="633">
        <v>50</v>
      </c>
      <c r="Y556" s="634">
        <f>IFERROR(IF(X556="",0,CEILING((X556/$H556),1)*$H556),"")</f>
        <v>54</v>
      </c>
      <c r="Z556" s="36">
        <f>IFERROR(IF(Y556=0,"",ROUNDUP(Y556/H556,0)*0.01898),"")</f>
        <v>0.11388000000000001</v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52.277777777777779</v>
      </c>
      <c r="BN556" s="64">
        <f>IFERROR(Y556*I556/H556,"0")</f>
        <v>56.46</v>
      </c>
      <c r="BO556" s="64">
        <f>IFERROR(1/J556*(X556/H556),"0")</f>
        <v>8.6805555555555552E-2</v>
      </c>
      <c r="BP556" s="64">
        <f>IFERROR(1/J556*(Y556/H556),"0")</f>
        <v>9.375E-2</v>
      </c>
    </row>
    <row r="557" spans="1:68" x14ac:dyDescent="0.2">
      <c r="A557" s="645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647"/>
      <c r="P557" s="648" t="s">
        <v>69</v>
      </c>
      <c r="Q557" s="638"/>
      <c r="R557" s="638"/>
      <c r="S557" s="638"/>
      <c r="T557" s="638"/>
      <c r="U557" s="638"/>
      <c r="V557" s="639"/>
      <c r="W557" s="37" t="s">
        <v>70</v>
      </c>
      <c r="X557" s="635">
        <f>IFERROR(X555/H555,"0")+IFERROR(X556/H556,"0")</f>
        <v>5.5555555555555554</v>
      </c>
      <c r="Y557" s="635">
        <f>IFERROR(Y555/H555,"0")+IFERROR(Y556/H556,"0")</f>
        <v>6</v>
      </c>
      <c r="Z557" s="635">
        <f>IFERROR(IF(Z555="",0,Z555),"0")+IFERROR(IF(Z556="",0,Z556),"0")</f>
        <v>0.11388000000000001</v>
      </c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647"/>
      <c r="P558" s="648" t="s">
        <v>69</v>
      </c>
      <c r="Q558" s="638"/>
      <c r="R558" s="638"/>
      <c r="S558" s="638"/>
      <c r="T558" s="638"/>
      <c r="U558" s="638"/>
      <c r="V558" s="639"/>
      <c r="W558" s="37" t="s">
        <v>67</v>
      </c>
      <c r="X558" s="635">
        <f>IFERROR(SUM(X555:X556),"0")</f>
        <v>50</v>
      </c>
      <c r="Y558" s="635">
        <f>IFERROR(SUM(Y555:Y556),"0")</f>
        <v>54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646"/>
      <c r="P559" s="646"/>
      <c r="Q559" s="646"/>
      <c r="R559" s="646"/>
      <c r="S559" s="646"/>
      <c r="T559" s="646"/>
      <c r="U559" s="646"/>
      <c r="V559" s="646"/>
      <c r="W559" s="646"/>
      <c r="X559" s="646"/>
      <c r="Y559" s="646"/>
      <c r="Z559" s="646"/>
      <c r="AA559" s="628"/>
      <c r="AB559" s="628"/>
      <c r="AC559" s="628"/>
    </row>
    <row r="560" spans="1:68" ht="14.25" hidden="1" customHeight="1" x14ac:dyDescent="0.25">
      <c r="A560" s="651" t="s">
        <v>154</v>
      </c>
      <c r="B560" s="646"/>
      <c r="C560" s="646"/>
      <c r="D560" s="646"/>
      <c r="E560" s="646"/>
      <c r="F560" s="646"/>
      <c r="G560" s="646"/>
      <c r="H560" s="646"/>
      <c r="I560" s="646"/>
      <c r="J560" s="646"/>
      <c r="K560" s="646"/>
      <c r="L560" s="646"/>
      <c r="M560" s="646"/>
      <c r="N560" s="646"/>
      <c r="O560" s="646"/>
      <c r="P560" s="646"/>
      <c r="Q560" s="646"/>
      <c r="R560" s="646"/>
      <c r="S560" s="646"/>
      <c r="T560" s="646"/>
      <c r="U560" s="646"/>
      <c r="V560" s="646"/>
      <c r="W560" s="646"/>
      <c r="X560" s="646"/>
      <c r="Y560" s="646"/>
      <c r="Z560" s="646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40">
        <v>4680115889798</v>
      </c>
      <c r="E561" s="641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0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3"/>
      <c r="R561" s="643"/>
      <c r="S561" s="643"/>
      <c r="T561" s="644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5"/>
      <c r="B562" s="646"/>
      <c r="C562" s="646"/>
      <c r="D562" s="646"/>
      <c r="E562" s="646"/>
      <c r="F562" s="646"/>
      <c r="G562" s="646"/>
      <c r="H562" s="646"/>
      <c r="I562" s="646"/>
      <c r="J562" s="646"/>
      <c r="K562" s="646"/>
      <c r="L562" s="646"/>
      <c r="M562" s="646"/>
      <c r="N562" s="646"/>
      <c r="O562" s="647"/>
      <c r="P562" s="648" t="s">
        <v>69</v>
      </c>
      <c r="Q562" s="638"/>
      <c r="R562" s="638"/>
      <c r="S562" s="638"/>
      <c r="T562" s="638"/>
      <c r="U562" s="638"/>
      <c r="V562" s="639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6"/>
      <c r="B563" s="646"/>
      <c r="C563" s="646"/>
      <c r="D563" s="646"/>
      <c r="E563" s="646"/>
      <c r="F563" s="646"/>
      <c r="G563" s="646"/>
      <c r="H563" s="646"/>
      <c r="I563" s="646"/>
      <c r="J563" s="646"/>
      <c r="K563" s="646"/>
      <c r="L563" s="646"/>
      <c r="M563" s="646"/>
      <c r="N563" s="646"/>
      <c r="O563" s="647"/>
      <c r="P563" s="648" t="s">
        <v>69</v>
      </c>
      <c r="Q563" s="638"/>
      <c r="R563" s="638"/>
      <c r="S563" s="638"/>
      <c r="T563" s="638"/>
      <c r="U563" s="638"/>
      <c r="V563" s="639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77"/>
      <c r="B564" s="646"/>
      <c r="C564" s="646"/>
      <c r="D564" s="646"/>
      <c r="E564" s="646"/>
      <c r="F564" s="646"/>
      <c r="G564" s="646"/>
      <c r="H564" s="646"/>
      <c r="I564" s="646"/>
      <c r="J564" s="646"/>
      <c r="K564" s="646"/>
      <c r="L564" s="646"/>
      <c r="M564" s="646"/>
      <c r="N564" s="646"/>
      <c r="O564" s="851"/>
      <c r="P564" s="756" t="s">
        <v>861</v>
      </c>
      <c r="Q564" s="757"/>
      <c r="R564" s="757"/>
      <c r="S564" s="757"/>
      <c r="T564" s="757"/>
      <c r="U564" s="757"/>
      <c r="V564" s="67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17611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17826.310000000001</v>
      </c>
      <c r="Z564" s="37"/>
      <c r="AA564" s="636"/>
      <c r="AB564" s="636"/>
      <c r="AC564" s="636"/>
    </row>
    <row r="565" spans="1:68" x14ac:dyDescent="0.2">
      <c r="A565" s="646"/>
      <c r="B565" s="646"/>
      <c r="C565" s="646"/>
      <c r="D565" s="646"/>
      <c r="E565" s="646"/>
      <c r="F565" s="646"/>
      <c r="G565" s="646"/>
      <c r="H565" s="646"/>
      <c r="I565" s="646"/>
      <c r="J565" s="646"/>
      <c r="K565" s="646"/>
      <c r="L565" s="646"/>
      <c r="M565" s="646"/>
      <c r="N565" s="646"/>
      <c r="O565" s="851"/>
      <c r="P565" s="756" t="s">
        <v>862</v>
      </c>
      <c r="Q565" s="757"/>
      <c r="R565" s="757"/>
      <c r="S565" s="757"/>
      <c r="T565" s="757"/>
      <c r="U565" s="757"/>
      <c r="V565" s="672"/>
      <c r="W565" s="37" t="s">
        <v>67</v>
      </c>
      <c r="X565" s="635">
        <f>IFERROR(SUM(BM22:BM561),"0")</f>
        <v>18600.92059279414</v>
      </c>
      <c r="Y565" s="635">
        <f>IFERROR(SUM(BN22:BN561),"0")</f>
        <v>18830.877999999997</v>
      </c>
      <c r="Z565" s="37"/>
      <c r="AA565" s="636"/>
      <c r="AB565" s="636"/>
      <c r="AC565" s="636"/>
    </row>
    <row r="566" spans="1:68" x14ac:dyDescent="0.2">
      <c r="A566" s="646"/>
      <c r="B566" s="646"/>
      <c r="C566" s="646"/>
      <c r="D566" s="646"/>
      <c r="E566" s="646"/>
      <c r="F566" s="646"/>
      <c r="G566" s="646"/>
      <c r="H566" s="646"/>
      <c r="I566" s="646"/>
      <c r="J566" s="646"/>
      <c r="K566" s="646"/>
      <c r="L566" s="646"/>
      <c r="M566" s="646"/>
      <c r="N566" s="646"/>
      <c r="O566" s="851"/>
      <c r="P566" s="756" t="s">
        <v>863</v>
      </c>
      <c r="Q566" s="757"/>
      <c r="R566" s="757"/>
      <c r="S566" s="757"/>
      <c r="T566" s="757"/>
      <c r="U566" s="757"/>
      <c r="V566" s="672"/>
      <c r="W566" s="37" t="s">
        <v>864</v>
      </c>
      <c r="X566" s="38">
        <f>ROUNDUP(SUM(BO22:BO561),0)</f>
        <v>32</v>
      </c>
      <c r="Y566" s="38">
        <f>ROUNDUP(SUM(BP22:BP561),0)</f>
        <v>32</v>
      </c>
      <c r="Z566" s="37"/>
      <c r="AA566" s="636"/>
      <c r="AB566" s="636"/>
      <c r="AC566" s="636"/>
    </row>
    <row r="567" spans="1:68" x14ac:dyDescent="0.2">
      <c r="A567" s="646"/>
      <c r="B567" s="646"/>
      <c r="C567" s="646"/>
      <c r="D567" s="646"/>
      <c r="E567" s="646"/>
      <c r="F567" s="646"/>
      <c r="G567" s="646"/>
      <c r="H567" s="646"/>
      <c r="I567" s="646"/>
      <c r="J567" s="646"/>
      <c r="K567" s="646"/>
      <c r="L567" s="646"/>
      <c r="M567" s="646"/>
      <c r="N567" s="646"/>
      <c r="O567" s="851"/>
      <c r="P567" s="756" t="s">
        <v>865</v>
      </c>
      <c r="Q567" s="757"/>
      <c r="R567" s="757"/>
      <c r="S567" s="757"/>
      <c r="T567" s="757"/>
      <c r="U567" s="757"/>
      <c r="V567" s="672"/>
      <c r="W567" s="37" t="s">
        <v>67</v>
      </c>
      <c r="X567" s="635">
        <f>GrossWeightTotal+PalletQtyTotal*25</f>
        <v>19400.92059279414</v>
      </c>
      <c r="Y567" s="635">
        <f>GrossWeightTotalR+PalletQtyTotalR*25</f>
        <v>19630.877999999997</v>
      </c>
      <c r="Z567" s="37"/>
      <c r="AA567" s="636"/>
      <c r="AB567" s="636"/>
      <c r="AC567" s="636"/>
    </row>
    <row r="568" spans="1:68" x14ac:dyDescent="0.2">
      <c r="A568" s="646"/>
      <c r="B568" s="646"/>
      <c r="C568" s="646"/>
      <c r="D568" s="646"/>
      <c r="E568" s="646"/>
      <c r="F568" s="646"/>
      <c r="G568" s="646"/>
      <c r="H568" s="646"/>
      <c r="I568" s="646"/>
      <c r="J568" s="646"/>
      <c r="K568" s="646"/>
      <c r="L568" s="646"/>
      <c r="M568" s="646"/>
      <c r="N568" s="646"/>
      <c r="O568" s="851"/>
      <c r="P568" s="756" t="s">
        <v>866</v>
      </c>
      <c r="Q568" s="757"/>
      <c r="R568" s="757"/>
      <c r="S568" s="757"/>
      <c r="T568" s="757"/>
      <c r="U568" s="757"/>
      <c r="V568" s="67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3169.8489981159692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3208</v>
      </c>
      <c r="Z568" s="37"/>
      <c r="AA568" s="636"/>
      <c r="AB568" s="636"/>
      <c r="AC568" s="636"/>
    </row>
    <row r="569" spans="1:68" ht="14.25" hidden="1" customHeight="1" x14ac:dyDescent="0.2">
      <c r="A569" s="646"/>
      <c r="B569" s="646"/>
      <c r="C569" s="646"/>
      <c r="D569" s="646"/>
      <c r="E569" s="646"/>
      <c r="F569" s="646"/>
      <c r="G569" s="646"/>
      <c r="H569" s="646"/>
      <c r="I569" s="646"/>
      <c r="J569" s="646"/>
      <c r="K569" s="646"/>
      <c r="L569" s="646"/>
      <c r="M569" s="646"/>
      <c r="N569" s="646"/>
      <c r="O569" s="851"/>
      <c r="P569" s="756" t="s">
        <v>867</v>
      </c>
      <c r="Q569" s="757"/>
      <c r="R569" s="757"/>
      <c r="S569" s="757"/>
      <c r="T569" s="757"/>
      <c r="U569" s="757"/>
      <c r="V569" s="67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36.987060000000007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6" t="s">
        <v>117</v>
      </c>
      <c r="E571" s="678"/>
      <c r="F571" s="678"/>
      <c r="G571" s="678"/>
      <c r="H571" s="678"/>
      <c r="I571" s="678"/>
      <c r="J571" s="679"/>
      <c r="K571" s="666" t="s">
        <v>332</v>
      </c>
      <c r="L571" s="678"/>
      <c r="M571" s="678"/>
      <c r="N571" s="678"/>
      <c r="O571" s="678"/>
      <c r="P571" s="678"/>
      <c r="Q571" s="678"/>
      <c r="R571" s="678"/>
      <c r="S571" s="678"/>
      <c r="T571" s="678"/>
      <c r="U571" s="678"/>
      <c r="V571" s="678"/>
      <c r="W571" s="679"/>
      <c r="X571" s="666" t="s">
        <v>696</v>
      </c>
      <c r="Y571" s="679"/>
      <c r="Z571" s="666" t="s">
        <v>762</v>
      </c>
      <c r="AA571" s="679"/>
      <c r="AB571" s="630" t="s">
        <v>795</v>
      </c>
      <c r="AC571" s="666" t="s">
        <v>839</v>
      </c>
      <c r="AD571" s="679"/>
      <c r="AF571" s="631"/>
    </row>
    <row r="572" spans="1:68" ht="14.25" customHeight="1" thickTop="1" x14ac:dyDescent="0.2">
      <c r="A572" s="965" t="s">
        <v>870</v>
      </c>
      <c r="B572" s="666" t="s">
        <v>61</v>
      </c>
      <c r="C572" s="666" t="s">
        <v>101</v>
      </c>
      <c r="D572" s="666" t="s">
        <v>118</v>
      </c>
      <c r="E572" s="666" t="s">
        <v>134</v>
      </c>
      <c r="F572" s="666" t="s">
        <v>180</v>
      </c>
      <c r="G572" s="666" t="s">
        <v>204</v>
      </c>
      <c r="H572" s="666" t="s">
        <v>246</v>
      </c>
      <c r="I572" s="666" t="s">
        <v>259</v>
      </c>
      <c r="J572" s="666" t="s">
        <v>117</v>
      </c>
      <c r="K572" s="666" t="s">
        <v>333</v>
      </c>
      <c r="L572" s="666" t="s">
        <v>354</v>
      </c>
      <c r="M572" s="666" t="s">
        <v>418</v>
      </c>
      <c r="N572" s="631"/>
      <c r="O572" s="666" t="s">
        <v>484</v>
      </c>
      <c r="P572" s="666" t="s">
        <v>519</v>
      </c>
      <c r="Q572" s="666" t="s">
        <v>541</v>
      </c>
      <c r="R572" s="666" t="s">
        <v>550</v>
      </c>
      <c r="S572" s="666" t="s">
        <v>572</v>
      </c>
      <c r="T572" s="666" t="s">
        <v>579</v>
      </c>
      <c r="U572" s="666" t="s">
        <v>588</v>
      </c>
      <c r="V572" s="666" t="s">
        <v>674</v>
      </c>
      <c r="W572" s="666" t="s">
        <v>686</v>
      </c>
      <c r="X572" s="666" t="s">
        <v>697</v>
      </c>
      <c r="Y572" s="666" t="s">
        <v>746</v>
      </c>
      <c r="Z572" s="666" t="s">
        <v>763</v>
      </c>
      <c r="AA572" s="666" t="s">
        <v>783</v>
      </c>
      <c r="AB572" s="666" t="s">
        <v>795</v>
      </c>
      <c r="AC572" s="666" t="s">
        <v>839</v>
      </c>
      <c r="AD572" s="666" t="s">
        <v>857</v>
      </c>
      <c r="AF572" s="631"/>
    </row>
    <row r="573" spans="1:68" ht="13.5" customHeight="1" thickBot="1" x14ac:dyDescent="0.25">
      <c r="A573" s="966"/>
      <c r="B573" s="667"/>
      <c r="C573" s="667"/>
      <c r="D573" s="667"/>
      <c r="E573" s="667"/>
      <c r="F573" s="667"/>
      <c r="G573" s="667"/>
      <c r="H573" s="667"/>
      <c r="I573" s="667"/>
      <c r="J573" s="667"/>
      <c r="K573" s="667"/>
      <c r="L573" s="667"/>
      <c r="M573" s="667"/>
      <c r="N573" s="631"/>
      <c r="O573" s="667"/>
      <c r="P573" s="667"/>
      <c r="Q573" s="667"/>
      <c r="R573" s="667"/>
      <c r="S573" s="667"/>
      <c r="T573" s="667"/>
      <c r="U573" s="667"/>
      <c r="V573" s="667"/>
      <c r="W573" s="667"/>
      <c r="X573" s="667"/>
      <c r="Y573" s="667"/>
      <c r="Z573" s="667"/>
      <c r="AA573" s="667"/>
      <c r="AB573" s="667"/>
      <c r="AC573" s="667"/>
      <c r="AD573" s="667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32.400000000000006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332.00000000000006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1397.2000000000003</v>
      </c>
      <c r="F574" s="46">
        <f>IFERROR(Y89*1,"0")+IFERROR(Y90*1,"0")+IFERROR(Y91*1,"0")+IFERROR(Y92*1,"0")+IFERROR(Y93*1,"0")+IFERROR(Y94*1,"0")+IFERROR(Y98*1,"0")+IFERROR(Y99*1,"0")+IFERROR(Y100*1,"0")+IFERROR(Y101*1,"0")</f>
        <v>1365.3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1377.3600000000001</v>
      </c>
      <c r="H574" s="46">
        <f>IFERROR(Y135*1,"0")+IFERROR(Y136*1,"0")+IFERROR(Y140*1,"0")+IFERROR(Y141*1,"0")+IFERROR(Y145*1,"0")+IFERROR(Y146*1,"0")</f>
        <v>51.6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1811.6399999999999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415.3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2362.8000000000002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132.20000000000002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331.2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514.79999999999995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662.35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4191</v>
      </c>
      <c r="Y574" s="46">
        <f>IFERROR(Y467*1,"0")+IFERROR(Y468*1,"0")+IFERROR(Y472*1,"0")+IFERROR(Y476*1,"0")+IFERROR(Y477*1,"0")+IFERROR(Y478*1,"0")</f>
        <v>641.4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2153.7600000000002</v>
      </c>
      <c r="AC574" s="46">
        <f>IFERROR(Y539*1,"0")+IFERROR(Y543*1,"0")+IFERROR(Y547*1,"0")+IFERROR(Y551*1,"0")+IFERROR(Y555*1,"0")+IFERROR(Y556*1,"0")</f>
        <v>54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06,00"/>
        <filter val="1 025,00"/>
        <filter val="1 087,00"/>
        <filter val="1 585,00"/>
        <filter val="1 801,00"/>
        <filter val="1,00"/>
        <filter val="1,01"/>
        <filter val="1,07"/>
        <filter val="1,25"/>
        <filter val="10,00"/>
        <filter val="100,00"/>
        <filter val="100,94"/>
        <filter val="102,12"/>
        <filter val="107,00"/>
        <filter val="11,11"/>
        <filter val="114,00"/>
        <filter val="116,00"/>
        <filter val="12,00"/>
        <filter val="12,16"/>
        <filter val="12,50"/>
        <filter val="125,00"/>
        <filter val="133,33"/>
        <filter val="137,08"/>
        <filter val="138,00"/>
        <filter val="14,00"/>
        <filter val="14,77"/>
        <filter val="141,07"/>
        <filter val="148,00"/>
        <filter val="15,00"/>
        <filter val="150,00"/>
        <filter val="151,52"/>
        <filter val="151,89"/>
        <filter val="155,00"/>
        <filter val="160,00"/>
        <filter val="165,00"/>
        <filter val="166,30"/>
        <filter val="166,91"/>
        <filter val="17 611,00"/>
        <filter val="17,00"/>
        <filter val="17,22"/>
        <filter val="173,00"/>
        <filter val="18 600,92"/>
        <filter val="18,00"/>
        <filter val="19 400,92"/>
        <filter val="196,00"/>
        <filter val="2,00"/>
        <filter val="2,38"/>
        <filter val="20,00"/>
        <filter val="205,00"/>
        <filter val="205,93"/>
        <filter val="208,00"/>
        <filter val="21,00"/>
        <filter val="211,00"/>
        <filter val="237,00"/>
        <filter val="24,00"/>
        <filter val="24,04"/>
        <filter val="25,00"/>
        <filter val="250,00"/>
        <filter val="264,00"/>
        <filter val="270,00"/>
        <filter val="28,00"/>
        <filter val="29,00"/>
        <filter val="294,00"/>
        <filter val="297,00"/>
        <filter val="298,00"/>
        <filter val="3 089,00"/>
        <filter val="3 169,85"/>
        <filter val="3,00"/>
        <filter val="3,22"/>
        <filter val="30,00"/>
        <filter val="31,00"/>
        <filter val="32"/>
        <filter val="323,00"/>
        <filter val="329,00"/>
        <filter val="332,00"/>
        <filter val="34,00"/>
        <filter val="346,00"/>
        <filter val="35,00"/>
        <filter val="35,06"/>
        <filter val="350,00"/>
        <filter val="370,00"/>
        <filter val="380,00"/>
        <filter val="39,00"/>
        <filter val="392,00"/>
        <filter val="4,00"/>
        <filter val="400,00"/>
        <filter val="41,67"/>
        <filter val="415,00"/>
        <filter val="44,00"/>
        <filter val="450,00"/>
        <filter val="49,93"/>
        <filter val="5,56"/>
        <filter val="50,00"/>
        <filter val="500,58"/>
        <filter val="507,00"/>
        <filter val="51,69"/>
        <filter val="517,00"/>
        <filter val="539,00"/>
        <filter val="545,94"/>
        <filter val="56,39"/>
        <filter val="6,00"/>
        <filter val="6,41"/>
        <filter val="606,00"/>
        <filter val="609,00"/>
        <filter val="617,00"/>
        <filter val="62,00"/>
        <filter val="620,00"/>
        <filter val="632,00"/>
        <filter val="634,00"/>
        <filter val="647,00"/>
        <filter val="65,00"/>
        <filter val="68,00"/>
        <filter val="68,33"/>
        <filter val="7,95"/>
        <filter val="70,09"/>
        <filter val="709,00"/>
        <filter val="71,06"/>
        <filter val="720,00"/>
        <filter val="73,00"/>
        <filter val="797,00"/>
        <filter val="8,00"/>
        <filter val="8,80"/>
        <filter val="800,00"/>
        <filter val="81,00"/>
        <filter val="827,00"/>
        <filter val="83,00"/>
        <filter val="833,00"/>
        <filter val="92,00"/>
        <filter val="95,00"/>
        <filter val="967,00"/>
      </filters>
    </filterColumn>
    <filterColumn colId="29" showButton="0"/>
    <filterColumn colId="30" showButton="0"/>
  </autoFilter>
  <mergeCells count="1007"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D71:E71"/>
    <mergeCell ref="P392:T392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P382:T382"/>
    <mergeCell ref="P42:T42"/>
    <mergeCell ref="P28:T28"/>
    <mergeCell ref="P326:T326"/>
    <mergeCell ref="D332:E332"/>
    <mergeCell ref="P221:T221"/>
    <mergeCell ref="A74:O75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D5:E5"/>
    <mergeCell ref="D7:M7"/>
    <mergeCell ref="D8:M8"/>
    <mergeCell ref="R1:T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P116:T116"/>
    <mergeCell ref="A105:Z105"/>
    <mergeCell ref="D224:E224"/>
    <mergeCell ref="P268:T268"/>
    <mergeCell ref="A469:O470"/>
    <mergeCell ref="D382:E382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P67:V67"/>
    <mergeCell ref="A418:O419"/>
    <mergeCell ref="P186:V186"/>
    <mergeCell ref="A185:O186"/>
    <mergeCell ref="P353:T353"/>
    <mergeCell ref="A134:Z134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89:T89"/>
    <mergeCell ref="P309:T309"/>
    <mergeCell ref="D59:E59"/>
    <mergeCell ref="P505:V505"/>
    <mergeCell ref="D295:E295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M17:M18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D385:E385"/>
    <mergeCell ref="P301:T301"/>
    <mergeCell ref="P295:T295"/>
    <mergeCell ref="P178:T178"/>
    <mergeCell ref="D178:E17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2026-10-21T13:47:27Z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