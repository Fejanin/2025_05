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68910A-06A6-4E82-845D-A5A17B05454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N521" i="1"/>
  <c r="BM521" i="1"/>
  <c r="Y521" i="1"/>
  <c r="BP521" i="1" s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N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N477" i="1"/>
  <c r="BM477" i="1"/>
  <c r="Y477" i="1"/>
  <c r="BP477" i="1" s="1"/>
  <c r="P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BN462" i="1" s="1"/>
  <c r="P462" i="1"/>
  <c r="BO461" i="1"/>
  <c r="BM461" i="1"/>
  <c r="Y461" i="1"/>
  <c r="P461" i="1"/>
  <c r="X459" i="1"/>
  <c r="X458" i="1"/>
  <c r="BO457" i="1"/>
  <c r="BM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N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BN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N438" i="1"/>
  <c r="BM438" i="1"/>
  <c r="Y438" i="1"/>
  <c r="BP438" i="1" s="1"/>
  <c r="P438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BN430" i="1" s="1"/>
  <c r="P430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BO410" i="1"/>
  <c r="BM410" i="1"/>
  <c r="Y410" i="1"/>
  <c r="P410" i="1"/>
  <c r="BO409" i="1"/>
  <c r="BN409" i="1"/>
  <c r="BM409" i="1"/>
  <c r="Y409" i="1"/>
  <c r="BP409" i="1" s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N403" i="1"/>
  <c r="BM403" i="1"/>
  <c r="Y403" i="1"/>
  <c r="BP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N385" i="1"/>
  <c r="BM385" i="1"/>
  <c r="Y385" i="1"/>
  <c r="BP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N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BO370" i="1"/>
  <c r="BM370" i="1"/>
  <c r="Y370" i="1"/>
  <c r="P370" i="1"/>
  <c r="BO369" i="1"/>
  <c r="BM369" i="1"/>
  <c r="Y369" i="1"/>
  <c r="P369" i="1"/>
  <c r="X366" i="1"/>
  <c r="X365" i="1"/>
  <c r="BO364" i="1"/>
  <c r="BN364" i="1"/>
  <c r="BM364" i="1"/>
  <c r="Y364" i="1"/>
  <c r="BP364" i="1" s="1"/>
  <c r="P364" i="1"/>
  <c r="BO363" i="1"/>
  <c r="BM363" i="1"/>
  <c r="Y363" i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O348" i="1"/>
  <c r="BM348" i="1"/>
  <c r="Y348" i="1"/>
  <c r="BN348" i="1" s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BP340" i="1" s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N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N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N315" i="1" s="1"/>
  <c r="P315" i="1"/>
  <c r="BO314" i="1"/>
  <c r="BM314" i="1"/>
  <c r="Y314" i="1"/>
  <c r="P314" i="1"/>
  <c r="BO313" i="1"/>
  <c r="BM313" i="1"/>
  <c r="Y313" i="1"/>
  <c r="BP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N297" i="1" s="1"/>
  <c r="P297" i="1"/>
  <c r="BO296" i="1"/>
  <c r="BM296" i="1"/>
  <c r="Y296" i="1"/>
  <c r="P296" i="1"/>
  <c r="BO295" i="1"/>
  <c r="BM295" i="1"/>
  <c r="Y295" i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N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N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P244" i="1"/>
  <c r="BO243" i="1"/>
  <c r="BN243" i="1"/>
  <c r="BM243" i="1"/>
  <c r="Y243" i="1"/>
  <c r="BP243" i="1" s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N237" i="1" s="1"/>
  <c r="P237" i="1"/>
  <c r="BO236" i="1"/>
  <c r="BM236" i="1"/>
  <c r="Y236" i="1"/>
  <c r="P236" i="1"/>
  <c r="BO235" i="1"/>
  <c r="BM235" i="1"/>
  <c r="Y235" i="1"/>
  <c r="BP235" i="1" s="1"/>
  <c r="P235" i="1"/>
  <c r="X233" i="1"/>
  <c r="X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N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N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N188" i="1"/>
  <c r="BM188" i="1"/>
  <c r="Y188" i="1"/>
  <c r="BP188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N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N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N170" i="1"/>
  <c r="BM170" i="1"/>
  <c r="Y170" i="1"/>
  <c r="BP170" i="1" s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N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O151" i="1"/>
  <c r="BN151" i="1"/>
  <c r="BM151" i="1"/>
  <c r="Y151" i="1"/>
  <c r="BP151" i="1" s="1"/>
  <c r="P151" i="1"/>
  <c r="X148" i="1"/>
  <c r="Y147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BN136" i="1" s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BN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P101" i="1"/>
  <c r="BO100" i="1"/>
  <c r="BN100" i="1"/>
  <c r="BM100" i="1"/>
  <c r="Y100" i="1"/>
  <c r="BP100" i="1" s="1"/>
  <c r="P100" i="1"/>
  <c r="BO99" i="1"/>
  <c r="BM99" i="1"/>
  <c r="Y99" i="1"/>
  <c r="P99" i="1"/>
  <c r="BO98" i="1"/>
  <c r="BM98" i="1"/>
  <c r="Y98" i="1"/>
  <c r="P98" i="1"/>
  <c r="X96" i="1"/>
  <c r="X95" i="1"/>
  <c r="BO94" i="1"/>
  <c r="BN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O90" i="1"/>
  <c r="BN90" i="1"/>
  <c r="BM90" i="1"/>
  <c r="Y90" i="1"/>
  <c r="BP90" i="1" s="1"/>
  <c r="P90" i="1"/>
  <c r="BO89" i="1"/>
  <c r="BM89" i="1"/>
  <c r="Y89" i="1"/>
  <c r="P89" i="1"/>
  <c r="X86" i="1"/>
  <c r="X85" i="1"/>
  <c r="BO84" i="1"/>
  <c r="BM84" i="1"/>
  <c r="Y84" i="1"/>
  <c r="P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N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BO63" i="1"/>
  <c r="BN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BO59" i="1"/>
  <c r="BN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Z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X565" i="1" l="1"/>
  <c r="Z43" i="1"/>
  <c r="BP43" i="1"/>
  <c r="Z117" i="1"/>
  <c r="BP117" i="1"/>
  <c r="Z136" i="1"/>
  <c r="BP136" i="1"/>
  <c r="Z164" i="1"/>
  <c r="BP164" i="1"/>
  <c r="Y232" i="1"/>
  <c r="Z227" i="1"/>
  <c r="BP227" i="1"/>
  <c r="Z237" i="1"/>
  <c r="BP237" i="1"/>
  <c r="Z254" i="1"/>
  <c r="BP254" i="1"/>
  <c r="Z297" i="1"/>
  <c r="BP297" i="1"/>
  <c r="Z315" i="1"/>
  <c r="BP315" i="1"/>
  <c r="Z348" i="1"/>
  <c r="BP348" i="1"/>
  <c r="Z430" i="1"/>
  <c r="BP430" i="1"/>
  <c r="Z442" i="1"/>
  <c r="BP442" i="1"/>
  <c r="Z462" i="1"/>
  <c r="BP462" i="1"/>
  <c r="Z515" i="1"/>
  <c r="BP515" i="1"/>
  <c r="Z543" i="1"/>
  <c r="Z544" i="1" s="1"/>
  <c r="BP543" i="1"/>
  <c r="Z551" i="1"/>
  <c r="Z552" i="1" s="1"/>
  <c r="BP551" i="1"/>
  <c r="Z52" i="1"/>
  <c r="Z63" i="1"/>
  <c r="Z94" i="1"/>
  <c r="Y102" i="1"/>
  <c r="Z123" i="1"/>
  <c r="Z151" i="1"/>
  <c r="Z170" i="1"/>
  <c r="Z182" i="1"/>
  <c r="Z223" i="1"/>
  <c r="Z243" i="1"/>
  <c r="Z324" i="1"/>
  <c r="Z364" i="1"/>
  <c r="Z375" i="1"/>
  <c r="Z385" i="1"/>
  <c r="Z403" i="1"/>
  <c r="Z438" i="1"/>
  <c r="Z450" i="1"/>
  <c r="Z477" i="1"/>
  <c r="Z511" i="1"/>
  <c r="Z521" i="1"/>
  <c r="Z531" i="1"/>
  <c r="Y303" i="1"/>
  <c r="X568" i="1"/>
  <c r="Z27" i="1"/>
  <c r="Z59" i="1"/>
  <c r="Z71" i="1"/>
  <c r="Z90" i="1"/>
  <c r="Z100" i="1"/>
  <c r="Z178" i="1"/>
  <c r="Z188" i="1"/>
  <c r="Z219" i="1"/>
  <c r="Z249" i="1"/>
  <c r="Z250" i="1" s="1"/>
  <c r="BP249" i="1"/>
  <c r="Z270" i="1"/>
  <c r="Z282" i="1"/>
  <c r="Z333" i="1"/>
  <c r="Z371" i="1"/>
  <c r="Z381" i="1"/>
  <c r="Z391" i="1"/>
  <c r="Z409" i="1"/>
  <c r="Z487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350" i="1"/>
  <c r="Y349" i="1"/>
  <c r="Y355" i="1"/>
  <c r="S574" i="1"/>
  <c r="Y354" i="1"/>
  <c r="BP353" i="1"/>
  <c r="BN353" i="1"/>
  <c r="Z353" i="1"/>
  <c r="Z354" i="1" s="1"/>
  <c r="Y359" i="1"/>
  <c r="Y358" i="1"/>
  <c r="BP357" i="1"/>
  <c r="BN357" i="1"/>
  <c r="Z357" i="1"/>
  <c r="Z358" i="1" s="1"/>
  <c r="BP362" i="1"/>
  <c r="BN362" i="1"/>
  <c r="Z362" i="1"/>
  <c r="BP373" i="1"/>
  <c r="BN373" i="1"/>
  <c r="Z373" i="1"/>
  <c r="BP383" i="1"/>
  <c r="BN383" i="1"/>
  <c r="Z383" i="1"/>
  <c r="BP397" i="1"/>
  <c r="BN397" i="1"/>
  <c r="Z397" i="1"/>
  <c r="BP411" i="1"/>
  <c r="BN411" i="1"/>
  <c r="Z411" i="1"/>
  <c r="BP415" i="1"/>
  <c r="BN415" i="1"/>
  <c r="Z415" i="1"/>
  <c r="BP423" i="1"/>
  <c r="BN423" i="1"/>
  <c r="Z423" i="1"/>
  <c r="BP440" i="1"/>
  <c r="BN440" i="1"/>
  <c r="Z440" i="1"/>
  <c r="BP456" i="1"/>
  <c r="BN456" i="1"/>
  <c r="Z456" i="1"/>
  <c r="BP485" i="1"/>
  <c r="BN485" i="1"/>
  <c r="Z485" i="1"/>
  <c r="BP513" i="1"/>
  <c r="BN513" i="1"/>
  <c r="Z513" i="1"/>
  <c r="BP523" i="1"/>
  <c r="BN523" i="1"/>
  <c r="Z523" i="1"/>
  <c r="BP533" i="1"/>
  <c r="BN533" i="1"/>
  <c r="Z533" i="1"/>
  <c r="B574" i="1"/>
  <c r="X566" i="1"/>
  <c r="X567" i="1" s="1"/>
  <c r="Y31" i="1"/>
  <c r="Z29" i="1"/>
  <c r="BN29" i="1"/>
  <c r="Z41" i="1"/>
  <c r="BN41" i="1"/>
  <c r="Z54" i="1"/>
  <c r="BN54" i="1"/>
  <c r="Z61" i="1"/>
  <c r="BN61" i="1"/>
  <c r="Z65" i="1"/>
  <c r="BN65" i="1"/>
  <c r="Z73" i="1"/>
  <c r="BN73" i="1"/>
  <c r="Y79" i="1"/>
  <c r="Z83" i="1"/>
  <c r="BN83" i="1"/>
  <c r="Z92" i="1"/>
  <c r="BN92" i="1"/>
  <c r="Z98" i="1"/>
  <c r="BN98" i="1"/>
  <c r="BP98" i="1"/>
  <c r="Z107" i="1"/>
  <c r="BN107" i="1"/>
  <c r="Z111" i="1"/>
  <c r="BN111" i="1"/>
  <c r="Z119" i="1"/>
  <c r="BN119" i="1"/>
  <c r="Y127" i="1"/>
  <c r="Z125" i="1"/>
  <c r="BN125" i="1"/>
  <c r="Z140" i="1"/>
  <c r="BN140" i="1"/>
  <c r="BP140" i="1"/>
  <c r="Z153" i="1"/>
  <c r="BN153" i="1"/>
  <c r="Z166" i="1"/>
  <c r="BN166" i="1"/>
  <c r="Y172" i="1"/>
  <c r="Z176" i="1"/>
  <c r="BN176" i="1"/>
  <c r="Z180" i="1"/>
  <c r="BN180" i="1"/>
  <c r="Z184" i="1"/>
  <c r="BN184" i="1"/>
  <c r="Z204" i="1"/>
  <c r="BN204" i="1"/>
  <c r="Z208" i="1"/>
  <c r="BN208" i="1"/>
  <c r="Z221" i="1"/>
  <c r="BN221" i="1"/>
  <c r="Z225" i="1"/>
  <c r="BN225" i="1"/>
  <c r="Z229" i="1"/>
  <c r="BN229" i="1"/>
  <c r="Z235" i="1"/>
  <c r="BN235" i="1"/>
  <c r="Z239" i="1"/>
  <c r="BN239" i="1"/>
  <c r="Z245" i="1"/>
  <c r="BN245" i="1"/>
  <c r="Z260" i="1"/>
  <c r="BN260" i="1"/>
  <c r="Z264" i="1"/>
  <c r="BN264" i="1"/>
  <c r="Z268" i="1"/>
  <c r="BN268" i="1"/>
  <c r="Z276" i="1"/>
  <c r="BN276" i="1"/>
  <c r="Z280" i="1"/>
  <c r="BN280" i="1"/>
  <c r="Z284" i="1"/>
  <c r="BN284" i="1"/>
  <c r="Z295" i="1"/>
  <c r="Z302" i="1" s="1"/>
  <c r="BN295" i="1"/>
  <c r="BP295" i="1"/>
  <c r="Z299" i="1"/>
  <c r="BN299" i="1"/>
  <c r="Z305" i="1"/>
  <c r="Z306" i="1" s="1"/>
  <c r="BN305" i="1"/>
  <c r="BP305" i="1"/>
  <c r="Y306" i="1"/>
  <c r="Z309" i="1"/>
  <c r="Z310" i="1" s="1"/>
  <c r="BN309" i="1"/>
  <c r="BP309" i="1"/>
  <c r="Y310" i="1"/>
  <c r="Z313" i="1"/>
  <c r="BN313" i="1"/>
  <c r="Z322" i="1"/>
  <c r="BN322" i="1"/>
  <c r="Z326" i="1"/>
  <c r="BN326" i="1"/>
  <c r="Z340" i="1"/>
  <c r="BN340" i="1"/>
  <c r="Z346" i="1"/>
  <c r="BN346" i="1"/>
  <c r="BP346" i="1"/>
  <c r="U574" i="1"/>
  <c r="BP369" i="1"/>
  <c r="BN369" i="1"/>
  <c r="Z369" i="1"/>
  <c r="BP379" i="1"/>
  <c r="BN379" i="1"/>
  <c r="Z379" i="1"/>
  <c r="Y393" i="1"/>
  <c r="BP389" i="1"/>
  <c r="BN389" i="1"/>
  <c r="Z389" i="1"/>
  <c r="BP405" i="1"/>
  <c r="BN405" i="1"/>
  <c r="Z405" i="1"/>
  <c r="BP422" i="1"/>
  <c r="BN422" i="1"/>
  <c r="Z422" i="1"/>
  <c r="Y426" i="1"/>
  <c r="BP432" i="1"/>
  <c r="BN432" i="1"/>
  <c r="Z432" i="1"/>
  <c r="BP444" i="1"/>
  <c r="BN444" i="1"/>
  <c r="Z444" i="1"/>
  <c r="Y574" i="1"/>
  <c r="BP467" i="1"/>
  <c r="BN467" i="1"/>
  <c r="Z467" i="1"/>
  <c r="BP503" i="1"/>
  <c r="BN503" i="1"/>
  <c r="Z503" i="1"/>
  <c r="BP517" i="1"/>
  <c r="BN517" i="1"/>
  <c r="Z517" i="1"/>
  <c r="BP529" i="1"/>
  <c r="BN529" i="1"/>
  <c r="Z529" i="1"/>
  <c r="Y413" i="1"/>
  <c r="Y412" i="1"/>
  <c r="Y535" i="1"/>
  <c r="H9" i="1"/>
  <c r="A10" i="1"/>
  <c r="Y36" i="1"/>
  <c r="D574" i="1"/>
  <c r="Y56" i="1"/>
  <c r="BP51" i="1"/>
  <c r="BN51" i="1"/>
  <c r="Z51" i="1"/>
  <c r="BP64" i="1"/>
  <c r="BN64" i="1"/>
  <c r="Z64" i="1"/>
  <c r="BP72" i="1"/>
  <c r="BN72" i="1"/>
  <c r="Z72" i="1"/>
  <c r="Y96" i="1"/>
  <c r="BP89" i="1"/>
  <c r="BN89" i="1"/>
  <c r="Z89" i="1"/>
  <c r="F574" i="1"/>
  <c r="BP93" i="1"/>
  <c r="BN93" i="1"/>
  <c r="Z93" i="1"/>
  <c r="BP101" i="1"/>
  <c r="BN101" i="1"/>
  <c r="Z101" i="1"/>
  <c r="Y103" i="1"/>
  <c r="BP165" i="1"/>
  <c r="BN165" i="1"/>
  <c r="Z165" i="1"/>
  <c r="BP181" i="1"/>
  <c r="BN181" i="1"/>
  <c r="Z181" i="1"/>
  <c r="Y194" i="1"/>
  <c r="BP193" i="1"/>
  <c r="BN193" i="1"/>
  <c r="Z193" i="1"/>
  <c r="Z194" i="1" s="1"/>
  <c r="Y198" i="1"/>
  <c r="BP197" i="1"/>
  <c r="BN197" i="1"/>
  <c r="Z197" i="1"/>
  <c r="Z198" i="1" s="1"/>
  <c r="BP224" i="1"/>
  <c r="BN224" i="1"/>
  <c r="Z224" i="1"/>
  <c r="Y24" i="1"/>
  <c r="Y32" i="1"/>
  <c r="Y47" i="1"/>
  <c r="Y55" i="1"/>
  <c r="BP60" i="1"/>
  <c r="BN60" i="1"/>
  <c r="Z60" i="1"/>
  <c r="BP84" i="1"/>
  <c r="BN84" i="1"/>
  <c r="Z84" i="1"/>
  <c r="Y86" i="1"/>
  <c r="G574" i="1"/>
  <c r="Y113" i="1"/>
  <c r="BP106" i="1"/>
  <c r="BN106" i="1"/>
  <c r="Z106" i="1"/>
  <c r="BP110" i="1"/>
  <c r="BN110" i="1"/>
  <c r="Z110" i="1"/>
  <c r="BP118" i="1"/>
  <c r="BN118" i="1"/>
  <c r="Z118" i="1"/>
  <c r="BP126" i="1"/>
  <c r="BN126" i="1"/>
  <c r="Z126" i="1"/>
  <c r="Y128" i="1"/>
  <c r="Y131" i="1"/>
  <c r="BP130" i="1"/>
  <c r="BN130" i="1"/>
  <c r="Z130" i="1"/>
  <c r="Z131" i="1" s="1"/>
  <c r="Y132" i="1"/>
  <c r="H574" i="1"/>
  <c r="Y138" i="1"/>
  <c r="BP135" i="1"/>
  <c r="BN135" i="1"/>
  <c r="Z135" i="1"/>
  <c r="Z137" i="1" s="1"/>
  <c r="BP152" i="1"/>
  <c r="BN152" i="1"/>
  <c r="Z152" i="1"/>
  <c r="BP177" i="1"/>
  <c r="BN177" i="1"/>
  <c r="Z177" i="1"/>
  <c r="Y185" i="1"/>
  <c r="BP189" i="1"/>
  <c r="BN189" i="1"/>
  <c r="Z189" i="1"/>
  <c r="Z190" i="1" s="1"/>
  <c r="Y191" i="1"/>
  <c r="Y195" i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8" i="1"/>
  <c r="BN228" i="1"/>
  <c r="Z228" i="1"/>
  <c r="BP236" i="1"/>
  <c r="BN236" i="1"/>
  <c r="Z236" i="1"/>
  <c r="Y240" i="1"/>
  <c r="BP244" i="1"/>
  <c r="BN244" i="1"/>
  <c r="Z244" i="1"/>
  <c r="Z246" i="1" s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Z291" i="1" s="1"/>
  <c r="BP298" i="1"/>
  <c r="BN298" i="1"/>
  <c r="Z298" i="1"/>
  <c r="Y302" i="1"/>
  <c r="BP314" i="1"/>
  <c r="BN314" i="1"/>
  <c r="Z314" i="1"/>
  <c r="BP323" i="1"/>
  <c r="BN323" i="1"/>
  <c r="Z323" i="1"/>
  <c r="BP327" i="1"/>
  <c r="BN327" i="1"/>
  <c r="Z327" i="1"/>
  <c r="Y329" i="1"/>
  <c r="F9" i="1"/>
  <c r="J9" i="1"/>
  <c r="Z22" i="1"/>
  <c r="Z23" i="1" s="1"/>
  <c r="BN22" i="1"/>
  <c r="BP22" i="1"/>
  <c r="Y23" i="1"/>
  <c r="X564" i="1"/>
  <c r="Z26" i="1"/>
  <c r="BN26" i="1"/>
  <c r="BP26" i="1"/>
  <c r="Z28" i="1"/>
  <c r="BN28" i="1"/>
  <c r="Z30" i="1"/>
  <c r="BN30" i="1"/>
  <c r="Z34" i="1"/>
  <c r="Z36" i="1" s="1"/>
  <c r="BN34" i="1"/>
  <c r="BP34" i="1"/>
  <c r="C574" i="1"/>
  <c r="Y46" i="1"/>
  <c r="Z42" i="1"/>
  <c r="BN42" i="1"/>
  <c r="Z44" i="1"/>
  <c r="BN44" i="1"/>
  <c r="BP45" i="1"/>
  <c r="BN45" i="1"/>
  <c r="BP53" i="1"/>
  <c r="BN53" i="1"/>
  <c r="Z53" i="1"/>
  <c r="BP62" i="1"/>
  <c r="BN62" i="1"/>
  <c r="Z62" i="1"/>
  <c r="BP66" i="1"/>
  <c r="BN66" i="1"/>
  <c r="Z66" i="1"/>
  <c r="Y68" i="1"/>
  <c r="Y75" i="1"/>
  <c r="BP70" i="1"/>
  <c r="BN70" i="1"/>
  <c r="Z70" i="1"/>
  <c r="Y74" i="1"/>
  <c r="BP78" i="1"/>
  <c r="BN78" i="1"/>
  <c r="Z78" i="1"/>
  <c r="Z79" i="1" s="1"/>
  <c r="Y80" i="1"/>
  <c r="Y85" i="1"/>
  <c r="BP82" i="1"/>
  <c r="BN82" i="1"/>
  <c r="Z82" i="1"/>
  <c r="BP91" i="1"/>
  <c r="BN91" i="1"/>
  <c r="Z91" i="1"/>
  <c r="Y95" i="1"/>
  <c r="BP99" i="1"/>
  <c r="BN99" i="1"/>
  <c r="Z99" i="1"/>
  <c r="BP108" i="1"/>
  <c r="BN108" i="1"/>
  <c r="Z108" i="1"/>
  <c r="BP112" i="1"/>
  <c r="BN112" i="1"/>
  <c r="Z112" i="1"/>
  <c r="Y114" i="1"/>
  <c r="Y121" i="1"/>
  <c r="BP116" i="1"/>
  <c r="BN116" i="1"/>
  <c r="Z116" i="1"/>
  <c r="Z120" i="1" s="1"/>
  <c r="Y120" i="1"/>
  <c r="BP124" i="1"/>
  <c r="BN124" i="1"/>
  <c r="Z124" i="1"/>
  <c r="Z127" i="1" s="1"/>
  <c r="Y137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Y190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Y241" i="1"/>
  <c r="BP238" i="1"/>
  <c r="BN238" i="1"/>
  <c r="Z238" i="1"/>
  <c r="Y247" i="1"/>
  <c r="Y246" i="1"/>
  <c r="BP255" i="1"/>
  <c r="BN255" i="1"/>
  <c r="Z255" i="1"/>
  <c r="Z256" i="1" s="1"/>
  <c r="Y257" i="1"/>
  <c r="Y262" i="1"/>
  <c r="BP259" i="1"/>
  <c r="BN259" i="1"/>
  <c r="Z259" i="1"/>
  <c r="Y272" i="1"/>
  <c r="BP267" i="1"/>
  <c r="BN267" i="1"/>
  <c r="Z267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Y291" i="1"/>
  <c r="BP296" i="1"/>
  <c r="BN296" i="1"/>
  <c r="Z296" i="1"/>
  <c r="O574" i="1"/>
  <c r="BP300" i="1"/>
  <c r="BN300" i="1"/>
  <c r="Z300" i="1"/>
  <c r="Y317" i="1"/>
  <c r="BP316" i="1"/>
  <c r="BN316" i="1"/>
  <c r="Z316" i="1"/>
  <c r="Y318" i="1"/>
  <c r="P574" i="1"/>
  <c r="Y328" i="1"/>
  <c r="BP321" i="1"/>
  <c r="BN321" i="1"/>
  <c r="Z321" i="1"/>
  <c r="BP325" i="1"/>
  <c r="BN325" i="1"/>
  <c r="Z325" i="1"/>
  <c r="Q574" i="1"/>
  <c r="Y335" i="1"/>
  <c r="BP334" i="1"/>
  <c r="BN334" i="1"/>
  <c r="BP341" i="1"/>
  <c r="BN341" i="1"/>
  <c r="Z341" i="1"/>
  <c r="BP363" i="1"/>
  <c r="BN363" i="1"/>
  <c r="Z363" i="1"/>
  <c r="Z365" i="1" s="1"/>
  <c r="BP372" i="1"/>
  <c r="BN372" i="1"/>
  <c r="Z372" i="1"/>
  <c r="Y376" i="1"/>
  <c r="BP380" i="1"/>
  <c r="BN380" i="1"/>
  <c r="Z380" i="1"/>
  <c r="BP384" i="1"/>
  <c r="BN384" i="1"/>
  <c r="Z384" i="1"/>
  <c r="BP392" i="1"/>
  <c r="BN392" i="1"/>
  <c r="Z392" i="1"/>
  <c r="Y394" i="1"/>
  <c r="Y399" i="1"/>
  <c r="BP396" i="1"/>
  <c r="BN396" i="1"/>
  <c r="Z396" i="1"/>
  <c r="BP404" i="1"/>
  <c r="BN404" i="1"/>
  <c r="Z404" i="1"/>
  <c r="BP416" i="1"/>
  <c r="BN416" i="1"/>
  <c r="Z416" i="1"/>
  <c r="BP431" i="1"/>
  <c r="BN431" i="1"/>
  <c r="Z431" i="1"/>
  <c r="BP441" i="1"/>
  <c r="BN441" i="1"/>
  <c r="Z441" i="1"/>
  <c r="BP445" i="1"/>
  <c r="BN445" i="1"/>
  <c r="Z445" i="1"/>
  <c r="Y447" i="1"/>
  <c r="Y452" i="1"/>
  <c r="BP449" i="1"/>
  <c r="BN449" i="1"/>
  <c r="Z449" i="1"/>
  <c r="BP457" i="1"/>
  <c r="BN457" i="1"/>
  <c r="Z457" i="1"/>
  <c r="Y459" i="1"/>
  <c r="Y464" i="1"/>
  <c r="BP461" i="1"/>
  <c r="BN461" i="1"/>
  <c r="Z461" i="1"/>
  <c r="Z463" i="1" s="1"/>
  <c r="BP478" i="1"/>
  <c r="BN478" i="1"/>
  <c r="Z478" i="1"/>
  <c r="Y480" i="1"/>
  <c r="Z574" i="1"/>
  <c r="Y490" i="1"/>
  <c r="Y491" i="1"/>
  <c r="BP484" i="1"/>
  <c r="BN484" i="1"/>
  <c r="Z484" i="1"/>
  <c r="BP488" i="1"/>
  <c r="BN488" i="1"/>
  <c r="Z488" i="1"/>
  <c r="BP530" i="1"/>
  <c r="BN530" i="1"/>
  <c r="Z530" i="1"/>
  <c r="Y534" i="1"/>
  <c r="BP556" i="1"/>
  <c r="BN556" i="1"/>
  <c r="Z556" i="1"/>
  <c r="Z557" i="1" s="1"/>
  <c r="AC574" i="1"/>
  <c r="Y558" i="1"/>
  <c r="AD574" i="1"/>
  <c r="Y562" i="1"/>
  <c r="BP561" i="1"/>
  <c r="BN561" i="1"/>
  <c r="Z561" i="1"/>
  <c r="Z562" i="1" s="1"/>
  <c r="Y563" i="1"/>
  <c r="W574" i="1"/>
  <c r="E574" i="1"/>
  <c r="Y67" i="1"/>
  <c r="I574" i="1"/>
  <c r="Y155" i="1"/>
  <c r="M574" i="1"/>
  <c r="Y256" i="1"/>
  <c r="Z332" i="1"/>
  <c r="BN332" i="1"/>
  <c r="BP332" i="1"/>
  <c r="Z334" i="1"/>
  <c r="Y336" i="1"/>
  <c r="R574" i="1"/>
  <c r="Y344" i="1"/>
  <c r="BP339" i="1"/>
  <c r="BN339" i="1"/>
  <c r="Z339" i="1"/>
  <c r="Z343" i="1" s="1"/>
  <c r="Y343" i="1"/>
  <c r="BP347" i="1"/>
  <c r="BN347" i="1"/>
  <c r="Z347" i="1"/>
  <c r="Z349" i="1" s="1"/>
  <c r="Y365" i="1"/>
  <c r="BP370" i="1"/>
  <c r="BN370" i="1"/>
  <c r="Z370" i="1"/>
  <c r="BP374" i="1"/>
  <c r="BN374" i="1"/>
  <c r="Z374" i="1"/>
  <c r="Y387" i="1"/>
  <c r="BP382" i="1"/>
  <c r="BN382" i="1"/>
  <c r="Z382" i="1"/>
  <c r="Y386" i="1"/>
  <c r="BP390" i="1"/>
  <c r="BN390" i="1"/>
  <c r="Z390" i="1"/>
  <c r="Z393" i="1" s="1"/>
  <c r="BP398" i="1"/>
  <c r="BN398" i="1"/>
  <c r="Z398" i="1"/>
  <c r="Y400" i="1"/>
  <c r="Y407" i="1"/>
  <c r="BP402" i="1"/>
  <c r="BN402" i="1"/>
  <c r="Z402" i="1"/>
  <c r="Z406" i="1" s="1"/>
  <c r="Y406" i="1"/>
  <c r="BP410" i="1"/>
  <c r="BN410" i="1"/>
  <c r="Z410" i="1"/>
  <c r="Z412" i="1" s="1"/>
  <c r="Y419" i="1"/>
  <c r="Y418" i="1"/>
  <c r="BP424" i="1"/>
  <c r="BN424" i="1"/>
  <c r="Z424" i="1"/>
  <c r="Y434" i="1"/>
  <c r="Y433" i="1"/>
  <c r="BP439" i="1"/>
  <c r="BN439" i="1"/>
  <c r="Z439" i="1"/>
  <c r="BP443" i="1"/>
  <c r="BN443" i="1"/>
  <c r="Z443" i="1"/>
  <c r="BP451" i="1"/>
  <c r="BN451" i="1"/>
  <c r="Z451" i="1"/>
  <c r="Y453" i="1"/>
  <c r="Y458" i="1"/>
  <c r="BP455" i="1"/>
  <c r="BN455" i="1"/>
  <c r="Z455" i="1"/>
  <c r="Y463" i="1"/>
  <c r="BP468" i="1"/>
  <c r="BN468" i="1"/>
  <c r="Z468" i="1"/>
  <c r="Z469" i="1" s="1"/>
  <c r="Y470" i="1"/>
  <c r="Y473" i="1"/>
  <c r="BP472" i="1"/>
  <c r="BN472" i="1"/>
  <c r="Z472" i="1"/>
  <c r="Z473" i="1" s="1"/>
  <c r="Y474" i="1"/>
  <c r="Y479" i="1"/>
  <c r="BP476" i="1"/>
  <c r="BN476" i="1"/>
  <c r="Z476" i="1"/>
  <c r="BP486" i="1"/>
  <c r="BN486" i="1"/>
  <c r="Z486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24" i="1"/>
  <c r="AA574" i="1"/>
  <c r="T574" i="1"/>
  <c r="Y366" i="1"/>
  <c r="Y377" i="1"/>
  <c r="V574" i="1"/>
  <c r="Y427" i="1"/>
  <c r="X574" i="1"/>
  <c r="Y446" i="1"/>
  <c r="Y469" i="1"/>
  <c r="BP489" i="1"/>
  <c r="BN489" i="1"/>
  <c r="Z489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BP512" i="1"/>
  <c r="BN512" i="1"/>
  <c r="Z512" i="1"/>
  <c r="BP516" i="1"/>
  <c r="BN516" i="1"/>
  <c r="Z516" i="1"/>
  <c r="Y525" i="1"/>
  <c r="BP528" i="1"/>
  <c r="BN528" i="1"/>
  <c r="Z528" i="1"/>
  <c r="BP532" i="1"/>
  <c r="BN532" i="1"/>
  <c r="Z532" i="1"/>
  <c r="Y557" i="1"/>
  <c r="Z433" i="1" l="1"/>
  <c r="Z85" i="1"/>
  <c r="Z74" i="1"/>
  <c r="Z386" i="1"/>
  <c r="Z46" i="1"/>
  <c r="Z534" i="1"/>
  <c r="Z479" i="1"/>
  <c r="Z458" i="1"/>
  <c r="Z426" i="1"/>
  <c r="Z376" i="1"/>
  <c r="Z418" i="1"/>
  <c r="Z261" i="1"/>
  <c r="Z240" i="1"/>
  <c r="Z167" i="1"/>
  <c r="Z102" i="1"/>
  <c r="Z317" i="1"/>
  <c r="Z272" i="1"/>
  <c r="Z155" i="1"/>
  <c r="Z67" i="1"/>
  <c r="Z518" i="1"/>
  <c r="Z505" i="1"/>
  <c r="Z446" i="1"/>
  <c r="Z335" i="1"/>
  <c r="Z490" i="1"/>
  <c r="Z452" i="1"/>
  <c r="Z399" i="1"/>
  <c r="Z328" i="1"/>
  <c r="Z232" i="1"/>
  <c r="Z185" i="1"/>
  <c r="Z31" i="1"/>
  <c r="Y568" i="1"/>
  <c r="Y565" i="1"/>
  <c r="Y564" i="1"/>
  <c r="Z95" i="1"/>
  <c r="Z55" i="1"/>
  <c r="Z286" i="1"/>
  <c r="Y566" i="1"/>
  <c r="Z210" i="1"/>
  <c r="Z113" i="1"/>
  <c r="Z569" i="1" l="1"/>
  <c r="Y567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<sst xmlns="http://schemas.openxmlformats.org/spreadsheetml/2006/main" count="2538" uniqueCount="917">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</sst>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46319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886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5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0.45833333333333331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16</v>
      </c>
      <c r="Y28" s="634">
        <f>IFERROR(IF(X28="",0,CEILING((X28/$H28),1)*$H28),"")</f>
        <v>16.2</v>
      </c>
      <c r="Z28" s="36">
        <f>IFERROR(IF(Y28=0,"",ROUNDUP(Y28/H28,0)*0.00651),"")</f>
        <v>5.8590000000000003E-2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28.266666666666666</v>
      </c>
      <c r="BN28" s="64">
        <f>IFERROR(Y28*I28/H28,"0")</f>
        <v>28.619999999999997</v>
      </c>
      <c r="BO28" s="64">
        <f>IFERROR(1/J28*(X28/H28),"0")</f>
        <v>4.8840048840048847E-2</v>
      </c>
      <c r="BP28" s="64">
        <f>IFERROR(1/J28*(Y28/H28),"0")</f>
        <v>4.9450549450549455E-2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8.8888888888888893</v>
      </c>
      <c r="Y31" s="635">
        <f>IFERROR(Y26/H26,"0")+IFERROR(Y27/H27,"0")+IFERROR(Y28/H28,"0")+IFERROR(Y29/H29,"0")+IFERROR(Y30/H30,"0")</f>
        <v>9</v>
      </c>
      <c r="Z31" s="635">
        <f>IFERROR(IF(Z26="",0,Z26),"0")+IFERROR(IF(Z27="",0,Z27),"0")+IFERROR(IF(Z28="",0,Z28),"0")+IFERROR(IF(Z29="",0,Z29),"0")+IFERROR(IF(Z30="",0,Z30),"0")</f>
        <v>5.8590000000000003E-2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16</v>
      </c>
      <c r="Y32" s="635">
        <f>IFERROR(SUM(Y26:Y30),"0")</f>
        <v>16.2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400</v>
      </c>
      <c r="Y51" s="634">
        <f>IFERROR(IF(X51="",0,CEILING((X51/$H51),1)*$H51),"")</f>
        <v>410.40000000000003</v>
      </c>
      <c r="Z51" s="36">
        <f>IFERROR(IF(Y51=0,"",ROUNDUP(Y51/H51,0)*0.01898),"")</f>
        <v>0.72123999999999999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415.18518518518516</v>
      </c>
      <c r="BN51" s="64">
        <f>IFERROR(Y51*I51/H51,"0")</f>
        <v>425.98</v>
      </c>
      <c r="BO51" s="64">
        <f>IFERROR(1/J51*(X51/H51),"0")</f>
        <v>0.57870370370370372</v>
      </c>
      <c r="BP51" s="64">
        <f>IFERROR(1/J51*(Y51/H51),"0")</f>
        <v>0.59375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4</v>
      </c>
      <c r="Y53" s="634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38.037037037037038</v>
      </c>
      <c r="Y55" s="635">
        <f>IFERROR(Y51/H51,"0")+IFERROR(Y52/H52,"0")+IFERROR(Y53/H53,"0")+IFERROR(Y54/H54,"0")</f>
        <v>39</v>
      </c>
      <c r="Z55" s="635">
        <f>IFERROR(IF(Z51="",0,Z51),"0")+IFERROR(IF(Z52="",0,Z52),"0")+IFERROR(IF(Z53="",0,Z53),"0")+IFERROR(IF(Z54="",0,Z54),"0")</f>
        <v>0.73026000000000002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404</v>
      </c>
      <c r="Y56" s="635">
        <f>IFERROR(SUM(Y51:Y54),"0")</f>
        <v>414.40000000000003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56</v>
      </c>
      <c r="Y59" s="634">
        <f t="shared" ref="Y59:Y66" si="0">IFERROR(IF(X59="",0,CEILING((X59/$H59),1)*$H59),"")</f>
        <v>56</v>
      </c>
      <c r="Z59" s="36">
        <f>IFERROR(IF(Y59=0,"",ROUNDUP(Y59/H59,0)*0.01898),"")</f>
        <v>9.4899999999999998E-2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58.050000000000004</v>
      </c>
      <c r="BN59" s="64">
        <f t="shared" ref="BN59:BN66" si="2">IFERROR(Y59*I59/H59,"0")</f>
        <v>58.050000000000004</v>
      </c>
      <c r="BO59" s="64">
        <f t="shared" ref="BO59:BO66" si="3">IFERROR(1/J59*(X59/H59),"0")</f>
        <v>7.8125E-2</v>
      </c>
      <c r="BP59" s="64">
        <f t="shared" ref="BP59:BP66" si="4">IFERROR(1/J59*(Y59/H59),"0")</f>
        <v>7.8125E-2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</v>
      </c>
      <c r="Y67" s="635">
        <f>IFERROR(Y59/H59,"0")+IFERROR(Y60/H60,"0")+IFERROR(Y61/H61,"0")+IFERROR(Y62/H62,"0")+IFERROR(Y63/H63,"0")+IFERROR(Y64/H64,"0")+IFERROR(Y65/H65,"0")+IFERROR(Y66/H66,"0")</f>
        <v>5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56</v>
      </c>
      <c r="Y68" s="635">
        <f>IFERROR(SUM(Y59:Y66),"0")</f>
        <v>56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105</v>
      </c>
      <c r="Y82" s="634">
        <f>IFERROR(IF(X82="",0,CEILING((X82/$H82),1)*$H82),"")</f>
        <v>109.2</v>
      </c>
      <c r="Z82" s="36">
        <f>IFERROR(IF(Y82=0,"",ROUNDUP(Y82/H82,0)*0.01898),"")</f>
        <v>0.26572000000000001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110.51923076923077</v>
      </c>
      <c r="BN82" s="64">
        <f>IFERROR(Y82*I82/H82,"0")</f>
        <v>114.94000000000003</v>
      </c>
      <c r="BO82" s="64">
        <f>IFERROR(1/J82*(X82/H82),"0")</f>
        <v>0.21033653846153846</v>
      </c>
      <c r="BP82" s="64">
        <f>IFERROR(1/J82*(Y82/H82),"0")</f>
        <v>0.21875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13.461538461538462</v>
      </c>
      <c r="Y85" s="635">
        <f>IFERROR(Y82/H82,"0")+IFERROR(Y83/H83,"0")+IFERROR(Y84/H84,"0")</f>
        <v>14</v>
      </c>
      <c r="Z85" s="635">
        <f>IFERROR(IF(Z82="",0,Z82),"0")+IFERROR(IF(Z83="",0,Z83),"0")+IFERROR(IF(Z84="",0,Z84),"0")</f>
        <v>0.26572000000000001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105</v>
      </c>
      <c r="Y86" s="635">
        <f>IFERROR(SUM(Y82:Y84),"0")</f>
        <v>109.2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25</v>
      </c>
      <c r="Y94" s="634">
        <f t="shared" si="5"/>
        <v>27</v>
      </c>
      <c r="Z94" s="36">
        <f>IFERROR(IF(Y94=0,"",ROUNDUP(Y94/H94,0)*0.00902),"")</f>
        <v>5.4120000000000001E-2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26.055555555555557</v>
      </c>
      <c r="BN94" s="64">
        <f t="shared" si="7"/>
        <v>28.14</v>
      </c>
      <c r="BO94" s="64">
        <f t="shared" si="8"/>
        <v>4.208754208754209E-2</v>
      </c>
      <c r="BP94" s="64">
        <f t="shared" si="9"/>
        <v>4.5454545454545456E-2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5.5555555555555554</v>
      </c>
      <c r="Y95" s="635">
        <f>IFERROR(Y89/H89,"0")+IFERROR(Y90/H90,"0")+IFERROR(Y91/H91,"0")+IFERROR(Y92/H92,"0")+IFERROR(Y93/H93,"0")+IFERROR(Y94/H94,"0")</f>
        <v>6</v>
      </c>
      <c r="Z95" s="635">
        <f>IFERROR(IF(Z89="",0,Z89),"0")+IFERROR(IF(Z90="",0,Z90),"0")+IFERROR(IF(Z91="",0,Z91),"0")+IFERROR(IF(Z92="",0,Z92),"0")+IFERROR(IF(Z93="",0,Z93),"0")+IFERROR(IF(Z94="",0,Z94),"0")</f>
        <v>5.4120000000000001E-2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25</v>
      </c>
      <c r="Y96" s="635">
        <f>IFERROR(SUM(Y89:Y94),"0")</f>
        <v>27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6</v>
      </c>
      <c r="Y98" s="634">
        <f>IFERROR(IF(X98="",0,CEILING((X98/$H98),1)*$H98),"")</f>
        <v>8.1</v>
      </c>
      <c r="Z98" s="36">
        <f>IFERROR(IF(Y98=0,"",ROUNDUP(Y98/H98,0)*0.01898),"")</f>
        <v>1.898E-2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6.3659259259259251</v>
      </c>
      <c r="BN98" s="64">
        <f>IFERROR(Y98*I98/H98,"0")</f>
        <v>8.5939999999999994</v>
      </c>
      <c r="BO98" s="64">
        <f>IFERROR(1/J98*(X98/H98),"0")</f>
        <v>1.1574074074074075E-2</v>
      </c>
      <c r="BP98" s="64">
        <f>IFERROR(1/J98*(Y98/H98),"0")</f>
        <v>1.5625E-2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0.74074074074074081</v>
      </c>
      <c r="Y102" s="635">
        <f>IFERROR(Y98/H98,"0")+IFERROR(Y99/H99,"0")+IFERROR(Y100/H100,"0")+IFERROR(Y101/H101,"0")</f>
        <v>1</v>
      </c>
      <c r="Z102" s="635">
        <f>IFERROR(IF(Z98="",0,Z98),"0")+IFERROR(IF(Z99="",0,Z99),"0")+IFERROR(IF(Z100="",0,Z100),"0")+IFERROR(IF(Z101="",0,Z101),"0")</f>
        <v>1.898E-2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6</v>
      </c>
      <c r="Y103" s="635">
        <f>IFERROR(SUM(Y98:Y101),"0")</f>
        <v>8.1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486</v>
      </c>
      <c r="Y106" s="634">
        <f t="shared" ref="Y106:Y112" si="10">IFERROR(IF(X106="",0,CEILING((X106/$H106),1)*$H106),"")</f>
        <v>486.00000000000006</v>
      </c>
      <c r="Z106" s="36">
        <f>IFERROR(IF(Y106=0,"",ROUNDUP(Y106/H106,0)*0.01898),"")</f>
        <v>0.85409999999999997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504.45</v>
      </c>
      <c r="BN106" s="64">
        <f t="shared" ref="BN106:BN112" si="12">IFERROR(Y106*I106/H106,"0")</f>
        <v>504.4500000000001</v>
      </c>
      <c r="BO106" s="64">
        <f t="shared" ref="BO106:BO112" si="13">IFERROR(1/J106*(X106/H106),"0")</f>
        <v>0.703125</v>
      </c>
      <c r="BP106" s="64">
        <f t="shared" ref="BP106:BP112" si="14">IFERROR(1/J106*(Y106/H106),"0")</f>
        <v>0.703125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4</v>
      </c>
      <c r="Y108" s="634">
        <f t="shared" si="10"/>
        <v>4.62</v>
      </c>
      <c r="Z108" s="36">
        <f>IFERROR(IF(Y108=0,"",ROUNDUP(Y108/H108,0)*0.00726),"")</f>
        <v>5.0819999999999997E-2</v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5.0060606060606059</v>
      </c>
      <c r="BN108" s="64">
        <f t="shared" si="12"/>
        <v>5.7819999999999991</v>
      </c>
      <c r="BO108" s="64">
        <f t="shared" si="13"/>
        <v>3.1565656565656561E-2</v>
      </c>
      <c r="BP108" s="64">
        <f t="shared" si="14"/>
        <v>3.6458333333333329E-2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156</v>
      </c>
      <c r="Y110" s="634">
        <f t="shared" si="10"/>
        <v>157.5</v>
      </c>
      <c r="Z110" s="36">
        <f>IFERROR(IF(Y110=0,"",ROUNDUP(Y110/H110,0)*0.00902),"")</f>
        <v>0.31569999999999998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162.5866666666667</v>
      </c>
      <c r="BN110" s="64">
        <f t="shared" si="12"/>
        <v>164.15</v>
      </c>
      <c r="BO110" s="64">
        <f t="shared" si="13"/>
        <v>0.2626262626262626</v>
      </c>
      <c r="BP110" s="64">
        <f t="shared" si="14"/>
        <v>0.26515151515151514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85.72727272727272</v>
      </c>
      <c r="Y113" s="635">
        <f>IFERROR(Y106/H106,"0")+IFERROR(Y107/H107,"0")+IFERROR(Y108/H108,"0")+IFERROR(Y109/H109,"0")+IFERROR(Y110/H110,"0")+IFERROR(Y111/H111,"0")+IFERROR(Y112/H112,"0")</f>
        <v>87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1.2206199999999998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646</v>
      </c>
      <c r="Y114" s="635">
        <f>IFERROR(SUM(Y106:Y112),"0")</f>
        <v>648.12000000000012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521</v>
      </c>
      <c r="Y123" s="634">
        <f>IFERROR(IF(X123="",0,CEILING((X123/$H123),1)*$H123),"")</f>
        <v>526.5</v>
      </c>
      <c r="Z123" s="36">
        <f>IFERROR(IF(Y123=0,"",ROUNDUP(Y123/H123,0)*0.01898),"")</f>
        <v>1.2337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552.3886419753087</v>
      </c>
      <c r="BN123" s="64">
        <f>IFERROR(Y123*I123/H123,"0")</f>
        <v>558.21999999999991</v>
      </c>
      <c r="BO123" s="64">
        <f>IFERROR(1/J123*(X123/H123),"0")</f>
        <v>1.0050154320987654</v>
      </c>
      <c r="BP123" s="64">
        <f>IFERROR(1/J123*(Y123/H123),"0")</f>
        <v>1.015625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64.320987654320987</v>
      </c>
      <c r="Y127" s="635">
        <f>IFERROR(Y123/H123,"0")+IFERROR(Y124/H124,"0")+IFERROR(Y125/H125,"0")+IFERROR(Y126/H126,"0")</f>
        <v>65</v>
      </c>
      <c r="Z127" s="635">
        <f>IFERROR(IF(Z123="",0,Z123),"0")+IFERROR(IF(Z124="",0,Z124),"0")+IFERROR(IF(Z125="",0,Z125),"0")+IFERROR(IF(Z126="",0,Z126),"0")</f>
        <v>1.2337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521</v>
      </c>
      <c r="Y128" s="635">
        <f>IFERROR(SUM(Y123:Y126),"0")</f>
        <v>526.5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12</v>
      </c>
      <c r="Y130" s="634">
        <f>IFERROR(IF(X130="",0,CEILING((X130/$H130),1)*$H130),"")</f>
        <v>13.86</v>
      </c>
      <c r="Z130" s="36">
        <f>IFERROR(IF(Y130=0,"",ROUNDUP(Y130/H130,0)*0.00651),"")</f>
        <v>4.5569999999999999E-2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13.563636363636364</v>
      </c>
      <c r="BN130" s="64">
        <f>IFERROR(Y130*I130/H130,"0")</f>
        <v>15.666</v>
      </c>
      <c r="BO130" s="64">
        <f>IFERROR(1/J130*(X130/H130),"0")</f>
        <v>3.3300033300033303E-2</v>
      </c>
      <c r="BP130" s="64">
        <f>IFERROR(1/J130*(Y130/H130),"0")</f>
        <v>3.8461538461538464E-2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6.0606060606060606</v>
      </c>
      <c r="Y131" s="635">
        <f>IFERROR(Y130/H130,"0")</f>
        <v>7</v>
      </c>
      <c r="Z131" s="635">
        <f>IFERROR(IF(Z130="",0,Z130),"0")</f>
        <v>4.5569999999999999E-2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12</v>
      </c>
      <c r="Y132" s="635">
        <f>IFERROR(SUM(Y130:Y130),"0")</f>
        <v>13.86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13</v>
      </c>
      <c r="Y135" s="634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13.731249999999999</v>
      </c>
      <c r="BN135" s="64">
        <f>IFERROR(Y135*I135/H135,"0")</f>
        <v>16.899999999999999</v>
      </c>
      <c r="BO135" s="64">
        <f>IFERROR(1/J135*(X135/H135),"0")</f>
        <v>2.2321428571428572E-2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4.0625</v>
      </c>
      <c r="Y137" s="635">
        <f>IFERROR(Y135/H135,"0")+IFERROR(Y136/H136,"0")</f>
        <v>5</v>
      </c>
      <c r="Z137" s="635">
        <f>IFERROR(IF(Z135="",0,Z135),"0")+IFERROR(IF(Z136="",0,Z136),"0")</f>
        <v>3.2550000000000003E-2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13</v>
      </c>
      <c r="Y138" s="635">
        <f>IFERROR(SUM(Y135:Y136),"0")</f>
        <v>16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</v>
      </c>
      <c r="Y140" s="634">
        <f>IFERROR(IF(X140="",0,CEILING((X140/$H140),1)*$H140),"")</f>
        <v>2.8</v>
      </c>
      <c r="Z140" s="36">
        <f>IFERROR(IF(Y140=0,"",ROUNDUP(Y140/H140,0)*0.00651),"")</f>
        <v>6.5100000000000002E-3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2.1914285714285717</v>
      </c>
      <c r="BN140" s="64">
        <f>IFERROR(Y140*I140/H140,"0")</f>
        <v>3.0679999999999996</v>
      </c>
      <c r="BO140" s="64">
        <f>IFERROR(1/J140*(X140/H140),"0")</f>
        <v>3.9246467817896395E-3</v>
      </c>
      <c r="BP140" s="64">
        <f>IFERROR(1/J140*(Y140/H140),"0")</f>
        <v>5.4945054945054949E-3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0.7142857142857143</v>
      </c>
      <c r="Y142" s="635">
        <f>IFERROR(Y140/H140,"0")+IFERROR(Y141/H141,"0")</f>
        <v>1</v>
      </c>
      <c r="Z142" s="635">
        <f>IFERROR(IF(Z140="",0,Z140),"0")+IFERROR(IF(Z141="",0,Z141),"0")</f>
        <v>6.5100000000000002E-3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</v>
      </c>
      <c r="Y143" s="635">
        <f>IFERROR(SUM(Y140:Y141),"0")</f>
        <v>2.8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65</v>
      </c>
      <c r="Y175" s="634">
        <f t="shared" ref="Y175:Y184" si="15">IFERROR(IF(X175="",0,CEILING((X175/$H175),1)*$H175),"")</f>
        <v>66.5</v>
      </c>
      <c r="Z175" s="36">
        <f>IFERROR(IF(Y175=0,"",ROUNDUP(Y175/H175,0)*0.00902),"")</f>
        <v>0.17138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68.528571428571425</v>
      </c>
      <c r="BN175" s="64">
        <f t="shared" ref="BN175:BN184" si="17">IFERROR(Y175*I175/H175,"0")</f>
        <v>70.11</v>
      </c>
      <c r="BO175" s="64">
        <f t="shared" ref="BO175:BO184" si="18">IFERROR(1/J175*(X175/H175),"0")</f>
        <v>0.1406926406926407</v>
      </c>
      <c r="BP175" s="64">
        <f t="shared" ref="BP175:BP184" si="19">IFERROR(1/J175*(Y175/H175),"0")</f>
        <v>0.14393939393939395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80</v>
      </c>
      <c r="Y177" s="634">
        <f t="shared" si="15"/>
        <v>80.5</v>
      </c>
      <c r="Z177" s="36">
        <f>IFERROR(IF(Y177=0,"",ROUNDUP(Y177/H177,0)*0.00902),"")</f>
        <v>0.20746000000000001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84.342857142857142</v>
      </c>
      <c r="BN177" s="64">
        <f t="shared" si="17"/>
        <v>84.87</v>
      </c>
      <c r="BO177" s="64">
        <f t="shared" si="18"/>
        <v>0.17316017316017318</v>
      </c>
      <c r="BP177" s="64">
        <f t="shared" si="19"/>
        <v>0.17424242424242425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41.428571428571431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42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0.37884000000000001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145</v>
      </c>
      <c r="Y186" s="635">
        <f>IFERROR(SUM(Y175:Y184),"0")</f>
        <v>147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14</v>
      </c>
      <c r="Y223" s="634">
        <f t="shared" si="26"/>
        <v>14.700000000000001</v>
      </c>
      <c r="Z223" s="36">
        <f>IFERROR(IF(Y223=0,"",ROUNDUP(Y223/H223,0)*0.00502),"")</f>
        <v>3.5140000000000005E-2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14.866666666666665</v>
      </c>
      <c r="BN223" s="64">
        <f t="shared" si="28"/>
        <v>15.61</v>
      </c>
      <c r="BO223" s="64">
        <f t="shared" si="29"/>
        <v>2.8490028490028491E-2</v>
      </c>
      <c r="BP223" s="64">
        <f t="shared" si="30"/>
        <v>2.9914529914529919E-2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</v>
      </c>
      <c r="Y227" s="634">
        <f t="shared" si="26"/>
        <v>3.6</v>
      </c>
      <c r="Z227" s="36">
        <f>IFERROR(IF(Y227=0,"",ROUNDUP(Y227/H227,0)*0.00502),"")</f>
        <v>1.004E-2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2.1444444444444444</v>
      </c>
      <c r="BN227" s="64">
        <f t="shared" si="28"/>
        <v>3.8599999999999994</v>
      </c>
      <c r="BO227" s="64">
        <f t="shared" si="29"/>
        <v>4.7483380816714157E-3</v>
      </c>
      <c r="BP227" s="64">
        <f t="shared" si="30"/>
        <v>8.5470085470085479E-3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141</v>
      </c>
      <c r="Y229" s="634">
        <f t="shared" si="26"/>
        <v>142.80000000000001</v>
      </c>
      <c r="Z229" s="36">
        <f>IFERROR(IF(Y229=0,"",ROUNDUP(Y229/H229,0)*0.00502),"")</f>
        <v>0.34136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147.71428571428572</v>
      </c>
      <c r="BN229" s="64">
        <f t="shared" si="28"/>
        <v>149.6</v>
      </c>
      <c r="BO229" s="64">
        <f t="shared" si="29"/>
        <v>0.28693528693528697</v>
      </c>
      <c r="BP229" s="64">
        <f t="shared" si="30"/>
        <v>0.29059829059829062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74.92063492063491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77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0.38653999999999999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157</v>
      </c>
      <c r="Y233" s="635">
        <f>IFERROR(SUM(Y218:Y231),"0")</f>
        <v>161.10000000000002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89</v>
      </c>
      <c r="Y267" s="634">
        <f t="shared" si="31"/>
        <v>91.800000000000011</v>
      </c>
      <c r="Z267" s="36">
        <f>IFERROR(IF(Y267=0,"",ROUNDUP(Y267/H267,0)*0.00902),"")</f>
        <v>0.15334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92.131481481481472</v>
      </c>
      <c r="BN267" s="64">
        <f t="shared" si="33"/>
        <v>95.03</v>
      </c>
      <c r="BO267" s="64">
        <f t="shared" si="34"/>
        <v>0.12485970819304153</v>
      </c>
      <c r="BP267" s="64">
        <f t="shared" si="35"/>
        <v>0.12878787878787878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10</v>
      </c>
      <c r="Y268" s="634">
        <f t="shared" si="31"/>
        <v>10.8</v>
      </c>
      <c r="Z268" s="36">
        <f>IFERROR(IF(Y268=0,"",ROUNDUP(Y268/H268,0)*0.00502),"")</f>
        <v>3.0120000000000001E-2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10.722222222222223</v>
      </c>
      <c r="BN268" s="64">
        <f t="shared" si="33"/>
        <v>11.58</v>
      </c>
      <c r="BO268" s="64">
        <f t="shared" si="34"/>
        <v>2.3741690408357077E-2</v>
      </c>
      <c r="BP268" s="64">
        <f t="shared" si="35"/>
        <v>2.5641025641025644E-2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5</v>
      </c>
      <c r="Y271" s="634">
        <f t="shared" si="31"/>
        <v>5.4</v>
      </c>
      <c r="Z271" s="36">
        <f>IFERROR(IF(Y271=0,"",ROUNDUP(Y271/H271,0)*0.00502),"")</f>
        <v>1.506E-2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5.2777777777777777</v>
      </c>
      <c r="BN271" s="64">
        <f t="shared" si="33"/>
        <v>5.7</v>
      </c>
      <c r="BO271" s="64">
        <f t="shared" si="34"/>
        <v>1.1870845204178538E-2</v>
      </c>
      <c r="BP271" s="64">
        <f t="shared" si="35"/>
        <v>1.2820512820512822E-2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24.814814814814817</v>
      </c>
      <c r="Y272" s="635">
        <f>IFERROR(Y264/H264,"0")+IFERROR(Y265/H265,"0")+IFERROR(Y266/H266,"0")+IFERROR(Y267/H267,"0")+IFERROR(Y268/H268,"0")+IFERROR(Y269/H269,"0")+IFERROR(Y270/H270,"0")+IFERROR(Y271/H271,"0")</f>
        <v>26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0.19852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104</v>
      </c>
      <c r="Y273" s="635">
        <f>IFERROR(SUM(Y264:Y271),"0")</f>
        <v>108.00000000000001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217</v>
      </c>
      <c r="Y276" s="634">
        <f t="shared" si="36"/>
        <v>218.7</v>
      </c>
      <c r="Z276" s="36">
        <f>IFERROR(IF(Y276=0,"",ROUNDUP(Y276/H276,0)*0.01898),"")</f>
        <v>0.51246000000000003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229.75209876543212</v>
      </c>
      <c r="BN276" s="64">
        <f t="shared" si="38"/>
        <v>231.55200000000002</v>
      </c>
      <c r="BO276" s="64">
        <f t="shared" si="39"/>
        <v>0.41859567901234568</v>
      </c>
      <c r="BP276" s="64">
        <f t="shared" si="40"/>
        <v>0.421875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179</v>
      </c>
      <c r="Y278" s="634">
        <f t="shared" si="36"/>
        <v>180</v>
      </c>
      <c r="Z278" s="36">
        <f>IFERROR(IF(Y278=0,"",ROUNDUP(Y278/H278,0)*0.00651),"")</f>
        <v>0.48825000000000002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199.13750000000002</v>
      </c>
      <c r="BN278" s="64">
        <f t="shared" si="38"/>
        <v>200.25</v>
      </c>
      <c r="BO278" s="64">
        <f t="shared" si="39"/>
        <v>0.4097985347985349</v>
      </c>
      <c r="BP278" s="64">
        <f t="shared" si="40"/>
        <v>0.41208791208791212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554</v>
      </c>
      <c r="Y280" s="634">
        <f t="shared" si="36"/>
        <v>554.4</v>
      </c>
      <c r="Z280" s="36">
        <f>IFERROR(IF(Y280=0,"",ROUNDUP(Y280/H280,0)*0.00651),"")</f>
        <v>1.5038100000000001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612.17000000000007</v>
      </c>
      <c r="BN280" s="64">
        <f t="shared" si="38"/>
        <v>612.61200000000008</v>
      </c>
      <c r="BO280" s="64">
        <f t="shared" si="39"/>
        <v>1.2683150183150185</v>
      </c>
      <c r="BP280" s="64">
        <f t="shared" si="40"/>
        <v>1.2692307692307694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163</v>
      </c>
      <c r="Y282" s="634">
        <f t="shared" si="36"/>
        <v>163.19999999999999</v>
      </c>
      <c r="Z282" s="36">
        <f>IFERROR(IF(Y282=0,"",ROUNDUP(Y282/H282,0)*0.00651),"")</f>
        <v>0.44268000000000002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180.11500000000001</v>
      </c>
      <c r="BN282" s="64">
        <f t="shared" si="38"/>
        <v>180.33600000000001</v>
      </c>
      <c r="BO282" s="64">
        <f t="shared" si="39"/>
        <v>0.37316849816849823</v>
      </c>
      <c r="BP282" s="64">
        <f t="shared" si="40"/>
        <v>0.37362637362637363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38</v>
      </c>
      <c r="Y284" s="634">
        <f t="shared" si="36"/>
        <v>38.4</v>
      </c>
      <c r="Z284" s="36">
        <f>IFERROR(IF(Y284=0,"",ROUNDUP(Y284/H284,0)*0.00651),"")</f>
        <v>0.10416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42.085000000000001</v>
      </c>
      <c r="BN284" s="64">
        <f t="shared" si="38"/>
        <v>42.527999999999999</v>
      </c>
      <c r="BO284" s="64">
        <f t="shared" si="39"/>
        <v>8.6996336996337006E-2</v>
      </c>
      <c r="BP284" s="64">
        <f t="shared" si="40"/>
        <v>8.7912087912087919E-2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415.95679012345681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417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3.0513600000000003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1151</v>
      </c>
      <c r="Y287" s="635">
        <f>IFERROR(SUM(Y275:Y285),"0")</f>
        <v>1154.7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8</v>
      </c>
      <c r="Y289" s="634">
        <f>IFERROR(IF(X289="",0,CEILING((X289/$H289),1)*$H289),"")</f>
        <v>9.6</v>
      </c>
      <c r="Z289" s="36">
        <f>IFERROR(IF(Y289=0,"",ROUNDUP(Y289/H289,0)*0.00651),"")</f>
        <v>2.6040000000000001E-2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8.8400000000000016</v>
      </c>
      <c r="BN289" s="64">
        <f>IFERROR(Y289*I289/H289,"0")</f>
        <v>10.608000000000001</v>
      </c>
      <c r="BO289" s="64">
        <f>IFERROR(1/J289*(X289/H289),"0")</f>
        <v>1.8315018315018316E-2</v>
      </c>
      <c r="BP289" s="64">
        <f>IFERROR(1/J289*(Y289/H289),"0")</f>
        <v>2.197802197802198E-2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3.3333333333333335</v>
      </c>
      <c r="Y291" s="635">
        <f>IFERROR(Y289/H289,"0")+IFERROR(Y290/H290,"0")</f>
        <v>4</v>
      </c>
      <c r="Z291" s="635">
        <f>IFERROR(IF(Z289="",0,Z289),"0")+IFERROR(IF(Z290="",0,Z290),"0")</f>
        <v>2.6040000000000001E-2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8</v>
      </c>
      <c r="Y292" s="635">
        <f>IFERROR(SUM(Y289:Y290),"0")</f>
        <v>9.6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17</v>
      </c>
      <c r="Y301" s="634">
        <f t="shared" si="41"/>
        <v>20</v>
      </c>
      <c r="Z301" s="36">
        <f>IFERROR(IF(Y301=0,"",ROUNDUP(Y301/H301,0)*0.00902),"")</f>
        <v>4.5100000000000001E-2</v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17.807500000000001</v>
      </c>
      <c r="BN301" s="64">
        <f t="shared" si="43"/>
        <v>20.950000000000003</v>
      </c>
      <c r="BO301" s="64">
        <f t="shared" si="44"/>
        <v>3.2196969696969696E-2</v>
      </c>
      <c r="BP301" s="64">
        <f t="shared" si="45"/>
        <v>3.787878787878788E-2</v>
      </c>
    </row>
    <row r="302" spans="1:68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4.25</v>
      </c>
      <c r="Y302" s="635">
        <f>IFERROR(Y295/H295,"0")+IFERROR(Y296/H296,"0")+IFERROR(Y297/H297,"0")+IFERROR(Y298/H298,"0")+IFERROR(Y299/H299,"0")+IFERROR(Y300/H300,"0")+IFERROR(Y301/H301,"0")</f>
        <v>5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4.5100000000000001E-2</v>
      </c>
      <c r="AA302" s="636"/>
      <c r="AB302" s="636"/>
      <c r="AC302" s="636"/>
    </row>
    <row r="303" spans="1:68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17</v>
      </c>
      <c r="Y303" s="635">
        <f>IFERROR(SUM(Y295:Y301),"0")</f>
        <v>20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7</v>
      </c>
      <c r="Y373" s="634">
        <f t="shared" si="51"/>
        <v>10.8</v>
      </c>
      <c r="Z373" s="36">
        <f>IFERROR(IF(Y373=0,"",ROUNDUP(Y373/H373,0)*0.01898),"")</f>
        <v>1.898E-2</v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7.2657407407407399</v>
      </c>
      <c r="BN373" s="64">
        <f t="shared" si="53"/>
        <v>11.21</v>
      </c>
      <c r="BO373" s="64">
        <f t="shared" si="54"/>
        <v>1.0127314814814815E-2</v>
      </c>
      <c r="BP373" s="64">
        <f t="shared" si="55"/>
        <v>1.5625E-2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0.64814814814814814</v>
      </c>
      <c r="Y376" s="635">
        <f>IFERROR(Y369/H369,"0")+IFERROR(Y370/H370,"0")+IFERROR(Y371/H371,"0")+IFERROR(Y372/H372,"0")+IFERROR(Y373/H373,"0")+IFERROR(Y374/H374,"0")+IFERROR(Y375/H375,"0")</f>
        <v>1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1.898E-2</v>
      </c>
      <c r="AA376" s="636"/>
      <c r="AB376" s="636"/>
      <c r="AC376" s="636"/>
    </row>
    <row r="377" spans="1:68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7</v>
      </c>
      <c r="Y377" s="635">
        <f>IFERROR(SUM(Y369:Y375),"0")</f>
        <v>10.8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13</v>
      </c>
      <c r="Y385" s="634">
        <f t="shared" si="56"/>
        <v>14.4</v>
      </c>
      <c r="Z385" s="36">
        <f>IFERROR(IF(Y385=0,"",ROUNDUP(Y385/H385,0)*0.00651),"")</f>
        <v>5.2080000000000001E-2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14.646666666666667</v>
      </c>
      <c r="BN385" s="64">
        <f t="shared" si="58"/>
        <v>16.224</v>
      </c>
      <c r="BO385" s="64">
        <f t="shared" si="59"/>
        <v>3.9682539682539687E-2</v>
      </c>
      <c r="BP385" s="64">
        <f t="shared" si="60"/>
        <v>4.3956043956043959E-2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7.2222222222222223</v>
      </c>
      <c r="Y386" s="635">
        <f>IFERROR(Y379/H379,"0")+IFERROR(Y380/H380,"0")+IFERROR(Y381/H381,"0")+IFERROR(Y382/H382,"0")+IFERROR(Y383/H383,"0")+IFERROR(Y384/H384,"0")+IFERROR(Y385/H385,"0")</f>
        <v>8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5.2080000000000001E-2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13</v>
      </c>
      <c r="Y387" s="635">
        <f>IFERROR(SUM(Y379:Y385),"0")</f>
        <v>14.4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331</v>
      </c>
      <c r="Y397" s="634">
        <f>IFERROR(IF(X397="",0,CEILING((X397/$H397),1)*$H397),"")</f>
        <v>335.4</v>
      </c>
      <c r="Z397" s="36">
        <f>IFERROR(IF(Y397=0,"",ROUNDUP(Y397/H397,0)*0.01898),"")</f>
        <v>0.81613999999999998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351.96333333333337</v>
      </c>
      <c r="BN397" s="64">
        <f>IFERROR(Y397*I397/H397,"0")</f>
        <v>356.642</v>
      </c>
      <c r="BO397" s="64">
        <f>IFERROR(1/J397*(X397/H397),"0")</f>
        <v>0.66306089743589747</v>
      </c>
      <c r="BP397" s="64">
        <f>IFERROR(1/J397*(Y397/H397),"0")</f>
        <v>0.671875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42.435897435897438</v>
      </c>
      <c r="Y399" s="635">
        <f>IFERROR(Y396/H396,"0")+IFERROR(Y397/H397,"0")+IFERROR(Y398/H398,"0")</f>
        <v>43</v>
      </c>
      <c r="Z399" s="635">
        <f>IFERROR(IF(Z396="",0,Z396),"0")+IFERROR(IF(Z397="",0,Z397),"0")+IFERROR(IF(Z398="",0,Z398),"0")</f>
        <v>0.81613999999999998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331</v>
      </c>
      <c r="Y400" s="635">
        <f>IFERROR(SUM(Y396:Y398),"0")</f>
        <v>335.4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15</v>
      </c>
      <c r="Y404" s="634">
        <f>IFERROR(IF(X404="",0,CEILING((X404/$H404),1)*$H404),"")</f>
        <v>15.299999999999999</v>
      </c>
      <c r="Z404" s="36">
        <f>IFERROR(IF(Y404=0,"",ROUNDUP(Y404/H404,0)*0.00651),"")</f>
        <v>3.9059999999999997E-2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17.382352941176475</v>
      </c>
      <c r="BN404" s="64">
        <f>IFERROR(Y404*I404/H404,"0")</f>
        <v>17.73</v>
      </c>
      <c r="BO404" s="64">
        <f>IFERROR(1/J404*(X404/H404),"0")</f>
        <v>3.2320620555914677E-2</v>
      </c>
      <c r="BP404" s="64">
        <f>IFERROR(1/J404*(Y404/H404),"0")</f>
        <v>3.2967032967032968E-2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15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16.941176470588236</v>
      </c>
      <c r="BN405" s="64">
        <f>IFERROR(Y405*I405/H405,"0")</f>
        <v>17.279999999999998</v>
      </c>
      <c r="BO405" s="64">
        <f>IFERROR(1/J405*(X405/H405),"0")</f>
        <v>3.2320620555914677E-2</v>
      </c>
      <c r="BP405" s="64">
        <f>IFERROR(1/J405*(Y405/H405),"0")</f>
        <v>3.2967032967032968E-2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11.764705882352942</v>
      </c>
      <c r="Y406" s="635">
        <f>IFERROR(Y402/H402,"0")+IFERROR(Y403/H403,"0")+IFERROR(Y404/H404,"0")+IFERROR(Y405/H405,"0")</f>
        <v>12</v>
      </c>
      <c r="Z406" s="635">
        <f>IFERROR(IF(Z402="",0,Z402),"0")+IFERROR(IF(Z403="",0,Z403),"0")+IFERROR(IF(Z404="",0,Z404),"0")+IFERROR(IF(Z405="",0,Z405),"0")</f>
        <v>7.8119999999999995E-2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30</v>
      </c>
      <c r="Y407" s="635">
        <f>IFERROR(SUM(Y402:Y405),"0")</f>
        <v>30.599999999999998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5</v>
      </c>
      <c r="Y410" s="634">
        <f>IFERROR(IF(X410="",0,CEILING((X410/$H410),1)*$H410),"")</f>
        <v>6</v>
      </c>
      <c r="Z410" s="36">
        <f>IFERROR(IF(Y410=0,"",ROUNDUP(Y410/H410,0)*0.00474),"")</f>
        <v>1.422E-2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5.6000000000000005</v>
      </c>
      <c r="BN410" s="64">
        <f>IFERROR(Y410*I410/H410,"0")</f>
        <v>6.7200000000000006</v>
      </c>
      <c r="BO410" s="64">
        <f>IFERROR(1/J410*(X410/H410),"0")</f>
        <v>1.0504201680672268E-2</v>
      </c>
      <c r="BP410" s="64">
        <f>IFERROR(1/J410*(Y410/H410),"0")</f>
        <v>1.2605042016806723E-2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6</v>
      </c>
      <c r="Y411" s="634">
        <f>IFERROR(IF(X411="",0,CEILING((X411/$H411),1)*$H411),"")</f>
        <v>6</v>
      </c>
      <c r="Z411" s="36">
        <f>IFERROR(IF(Y411=0,"",ROUNDUP(Y411/H411,0)*0.00474),"")</f>
        <v>1.422E-2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6.7200000000000006</v>
      </c>
      <c r="BN411" s="64">
        <f>IFERROR(Y411*I411/H411,"0")</f>
        <v>6.7200000000000006</v>
      </c>
      <c r="BO411" s="64">
        <f>IFERROR(1/J411*(X411/H411),"0")</f>
        <v>1.2605042016806723E-2</v>
      </c>
      <c r="BP411" s="64">
        <f>IFERROR(1/J411*(Y411/H411),"0")</f>
        <v>1.2605042016806723E-2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5.5</v>
      </c>
      <c r="Y412" s="635">
        <f>IFERROR(Y409/H409,"0")+IFERROR(Y410/H410,"0")+IFERROR(Y411/H411,"0")</f>
        <v>6</v>
      </c>
      <c r="Z412" s="635">
        <f>IFERROR(IF(Z409="",0,Z409),"0")+IFERROR(IF(Z410="",0,Z410),"0")+IFERROR(IF(Z411="",0,Z411),"0")</f>
        <v>2.844E-2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11</v>
      </c>
      <c r="Y413" s="635">
        <f>IFERROR(SUM(Y409:Y411),"0")</f>
        <v>12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39</v>
      </c>
      <c r="Y431" s="634">
        <f>IFERROR(IF(X431="",0,CEILING((X431/$H431),1)*$H431),"")</f>
        <v>39.9</v>
      </c>
      <c r="Z431" s="36">
        <f>IFERROR(IF(Y431=0,"",ROUNDUP(Y431/H431,0)*0.00651),"")</f>
        <v>0.12369000000000001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43.679999999999993</v>
      </c>
      <c r="BN431" s="64">
        <f>IFERROR(Y431*I431/H431,"0")</f>
        <v>44.687999999999995</v>
      </c>
      <c r="BO431" s="64">
        <f>IFERROR(1/J431*(X431/H431),"0")</f>
        <v>0.10204081632653061</v>
      </c>
      <c r="BP431" s="64">
        <f>IFERROR(1/J431*(Y431/H431),"0")</f>
        <v>0.1043956043956044</v>
      </c>
    </row>
    <row r="432" spans="1:68" ht="27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32</v>
      </c>
      <c r="Y432" s="634">
        <f>IFERROR(IF(X432="",0,CEILING((X432/$H432),1)*$H432),"")</f>
        <v>33.6</v>
      </c>
      <c r="Z432" s="36">
        <f>IFERROR(IF(Y432=0,"",ROUNDUP(Y432/H432,0)*0.00651),"")</f>
        <v>0.10416</v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35.657142857142851</v>
      </c>
      <c r="BN432" s="64">
        <f>IFERROR(Y432*I432/H432,"0")</f>
        <v>37.44</v>
      </c>
      <c r="BO432" s="64">
        <f>IFERROR(1/J432*(X432/H432),"0")</f>
        <v>8.3725798011512295E-2</v>
      </c>
      <c r="BP432" s="64">
        <f>IFERROR(1/J432*(Y432/H432),"0")</f>
        <v>8.7912087912087919E-2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33.80952380952381</v>
      </c>
      <c r="Y433" s="635">
        <f>IFERROR(Y430/H430,"0")+IFERROR(Y431/H431,"0")+IFERROR(Y432/H432,"0")</f>
        <v>35</v>
      </c>
      <c r="Z433" s="635">
        <f>IFERROR(IF(Z430="",0,Z430),"0")+IFERROR(IF(Z431="",0,Z431),"0")+IFERROR(IF(Z432="",0,Z432),"0")</f>
        <v>0.22785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71</v>
      </c>
      <c r="Y434" s="635">
        <f>IFERROR(SUM(Y430:Y432),"0")</f>
        <v>73.5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1265</v>
      </c>
      <c r="Y439" s="634">
        <f t="shared" si="61"/>
        <v>1275</v>
      </c>
      <c r="Z439" s="36">
        <f>IFERROR(IF(Y439=0,"",ROUNDUP(Y439/H439,0)*0.02175),"")</f>
        <v>1.8487499999999999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1304.6366666666665</v>
      </c>
      <c r="BN439" s="64">
        <f t="shared" si="63"/>
        <v>1314.95</v>
      </c>
      <c r="BO439" s="64">
        <f t="shared" si="64"/>
        <v>1.7569444444444442</v>
      </c>
      <c r="BP439" s="64">
        <f t="shared" si="65"/>
        <v>1.7708333333333333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1986</v>
      </c>
      <c r="Y440" s="634">
        <f t="shared" si="61"/>
        <v>1995</v>
      </c>
      <c r="Z440" s="36">
        <f>IFERROR(IF(Y440=0,"",ROUNDUP(Y440/H440,0)*0.02175),"")</f>
        <v>2.8927499999999999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2048.2280000000001</v>
      </c>
      <c r="BN440" s="64">
        <f t="shared" si="63"/>
        <v>2057.5100000000002</v>
      </c>
      <c r="BO440" s="64">
        <f t="shared" si="64"/>
        <v>2.7583333333333333</v>
      </c>
      <c r="BP440" s="64">
        <f t="shared" si="65"/>
        <v>2.770833333333333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947</v>
      </c>
      <c r="Y441" s="634">
        <f t="shared" si="61"/>
        <v>960</v>
      </c>
      <c r="Z441" s="36">
        <f>IFERROR(IF(Y441=0,"",ROUNDUP(Y441/H441,0)*0.02175),"")</f>
        <v>1.3919999999999999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976.67266666666671</v>
      </c>
      <c r="BN441" s="64">
        <f t="shared" si="63"/>
        <v>990.08</v>
      </c>
      <c r="BO441" s="64">
        <f t="shared" si="64"/>
        <v>1.3152777777777778</v>
      </c>
      <c r="BP441" s="64">
        <f t="shared" si="65"/>
        <v>1.3333333333333333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279.86666666666667</v>
      </c>
      <c r="Y446" s="635">
        <f>IFERROR(Y438/H438,"0")+IFERROR(Y439/H439,"0")+IFERROR(Y440/H440,"0")+IFERROR(Y441/H441,"0")+IFERROR(Y442/H442,"0")+IFERROR(Y443/H443,"0")+IFERROR(Y444/H444,"0")+IFERROR(Y445/H445,"0")</f>
        <v>282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6.1334999999999997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4198</v>
      </c>
      <c r="Y447" s="635">
        <f>IFERROR(SUM(Y438:Y445),"0")</f>
        <v>4230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1577</v>
      </c>
      <c r="Y449" s="634">
        <f>IFERROR(IF(X449="",0,CEILING((X449/$H449),1)*$H449),"")</f>
        <v>1590</v>
      </c>
      <c r="Z449" s="36">
        <f>IFERROR(IF(Y449=0,"",ROUNDUP(Y449/H449,0)*0.02175),"")</f>
        <v>2.3054999999999999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1626.4126666666668</v>
      </c>
      <c r="BN449" s="64">
        <f>IFERROR(Y449*I449/H449,"0")</f>
        <v>1639.82</v>
      </c>
      <c r="BO449" s="64">
        <f>IFERROR(1/J449*(X449/H449),"0")</f>
        <v>2.1902777777777778</v>
      </c>
      <c r="BP449" s="64">
        <f>IFERROR(1/J449*(Y449/H449),"0")</f>
        <v>2.208333333333333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105.13333333333334</v>
      </c>
      <c r="Y452" s="635">
        <f>IFERROR(Y449/H449,"0")+IFERROR(Y450/H450,"0")+IFERROR(Y451/H451,"0")</f>
        <v>106</v>
      </c>
      <c r="Z452" s="635">
        <f>IFERROR(IF(Z449="",0,Z449),"0")+IFERROR(IF(Z450="",0,Z450),"0")+IFERROR(IF(Z451="",0,Z451),"0")</f>
        <v>2.3054999999999999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1577</v>
      </c>
      <c r="Y453" s="635">
        <f>IFERROR(SUM(Y449:Y451),"0")</f>
        <v>1590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1105</v>
      </c>
      <c r="Y476" s="634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1165.652222222222</v>
      </c>
      <c r="BN476" s="64">
        <f>IFERROR(Y476*I476/H476,"0")</f>
        <v>1167.7619999999999</v>
      </c>
      <c r="BO476" s="64">
        <f>IFERROR(1/J476*(X476/H476),"0")</f>
        <v>1.9184027777777777</v>
      </c>
      <c r="BP476" s="64">
        <f>IFERROR(1/J476*(Y476/H476),"0")</f>
        <v>1.921875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243</v>
      </c>
      <c r="Y477" s="634">
        <f>IFERROR(IF(X477="",0,CEILING((X477/$H477),1)*$H477),"")</f>
        <v>244.79999999999998</v>
      </c>
      <c r="Z477" s="36">
        <f>IFERROR(IF(Y477=0,"",ROUNDUP(Y477/H477,0)*0.00651),"")</f>
        <v>0.66402000000000005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269.73000000000008</v>
      </c>
      <c r="BN477" s="64">
        <f>IFERROR(Y477*I477/H477,"0")</f>
        <v>271.72800000000001</v>
      </c>
      <c r="BO477" s="64">
        <f>IFERROR(1/J477*(X477/H477),"0")</f>
        <v>0.55631868131868134</v>
      </c>
      <c r="BP477" s="64">
        <f>IFERROR(1/J477*(Y477/H477),"0")</f>
        <v>0.56043956043956045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224.02777777777777</v>
      </c>
      <c r="Y479" s="635">
        <f>IFERROR(Y476/H476,"0")+IFERROR(Y477/H477,"0")+IFERROR(Y478/H478,"0")</f>
        <v>225</v>
      </c>
      <c r="Z479" s="635">
        <f>IFERROR(IF(Z476="",0,Z476),"0")+IFERROR(IF(Z477="",0,Z477),"0")+IFERROR(IF(Z478="",0,Z478),"0")</f>
        <v>2.9985600000000003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1348</v>
      </c>
      <c r="Y480" s="635">
        <f>IFERROR(SUM(Y476:Y478),"0")</f>
        <v>1351.8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103</v>
      </c>
      <c r="Y510" s="634">
        <f t="shared" ref="Y510:Y517" si="71">IFERROR(IF(X510="",0,CEILING((X510/$H510),1)*$H510),"")</f>
        <v>105.60000000000001</v>
      </c>
      <c r="Z510" s="36">
        <f>IFERROR(IF(Y510=0,"",ROUNDUP(Y510/H510,0)*0.01196),"")</f>
        <v>0.2392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109.8276515151515</v>
      </c>
      <c r="BN510" s="64">
        <f t="shared" ref="BN510:BN517" si="73">IFERROR(Y510*I510/H510,"0")</f>
        <v>112.6</v>
      </c>
      <c r="BO510" s="64">
        <f t="shared" ref="BO510:BO517" si="74">IFERROR(1/J510*(X510/H510),"0")</f>
        <v>0.18757284382284384</v>
      </c>
      <c r="BP510" s="64">
        <f t="shared" ref="BP510:BP517" si="75">IFERROR(1/J510*(Y510/H510),"0")</f>
        <v>0.19230769230769232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1038</v>
      </c>
      <c r="Y513" s="634">
        <f t="shared" si="71"/>
        <v>1040.1600000000001</v>
      </c>
      <c r="Z513" s="36">
        <f>IFERROR(IF(Y513=0,"",ROUNDUP(Y513/H513,0)*0.01196),"")</f>
        <v>2.3561200000000002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1106.806818181818</v>
      </c>
      <c r="BN513" s="64">
        <f t="shared" si="73"/>
        <v>1109.1099999999999</v>
      </c>
      <c r="BO513" s="64">
        <f t="shared" si="74"/>
        <v>1.8902972027972029</v>
      </c>
      <c r="BP513" s="64">
        <f t="shared" si="75"/>
        <v>1.8942307692307694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2451</v>
      </c>
      <c r="Y514" s="634">
        <f t="shared" si="71"/>
        <v>2455.2000000000003</v>
      </c>
      <c r="Z514" s="36">
        <f>IFERROR(IF(Y514=0,"",ROUNDUP(Y514/H514,0)*0.01196),"")</f>
        <v>5.5613999999999999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2613.4715909090905</v>
      </c>
      <c r="BN514" s="64">
        <f t="shared" si="73"/>
        <v>2617.9500000000003</v>
      </c>
      <c r="BO514" s="64">
        <f t="shared" si="74"/>
        <v>4.463505244755245</v>
      </c>
      <c r="BP514" s="64">
        <f t="shared" si="75"/>
        <v>4.4711538461538467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40</v>
      </c>
      <c r="Y517" s="634">
        <f t="shared" si="71"/>
        <v>43.199999999999996</v>
      </c>
      <c r="Z517" s="36">
        <f>IFERROR(IF(Y517=0,"",ROUNDUP(Y517/H517,0)*0.00902),"")</f>
        <v>8.1180000000000002E-2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57.583333333333329</v>
      </c>
      <c r="BN517" s="64">
        <f t="shared" si="73"/>
        <v>62.190000000000005</v>
      </c>
      <c r="BO517" s="64">
        <f t="shared" si="74"/>
        <v>6.3131313131313135E-2</v>
      </c>
      <c r="BP517" s="64">
        <f t="shared" si="75"/>
        <v>6.8181818181818177E-2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688.63636363636363</v>
      </c>
      <c r="Y518" s="635">
        <f>IFERROR(Y510/H510,"0")+IFERROR(Y511/H511,"0")+IFERROR(Y512/H512,"0")+IFERROR(Y513/H513,"0")+IFERROR(Y514/H514,"0")+IFERROR(Y515/H515,"0")+IFERROR(Y516/H516,"0")+IFERROR(Y517/H517,"0")</f>
        <v>691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8.2378999999999998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3632</v>
      </c>
      <c r="Y519" s="635">
        <f>IFERROR(SUM(Y510:Y517),"0")</f>
        <v>3644.16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1389</v>
      </c>
      <c r="Y521" s="634">
        <f>IFERROR(IF(X521="",0,CEILING((X521/$H521),1)*$H521),"")</f>
        <v>1393.92</v>
      </c>
      <c r="Z521" s="36">
        <f>IFERROR(IF(Y521=0,"",ROUNDUP(Y521/H521,0)*0.01196),"")</f>
        <v>3.1574400000000002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1481.0738636363635</v>
      </c>
      <c r="BN521" s="64">
        <f>IFERROR(Y521*I521/H521,"0")</f>
        <v>1486.32</v>
      </c>
      <c r="BO521" s="64">
        <f>IFERROR(1/J521*(X521/H521),"0")</f>
        <v>2.5295017482517483</v>
      </c>
      <c r="BP521" s="64">
        <f>IFERROR(1/J521*(Y521/H521),"0")</f>
        <v>2.5384615384615388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263.06818181818181</v>
      </c>
      <c r="Y524" s="635">
        <f>IFERROR(Y521/H521,"0")+IFERROR(Y522/H522,"0")+IFERROR(Y523/H523,"0")</f>
        <v>264</v>
      </c>
      <c r="Z524" s="635">
        <f>IFERROR(IF(Z521="",0,Z521),"0")+IFERROR(IF(Z522="",0,Z522),"0")+IFERROR(IF(Z523="",0,Z523),"0")</f>
        <v>3.1574400000000002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1389</v>
      </c>
      <c r="Y525" s="635">
        <f>IFERROR(SUM(Y521:Y523),"0")</f>
        <v>1393.92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1524</v>
      </c>
      <c r="Y528" s="634">
        <f t="shared" si="76"/>
        <v>1525.92</v>
      </c>
      <c r="Z528" s="36">
        <f>IFERROR(IF(Y528=0,"",ROUNDUP(Y528/H528,0)*0.01196),"")</f>
        <v>3.4564400000000002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1625.022727272727</v>
      </c>
      <c r="BN528" s="64">
        <f t="shared" si="78"/>
        <v>1627.07</v>
      </c>
      <c r="BO528" s="64">
        <f t="shared" si="79"/>
        <v>2.7753496503496504</v>
      </c>
      <c r="BP528" s="64">
        <f t="shared" si="80"/>
        <v>2.7788461538461542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90</v>
      </c>
      <c r="Y529" s="634">
        <f t="shared" si="76"/>
        <v>95.04</v>
      </c>
      <c r="Z529" s="36">
        <f>IFERROR(IF(Y529=0,"",ROUNDUP(Y529/H529,0)*0.01196),"")</f>
        <v>0.21528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95.965909090909079</v>
      </c>
      <c r="BN529" s="64">
        <f t="shared" si="78"/>
        <v>101.33999999999999</v>
      </c>
      <c r="BO529" s="64">
        <f t="shared" si="79"/>
        <v>0.16389860139860138</v>
      </c>
      <c r="BP529" s="64">
        <f t="shared" si="80"/>
        <v>0.17307692307692307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305.68181818181819</v>
      </c>
      <c r="Y534" s="635">
        <f>IFERROR(Y527/H527,"0")+IFERROR(Y528/H528,"0")+IFERROR(Y529/H529,"0")+IFERROR(Y530/H530,"0")+IFERROR(Y531/H531,"0")+IFERROR(Y532/H532,"0")+IFERROR(Y533/H533,"0")</f>
        <v>307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3.6717200000000001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1614</v>
      </c>
      <c r="Y535" s="635">
        <f>IFERROR(SUM(Y527:Y533),"0")</f>
        <v>1620.96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17609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17746.12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18599.126183100667</v>
      </c>
      <c r="Y565" s="635">
        <f>IFERROR(SUM(BN22:BN561),"0")</f>
        <v>18745.030000000002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30</v>
      </c>
      <c r="Y566" s="38">
        <f>ROUNDUP(SUM(BP22:BP561),0)</f>
        <v>31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19349.126183100667</v>
      </c>
      <c r="Y567" s="635">
        <f>GrossWeightTotalR+PalletQtyTotalR*25</f>
        <v>19520.030000000002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2765.0681963733437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2790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35.574150000000003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16.2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414.40000000000003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165.2</v>
      </c>
      <c r="F574" s="46">
        <f>IFERROR(Y89*1,"0")+IFERROR(Y90*1,"0")+IFERROR(Y91*1,"0")+IFERROR(Y92*1,"0")+IFERROR(Y93*1,"0")+IFERROR(Y94*1,"0")+IFERROR(Y98*1,"0")+IFERROR(Y99*1,"0")+IFERROR(Y100*1,"0")+IFERROR(Y101*1,"0")</f>
        <v>35.1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1188.48</v>
      </c>
      <c r="H574" s="46">
        <f>IFERROR(Y135*1,"0")+IFERROR(Y136*1,"0")+IFERROR(Y140*1,"0")+IFERROR(Y141*1,"0")+IFERROR(Y145*1,"0")+IFERROR(Y146*1,"0")</f>
        <v>18.8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147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161.10000000000002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1272.3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20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403.2</v>
      </c>
      <c r="V574" s="46">
        <f>IFERROR(Y422*1,"0")+IFERROR(Y423*1,"0")+IFERROR(Y424*1,"0")+IFERROR(Y425*1,"0")</f>
        <v>0</v>
      </c>
      <c r="W574" s="46">
        <f>IFERROR(Y430*1,"0")+IFERROR(Y431*1,"0")+IFERROR(Y432*1,"0")</f>
        <v>73.5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5820</v>
      </c>
      <c r="Y574" s="46">
        <f>IFERROR(Y467*1,"0")+IFERROR(Y468*1,"0")+IFERROR(Y472*1,"0")+IFERROR(Y476*1,"0")+IFERROR(Y477*1,"0")+IFERROR(Y478*1,"0")</f>
        <v>1351.8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6659.04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0,71"/>
        <filter val="0,74"/>
        <filter val="1 038,00"/>
        <filter val="1 105,00"/>
        <filter val="1 151,00"/>
        <filter val="1 265,00"/>
        <filter val="1 348,00"/>
        <filter val="1 389,00"/>
        <filter val="1 524,00"/>
        <filter val="1 577,00"/>
        <filter val="1 614,00"/>
        <filter val="1 986,00"/>
        <filter val="10,00"/>
        <filter val="103,00"/>
        <filter val="104,00"/>
        <filter val="105,00"/>
        <filter val="105,13"/>
        <filter val="11,00"/>
        <filter val="11,76"/>
        <filter val="12,00"/>
        <filter val="13,00"/>
        <filter val="13,46"/>
        <filter val="14,00"/>
        <filter val="141,00"/>
        <filter val="145,00"/>
        <filter val="15,00"/>
        <filter val="156,00"/>
        <filter val="157,00"/>
        <filter val="16,00"/>
        <filter val="163,00"/>
        <filter val="17 609,00"/>
        <filter val="17,00"/>
        <filter val="179,00"/>
        <filter val="18 599,13"/>
        <filter val="19 349,13"/>
        <filter val="2 451,00"/>
        <filter val="2 765,07"/>
        <filter val="2,00"/>
        <filter val="217,00"/>
        <filter val="224,03"/>
        <filter val="24,81"/>
        <filter val="243,00"/>
        <filter val="25,00"/>
        <filter val="263,07"/>
        <filter val="279,87"/>
        <filter val="3 632,00"/>
        <filter val="3,33"/>
        <filter val="30"/>
        <filter val="30,00"/>
        <filter val="305,68"/>
        <filter val="32,00"/>
        <filter val="33,81"/>
        <filter val="331,00"/>
        <filter val="38,00"/>
        <filter val="38,04"/>
        <filter val="39,00"/>
        <filter val="4 198,00"/>
        <filter val="4,00"/>
        <filter val="4,06"/>
        <filter val="4,25"/>
        <filter val="40,00"/>
        <filter val="400,00"/>
        <filter val="404,00"/>
        <filter val="41,43"/>
        <filter val="415,96"/>
        <filter val="42,44"/>
        <filter val="486,00"/>
        <filter val="5,00"/>
        <filter val="5,50"/>
        <filter val="5,56"/>
        <filter val="521,00"/>
        <filter val="554,00"/>
        <filter val="56,00"/>
        <filter val="6,00"/>
        <filter val="6,06"/>
        <filter val="64,32"/>
        <filter val="646,00"/>
        <filter val="65,00"/>
        <filter val="688,64"/>
        <filter val="7,00"/>
        <filter val="7,22"/>
        <filter val="71,00"/>
        <filter val="74,92"/>
        <filter val="8,00"/>
        <filter val="8,89"/>
        <filter val="80,00"/>
        <filter val="85,73"/>
        <filter val="89,00"/>
        <filter val="90,00"/>
        <filter val="94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