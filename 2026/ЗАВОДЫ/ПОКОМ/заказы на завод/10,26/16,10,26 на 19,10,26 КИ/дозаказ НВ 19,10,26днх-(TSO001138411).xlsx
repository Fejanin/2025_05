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66F176-5DBA-4ACA-A476-DAF51598E93F}" xr6:coauthVersionLast="47" xr6:coauthVersionMax="47" xr10:uidLastSave="{00000000-0000-0000-0000-000000000000}"/>
  <bookViews>
    <workbookView xWindow="75" yWindow="0" windowWidth="2686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Y469" i="2" s="1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Z443" i="2"/>
  <c r="Y443" i="2"/>
  <c r="BN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Z392" i="2"/>
  <c r="Y392" i="2"/>
  <c r="BN392" i="2" s="1"/>
  <c r="P392" i="2"/>
  <c r="BO391" i="2"/>
  <c r="BM391" i="2"/>
  <c r="Y391" i="2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N384" i="2" s="1"/>
  <c r="P384" i="2"/>
  <c r="BO383" i="2"/>
  <c r="BM383" i="2"/>
  <c r="Y383" i="2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X336" i="2"/>
  <c r="X335" i="2"/>
  <c r="BO334" i="2"/>
  <c r="BM334" i="2"/>
  <c r="Y334" i="2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O316" i="2"/>
  <c r="BM316" i="2"/>
  <c r="Z316" i="2"/>
  <c r="Y316" i="2"/>
  <c r="BN316" i="2" s="1"/>
  <c r="P316" i="2"/>
  <c r="BO315" i="2"/>
  <c r="BM315" i="2"/>
  <c r="Y315" i="2"/>
  <c r="BP315" i="2" s="1"/>
  <c r="P315" i="2"/>
  <c r="BO314" i="2"/>
  <c r="BM314" i="2"/>
  <c r="Y314" i="2"/>
  <c r="BN314" i="2" s="1"/>
  <c r="P314" i="2"/>
  <c r="BO313" i="2"/>
  <c r="BM313" i="2"/>
  <c r="Y313" i="2"/>
  <c r="P313" i="2"/>
  <c r="X311" i="2"/>
  <c r="X310" i="2"/>
  <c r="BO309" i="2"/>
  <c r="BM309" i="2"/>
  <c r="Y309" i="2"/>
  <c r="P309" i="2"/>
  <c r="Y307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M289" i="2"/>
  <c r="Y289" i="2"/>
  <c r="BN289" i="2" s="1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P249" i="2"/>
  <c r="BO249" i="2"/>
  <c r="BM249" i="2"/>
  <c r="Y249" i="2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Z177" i="2" s="1"/>
  <c r="P177" i="2"/>
  <c r="BP176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P151" i="2" s="1"/>
  <c r="P151" i="2"/>
  <c r="X148" i="2"/>
  <c r="X147" i="2"/>
  <c r="BO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Z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P125" i="2"/>
  <c r="BO124" i="2"/>
  <c r="BM124" i="2"/>
  <c r="Y124" i="2"/>
  <c r="BN124" i="2" s="1"/>
  <c r="P124" i="2"/>
  <c r="BO123" i="2"/>
  <c r="BM123" i="2"/>
  <c r="Y123" i="2"/>
  <c r="BP123" i="2" s="1"/>
  <c r="P123" i="2"/>
  <c r="X121" i="2"/>
  <c r="X120" i="2"/>
  <c r="BP119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P84" i="2"/>
  <c r="BO84" i="2"/>
  <c r="BN84" i="2"/>
  <c r="BM84" i="2"/>
  <c r="Z84" i="2"/>
  <c r="Y84" i="2"/>
  <c r="P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Z60" i="2"/>
  <c r="Y60" i="2"/>
  <c r="BN60" i="2" s="1"/>
  <c r="P60" i="2"/>
  <c r="BO59" i="2"/>
  <c r="BM59" i="2"/>
  <c r="Y59" i="2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P26" i="2"/>
  <c r="BO26" i="2"/>
  <c r="BM26" i="2"/>
  <c r="Y26" i="2"/>
  <c r="BN26" i="2" s="1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Z78" i="2" l="1"/>
  <c r="BP188" i="2"/>
  <c r="Z314" i="2"/>
  <c r="BP314" i="2"/>
  <c r="Z384" i="2"/>
  <c r="BP384" i="2"/>
  <c r="Z124" i="2"/>
  <c r="Z151" i="2"/>
  <c r="BP276" i="2"/>
  <c r="BN52" i="2"/>
  <c r="BP63" i="2"/>
  <c r="Z63" i="2"/>
  <c r="BN116" i="2"/>
  <c r="BN146" i="2"/>
  <c r="BN152" i="2"/>
  <c r="Z152" i="2"/>
  <c r="BN158" i="2"/>
  <c r="Z158" i="2"/>
  <c r="Z159" i="2" s="1"/>
  <c r="BP175" i="2"/>
  <c r="BN175" i="2"/>
  <c r="Z175" i="2"/>
  <c r="BN184" i="2"/>
  <c r="Y195" i="2"/>
  <c r="Y194" i="2"/>
  <c r="BN193" i="2"/>
  <c r="BP236" i="2"/>
  <c r="BN236" i="2"/>
  <c r="Z236" i="2"/>
  <c r="BN238" i="2"/>
  <c r="Y261" i="2"/>
  <c r="Z259" i="2"/>
  <c r="BN275" i="2"/>
  <c r="BN279" i="2"/>
  <c r="BN300" i="2"/>
  <c r="Y310" i="2"/>
  <c r="Y311" i="2"/>
  <c r="BN341" i="2"/>
  <c r="BN347" i="2"/>
  <c r="BP371" i="2"/>
  <c r="BN371" i="2"/>
  <c r="Z371" i="2"/>
  <c r="BN380" i="2"/>
  <c r="BP27" i="2"/>
  <c r="BN27" i="2"/>
  <c r="Z27" i="2"/>
  <c r="BN45" i="2"/>
  <c r="Z45" i="2"/>
  <c r="BN82" i="2"/>
  <c r="BP91" i="2"/>
  <c r="BN91" i="2"/>
  <c r="Z91" i="2"/>
  <c r="BN93" i="2"/>
  <c r="BN106" i="2"/>
  <c r="BP106" i="2"/>
  <c r="BN109" i="2"/>
  <c r="Z130" i="2"/>
  <c r="Z131" i="2" s="1"/>
  <c r="Y131" i="2"/>
  <c r="BN130" i="2"/>
  <c r="BN177" i="2"/>
  <c r="BN205" i="2"/>
  <c r="BN227" i="2"/>
  <c r="BP259" i="2"/>
  <c r="BN260" i="2"/>
  <c r="Y262" i="2"/>
  <c r="BN265" i="2"/>
  <c r="BN315" i="2"/>
  <c r="BP326" i="2"/>
  <c r="Z326" i="2"/>
  <c r="BP334" i="2"/>
  <c r="BN334" i="2"/>
  <c r="Z334" i="2"/>
  <c r="BN339" i="2"/>
  <c r="Z339" i="2"/>
  <c r="BN370" i="2"/>
  <c r="Z370" i="2"/>
  <c r="BP390" i="2"/>
  <c r="BN390" i="2"/>
  <c r="BN416" i="2"/>
  <c r="BN430" i="2"/>
  <c r="BP451" i="2"/>
  <c r="BN484" i="2"/>
  <c r="AA574" i="2"/>
  <c r="BN516" i="2"/>
  <c r="BN533" i="2"/>
  <c r="BN29" i="2"/>
  <c r="Y68" i="2"/>
  <c r="BP60" i="2"/>
  <c r="BN92" i="2"/>
  <c r="BN108" i="2"/>
  <c r="BN112" i="2"/>
  <c r="BP124" i="2"/>
  <c r="BN126" i="2"/>
  <c r="BN154" i="2"/>
  <c r="BN181" i="2"/>
  <c r="BN207" i="2"/>
  <c r="BN220" i="2"/>
  <c r="BN230" i="2"/>
  <c r="BN237" i="2"/>
  <c r="BN269" i="2"/>
  <c r="BN281" i="2"/>
  <c r="BN296" i="2"/>
  <c r="BP316" i="2"/>
  <c r="BN323" i="2"/>
  <c r="BN327" i="2"/>
  <c r="BN364" i="2"/>
  <c r="BN372" i="2"/>
  <c r="BP382" i="2"/>
  <c r="BP392" i="2"/>
  <c r="BN396" i="2"/>
  <c r="Z402" i="2"/>
  <c r="BN402" i="2"/>
  <c r="BN404" i="2"/>
  <c r="BP443" i="2"/>
  <c r="BN445" i="2"/>
  <c r="Z451" i="2"/>
  <c r="Z456" i="2"/>
  <c r="BN457" i="2"/>
  <c r="BN468" i="2"/>
  <c r="BN488" i="2"/>
  <c r="Z504" i="2"/>
  <c r="BN504" i="2"/>
  <c r="Z513" i="2"/>
  <c r="BN513" i="2"/>
  <c r="BN515" i="2"/>
  <c r="BN529" i="2"/>
  <c r="BN441" i="2"/>
  <c r="X565" i="2"/>
  <c r="Z29" i="2"/>
  <c r="BN42" i="2"/>
  <c r="Z52" i="2"/>
  <c r="Z77" i="2"/>
  <c r="Z79" i="2" s="1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Z349" i="2" s="1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Z127" i="2" s="1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X567" i="2" s="1"/>
  <c r="Z41" i="2"/>
  <c r="Z153" i="2"/>
  <c r="Z155" i="2" s="1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Z418" i="2" s="1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Z433" i="2" s="1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Z469" i="2" s="1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BP410" i="2"/>
  <c r="BN410" i="2"/>
  <c r="Y413" i="2"/>
  <c r="Y453" i="2"/>
  <c r="BP449" i="2"/>
  <c r="Y452" i="2"/>
  <c r="BN449" i="2"/>
  <c r="Z449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Y103" i="2"/>
  <c r="Y102" i="2"/>
  <c r="Z140" i="2"/>
  <c r="Z142" i="2" s="1"/>
  <c r="BP163" i="2"/>
  <c r="Z189" i="2"/>
  <c r="BP59" i="2"/>
  <c r="BP65" i="2"/>
  <c r="Y79" i="2"/>
  <c r="Z90" i="2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BP30" i="2"/>
  <c r="BN98" i="2"/>
  <c r="BP110" i="2"/>
  <c r="Z116" i="2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70" i="2"/>
  <c r="Z280" i="2"/>
  <c r="Z290" i="2"/>
  <c r="Z291" i="2" s="1"/>
  <c r="Z301" i="2"/>
  <c r="Z313" i="2"/>
  <c r="Z317" i="2" s="1"/>
  <c r="Z324" i="2"/>
  <c r="Y376" i="2"/>
  <c r="Y386" i="2"/>
  <c r="Y394" i="2"/>
  <c r="Z403" i="2"/>
  <c r="Z406" i="2" s="1"/>
  <c r="BP405" i="2"/>
  <c r="BP456" i="2"/>
  <c r="Z477" i="2"/>
  <c r="Z479" i="2" s="1"/>
  <c r="Z489" i="2"/>
  <c r="Z502" i="2"/>
  <c r="Z505" i="2" s="1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6" i="2" s="1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399" i="2" l="1"/>
  <c r="Z190" i="2"/>
  <c r="Z55" i="2"/>
  <c r="Z102" i="2"/>
  <c r="Z412" i="2"/>
  <c r="Z261" i="2"/>
  <c r="Z120" i="2"/>
  <c r="Z137" i="2"/>
  <c r="Z95" i="2"/>
  <c r="Z534" i="2"/>
  <c r="Y565" i="2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Y567" i="2" l="1"/>
  <c r="Z569" i="2"/>
</calcChain>
</file>

<file path=xl/sharedStrings.xml><?xml version="1.0" encoding="utf-8"?>
<sst xmlns="http://schemas.openxmlformats.org/spreadsheetml/2006/main" count="4289" uniqueCount="918">
  <si>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</si>
  <si>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</si>
  <si>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</si>
  <si>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</si>
  <si>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</si>
  <si>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</si>
  <si>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</si>
  <si>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</si>
  <si>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</si>
  <si>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</si>
  <si>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</si>
  <si>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</si>
  <si>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</si>
  <si>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</si>
  <si>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</si>
  <si>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</si>
  <si>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</si>
  <si>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</si>
  <si>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</si>
  <si>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</si>
  <si>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</si>
  <si>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</si>
  <si>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</si>
  <si>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</si>
  <si>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</si>
  <si>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</si>
  <si>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</si>
  <si>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</si>
  <si>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</si>
  <si>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</si>
  <si>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</si>
  <si>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</si>
  <si>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</si>
  <si>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</si>
  <si>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</si>
  <si>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</si>
  <si>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</si>
  <si>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</si>
  <si>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</si>
  <si>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</si>
  <si>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</si>
  <si>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</si>
  <si>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</si>
  <si>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</si>
  <si>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</si>
  <si>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</si>
  <si>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</si>
  <si>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</si>
  <si>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</si>
  <si>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</si>
  <si>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</si>
  <si>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</si>
  <si>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</si>
  <si>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</si>
  <si>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</si>
  <si>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</si>
  <si>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</si>
  <si>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</si>
  <si>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</si>
  <si>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</si>
  <si>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</si>
  <si>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</si>
  <si>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</si>
  <si>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</si>
  <si>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</si>
  <si>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</si>
  <si>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</si>
  <si>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</si>
  <si>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</si>
  <si>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</si>
  <si>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</si>
  <si>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</si>
  <si>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</si>
  <si>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</si>
  <si>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</si>
  <si>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</si>
  <si>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</si>
  <si>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</si>
  <si>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</si>
  <si>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</si>
  <si>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</si>
  <si>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</si>
  <si>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</si>
  <si>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</si>
  <si>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</si>
  <si>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</si>
  <si>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</si>
  <si>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</si>
  <si>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</si>
  <si>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</si>
  <si>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</si>
  <si>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</si>
  <si>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</si>
  <si>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</si>
  <si>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</si>
  <si>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</si>
  <si>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</si>
  <si>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</si>
  <si>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</si>
  <si>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</si>
  <si>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</si>
  <si>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</si>
  <si>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</si>
  <si>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</si>
  <si>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</si>
  <si>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</si>
  <si>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</si>
  <si>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</si>
  <si>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</si>
  <si>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</si>
  <si>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</si>
  <si>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</si>
  <si>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</si>
  <si>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</si>
  <si>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</si>
  <si>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</si>
  <si>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</si>
  <si>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</si>
  <si>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</si>
  <si>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</si>
  <si>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</si>
  <si>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</si>
  <si>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</si>
  <si>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</si>
  <si>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</si>
  <si>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</si>
  <si>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</si>
  <si>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</si>
  <si>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</si>
  <si>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</si>
  <si>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</si>
  <si>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</si>
  <si>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</si>
  <si>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</si>
  <si>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</si>
  <si>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</si>
  <si>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</si>
  <si>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</si>
  <si>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</si>
  <si>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</si>
  <si>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</si>
  <si>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</si>
  <si>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</si>
  <si>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</si>
  <si>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</si>
  <si>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</si>
  <si>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</si>
  <si>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</si>
  <si>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</si>
  <si>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</si>
  <si>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</si>
  <si>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</si>
  <si>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</si>
  <si>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</si>
  <si>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</si>
  <si>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</si>
  <si>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</si>
  <si>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</si>
  <si>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</si>
  <si>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</si>
  <si>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</si>
  <si>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</si>
  <si>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</si>
  <si>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</si>
  <si>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</si>
  <si>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</si>
  <si>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</si>
  <si>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</si>
  <si>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</si>
  <si>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</si>
  <si>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</si>
  <si>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</si>
  <si>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</si>
  <si>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</si>
  <si>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</si>
  <si>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</si>
  <si>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</si>
  <si>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</si>
  <si>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</si>
  <si>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</si>
  <si>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</si>
  <si>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</si>
  <si>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</si>
  <si>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</si>
  <si>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</si>
  <si>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</si>
  <si>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</si>
  <si>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</si>
  <si>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</si>
  <si>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</si>
  <si>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</si>
  <si>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</si>
  <si>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</si>
  <si>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</si>
  <si>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</si>
  <si>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</si>
  <si>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</si>
  <si>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</si>
  <si>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</si>
  <si>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</si>
  <si>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</si>
  <si>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</si>
  <si>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</si>
  <si>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</si>
  <si>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</si>
  <si>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</si>
  <si>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</si>
  <si>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</si>
  <si>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</si>
  <si>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</si>
  <si>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</si>
  <si>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</si>
  <si>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</si>
  <si>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</si>
  <si>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</si>
  <si>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</si>
  <si>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</si>
  <si>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</si>
  <si>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</si>
  <si>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</si>
  <si>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</si>
  <si>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</si>
  <si>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</si>
  <si>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</si>
  <si>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</si>
  <si>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</si>
  <si>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</si>
  <si>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</si>
  <si>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</si>
  <si>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</si>
  <si>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</si>
  <si>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</si>
  <si>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</si>
  <si>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</si>
  <si>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</si>
  <si>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</si>
  <si>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</si>
  <si>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</si>
  <si>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</si>
  <si>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</si>
  <si>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</si>
  <si>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</si>
  <si>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</si>
  <si>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</si>
  <si>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</si>
  <si>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</si>
  <si>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</si>
  <si>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</si>
  <si>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</si>
  <si>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</si>
  <si>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</si>
  <si>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</si>
  <si>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</si>
  <si>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</si>
  <si>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</si>
  <si>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</si>
  <si>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</si>
  <si>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</si>
  <si>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</si>
  <si>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</si>
  <si>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</si>
  <si>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</si>
  <si>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</si>
  <si>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</si>
  <si>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</si>
  <si>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</si>
  <si>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</si>
  <si>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</si>
  <si>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</si>
  <si>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</si>
  <si>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</si>
  <si>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</si>
  <si>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</si>
  <si>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</si>
  <si>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</si>
  <si>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</si>
  <si>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</si>
  <si>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</si>
  <si>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</si>
  <si>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</si>
  <si>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</si>
  <si>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</si>
  <si>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</si>
  <si>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</si>
  <si>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</si>
  <si>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</si>
  <si>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</si>
  <si>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</si>
  <si>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</si>
  <si>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</si>
  <si>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</si>
  <si>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</si>
  <si>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</si>
  <si>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</si>
  <si>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</si>
  <si>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</si>
  <si>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</si>
  <si>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</si>
  <si>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</si>
  <si>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</si>
  <si>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</si>
  <si>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</si>
  <si>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</si>
  <si>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</si>
  <si>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</si>
  <si>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</si>
  <si>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</si>
  <si>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</si>
  <si>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</si>
  <si>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</si>
  <si>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</si>
  <si>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</si>
  <si>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</si>
  <si>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</si>
  <si>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</si>
  <si>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</si>
  <si>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</si>
  <si>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</si>
  <si>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</si>
  <si>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</si>
  <si>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</si>
  <si>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</si>
  <si>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</si>
  <si>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</si>
  <si>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</si>
  <si>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</si>
  <si>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</si>
  <si>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</si>
  <si>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</si>
  <si>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</si>
  <si>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</si>
  <si>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</si>
  <si>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</si>
  <si>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</si>
  <si>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</si>
  <si>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</si>
  <si>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</si>
  <si>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</si>
  <si>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</si>
  <si>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</si>
  <si>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</si>
  <si>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</si>
  <si>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</si>
  <si>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</si>
  <si>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</si>
  <si>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</si>
  <si>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</si>
  <si>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</si>
  <si>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</si>
  <si>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</si>
  <si>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</si>
  <si>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</si>
  <si>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</si>
  <si>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</si>
  <si>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</si>
  <si>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</si>
  <si>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</si>
  <si>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</si>
  <si>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</si>
  <si>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</si>
  <si>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</si>
  <si>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</si>
  <si>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</si>
  <si>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</si>
  <si>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</si>
  <si>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</si>
  <si>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</si>
  <si>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</si>
  <si>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</si>
  <si>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</si>
  <si>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</si>
  <si>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</si>
  <si>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</si>
  <si>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</si>
  <si>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</si>
  <si>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</si>
  <si>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</si>
  <si>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</si>
  <si>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</si>
  <si>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</si>
  <si>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</si>
  <si>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</si>
  <si>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</si>
  <si>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</si>
  <si>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</si>
  <si>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</si>
  <si>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</si>
  <si>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</si>
  <si>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</si>
  <si>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</si>
  <si>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</si>
  <si>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</si>
  <si>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</si>
  <si>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</si>
  <si>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</si>
  <si>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</si>
  <si>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</si>
  <si>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</si>
  <si>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</si>
  <si>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</si>
  <si>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</si>
  <si>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</si>
  <si>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</si>
  <si>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</si>
  <si>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</si>
  <si>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</si>
  <si>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</si>
  <si>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</si>
  <si>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</si>
  <si>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</si>
  <si>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</si>
  <si>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</si>
  <si>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</si>
  <si>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</si>
  <si>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</si>
  <si>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</si>
  <si>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</si>
  <si>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</si>
  <si>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</si>
  <si>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</si>
  <si>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</si>
  <si>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</si>
  <si>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</si>
  <si>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</si>
  <si>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</si>
  <si>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</si>
  <si>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</si>
  <si>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</si>
  <si>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</si>
  <si>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</si>
  <si>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</si>
  <si>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</si>
  <si>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</si>
  <si>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</si>
  <si>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</si>
  <si>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</si>
  <si>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</si>
  <si>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</si>
  <si>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</si>
  <si>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</si>
  <si>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</si>
  <si>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</si>
  <si>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</si>
  <si>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</si>
  <si>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</si>
  <si>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</si>
  <si>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</si>
  <si>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</si>
  <si>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</si>
  <si>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</si>
  <si>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</si>
  <si>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</si>
  <si>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</si>
  <si>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</si>
  <si>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</si>
  <si>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</si>
  <si>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</si>
  <si>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</si>
  <si>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</si>
  <si>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</si>
  <si>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</si>
  <si>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</si>
  <si>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</si>
  <si>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</si>
  <si>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</si>
  <si>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</si>
  <si>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</si>
  <si>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</si>
  <si>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</si>
  <si>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</si>
  <si>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</si>
  <si>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</si>
  <si>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</si>
  <si>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</si>
  <si>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</si>
  <si>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</si>
  <si>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</si>
  <si>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</si>
  <si>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</si>
  <si>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</si>
  <si>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</si>
  <si>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</si>
  <si>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</si>
  <si>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</si>
  <si>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</si>
  <si>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</si>
  <si>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</si>
  <si>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</si>
  <si>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</si>
  <si>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</si>
  <si>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</si>
  <si>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</si>
  <si>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</si>
  <si>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</si>
  <si>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</si>
  <si>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</si>
  <si>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</si>
  <si>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</si>
  <si>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</si>
  <si>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</si>
  <si>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</si>
  <si>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</si>
  <si>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</si>
  <si>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</si>
  <si>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</si>
  <si>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</si>
  <si>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</si>
  <si>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</si>
  <si>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</si>
  <si>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</si>
  <si>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</si>
  <si>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</si>
  <si>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</si>
  <si>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</si>
  <si>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</si>
  <si>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</si>
  <si>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</si>
  <si>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</si>
  <si>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</si>
  <si>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</si>
  <si>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</si>
  <si>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</si>
  <si>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</si>
  <si>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</si>
  <si>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</si>
  <si>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</si>
  <si>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</si>
  <si>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</si>
  <si>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</si>
  <si>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</si>
  <si>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</si>
  <si>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</si>
  <si>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</si>
  <si>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</si>
  <si>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</si>
  <si>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</si>
  <si>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</si>
  <si>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</si>
  <si>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</si>
  <si>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</si>
  <si>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</si>
  <si>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</si>
  <si>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</si>
  <si>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</si>
  <si>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</si>
  <si>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</si>
  <si>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</si>
  <si>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</si>
  <si>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</si>
  <si>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</si>
  <si>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</si>
  <si>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</si>
  <si>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</si>
  <si>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</si>
  <si>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</si>
  <si>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</si>
  <si>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</si>
  <si>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</si>
  <si>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</si>
  <si>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</si>
  <si>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</si>
  <si>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</si>
  <si>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</si>
  <si>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</si>
  <si>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</si>
  <si>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</si>
  <si>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</si>
  <si>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</si>
  <si>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</si>
  <si>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</si>
  <si>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</si>
  <si>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</si>
  <si>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</si>
  <si>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</si>
  <si>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</si>
  <si>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</si>
  <si>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</si>
  <si>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</si>
  <si>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</si>
  <si>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</si>
  <si>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</si>
  <si>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</si>
  <si>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</si>
  <si>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</si>
  <si>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</si>
  <si>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</si>
  <si>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</si>
  <si>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</si>
  <si>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</si>
  <si>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</si>
  <si>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</si>
  <si>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</si>
  <si>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</si>
  <si>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</si>
  <si>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</si>
  <si>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</si>
  <si>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</si>
  <si>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</si>
  <si>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</si>
  <si>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</si>
  <si>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</si>
  <si>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</si>
  <si>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</si>
  <si>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</si>
  <si>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</si>
  <si>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</si>
  <si>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</si>
  <si>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</si>
  <si>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</si>
  <si>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</si>
  <si>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</si>
  <si>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</si>
  <si>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</si>
  <si>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</si>
  <si>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</si>
  <si>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</si>
  <si>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</si>
  <si>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</si>
  <si>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</si>
  <si>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</si>
  <si>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</si>
  <si>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</si>
  <si>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</si>
  <si>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</si>
  <si>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</si>
  <si>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</si>
  <si>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</si>
  <si>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</si>
  <si>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</si>
  <si>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</si>
  <si>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</si>
  <si>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</si>
  <si>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</si>
  <si>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</si>
  <si>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</si>
  <si>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</si>
  <si>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</si>
  <si>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</si>
  <si>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</si>
  <si>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</si>
  <si>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</si>
  <si>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</si>
  <si>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</si>
  <si>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</si>
  <si>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</si>
  <si>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</si>
  <si>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</si>
  <si>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</si>
  <si>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</si>
  <si>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</si>
  <si>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</si>
  <si>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</si>
  <si>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</si>
  <si>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</si>
  <si>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</si>
  <si>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</si>
  <si>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</si>
  <si>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</si>
  <si>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</si>
  <si>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</si>
  <si>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</si>
  <si>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</si>
  <si>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</si>
  <si>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</si>
  <si>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</si>
  <si>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</si>
  <si>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</si>
  <si>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</si>
  <si>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</si>
  <si>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</si>
  <si>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</si>
  <si>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</si>
  <si>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</si>
  <si>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</si>
  <si>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</si>
  <si>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</si>
  <si>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</si>
  <si>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</si>
  <si>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</si>
  <si>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</si>
  <si>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</si>
  <si>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</si>
  <si>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</si>
  <si>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</si>
  <si>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</si>
  <si>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</si>
  <si>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</si>
  <si>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</si>
  <si>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</si>
  <si>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</si>
  <si>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</si>
  <si>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</si>
  <si>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</si>
  <si>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</si>
  <si>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</si>
  <si>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</si>
  <si>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</si>
  <si>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</si>
  <si>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</si>
  <si>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</si>
  <si>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</si>
  <si>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</si>
  <si>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</si>
  <si>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</si>
  <si>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</si>
  <si>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</si>
  <si>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</si>
  <si>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</si>
  <si>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</si>
  <si>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</si>
  <si>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</si>
  <si>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</si>
  <si>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</si>
  <si>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</si>
  <si>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</si>
  <si>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</si>
  <si>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</si>
  <si>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</si>
  <si>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</si>
  <si>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</si>
  <si>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</si>
  <si>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</si>
  <si>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</si>
  <si>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</si>
  <si>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</si>
  <si>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</si>
  <si>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</si>
  <si>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</si>
  <si>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</si>
  <si>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</si>
  <si>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</si>
  <si>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</si>
  <si>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</si>
  <si>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</si>
  <si>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</si>
  <si>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</si>
  <si>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</si>
  <si>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</si>
  <si>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</si>
  <si>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</si>
  <si>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</si>
  <si>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</si>
  <si>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</si>
  <si>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</si>
  <si>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</si>
  <si>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</si>
  <si>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</si>
  <si>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</si>
  <si>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</si>
  <si>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</si>
  <si>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</si>
  <si>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</si>
  <si>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</si>
  <si>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</si>
  <si>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</si>
  <si>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</si>
  <si>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</si>
  <si>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</si>
  <si>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</si>
  <si>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</si>
  <si>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</si>
  <si>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</si>
  <si>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</si>
  <si>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</si>
  <si>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</si>
  <si>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</si>
  <si>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</si>
  <si>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</si>
  <si>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</si>
  <si>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</si>
  <si>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</si>
  <si>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</si>
  <si>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</si>
  <si>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</si>
  <si>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</si>
  <si>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</si>
  <si>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</si>
  <si>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</si>
  <si>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</si>
  <si>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</si>
  <si>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</si>
  <si>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</si>
  <si>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</si>
  <si>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</si>
  <si>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</si>
  <si>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</si>
  <si>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</si>
  <si>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</si>
  <si>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</si>
  <si>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</si>
  <si>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</si>
  <si>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</si>
  <si>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</si>
  <si>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</si>
  <si>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</si>
  <si>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</si>
  <si>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</si>
  <si>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</si>
  <si>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</si>
  <si>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</si>
  <si>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</si>
  <si>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</si>
  <si>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</si>
  <si>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</si>
  <si>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</si>
  <si>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</si>
  <si>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</si>
  <si>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</si>
  <si>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</si>
  <si>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</si>
  <si>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</si>
  <si>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</si>
  <si>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</si>
  <si>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</si>
  <si>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</si>
  <si>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</si>
  <si>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</si>
  <si>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</si>
  <si>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</si>
  <si>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</si>
  <si>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</si>
  <si>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</si>
  <si>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</si>
  <si>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</si>
  <si>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</si>
  <si>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</si>
  <si>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</si>
  <si>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</si>
  <si>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</si>
  <si>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</si>
  <si>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</si>
  <si>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</si>
  <si>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</si>
  <si>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</si>
  <si>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</si>
  <si>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</si>
  <si>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</si>
  <si>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</si>
  <si>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</si>
  <si>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</si>
  <si>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</si>
  <si>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</si>
  <si>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</si>
  <si>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</si>
  <si>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</si>
  <si>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</si>
  <si>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</si>
  <si>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</si>
  <si>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</si>
  <si>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</si>
  <si>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</si>
  <si>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</si>
  <si>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</si>
  <si>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</si>
  <si>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</si>
  <si>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</si>
  <si>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</si>
  <si>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</si>
  <si>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</si>
  <si>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</si>
  <si>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</si>
  <si>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</si>
  <si>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</si>
  <si>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</si>
  <si>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</si>
  <si>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</si>
  <si>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</si>
  <si>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</si>
  <si>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</si>
  <si>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</si>
  <si>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</si>
  <si>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</si>
  <si>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</si>
  <si>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</si>
  <si>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</si>
  <si>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</si>
  <si>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</si>
  <si>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</si>
  <si>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</si>
  <si>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</si>
  <si>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</si>
  <si>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</si>
  <si>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</si>
  <si>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</si>
  <si>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</si>
  <si>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</si>
  <si>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</si>
  <si>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</si>
  <si>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</si>
  <si>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</si>
  <si>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</si>
  <si>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</si>
  <si>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</si>
  <si>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</si>
  <si>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</si>
  <si>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</si>
  <si>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</si>
  <si>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</si>
  <si>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</si>
  <si>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</si>
  <si>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</si>
  <si>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</si>
  <si>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</si>
  <si>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</si>
  <si>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</si>
  <si>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</si>
  <si>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</si>
  <si>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</si>
  <si>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</si>
  <si>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</si>
  <si>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</si>
  <si>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</si>
  <si>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</si>
  <si>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</si>
  <si>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</si>
  <si>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</si>
  <si>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TSO001138411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</si>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</sst>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2" t="s">
        <v>26</v>
      </c>
      <c r="E1" s="642"/>
      <c r="F1" s="642"/>
      <c r="G1" s="14" t="s">
        <v>66</v>
      </c>
      <c r="H1" s="642" t="s">
        <v>47</v>
      </c>
      <c r="I1" s="642"/>
      <c r="J1" s="642"/>
      <c r="K1" s="642"/>
      <c r="L1" s="642"/>
      <c r="M1" s="642"/>
      <c r="N1" s="642"/>
      <c r="O1" s="642"/>
      <c r="P1" s="642"/>
      <c r="Q1" s="642"/>
      <c r="R1" s="643" t="s">
        <v>67</v>
      </c>
      <c r="S1" s="644"/>
      <c r="T1" s="64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5"/>
      <c r="Q3" s="645"/>
      <c r="R3" s="645"/>
      <c r="S3" s="645"/>
      <c r="T3" s="645"/>
      <c r="U3" s="645"/>
      <c r="V3" s="645"/>
      <c r="W3" s="64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6" t="s">
        <v>8</v>
      </c>
      <c r="B5" s="646"/>
      <c r="C5" s="646"/>
      <c r="D5" s="647"/>
      <c r="E5" s="647"/>
      <c r="F5" s="648" t="s">
        <v>14</v>
      </c>
      <c r="G5" s="648"/>
      <c r="H5" s="647" t="s">
        <v>916</v>
      </c>
      <c r="I5" s="647"/>
      <c r="J5" s="647"/>
      <c r="K5" s="647"/>
      <c r="L5" s="647"/>
      <c r="M5" s="647"/>
      <c r="N5" s="72"/>
      <c r="P5" s="27" t="s">
        <v>4</v>
      </c>
      <c r="Q5" s="649">
        <v>46314</v>
      </c>
      <c r="R5" s="649"/>
      <c r="T5" s="650" t="s">
        <v>3</v>
      </c>
      <c r="U5" s="651"/>
      <c r="V5" s="652" t="s">
        <v>873</v>
      </c>
      <c r="W5" s="653"/>
      <c r="AB5" s="59"/>
      <c r="AC5" s="59"/>
      <c r="AD5" s="59"/>
      <c r="AE5" s="59"/>
    </row>
    <row r="6" spans="1:32" s="17" customFormat="1" ht="24" customHeight="1" x14ac:dyDescent="0.2">
      <c r="A6" s="646" t="s">
        <v>1</v>
      </c>
      <c r="B6" s="646"/>
      <c r="C6" s="646"/>
      <c r="D6" s="654" t="s">
        <v>886</v>
      </c>
      <c r="E6" s="654"/>
      <c r="F6" s="654"/>
      <c r="G6" s="654"/>
      <c r="H6" s="654"/>
      <c r="I6" s="654"/>
      <c r="J6" s="654"/>
      <c r="K6" s="654"/>
      <c r="L6" s="654"/>
      <c r="M6" s="654"/>
      <c r="N6" s="73"/>
      <c r="P6" s="27" t="s">
        <v>27</v>
      </c>
      <c r="Q6" s="655" t="str">
        <f>IF(Q5=0," ",CHOOSE(WEEKDAY(Q5,2),"Понедельник","Вторник","Среда","Четверг","Пятница","Суббота","Воскресенье"))</f>
        <v>Понедельник</v>
      </c>
      <c r="R6" s="655"/>
      <c r="T6" s="656" t="s">
        <v>5</v>
      </c>
      <c r="U6" s="657"/>
      <c r="V6" s="658" t="s">
        <v>69</v>
      </c>
      <c r="W6" s="65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4" t="str">
        <f>IFERROR(VLOOKUP(DeliveryAddress,Table,3,0),1)</f>
        <v>5</v>
      </c>
      <c r="E7" s="665"/>
      <c r="F7" s="665"/>
      <c r="G7" s="665"/>
      <c r="H7" s="665"/>
      <c r="I7" s="665"/>
      <c r="J7" s="665"/>
      <c r="K7" s="665"/>
      <c r="L7" s="665"/>
      <c r="M7" s="666"/>
      <c r="N7" s="74"/>
      <c r="P7" s="29"/>
      <c r="Q7" s="48"/>
      <c r="R7" s="48"/>
      <c r="T7" s="656"/>
      <c r="U7" s="657"/>
      <c r="V7" s="660"/>
      <c r="W7" s="661"/>
      <c r="AB7" s="59"/>
      <c r="AC7" s="59"/>
      <c r="AD7" s="59"/>
      <c r="AE7" s="59"/>
    </row>
    <row r="8" spans="1:32" s="17" customFormat="1" ht="25.5" customHeight="1" x14ac:dyDescent="0.2">
      <c r="A8" s="667" t="s">
        <v>57</v>
      </c>
      <c r="B8" s="667"/>
      <c r="C8" s="667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75"/>
      <c r="P8" s="27" t="s">
        <v>11</v>
      </c>
      <c r="Q8" s="669">
        <v>0.5</v>
      </c>
      <c r="R8" s="670"/>
      <c r="T8" s="656"/>
      <c r="U8" s="657"/>
      <c r="V8" s="660"/>
      <c r="W8" s="661"/>
      <c r="AB8" s="59"/>
      <c r="AC8" s="59"/>
      <c r="AD8" s="59"/>
      <c r="AE8" s="59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70"/>
      <c r="P9" s="31" t="s">
        <v>15</v>
      </c>
      <c r="Q9" s="675"/>
      <c r="R9" s="675"/>
      <c r="T9" s="656"/>
      <c r="U9" s="657"/>
      <c r="V9" s="662"/>
      <c r="W9" s="66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71"/>
      <c r="P10" s="31" t="s">
        <v>32</v>
      </c>
      <c r="Q10" s="677"/>
      <c r="R10" s="677"/>
      <c r="U10" s="29" t="s">
        <v>12</v>
      </c>
      <c r="V10" s="678" t="s">
        <v>70</v>
      </c>
      <c r="W10" s="67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0"/>
      <c r="R11" s="680"/>
      <c r="U11" s="29" t="s">
        <v>28</v>
      </c>
      <c r="V11" s="681" t="s">
        <v>917</v>
      </c>
      <c r="W11" s="68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2" t="s">
        <v>71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6"/>
      <c r="P12" s="27" t="s">
        <v>30</v>
      </c>
      <c r="Q12" s="669"/>
      <c r="R12" s="669"/>
      <c r="S12" s="28"/>
      <c r="T12"/>
      <c r="U12" s="29" t="s">
        <v>46</v>
      </c>
      <c r="V12" s="683"/>
      <c r="W12" s="683"/>
      <c r="X12"/>
      <c r="AB12" s="59"/>
      <c r="AC12" s="59"/>
      <c r="AD12" s="59"/>
      <c r="AE12" s="59"/>
    </row>
    <row r="13" spans="1:32" s="17" customFormat="1" ht="23.25" customHeight="1" x14ac:dyDescent="0.2">
      <c r="A13" s="682" t="s">
        <v>72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6"/>
      <c r="O13" s="31"/>
      <c r="P13" s="31" t="s">
        <v>31</v>
      </c>
      <c r="Q13" s="681"/>
      <c r="R13" s="68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2" t="s">
        <v>73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4" t="s">
        <v>74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7"/>
      <c r="O15"/>
      <c r="P15" s="685" t="s">
        <v>60</v>
      </c>
      <c r="Q15" s="685"/>
      <c r="R15" s="685"/>
      <c r="S15" s="685"/>
      <c r="T15" s="68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58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65</v>
      </c>
      <c r="L17" s="689" t="s">
        <v>63</v>
      </c>
      <c r="M17" s="689" t="s">
        <v>2</v>
      </c>
      <c r="N17" s="689" t="s">
        <v>62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55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59</v>
      </c>
      <c r="AB17" s="703" t="s">
        <v>19</v>
      </c>
      <c r="AC17" s="703" t="s">
        <v>64</v>
      </c>
      <c r="AD17" s="705" t="s">
        <v>56</v>
      </c>
      <c r="AE17" s="706"/>
      <c r="AF17" s="707"/>
      <c r="AG17" s="82"/>
      <c r="BD17" s="81" t="s">
        <v>61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83" t="s">
        <v>44</v>
      </c>
      <c r="V18" s="83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82"/>
      <c r="BD18" s="81"/>
    </row>
    <row r="19" spans="1:68" ht="27.75" hidden="1" customHeight="1" x14ac:dyDescent="0.2">
      <c r="A19" s="711" t="s">
        <v>75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4"/>
      <c r="AB19" s="54"/>
      <c r="AC19" s="54"/>
    </row>
    <row r="20" spans="1:68" ht="16.5" hidden="1" customHeight="1" x14ac:dyDescent="0.25">
      <c r="A20" s="712" t="s">
        <v>75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5"/>
      <c r="AB20" s="65"/>
      <c r="AC20" s="79"/>
    </row>
    <row r="21" spans="1:68" ht="14.25" hidden="1" customHeight="1" x14ac:dyDescent="0.25">
      <c r="A21" s="713" t="s">
        <v>76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4301031508</v>
      </c>
      <c r="D22" s="714">
        <v>4680115889071</v>
      </c>
      <c r="E22" s="714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6"/>
      <c r="R22" s="716"/>
      <c r="S22" s="716"/>
      <c r="T22" s="71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1"/>
      <c r="B23" s="721"/>
      <c r="C23" s="721"/>
      <c r="D23" s="721"/>
      <c r="E23" s="721"/>
      <c r="F23" s="721"/>
      <c r="G23" s="721"/>
      <c r="H23" s="721"/>
      <c r="I23" s="721"/>
      <c r="J23" s="721"/>
      <c r="K23" s="721"/>
      <c r="L23" s="721"/>
      <c r="M23" s="721"/>
      <c r="N23" s="721"/>
      <c r="O23" s="722"/>
      <c r="P23" s="718" t="s">
        <v>40</v>
      </c>
      <c r="Q23" s="719"/>
      <c r="R23" s="719"/>
      <c r="S23" s="719"/>
      <c r="T23" s="719"/>
      <c r="U23" s="719"/>
      <c r="V23" s="72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1"/>
      <c r="B24" s="721"/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2"/>
      <c r="P24" s="718" t="s">
        <v>40</v>
      </c>
      <c r="Q24" s="719"/>
      <c r="R24" s="719"/>
      <c r="S24" s="719"/>
      <c r="T24" s="719"/>
      <c r="U24" s="719"/>
      <c r="V24" s="72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3" t="s">
        <v>82</v>
      </c>
      <c r="B25" s="713"/>
      <c r="C25" s="713"/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3"/>
      <c r="U25" s="713"/>
      <c r="V25" s="713"/>
      <c r="W25" s="713"/>
      <c r="X25" s="713"/>
      <c r="Y25" s="713"/>
      <c r="Z25" s="713"/>
      <c r="AA25" s="66"/>
      <c r="AB25" s="66"/>
      <c r="AC25" s="80"/>
    </row>
    <row r="26" spans="1:68" ht="27" hidden="1" customHeight="1" x14ac:dyDescent="0.25">
      <c r="A26" s="63" t="s">
        <v>83</v>
      </c>
      <c r="B26" s="63" t="s">
        <v>84</v>
      </c>
      <c r="C26" s="36">
        <v>4301051866</v>
      </c>
      <c r="D26" s="714">
        <v>4680115885912</v>
      </c>
      <c r="E26" s="714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46</v>
      </c>
      <c r="M26" s="38" t="s">
        <v>86</v>
      </c>
      <c r="N26" s="38"/>
      <c r="O26" s="37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6"/>
      <c r="R26" s="716"/>
      <c r="S26" s="716"/>
      <c r="T26" s="717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85</v>
      </c>
      <c r="AG26" s="78"/>
      <c r="AJ26" s="84" t="s">
        <v>46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88</v>
      </c>
      <c r="B27" s="63" t="s">
        <v>89</v>
      </c>
      <c r="C27" s="36">
        <v>4301051776</v>
      </c>
      <c r="D27" s="714">
        <v>4607091388237</v>
      </c>
      <c r="E27" s="714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46</v>
      </c>
      <c r="M27" s="38" t="s">
        <v>86</v>
      </c>
      <c r="N27" s="38"/>
      <c r="O27" s="37">
        <v>40</v>
      </c>
      <c r="P27" s="7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6"/>
      <c r="R27" s="716"/>
      <c r="S27" s="716"/>
      <c r="T27" s="71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85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90</v>
      </c>
      <c r="B28" s="63" t="s">
        <v>91</v>
      </c>
      <c r="C28" s="36">
        <v>4301052063</v>
      </c>
      <c r="D28" s="714">
        <v>4680115887350</v>
      </c>
      <c r="E28" s="714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46</v>
      </c>
      <c r="M28" s="38" t="s">
        <v>93</v>
      </c>
      <c r="N28" s="38"/>
      <c r="O28" s="37">
        <v>40</v>
      </c>
      <c r="P28" s="7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6"/>
      <c r="R28" s="716"/>
      <c r="S28" s="716"/>
      <c r="T28" s="71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92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4301051863</v>
      </c>
      <c r="D29" s="714">
        <v>4680115885905</v>
      </c>
      <c r="E29" s="71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46</v>
      </c>
      <c r="M29" s="38" t="s">
        <v>93</v>
      </c>
      <c r="N29" s="38"/>
      <c r="O29" s="37">
        <v>40</v>
      </c>
      <c r="P29" s="72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6"/>
      <c r="R29" s="716"/>
      <c r="S29" s="716"/>
      <c r="T29" s="71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4301052071</v>
      </c>
      <c r="D30" s="714">
        <v>4680115887619</v>
      </c>
      <c r="E30" s="714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87</v>
      </c>
      <c r="L30" s="37" t="s">
        <v>46</v>
      </c>
      <c r="M30" s="38" t="s">
        <v>86</v>
      </c>
      <c r="N30" s="38"/>
      <c r="O30" s="37">
        <v>40</v>
      </c>
      <c r="P30" s="7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6"/>
      <c r="R30" s="716"/>
      <c r="S30" s="716"/>
      <c r="T30" s="71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1"/>
      <c r="B31" s="721"/>
      <c r="C31" s="721"/>
      <c r="D31" s="721"/>
      <c r="E31" s="721"/>
      <c r="F31" s="721"/>
      <c r="G31" s="721"/>
      <c r="H31" s="721"/>
      <c r="I31" s="721"/>
      <c r="J31" s="721"/>
      <c r="K31" s="721"/>
      <c r="L31" s="721"/>
      <c r="M31" s="721"/>
      <c r="N31" s="721"/>
      <c r="O31" s="722"/>
      <c r="P31" s="718" t="s">
        <v>40</v>
      </c>
      <c r="Q31" s="719"/>
      <c r="R31" s="719"/>
      <c r="S31" s="719"/>
      <c r="T31" s="719"/>
      <c r="U31" s="719"/>
      <c r="V31" s="720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721"/>
      <c r="M32" s="721"/>
      <c r="N32" s="721"/>
      <c r="O32" s="722"/>
      <c r="P32" s="718" t="s">
        <v>40</v>
      </c>
      <c r="Q32" s="719"/>
      <c r="R32" s="719"/>
      <c r="S32" s="719"/>
      <c r="T32" s="719"/>
      <c r="U32" s="719"/>
      <c r="V32" s="720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3" t="s">
        <v>100</v>
      </c>
      <c r="B33" s="713"/>
      <c r="C33" s="713"/>
      <c r="D33" s="713"/>
      <c r="E33" s="713"/>
      <c r="F33" s="713"/>
      <c r="G33" s="713"/>
      <c r="H33" s="713"/>
      <c r="I33" s="713"/>
      <c r="J33" s="713"/>
      <c r="K33" s="713"/>
      <c r="L33" s="713"/>
      <c r="M33" s="713"/>
      <c r="N33" s="713"/>
      <c r="O33" s="713"/>
      <c r="P33" s="713"/>
      <c r="Q33" s="713"/>
      <c r="R33" s="713"/>
      <c r="S33" s="713"/>
      <c r="T33" s="713"/>
      <c r="U33" s="713"/>
      <c r="V33" s="713"/>
      <c r="W33" s="713"/>
      <c r="X33" s="713"/>
      <c r="Y33" s="713"/>
      <c r="Z33" s="713"/>
      <c r="AA33" s="66"/>
      <c r="AB33" s="66"/>
      <c r="AC33" s="80"/>
    </row>
    <row r="34" spans="1:68" ht="27" hidden="1" customHeight="1" x14ac:dyDescent="0.25">
      <c r="A34" s="63" t="s">
        <v>101</v>
      </c>
      <c r="B34" s="63" t="s">
        <v>102</v>
      </c>
      <c r="C34" s="36">
        <v>4301032059</v>
      </c>
      <c r="D34" s="714">
        <v>4680115889262</v>
      </c>
      <c r="E34" s="714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107</v>
      </c>
      <c r="L34" s="37" t="s">
        <v>46</v>
      </c>
      <c r="M34" s="38" t="s">
        <v>106</v>
      </c>
      <c r="N34" s="38"/>
      <c r="O34" s="37">
        <v>180</v>
      </c>
      <c r="P34" s="7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6"/>
      <c r="R34" s="716"/>
      <c r="S34" s="716"/>
      <c r="T34" s="717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105</v>
      </c>
      <c r="AC34" s="98" t="s">
        <v>103</v>
      </c>
      <c r="AG34" s="78"/>
      <c r="AJ34" s="84" t="s">
        <v>46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108</v>
      </c>
      <c r="B35" s="63" t="s">
        <v>109</v>
      </c>
      <c r="C35" s="36">
        <v>4301032063</v>
      </c>
      <c r="D35" s="714">
        <v>4680115889040</v>
      </c>
      <c r="E35" s="714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107</v>
      </c>
      <c r="L35" s="37" t="s">
        <v>46</v>
      </c>
      <c r="M35" s="38" t="s">
        <v>106</v>
      </c>
      <c r="N35" s="38"/>
      <c r="O35" s="37">
        <v>120</v>
      </c>
      <c r="P35" s="7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6"/>
      <c r="R35" s="716"/>
      <c r="S35" s="716"/>
      <c r="T35" s="717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105</v>
      </c>
      <c r="AC35" s="100" t="s">
        <v>110</v>
      </c>
      <c r="AG35" s="78"/>
      <c r="AJ35" s="84" t="s">
        <v>46</v>
      </c>
      <c r="AK35" s="84">
        <v>0</v>
      </c>
      <c r="BB35" s="101" t="s">
        <v>104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1"/>
      <c r="B36" s="721"/>
      <c r="C36" s="721"/>
      <c r="D36" s="721"/>
      <c r="E36" s="721"/>
      <c r="F36" s="721"/>
      <c r="G36" s="721"/>
      <c r="H36" s="721"/>
      <c r="I36" s="721"/>
      <c r="J36" s="721"/>
      <c r="K36" s="721"/>
      <c r="L36" s="721"/>
      <c r="M36" s="721"/>
      <c r="N36" s="721"/>
      <c r="O36" s="722"/>
      <c r="P36" s="718" t="s">
        <v>40</v>
      </c>
      <c r="Q36" s="719"/>
      <c r="R36" s="719"/>
      <c r="S36" s="719"/>
      <c r="T36" s="719"/>
      <c r="U36" s="719"/>
      <c r="V36" s="720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1"/>
      <c r="B37" s="721"/>
      <c r="C37" s="721"/>
      <c r="D37" s="721"/>
      <c r="E37" s="721"/>
      <c r="F37" s="721"/>
      <c r="G37" s="721"/>
      <c r="H37" s="721"/>
      <c r="I37" s="721"/>
      <c r="J37" s="721"/>
      <c r="K37" s="721"/>
      <c r="L37" s="721"/>
      <c r="M37" s="721"/>
      <c r="N37" s="721"/>
      <c r="O37" s="722"/>
      <c r="P37" s="718" t="s">
        <v>40</v>
      </c>
      <c r="Q37" s="719"/>
      <c r="R37" s="719"/>
      <c r="S37" s="719"/>
      <c r="T37" s="719"/>
      <c r="U37" s="719"/>
      <c r="V37" s="720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1" t="s">
        <v>45</v>
      </c>
      <c r="B38" s="711"/>
      <c r="C38" s="711"/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711"/>
      <c r="O38" s="711"/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1"/>
      <c r="AA38" s="54"/>
      <c r="AB38" s="54"/>
      <c r="AC38" s="54"/>
    </row>
    <row r="39" spans="1:68" ht="16.5" hidden="1" customHeight="1" x14ac:dyDescent="0.25">
      <c r="A39" s="712" t="s">
        <v>111</v>
      </c>
      <c r="B39" s="712"/>
      <c r="C39" s="712"/>
      <c r="D39" s="712"/>
      <c r="E39" s="712"/>
      <c r="F39" s="712"/>
      <c r="G39" s="712"/>
      <c r="H39" s="712"/>
      <c r="I39" s="712"/>
      <c r="J39" s="712"/>
      <c r="K39" s="712"/>
      <c r="L39" s="712"/>
      <c r="M39" s="712"/>
      <c r="N39" s="712"/>
      <c r="O39" s="712"/>
      <c r="P39" s="712"/>
      <c r="Q39" s="712"/>
      <c r="R39" s="712"/>
      <c r="S39" s="712"/>
      <c r="T39" s="712"/>
      <c r="U39" s="712"/>
      <c r="V39" s="712"/>
      <c r="W39" s="712"/>
      <c r="X39" s="712"/>
      <c r="Y39" s="712"/>
      <c r="Z39" s="712"/>
      <c r="AA39" s="65"/>
      <c r="AB39" s="65"/>
      <c r="AC39" s="79"/>
    </row>
    <row r="40" spans="1:68" ht="14.25" hidden="1" customHeight="1" x14ac:dyDescent="0.25">
      <c r="A40" s="713" t="s">
        <v>82</v>
      </c>
      <c r="B40" s="713"/>
      <c r="C40" s="713"/>
      <c r="D40" s="713"/>
      <c r="E40" s="713"/>
      <c r="F40" s="713"/>
      <c r="G40" s="713"/>
      <c r="H40" s="713"/>
      <c r="I40" s="713"/>
      <c r="J40" s="713"/>
      <c r="K40" s="713"/>
      <c r="L40" s="713"/>
      <c r="M40" s="713"/>
      <c r="N40" s="713"/>
      <c r="O40" s="713"/>
      <c r="P40" s="713"/>
      <c r="Q40" s="713"/>
      <c r="R40" s="713"/>
      <c r="S40" s="713"/>
      <c r="T40" s="713"/>
      <c r="U40" s="713"/>
      <c r="V40" s="713"/>
      <c r="W40" s="713"/>
      <c r="X40" s="713"/>
      <c r="Y40" s="713"/>
      <c r="Z40" s="713"/>
      <c r="AA40" s="66"/>
      <c r="AB40" s="66"/>
      <c r="AC40" s="80"/>
    </row>
    <row r="41" spans="1:68" ht="27" hidden="1" customHeight="1" x14ac:dyDescent="0.25">
      <c r="A41" s="63" t="s">
        <v>112</v>
      </c>
      <c r="B41" s="63" t="s">
        <v>113</v>
      </c>
      <c r="C41" s="36">
        <v>4301052187</v>
      </c>
      <c r="D41" s="714">
        <v>4680115889354</v>
      </c>
      <c r="E41" s="71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87</v>
      </c>
      <c r="L41" s="37" t="s">
        <v>46</v>
      </c>
      <c r="M41" s="38" t="s">
        <v>93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6"/>
      <c r="R41" s="716"/>
      <c r="S41" s="716"/>
      <c r="T41" s="71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114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714">
        <v>4680115888463</v>
      </c>
      <c r="E42" s="714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87</v>
      </c>
      <c r="L42" s="37" t="s">
        <v>46</v>
      </c>
      <c r="M42" s="38" t="s">
        <v>86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6"/>
      <c r="R42" s="716"/>
      <c r="S42" s="716"/>
      <c r="T42" s="717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4301052259</v>
      </c>
      <c r="D43" s="714">
        <v>4680115889590</v>
      </c>
      <c r="E43" s="714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87</v>
      </c>
      <c r="L43" s="37" t="s">
        <v>46</v>
      </c>
      <c r="M43" s="38" t="s">
        <v>86</v>
      </c>
      <c r="N43" s="38"/>
      <c r="O43" s="37">
        <v>40</v>
      </c>
      <c r="P43" s="7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6"/>
      <c r="R43" s="716"/>
      <c r="S43" s="716"/>
      <c r="T43" s="717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714">
        <v>4680115888272</v>
      </c>
      <c r="E44" s="714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87</v>
      </c>
      <c r="L44" s="37" t="s">
        <v>46</v>
      </c>
      <c r="M44" s="38" t="s">
        <v>86</v>
      </c>
      <c r="N44" s="38"/>
      <c r="O44" s="37">
        <v>40</v>
      </c>
      <c r="P44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6"/>
      <c r="R44" s="716"/>
      <c r="S44" s="716"/>
      <c r="T44" s="717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714">
        <v>4680115888364</v>
      </c>
      <c r="E45" s="714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87</v>
      </c>
      <c r="L45" s="37" t="s">
        <v>46</v>
      </c>
      <c r="M45" s="38" t="s">
        <v>86</v>
      </c>
      <c r="N45" s="38"/>
      <c r="O45" s="37">
        <v>40</v>
      </c>
      <c r="P45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6"/>
      <c r="R45" s="716"/>
      <c r="S45" s="716"/>
      <c r="T45" s="717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1"/>
      <c r="B46" s="721"/>
      <c r="C46" s="721"/>
      <c r="D46" s="721"/>
      <c r="E46" s="721"/>
      <c r="F46" s="721"/>
      <c r="G46" s="721"/>
      <c r="H46" s="721"/>
      <c r="I46" s="721"/>
      <c r="J46" s="721"/>
      <c r="K46" s="721"/>
      <c r="L46" s="721"/>
      <c r="M46" s="721"/>
      <c r="N46" s="721"/>
      <c r="O46" s="722"/>
      <c r="P46" s="718" t="s">
        <v>40</v>
      </c>
      <c r="Q46" s="719"/>
      <c r="R46" s="719"/>
      <c r="S46" s="719"/>
      <c r="T46" s="719"/>
      <c r="U46" s="719"/>
      <c r="V46" s="720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1"/>
      <c r="B47" s="721"/>
      <c r="C47" s="721"/>
      <c r="D47" s="721"/>
      <c r="E47" s="721"/>
      <c r="F47" s="721"/>
      <c r="G47" s="721"/>
      <c r="H47" s="721"/>
      <c r="I47" s="721"/>
      <c r="J47" s="721"/>
      <c r="K47" s="721"/>
      <c r="L47" s="721"/>
      <c r="M47" s="721"/>
      <c r="N47" s="721"/>
      <c r="O47" s="722"/>
      <c r="P47" s="718" t="s">
        <v>40</v>
      </c>
      <c r="Q47" s="719"/>
      <c r="R47" s="719"/>
      <c r="S47" s="719"/>
      <c r="T47" s="719"/>
      <c r="U47" s="719"/>
      <c r="V47" s="720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1" t="s">
        <v>127</v>
      </c>
      <c r="B48" s="711"/>
      <c r="C48" s="711"/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1"/>
      <c r="O48" s="711"/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1"/>
      <c r="AA48" s="54"/>
      <c r="AB48" s="54"/>
      <c r="AC48" s="54"/>
    </row>
    <row r="49" spans="1:68" ht="16.5" hidden="1" customHeight="1" x14ac:dyDescent="0.25">
      <c r="A49" s="712" t="s">
        <v>128</v>
      </c>
      <c r="B49" s="712"/>
      <c r="C49" s="712"/>
      <c r="D49" s="712"/>
      <c r="E49" s="712"/>
      <c r="F49" s="712"/>
      <c r="G49" s="712"/>
      <c r="H49" s="712"/>
      <c r="I49" s="712"/>
      <c r="J49" s="712"/>
      <c r="K49" s="712"/>
      <c r="L49" s="712"/>
      <c r="M49" s="712"/>
      <c r="N49" s="712"/>
      <c r="O49" s="712"/>
      <c r="P49" s="712"/>
      <c r="Q49" s="712"/>
      <c r="R49" s="712"/>
      <c r="S49" s="712"/>
      <c r="T49" s="712"/>
      <c r="U49" s="712"/>
      <c r="V49" s="712"/>
      <c r="W49" s="712"/>
      <c r="X49" s="712"/>
      <c r="Y49" s="712"/>
      <c r="Z49" s="712"/>
      <c r="AA49" s="65"/>
      <c r="AB49" s="65"/>
      <c r="AC49" s="79"/>
    </row>
    <row r="50" spans="1:68" ht="14.25" hidden="1" customHeight="1" x14ac:dyDescent="0.25">
      <c r="A50" s="713" t="s">
        <v>129</v>
      </c>
      <c r="B50" s="713"/>
      <c r="C50" s="713"/>
      <c r="D50" s="713"/>
      <c r="E50" s="713"/>
      <c r="F50" s="713"/>
      <c r="G50" s="713"/>
      <c r="H50" s="713"/>
      <c r="I50" s="713"/>
      <c r="J50" s="713"/>
      <c r="K50" s="713"/>
      <c r="L50" s="713"/>
      <c r="M50" s="713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714">
        <v>4607091385670</v>
      </c>
      <c r="E51" s="714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6"/>
      <c r="R51" s="716"/>
      <c r="S51" s="716"/>
      <c r="T51" s="717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714">
        <v>4680115887725</v>
      </c>
      <c r="E52" s="714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80</v>
      </c>
      <c r="N52" s="38"/>
      <c r="O52" s="37">
        <v>30</v>
      </c>
      <c r="P52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6"/>
      <c r="R52" s="716"/>
      <c r="S52" s="716"/>
      <c r="T52" s="717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714">
        <v>4607091385687</v>
      </c>
      <c r="E53" s="714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86</v>
      </c>
      <c r="N53" s="38"/>
      <c r="O53" s="37">
        <v>50</v>
      </c>
      <c r="P53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6"/>
      <c r="R53" s="716"/>
      <c r="S53" s="716"/>
      <c r="T53" s="717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714">
        <v>4680115882539</v>
      </c>
      <c r="E54" s="714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86</v>
      </c>
      <c r="N54" s="38"/>
      <c r="O54" s="37">
        <v>50</v>
      </c>
      <c r="P54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6"/>
      <c r="R54" s="716"/>
      <c r="S54" s="716"/>
      <c r="T54" s="717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1"/>
      <c r="B55" s="721"/>
      <c r="C55" s="721"/>
      <c r="D55" s="721"/>
      <c r="E55" s="721"/>
      <c r="F55" s="721"/>
      <c r="G55" s="721"/>
      <c r="H55" s="721"/>
      <c r="I55" s="721"/>
      <c r="J55" s="721"/>
      <c r="K55" s="721"/>
      <c r="L55" s="721"/>
      <c r="M55" s="721"/>
      <c r="N55" s="721"/>
      <c r="O55" s="722"/>
      <c r="P55" s="718" t="s">
        <v>40</v>
      </c>
      <c r="Q55" s="719"/>
      <c r="R55" s="719"/>
      <c r="S55" s="719"/>
      <c r="T55" s="719"/>
      <c r="U55" s="719"/>
      <c r="V55" s="720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1"/>
      <c r="B56" s="721"/>
      <c r="C56" s="721"/>
      <c r="D56" s="721"/>
      <c r="E56" s="721"/>
      <c r="F56" s="721"/>
      <c r="G56" s="721"/>
      <c r="H56" s="721"/>
      <c r="I56" s="721"/>
      <c r="J56" s="721"/>
      <c r="K56" s="721"/>
      <c r="L56" s="721"/>
      <c r="M56" s="721"/>
      <c r="N56" s="721"/>
      <c r="O56" s="722"/>
      <c r="P56" s="718" t="s">
        <v>40</v>
      </c>
      <c r="Q56" s="719"/>
      <c r="R56" s="719"/>
      <c r="S56" s="719"/>
      <c r="T56" s="719"/>
      <c r="U56" s="719"/>
      <c r="V56" s="720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2" t="s">
        <v>144</v>
      </c>
      <c r="B57" s="712"/>
      <c r="C57" s="712"/>
      <c r="D57" s="712"/>
      <c r="E57" s="712"/>
      <c r="F57" s="712"/>
      <c r="G57" s="712"/>
      <c r="H57" s="712"/>
      <c r="I57" s="712"/>
      <c r="J57" s="712"/>
      <c r="K57" s="712"/>
      <c r="L57" s="712"/>
      <c r="M57" s="712"/>
      <c r="N57" s="712"/>
      <c r="O57" s="712"/>
      <c r="P57" s="712"/>
      <c r="Q57" s="712"/>
      <c r="R57" s="712"/>
      <c r="S57" s="712"/>
      <c r="T57" s="712"/>
      <c r="U57" s="712"/>
      <c r="V57" s="712"/>
      <c r="W57" s="712"/>
      <c r="X57" s="712"/>
      <c r="Y57" s="712"/>
      <c r="Z57" s="712"/>
      <c r="AA57" s="65"/>
      <c r="AB57" s="65"/>
      <c r="AC57" s="79"/>
    </row>
    <row r="58" spans="1:68" ht="14.25" hidden="1" customHeight="1" x14ac:dyDescent="0.25">
      <c r="A58" s="713" t="s">
        <v>129</v>
      </c>
      <c r="B58" s="713"/>
      <c r="C58" s="713"/>
      <c r="D58" s="713"/>
      <c r="E58" s="713"/>
      <c r="F58" s="713"/>
      <c r="G58" s="713"/>
      <c r="H58" s="713"/>
      <c r="I58" s="713"/>
      <c r="J58" s="713"/>
      <c r="K58" s="713"/>
      <c r="L58" s="713"/>
      <c r="M58" s="713"/>
      <c r="N58" s="713"/>
      <c r="O58" s="713"/>
      <c r="P58" s="713"/>
      <c r="Q58" s="713"/>
      <c r="R58" s="713"/>
      <c r="S58" s="713"/>
      <c r="T58" s="713"/>
      <c r="U58" s="713"/>
      <c r="V58" s="713"/>
      <c r="W58" s="713"/>
      <c r="X58" s="713"/>
      <c r="Y58" s="713"/>
      <c r="Z58" s="713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4301012161</v>
      </c>
      <c r="D59" s="714">
        <v>4680115885882</v>
      </c>
      <c r="E59" s="714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133</v>
      </c>
      <c r="N59" s="38"/>
      <c r="O59" s="37">
        <v>50</v>
      </c>
      <c r="P59" s="73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6"/>
      <c r="R59" s="716"/>
      <c r="S59" s="716"/>
      <c r="T59" s="71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148</v>
      </c>
      <c r="B60" s="63" t="s">
        <v>149</v>
      </c>
      <c r="C60" s="36">
        <v>4301011816</v>
      </c>
      <c r="D60" s="714">
        <v>4680115881426</v>
      </c>
      <c r="E60" s="714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4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6"/>
      <c r="R60" s="716"/>
      <c r="S60" s="716"/>
      <c r="T60" s="71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4301012162</v>
      </c>
      <c r="D61" s="714">
        <v>4680115881426</v>
      </c>
      <c r="E61" s="714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4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6"/>
      <c r="R61" s="716"/>
      <c r="S61" s="716"/>
      <c r="T61" s="71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4301012259</v>
      </c>
      <c r="D62" s="714">
        <v>4680115880283</v>
      </c>
      <c r="E62" s="714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6"/>
      <c r="R62" s="716"/>
      <c r="S62" s="716"/>
      <c r="T62" s="717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4301011806</v>
      </c>
      <c r="D63" s="714">
        <v>4680115881525</v>
      </c>
      <c r="E63" s="714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50</v>
      </c>
      <c r="P63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6"/>
      <c r="R63" s="716"/>
      <c r="S63" s="716"/>
      <c r="T63" s="717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159</v>
      </c>
      <c r="C64" s="36">
        <v>4301012159</v>
      </c>
      <c r="D64" s="714">
        <v>4680115881525</v>
      </c>
      <c r="E64" s="714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6"/>
      <c r="R64" s="716"/>
      <c r="S64" s="716"/>
      <c r="T64" s="717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152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160</v>
      </c>
      <c r="B65" s="63" t="s">
        <v>161</v>
      </c>
      <c r="C65" s="36">
        <v>4301012165</v>
      </c>
      <c r="D65" s="714">
        <v>4680115885899</v>
      </c>
      <c r="E65" s="714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87</v>
      </c>
      <c r="L65" s="37" t="s">
        <v>46</v>
      </c>
      <c r="M65" s="38" t="s">
        <v>133</v>
      </c>
      <c r="N65" s="38"/>
      <c r="O65" s="37">
        <v>50</v>
      </c>
      <c r="P65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6"/>
      <c r="R65" s="716"/>
      <c r="S65" s="716"/>
      <c r="T65" s="717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162</v>
      </c>
      <c r="B66" s="63" t="s">
        <v>163</v>
      </c>
      <c r="C66" s="36">
        <v>4301012158</v>
      </c>
      <c r="D66" s="714">
        <v>4680115881419</v>
      </c>
      <c r="E66" s="714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6"/>
      <c r="R66" s="716"/>
      <c r="S66" s="716"/>
      <c r="T66" s="717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1"/>
      <c r="B67" s="721"/>
      <c r="C67" s="721"/>
      <c r="D67" s="721"/>
      <c r="E67" s="721"/>
      <c r="F67" s="721"/>
      <c r="G67" s="721"/>
      <c r="H67" s="721"/>
      <c r="I67" s="721"/>
      <c r="J67" s="721"/>
      <c r="K67" s="721"/>
      <c r="L67" s="721"/>
      <c r="M67" s="721"/>
      <c r="N67" s="721"/>
      <c r="O67" s="722"/>
      <c r="P67" s="718" t="s">
        <v>40</v>
      </c>
      <c r="Q67" s="719"/>
      <c r="R67" s="719"/>
      <c r="S67" s="719"/>
      <c r="T67" s="719"/>
      <c r="U67" s="719"/>
      <c r="V67" s="720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1"/>
      <c r="B68" s="721"/>
      <c r="C68" s="721"/>
      <c r="D68" s="721"/>
      <c r="E68" s="721"/>
      <c r="F68" s="721"/>
      <c r="G68" s="721"/>
      <c r="H68" s="721"/>
      <c r="I68" s="721"/>
      <c r="J68" s="721"/>
      <c r="K68" s="721"/>
      <c r="L68" s="721"/>
      <c r="M68" s="721"/>
      <c r="N68" s="721"/>
      <c r="O68" s="722"/>
      <c r="P68" s="718" t="s">
        <v>40</v>
      </c>
      <c r="Q68" s="719"/>
      <c r="R68" s="719"/>
      <c r="S68" s="719"/>
      <c r="T68" s="719"/>
      <c r="U68" s="719"/>
      <c r="V68" s="720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3" t="s">
        <v>164</v>
      </c>
      <c r="B69" s="713"/>
      <c r="C69" s="713"/>
      <c r="D69" s="713"/>
      <c r="E69" s="713"/>
      <c r="F69" s="713"/>
      <c r="G69" s="713"/>
      <c r="H69" s="713"/>
      <c r="I69" s="713"/>
      <c r="J69" s="713"/>
      <c r="K69" s="713"/>
      <c r="L69" s="713"/>
      <c r="M69" s="713"/>
      <c r="N69" s="713"/>
      <c r="O69" s="713"/>
      <c r="P69" s="713"/>
      <c r="Q69" s="713"/>
      <c r="R69" s="713"/>
      <c r="S69" s="713"/>
      <c r="T69" s="713"/>
      <c r="U69" s="713"/>
      <c r="V69" s="713"/>
      <c r="W69" s="713"/>
      <c r="X69" s="713"/>
      <c r="Y69" s="713"/>
      <c r="Z69" s="713"/>
      <c r="AA69" s="66"/>
      <c r="AB69" s="66"/>
      <c r="AC69" s="80"/>
    </row>
    <row r="70" spans="1:68" ht="27" hidden="1" customHeight="1" x14ac:dyDescent="0.25">
      <c r="A70" s="63" t="s">
        <v>165</v>
      </c>
      <c r="B70" s="63" t="s">
        <v>166</v>
      </c>
      <c r="C70" s="36">
        <v>4301020390</v>
      </c>
      <c r="D70" s="714">
        <v>4680115881440</v>
      </c>
      <c r="E70" s="714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4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6"/>
      <c r="R70" s="716"/>
      <c r="S70" s="716"/>
      <c r="T70" s="717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14">
        <v>4680115885950</v>
      </c>
      <c r="E71" s="714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87</v>
      </c>
      <c r="L71" s="37" t="s">
        <v>46</v>
      </c>
      <c r="M71" s="38" t="s">
        <v>86</v>
      </c>
      <c r="N71" s="38"/>
      <c r="O71" s="37">
        <v>50</v>
      </c>
      <c r="P7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6"/>
      <c r="R71" s="716"/>
      <c r="S71" s="716"/>
      <c r="T71" s="71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171</v>
      </c>
      <c r="B72" s="63" t="s">
        <v>172</v>
      </c>
      <c r="C72" s="36">
        <v>4301020371</v>
      </c>
      <c r="D72" s="714">
        <v>4680115887688</v>
      </c>
      <c r="E72" s="714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80</v>
      </c>
      <c r="N72" s="38"/>
      <c r="O72" s="37">
        <v>30</v>
      </c>
      <c r="P72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6"/>
      <c r="R72" s="716"/>
      <c r="S72" s="716"/>
      <c r="T72" s="71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173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174</v>
      </c>
      <c r="B73" s="63" t="s">
        <v>175</v>
      </c>
      <c r="C73" s="36">
        <v>4301020389</v>
      </c>
      <c r="D73" s="714">
        <v>4680115881433</v>
      </c>
      <c r="E73" s="714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87</v>
      </c>
      <c r="L73" s="37" t="s">
        <v>46</v>
      </c>
      <c r="M73" s="38" t="s">
        <v>133</v>
      </c>
      <c r="N73" s="38"/>
      <c r="O73" s="37">
        <v>50</v>
      </c>
      <c r="P73" s="75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6"/>
      <c r="R73" s="716"/>
      <c r="S73" s="716"/>
      <c r="T73" s="71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1"/>
      <c r="B74" s="721"/>
      <c r="C74" s="721"/>
      <c r="D74" s="721"/>
      <c r="E74" s="721"/>
      <c r="F74" s="721"/>
      <c r="G74" s="721"/>
      <c r="H74" s="721"/>
      <c r="I74" s="721"/>
      <c r="J74" s="721"/>
      <c r="K74" s="721"/>
      <c r="L74" s="721"/>
      <c r="M74" s="721"/>
      <c r="N74" s="721"/>
      <c r="O74" s="722"/>
      <c r="P74" s="718" t="s">
        <v>40</v>
      </c>
      <c r="Q74" s="719"/>
      <c r="R74" s="719"/>
      <c r="S74" s="719"/>
      <c r="T74" s="719"/>
      <c r="U74" s="719"/>
      <c r="V74" s="720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1"/>
      <c r="B75" s="721"/>
      <c r="C75" s="721"/>
      <c r="D75" s="721"/>
      <c r="E75" s="721"/>
      <c r="F75" s="721"/>
      <c r="G75" s="721"/>
      <c r="H75" s="721"/>
      <c r="I75" s="721"/>
      <c r="J75" s="721"/>
      <c r="K75" s="721"/>
      <c r="L75" s="721"/>
      <c r="M75" s="721"/>
      <c r="N75" s="721"/>
      <c r="O75" s="722"/>
      <c r="P75" s="718" t="s">
        <v>40</v>
      </c>
      <c r="Q75" s="719"/>
      <c r="R75" s="719"/>
      <c r="S75" s="719"/>
      <c r="T75" s="719"/>
      <c r="U75" s="719"/>
      <c r="V75" s="720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3" t="s">
        <v>82</v>
      </c>
      <c r="B76" s="713"/>
      <c r="C76" s="713"/>
      <c r="D76" s="713"/>
      <c r="E76" s="713"/>
      <c r="F76" s="713"/>
      <c r="G76" s="713"/>
      <c r="H76" s="713"/>
      <c r="I76" s="713"/>
      <c r="J76" s="713"/>
      <c r="K76" s="713"/>
      <c r="L76" s="713"/>
      <c r="M76" s="713"/>
      <c r="N76" s="713"/>
      <c r="O76" s="713"/>
      <c r="P76" s="713"/>
      <c r="Q76" s="713"/>
      <c r="R76" s="713"/>
      <c r="S76" s="713"/>
      <c r="T76" s="713"/>
      <c r="U76" s="713"/>
      <c r="V76" s="713"/>
      <c r="W76" s="713"/>
      <c r="X76" s="713"/>
      <c r="Y76" s="713"/>
      <c r="Z76" s="713"/>
      <c r="AA76" s="66"/>
      <c r="AB76" s="66"/>
      <c r="AC76" s="80"/>
    </row>
    <row r="77" spans="1:68" ht="16.5" hidden="1" customHeight="1" x14ac:dyDescent="0.25">
      <c r="A77" s="63" t="s">
        <v>176</v>
      </c>
      <c r="B77" s="63" t="s">
        <v>177</v>
      </c>
      <c r="C77" s="36">
        <v>4301051837</v>
      </c>
      <c r="D77" s="714">
        <v>4680115884311</v>
      </c>
      <c r="E77" s="714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87</v>
      </c>
      <c r="L77" s="37" t="s">
        <v>46</v>
      </c>
      <c r="M77" s="38" t="s">
        <v>86</v>
      </c>
      <c r="N77" s="38"/>
      <c r="O77" s="37">
        <v>40</v>
      </c>
      <c r="P77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6"/>
      <c r="R77" s="716"/>
      <c r="S77" s="716"/>
      <c r="T77" s="71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4301052083</v>
      </c>
      <c r="D78" s="714">
        <v>4680115884403</v>
      </c>
      <c r="E78" s="714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87</v>
      </c>
      <c r="L78" s="37" t="s">
        <v>46</v>
      </c>
      <c r="M78" s="38" t="s">
        <v>86</v>
      </c>
      <c r="N78" s="38"/>
      <c r="O78" s="37">
        <v>40</v>
      </c>
      <c r="P78" s="75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6"/>
      <c r="R78" s="716"/>
      <c r="S78" s="716"/>
      <c r="T78" s="71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1"/>
      <c r="B79" s="721"/>
      <c r="C79" s="721"/>
      <c r="D79" s="721"/>
      <c r="E79" s="721"/>
      <c r="F79" s="721"/>
      <c r="G79" s="721"/>
      <c r="H79" s="721"/>
      <c r="I79" s="721"/>
      <c r="J79" s="721"/>
      <c r="K79" s="721"/>
      <c r="L79" s="721"/>
      <c r="M79" s="721"/>
      <c r="N79" s="721"/>
      <c r="O79" s="722"/>
      <c r="P79" s="718" t="s">
        <v>40</v>
      </c>
      <c r="Q79" s="719"/>
      <c r="R79" s="719"/>
      <c r="S79" s="719"/>
      <c r="T79" s="719"/>
      <c r="U79" s="719"/>
      <c r="V79" s="72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1"/>
      <c r="B80" s="721"/>
      <c r="C80" s="721"/>
      <c r="D80" s="721"/>
      <c r="E80" s="721"/>
      <c r="F80" s="721"/>
      <c r="G80" s="721"/>
      <c r="H80" s="721"/>
      <c r="I80" s="721"/>
      <c r="J80" s="721"/>
      <c r="K80" s="721"/>
      <c r="L80" s="721"/>
      <c r="M80" s="721"/>
      <c r="N80" s="721"/>
      <c r="O80" s="722"/>
      <c r="P80" s="718" t="s">
        <v>40</v>
      </c>
      <c r="Q80" s="719"/>
      <c r="R80" s="719"/>
      <c r="S80" s="719"/>
      <c r="T80" s="719"/>
      <c r="U80" s="719"/>
      <c r="V80" s="72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3" t="s">
        <v>182</v>
      </c>
      <c r="B81" s="713"/>
      <c r="C81" s="713"/>
      <c r="D81" s="713"/>
      <c r="E81" s="713"/>
      <c r="F81" s="713"/>
      <c r="G81" s="713"/>
      <c r="H81" s="713"/>
      <c r="I81" s="713"/>
      <c r="J81" s="713"/>
      <c r="K81" s="713"/>
      <c r="L81" s="713"/>
      <c r="M81" s="713"/>
      <c r="N81" s="713"/>
      <c r="O81" s="713"/>
      <c r="P81" s="713"/>
      <c r="Q81" s="713"/>
      <c r="R81" s="713"/>
      <c r="S81" s="713"/>
      <c r="T81" s="713"/>
      <c r="U81" s="713"/>
      <c r="V81" s="713"/>
      <c r="W81" s="713"/>
      <c r="X81" s="713"/>
      <c r="Y81" s="713"/>
      <c r="Z81" s="713"/>
      <c r="AA81" s="66"/>
      <c r="AB81" s="66"/>
      <c r="AC81" s="80"/>
    </row>
    <row r="82" spans="1:68" ht="27" hidden="1" customHeight="1" x14ac:dyDescent="0.25">
      <c r="A82" s="63" t="s">
        <v>183</v>
      </c>
      <c r="B82" s="63" t="s">
        <v>184</v>
      </c>
      <c r="C82" s="36">
        <v>4301060455</v>
      </c>
      <c r="D82" s="714">
        <v>4680115881532</v>
      </c>
      <c r="E82" s="714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93</v>
      </c>
      <c r="N82" s="38"/>
      <c r="O82" s="37">
        <v>30</v>
      </c>
      <c r="P82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6"/>
      <c r="R82" s="716"/>
      <c r="S82" s="716"/>
      <c r="T82" s="717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185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183</v>
      </c>
      <c r="B83" s="63" t="s">
        <v>186</v>
      </c>
      <c r="C83" s="36">
        <v>4301060526</v>
      </c>
      <c r="D83" s="714">
        <v>4680115881532</v>
      </c>
      <c r="E83" s="714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134</v>
      </c>
      <c r="L83" s="37" t="s">
        <v>46</v>
      </c>
      <c r="M83" s="38" t="s">
        <v>93</v>
      </c>
      <c r="N83" s="38"/>
      <c r="O83" s="37">
        <v>30</v>
      </c>
      <c r="P83" s="75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6"/>
      <c r="R83" s="716"/>
      <c r="S83" s="716"/>
      <c r="T83" s="717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185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187</v>
      </c>
      <c r="B84" s="63" t="s">
        <v>188</v>
      </c>
      <c r="C84" s="36">
        <v>4301060527</v>
      </c>
      <c r="D84" s="714">
        <v>4680115881464</v>
      </c>
      <c r="E84" s="714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141</v>
      </c>
      <c r="L84" s="37" t="s">
        <v>46</v>
      </c>
      <c r="M84" s="38" t="s">
        <v>86</v>
      </c>
      <c r="N84" s="38"/>
      <c r="O84" s="37">
        <v>30</v>
      </c>
      <c r="P84" s="7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6"/>
      <c r="R84" s="716"/>
      <c r="S84" s="716"/>
      <c r="T84" s="717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189</v>
      </c>
      <c r="AG84" s="78"/>
      <c r="AJ84" s="84" t="s">
        <v>46</v>
      </c>
      <c r="AK84" s="84">
        <v>0</v>
      </c>
      <c r="BB84" s="15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1"/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2"/>
      <c r="P85" s="718" t="s">
        <v>40</v>
      </c>
      <c r="Q85" s="719"/>
      <c r="R85" s="719"/>
      <c r="S85" s="719"/>
      <c r="T85" s="719"/>
      <c r="U85" s="719"/>
      <c r="V85" s="720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1"/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2"/>
      <c r="P86" s="718" t="s">
        <v>40</v>
      </c>
      <c r="Q86" s="719"/>
      <c r="R86" s="719"/>
      <c r="S86" s="719"/>
      <c r="T86" s="719"/>
      <c r="U86" s="719"/>
      <c r="V86" s="720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2" t="s">
        <v>190</v>
      </c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2"/>
      <c r="P87" s="712"/>
      <c r="Q87" s="712"/>
      <c r="R87" s="712"/>
      <c r="S87" s="712"/>
      <c r="T87" s="712"/>
      <c r="U87" s="712"/>
      <c r="V87" s="712"/>
      <c r="W87" s="712"/>
      <c r="X87" s="712"/>
      <c r="Y87" s="712"/>
      <c r="Z87" s="712"/>
      <c r="AA87" s="65"/>
      <c r="AB87" s="65"/>
      <c r="AC87" s="79"/>
    </row>
    <row r="88" spans="1:68" ht="14.25" hidden="1" customHeight="1" x14ac:dyDescent="0.25">
      <c r="A88" s="713" t="s">
        <v>129</v>
      </c>
      <c r="B88" s="713"/>
      <c r="C88" s="713"/>
      <c r="D88" s="713"/>
      <c r="E88" s="713"/>
      <c r="F88" s="713"/>
      <c r="G88" s="713"/>
      <c r="H88" s="713"/>
      <c r="I88" s="713"/>
      <c r="J88" s="713"/>
      <c r="K88" s="713"/>
      <c r="L88" s="713"/>
      <c r="M88" s="713"/>
      <c r="N88" s="713"/>
      <c r="O88" s="713"/>
      <c r="P88" s="713"/>
      <c r="Q88" s="713"/>
      <c r="R88" s="713"/>
      <c r="S88" s="713"/>
      <c r="T88" s="713"/>
      <c r="U88" s="713"/>
      <c r="V88" s="713"/>
      <c r="W88" s="713"/>
      <c r="X88" s="713"/>
      <c r="Y88" s="713"/>
      <c r="Z88" s="713"/>
      <c r="AA88" s="66"/>
      <c r="AB88" s="66"/>
      <c r="AC88" s="80"/>
    </row>
    <row r="89" spans="1:68" ht="27" hidden="1" customHeight="1" x14ac:dyDescent="0.25">
      <c r="A89" s="63" t="s">
        <v>191</v>
      </c>
      <c r="B89" s="63" t="s">
        <v>192</v>
      </c>
      <c r="C89" s="36">
        <v>4301011468</v>
      </c>
      <c r="D89" s="714">
        <v>4680115881327</v>
      </c>
      <c r="E89" s="714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134</v>
      </c>
      <c r="L89" s="37" t="s">
        <v>46</v>
      </c>
      <c r="M89" s="38" t="s">
        <v>93</v>
      </c>
      <c r="N89" s="38"/>
      <c r="O89" s="37">
        <v>50</v>
      </c>
      <c r="P89" s="7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6"/>
      <c r="R89" s="716"/>
      <c r="S89" s="716"/>
      <c r="T89" s="717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191</v>
      </c>
      <c r="B90" s="63" t="s">
        <v>194</v>
      </c>
      <c r="C90" s="36">
        <v>4301012251</v>
      </c>
      <c r="D90" s="714">
        <v>4680115881327</v>
      </c>
      <c r="E90" s="714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134</v>
      </c>
      <c r="L90" s="37" t="s">
        <v>46</v>
      </c>
      <c r="M90" s="38" t="s">
        <v>133</v>
      </c>
      <c r="N90" s="38"/>
      <c r="O90" s="37">
        <v>50</v>
      </c>
      <c r="P90" s="7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6"/>
      <c r="R90" s="716"/>
      <c r="S90" s="716"/>
      <c r="T90" s="717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66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195</v>
      </c>
      <c r="B91" s="63" t="s">
        <v>196</v>
      </c>
      <c r="C91" s="36">
        <v>4301012392</v>
      </c>
      <c r="D91" s="714">
        <v>4680115887732</v>
      </c>
      <c r="E91" s="714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138</v>
      </c>
      <c r="L91" s="37" t="s">
        <v>46</v>
      </c>
      <c r="M91" s="38" t="s">
        <v>80</v>
      </c>
      <c r="N91" s="38"/>
      <c r="O91" s="37">
        <v>30</v>
      </c>
      <c r="P91" s="75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6"/>
      <c r="R91" s="716"/>
      <c r="S91" s="716"/>
      <c r="T91" s="717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197</v>
      </c>
      <c r="AG91" s="78"/>
      <c r="AJ91" s="84" t="s">
        <v>46</v>
      </c>
      <c r="AK91" s="84">
        <v>0</v>
      </c>
      <c r="BB91" s="159" t="s">
        <v>66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198</v>
      </c>
      <c r="B92" s="63" t="s">
        <v>199</v>
      </c>
      <c r="C92" s="36">
        <v>4301011476</v>
      </c>
      <c r="D92" s="714">
        <v>4680115881518</v>
      </c>
      <c r="E92" s="71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141</v>
      </c>
      <c r="L92" s="37" t="s">
        <v>46</v>
      </c>
      <c r="M92" s="38" t="s">
        <v>86</v>
      </c>
      <c r="N92" s="38"/>
      <c r="O92" s="37">
        <v>50</v>
      </c>
      <c r="P92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6"/>
      <c r="R92" s="716"/>
      <c r="S92" s="716"/>
      <c r="T92" s="717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66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198</v>
      </c>
      <c r="B93" s="63" t="s">
        <v>200</v>
      </c>
      <c r="C93" s="36">
        <v>4301012252</v>
      </c>
      <c r="D93" s="714">
        <v>4680115881518</v>
      </c>
      <c r="E93" s="714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141</v>
      </c>
      <c r="L93" s="37" t="s">
        <v>46</v>
      </c>
      <c r="M93" s="38" t="s">
        <v>133</v>
      </c>
      <c r="N93" s="38"/>
      <c r="O93" s="37">
        <v>50</v>
      </c>
      <c r="P93" s="76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6"/>
      <c r="R93" s="716"/>
      <c r="S93" s="716"/>
      <c r="T93" s="71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193</v>
      </c>
      <c r="AG93" s="78"/>
      <c r="AJ93" s="84" t="s">
        <v>46</v>
      </c>
      <c r="AK93" s="84">
        <v>0</v>
      </c>
      <c r="BB93" s="163" t="s">
        <v>66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201</v>
      </c>
      <c r="B94" s="63" t="s">
        <v>202</v>
      </c>
      <c r="C94" s="36">
        <v>4301012250</v>
      </c>
      <c r="D94" s="714">
        <v>4680115881303</v>
      </c>
      <c r="E94" s="714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141</v>
      </c>
      <c r="L94" s="37" t="s">
        <v>46</v>
      </c>
      <c r="M94" s="38" t="s">
        <v>133</v>
      </c>
      <c r="N94" s="38"/>
      <c r="O94" s="37">
        <v>50</v>
      </c>
      <c r="P94" s="76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6"/>
      <c r="R94" s="716"/>
      <c r="S94" s="716"/>
      <c r="T94" s="71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193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1"/>
      <c r="B95" s="721"/>
      <c r="C95" s="721"/>
      <c r="D95" s="721"/>
      <c r="E95" s="721"/>
      <c r="F95" s="721"/>
      <c r="G95" s="721"/>
      <c r="H95" s="721"/>
      <c r="I95" s="721"/>
      <c r="J95" s="721"/>
      <c r="K95" s="721"/>
      <c r="L95" s="721"/>
      <c r="M95" s="721"/>
      <c r="N95" s="721"/>
      <c r="O95" s="722"/>
      <c r="P95" s="718" t="s">
        <v>40</v>
      </c>
      <c r="Q95" s="719"/>
      <c r="R95" s="719"/>
      <c r="S95" s="719"/>
      <c r="T95" s="719"/>
      <c r="U95" s="719"/>
      <c r="V95" s="720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1"/>
      <c r="B96" s="721"/>
      <c r="C96" s="721"/>
      <c r="D96" s="721"/>
      <c r="E96" s="721"/>
      <c r="F96" s="721"/>
      <c r="G96" s="721"/>
      <c r="H96" s="721"/>
      <c r="I96" s="721"/>
      <c r="J96" s="721"/>
      <c r="K96" s="721"/>
      <c r="L96" s="721"/>
      <c r="M96" s="721"/>
      <c r="N96" s="721"/>
      <c r="O96" s="722"/>
      <c r="P96" s="718" t="s">
        <v>40</v>
      </c>
      <c r="Q96" s="719"/>
      <c r="R96" s="719"/>
      <c r="S96" s="719"/>
      <c r="T96" s="719"/>
      <c r="U96" s="719"/>
      <c r="V96" s="720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3" t="s">
        <v>82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6"/>
      <c r="AB97" s="66"/>
      <c r="AC97" s="80"/>
    </row>
    <row r="98" spans="1:68" ht="27" hidden="1" customHeight="1" x14ac:dyDescent="0.25">
      <c r="A98" s="63" t="s">
        <v>203</v>
      </c>
      <c r="B98" s="63" t="s">
        <v>204</v>
      </c>
      <c r="C98" s="36">
        <v>4301052101</v>
      </c>
      <c r="D98" s="714">
        <v>4607091386967</v>
      </c>
      <c r="E98" s="714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134</v>
      </c>
      <c r="L98" s="37" t="s">
        <v>46</v>
      </c>
      <c r="M98" s="38" t="s">
        <v>93</v>
      </c>
      <c r="N98" s="38"/>
      <c r="O98" s="37">
        <v>45</v>
      </c>
      <c r="P98" s="7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6"/>
      <c r="R98" s="716"/>
      <c r="S98" s="716"/>
      <c r="T98" s="717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205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206</v>
      </c>
      <c r="B99" s="63" t="s">
        <v>207</v>
      </c>
      <c r="C99" s="36">
        <v>4301052090</v>
      </c>
      <c r="D99" s="714">
        <v>4680115884953</v>
      </c>
      <c r="E99" s="714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87</v>
      </c>
      <c r="L99" s="37" t="s">
        <v>46</v>
      </c>
      <c r="M99" s="38" t="s">
        <v>86</v>
      </c>
      <c r="N99" s="38"/>
      <c r="O99" s="37">
        <v>45</v>
      </c>
      <c r="P99" s="76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6"/>
      <c r="R99" s="716"/>
      <c r="S99" s="716"/>
      <c r="T99" s="717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208</v>
      </c>
      <c r="AG99" s="78"/>
      <c r="AJ99" s="84" t="s">
        <v>46</v>
      </c>
      <c r="AK99" s="84">
        <v>0</v>
      </c>
      <c r="BB99" s="16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209</v>
      </c>
      <c r="B100" s="63" t="s">
        <v>210</v>
      </c>
      <c r="C100" s="36">
        <v>4301052094</v>
      </c>
      <c r="D100" s="714">
        <v>4607091385731</v>
      </c>
      <c r="E100" s="714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87</v>
      </c>
      <c r="L100" s="37" t="s">
        <v>46</v>
      </c>
      <c r="M100" s="38" t="s">
        <v>93</v>
      </c>
      <c r="N100" s="38"/>
      <c r="O100" s="37">
        <v>45</v>
      </c>
      <c r="P100" s="7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6"/>
      <c r="R100" s="716"/>
      <c r="S100" s="716"/>
      <c r="T100" s="717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205</v>
      </c>
      <c r="AG100" s="78"/>
      <c r="AJ100" s="84" t="s">
        <v>46</v>
      </c>
      <c r="AK100" s="84">
        <v>0</v>
      </c>
      <c r="BB100" s="17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211</v>
      </c>
      <c r="B101" s="63" t="s">
        <v>212</v>
      </c>
      <c r="C101" s="36">
        <v>4301052092</v>
      </c>
      <c r="D101" s="714">
        <v>4680115880894</v>
      </c>
      <c r="E101" s="714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87</v>
      </c>
      <c r="L101" s="37" t="s">
        <v>46</v>
      </c>
      <c r="M101" s="38" t="s">
        <v>86</v>
      </c>
      <c r="N101" s="38"/>
      <c r="O101" s="37">
        <v>45</v>
      </c>
      <c r="P101" s="7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6"/>
      <c r="R101" s="716"/>
      <c r="S101" s="716"/>
      <c r="T101" s="717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213</v>
      </c>
      <c r="AG101" s="78"/>
      <c r="AJ101" s="84" t="s">
        <v>46</v>
      </c>
      <c r="AK101" s="84">
        <v>0</v>
      </c>
      <c r="BB101" s="17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1"/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2"/>
      <c r="P102" s="718" t="s">
        <v>40</v>
      </c>
      <c r="Q102" s="719"/>
      <c r="R102" s="719"/>
      <c r="S102" s="719"/>
      <c r="T102" s="719"/>
      <c r="U102" s="719"/>
      <c r="V102" s="720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1"/>
      <c r="B103" s="721"/>
      <c r="C103" s="721"/>
      <c r="D103" s="721"/>
      <c r="E103" s="721"/>
      <c r="F103" s="721"/>
      <c r="G103" s="721"/>
      <c r="H103" s="721"/>
      <c r="I103" s="721"/>
      <c r="J103" s="721"/>
      <c r="K103" s="721"/>
      <c r="L103" s="721"/>
      <c r="M103" s="721"/>
      <c r="N103" s="721"/>
      <c r="O103" s="722"/>
      <c r="P103" s="718" t="s">
        <v>40</v>
      </c>
      <c r="Q103" s="719"/>
      <c r="R103" s="719"/>
      <c r="S103" s="719"/>
      <c r="T103" s="719"/>
      <c r="U103" s="719"/>
      <c r="V103" s="720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2" t="s">
        <v>214</v>
      </c>
      <c r="B104" s="712"/>
      <c r="C104" s="712"/>
      <c r="D104" s="712"/>
      <c r="E104" s="712"/>
      <c r="F104" s="712"/>
      <c r="G104" s="712"/>
      <c r="H104" s="712"/>
      <c r="I104" s="712"/>
      <c r="J104" s="712"/>
      <c r="K104" s="712"/>
      <c r="L104" s="712"/>
      <c r="M104" s="712"/>
      <c r="N104" s="712"/>
      <c r="O104" s="712"/>
      <c r="P104" s="712"/>
      <c r="Q104" s="712"/>
      <c r="R104" s="712"/>
      <c r="S104" s="712"/>
      <c r="T104" s="712"/>
      <c r="U104" s="712"/>
      <c r="V104" s="712"/>
      <c r="W104" s="712"/>
      <c r="X104" s="712"/>
      <c r="Y104" s="712"/>
      <c r="Z104" s="712"/>
      <c r="AA104" s="65"/>
      <c r="AB104" s="65"/>
      <c r="AC104" s="79"/>
    </row>
    <row r="105" spans="1:68" ht="14.25" hidden="1" customHeight="1" x14ac:dyDescent="0.25">
      <c r="A105" s="713" t="s">
        <v>129</v>
      </c>
      <c r="B105" s="713"/>
      <c r="C105" s="713"/>
      <c r="D105" s="713"/>
      <c r="E105" s="713"/>
      <c r="F105" s="713"/>
      <c r="G105" s="713"/>
      <c r="H105" s="713"/>
      <c r="I105" s="713"/>
      <c r="J105" s="713"/>
      <c r="K105" s="713"/>
      <c r="L105" s="713"/>
      <c r="M105" s="713"/>
      <c r="N105" s="713"/>
      <c r="O105" s="713"/>
      <c r="P105" s="713"/>
      <c r="Q105" s="713"/>
      <c r="R105" s="713"/>
      <c r="S105" s="713"/>
      <c r="T105" s="713"/>
      <c r="U105" s="713"/>
      <c r="V105" s="713"/>
      <c r="W105" s="713"/>
      <c r="X105" s="713"/>
      <c r="Y105" s="713"/>
      <c r="Z105" s="713"/>
      <c r="AA105" s="66"/>
      <c r="AB105" s="66"/>
      <c r="AC105" s="80"/>
    </row>
    <row r="106" spans="1:68" ht="37.5" hidden="1" customHeight="1" x14ac:dyDescent="0.25">
      <c r="A106" s="63" t="s">
        <v>215</v>
      </c>
      <c r="B106" s="63" t="s">
        <v>216</v>
      </c>
      <c r="C106" s="36">
        <v>4301011514</v>
      </c>
      <c r="D106" s="714">
        <v>4680115882133</v>
      </c>
      <c r="E106" s="714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134</v>
      </c>
      <c r="L106" s="37" t="s">
        <v>46</v>
      </c>
      <c r="M106" s="38" t="s">
        <v>133</v>
      </c>
      <c r="N106" s="38"/>
      <c r="O106" s="37">
        <v>50</v>
      </c>
      <c r="P106" s="7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6"/>
      <c r="R106" s="716"/>
      <c r="S106" s="716"/>
      <c r="T106" s="71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217</v>
      </c>
      <c r="AG106" s="78"/>
      <c r="AJ106" s="84" t="s">
        <v>46</v>
      </c>
      <c r="AK106" s="84">
        <v>0</v>
      </c>
      <c r="BB106" s="175" t="s">
        <v>66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215</v>
      </c>
      <c r="B107" s="63" t="s">
        <v>218</v>
      </c>
      <c r="C107" s="36">
        <v>4301012256</v>
      </c>
      <c r="D107" s="714">
        <v>4680115882133</v>
      </c>
      <c r="E107" s="714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134</v>
      </c>
      <c r="L107" s="37" t="s">
        <v>46</v>
      </c>
      <c r="M107" s="38" t="s">
        <v>133</v>
      </c>
      <c r="N107" s="38"/>
      <c r="O107" s="37">
        <v>50</v>
      </c>
      <c r="P107" s="7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6"/>
      <c r="R107" s="716"/>
      <c r="S107" s="716"/>
      <c r="T107" s="71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219</v>
      </c>
      <c r="AG107" s="78"/>
      <c r="AJ107" s="84" t="s">
        <v>46</v>
      </c>
      <c r="AK107" s="84">
        <v>0</v>
      </c>
      <c r="BB107" s="177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220</v>
      </c>
      <c r="B108" s="63" t="s">
        <v>221</v>
      </c>
      <c r="C108" s="36">
        <v>4301012379</v>
      </c>
      <c r="D108" s="714">
        <v>4680115887718</v>
      </c>
      <c r="E108" s="714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138</v>
      </c>
      <c r="L108" s="37" t="s">
        <v>46</v>
      </c>
      <c r="M108" s="38" t="s">
        <v>80</v>
      </c>
      <c r="N108" s="38"/>
      <c r="O108" s="37">
        <v>30</v>
      </c>
      <c r="P108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6"/>
      <c r="R108" s="716"/>
      <c r="S108" s="716"/>
      <c r="T108" s="71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222</v>
      </c>
      <c r="AG108" s="78"/>
      <c r="AJ108" s="84" t="s">
        <v>46</v>
      </c>
      <c r="AK108" s="84">
        <v>0</v>
      </c>
      <c r="BB108" s="179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223</v>
      </c>
      <c r="B109" s="63" t="s">
        <v>224</v>
      </c>
      <c r="C109" s="36">
        <v>4301012253</v>
      </c>
      <c r="D109" s="714">
        <v>4680115880269</v>
      </c>
      <c r="E109" s="714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141</v>
      </c>
      <c r="L109" s="37" t="s">
        <v>46</v>
      </c>
      <c r="M109" s="38" t="s">
        <v>133</v>
      </c>
      <c r="N109" s="38"/>
      <c r="O109" s="37">
        <v>50</v>
      </c>
      <c r="P109" s="7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6"/>
      <c r="R109" s="716"/>
      <c r="S109" s="716"/>
      <c r="T109" s="71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219</v>
      </c>
      <c r="AG109" s="78"/>
      <c r="AJ109" s="84" t="s">
        <v>46</v>
      </c>
      <c r="AK109" s="84">
        <v>0</v>
      </c>
      <c r="BB109" s="181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225</v>
      </c>
      <c r="B110" s="63" t="s">
        <v>226</v>
      </c>
      <c r="C110" s="36">
        <v>4301012254</v>
      </c>
      <c r="D110" s="714">
        <v>4680115880429</v>
      </c>
      <c r="E110" s="71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141</v>
      </c>
      <c r="L110" s="37" t="s">
        <v>46</v>
      </c>
      <c r="M110" s="38" t="s">
        <v>133</v>
      </c>
      <c r="N110" s="38"/>
      <c r="O110" s="37">
        <v>50</v>
      </c>
      <c r="P110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6"/>
      <c r="R110" s="716"/>
      <c r="S110" s="716"/>
      <c r="T110" s="71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219</v>
      </c>
      <c r="AG110" s="78"/>
      <c r="AJ110" s="84" t="s">
        <v>46</v>
      </c>
      <c r="AK110" s="84">
        <v>0</v>
      </c>
      <c r="BB110" s="183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227</v>
      </c>
      <c r="B111" s="63" t="s">
        <v>228</v>
      </c>
      <c r="C111" s="36">
        <v>4301012255</v>
      </c>
      <c r="D111" s="714">
        <v>4680115881457</v>
      </c>
      <c r="E111" s="71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141</v>
      </c>
      <c r="L111" s="37" t="s">
        <v>46</v>
      </c>
      <c r="M111" s="38" t="s">
        <v>133</v>
      </c>
      <c r="N111" s="38"/>
      <c r="O111" s="37">
        <v>50</v>
      </c>
      <c r="P111" s="7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6"/>
      <c r="R111" s="716"/>
      <c r="S111" s="716"/>
      <c r="T111" s="71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219</v>
      </c>
      <c r="AG111" s="78"/>
      <c r="AJ111" s="84" t="s">
        <v>46</v>
      </c>
      <c r="AK111" s="84">
        <v>0</v>
      </c>
      <c r="BB111" s="185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229</v>
      </c>
      <c r="B112" s="63" t="s">
        <v>230</v>
      </c>
      <c r="C112" s="36">
        <v>4301012366</v>
      </c>
      <c r="D112" s="714">
        <v>4680115889477</v>
      </c>
      <c r="E112" s="714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87</v>
      </c>
      <c r="L112" s="37" t="s">
        <v>46</v>
      </c>
      <c r="M112" s="38" t="s">
        <v>133</v>
      </c>
      <c r="N112" s="38"/>
      <c r="O112" s="37">
        <v>55</v>
      </c>
      <c r="P112" s="77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6"/>
      <c r="R112" s="716"/>
      <c r="S112" s="716"/>
      <c r="T112" s="717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66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1"/>
      <c r="B113" s="721"/>
      <c r="C113" s="721"/>
      <c r="D113" s="721"/>
      <c r="E113" s="721"/>
      <c r="F113" s="721"/>
      <c r="G113" s="721"/>
      <c r="H113" s="721"/>
      <c r="I113" s="721"/>
      <c r="J113" s="721"/>
      <c r="K113" s="721"/>
      <c r="L113" s="721"/>
      <c r="M113" s="721"/>
      <c r="N113" s="721"/>
      <c r="O113" s="722"/>
      <c r="P113" s="718" t="s">
        <v>40</v>
      </c>
      <c r="Q113" s="719"/>
      <c r="R113" s="719"/>
      <c r="S113" s="719"/>
      <c r="T113" s="719"/>
      <c r="U113" s="719"/>
      <c r="V113" s="720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1"/>
      <c r="B114" s="721"/>
      <c r="C114" s="721"/>
      <c r="D114" s="721"/>
      <c r="E114" s="721"/>
      <c r="F114" s="721"/>
      <c r="G114" s="721"/>
      <c r="H114" s="721"/>
      <c r="I114" s="721"/>
      <c r="J114" s="721"/>
      <c r="K114" s="721"/>
      <c r="L114" s="721"/>
      <c r="M114" s="721"/>
      <c r="N114" s="721"/>
      <c r="O114" s="722"/>
      <c r="P114" s="718" t="s">
        <v>40</v>
      </c>
      <c r="Q114" s="719"/>
      <c r="R114" s="719"/>
      <c r="S114" s="719"/>
      <c r="T114" s="719"/>
      <c r="U114" s="719"/>
      <c r="V114" s="720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3" t="s">
        <v>164</v>
      </c>
      <c r="B115" s="713"/>
      <c r="C115" s="713"/>
      <c r="D115" s="713"/>
      <c r="E115" s="713"/>
      <c r="F115" s="713"/>
      <c r="G115" s="713"/>
      <c r="H115" s="713"/>
      <c r="I115" s="713"/>
      <c r="J115" s="713"/>
      <c r="K115" s="713"/>
      <c r="L115" s="713"/>
      <c r="M115" s="713"/>
      <c r="N115" s="713"/>
      <c r="O115" s="713"/>
      <c r="P115" s="713"/>
      <c r="Q115" s="713"/>
      <c r="R115" s="713"/>
      <c r="S115" s="713"/>
      <c r="T115" s="713"/>
      <c r="U115" s="713"/>
      <c r="V115" s="713"/>
      <c r="W115" s="713"/>
      <c r="X115" s="713"/>
      <c r="Y115" s="713"/>
      <c r="Z115" s="713"/>
      <c r="AA115" s="66"/>
      <c r="AB115" s="66"/>
      <c r="AC115" s="80"/>
    </row>
    <row r="116" spans="1:68" ht="27" hidden="1" customHeight="1" x14ac:dyDescent="0.25">
      <c r="A116" s="63" t="s">
        <v>232</v>
      </c>
      <c r="B116" s="63" t="s">
        <v>233</v>
      </c>
      <c r="C116" s="36">
        <v>4301020391</v>
      </c>
      <c r="D116" s="714">
        <v>4680115881488</v>
      </c>
      <c r="E116" s="714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134</v>
      </c>
      <c r="L116" s="37" t="s">
        <v>46</v>
      </c>
      <c r="M116" s="38" t="s">
        <v>133</v>
      </c>
      <c r="N116" s="38"/>
      <c r="O116" s="37">
        <v>55</v>
      </c>
      <c r="P116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6"/>
      <c r="R116" s="716"/>
      <c r="S116" s="716"/>
      <c r="T116" s="71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4301020430</v>
      </c>
      <c r="D117" s="714">
        <v>4680115887664</v>
      </c>
      <c r="E117" s="71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238</v>
      </c>
      <c r="L117" s="37" t="s">
        <v>46</v>
      </c>
      <c r="M117" s="38" t="s">
        <v>80</v>
      </c>
      <c r="N117" s="38"/>
      <c r="O117" s="37">
        <v>30</v>
      </c>
      <c r="P117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6"/>
      <c r="R117" s="716"/>
      <c r="S117" s="716"/>
      <c r="T117" s="71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237</v>
      </c>
      <c r="AG117" s="78"/>
      <c r="AJ117" s="84" t="s">
        <v>46</v>
      </c>
      <c r="AK117" s="84">
        <v>0</v>
      </c>
      <c r="BB117" s="191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239</v>
      </c>
      <c r="B118" s="63" t="s">
        <v>240</v>
      </c>
      <c r="C118" s="36">
        <v>4301020393</v>
      </c>
      <c r="D118" s="714">
        <v>4680115882775</v>
      </c>
      <c r="E118" s="71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133</v>
      </c>
      <c r="N118" s="38"/>
      <c r="O118" s="37">
        <v>55</v>
      </c>
      <c r="P118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16"/>
      <c r="R118" s="716"/>
      <c r="S118" s="716"/>
      <c r="T118" s="71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234</v>
      </c>
      <c r="AG118" s="78"/>
      <c r="AJ118" s="84" t="s">
        <v>46</v>
      </c>
      <c r="AK118" s="84">
        <v>0</v>
      </c>
      <c r="BB118" s="193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241</v>
      </c>
      <c r="B119" s="63" t="s">
        <v>242</v>
      </c>
      <c r="C119" s="36">
        <v>4301020392</v>
      </c>
      <c r="D119" s="714">
        <v>4680115880658</v>
      </c>
      <c r="E119" s="71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87</v>
      </c>
      <c r="L119" s="37" t="s">
        <v>46</v>
      </c>
      <c r="M119" s="38" t="s">
        <v>133</v>
      </c>
      <c r="N119" s="38"/>
      <c r="O119" s="37">
        <v>55</v>
      </c>
      <c r="P119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16"/>
      <c r="R119" s="716"/>
      <c r="S119" s="716"/>
      <c r="T119" s="71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234</v>
      </c>
      <c r="AG119" s="78"/>
      <c r="AJ119" s="84" t="s">
        <v>46</v>
      </c>
      <c r="AK119" s="84">
        <v>0</v>
      </c>
      <c r="BB119" s="195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21"/>
      <c r="B120" s="721"/>
      <c r="C120" s="721"/>
      <c r="D120" s="721"/>
      <c r="E120" s="721"/>
      <c r="F120" s="721"/>
      <c r="G120" s="721"/>
      <c r="H120" s="721"/>
      <c r="I120" s="721"/>
      <c r="J120" s="721"/>
      <c r="K120" s="721"/>
      <c r="L120" s="721"/>
      <c r="M120" s="721"/>
      <c r="N120" s="721"/>
      <c r="O120" s="722"/>
      <c r="P120" s="718" t="s">
        <v>40</v>
      </c>
      <c r="Q120" s="719"/>
      <c r="R120" s="719"/>
      <c r="S120" s="719"/>
      <c r="T120" s="719"/>
      <c r="U120" s="719"/>
      <c r="V120" s="720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21"/>
      <c r="B121" s="721"/>
      <c r="C121" s="721"/>
      <c r="D121" s="721"/>
      <c r="E121" s="721"/>
      <c r="F121" s="721"/>
      <c r="G121" s="721"/>
      <c r="H121" s="721"/>
      <c r="I121" s="721"/>
      <c r="J121" s="721"/>
      <c r="K121" s="721"/>
      <c r="L121" s="721"/>
      <c r="M121" s="721"/>
      <c r="N121" s="721"/>
      <c r="O121" s="722"/>
      <c r="P121" s="718" t="s">
        <v>40</v>
      </c>
      <c r="Q121" s="719"/>
      <c r="R121" s="719"/>
      <c r="S121" s="719"/>
      <c r="T121" s="719"/>
      <c r="U121" s="719"/>
      <c r="V121" s="720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13" t="s">
        <v>82</v>
      </c>
      <c r="B122" s="713"/>
      <c r="C122" s="713"/>
      <c r="D122" s="713"/>
      <c r="E122" s="713"/>
      <c r="F122" s="713"/>
      <c r="G122" s="713"/>
      <c r="H122" s="713"/>
      <c r="I122" s="713"/>
      <c r="J122" s="713"/>
      <c r="K122" s="713"/>
      <c r="L122" s="713"/>
      <c r="M122" s="713"/>
      <c r="N122" s="713"/>
      <c r="O122" s="713"/>
      <c r="P122" s="713"/>
      <c r="Q122" s="713"/>
      <c r="R122" s="713"/>
      <c r="S122" s="713"/>
      <c r="T122" s="713"/>
      <c r="U122" s="713"/>
      <c r="V122" s="713"/>
      <c r="W122" s="713"/>
      <c r="X122" s="713"/>
      <c r="Y122" s="713"/>
      <c r="Z122" s="713"/>
      <c r="AA122" s="66"/>
      <c r="AB122" s="66"/>
      <c r="AC122" s="80"/>
    </row>
    <row r="123" spans="1:68" ht="27" hidden="1" customHeight="1" x14ac:dyDescent="0.25">
      <c r="A123" s="63" t="s">
        <v>243</v>
      </c>
      <c r="B123" s="63" t="s">
        <v>244</v>
      </c>
      <c r="C123" s="36">
        <v>4301052088</v>
      </c>
      <c r="D123" s="714">
        <v>4607091385168</v>
      </c>
      <c r="E123" s="71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134</v>
      </c>
      <c r="L123" s="37" t="s">
        <v>46</v>
      </c>
      <c r="M123" s="38" t="s">
        <v>86</v>
      </c>
      <c r="N123" s="38"/>
      <c r="O123" s="37">
        <v>45</v>
      </c>
      <c r="P123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716"/>
      <c r="R123" s="716"/>
      <c r="S123" s="716"/>
      <c r="T123" s="71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4301052087</v>
      </c>
      <c r="D124" s="714">
        <v>4607091383256</v>
      </c>
      <c r="E124" s="714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87</v>
      </c>
      <c r="L124" s="37" t="s">
        <v>46</v>
      </c>
      <c r="M124" s="38" t="s">
        <v>86</v>
      </c>
      <c r="N124" s="38"/>
      <c r="O124" s="37">
        <v>45</v>
      </c>
      <c r="P124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716"/>
      <c r="R124" s="716"/>
      <c r="S124" s="716"/>
      <c r="T124" s="717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248</v>
      </c>
      <c r="B125" s="63" t="s">
        <v>249</v>
      </c>
      <c r="C125" s="36">
        <v>4301052086</v>
      </c>
      <c r="D125" s="714">
        <v>4607091385748</v>
      </c>
      <c r="E125" s="714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87</v>
      </c>
      <c r="L125" s="37" t="s">
        <v>46</v>
      </c>
      <c r="M125" s="38" t="s">
        <v>86</v>
      </c>
      <c r="N125" s="38"/>
      <c r="O125" s="37">
        <v>45</v>
      </c>
      <c r="P125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716"/>
      <c r="R125" s="716"/>
      <c r="S125" s="716"/>
      <c r="T125" s="717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4301052085</v>
      </c>
      <c r="D126" s="714">
        <v>4680115884533</v>
      </c>
      <c r="E126" s="714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87</v>
      </c>
      <c r="L126" s="37" t="s">
        <v>46</v>
      </c>
      <c r="M126" s="38" t="s">
        <v>86</v>
      </c>
      <c r="N126" s="38"/>
      <c r="O126" s="37">
        <v>45</v>
      </c>
      <c r="P126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716"/>
      <c r="R126" s="716"/>
      <c r="S126" s="716"/>
      <c r="T126" s="717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21"/>
      <c r="B127" s="721"/>
      <c r="C127" s="721"/>
      <c r="D127" s="721"/>
      <c r="E127" s="721"/>
      <c r="F127" s="721"/>
      <c r="G127" s="721"/>
      <c r="H127" s="721"/>
      <c r="I127" s="721"/>
      <c r="J127" s="721"/>
      <c r="K127" s="721"/>
      <c r="L127" s="721"/>
      <c r="M127" s="721"/>
      <c r="N127" s="721"/>
      <c r="O127" s="722"/>
      <c r="P127" s="718" t="s">
        <v>40</v>
      </c>
      <c r="Q127" s="719"/>
      <c r="R127" s="719"/>
      <c r="S127" s="719"/>
      <c r="T127" s="719"/>
      <c r="U127" s="719"/>
      <c r="V127" s="720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hidden="1" x14ac:dyDescent="0.2">
      <c r="A128" s="721"/>
      <c r="B128" s="721"/>
      <c r="C128" s="721"/>
      <c r="D128" s="721"/>
      <c r="E128" s="721"/>
      <c r="F128" s="721"/>
      <c r="G128" s="721"/>
      <c r="H128" s="721"/>
      <c r="I128" s="721"/>
      <c r="J128" s="721"/>
      <c r="K128" s="721"/>
      <c r="L128" s="721"/>
      <c r="M128" s="721"/>
      <c r="N128" s="721"/>
      <c r="O128" s="722"/>
      <c r="P128" s="718" t="s">
        <v>40</v>
      </c>
      <c r="Q128" s="719"/>
      <c r="R128" s="719"/>
      <c r="S128" s="719"/>
      <c r="T128" s="719"/>
      <c r="U128" s="719"/>
      <c r="V128" s="720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hidden="1" customHeight="1" x14ac:dyDescent="0.25">
      <c r="A129" s="713" t="s">
        <v>182</v>
      </c>
      <c r="B129" s="713"/>
      <c r="C129" s="713"/>
      <c r="D129" s="713"/>
      <c r="E129" s="713"/>
      <c r="F129" s="713"/>
      <c r="G129" s="713"/>
      <c r="H129" s="713"/>
      <c r="I129" s="713"/>
      <c r="J129" s="713"/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3"/>
      <c r="W129" s="713"/>
      <c r="X129" s="713"/>
      <c r="Y129" s="713"/>
      <c r="Z129" s="713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4301060525</v>
      </c>
      <c r="D130" s="714">
        <v>4680115880238</v>
      </c>
      <c r="E130" s="714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87</v>
      </c>
      <c r="L130" s="37" t="s">
        <v>46</v>
      </c>
      <c r="M130" s="38" t="s">
        <v>86</v>
      </c>
      <c r="N130" s="38"/>
      <c r="O130" s="37">
        <v>40</v>
      </c>
      <c r="P130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716"/>
      <c r="R130" s="716"/>
      <c r="S130" s="716"/>
      <c r="T130" s="717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21"/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2"/>
      <c r="P131" s="718" t="s">
        <v>40</v>
      </c>
      <c r="Q131" s="719"/>
      <c r="R131" s="719"/>
      <c r="S131" s="719"/>
      <c r="T131" s="719"/>
      <c r="U131" s="719"/>
      <c r="V131" s="720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721"/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2"/>
      <c r="P132" s="718" t="s">
        <v>40</v>
      </c>
      <c r="Q132" s="719"/>
      <c r="R132" s="719"/>
      <c r="S132" s="719"/>
      <c r="T132" s="719"/>
      <c r="U132" s="719"/>
      <c r="V132" s="720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712" t="s">
        <v>256</v>
      </c>
      <c r="B133" s="712"/>
      <c r="C133" s="712"/>
      <c r="D133" s="712"/>
      <c r="E133" s="712"/>
      <c r="F133" s="712"/>
      <c r="G133" s="712"/>
      <c r="H133" s="712"/>
      <c r="I133" s="712"/>
      <c r="J133" s="712"/>
      <c r="K133" s="712"/>
      <c r="L133" s="712"/>
      <c r="M133" s="712"/>
      <c r="N133" s="712"/>
      <c r="O133" s="712"/>
      <c r="P133" s="712"/>
      <c r="Q133" s="712"/>
      <c r="R133" s="712"/>
      <c r="S133" s="712"/>
      <c r="T133" s="712"/>
      <c r="U133" s="712"/>
      <c r="V133" s="712"/>
      <c r="W133" s="712"/>
      <c r="X133" s="712"/>
      <c r="Y133" s="712"/>
      <c r="Z133" s="712"/>
      <c r="AA133" s="65"/>
      <c r="AB133" s="65"/>
      <c r="AC133" s="79"/>
    </row>
    <row r="134" spans="1:68" ht="14.25" hidden="1" customHeight="1" x14ac:dyDescent="0.25">
      <c r="A134" s="713" t="s">
        <v>129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714">
        <v>4680115882577</v>
      </c>
      <c r="E135" s="714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87</v>
      </c>
      <c r="L135" s="37" t="s">
        <v>46</v>
      </c>
      <c r="M135" s="38" t="s">
        <v>260</v>
      </c>
      <c r="N135" s="38"/>
      <c r="O135" s="37">
        <v>90</v>
      </c>
      <c r="P135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716"/>
      <c r="R135" s="716"/>
      <c r="S135" s="716"/>
      <c r="T135" s="71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261</v>
      </c>
      <c r="C136" s="36">
        <v>4301011564</v>
      </c>
      <c r="D136" s="714">
        <v>4680115882577</v>
      </c>
      <c r="E136" s="714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87</v>
      </c>
      <c r="L136" s="37" t="s">
        <v>46</v>
      </c>
      <c r="M136" s="38" t="s">
        <v>260</v>
      </c>
      <c r="N136" s="38"/>
      <c r="O136" s="37">
        <v>90</v>
      </c>
      <c r="P136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16"/>
      <c r="R136" s="716"/>
      <c r="S136" s="716"/>
      <c r="T136" s="717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721"/>
      <c r="B137" s="721"/>
      <c r="C137" s="721"/>
      <c r="D137" s="721"/>
      <c r="E137" s="721"/>
      <c r="F137" s="721"/>
      <c r="G137" s="721"/>
      <c r="H137" s="721"/>
      <c r="I137" s="721"/>
      <c r="J137" s="721"/>
      <c r="K137" s="721"/>
      <c r="L137" s="721"/>
      <c r="M137" s="721"/>
      <c r="N137" s="721"/>
      <c r="O137" s="722"/>
      <c r="P137" s="718" t="s">
        <v>40</v>
      </c>
      <c r="Q137" s="719"/>
      <c r="R137" s="719"/>
      <c r="S137" s="719"/>
      <c r="T137" s="719"/>
      <c r="U137" s="719"/>
      <c r="V137" s="72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721"/>
      <c r="B138" s="721"/>
      <c r="C138" s="721"/>
      <c r="D138" s="721"/>
      <c r="E138" s="721"/>
      <c r="F138" s="721"/>
      <c r="G138" s="721"/>
      <c r="H138" s="721"/>
      <c r="I138" s="721"/>
      <c r="J138" s="721"/>
      <c r="K138" s="721"/>
      <c r="L138" s="721"/>
      <c r="M138" s="721"/>
      <c r="N138" s="721"/>
      <c r="O138" s="722"/>
      <c r="P138" s="718" t="s">
        <v>40</v>
      </c>
      <c r="Q138" s="719"/>
      <c r="R138" s="719"/>
      <c r="S138" s="719"/>
      <c r="T138" s="719"/>
      <c r="U138" s="719"/>
      <c r="V138" s="72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713" t="s">
        <v>76</v>
      </c>
      <c r="B139" s="713"/>
      <c r="C139" s="713"/>
      <c r="D139" s="713"/>
      <c r="E139" s="713"/>
      <c r="F139" s="713"/>
      <c r="G139" s="713"/>
      <c r="H139" s="713"/>
      <c r="I139" s="713"/>
      <c r="J139" s="713"/>
      <c r="K139" s="713"/>
      <c r="L139" s="713"/>
      <c r="M139" s="713"/>
      <c r="N139" s="713"/>
      <c r="O139" s="713"/>
      <c r="P139" s="713"/>
      <c r="Q139" s="713"/>
      <c r="R139" s="713"/>
      <c r="S139" s="713"/>
      <c r="T139" s="713"/>
      <c r="U139" s="713"/>
      <c r="V139" s="713"/>
      <c r="W139" s="713"/>
      <c r="X139" s="713"/>
      <c r="Y139" s="713"/>
      <c r="Z139" s="713"/>
      <c r="AA139" s="66"/>
      <c r="AB139" s="66"/>
      <c r="AC139" s="80"/>
    </row>
    <row r="140" spans="1:68" ht="27" hidden="1" customHeight="1" x14ac:dyDescent="0.25">
      <c r="A140" s="63" t="s">
        <v>262</v>
      </c>
      <c r="B140" s="63" t="s">
        <v>263</v>
      </c>
      <c r="C140" s="36">
        <v>4301031234</v>
      </c>
      <c r="D140" s="714">
        <v>4680115883444</v>
      </c>
      <c r="E140" s="714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87</v>
      </c>
      <c r="L140" s="37" t="s">
        <v>46</v>
      </c>
      <c r="M140" s="38" t="s">
        <v>260</v>
      </c>
      <c r="N140" s="38"/>
      <c r="O140" s="37">
        <v>90</v>
      </c>
      <c r="P14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716"/>
      <c r="R140" s="716"/>
      <c r="S140" s="716"/>
      <c r="T140" s="71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264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262</v>
      </c>
      <c r="B141" s="63" t="s">
        <v>265</v>
      </c>
      <c r="C141" s="36">
        <v>4301031235</v>
      </c>
      <c r="D141" s="714">
        <v>4680115883444</v>
      </c>
      <c r="E141" s="714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87</v>
      </c>
      <c r="L141" s="37" t="s">
        <v>46</v>
      </c>
      <c r="M141" s="38" t="s">
        <v>260</v>
      </c>
      <c r="N141" s="38"/>
      <c r="O141" s="37">
        <v>90</v>
      </c>
      <c r="P141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716"/>
      <c r="R141" s="716"/>
      <c r="S141" s="716"/>
      <c r="T141" s="71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264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21"/>
      <c r="B142" s="721"/>
      <c r="C142" s="721"/>
      <c r="D142" s="721"/>
      <c r="E142" s="721"/>
      <c r="F142" s="721"/>
      <c r="G142" s="721"/>
      <c r="H142" s="721"/>
      <c r="I142" s="721"/>
      <c r="J142" s="721"/>
      <c r="K142" s="721"/>
      <c r="L142" s="721"/>
      <c r="M142" s="721"/>
      <c r="N142" s="721"/>
      <c r="O142" s="722"/>
      <c r="P142" s="718" t="s">
        <v>40</v>
      </c>
      <c r="Q142" s="719"/>
      <c r="R142" s="719"/>
      <c r="S142" s="719"/>
      <c r="T142" s="719"/>
      <c r="U142" s="719"/>
      <c r="V142" s="72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21"/>
      <c r="B143" s="721"/>
      <c r="C143" s="721"/>
      <c r="D143" s="721"/>
      <c r="E143" s="721"/>
      <c r="F143" s="721"/>
      <c r="G143" s="721"/>
      <c r="H143" s="721"/>
      <c r="I143" s="721"/>
      <c r="J143" s="721"/>
      <c r="K143" s="721"/>
      <c r="L143" s="721"/>
      <c r="M143" s="721"/>
      <c r="N143" s="721"/>
      <c r="O143" s="722"/>
      <c r="P143" s="718" t="s">
        <v>40</v>
      </c>
      <c r="Q143" s="719"/>
      <c r="R143" s="719"/>
      <c r="S143" s="719"/>
      <c r="T143" s="719"/>
      <c r="U143" s="719"/>
      <c r="V143" s="72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13" t="s">
        <v>82</v>
      </c>
      <c r="B144" s="713"/>
      <c r="C144" s="713"/>
      <c r="D144" s="713"/>
      <c r="E144" s="713"/>
      <c r="F144" s="713"/>
      <c r="G144" s="713"/>
      <c r="H144" s="713"/>
      <c r="I144" s="713"/>
      <c r="J144" s="713"/>
      <c r="K144" s="713"/>
      <c r="L144" s="713"/>
      <c r="M144" s="713"/>
      <c r="N144" s="713"/>
      <c r="O144" s="713"/>
      <c r="P144" s="713"/>
      <c r="Q144" s="713"/>
      <c r="R144" s="713"/>
      <c r="S144" s="713"/>
      <c r="T144" s="713"/>
      <c r="U144" s="713"/>
      <c r="V144" s="713"/>
      <c r="W144" s="713"/>
      <c r="X144" s="713"/>
      <c r="Y144" s="713"/>
      <c r="Z144" s="713"/>
      <c r="AA144" s="66"/>
      <c r="AB144" s="66"/>
      <c r="AC144" s="80"/>
    </row>
    <row r="145" spans="1:68" ht="16.5" hidden="1" customHeight="1" x14ac:dyDescent="0.25">
      <c r="A145" s="63" t="s">
        <v>266</v>
      </c>
      <c r="B145" s="63" t="s">
        <v>267</v>
      </c>
      <c r="C145" s="36">
        <v>4301051476</v>
      </c>
      <c r="D145" s="714">
        <v>4680115882584</v>
      </c>
      <c r="E145" s="714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87</v>
      </c>
      <c r="L145" s="37" t="s">
        <v>46</v>
      </c>
      <c r="M145" s="38" t="s">
        <v>260</v>
      </c>
      <c r="N145" s="38"/>
      <c r="O145" s="37">
        <v>60</v>
      </c>
      <c r="P145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716"/>
      <c r="R145" s="716"/>
      <c r="S145" s="716"/>
      <c r="T145" s="71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266</v>
      </c>
      <c r="B146" s="63" t="s">
        <v>268</v>
      </c>
      <c r="C146" s="36">
        <v>4301051477</v>
      </c>
      <c r="D146" s="714">
        <v>4680115882584</v>
      </c>
      <c r="E146" s="714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87</v>
      </c>
      <c r="L146" s="37" t="s">
        <v>46</v>
      </c>
      <c r="M146" s="38" t="s">
        <v>260</v>
      </c>
      <c r="N146" s="38"/>
      <c r="O146" s="37">
        <v>60</v>
      </c>
      <c r="P146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16"/>
      <c r="R146" s="716"/>
      <c r="S146" s="716"/>
      <c r="T146" s="71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21"/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2"/>
      <c r="P147" s="718" t="s">
        <v>40</v>
      </c>
      <c r="Q147" s="719"/>
      <c r="R147" s="719"/>
      <c r="S147" s="719"/>
      <c r="T147" s="719"/>
      <c r="U147" s="719"/>
      <c r="V147" s="720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21"/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2"/>
      <c r="P148" s="718" t="s">
        <v>40</v>
      </c>
      <c r="Q148" s="719"/>
      <c r="R148" s="719"/>
      <c r="S148" s="719"/>
      <c r="T148" s="719"/>
      <c r="U148" s="719"/>
      <c r="V148" s="720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712" t="s">
        <v>269</v>
      </c>
      <c r="B149" s="712"/>
      <c r="C149" s="712"/>
      <c r="D149" s="712"/>
      <c r="E149" s="712"/>
      <c r="F149" s="712"/>
      <c r="G149" s="712"/>
      <c r="H149" s="712"/>
      <c r="I149" s="712"/>
      <c r="J149" s="712"/>
      <c r="K149" s="712"/>
      <c r="L149" s="712"/>
      <c r="M149" s="712"/>
      <c r="N149" s="712"/>
      <c r="O149" s="712"/>
      <c r="P149" s="712"/>
      <c r="Q149" s="712"/>
      <c r="R149" s="712"/>
      <c r="S149" s="712"/>
      <c r="T149" s="712"/>
      <c r="U149" s="712"/>
      <c r="V149" s="712"/>
      <c r="W149" s="712"/>
      <c r="X149" s="712"/>
      <c r="Y149" s="712"/>
      <c r="Z149" s="712"/>
      <c r="AA149" s="65"/>
      <c r="AB149" s="65"/>
      <c r="AC149" s="79"/>
    </row>
    <row r="150" spans="1:68" ht="14.25" hidden="1" customHeight="1" x14ac:dyDescent="0.25">
      <c r="A150" s="713" t="s">
        <v>82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6"/>
      <c r="AB150" s="66"/>
      <c r="AC150" s="80"/>
    </row>
    <row r="151" spans="1:68" ht="27" hidden="1" customHeight="1" x14ac:dyDescent="0.25">
      <c r="A151" s="63" t="s">
        <v>270</v>
      </c>
      <c r="B151" s="63" t="s">
        <v>271</v>
      </c>
      <c r="C151" s="36">
        <v>4301052254</v>
      </c>
      <c r="D151" s="714">
        <v>4680115888203</v>
      </c>
      <c r="E151" s="71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87</v>
      </c>
      <c r="L151" s="37" t="s">
        <v>46</v>
      </c>
      <c r="M151" s="38" t="s">
        <v>93</v>
      </c>
      <c r="N151" s="38"/>
      <c r="O151" s="37">
        <v>40</v>
      </c>
      <c r="P151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716"/>
      <c r="R151" s="716"/>
      <c r="S151" s="716"/>
      <c r="T151" s="71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273</v>
      </c>
      <c r="B152" s="63" t="s">
        <v>274</v>
      </c>
      <c r="C152" s="36">
        <v>4301052252</v>
      </c>
      <c r="D152" s="714">
        <v>4680115888180</v>
      </c>
      <c r="E152" s="714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87</v>
      </c>
      <c r="L152" s="37" t="s">
        <v>46</v>
      </c>
      <c r="M152" s="38" t="s">
        <v>93</v>
      </c>
      <c r="N152" s="38"/>
      <c r="O152" s="37">
        <v>40</v>
      </c>
      <c r="P152" s="7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16"/>
      <c r="R152" s="716"/>
      <c r="S152" s="716"/>
      <c r="T152" s="717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4301052253</v>
      </c>
      <c r="D153" s="714">
        <v>4680115888197</v>
      </c>
      <c r="E153" s="71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87</v>
      </c>
      <c r="L153" s="37" t="s">
        <v>46</v>
      </c>
      <c r="M153" s="38" t="s">
        <v>93</v>
      </c>
      <c r="N153" s="38"/>
      <c r="O153" s="37">
        <v>40</v>
      </c>
      <c r="P153" s="7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6"/>
      <c r="R153" s="716"/>
      <c r="S153" s="716"/>
      <c r="T153" s="717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4301052255</v>
      </c>
      <c r="D154" s="714">
        <v>4680115888210</v>
      </c>
      <c r="E154" s="714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87</v>
      </c>
      <c r="L154" s="37" t="s">
        <v>46</v>
      </c>
      <c r="M154" s="38" t="s">
        <v>93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6"/>
      <c r="R154" s="716"/>
      <c r="S154" s="716"/>
      <c r="T154" s="717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21"/>
      <c r="B155" s="721"/>
      <c r="C155" s="721"/>
      <c r="D155" s="721"/>
      <c r="E155" s="721"/>
      <c r="F155" s="721"/>
      <c r="G155" s="721"/>
      <c r="H155" s="721"/>
      <c r="I155" s="721"/>
      <c r="J155" s="721"/>
      <c r="K155" s="721"/>
      <c r="L155" s="721"/>
      <c r="M155" s="721"/>
      <c r="N155" s="721"/>
      <c r="O155" s="722"/>
      <c r="P155" s="718" t="s">
        <v>40</v>
      </c>
      <c r="Q155" s="719"/>
      <c r="R155" s="719"/>
      <c r="S155" s="719"/>
      <c r="T155" s="719"/>
      <c r="U155" s="719"/>
      <c r="V155" s="720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21"/>
      <c r="B156" s="721"/>
      <c r="C156" s="721"/>
      <c r="D156" s="721"/>
      <c r="E156" s="721"/>
      <c r="F156" s="721"/>
      <c r="G156" s="721"/>
      <c r="H156" s="721"/>
      <c r="I156" s="721"/>
      <c r="J156" s="721"/>
      <c r="K156" s="721"/>
      <c r="L156" s="721"/>
      <c r="M156" s="721"/>
      <c r="N156" s="721"/>
      <c r="O156" s="722"/>
      <c r="P156" s="718" t="s">
        <v>40</v>
      </c>
      <c r="Q156" s="719"/>
      <c r="R156" s="719"/>
      <c r="S156" s="719"/>
      <c r="T156" s="719"/>
      <c r="U156" s="719"/>
      <c r="V156" s="720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3" t="s">
        <v>100</v>
      </c>
      <c r="B157" s="713"/>
      <c r="C157" s="713"/>
      <c r="D157" s="713"/>
      <c r="E157" s="713"/>
      <c r="F157" s="713"/>
      <c r="G157" s="713"/>
      <c r="H157" s="713"/>
      <c r="I157" s="713"/>
      <c r="J157" s="713"/>
      <c r="K157" s="713"/>
      <c r="L157" s="713"/>
      <c r="M157" s="713"/>
      <c r="N157" s="713"/>
      <c r="O157" s="713"/>
      <c r="P157" s="713"/>
      <c r="Q157" s="713"/>
      <c r="R157" s="713"/>
      <c r="S157" s="713"/>
      <c r="T157" s="713"/>
      <c r="U157" s="713"/>
      <c r="V157" s="713"/>
      <c r="W157" s="713"/>
      <c r="X157" s="713"/>
      <c r="Y157" s="713"/>
      <c r="Z157" s="713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4">
        <v>4680115889132</v>
      </c>
      <c r="E158" s="714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107</v>
      </c>
      <c r="L158" s="37" t="s">
        <v>46</v>
      </c>
      <c r="M158" s="38" t="s">
        <v>106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6"/>
      <c r="R158" s="716"/>
      <c r="S158" s="716"/>
      <c r="T158" s="717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284</v>
      </c>
      <c r="AG158" s="78"/>
      <c r="AJ158" s="84" t="s">
        <v>46</v>
      </c>
      <c r="AK158" s="84">
        <v>0</v>
      </c>
      <c r="BB158" s="227" t="s">
        <v>104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21"/>
      <c r="B159" s="721"/>
      <c r="C159" s="721"/>
      <c r="D159" s="721"/>
      <c r="E159" s="721"/>
      <c r="F159" s="721"/>
      <c r="G159" s="721"/>
      <c r="H159" s="721"/>
      <c r="I159" s="721"/>
      <c r="J159" s="721"/>
      <c r="K159" s="721"/>
      <c r="L159" s="721"/>
      <c r="M159" s="721"/>
      <c r="N159" s="721"/>
      <c r="O159" s="722"/>
      <c r="P159" s="718" t="s">
        <v>40</v>
      </c>
      <c r="Q159" s="719"/>
      <c r="R159" s="719"/>
      <c r="S159" s="719"/>
      <c r="T159" s="719"/>
      <c r="U159" s="719"/>
      <c r="V159" s="72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21"/>
      <c r="B160" s="721"/>
      <c r="C160" s="721"/>
      <c r="D160" s="721"/>
      <c r="E160" s="721"/>
      <c r="F160" s="721"/>
      <c r="G160" s="721"/>
      <c r="H160" s="721"/>
      <c r="I160" s="721"/>
      <c r="J160" s="721"/>
      <c r="K160" s="721"/>
      <c r="L160" s="721"/>
      <c r="M160" s="721"/>
      <c r="N160" s="721"/>
      <c r="O160" s="722"/>
      <c r="P160" s="718" t="s">
        <v>40</v>
      </c>
      <c r="Q160" s="719"/>
      <c r="R160" s="719"/>
      <c r="S160" s="719"/>
      <c r="T160" s="719"/>
      <c r="U160" s="719"/>
      <c r="V160" s="72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12" t="s">
        <v>127</v>
      </c>
      <c r="B161" s="712"/>
      <c r="C161" s="712"/>
      <c r="D161" s="712"/>
      <c r="E161" s="712"/>
      <c r="F161" s="712"/>
      <c r="G161" s="712"/>
      <c r="H161" s="712"/>
      <c r="I161" s="712"/>
      <c r="J161" s="712"/>
      <c r="K161" s="712"/>
      <c r="L161" s="712"/>
      <c r="M161" s="712"/>
      <c r="N161" s="712"/>
      <c r="O161" s="712"/>
      <c r="P161" s="712"/>
      <c r="Q161" s="712"/>
      <c r="R161" s="712"/>
      <c r="S161" s="712"/>
      <c r="T161" s="712"/>
      <c r="U161" s="712"/>
      <c r="V161" s="712"/>
      <c r="W161" s="712"/>
      <c r="X161" s="712"/>
      <c r="Y161" s="712"/>
      <c r="Z161" s="712"/>
      <c r="AA161" s="65"/>
      <c r="AB161" s="65"/>
      <c r="AC161" s="79"/>
    </row>
    <row r="162" spans="1:68" ht="14.25" hidden="1" customHeight="1" x14ac:dyDescent="0.25">
      <c r="A162" s="713" t="s">
        <v>129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6"/>
      <c r="AB162" s="66"/>
      <c r="AC162" s="80"/>
    </row>
    <row r="163" spans="1:68" ht="27" hidden="1" customHeight="1" x14ac:dyDescent="0.25">
      <c r="A163" s="63" t="s">
        <v>285</v>
      </c>
      <c r="B163" s="63" t="s">
        <v>286</v>
      </c>
      <c r="C163" s="36">
        <v>4301012338</v>
      </c>
      <c r="D163" s="714">
        <v>4680115887374</v>
      </c>
      <c r="E163" s="714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134</v>
      </c>
      <c r="L163" s="37" t="s">
        <v>46</v>
      </c>
      <c r="M163" s="38" t="s">
        <v>133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6"/>
      <c r="R163" s="716"/>
      <c r="S163" s="716"/>
      <c r="T163" s="71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287</v>
      </c>
      <c r="AG163" s="78"/>
      <c r="AJ163" s="84" t="s">
        <v>46</v>
      </c>
      <c r="AK163" s="84">
        <v>0</v>
      </c>
      <c r="BB163" s="22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288</v>
      </c>
      <c r="B164" s="63" t="s">
        <v>289</v>
      </c>
      <c r="C164" s="36">
        <v>4301011705</v>
      </c>
      <c r="D164" s="714">
        <v>4607091384604</v>
      </c>
      <c r="E164" s="71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141</v>
      </c>
      <c r="L164" s="37" t="s">
        <v>46</v>
      </c>
      <c r="M164" s="38" t="s">
        <v>133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6"/>
      <c r="R164" s="716"/>
      <c r="S164" s="716"/>
      <c r="T164" s="71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66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291</v>
      </c>
      <c r="C165" s="36">
        <v>4301012258</v>
      </c>
      <c r="D165" s="714">
        <v>4607091384604</v>
      </c>
      <c r="E165" s="71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141</v>
      </c>
      <c r="L165" s="37" t="s">
        <v>46</v>
      </c>
      <c r="M165" s="38" t="s">
        <v>133</v>
      </c>
      <c r="N165" s="38"/>
      <c r="O165" s="37">
        <v>50</v>
      </c>
      <c r="P165" s="79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16"/>
      <c r="R165" s="716"/>
      <c r="S165" s="716"/>
      <c r="T165" s="717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290</v>
      </c>
      <c r="AG165" s="78"/>
      <c r="AJ165" s="84" t="s">
        <v>46</v>
      </c>
      <c r="AK165" s="84">
        <v>0</v>
      </c>
      <c r="BB165" s="233" t="s">
        <v>66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292</v>
      </c>
      <c r="B166" s="63" t="s">
        <v>293</v>
      </c>
      <c r="C166" s="36">
        <v>4301012344</v>
      </c>
      <c r="D166" s="714">
        <v>4680115888876</v>
      </c>
      <c r="E166" s="714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87</v>
      </c>
      <c r="L166" s="37" t="s">
        <v>46</v>
      </c>
      <c r="M166" s="38" t="s">
        <v>86</v>
      </c>
      <c r="N166" s="38"/>
      <c r="O166" s="37">
        <v>55</v>
      </c>
      <c r="P166" s="79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6"/>
      <c r="R166" s="716"/>
      <c r="S166" s="716"/>
      <c r="T166" s="71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294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1"/>
      <c r="B167" s="721"/>
      <c r="C167" s="721"/>
      <c r="D167" s="721"/>
      <c r="E167" s="721"/>
      <c r="F167" s="721"/>
      <c r="G167" s="721"/>
      <c r="H167" s="721"/>
      <c r="I167" s="721"/>
      <c r="J167" s="721"/>
      <c r="K167" s="721"/>
      <c r="L167" s="721"/>
      <c r="M167" s="721"/>
      <c r="N167" s="721"/>
      <c r="O167" s="722"/>
      <c r="P167" s="718" t="s">
        <v>40</v>
      </c>
      <c r="Q167" s="719"/>
      <c r="R167" s="719"/>
      <c r="S167" s="719"/>
      <c r="T167" s="719"/>
      <c r="U167" s="719"/>
      <c r="V167" s="72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1"/>
      <c r="B168" s="721"/>
      <c r="C168" s="721"/>
      <c r="D168" s="721"/>
      <c r="E168" s="721"/>
      <c r="F168" s="721"/>
      <c r="G168" s="721"/>
      <c r="H168" s="721"/>
      <c r="I168" s="721"/>
      <c r="J168" s="721"/>
      <c r="K168" s="721"/>
      <c r="L168" s="721"/>
      <c r="M168" s="721"/>
      <c r="N168" s="721"/>
      <c r="O168" s="722"/>
      <c r="P168" s="718" t="s">
        <v>40</v>
      </c>
      <c r="Q168" s="719"/>
      <c r="R168" s="719"/>
      <c r="S168" s="719"/>
      <c r="T168" s="719"/>
      <c r="U168" s="719"/>
      <c r="V168" s="72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3" t="s">
        <v>164</v>
      </c>
      <c r="B169" s="713"/>
      <c r="C169" s="713"/>
      <c r="D169" s="713"/>
      <c r="E169" s="713"/>
      <c r="F169" s="713"/>
      <c r="G169" s="713"/>
      <c r="H169" s="713"/>
      <c r="I169" s="713"/>
      <c r="J169" s="713"/>
      <c r="K169" s="713"/>
      <c r="L169" s="713"/>
      <c r="M169" s="713"/>
      <c r="N169" s="713"/>
      <c r="O169" s="713"/>
      <c r="P169" s="713"/>
      <c r="Q169" s="713"/>
      <c r="R169" s="713"/>
      <c r="S169" s="713"/>
      <c r="T169" s="713"/>
      <c r="U169" s="713"/>
      <c r="V169" s="713"/>
      <c r="W169" s="713"/>
      <c r="X169" s="713"/>
      <c r="Y169" s="713"/>
      <c r="Z169" s="713"/>
      <c r="AA169" s="66"/>
      <c r="AB169" s="66"/>
      <c r="AC169" s="80"/>
    </row>
    <row r="170" spans="1:68" ht="16.5" hidden="1" customHeight="1" x14ac:dyDescent="0.25">
      <c r="A170" s="63" t="s">
        <v>295</v>
      </c>
      <c r="B170" s="63" t="s">
        <v>296</v>
      </c>
      <c r="C170" s="36">
        <v>4301020410</v>
      </c>
      <c r="D170" s="714">
        <v>4680115887695</v>
      </c>
      <c r="E170" s="714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81</v>
      </c>
      <c r="L170" s="37" t="s">
        <v>46</v>
      </c>
      <c r="M170" s="38" t="s">
        <v>80</v>
      </c>
      <c r="N170" s="38"/>
      <c r="O170" s="37">
        <v>30</v>
      </c>
      <c r="P170" s="79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6"/>
      <c r="R170" s="716"/>
      <c r="S170" s="716"/>
      <c r="T170" s="717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4301020439</v>
      </c>
      <c r="D171" s="714">
        <v>4680115889491</v>
      </c>
      <c r="E171" s="714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81</v>
      </c>
      <c r="L171" s="37" t="s">
        <v>46</v>
      </c>
      <c r="M171" s="38" t="s">
        <v>133</v>
      </c>
      <c r="N171" s="38"/>
      <c r="O171" s="37">
        <v>55</v>
      </c>
      <c r="P171" s="79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6"/>
      <c r="R171" s="716"/>
      <c r="S171" s="716"/>
      <c r="T171" s="71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1"/>
      <c r="B172" s="721"/>
      <c r="C172" s="721"/>
      <c r="D172" s="721"/>
      <c r="E172" s="721"/>
      <c r="F172" s="721"/>
      <c r="G172" s="721"/>
      <c r="H172" s="721"/>
      <c r="I172" s="721"/>
      <c r="J172" s="721"/>
      <c r="K172" s="721"/>
      <c r="L172" s="721"/>
      <c r="M172" s="721"/>
      <c r="N172" s="721"/>
      <c r="O172" s="722"/>
      <c r="P172" s="718" t="s">
        <v>40</v>
      </c>
      <c r="Q172" s="719"/>
      <c r="R172" s="719"/>
      <c r="S172" s="719"/>
      <c r="T172" s="719"/>
      <c r="U172" s="719"/>
      <c r="V172" s="72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1"/>
      <c r="B173" s="721"/>
      <c r="C173" s="721"/>
      <c r="D173" s="721"/>
      <c r="E173" s="721"/>
      <c r="F173" s="721"/>
      <c r="G173" s="721"/>
      <c r="H173" s="721"/>
      <c r="I173" s="721"/>
      <c r="J173" s="721"/>
      <c r="K173" s="721"/>
      <c r="L173" s="721"/>
      <c r="M173" s="721"/>
      <c r="N173" s="721"/>
      <c r="O173" s="722"/>
      <c r="P173" s="718" t="s">
        <v>40</v>
      </c>
      <c r="Q173" s="719"/>
      <c r="R173" s="719"/>
      <c r="S173" s="719"/>
      <c r="T173" s="719"/>
      <c r="U173" s="719"/>
      <c r="V173" s="72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3" t="s">
        <v>76</v>
      </c>
      <c r="B174" s="713"/>
      <c r="C174" s="713"/>
      <c r="D174" s="713"/>
      <c r="E174" s="713"/>
      <c r="F174" s="713"/>
      <c r="G174" s="713"/>
      <c r="H174" s="713"/>
      <c r="I174" s="713"/>
      <c r="J174" s="713"/>
      <c r="K174" s="713"/>
      <c r="L174" s="713"/>
      <c r="M174" s="713"/>
      <c r="N174" s="713"/>
      <c r="O174" s="713"/>
      <c r="P174" s="713"/>
      <c r="Q174" s="713"/>
      <c r="R174" s="713"/>
      <c r="S174" s="713"/>
      <c r="T174" s="713"/>
      <c r="U174" s="713"/>
      <c r="V174" s="713"/>
      <c r="W174" s="713"/>
      <c r="X174" s="713"/>
      <c r="Y174" s="713"/>
      <c r="Z174" s="713"/>
      <c r="AA174" s="66"/>
      <c r="AB174" s="66"/>
      <c r="AC174" s="80"/>
    </row>
    <row r="175" spans="1:68" ht="27" hidden="1" customHeight="1" x14ac:dyDescent="0.25">
      <c r="A175" s="63" t="s">
        <v>301</v>
      </c>
      <c r="B175" s="63" t="s">
        <v>302</v>
      </c>
      <c r="C175" s="36">
        <v>4301031496</v>
      </c>
      <c r="D175" s="714">
        <v>4680115887428</v>
      </c>
      <c r="E175" s="71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141</v>
      </c>
      <c r="L175" s="37" t="s">
        <v>46</v>
      </c>
      <c r="M175" s="38" t="s">
        <v>80</v>
      </c>
      <c r="N175" s="38"/>
      <c r="O175" s="37">
        <v>40</v>
      </c>
      <c r="P175" s="79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6"/>
      <c r="R175" s="716"/>
      <c r="S175" s="716"/>
      <c r="T175" s="71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303</v>
      </c>
      <c r="AG175" s="78"/>
      <c r="AJ175" s="84" t="s">
        <v>46</v>
      </c>
      <c r="AK175" s="84">
        <v>0</v>
      </c>
      <c r="BB175" s="241" t="s">
        <v>66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hidden="1" customHeight="1" x14ac:dyDescent="0.25">
      <c r="A176" s="63" t="s">
        <v>304</v>
      </c>
      <c r="B176" s="63" t="s">
        <v>305</v>
      </c>
      <c r="C176" s="36">
        <v>4301031509</v>
      </c>
      <c r="D176" s="714">
        <v>4680115889170</v>
      </c>
      <c r="E176" s="714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141</v>
      </c>
      <c r="L176" s="37" t="s">
        <v>46</v>
      </c>
      <c r="M176" s="38" t="s">
        <v>80</v>
      </c>
      <c r="N176" s="38"/>
      <c r="O176" s="37">
        <v>45</v>
      </c>
      <c r="P176" s="80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6"/>
      <c r="R176" s="716"/>
      <c r="S176" s="716"/>
      <c r="T176" s="71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306</v>
      </c>
      <c r="AG176" s="78"/>
      <c r="AJ176" s="84" t="s">
        <v>46</v>
      </c>
      <c r="AK176" s="84">
        <v>0</v>
      </c>
      <c r="BB176" s="243" t="s">
        <v>66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4301031522</v>
      </c>
      <c r="D177" s="714">
        <v>4680115887398</v>
      </c>
      <c r="E177" s="71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141</v>
      </c>
      <c r="L177" s="37" t="s">
        <v>46</v>
      </c>
      <c r="M177" s="38" t="s">
        <v>80</v>
      </c>
      <c r="N177" s="38"/>
      <c r="O177" s="37">
        <v>45</v>
      </c>
      <c r="P177" s="8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6"/>
      <c r="R177" s="716"/>
      <c r="S177" s="716"/>
      <c r="T177" s="71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66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4301031520</v>
      </c>
      <c r="D178" s="714">
        <v>4680115887336</v>
      </c>
      <c r="E178" s="714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141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6"/>
      <c r="R178" s="716"/>
      <c r="S178" s="716"/>
      <c r="T178" s="71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66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313</v>
      </c>
      <c r="B179" s="63" t="s">
        <v>314</v>
      </c>
      <c r="C179" s="36">
        <v>4301031528</v>
      </c>
      <c r="D179" s="714">
        <v>4680115887787</v>
      </c>
      <c r="E179" s="71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138</v>
      </c>
      <c r="L179" s="37" t="s">
        <v>46</v>
      </c>
      <c r="M179" s="38" t="s">
        <v>80</v>
      </c>
      <c r="N179" s="38"/>
      <c r="O179" s="37">
        <v>45</v>
      </c>
      <c r="P179" s="80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66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4301031448</v>
      </c>
      <c r="D180" s="714">
        <v>4680115887503</v>
      </c>
      <c r="E180" s="71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81</v>
      </c>
      <c r="L180" s="37" t="s">
        <v>46</v>
      </c>
      <c r="M180" s="38" t="s">
        <v>80</v>
      </c>
      <c r="N180" s="38"/>
      <c r="O180" s="37">
        <v>40</v>
      </c>
      <c r="P180" s="80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303</v>
      </c>
      <c r="AG180" s="78"/>
      <c r="AJ180" s="84" t="s">
        <v>46</v>
      </c>
      <c r="AK180" s="84">
        <v>0</v>
      </c>
      <c r="BB180" s="251" t="s">
        <v>66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318</v>
      </c>
      <c r="B181" s="63" t="s">
        <v>319</v>
      </c>
      <c r="C181" s="36">
        <v>4301031389</v>
      </c>
      <c r="D181" s="714">
        <v>4680115887763</v>
      </c>
      <c r="E181" s="71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138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320</v>
      </c>
      <c r="AG181" s="78"/>
      <c r="AJ181" s="84" t="s">
        <v>46</v>
      </c>
      <c r="AK181" s="84">
        <v>0</v>
      </c>
      <c r="BB181" s="253" t="s">
        <v>66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321</v>
      </c>
      <c r="B182" s="63" t="s">
        <v>322</v>
      </c>
      <c r="C182" s="36">
        <v>4301031521</v>
      </c>
      <c r="D182" s="714">
        <v>4680115887480</v>
      </c>
      <c r="E182" s="71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45</v>
      </c>
      <c r="P182" s="80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66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4301031434</v>
      </c>
      <c r="D183" s="714">
        <v>4680115888067</v>
      </c>
      <c r="E183" s="714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138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66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326</v>
      </c>
      <c r="B184" s="63" t="s">
        <v>327</v>
      </c>
      <c r="C184" s="36">
        <v>4301031519</v>
      </c>
      <c r="D184" s="714">
        <v>4680115887435</v>
      </c>
      <c r="E184" s="71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312</v>
      </c>
      <c r="AG184" s="78"/>
      <c r="AJ184" s="84" t="s">
        <v>46</v>
      </c>
      <c r="AK184" s="84">
        <v>0</v>
      </c>
      <c r="BB184" s="259" t="s">
        <v>66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idden="1" x14ac:dyDescent="0.2">
      <c r="A185" s="721"/>
      <c r="B185" s="721"/>
      <c r="C185" s="721"/>
      <c r="D185" s="721"/>
      <c r="E185" s="721"/>
      <c r="F185" s="721"/>
      <c r="G185" s="721"/>
      <c r="H185" s="721"/>
      <c r="I185" s="721"/>
      <c r="J185" s="721"/>
      <c r="K185" s="721"/>
      <c r="L185" s="721"/>
      <c r="M185" s="721"/>
      <c r="N185" s="721"/>
      <c r="O185" s="722"/>
      <c r="P185" s="718" t="s">
        <v>40</v>
      </c>
      <c r="Q185" s="719"/>
      <c r="R185" s="719"/>
      <c r="S185" s="719"/>
      <c r="T185" s="719"/>
      <c r="U185" s="719"/>
      <c r="V185" s="720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1"/>
      <c r="B186" s="721"/>
      <c r="C186" s="721"/>
      <c r="D186" s="721"/>
      <c r="E186" s="721"/>
      <c r="F186" s="721"/>
      <c r="G186" s="721"/>
      <c r="H186" s="721"/>
      <c r="I186" s="721"/>
      <c r="J186" s="721"/>
      <c r="K186" s="721"/>
      <c r="L186" s="721"/>
      <c r="M186" s="721"/>
      <c r="N186" s="721"/>
      <c r="O186" s="722"/>
      <c r="P186" s="718" t="s">
        <v>40</v>
      </c>
      <c r="Q186" s="719"/>
      <c r="R186" s="719"/>
      <c r="S186" s="719"/>
      <c r="T186" s="719"/>
      <c r="U186" s="719"/>
      <c r="V186" s="720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3" t="s">
        <v>82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6"/>
      <c r="AB187" s="66"/>
      <c r="AC187" s="80"/>
    </row>
    <row r="188" spans="1:68" ht="16.5" hidden="1" customHeight="1" x14ac:dyDescent="0.25">
      <c r="A188" s="63" t="s">
        <v>328</v>
      </c>
      <c r="B188" s="63" t="s">
        <v>329</v>
      </c>
      <c r="C188" s="36">
        <v>4301052193</v>
      </c>
      <c r="D188" s="714">
        <v>4680115888395</v>
      </c>
      <c r="E188" s="71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87</v>
      </c>
      <c r="L188" s="37" t="s">
        <v>46</v>
      </c>
      <c r="M188" s="38" t="s">
        <v>93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331</v>
      </c>
      <c r="B189" s="63" t="s">
        <v>332</v>
      </c>
      <c r="C189" s="36">
        <v>4301052191</v>
      </c>
      <c r="D189" s="714">
        <v>4680115888371</v>
      </c>
      <c r="E189" s="71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87</v>
      </c>
      <c r="L189" s="37" t="s">
        <v>46</v>
      </c>
      <c r="M189" s="38" t="s">
        <v>93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333</v>
      </c>
      <c r="AG189" s="78"/>
      <c r="AJ189" s="84" t="s">
        <v>46</v>
      </c>
      <c r="AK189" s="84">
        <v>0</v>
      </c>
      <c r="BB189" s="26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1"/>
      <c r="B190" s="721"/>
      <c r="C190" s="721"/>
      <c r="D190" s="721"/>
      <c r="E190" s="721"/>
      <c r="F190" s="721"/>
      <c r="G190" s="721"/>
      <c r="H190" s="721"/>
      <c r="I190" s="721"/>
      <c r="J190" s="721"/>
      <c r="K190" s="721"/>
      <c r="L190" s="721"/>
      <c r="M190" s="721"/>
      <c r="N190" s="721"/>
      <c r="O190" s="722"/>
      <c r="P190" s="718" t="s">
        <v>40</v>
      </c>
      <c r="Q190" s="719"/>
      <c r="R190" s="719"/>
      <c r="S190" s="719"/>
      <c r="T190" s="719"/>
      <c r="U190" s="719"/>
      <c r="V190" s="720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721"/>
      <c r="B191" s="721"/>
      <c r="C191" s="721"/>
      <c r="D191" s="721"/>
      <c r="E191" s="721"/>
      <c r="F191" s="721"/>
      <c r="G191" s="721"/>
      <c r="H191" s="721"/>
      <c r="I191" s="721"/>
      <c r="J191" s="721"/>
      <c r="K191" s="721"/>
      <c r="L191" s="721"/>
      <c r="M191" s="721"/>
      <c r="N191" s="721"/>
      <c r="O191" s="722"/>
      <c r="P191" s="718" t="s">
        <v>40</v>
      </c>
      <c r="Q191" s="719"/>
      <c r="R191" s="719"/>
      <c r="S191" s="719"/>
      <c r="T191" s="719"/>
      <c r="U191" s="719"/>
      <c r="V191" s="720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13" t="s">
        <v>100</v>
      </c>
      <c r="B192" s="713"/>
      <c r="C192" s="713"/>
      <c r="D192" s="713"/>
      <c r="E192" s="713"/>
      <c r="F192" s="713"/>
      <c r="G192" s="713"/>
      <c r="H192" s="713"/>
      <c r="I192" s="713"/>
      <c r="J192" s="713"/>
      <c r="K192" s="713"/>
      <c r="L192" s="713"/>
      <c r="M192" s="713"/>
      <c r="N192" s="713"/>
      <c r="O192" s="713"/>
      <c r="P192" s="713"/>
      <c r="Q192" s="713"/>
      <c r="R192" s="713"/>
      <c r="S192" s="713"/>
      <c r="T192" s="713"/>
      <c r="U192" s="713"/>
      <c r="V192" s="713"/>
      <c r="W192" s="713"/>
      <c r="X192" s="713"/>
      <c r="Y192" s="713"/>
      <c r="Z192" s="713"/>
      <c r="AA192" s="66"/>
      <c r="AB192" s="66"/>
      <c r="AC192" s="80"/>
    </row>
    <row r="193" spans="1:68" ht="16.5" hidden="1" customHeight="1" x14ac:dyDescent="0.25">
      <c r="A193" s="63" t="s">
        <v>334</v>
      </c>
      <c r="B193" s="63" t="s">
        <v>335</v>
      </c>
      <c r="C193" s="36">
        <v>4301032058</v>
      </c>
      <c r="D193" s="714">
        <v>4680115889026</v>
      </c>
      <c r="E193" s="714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337</v>
      </c>
      <c r="L193" s="37" t="s">
        <v>46</v>
      </c>
      <c r="M193" s="38" t="s">
        <v>106</v>
      </c>
      <c r="N193" s="38"/>
      <c r="O193" s="37">
        <v>60</v>
      </c>
      <c r="P193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6"/>
      <c r="R193" s="716"/>
      <c r="S193" s="716"/>
      <c r="T193" s="717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336</v>
      </c>
      <c r="AG193" s="78"/>
      <c r="AJ193" s="84" t="s">
        <v>46</v>
      </c>
      <c r="AK193" s="84">
        <v>0</v>
      </c>
      <c r="BB193" s="265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1"/>
      <c r="B194" s="721"/>
      <c r="C194" s="721"/>
      <c r="D194" s="721"/>
      <c r="E194" s="721"/>
      <c r="F194" s="721"/>
      <c r="G194" s="721"/>
      <c r="H194" s="721"/>
      <c r="I194" s="721"/>
      <c r="J194" s="721"/>
      <c r="K194" s="721"/>
      <c r="L194" s="721"/>
      <c r="M194" s="721"/>
      <c r="N194" s="721"/>
      <c r="O194" s="722"/>
      <c r="P194" s="718" t="s">
        <v>40</v>
      </c>
      <c r="Q194" s="719"/>
      <c r="R194" s="719"/>
      <c r="S194" s="719"/>
      <c r="T194" s="719"/>
      <c r="U194" s="719"/>
      <c r="V194" s="720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1"/>
      <c r="B195" s="721"/>
      <c r="C195" s="721"/>
      <c r="D195" s="721"/>
      <c r="E195" s="721"/>
      <c r="F195" s="721"/>
      <c r="G195" s="721"/>
      <c r="H195" s="721"/>
      <c r="I195" s="721"/>
      <c r="J195" s="721"/>
      <c r="K195" s="721"/>
      <c r="L195" s="721"/>
      <c r="M195" s="721"/>
      <c r="N195" s="721"/>
      <c r="O195" s="722"/>
      <c r="P195" s="718" t="s">
        <v>40</v>
      </c>
      <c r="Q195" s="719"/>
      <c r="R195" s="719"/>
      <c r="S195" s="719"/>
      <c r="T195" s="719"/>
      <c r="U195" s="719"/>
      <c r="V195" s="720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13" t="s">
        <v>338</v>
      </c>
      <c r="B196" s="713"/>
      <c r="C196" s="713"/>
      <c r="D196" s="713"/>
      <c r="E196" s="713"/>
      <c r="F196" s="713"/>
      <c r="G196" s="713"/>
      <c r="H196" s="713"/>
      <c r="I196" s="713"/>
      <c r="J196" s="713"/>
      <c r="K196" s="713"/>
      <c r="L196" s="713"/>
      <c r="M196" s="713"/>
      <c r="N196" s="713"/>
      <c r="O196" s="713"/>
      <c r="P196" s="713"/>
      <c r="Q196" s="713"/>
      <c r="R196" s="713"/>
      <c r="S196" s="713"/>
      <c r="T196" s="713"/>
      <c r="U196" s="713"/>
      <c r="V196" s="713"/>
      <c r="W196" s="713"/>
      <c r="X196" s="713"/>
      <c r="Y196" s="713"/>
      <c r="Z196" s="713"/>
      <c r="AA196" s="66"/>
      <c r="AB196" s="66"/>
      <c r="AC196" s="80"/>
    </row>
    <row r="197" spans="1:68" ht="27" hidden="1" customHeight="1" x14ac:dyDescent="0.25">
      <c r="A197" s="63" t="s">
        <v>339</v>
      </c>
      <c r="B197" s="63" t="s">
        <v>340</v>
      </c>
      <c r="C197" s="36">
        <v>4301041009</v>
      </c>
      <c r="D197" s="714">
        <v>4680115889033</v>
      </c>
      <c r="E197" s="714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337</v>
      </c>
      <c r="L197" s="37" t="s">
        <v>46</v>
      </c>
      <c r="M197" s="38" t="s">
        <v>106</v>
      </c>
      <c r="N197" s="38"/>
      <c r="O197" s="37">
        <v>60</v>
      </c>
      <c r="P197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6"/>
      <c r="R197" s="716"/>
      <c r="S197" s="716"/>
      <c r="T197" s="717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341</v>
      </c>
      <c r="AG197" s="78"/>
      <c r="AJ197" s="84" t="s">
        <v>46</v>
      </c>
      <c r="AK197" s="84">
        <v>0</v>
      </c>
      <c r="BB197" s="267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1"/>
      <c r="B198" s="721"/>
      <c r="C198" s="721"/>
      <c r="D198" s="721"/>
      <c r="E198" s="721"/>
      <c r="F198" s="721"/>
      <c r="G198" s="721"/>
      <c r="H198" s="721"/>
      <c r="I198" s="721"/>
      <c r="J198" s="721"/>
      <c r="K198" s="721"/>
      <c r="L198" s="721"/>
      <c r="M198" s="721"/>
      <c r="N198" s="721"/>
      <c r="O198" s="722"/>
      <c r="P198" s="718" t="s">
        <v>40</v>
      </c>
      <c r="Q198" s="719"/>
      <c r="R198" s="719"/>
      <c r="S198" s="719"/>
      <c r="T198" s="719"/>
      <c r="U198" s="719"/>
      <c r="V198" s="720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1"/>
      <c r="B199" s="721"/>
      <c r="C199" s="721"/>
      <c r="D199" s="721"/>
      <c r="E199" s="721"/>
      <c r="F199" s="721"/>
      <c r="G199" s="721"/>
      <c r="H199" s="721"/>
      <c r="I199" s="721"/>
      <c r="J199" s="721"/>
      <c r="K199" s="721"/>
      <c r="L199" s="721"/>
      <c r="M199" s="721"/>
      <c r="N199" s="721"/>
      <c r="O199" s="722"/>
      <c r="P199" s="718" t="s">
        <v>40</v>
      </c>
      <c r="Q199" s="719"/>
      <c r="R199" s="719"/>
      <c r="S199" s="719"/>
      <c r="T199" s="719"/>
      <c r="U199" s="719"/>
      <c r="V199" s="720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1" t="s">
        <v>342</v>
      </c>
      <c r="B200" s="711"/>
      <c r="C200" s="711"/>
      <c r="D200" s="711"/>
      <c r="E200" s="711"/>
      <c r="F200" s="711"/>
      <c r="G200" s="711"/>
      <c r="H200" s="711"/>
      <c r="I200" s="711"/>
      <c r="J200" s="711"/>
      <c r="K200" s="711"/>
      <c r="L200" s="711"/>
      <c r="M200" s="711"/>
      <c r="N200" s="711"/>
      <c r="O200" s="711"/>
      <c r="P200" s="711"/>
      <c r="Q200" s="711"/>
      <c r="R200" s="711"/>
      <c r="S200" s="711"/>
      <c r="T200" s="711"/>
      <c r="U200" s="711"/>
      <c r="V200" s="711"/>
      <c r="W200" s="711"/>
      <c r="X200" s="711"/>
      <c r="Y200" s="711"/>
      <c r="Z200" s="711"/>
      <c r="AA200" s="54"/>
      <c r="AB200" s="54"/>
      <c r="AC200" s="54"/>
    </row>
    <row r="201" spans="1:68" ht="16.5" hidden="1" customHeight="1" x14ac:dyDescent="0.25">
      <c r="A201" s="712" t="s">
        <v>343</v>
      </c>
      <c r="B201" s="712"/>
      <c r="C201" s="712"/>
      <c r="D201" s="712"/>
      <c r="E201" s="712"/>
      <c r="F201" s="712"/>
      <c r="G201" s="712"/>
      <c r="H201" s="712"/>
      <c r="I201" s="712"/>
      <c r="J201" s="712"/>
      <c r="K201" s="712"/>
      <c r="L201" s="712"/>
      <c r="M201" s="712"/>
      <c r="N201" s="712"/>
      <c r="O201" s="712"/>
      <c r="P201" s="712"/>
      <c r="Q201" s="712"/>
      <c r="R201" s="712"/>
      <c r="S201" s="712"/>
      <c r="T201" s="712"/>
      <c r="U201" s="712"/>
      <c r="V201" s="712"/>
      <c r="W201" s="712"/>
      <c r="X201" s="712"/>
      <c r="Y201" s="712"/>
      <c r="Z201" s="712"/>
      <c r="AA201" s="65"/>
      <c r="AB201" s="65"/>
      <c r="AC201" s="79"/>
    </row>
    <row r="202" spans="1:68" ht="14.25" hidden="1" customHeight="1" x14ac:dyDescent="0.25">
      <c r="A202" s="713" t="s">
        <v>129</v>
      </c>
      <c r="B202" s="713"/>
      <c r="C202" s="713"/>
      <c r="D202" s="713"/>
      <c r="E202" s="713"/>
      <c r="F202" s="713"/>
      <c r="G202" s="713"/>
      <c r="H202" s="713"/>
      <c r="I202" s="713"/>
      <c r="J202" s="713"/>
      <c r="K202" s="713"/>
      <c r="L202" s="713"/>
      <c r="M202" s="713"/>
      <c r="N202" s="713"/>
      <c r="O202" s="713"/>
      <c r="P202" s="713"/>
      <c r="Q202" s="713"/>
      <c r="R202" s="713"/>
      <c r="S202" s="713"/>
      <c r="T202" s="713"/>
      <c r="U202" s="713"/>
      <c r="V202" s="713"/>
      <c r="W202" s="713"/>
      <c r="X202" s="713"/>
      <c r="Y202" s="713"/>
      <c r="Z202" s="713"/>
      <c r="AA202" s="66"/>
      <c r="AB202" s="66"/>
      <c r="AC202" s="80"/>
    </row>
    <row r="203" spans="1:68" ht="27" hidden="1" customHeight="1" x14ac:dyDescent="0.25">
      <c r="A203" s="63" t="s">
        <v>344</v>
      </c>
      <c r="B203" s="63" t="s">
        <v>345</v>
      </c>
      <c r="C203" s="36">
        <v>4301011223</v>
      </c>
      <c r="D203" s="714">
        <v>4607091383423</v>
      </c>
      <c r="E203" s="714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134</v>
      </c>
      <c r="L203" s="37" t="s">
        <v>46</v>
      </c>
      <c r="M203" s="38" t="s">
        <v>86</v>
      </c>
      <c r="N203" s="38"/>
      <c r="O203" s="37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6"/>
      <c r="R203" s="716"/>
      <c r="S203" s="716"/>
      <c r="T203" s="71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132</v>
      </c>
      <c r="AG203" s="78"/>
      <c r="AJ203" s="84" t="s">
        <v>46</v>
      </c>
      <c r="AK203" s="84">
        <v>0</v>
      </c>
      <c r="BB203" s="269" t="s">
        <v>66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346</v>
      </c>
      <c r="B204" s="63" t="s">
        <v>347</v>
      </c>
      <c r="C204" s="36">
        <v>4301012340</v>
      </c>
      <c r="D204" s="714">
        <v>4680115888760</v>
      </c>
      <c r="E204" s="714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134</v>
      </c>
      <c r="L204" s="37" t="s">
        <v>46</v>
      </c>
      <c r="M204" s="38" t="s">
        <v>86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6"/>
      <c r="R204" s="716"/>
      <c r="S204" s="716"/>
      <c r="T204" s="71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348</v>
      </c>
      <c r="AG204" s="78"/>
      <c r="AJ204" s="84" t="s">
        <v>46</v>
      </c>
      <c r="AK204" s="84">
        <v>0</v>
      </c>
      <c r="BB204" s="271" t="s">
        <v>66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349</v>
      </c>
      <c r="B205" s="63" t="s">
        <v>350</v>
      </c>
      <c r="C205" s="36">
        <v>4301012341</v>
      </c>
      <c r="D205" s="714">
        <v>4680115888807</v>
      </c>
      <c r="E205" s="714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134</v>
      </c>
      <c r="L205" s="37" t="s">
        <v>46</v>
      </c>
      <c r="M205" s="38" t="s">
        <v>86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6"/>
      <c r="R205" s="716"/>
      <c r="S205" s="716"/>
      <c r="T205" s="71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351</v>
      </c>
      <c r="AG205" s="78"/>
      <c r="AJ205" s="84" t="s">
        <v>46</v>
      </c>
      <c r="AK205" s="84">
        <v>0</v>
      </c>
      <c r="BB205" s="273" t="s">
        <v>66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4301012342</v>
      </c>
      <c r="D206" s="714">
        <v>4680115888852</v>
      </c>
      <c r="E206" s="714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134</v>
      </c>
      <c r="L206" s="37" t="s">
        <v>46</v>
      </c>
      <c r="M206" s="38" t="s">
        <v>86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6"/>
      <c r="R206" s="716"/>
      <c r="S206" s="716"/>
      <c r="T206" s="71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66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355</v>
      </c>
      <c r="B207" s="63" t="s">
        <v>356</v>
      </c>
      <c r="C207" s="36">
        <v>4301012370</v>
      </c>
      <c r="D207" s="714">
        <v>4680115886957</v>
      </c>
      <c r="E207" s="714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134</v>
      </c>
      <c r="L207" s="37" t="s">
        <v>46</v>
      </c>
      <c r="M207" s="38" t="s">
        <v>86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6"/>
      <c r="R207" s="716"/>
      <c r="S207" s="716"/>
      <c r="T207" s="717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66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4301012098</v>
      </c>
      <c r="D208" s="714">
        <v>4680115885660</v>
      </c>
      <c r="E208" s="714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134</v>
      </c>
      <c r="L208" s="37" t="s">
        <v>46</v>
      </c>
      <c r="M208" s="38" t="s">
        <v>86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6"/>
      <c r="R208" s="716"/>
      <c r="S208" s="716"/>
      <c r="T208" s="717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66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4301012369</v>
      </c>
      <c r="D209" s="714">
        <v>4680115886773</v>
      </c>
      <c r="E209" s="714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134</v>
      </c>
      <c r="L209" s="37" t="s">
        <v>46</v>
      </c>
      <c r="M209" s="38" t="s">
        <v>86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6"/>
      <c r="R209" s="716"/>
      <c r="S209" s="716"/>
      <c r="T209" s="717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721"/>
      <c r="B210" s="721"/>
      <c r="C210" s="721"/>
      <c r="D210" s="721"/>
      <c r="E210" s="721"/>
      <c r="F210" s="721"/>
      <c r="G210" s="721"/>
      <c r="H210" s="721"/>
      <c r="I210" s="721"/>
      <c r="J210" s="721"/>
      <c r="K210" s="721"/>
      <c r="L210" s="721"/>
      <c r="M210" s="721"/>
      <c r="N210" s="721"/>
      <c r="O210" s="722"/>
      <c r="P210" s="718" t="s">
        <v>40</v>
      </c>
      <c r="Q210" s="719"/>
      <c r="R210" s="719"/>
      <c r="S210" s="719"/>
      <c r="T210" s="719"/>
      <c r="U210" s="719"/>
      <c r="V210" s="720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721"/>
      <c r="B211" s="721"/>
      <c r="C211" s="721"/>
      <c r="D211" s="721"/>
      <c r="E211" s="721"/>
      <c r="F211" s="721"/>
      <c r="G211" s="721"/>
      <c r="H211" s="721"/>
      <c r="I211" s="721"/>
      <c r="J211" s="721"/>
      <c r="K211" s="721"/>
      <c r="L211" s="721"/>
      <c r="M211" s="721"/>
      <c r="N211" s="721"/>
      <c r="O211" s="722"/>
      <c r="P211" s="718" t="s">
        <v>40</v>
      </c>
      <c r="Q211" s="719"/>
      <c r="R211" s="719"/>
      <c r="S211" s="719"/>
      <c r="T211" s="719"/>
      <c r="U211" s="719"/>
      <c r="V211" s="720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712" t="s">
        <v>364</v>
      </c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2"/>
      <c r="P212" s="712"/>
      <c r="Q212" s="712"/>
      <c r="R212" s="712"/>
      <c r="S212" s="712"/>
      <c r="T212" s="712"/>
      <c r="U212" s="712"/>
      <c r="V212" s="712"/>
      <c r="W212" s="712"/>
      <c r="X212" s="712"/>
      <c r="Y212" s="712"/>
      <c r="Z212" s="712"/>
      <c r="AA212" s="65"/>
      <c r="AB212" s="65"/>
      <c r="AC212" s="79"/>
    </row>
    <row r="213" spans="1:68" ht="14.25" hidden="1" customHeight="1" x14ac:dyDescent="0.25">
      <c r="A213" s="713" t="s">
        <v>164</v>
      </c>
      <c r="B213" s="713"/>
      <c r="C213" s="713"/>
      <c r="D213" s="713"/>
      <c r="E213" s="713"/>
      <c r="F213" s="713"/>
      <c r="G213" s="713"/>
      <c r="H213" s="713"/>
      <c r="I213" s="713"/>
      <c r="J213" s="713"/>
      <c r="K213" s="713"/>
      <c r="L213" s="713"/>
      <c r="M213" s="713"/>
      <c r="N213" s="713"/>
      <c r="O213" s="713"/>
      <c r="P213" s="713"/>
      <c r="Q213" s="713"/>
      <c r="R213" s="713"/>
      <c r="S213" s="713"/>
      <c r="T213" s="713"/>
      <c r="U213" s="713"/>
      <c r="V213" s="713"/>
      <c r="W213" s="713"/>
      <c r="X213" s="713"/>
      <c r="Y213" s="713"/>
      <c r="Z213" s="713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4301020323</v>
      </c>
      <c r="D214" s="714">
        <v>4680115886223</v>
      </c>
      <c r="E214" s="714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81</v>
      </c>
      <c r="L214" s="37" t="s">
        <v>46</v>
      </c>
      <c r="M214" s="38" t="s">
        <v>80</v>
      </c>
      <c r="N214" s="38"/>
      <c r="O214" s="37">
        <v>40</v>
      </c>
      <c r="P214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6"/>
      <c r="R214" s="716"/>
      <c r="S214" s="716"/>
      <c r="T214" s="717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66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1"/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2"/>
      <c r="P215" s="718" t="s">
        <v>40</v>
      </c>
      <c r="Q215" s="719"/>
      <c r="R215" s="719"/>
      <c r="S215" s="719"/>
      <c r="T215" s="719"/>
      <c r="U215" s="719"/>
      <c r="V215" s="720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1"/>
      <c r="B216" s="721"/>
      <c r="C216" s="721"/>
      <c r="D216" s="721"/>
      <c r="E216" s="721"/>
      <c r="F216" s="721"/>
      <c r="G216" s="721"/>
      <c r="H216" s="721"/>
      <c r="I216" s="721"/>
      <c r="J216" s="721"/>
      <c r="K216" s="721"/>
      <c r="L216" s="721"/>
      <c r="M216" s="721"/>
      <c r="N216" s="721"/>
      <c r="O216" s="722"/>
      <c r="P216" s="718" t="s">
        <v>40</v>
      </c>
      <c r="Q216" s="719"/>
      <c r="R216" s="719"/>
      <c r="S216" s="719"/>
      <c r="T216" s="719"/>
      <c r="U216" s="719"/>
      <c r="V216" s="720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13" t="s">
        <v>76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3"/>
      <c r="N217" s="713"/>
      <c r="O217" s="713"/>
      <c r="P217" s="713"/>
      <c r="Q217" s="713"/>
      <c r="R217" s="713"/>
      <c r="S217" s="713"/>
      <c r="T217" s="713"/>
      <c r="U217" s="713"/>
      <c r="V217" s="713"/>
      <c r="W217" s="713"/>
      <c r="X217" s="713"/>
      <c r="Y217" s="713"/>
      <c r="Z217" s="713"/>
      <c r="AA217" s="66"/>
      <c r="AB217" s="66"/>
      <c r="AC217" s="80"/>
    </row>
    <row r="218" spans="1:68" ht="27" hidden="1" customHeight="1" x14ac:dyDescent="0.25">
      <c r="A218" s="63" t="s">
        <v>368</v>
      </c>
      <c r="B218" s="63" t="s">
        <v>369</v>
      </c>
      <c r="C218" s="36">
        <v>4301031191</v>
      </c>
      <c r="D218" s="714">
        <v>4680115880993</v>
      </c>
      <c r="E218" s="714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141</v>
      </c>
      <c r="L218" s="37" t="s">
        <v>46</v>
      </c>
      <c r="M218" s="38" t="s">
        <v>80</v>
      </c>
      <c r="N218" s="38"/>
      <c r="O218" s="37">
        <v>40</v>
      </c>
      <c r="P218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6"/>
      <c r="R218" s="716"/>
      <c r="S218" s="716"/>
      <c r="T218" s="71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370</v>
      </c>
      <c r="AG218" s="78"/>
      <c r="AJ218" s="84" t="s">
        <v>46</v>
      </c>
      <c r="AK218" s="84">
        <v>0</v>
      </c>
      <c r="BB218" s="285" t="s">
        <v>66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371</v>
      </c>
      <c r="B219" s="63" t="s">
        <v>372</v>
      </c>
      <c r="C219" s="36">
        <v>4301031204</v>
      </c>
      <c r="D219" s="714">
        <v>4680115881761</v>
      </c>
      <c r="E219" s="714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141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6"/>
      <c r="R219" s="716"/>
      <c r="S219" s="716"/>
      <c r="T219" s="71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373</v>
      </c>
      <c r="AG219" s="78"/>
      <c r="AJ219" s="84" t="s">
        <v>46</v>
      </c>
      <c r="AK219" s="84">
        <v>0</v>
      </c>
      <c r="BB219" s="287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374</v>
      </c>
      <c r="B220" s="63" t="s">
        <v>375</v>
      </c>
      <c r="C220" s="36">
        <v>4301031201</v>
      </c>
      <c r="D220" s="714">
        <v>4680115881563</v>
      </c>
      <c r="E220" s="714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141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6"/>
      <c r="R220" s="716"/>
      <c r="S220" s="716"/>
      <c r="T220" s="71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374</v>
      </c>
      <c r="B221" s="63" t="s">
        <v>377</v>
      </c>
      <c r="C221" s="36">
        <v>4301031532</v>
      </c>
      <c r="D221" s="714">
        <v>4680115881563</v>
      </c>
      <c r="E221" s="714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141</v>
      </c>
      <c r="L221" s="37" t="s">
        <v>46</v>
      </c>
      <c r="M221" s="38" t="s">
        <v>80</v>
      </c>
      <c r="N221" s="38"/>
      <c r="O221" s="37">
        <v>45</v>
      </c>
      <c r="P221" s="824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716"/>
      <c r="R221" s="716"/>
      <c r="S221" s="716"/>
      <c r="T221" s="71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376</v>
      </c>
      <c r="AG221" s="78"/>
      <c r="AJ221" s="84" t="s">
        <v>46</v>
      </c>
      <c r="AK221" s="84">
        <v>0</v>
      </c>
      <c r="BB221" s="291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378</v>
      </c>
      <c r="B222" s="63" t="s">
        <v>379</v>
      </c>
      <c r="C222" s="36">
        <v>4301031447</v>
      </c>
      <c r="D222" s="714">
        <v>4680115887565</v>
      </c>
      <c r="E222" s="714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6"/>
      <c r="R222" s="716"/>
      <c r="S222" s="716"/>
      <c r="T222" s="71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380</v>
      </c>
      <c r="AG222" s="78"/>
      <c r="AJ222" s="84" t="s">
        <v>46</v>
      </c>
      <c r="AK222" s="84">
        <v>0</v>
      </c>
      <c r="BB222" s="293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381</v>
      </c>
      <c r="B223" s="63" t="s">
        <v>382</v>
      </c>
      <c r="C223" s="36">
        <v>4301031199</v>
      </c>
      <c r="D223" s="714">
        <v>4680115880986</v>
      </c>
      <c r="E223" s="714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6"/>
      <c r="R223" s="716"/>
      <c r="S223" s="716"/>
      <c r="T223" s="71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370</v>
      </c>
      <c r="AG223" s="78"/>
      <c r="AJ223" s="84" t="s">
        <v>46</v>
      </c>
      <c r="AK223" s="84">
        <v>0</v>
      </c>
      <c r="BB223" s="295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4301031443</v>
      </c>
      <c r="D224" s="714">
        <v>4680115887213</v>
      </c>
      <c r="E224" s="714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6"/>
      <c r="R224" s="716"/>
      <c r="S224" s="716"/>
      <c r="T224" s="71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385</v>
      </c>
      <c r="AG224" s="78"/>
      <c r="AJ224" s="84" t="s">
        <v>46</v>
      </c>
      <c r="AK224" s="84">
        <v>0</v>
      </c>
      <c r="BB224" s="297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386</v>
      </c>
      <c r="B225" s="63" t="s">
        <v>387</v>
      </c>
      <c r="C225" s="36">
        <v>4301031205</v>
      </c>
      <c r="D225" s="714">
        <v>4680115881785</v>
      </c>
      <c r="E225" s="714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6"/>
      <c r="R225" s="716"/>
      <c r="S225" s="716"/>
      <c r="T225" s="71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373</v>
      </c>
      <c r="AG225" s="78"/>
      <c r="AJ225" s="84" t="s">
        <v>46</v>
      </c>
      <c r="AK225" s="84">
        <v>0</v>
      </c>
      <c r="BB225" s="299" t="s">
        <v>66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4301031499</v>
      </c>
      <c r="D226" s="714">
        <v>4680115888432</v>
      </c>
      <c r="E226" s="714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6"/>
      <c r="R226" s="716"/>
      <c r="S226" s="716"/>
      <c r="T226" s="71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390</v>
      </c>
      <c r="AG226" s="78"/>
      <c r="AJ226" s="84" t="s">
        <v>46</v>
      </c>
      <c r="AK226" s="84">
        <v>0</v>
      </c>
      <c r="BB226" s="301" t="s">
        <v>66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391</v>
      </c>
      <c r="B227" s="63" t="s">
        <v>392</v>
      </c>
      <c r="C227" s="36">
        <v>4301031503</v>
      </c>
      <c r="D227" s="714">
        <v>4680115886537</v>
      </c>
      <c r="E227" s="714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6"/>
      <c r="R227" s="716"/>
      <c r="S227" s="716"/>
      <c r="T227" s="71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393</v>
      </c>
      <c r="AG227" s="78"/>
      <c r="AJ227" s="84" t="s">
        <v>46</v>
      </c>
      <c r="AK227" s="84">
        <v>0</v>
      </c>
      <c r="BB227" s="303" t="s">
        <v>66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394</v>
      </c>
      <c r="B228" s="63" t="s">
        <v>395</v>
      </c>
      <c r="C228" s="36">
        <v>4301031279</v>
      </c>
      <c r="D228" s="714">
        <v>4680115887596</v>
      </c>
      <c r="E228" s="714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138</v>
      </c>
      <c r="L228" s="37" t="s">
        <v>46</v>
      </c>
      <c r="M228" s="38" t="s">
        <v>80</v>
      </c>
      <c r="N228" s="38"/>
      <c r="O228" s="37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6"/>
      <c r="R228" s="716"/>
      <c r="S228" s="716"/>
      <c r="T228" s="71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396</v>
      </c>
      <c r="AG228" s="78"/>
      <c r="AJ228" s="84" t="s">
        <v>46</v>
      </c>
      <c r="AK228" s="84">
        <v>0</v>
      </c>
      <c r="BB228" s="305" t="s">
        <v>66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397</v>
      </c>
      <c r="B229" s="63" t="s">
        <v>398</v>
      </c>
      <c r="C229" s="36">
        <v>4301031530</v>
      </c>
      <c r="D229" s="714">
        <v>4680115881679</v>
      </c>
      <c r="E229" s="714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716"/>
      <c r="R229" s="716"/>
      <c r="S229" s="716"/>
      <c r="T229" s="71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376</v>
      </c>
      <c r="AG229" s="78"/>
      <c r="AJ229" s="84" t="s">
        <v>46</v>
      </c>
      <c r="AK229" s="84">
        <v>0</v>
      </c>
      <c r="BB229" s="307" t="s">
        <v>66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4301031531</v>
      </c>
      <c r="D230" s="714">
        <v>4680115880191</v>
      </c>
      <c r="E230" s="714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87</v>
      </c>
      <c r="L230" s="37" t="s">
        <v>46</v>
      </c>
      <c r="M230" s="38" t="s">
        <v>80</v>
      </c>
      <c r="N230" s="38"/>
      <c r="O230" s="37">
        <v>45</v>
      </c>
      <c r="P230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716"/>
      <c r="R230" s="716"/>
      <c r="S230" s="716"/>
      <c r="T230" s="71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376</v>
      </c>
      <c r="AG230" s="78"/>
      <c r="AJ230" s="84" t="s">
        <v>46</v>
      </c>
      <c r="AK230" s="84">
        <v>0</v>
      </c>
      <c r="BB230" s="309" t="s">
        <v>66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401</v>
      </c>
      <c r="B231" s="63" t="s">
        <v>402</v>
      </c>
      <c r="C231" s="36">
        <v>4301031245</v>
      </c>
      <c r="D231" s="714">
        <v>4680115883963</v>
      </c>
      <c r="E231" s="714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716"/>
      <c r="R231" s="716"/>
      <c r="S231" s="716"/>
      <c r="T231" s="71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403</v>
      </c>
      <c r="AG231" s="78"/>
      <c r="AJ231" s="84" t="s">
        <v>46</v>
      </c>
      <c r="AK231" s="84">
        <v>0</v>
      </c>
      <c r="BB231" s="311" t="s">
        <v>66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idden="1" x14ac:dyDescent="0.2">
      <c r="A232" s="721"/>
      <c r="B232" s="721"/>
      <c r="C232" s="721"/>
      <c r="D232" s="721"/>
      <c r="E232" s="721"/>
      <c r="F232" s="721"/>
      <c r="G232" s="721"/>
      <c r="H232" s="721"/>
      <c r="I232" s="721"/>
      <c r="J232" s="721"/>
      <c r="K232" s="721"/>
      <c r="L232" s="721"/>
      <c r="M232" s="721"/>
      <c r="N232" s="721"/>
      <c r="O232" s="722"/>
      <c r="P232" s="718" t="s">
        <v>40</v>
      </c>
      <c r="Q232" s="719"/>
      <c r="R232" s="719"/>
      <c r="S232" s="719"/>
      <c r="T232" s="719"/>
      <c r="U232" s="719"/>
      <c r="V232" s="720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hidden="1" x14ac:dyDescent="0.2">
      <c r="A233" s="721"/>
      <c r="B233" s="721"/>
      <c r="C233" s="721"/>
      <c r="D233" s="721"/>
      <c r="E233" s="721"/>
      <c r="F233" s="721"/>
      <c r="G233" s="721"/>
      <c r="H233" s="721"/>
      <c r="I233" s="721"/>
      <c r="J233" s="721"/>
      <c r="K233" s="721"/>
      <c r="L233" s="721"/>
      <c r="M233" s="721"/>
      <c r="N233" s="721"/>
      <c r="O233" s="722"/>
      <c r="P233" s="718" t="s">
        <v>40</v>
      </c>
      <c r="Q233" s="719"/>
      <c r="R233" s="719"/>
      <c r="S233" s="719"/>
      <c r="T233" s="719"/>
      <c r="U233" s="719"/>
      <c r="V233" s="720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hidden="1" customHeight="1" x14ac:dyDescent="0.25">
      <c r="A234" s="713" t="s">
        <v>82</v>
      </c>
      <c r="B234" s="713"/>
      <c r="C234" s="713"/>
      <c r="D234" s="713"/>
      <c r="E234" s="713"/>
      <c r="F234" s="713"/>
      <c r="G234" s="713"/>
      <c r="H234" s="713"/>
      <c r="I234" s="713"/>
      <c r="J234" s="713"/>
      <c r="K234" s="713"/>
      <c r="L234" s="713"/>
      <c r="M234" s="713"/>
      <c r="N234" s="713"/>
      <c r="O234" s="713"/>
      <c r="P234" s="713"/>
      <c r="Q234" s="713"/>
      <c r="R234" s="713"/>
      <c r="S234" s="713"/>
      <c r="T234" s="713"/>
      <c r="U234" s="713"/>
      <c r="V234" s="713"/>
      <c r="W234" s="713"/>
      <c r="X234" s="713"/>
      <c r="Y234" s="713"/>
      <c r="Z234" s="713"/>
      <c r="AA234" s="66"/>
      <c r="AB234" s="66"/>
      <c r="AC234" s="80"/>
    </row>
    <row r="235" spans="1:68" ht="16.5" hidden="1" customHeight="1" x14ac:dyDescent="0.25">
      <c r="A235" s="63" t="s">
        <v>404</v>
      </c>
      <c r="B235" s="63" t="s">
        <v>405</v>
      </c>
      <c r="C235" s="36">
        <v>4301052279</v>
      </c>
      <c r="D235" s="714">
        <v>4680115888692</v>
      </c>
      <c r="E235" s="71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134</v>
      </c>
      <c r="L235" s="37" t="s">
        <v>46</v>
      </c>
      <c r="M235" s="38" t="s">
        <v>93</v>
      </c>
      <c r="N235" s="38"/>
      <c r="O235" s="37">
        <v>40</v>
      </c>
      <c r="P235" s="83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716"/>
      <c r="R235" s="716"/>
      <c r="S235" s="716"/>
      <c r="T235" s="717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406</v>
      </c>
      <c r="AG235" s="78"/>
      <c r="AJ235" s="84" t="s">
        <v>46</v>
      </c>
      <c r="AK235" s="84">
        <v>0</v>
      </c>
      <c r="BB235" s="313" t="s">
        <v>66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407</v>
      </c>
      <c r="B236" s="63" t="s">
        <v>408</v>
      </c>
      <c r="C236" s="36">
        <v>4301052280</v>
      </c>
      <c r="D236" s="714">
        <v>4680115888722</v>
      </c>
      <c r="E236" s="71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134</v>
      </c>
      <c r="L236" s="37" t="s">
        <v>46</v>
      </c>
      <c r="M236" s="38" t="s">
        <v>93</v>
      </c>
      <c r="N236" s="38"/>
      <c r="O236" s="37">
        <v>40</v>
      </c>
      <c r="P236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410</v>
      </c>
      <c r="B237" s="63" t="s">
        <v>411</v>
      </c>
      <c r="C237" s="36">
        <v>4301052276</v>
      </c>
      <c r="D237" s="714">
        <v>4680115888951</v>
      </c>
      <c r="E237" s="71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141</v>
      </c>
      <c r="L237" s="37" t="s">
        <v>46</v>
      </c>
      <c r="M237" s="38" t="s">
        <v>93</v>
      </c>
      <c r="N237" s="38"/>
      <c r="O237" s="37">
        <v>40</v>
      </c>
      <c r="P237" s="83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406</v>
      </c>
      <c r="AG237" s="78"/>
      <c r="AJ237" s="84" t="s">
        <v>46</v>
      </c>
      <c r="AK237" s="84">
        <v>0</v>
      </c>
      <c r="BB237" s="317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412</v>
      </c>
      <c r="B238" s="63" t="s">
        <v>413</v>
      </c>
      <c r="C238" s="36">
        <v>4301052278</v>
      </c>
      <c r="D238" s="714">
        <v>4680115888975</v>
      </c>
      <c r="E238" s="714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141</v>
      </c>
      <c r="L238" s="37" t="s">
        <v>46</v>
      </c>
      <c r="M238" s="38" t="s">
        <v>93</v>
      </c>
      <c r="N238" s="38"/>
      <c r="O238" s="37">
        <v>40</v>
      </c>
      <c r="P238" s="83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716"/>
      <c r="R238" s="716"/>
      <c r="S238" s="716"/>
      <c r="T238" s="717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4301052277</v>
      </c>
      <c r="D239" s="714">
        <v>4680115888982</v>
      </c>
      <c r="E239" s="714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141</v>
      </c>
      <c r="L239" s="37" t="s">
        <v>46</v>
      </c>
      <c r="M239" s="38" t="s">
        <v>93</v>
      </c>
      <c r="N239" s="38"/>
      <c r="O239" s="37">
        <v>40</v>
      </c>
      <c r="P239" s="83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716"/>
      <c r="R239" s="716"/>
      <c r="S239" s="716"/>
      <c r="T239" s="717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409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721"/>
      <c r="B240" s="721"/>
      <c r="C240" s="721"/>
      <c r="D240" s="721"/>
      <c r="E240" s="721"/>
      <c r="F240" s="721"/>
      <c r="G240" s="721"/>
      <c r="H240" s="721"/>
      <c r="I240" s="721"/>
      <c r="J240" s="721"/>
      <c r="K240" s="721"/>
      <c r="L240" s="721"/>
      <c r="M240" s="721"/>
      <c r="N240" s="721"/>
      <c r="O240" s="722"/>
      <c r="P240" s="718" t="s">
        <v>40</v>
      </c>
      <c r="Q240" s="719"/>
      <c r="R240" s="719"/>
      <c r="S240" s="719"/>
      <c r="T240" s="719"/>
      <c r="U240" s="719"/>
      <c r="V240" s="720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21"/>
      <c r="B241" s="721"/>
      <c r="C241" s="721"/>
      <c r="D241" s="721"/>
      <c r="E241" s="721"/>
      <c r="F241" s="721"/>
      <c r="G241" s="721"/>
      <c r="H241" s="721"/>
      <c r="I241" s="721"/>
      <c r="J241" s="721"/>
      <c r="K241" s="721"/>
      <c r="L241" s="721"/>
      <c r="M241" s="721"/>
      <c r="N241" s="721"/>
      <c r="O241" s="722"/>
      <c r="P241" s="718" t="s">
        <v>40</v>
      </c>
      <c r="Q241" s="719"/>
      <c r="R241" s="719"/>
      <c r="S241" s="719"/>
      <c r="T241" s="719"/>
      <c r="U241" s="719"/>
      <c r="V241" s="720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13" t="s">
        <v>100</v>
      </c>
      <c r="B242" s="713"/>
      <c r="C242" s="713"/>
      <c r="D242" s="713"/>
      <c r="E242" s="713"/>
      <c r="F242" s="713"/>
      <c r="G242" s="713"/>
      <c r="H242" s="713"/>
      <c r="I242" s="713"/>
      <c r="J242" s="713"/>
      <c r="K242" s="713"/>
      <c r="L242" s="713"/>
      <c r="M242" s="713"/>
      <c r="N242" s="713"/>
      <c r="O242" s="713"/>
      <c r="P242" s="713"/>
      <c r="Q242" s="713"/>
      <c r="R242" s="713"/>
      <c r="S242" s="713"/>
      <c r="T242" s="713"/>
      <c r="U242" s="713"/>
      <c r="V242" s="713"/>
      <c r="W242" s="713"/>
      <c r="X242" s="713"/>
      <c r="Y242" s="713"/>
      <c r="Z242" s="713"/>
      <c r="AA242" s="66"/>
      <c r="AB242" s="66"/>
      <c r="AC242" s="80"/>
    </row>
    <row r="243" spans="1:68" ht="27" hidden="1" customHeight="1" x14ac:dyDescent="0.25">
      <c r="A243" s="63" t="s">
        <v>417</v>
      </c>
      <c r="B243" s="63" t="s">
        <v>418</v>
      </c>
      <c r="C243" s="36">
        <v>4301032053</v>
      </c>
      <c r="D243" s="714">
        <v>4680115886780</v>
      </c>
      <c r="E243" s="714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337</v>
      </c>
      <c r="L243" s="37" t="s">
        <v>46</v>
      </c>
      <c r="M243" s="38" t="s">
        <v>106</v>
      </c>
      <c r="N243" s="38"/>
      <c r="O243" s="37">
        <v>60</v>
      </c>
      <c r="P243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716"/>
      <c r="R243" s="716"/>
      <c r="S243" s="716"/>
      <c r="T243" s="717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419</v>
      </c>
      <c r="AG243" s="78"/>
      <c r="AJ243" s="84" t="s">
        <v>46</v>
      </c>
      <c r="AK243" s="84">
        <v>0</v>
      </c>
      <c r="BB243" s="323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420</v>
      </c>
      <c r="B244" s="63" t="s">
        <v>421</v>
      </c>
      <c r="C244" s="36">
        <v>4301032051</v>
      </c>
      <c r="D244" s="714">
        <v>4680115886742</v>
      </c>
      <c r="E244" s="714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337</v>
      </c>
      <c r="L244" s="37" t="s">
        <v>46</v>
      </c>
      <c r="M244" s="38" t="s">
        <v>106</v>
      </c>
      <c r="N244" s="38"/>
      <c r="O244" s="37">
        <v>90</v>
      </c>
      <c r="P244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716"/>
      <c r="R244" s="716"/>
      <c r="S244" s="716"/>
      <c r="T244" s="717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422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423</v>
      </c>
      <c r="B245" s="63" t="s">
        <v>424</v>
      </c>
      <c r="C245" s="36">
        <v>4301032052</v>
      </c>
      <c r="D245" s="714">
        <v>4680115886766</v>
      </c>
      <c r="E245" s="71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337</v>
      </c>
      <c r="L245" s="37" t="s">
        <v>46</v>
      </c>
      <c r="M245" s="38" t="s">
        <v>106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716"/>
      <c r="R245" s="716"/>
      <c r="S245" s="716"/>
      <c r="T245" s="71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422</v>
      </c>
      <c r="AG245" s="78"/>
      <c r="AJ245" s="84" t="s">
        <v>46</v>
      </c>
      <c r="AK245" s="84">
        <v>0</v>
      </c>
      <c r="BB245" s="32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721"/>
      <c r="B246" s="721"/>
      <c r="C246" s="721"/>
      <c r="D246" s="721"/>
      <c r="E246" s="721"/>
      <c r="F246" s="721"/>
      <c r="G246" s="721"/>
      <c r="H246" s="721"/>
      <c r="I246" s="721"/>
      <c r="J246" s="721"/>
      <c r="K246" s="721"/>
      <c r="L246" s="721"/>
      <c r="M246" s="721"/>
      <c r="N246" s="721"/>
      <c r="O246" s="722"/>
      <c r="P246" s="718" t="s">
        <v>40</v>
      </c>
      <c r="Q246" s="719"/>
      <c r="R246" s="719"/>
      <c r="S246" s="719"/>
      <c r="T246" s="719"/>
      <c r="U246" s="719"/>
      <c r="V246" s="720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721"/>
      <c r="B247" s="721"/>
      <c r="C247" s="721"/>
      <c r="D247" s="721"/>
      <c r="E247" s="721"/>
      <c r="F247" s="721"/>
      <c r="G247" s="721"/>
      <c r="H247" s="721"/>
      <c r="I247" s="721"/>
      <c r="J247" s="721"/>
      <c r="K247" s="721"/>
      <c r="L247" s="721"/>
      <c r="M247" s="721"/>
      <c r="N247" s="721"/>
      <c r="O247" s="722"/>
      <c r="P247" s="718" t="s">
        <v>40</v>
      </c>
      <c r="Q247" s="719"/>
      <c r="R247" s="719"/>
      <c r="S247" s="719"/>
      <c r="T247" s="719"/>
      <c r="U247" s="719"/>
      <c r="V247" s="720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713" t="s">
        <v>425</v>
      </c>
      <c r="B248" s="713"/>
      <c r="C248" s="713"/>
      <c r="D248" s="713"/>
      <c r="E248" s="713"/>
      <c r="F248" s="713"/>
      <c r="G248" s="713"/>
      <c r="H248" s="713"/>
      <c r="I248" s="713"/>
      <c r="J248" s="713"/>
      <c r="K248" s="713"/>
      <c r="L248" s="713"/>
      <c r="M248" s="713"/>
      <c r="N248" s="713"/>
      <c r="O248" s="713"/>
      <c r="P248" s="713"/>
      <c r="Q248" s="713"/>
      <c r="R248" s="713"/>
      <c r="S248" s="713"/>
      <c r="T248" s="713"/>
      <c r="U248" s="713"/>
      <c r="V248" s="713"/>
      <c r="W248" s="713"/>
      <c r="X248" s="713"/>
      <c r="Y248" s="713"/>
      <c r="Z248" s="713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4301170013</v>
      </c>
      <c r="D249" s="714">
        <v>4680115886797</v>
      </c>
      <c r="E249" s="714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337</v>
      </c>
      <c r="L249" s="37" t="s">
        <v>46</v>
      </c>
      <c r="M249" s="38" t="s">
        <v>106</v>
      </c>
      <c r="N249" s="38"/>
      <c r="O249" s="37">
        <v>90</v>
      </c>
      <c r="P249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716"/>
      <c r="R249" s="716"/>
      <c r="S249" s="716"/>
      <c r="T249" s="71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422</v>
      </c>
      <c r="AG249" s="78"/>
      <c r="AJ249" s="84" t="s">
        <v>46</v>
      </c>
      <c r="AK249" s="84">
        <v>0</v>
      </c>
      <c r="BB249" s="329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721"/>
      <c r="B250" s="721"/>
      <c r="C250" s="721"/>
      <c r="D250" s="721"/>
      <c r="E250" s="721"/>
      <c r="F250" s="721"/>
      <c r="G250" s="721"/>
      <c r="H250" s="721"/>
      <c r="I250" s="721"/>
      <c r="J250" s="721"/>
      <c r="K250" s="721"/>
      <c r="L250" s="721"/>
      <c r="M250" s="721"/>
      <c r="N250" s="721"/>
      <c r="O250" s="722"/>
      <c r="P250" s="718" t="s">
        <v>40</v>
      </c>
      <c r="Q250" s="719"/>
      <c r="R250" s="719"/>
      <c r="S250" s="719"/>
      <c r="T250" s="719"/>
      <c r="U250" s="719"/>
      <c r="V250" s="720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721"/>
      <c r="B251" s="721"/>
      <c r="C251" s="721"/>
      <c r="D251" s="721"/>
      <c r="E251" s="721"/>
      <c r="F251" s="721"/>
      <c r="G251" s="721"/>
      <c r="H251" s="721"/>
      <c r="I251" s="721"/>
      <c r="J251" s="721"/>
      <c r="K251" s="721"/>
      <c r="L251" s="721"/>
      <c r="M251" s="721"/>
      <c r="N251" s="721"/>
      <c r="O251" s="722"/>
      <c r="P251" s="718" t="s">
        <v>40</v>
      </c>
      <c r="Q251" s="719"/>
      <c r="R251" s="719"/>
      <c r="S251" s="719"/>
      <c r="T251" s="719"/>
      <c r="U251" s="719"/>
      <c r="V251" s="720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712" t="s">
        <v>428</v>
      </c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2"/>
      <c r="P252" s="712"/>
      <c r="Q252" s="712"/>
      <c r="R252" s="712"/>
      <c r="S252" s="712"/>
      <c r="T252" s="712"/>
      <c r="U252" s="712"/>
      <c r="V252" s="712"/>
      <c r="W252" s="712"/>
      <c r="X252" s="712"/>
      <c r="Y252" s="712"/>
      <c r="Z252" s="712"/>
      <c r="AA252" s="65"/>
      <c r="AB252" s="65"/>
      <c r="AC252" s="79"/>
    </row>
    <row r="253" spans="1:68" ht="14.25" hidden="1" customHeight="1" x14ac:dyDescent="0.25">
      <c r="A253" s="713" t="s">
        <v>129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6"/>
      <c r="AB253" s="66"/>
      <c r="AC253" s="80"/>
    </row>
    <row r="254" spans="1:68" ht="27" hidden="1" customHeight="1" x14ac:dyDescent="0.25">
      <c r="A254" s="63" t="s">
        <v>429</v>
      </c>
      <c r="B254" s="63" t="s">
        <v>430</v>
      </c>
      <c r="C254" s="36">
        <v>4301011450</v>
      </c>
      <c r="D254" s="714">
        <v>4680115881402</v>
      </c>
      <c r="E254" s="714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55</v>
      </c>
      <c r="P254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716"/>
      <c r="R254" s="716"/>
      <c r="S254" s="716"/>
      <c r="T254" s="717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432</v>
      </c>
      <c r="B255" s="63" t="s">
        <v>433</v>
      </c>
      <c r="C255" s="36">
        <v>4301011768</v>
      </c>
      <c r="D255" s="714">
        <v>4680115881396</v>
      </c>
      <c r="E255" s="714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87</v>
      </c>
      <c r="L255" s="37" t="s">
        <v>46</v>
      </c>
      <c r="M255" s="38" t="s">
        <v>133</v>
      </c>
      <c r="N255" s="38"/>
      <c r="O255" s="37">
        <v>55</v>
      </c>
      <c r="P255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716"/>
      <c r="R255" s="716"/>
      <c r="S255" s="716"/>
      <c r="T255" s="71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21"/>
      <c r="B256" s="721"/>
      <c r="C256" s="721"/>
      <c r="D256" s="721"/>
      <c r="E256" s="721"/>
      <c r="F256" s="721"/>
      <c r="G256" s="721"/>
      <c r="H256" s="721"/>
      <c r="I256" s="721"/>
      <c r="J256" s="721"/>
      <c r="K256" s="721"/>
      <c r="L256" s="721"/>
      <c r="M256" s="721"/>
      <c r="N256" s="721"/>
      <c r="O256" s="722"/>
      <c r="P256" s="718" t="s">
        <v>40</v>
      </c>
      <c r="Q256" s="719"/>
      <c r="R256" s="719"/>
      <c r="S256" s="719"/>
      <c r="T256" s="719"/>
      <c r="U256" s="719"/>
      <c r="V256" s="720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21"/>
      <c r="B257" s="721"/>
      <c r="C257" s="721"/>
      <c r="D257" s="721"/>
      <c r="E257" s="721"/>
      <c r="F257" s="721"/>
      <c r="G257" s="721"/>
      <c r="H257" s="721"/>
      <c r="I257" s="721"/>
      <c r="J257" s="721"/>
      <c r="K257" s="721"/>
      <c r="L257" s="721"/>
      <c r="M257" s="721"/>
      <c r="N257" s="721"/>
      <c r="O257" s="722"/>
      <c r="P257" s="718" t="s">
        <v>40</v>
      </c>
      <c r="Q257" s="719"/>
      <c r="R257" s="719"/>
      <c r="S257" s="719"/>
      <c r="T257" s="719"/>
      <c r="U257" s="719"/>
      <c r="V257" s="720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713" t="s">
        <v>164</v>
      </c>
      <c r="B258" s="713"/>
      <c r="C258" s="713"/>
      <c r="D258" s="713"/>
      <c r="E258" s="713"/>
      <c r="F258" s="713"/>
      <c r="G258" s="713"/>
      <c r="H258" s="713"/>
      <c r="I258" s="713"/>
      <c r="J258" s="713"/>
      <c r="K258" s="713"/>
      <c r="L258" s="713"/>
      <c r="M258" s="713"/>
      <c r="N258" s="713"/>
      <c r="O258" s="713"/>
      <c r="P258" s="713"/>
      <c r="Q258" s="713"/>
      <c r="R258" s="713"/>
      <c r="S258" s="713"/>
      <c r="T258" s="713"/>
      <c r="U258" s="713"/>
      <c r="V258" s="713"/>
      <c r="W258" s="713"/>
      <c r="X258" s="713"/>
      <c r="Y258" s="713"/>
      <c r="Z258" s="713"/>
      <c r="AA258" s="66"/>
      <c r="AB258" s="66"/>
      <c r="AC258" s="80"/>
    </row>
    <row r="259" spans="1:68" ht="16.5" hidden="1" customHeight="1" x14ac:dyDescent="0.25">
      <c r="A259" s="63" t="s">
        <v>434</v>
      </c>
      <c r="B259" s="63" t="s">
        <v>435</v>
      </c>
      <c r="C259" s="36">
        <v>4301020261</v>
      </c>
      <c r="D259" s="714">
        <v>4680115882935</v>
      </c>
      <c r="E259" s="714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134</v>
      </c>
      <c r="L259" s="37" t="s">
        <v>46</v>
      </c>
      <c r="M259" s="38" t="s">
        <v>133</v>
      </c>
      <c r="N259" s="38"/>
      <c r="O259" s="37">
        <v>50</v>
      </c>
      <c r="P259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716"/>
      <c r="R259" s="716"/>
      <c r="S259" s="716"/>
      <c r="T259" s="717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437</v>
      </c>
      <c r="B260" s="63" t="s">
        <v>438</v>
      </c>
      <c r="C260" s="36">
        <v>4301020220</v>
      </c>
      <c r="D260" s="714">
        <v>4680115880764</v>
      </c>
      <c r="E260" s="714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87</v>
      </c>
      <c r="L260" s="37" t="s">
        <v>46</v>
      </c>
      <c r="M260" s="38" t="s">
        <v>133</v>
      </c>
      <c r="N260" s="38"/>
      <c r="O260" s="37">
        <v>50</v>
      </c>
      <c r="P260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716"/>
      <c r="R260" s="716"/>
      <c r="S260" s="716"/>
      <c r="T260" s="717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436</v>
      </c>
      <c r="AG260" s="78"/>
      <c r="AJ260" s="84" t="s">
        <v>46</v>
      </c>
      <c r="AK260" s="84">
        <v>0</v>
      </c>
      <c r="BB260" s="337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1"/>
      <c r="B261" s="721"/>
      <c r="C261" s="721"/>
      <c r="D261" s="721"/>
      <c r="E261" s="721"/>
      <c r="F261" s="721"/>
      <c r="G261" s="721"/>
      <c r="H261" s="721"/>
      <c r="I261" s="721"/>
      <c r="J261" s="721"/>
      <c r="K261" s="721"/>
      <c r="L261" s="721"/>
      <c r="M261" s="721"/>
      <c r="N261" s="721"/>
      <c r="O261" s="722"/>
      <c r="P261" s="718" t="s">
        <v>40</v>
      </c>
      <c r="Q261" s="719"/>
      <c r="R261" s="719"/>
      <c r="S261" s="719"/>
      <c r="T261" s="719"/>
      <c r="U261" s="719"/>
      <c r="V261" s="720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1"/>
      <c r="B262" s="721"/>
      <c r="C262" s="721"/>
      <c r="D262" s="721"/>
      <c r="E262" s="721"/>
      <c r="F262" s="721"/>
      <c r="G262" s="721"/>
      <c r="H262" s="721"/>
      <c r="I262" s="721"/>
      <c r="J262" s="721"/>
      <c r="K262" s="721"/>
      <c r="L262" s="721"/>
      <c r="M262" s="721"/>
      <c r="N262" s="721"/>
      <c r="O262" s="722"/>
      <c r="P262" s="718" t="s">
        <v>40</v>
      </c>
      <c r="Q262" s="719"/>
      <c r="R262" s="719"/>
      <c r="S262" s="719"/>
      <c r="T262" s="719"/>
      <c r="U262" s="719"/>
      <c r="V262" s="720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13" t="s">
        <v>76</v>
      </c>
      <c r="B263" s="713"/>
      <c r="C263" s="713"/>
      <c r="D263" s="713"/>
      <c r="E263" s="713"/>
      <c r="F263" s="713"/>
      <c r="G263" s="713"/>
      <c r="H263" s="713"/>
      <c r="I263" s="713"/>
      <c r="J263" s="713"/>
      <c r="K263" s="713"/>
      <c r="L263" s="713"/>
      <c r="M263" s="713"/>
      <c r="N263" s="713"/>
      <c r="O263" s="713"/>
      <c r="P263" s="713"/>
      <c r="Q263" s="713"/>
      <c r="R263" s="713"/>
      <c r="S263" s="713"/>
      <c r="T263" s="713"/>
      <c r="U263" s="713"/>
      <c r="V263" s="713"/>
      <c r="W263" s="713"/>
      <c r="X263" s="713"/>
      <c r="Y263" s="713"/>
      <c r="Z263" s="713"/>
      <c r="AA263" s="66"/>
      <c r="AB263" s="66"/>
      <c r="AC263" s="80"/>
    </row>
    <row r="264" spans="1:68" ht="27" hidden="1" customHeight="1" x14ac:dyDescent="0.25">
      <c r="A264" s="63" t="s">
        <v>439</v>
      </c>
      <c r="B264" s="63" t="s">
        <v>440</v>
      </c>
      <c r="C264" s="36">
        <v>4301031224</v>
      </c>
      <c r="D264" s="714">
        <v>4680115882683</v>
      </c>
      <c r="E264" s="714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141</v>
      </c>
      <c r="L264" s="37" t="s">
        <v>46</v>
      </c>
      <c r="M264" s="38" t="s">
        <v>80</v>
      </c>
      <c r="N264" s="38"/>
      <c r="O264" s="37">
        <v>40</v>
      </c>
      <c r="P264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716"/>
      <c r="R264" s="716"/>
      <c r="S264" s="716"/>
      <c r="T264" s="717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441</v>
      </c>
      <c r="AG264" s="78"/>
      <c r="AJ264" s="84" t="s">
        <v>46</v>
      </c>
      <c r="AK264" s="84">
        <v>0</v>
      </c>
      <c r="BB264" s="339" t="s">
        <v>66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hidden="1" customHeight="1" x14ac:dyDescent="0.25">
      <c r="A265" s="63" t="s">
        <v>442</v>
      </c>
      <c r="B265" s="63" t="s">
        <v>443</v>
      </c>
      <c r="C265" s="36">
        <v>4301031230</v>
      </c>
      <c r="D265" s="714">
        <v>4680115882690</v>
      </c>
      <c r="E265" s="714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141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716"/>
      <c r="R265" s="716"/>
      <c r="S265" s="716"/>
      <c r="T265" s="717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444</v>
      </c>
      <c r="AG265" s="78"/>
      <c r="AJ265" s="84" t="s">
        <v>46</v>
      </c>
      <c r="AK265" s="84">
        <v>0</v>
      </c>
      <c r="BB265" s="341" t="s">
        <v>66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445</v>
      </c>
      <c r="B266" s="63" t="s">
        <v>446</v>
      </c>
      <c r="C266" s="36">
        <v>4301031220</v>
      </c>
      <c r="D266" s="714">
        <v>4680115882669</v>
      </c>
      <c r="E266" s="71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141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716"/>
      <c r="R266" s="716"/>
      <c r="S266" s="716"/>
      <c r="T266" s="71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447</v>
      </c>
      <c r="AG266" s="78"/>
      <c r="AJ266" s="84" t="s">
        <v>46</v>
      </c>
      <c r="AK266" s="84">
        <v>0</v>
      </c>
      <c r="BB266" s="343" t="s">
        <v>66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448</v>
      </c>
      <c r="B267" s="63" t="s">
        <v>449</v>
      </c>
      <c r="C267" s="36">
        <v>4301031221</v>
      </c>
      <c r="D267" s="714">
        <v>4680115882676</v>
      </c>
      <c r="E267" s="71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141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716"/>
      <c r="R267" s="716"/>
      <c r="S267" s="716"/>
      <c r="T267" s="71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450</v>
      </c>
      <c r="AG267" s="78"/>
      <c r="AJ267" s="84" t="s">
        <v>46</v>
      </c>
      <c r="AK267" s="84">
        <v>0</v>
      </c>
      <c r="BB267" s="345" t="s">
        <v>66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4301031223</v>
      </c>
      <c r="D268" s="714">
        <v>4680115884014</v>
      </c>
      <c r="E268" s="714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81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716"/>
      <c r="R268" s="716"/>
      <c r="S268" s="716"/>
      <c r="T268" s="71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441</v>
      </c>
      <c r="AG268" s="78"/>
      <c r="AJ268" s="84" t="s">
        <v>46</v>
      </c>
      <c r="AK268" s="84">
        <v>0</v>
      </c>
      <c r="BB268" s="347" t="s">
        <v>66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453</v>
      </c>
      <c r="B269" s="63" t="s">
        <v>454</v>
      </c>
      <c r="C269" s="36">
        <v>4301031222</v>
      </c>
      <c r="D269" s="714">
        <v>4680115884007</v>
      </c>
      <c r="E269" s="714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716"/>
      <c r="R269" s="716"/>
      <c r="S269" s="716"/>
      <c r="T269" s="71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444</v>
      </c>
      <c r="AG269" s="78"/>
      <c r="AJ269" s="84" t="s">
        <v>46</v>
      </c>
      <c r="AK269" s="84">
        <v>0</v>
      </c>
      <c r="BB269" s="349" t="s">
        <v>66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455</v>
      </c>
      <c r="B270" s="63" t="s">
        <v>456</v>
      </c>
      <c r="C270" s="36">
        <v>4301031229</v>
      </c>
      <c r="D270" s="714">
        <v>4680115884038</v>
      </c>
      <c r="E270" s="714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716"/>
      <c r="R270" s="716"/>
      <c r="S270" s="716"/>
      <c r="T270" s="71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447</v>
      </c>
      <c r="AG270" s="78"/>
      <c r="AJ270" s="84" t="s">
        <v>46</v>
      </c>
      <c r="AK270" s="84">
        <v>0</v>
      </c>
      <c r="BB270" s="351" t="s">
        <v>66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4301031225</v>
      </c>
      <c r="D271" s="714">
        <v>4680115884021</v>
      </c>
      <c r="E271" s="71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716"/>
      <c r="R271" s="716"/>
      <c r="S271" s="716"/>
      <c r="T271" s="71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450</v>
      </c>
      <c r="AG271" s="78"/>
      <c r="AJ271" s="84" t="s">
        <v>46</v>
      </c>
      <c r="AK271" s="84">
        <v>0</v>
      </c>
      <c r="BB271" s="353" t="s">
        <v>66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idden="1" x14ac:dyDescent="0.2">
      <c r="A272" s="721"/>
      <c r="B272" s="721"/>
      <c r="C272" s="721"/>
      <c r="D272" s="721"/>
      <c r="E272" s="721"/>
      <c r="F272" s="721"/>
      <c r="G272" s="721"/>
      <c r="H272" s="721"/>
      <c r="I272" s="721"/>
      <c r="J272" s="721"/>
      <c r="K272" s="721"/>
      <c r="L272" s="721"/>
      <c r="M272" s="721"/>
      <c r="N272" s="721"/>
      <c r="O272" s="722"/>
      <c r="P272" s="718" t="s">
        <v>40</v>
      </c>
      <c r="Q272" s="719"/>
      <c r="R272" s="719"/>
      <c r="S272" s="719"/>
      <c r="T272" s="719"/>
      <c r="U272" s="719"/>
      <c r="V272" s="720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hidden="1" x14ac:dyDescent="0.2">
      <c r="A273" s="721"/>
      <c r="B273" s="721"/>
      <c r="C273" s="721"/>
      <c r="D273" s="721"/>
      <c r="E273" s="721"/>
      <c r="F273" s="721"/>
      <c r="G273" s="721"/>
      <c r="H273" s="721"/>
      <c r="I273" s="721"/>
      <c r="J273" s="721"/>
      <c r="K273" s="721"/>
      <c r="L273" s="721"/>
      <c r="M273" s="721"/>
      <c r="N273" s="721"/>
      <c r="O273" s="722"/>
      <c r="P273" s="718" t="s">
        <v>40</v>
      </c>
      <c r="Q273" s="719"/>
      <c r="R273" s="719"/>
      <c r="S273" s="719"/>
      <c r="T273" s="719"/>
      <c r="U273" s="719"/>
      <c r="V273" s="720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hidden="1" customHeight="1" x14ac:dyDescent="0.25">
      <c r="A274" s="713" t="s">
        <v>82</v>
      </c>
      <c r="B274" s="713"/>
      <c r="C274" s="713"/>
      <c r="D274" s="713"/>
      <c r="E274" s="713"/>
      <c r="F274" s="713"/>
      <c r="G274" s="713"/>
      <c r="H274" s="713"/>
      <c r="I274" s="713"/>
      <c r="J274" s="713"/>
      <c r="K274" s="713"/>
      <c r="L274" s="713"/>
      <c r="M274" s="713"/>
      <c r="N274" s="713"/>
      <c r="O274" s="713"/>
      <c r="P274" s="713"/>
      <c r="Q274" s="713"/>
      <c r="R274" s="713"/>
      <c r="S274" s="713"/>
      <c r="T274" s="713"/>
      <c r="U274" s="713"/>
      <c r="V274" s="713"/>
      <c r="W274" s="713"/>
      <c r="X274" s="713"/>
      <c r="Y274" s="713"/>
      <c r="Z274" s="713"/>
      <c r="AA274" s="66"/>
      <c r="AB274" s="66"/>
      <c r="AC274" s="80"/>
    </row>
    <row r="275" spans="1:68" ht="27" hidden="1" customHeight="1" x14ac:dyDescent="0.25">
      <c r="A275" s="63" t="s">
        <v>459</v>
      </c>
      <c r="B275" s="63" t="s">
        <v>460</v>
      </c>
      <c r="C275" s="36">
        <v>4301051408</v>
      </c>
      <c r="D275" s="714">
        <v>4680115881594</v>
      </c>
      <c r="E275" s="714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134</v>
      </c>
      <c r="L275" s="37" t="s">
        <v>46</v>
      </c>
      <c r="M275" s="38" t="s">
        <v>86</v>
      </c>
      <c r="N275" s="38"/>
      <c r="O275" s="37">
        <v>40</v>
      </c>
      <c r="P275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716"/>
      <c r="R275" s="716"/>
      <c r="S275" s="716"/>
      <c r="T275" s="717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461</v>
      </c>
      <c r="AG275" s="78"/>
      <c r="AJ275" s="84" t="s">
        <v>46</v>
      </c>
      <c r="AK275" s="84">
        <v>0</v>
      </c>
      <c r="BB275" s="355" t="s">
        <v>66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462</v>
      </c>
      <c r="B276" s="63" t="s">
        <v>463</v>
      </c>
      <c r="C276" s="36">
        <v>4301051411</v>
      </c>
      <c r="D276" s="714">
        <v>4680115881617</v>
      </c>
      <c r="E276" s="714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134</v>
      </c>
      <c r="L276" s="37" t="s">
        <v>46</v>
      </c>
      <c r="M276" s="38" t="s">
        <v>86</v>
      </c>
      <c r="N276" s="38"/>
      <c r="O276" s="37">
        <v>40</v>
      </c>
      <c r="P276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716"/>
      <c r="R276" s="716"/>
      <c r="S276" s="716"/>
      <c r="T276" s="71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464</v>
      </c>
      <c r="AG276" s="78"/>
      <c r="AJ276" s="84" t="s">
        <v>46</v>
      </c>
      <c r="AK276" s="84">
        <v>0</v>
      </c>
      <c r="BB276" s="357" t="s">
        <v>66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465</v>
      </c>
      <c r="B277" s="63" t="s">
        <v>466</v>
      </c>
      <c r="C277" s="36">
        <v>4301051656</v>
      </c>
      <c r="D277" s="714">
        <v>4680115880573</v>
      </c>
      <c r="E277" s="714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134</v>
      </c>
      <c r="L277" s="37" t="s">
        <v>46</v>
      </c>
      <c r="M277" s="38" t="s">
        <v>86</v>
      </c>
      <c r="N277" s="38"/>
      <c r="O277" s="37">
        <v>45</v>
      </c>
      <c r="P277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716"/>
      <c r="R277" s="716"/>
      <c r="S277" s="716"/>
      <c r="T277" s="71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467</v>
      </c>
      <c r="AG277" s="78"/>
      <c r="AJ277" s="84" t="s">
        <v>46</v>
      </c>
      <c r="AK277" s="84">
        <v>0</v>
      </c>
      <c r="BB277" s="359" t="s">
        <v>66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468</v>
      </c>
      <c r="B278" s="63" t="s">
        <v>469</v>
      </c>
      <c r="C278" s="36">
        <v>4301051407</v>
      </c>
      <c r="D278" s="714">
        <v>4680115882195</v>
      </c>
      <c r="E278" s="714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87</v>
      </c>
      <c r="L278" s="37" t="s">
        <v>46</v>
      </c>
      <c r="M278" s="38" t="s">
        <v>86</v>
      </c>
      <c r="N278" s="38"/>
      <c r="O278" s="37">
        <v>40</v>
      </c>
      <c r="P278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716"/>
      <c r="R278" s="716"/>
      <c r="S278" s="716"/>
      <c r="T278" s="71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461</v>
      </c>
      <c r="AG278" s="78"/>
      <c r="AJ278" s="84" t="s">
        <v>46</v>
      </c>
      <c r="AK278" s="84">
        <v>0</v>
      </c>
      <c r="BB278" s="361" t="s">
        <v>66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470</v>
      </c>
      <c r="B279" s="63" t="s">
        <v>471</v>
      </c>
      <c r="C279" s="36">
        <v>4301051752</v>
      </c>
      <c r="D279" s="714">
        <v>4680115882607</v>
      </c>
      <c r="E279" s="714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87</v>
      </c>
      <c r="L279" s="37" t="s">
        <v>46</v>
      </c>
      <c r="M279" s="38" t="s">
        <v>93</v>
      </c>
      <c r="N279" s="38"/>
      <c r="O279" s="37">
        <v>45</v>
      </c>
      <c r="P279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716"/>
      <c r="R279" s="716"/>
      <c r="S279" s="716"/>
      <c r="T279" s="71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66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472</v>
      </c>
      <c r="B280" s="63" t="s">
        <v>473</v>
      </c>
      <c r="C280" s="36">
        <v>4301051666</v>
      </c>
      <c r="D280" s="714">
        <v>4680115880092</v>
      </c>
      <c r="E280" s="714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87</v>
      </c>
      <c r="L280" s="37" t="s">
        <v>46</v>
      </c>
      <c r="M280" s="38" t="s">
        <v>86</v>
      </c>
      <c r="N280" s="38"/>
      <c r="O280" s="37">
        <v>45</v>
      </c>
      <c r="P280" s="8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716"/>
      <c r="R280" s="716"/>
      <c r="S280" s="716"/>
      <c r="T280" s="71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467</v>
      </c>
      <c r="AG280" s="78"/>
      <c r="AJ280" s="84" t="s">
        <v>46</v>
      </c>
      <c r="AK280" s="84">
        <v>0</v>
      </c>
      <c r="BB280" s="365" t="s">
        <v>66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4301052214</v>
      </c>
      <c r="D281" s="714">
        <v>4680115889064</v>
      </c>
      <c r="E281" s="714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134</v>
      </c>
      <c r="L281" s="37" t="s">
        <v>46</v>
      </c>
      <c r="M281" s="38" t="s">
        <v>86</v>
      </c>
      <c r="N281" s="38"/>
      <c r="O281" s="37">
        <v>45</v>
      </c>
      <c r="P281" s="8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716"/>
      <c r="R281" s="716"/>
      <c r="S281" s="716"/>
      <c r="T281" s="71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476</v>
      </c>
      <c r="AG281" s="78"/>
      <c r="AJ281" s="84" t="s">
        <v>46</v>
      </c>
      <c r="AK281" s="84">
        <v>0</v>
      </c>
      <c r="BB281" s="367" t="s">
        <v>66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4301051668</v>
      </c>
      <c r="D282" s="714">
        <v>4680115880221</v>
      </c>
      <c r="E282" s="714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87</v>
      </c>
      <c r="L282" s="37" t="s">
        <v>46</v>
      </c>
      <c r="M282" s="38" t="s">
        <v>86</v>
      </c>
      <c r="N282" s="38"/>
      <c r="O282" s="37">
        <v>45</v>
      </c>
      <c r="P282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716"/>
      <c r="R282" s="716"/>
      <c r="S282" s="716"/>
      <c r="T282" s="71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66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479</v>
      </c>
      <c r="B283" s="63" t="s">
        <v>480</v>
      </c>
      <c r="C283" s="36">
        <v>4301051945</v>
      </c>
      <c r="D283" s="714">
        <v>4680115880504</v>
      </c>
      <c r="E283" s="71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87</v>
      </c>
      <c r="L283" s="37" t="s">
        <v>46</v>
      </c>
      <c r="M283" s="38" t="s">
        <v>93</v>
      </c>
      <c r="N283" s="38"/>
      <c r="O283" s="37">
        <v>40</v>
      </c>
      <c r="P283" s="8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716"/>
      <c r="R283" s="716"/>
      <c r="S283" s="716"/>
      <c r="T283" s="71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481</v>
      </c>
      <c r="AG283" s="78"/>
      <c r="AJ283" s="84" t="s">
        <v>46</v>
      </c>
      <c r="AK283" s="84">
        <v>0</v>
      </c>
      <c r="BB283" s="371" t="s">
        <v>66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4301051410</v>
      </c>
      <c r="D284" s="714">
        <v>4680115882164</v>
      </c>
      <c r="E284" s="714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87</v>
      </c>
      <c r="L284" s="37" t="s">
        <v>46</v>
      </c>
      <c r="M284" s="38" t="s">
        <v>86</v>
      </c>
      <c r="N284" s="38"/>
      <c r="O284" s="37">
        <v>40</v>
      </c>
      <c r="P284" s="86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716"/>
      <c r="R284" s="716"/>
      <c r="S284" s="716"/>
      <c r="T284" s="71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484</v>
      </c>
      <c r="AG284" s="78"/>
      <c r="AJ284" s="84" t="s">
        <v>46</v>
      </c>
      <c r="AK284" s="84">
        <v>0</v>
      </c>
      <c r="BB284" s="373" t="s">
        <v>66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4301052180</v>
      </c>
      <c r="D285" s="714">
        <v>4680115888340</v>
      </c>
      <c r="E285" s="71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87</v>
      </c>
      <c r="L285" s="37" t="s">
        <v>46</v>
      </c>
      <c r="M285" s="38" t="s">
        <v>86</v>
      </c>
      <c r="N285" s="38"/>
      <c r="O285" s="37">
        <v>45</v>
      </c>
      <c r="P285" s="86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716"/>
      <c r="R285" s="716"/>
      <c r="S285" s="716"/>
      <c r="T285" s="71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66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idden="1" x14ac:dyDescent="0.2">
      <c r="A286" s="721"/>
      <c r="B286" s="721"/>
      <c r="C286" s="721"/>
      <c r="D286" s="721"/>
      <c r="E286" s="721"/>
      <c r="F286" s="721"/>
      <c r="G286" s="721"/>
      <c r="H286" s="721"/>
      <c r="I286" s="721"/>
      <c r="J286" s="721"/>
      <c r="K286" s="721"/>
      <c r="L286" s="721"/>
      <c r="M286" s="721"/>
      <c r="N286" s="721"/>
      <c r="O286" s="722"/>
      <c r="P286" s="718" t="s">
        <v>40</v>
      </c>
      <c r="Q286" s="719"/>
      <c r="R286" s="719"/>
      <c r="S286" s="719"/>
      <c r="T286" s="719"/>
      <c r="U286" s="719"/>
      <c r="V286" s="720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721"/>
      <c r="B287" s="721"/>
      <c r="C287" s="721"/>
      <c r="D287" s="721"/>
      <c r="E287" s="721"/>
      <c r="F287" s="721"/>
      <c r="G287" s="721"/>
      <c r="H287" s="721"/>
      <c r="I287" s="721"/>
      <c r="J287" s="721"/>
      <c r="K287" s="721"/>
      <c r="L287" s="721"/>
      <c r="M287" s="721"/>
      <c r="N287" s="721"/>
      <c r="O287" s="722"/>
      <c r="P287" s="718" t="s">
        <v>40</v>
      </c>
      <c r="Q287" s="719"/>
      <c r="R287" s="719"/>
      <c r="S287" s="719"/>
      <c r="T287" s="719"/>
      <c r="U287" s="719"/>
      <c r="V287" s="720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hidden="1" customHeight="1" x14ac:dyDescent="0.25">
      <c r="A288" s="713" t="s">
        <v>182</v>
      </c>
      <c r="B288" s="713"/>
      <c r="C288" s="713"/>
      <c r="D288" s="713"/>
      <c r="E288" s="713"/>
      <c r="F288" s="713"/>
      <c r="G288" s="713"/>
      <c r="H288" s="713"/>
      <c r="I288" s="713"/>
      <c r="J288" s="713"/>
      <c r="K288" s="713"/>
      <c r="L288" s="713"/>
      <c r="M288" s="713"/>
      <c r="N288" s="713"/>
      <c r="O288" s="713"/>
      <c r="P288" s="713"/>
      <c r="Q288" s="713"/>
      <c r="R288" s="713"/>
      <c r="S288" s="713"/>
      <c r="T288" s="713"/>
      <c r="U288" s="713"/>
      <c r="V288" s="713"/>
      <c r="W288" s="713"/>
      <c r="X288" s="713"/>
      <c r="Y288" s="713"/>
      <c r="Z288" s="713"/>
      <c r="AA288" s="66"/>
      <c r="AB288" s="66"/>
      <c r="AC288" s="80"/>
    </row>
    <row r="289" spans="1:68" ht="27" hidden="1" customHeight="1" x14ac:dyDescent="0.25">
      <c r="A289" s="63" t="s">
        <v>488</v>
      </c>
      <c r="B289" s="63" t="s">
        <v>489</v>
      </c>
      <c r="C289" s="36">
        <v>4301060463</v>
      </c>
      <c r="D289" s="714">
        <v>4680115880818</v>
      </c>
      <c r="E289" s="714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87</v>
      </c>
      <c r="L289" s="37" t="s">
        <v>46</v>
      </c>
      <c r="M289" s="38" t="s">
        <v>93</v>
      </c>
      <c r="N289" s="38"/>
      <c r="O289" s="37">
        <v>40</v>
      </c>
      <c r="P289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716"/>
      <c r="R289" s="716"/>
      <c r="S289" s="716"/>
      <c r="T289" s="717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490</v>
      </c>
      <c r="AG289" s="78"/>
      <c r="AJ289" s="84" t="s">
        <v>46</v>
      </c>
      <c r="AK289" s="84">
        <v>0</v>
      </c>
      <c r="BB289" s="377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4301060389</v>
      </c>
      <c r="D290" s="714">
        <v>4680115880801</v>
      </c>
      <c r="E290" s="714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87</v>
      </c>
      <c r="L290" s="37" t="s">
        <v>46</v>
      </c>
      <c r="M290" s="38" t="s">
        <v>86</v>
      </c>
      <c r="N290" s="38"/>
      <c r="O290" s="37">
        <v>40</v>
      </c>
      <c r="P290" s="86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716"/>
      <c r="R290" s="716"/>
      <c r="S290" s="716"/>
      <c r="T290" s="717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493</v>
      </c>
      <c r="AG290" s="78"/>
      <c r="AJ290" s="84" t="s">
        <v>46</v>
      </c>
      <c r="AK290" s="84">
        <v>0</v>
      </c>
      <c r="BB290" s="37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721"/>
      <c r="B291" s="721"/>
      <c r="C291" s="721"/>
      <c r="D291" s="721"/>
      <c r="E291" s="721"/>
      <c r="F291" s="721"/>
      <c r="G291" s="721"/>
      <c r="H291" s="721"/>
      <c r="I291" s="721"/>
      <c r="J291" s="721"/>
      <c r="K291" s="721"/>
      <c r="L291" s="721"/>
      <c r="M291" s="721"/>
      <c r="N291" s="721"/>
      <c r="O291" s="722"/>
      <c r="P291" s="718" t="s">
        <v>40</v>
      </c>
      <c r="Q291" s="719"/>
      <c r="R291" s="719"/>
      <c r="S291" s="719"/>
      <c r="T291" s="719"/>
      <c r="U291" s="719"/>
      <c r="V291" s="720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721"/>
      <c r="B292" s="721"/>
      <c r="C292" s="721"/>
      <c r="D292" s="721"/>
      <c r="E292" s="721"/>
      <c r="F292" s="721"/>
      <c r="G292" s="721"/>
      <c r="H292" s="721"/>
      <c r="I292" s="721"/>
      <c r="J292" s="721"/>
      <c r="K292" s="721"/>
      <c r="L292" s="721"/>
      <c r="M292" s="721"/>
      <c r="N292" s="721"/>
      <c r="O292" s="722"/>
      <c r="P292" s="718" t="s">
        <v>40</v>
      </c>
      <c r="Q292" s="719"/>
      <c r="R292" s="719"/>
      <c r="S292" s="719"/>
      <c r="T292" s="719"/>
      <c r="U292" s="719"/>
      <c r="V292" s="720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712" t="s">
        <v>494</v>
      </c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2"/>
      <c r="P293" s="712"/>
      <c r="Q293" s="712"/>
      <c r="R293" s="712"/>
      <c r="S293" s="712"/>
      <c r="T293" s="712"/>
      <c r="U293" s="712"/>
      <c r="V293" s="712"/>
      <c r="W293" s="712"/>
      <c r="X293" s="712"/>
      <c r="Y293" s="712"/>
      <c r="Z293" s="712"/>
      <c r="AA293" s="65"/>
      <c r="AB293" s="65"/>
      <c r="AC293" s="79"/>
    </row>
    <row r="294" spans="1:68" ht="14.25" hidden="1" customHeight="1" x14ac:dyDescent="0.25">
      <c r="A294" s="713" t="s">
        <v>129</v>
      </c>
      <c r="B294" s="713"/>
      <c r="C294" s="713"/>
      <c r="D294" s="713"/>
      <c r="E294" s="713"/>
      <c r="F294" s="713"/>
      <c r="G294" s="713"/>
      <c r="H294" s="713"/>
      <c r="I294" s="713"/>
      <c r="J294" s="713"/>
      <c r="K294" s="713"/>
      <c r="L294" s="713"/>
      <c r="M294" s="713"/>
      <c r="N294" s="713"/>
      <c r="O294" s="713"/>
      <c r="P294" s="713"/>
      <c r="Q294" s="713"/>
      <c r="R294" s="713"/>
      <c r="S294" s="713"/>
      <c r="T294" s="713"/>
      <c r="U294" s="713"/>
      <c r="V294" s="713"/>
      <c r="W294" s="713"/>
      <c r="X294" s="713"/>
      <c r="Y294" s="713"/>
      <c r="Z294" s="713"/>
      <c r="AA294" s="66"/>
      <c r="AB294" s="66"/>
      <c r="AC294" s="80"/>
    </row>
    <row r="295" spans="1:68" ht="27" hidden="1" customHeight="1" x14ac:dyDescent="0.25">
      <c r="A295" s="63" t="s">
        <v>495</v>
      </c>
      <c r="B295" s="63" t="s">
        <v>496</v>
      </c>
      <c r="C295" s="36">
        <v>4301011826</v>
      </c>
      <c r="D295" s="714">
        <v>4680115884137</v>
      </c>
      <c r="E295" s="714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134</v>
      </c>
      <c r="L295" s="37" t="s">
        <v>46</v>
      </c>
      <c r="M295" s="38" t="s">
        <v>133</v>
      </c>
      <c r="N295" s="38"/>
      <c r="O295" s="37">
        <v>55</v>
      </c>
      <c r="P295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716"/>
      <c r="R295" s="716"/>
      <c r="S295" s="716"/>
      <c r="T295" s="71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497</v>
      </c>
      <c r="AG295" s="78"/>
      <c r="AJ295" s="84" t="s">
        <v>46</v>
      </c>
      <c r="AK295" s="84">
        <v>0</v>
      </c>
      <c r="BB295" s="381" t="s">
        <v>66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498</v>
      </c>
      <c r="B296" s="63" t="s">
        <v>499</v>
      </c>
      <c r="C296" s="36">
        <v>4301011724</v>
      </c>
      <c r="D296" s="714">
        <v>4680115884236</v>
      </c>
      <c r="E296" s="714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134</v>
      </c>
      <c r="L296" s="37" t="s">
        <v>46</v>
      </c>
      <c r="M296" s="38" t="s">
        <v>133</v>
      </c>
      <c r="N296" s="38"/>
      <c r="O296" s="37">
        <v>55</v>
      </c>
      <c r="P296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716"/>
      <c r="R296" s="716"/>
      <c r="S296" s="716"/>
      <c r="T296" s="71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500</v>
      </c>
      <c r="AG296" s="78"/>
      <c r="AJ296" s="84" t="s">
        <v>46</v>
      </c>
      <c r="AK296" s="84">
        <v>0</v>
      </c>
      <c r="BB296" s="383" t="s">
        <v>66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501</v>
      </c>
      <c r="B297" s="63" t="s">
        <v>502</v>
      </c>
      <c r="C297" s="36">
        <v>4301011721</v>
      </c>
      <c r="D297" s="714">
        <v>4680115884175</v>
      </c>
      <c r="E297" s="714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134</v>
      </c>
      <c r="L297" s="37" t="s">
        <v>46</v>
      </c>
      <c r="M297" s="38" t="s">
        <v>133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716"/>
      <c r="R297" s="716"/>
      <c r="S297" s="716"/>
      <c r="T297" s="71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360</v>
      </c>
      <c r="AG297" s="78"/>
      <c r="AJ297" s="84" t="s">
        <v>46</v>
      </c>
      <c r="AK297" s="84">
        <v>0</v>
      </c>
      <c r="BB297" s="385" t="s">
        <v>66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503</v>
      </c>
      <c r="B298" s="63" t="s">
        <v>504</v>
      </c>
      <c r="C298" s="36">
        <v>4301011824</v>
      </c>
      <c r="D298" s="714">
        <v>4680115884144</v>
      </c>
      <c r="E298" s="714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141</v>
      </c>
      <c r="L298" s="37" t="s">
        <v>46</v>
      </c>
      <c r="M298" s="38" t="s">
        <v>133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716"/>
      <c r="R298" s="716"/>
      <c r="S298" s="716"/>
      <c r="T298" s="71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497</v>
      </c>
      <c r="AG298" s="78"/>
      <c r="AJ298" s="84" t="s">
        <v>46</v>
      </c>
      <c r="AK298" s="84">
        <v>0</v>
      </c>
      <c r="BB298" s="387" t="s">
        <v>66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505</v>
      </c>
      <c r="B299" s="63" t="s">
        <v>506</v>
      </c>
      <c r="C299" s="36">
        <v>4301012149</v>
      </c>
      <c r="D299" s="714">
        <v>4680115886551</v>
      </c>
      <c r="E299" s="714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141</v>
      </c>
      <c r="L299" s="37" t="s">
        <v>46</v>
      </c>
      <c r="M299" s="38" t="s">
        <v>133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716"/>
      <c r="R299" s="716"/>
      <c r="S299" s="716"/>
      <c r="T299" s="71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507</v>
      </c>
      <c r="AG299" s="78"/>
      <c r="AJ299" s="84" t="s">
        <v>46</v>
      </c>
      <c r="AK299" s="84">
        <v>0</v>
      </c>
      <c r="BB299" s="389" t="s">
        <v>66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508</v>
      </c>
      <c r="B300" s="63" t="s">
        <v>509</v>
      </c>
      <c r="C300" s="36">
        <v>4301012228</v>
      </c>
      <c r="D300" s="714">
        <v>4680115887282</v>
      </c>
      <c r="E300" s="714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87</v>
      </c>
      <c r="L300" s="37" t="s">
        <v>46</v>
      </c>
      <c r="M300" s="38" t="s">
        <v>133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716"/>
      <c r="R300" s="716"/>
      <c r="S300" s="716"/>
      <c r="T300" s="71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510</v>
      </c>
      <c r="AG300" s="78"/>
      <c r="AJ300" s="84" t="s">
        <v>46</v>
      </c>
      <c r="AK300" s="84">
        <v>0</v>
      </c>
      <c r="BB300" s="391" t="s">
        <v>66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511</v>
      </c>
      <c r="B301" s="63" t="s">
        <v>512</v>
      </c>
      <c r="C301" s="36">
        <v>4301011722</v>
      </c>
      <c r="D301" s="714">
        <v>4680115884205</v>
      </c>
      <c r="E301" s="71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141</v>
      </c>
      <c r="L301" s="37" t="s">
        <v>46</v>
      </c>
      <c r="M301" s="38" t="s">
        <v>133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716"/>
      <c r="R301" s="716"/>
      <c r="S301" s="716"/>
      <c r="T301" s="71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360</v>
      </c>
      <c r="AG301" s="78"/>
      <c r="AJ301" s="84" t="s">
        <v>46</v>
      </c>
      <c r="AK301" s="84">
        <v>0</v>
      </c>
      <c r="BB301" s="393" t="s">
        <v>66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721"/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2"/>
      <c r="P302" s="718" t="s">
        <v>40</v>
      </c>
      <c r="Q302" s="719"/>
      <c r="R302" s="719"/>
      <c r="S302" s="719"/>
      <c r="T302" s="719"/>
      <c r="U302" s="719"/>
      <c r="V302" s="720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721"/>
      <c r="B303" s="721"/>
      <c r="C303" s="721"/>
      <c r="D303" s="721"/>
      <c r="E303" s="721"/>
      <c r="F303" s="721"/>
      <c r="G303" s="721"/>
      <c r="H303" s="721"/>
      <c r="I303" s="721"/>
      <c r="J303" s="721"/>
      <c r="K303" s="721"/>
      <c r="L303" s="721"/>
      <c r="M303" s="721"/>
      <c r="N303" s="721"/>
      <c r="O303" s="722"/>
      <c r="P303" s="718" t="s">
        <v>40</v>
      </c>
      <c r="Q303" s="719"/>
      <c r="R303" s="719"/>
      <c r="S303" s="719"/>
      <c r="T303" s="719"/>
      <c r="U303" s="719"/>
      <c r="V303" s="720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713" t="s">
        <v>164</v>
      </c>
      <c r="B304" s="713"/>
      <c r="C304" s="713"/>
      <c r="D304" s="713"/>
      <c r="E304" s="713"/>
      <c r="F304" s="713"/>
      <c r="G304" s="713"/>
      <c r="H304" s="713"/>
      <c r="I304" s="713"/>
      <c r="J304" s="713"/>
      <c r="K304" s="713"/>
      <c r="L304" s="713"/>
      <c r="M304" s="713"/>
      <c r="N304" s="713"/>
      <c r="O304" s="713"/>
      <c r="P304" s="713"/>
      <c r="Q304" s="713"/>
      <c r="R304" s="713"/>
      <c r="S304" s="713"/>
      <c r="T304" s="713"/>
      <c r="U304" s="713"/>
      <c r="V304" s="713"/>
      <c r="W304" s="713"/>
      <c r="X304" s="713"/>
      <c r="Y304" s="713"/>
      <c r="Z304" s="713"/>
      <c r="AA304" s="66"/>
      <c r="AB304" s="66"/>
      <c r="AC304" s="80"/>
    </row>
    <row r="305" spans="1:68" ht="27" hidden="1" customHeight="1" x14ac:dyDescent="0.25">
      <c r="A305" s="63" t="s">
        <v>513</v>
      </c>
      <c r="B305" s="63" t="s">
        <v>514</v>
      </c>
      <c r="C305" s="36">
        <v>4301020377</v>
      </c>
      <c r="D305" s="714">
        <v>4680115885981</v>
      </c>
      <c r="E305" s="714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81</v>
      </c>
      <c r="L305" s="37" t="s">
        <v>46</v>
      </c>
      <c r="M305" s="38" t="s">
        <v>86</v>
      </c>
      <c r="N305" s="38"/>
      <c r="O305" s="37">
        <v>50</v>
      </c>
      <c r="P305" s="8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716"/>
      <c r="R305" s="716"/>
      <c r="S305" s="716"/>
      <c r="T305" s="717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515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21"/>
      <c r="B306" s="721"/>
      <c r="C306" s="721"/>
      <c r="D306" s="721"/>
      <c r="E306" s="721"/>
      <c r="F306" s="721"/>
      <c r="G306" s="721"/>
      <c r="H306" s="721"/>
      <c r="I306" s="721"/>
      <c r="J306" s="721"/>
      <c r="K306" s="721"/>
      <c r="L306" s="721"/>
      <c r="M306" s="721"/>
      <c r="N306" s="721"/>
      <c r="O306" s="722"/>
      <c r="P306" s="718" t="s">
        <v>40</v>
      </c>
      <c r="Q306" s="719"/>
      <c r="R306" s="719"/>
      <c r="S306" s="719"/>
      <c r="T306" s="719"/>
      <c r="U306" s="719"/>
      <c r="V306" s="72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21"/>
      <c r="B307" s="721"/>
      <c r="C307" s="721"/>
      <c r="D307" s="721"/>
      <c r="E307" s="721"/>
      <c r="F307" s="721"/>
      <c r="G307" s="721"/>
      <c r="H307" s="721"/>
      <c r="I307" s="721"/>
      <c r="J307" s="721"/>
      <c r="K307" s="721"/>
      <c r="L307" s="721"/>
      <c r="M307" s="721"/>
      <c r="N307" s="721"/>
      <c r="O307" s="722"/>
      <c r="P307" s="718" t="s">
        <v>40</v>
      </c>
      <c r="Q307" s="719"/>
      <c r="R307" s="719"/>
      <c r="S307" s="719"/>
      <c r="T307" s="719"/>
      <c r="U307" s="719"/>
      <c r="V307" s="72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3" t="s">
        <v>516</v>
      </c>
      <c r="B308" s="713"/>
      <c r="C308" s="713"/>
      <c r="D308" s="713"/>
      <c r="E308" s="713"/>
      <c r="F308" s="713"/>
      <c r="G308" s="713"/>
      <c r="H308" s="713"/>
      <c r="I308" s="713"/>
      <c r="J308" s="713"/>
      <c r="K308" s="713"/>
      <c r="L308" s="713"/>
      <c r="M308" s="713"/>
      <c r="N308" s="713"/>
      <c r="O308" s="713"/>
      <c r="P308" s="713"/>
      <c r="Q308" s="713"/>
      <c r="R308" s="713"/>
      <c r="S308" s="713"/>
      <c r="T308" s="713"/>
      <c r="U308" s="713"/>
      <c r="V308" s="713"/>
      <c r="W308" s="713"/>
      <c r="X308" s="713"/>
      <c r="Y308" s="713"/>
      <c r="Z308" s="713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4301040362</v>
      </c>
      <c r="D309" s="714">
        <v>4680115886803</v>
      </c>
      <c r="E309" s="714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337</v>
      </c>
      <c r="L309" s="37" t="s">
        <v>46</v>
      </c>
      <c r="M309" s="38" t="s">
        <v>106</v>
      </c>
      <c r="N309" s="38"/>
      <c r="O309" s="37">
        <v>45</v>
      </c>
      <c r="P309" s="8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716"/>
      <c r="R309" s="716"/>
      <c r="S309" s="716"/>
      <c r="T309" s="717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1"/>
      <c r="B310" s="721"/>
      <c r="C310" s="721"/>
      <c r="D310" s="721"/>
      <c r="E310" s="721"/>
      <c r="F310" s="721"/>
      <c r="G310" s="721"/>
      <c r="H310" s="721"/>
      <c r="I310" s="721"/>
      <c r="J310" s="721"/>
      <c r="K310" s="721"/>
      <c r="L310" s="721"/>
      <c r="M310" s="721"/>
      <c r="N310" s="721"/>
      <c r="O310" s="722"/>
      <c r="P310" s="718" t="s">
        <v>40</v>
      </c>
      <c r="Q310" s="719"/>
      <c r="R310" s="719"/>
      <c r="S310" s="719"/>
      <c r="T310" s="719"/>
      <c r="U310" s="719"/>
      <c r="V310" s="72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1"/>
      <c r="B311" s="721"/>
      <c r="C311" s="721"/>
      <c r="D311" s="721"/>
      <c r="E311" s="721"/>
      <c r="F311" s="721"/>
      <c r="G311" s="721"/>
      <c r="H311" s="721"/>
      <c r="I311" s="721"/>
      <c r="J311" s="721"/>
      <c r="K311" s="721"/>
      <c r="L311" s="721"/>
      <c r="M311" s="721"/>
      <c r="N311" s="721"/>
      <c r="O311" s="722"/>
      <c r="P311" s="718" t="s">
        <v>40</v>
      </c>
      <c r="Q311" s="719"/>
      <c r="R311" s="719"/>
      <c r="S311" s="719"/>
      <c r="T311" s="719"/>
      <c r="U311" s="719"/>
      <c r="V311" s="72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3" t="s">
        <v>338</v>
      </c>
      <c r="B312" s="713"/>
      <c r="C312" s="713"/>
      <c r="D312" s="713"/>
      <c r="E312" s="713"/>
      <c r="F312" s="713"/>
      <c r="G312" s="713"/>
      <c r="H312" s="713"/>
      <c r="I312" s="713"/>
      <c r="J312" s="713"/>
      <c r="K312" s="713"/>
      <c r="L312" s="713"/>
      <c r="M312" s="713"/>
      <c r="N312" s="713"/>
      <c r="O312" s="713"/>
      <c r="P312" s="713"/>
      <c r="Q312" s="713"/>
      <c r="R312" s="713"/>
      <c r="S312" s="713"/>
      <c r="T312" s="713"/>
      <c r="U312" s="713"/>
      <c r="V312" s="713"/>
      <c r="W312" s="713"/>
      <c r="X312" s="713"/>
      <c r="Y312" s="713"/>
      <c r="Z312" s="713"/>
      <c r="AA312" s="66"/>
      <c r="AB312" s="66"/>
      <c r="AC312" s="80"/>
    </row>
    <row r="313" spans="1:68" ht="27" hidden="1" customHeight="1" x14ac:dyDescent="0.25">
      <c r="A313" s="63" t="s">
        <v>520</v>
      </c>
      <c r="B313" s="63" t="s">
        <v>521</v>
      </c>
      <c r="C313" s="36">
        <v>4301041008</v>
      </c>
      <c r="D313" s="714">
        <v>4680115886681</v>
      </c>
      <c r="E313" s="714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337</v>
      </c>
      <c r="L313" s="37" t="s">
        <v>46</v>
      </c>
      <c r="M313" s="38" t="s">
        <v>106</v>
      </c>
      <c r="N313" s="38"/>
      <c r="O313" s="37">
        <v>90</v>
      </c>
      <c r="P313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716"/>
      <c r="R313" s="716"/>
      <c r="S313" s="716"/>
      <c r="T313" s="717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522</v>
      </c>
      <c r="AG313" s="78"/>
      <c r="AJ313" s="84" t="s">
        <v>46</v>
      </c>
      <c r="AK313" s="84">
        <v>0</v>
      </c>
      <c r="BB313" s="399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523</v>
      </c>
      <c r="B314" s="63" t="s">
        <v>524</v>
      </c>
      <c r="C314" s="36">
        <v>4301041007</v>
      </c>
      <c r="D314" s="714">
        <v>4680115886735</v>
      </c>
      <c r="E314" s="714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337</v>
      </c>
      <c r="L314" s="37" t="s">
        <v>46</v>
      </c>
      <c r="M314" s="38" t="s">
        <v>106</v>
      </c>
      <c r="N314" s="38"/>
      <c r="O314" s="37">
        <v>90</v>
      </c>
      <c r="P314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716"/>
      <c r="R314" s="716"/>
      <c r="S314" s="716"/>
      <c r="T314" s="717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522</v>
      </c>
      <c r="AG314" s="78"/>
      <c r="AJ314" s="84" t="s">
        <v>46</v>
      </c>
      <c r="AK314" s="84">
        <v>0</v>
      </c>
      <c r="BB314" s="40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4301041006</v>
      </c>
      <c r="D315" s="714">
        <v>4680115886728</v>
      </c>
      <c r="E315" s="714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337</v>
      </c>
      <c r="L315" s="37" t="s">
        <v>46</v>
      </c>
      <c r="M315" s="38" t="s">
        <v>106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716"/>
      <c r="R315" s="716"/>
      <c r="S315" s="716"/>
      <c r="T315" s="717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522</v>
      </c>
      <c r="AG315" s="78"/>
      <c r="AJ315" s="84" t="s">
        <v>46</v>
      </c>
      <c r="AK315" s="84">
        <v>0</v>
      </c>
      <c r="BB315" s="40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4301041005</v>
      </c>
      <c r="D316" s="714">
        <v>4680115886711</v>
      </c>
      <c r="E316" s="714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337</v>
      </c>
      <c r="L316" s="37" t="s">
        <v>46</v>
      </c>
      <c r="M316" s="38" t="s">
        <v>106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716"/>
      <c r="R316" s="716"/>
      <c r="S316" s="716"/>
      <c r="T316" s="71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522</v>
      </c>
      <c r="AG316" s="78"/>
      <c r="AJ316" s="84" t="s">
        <v>46</v>
      </c>
      <c r="AK316" s="84">
        <v>0</v>
      </c>
      <c r="BB316" s="40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1"/>
      <c r="B317" s="721"/>
      <c r="C317" s="721"/>
      <c r="D317" s="721"/>
      <c r="E317" s="721"/>
      <c r="F317" s="721"/>
      <c r="G317" s="721"/>
      <c r="H317" s="721"/>
      <c r="I317" s="721"/>
      <c r="J317" s="721"/>
      <c r="K317" s="721"/>
      <c r="L317" s="721"/>
      <c r="M317" s="721"/>
      <c r="N317" s="721"/>
      <c r="O317" s="722"/>
      <c r="P317" s="718" t="s">
        <v>40</v>
      </c>
      <c r="Q317" s="719"/>
      <c r="R317" s="719"/>
      <c r="S317" s="719"/>
      <c r="T317" s="719"/>
      <c r="U317" s="719"/>
      <c r="V317" s="720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721"/>
      <c r="B318" s="721"/>
      <c r="C318" s="721"/>
      <c r="D318" s="721"/>
      <c r="E318" s="721"/>
      <c r="F318" s="721"/>
      <c r="G318" s="721"/>
      <c r="H318" s="721"/>
      <c r="I318" s="721"/>
      <c r="J318" s="721"/>
      <c r="K318" s="721"/>
      <c r="L318" s="721"/>
      <c r="M318" s="721"/>
      <c r="N318" s="721"/>
      <c r="O318" s="722"/>
      <c r="P318" s="718" t="s">
        <v>40</v>
      </c>
      <c r="Q318" s="719"/>
      <c r="R318" s="719"/>
      <c r="S318" s="719"/>
      <c r="T318" s="719"/>
      <c r="U318" s="719"/>
      <c r="V318" s="720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2" t="s">
        <v>529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5"/>
      <c r="AB319" s="65"/>
      <c r="AC319" s="79"/>
    </row>
    <row r="320" spans="1:68" ht="14.25" hidden="1" customHeight="1" x14ac:dyDescent="0.25">
      <c r="A320" s="713" t="s">
        <v>129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6"/>
      <c r="AB320" s="66"/>
      <c r="AC320" s="80"/>
    </row>
    <row r="321" spans="1:68" ht="27" hidden="1" customHeight="1" x14ac:dyDescent="0.25">
      <c r="A321" s="63" t="s">
        <v>530</v>
      </c>
      <c r="B321" s="63" t="s">
        <v>531</v>
      </c>
      <c r="C321" s="36">
        <v>4301011855</v>
      </c>
      <c r="D321" s="714">
        <v>4680115885837</v>
      </c>
      <c r="E321" s="71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134</v>
      </c>
      <c r="L321" s="37" t="s">
        <v>46</v>
      </c>
      <c r="M321" s="38" t="s">
        <v>133</v>
      </c>
      <c r="N321" s="38"/>
      <c r="O321" s="37">
        <v>55</v>
      </c>
      <c r="P321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716"/>
      <c r="R321" s="716"/>
      <c r="S321" s="716"/>
      <c r="T321" s="71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532</v>
      </c>
      <c r="AG321" s="78"/>
      <c r="AJ321" s="84" t="s">
        <v>46</v>
      </c>
      <c r="AK321" s="84">
        <v>0</v>
      </c>
      <c r="BB321" s="407" t="s">
        <v>66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hidden="1" customHeight="1" x14ac:dyDescent="0.25">
      <c r="A322" s="63" t="s">
        <v>533</v>
      </c>
      <c r="B322" s="63" t="s">
        <v>534</v>
      </c>
      <c r="C322" s="36">
        <v>4301012212</v>
      </c>
      <c r="D322" s="714">
        <v>4680115887077</v>
      </c>
      <c r="E322" s="71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134</v>
      </c>
      <c r="L322" s="37" t="s">
        <v>46</v>
      </c>
      <c r="M322" s="38" t="s">
        <v>133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716"/>
      <c r="R322" s="716"/>
      <c r="S322" s="716"/>
      <c r="T322" s="71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535</v>
      </c>
      <c r="AG322" s="78"/>
      <c r="AJ322" s="84" t="s">
        <v>46</v>
      </c>
      <c r="AK322" s="84">
        <v>0</v>
      </c>
      <c r="BB322" s="409" t="s">
        <v>66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536</v>
      </c>
      <c r="B323" s="63" t="s">
        <v>537</v>
      </c>
      <c r="C323" s="36">
        <v>4301012390</v>
      </c>
      <c r="D323" s="714">
        <v>4680115889637</v>
      </c>
      <c r="E323" s="71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134</v>
      </c>
      <c r="L323" s="37" t="s">
        <v>46</v>
      </c>
      <c r="M323" s="38" t="s">
        <v>133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716"/>
      <c r="R323" s="716"/>
      <c r="S323" s="716"/>
      <c r="T323" s="71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538</v>
      </c>
      <c r="AG323" s="78"/>
      <c r="AJ323" s="84" t="s">
        <v>46</v>
      </c>
      <c r="AK323" s="84">
        <v>0</v>
      </c>
      <c r="BB323" s="411" t="s">
        <v>66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539</v>
      </c>
      <c r="B324" s="63" t="s">
        <v>540</v>
      </c>
      <c r="C324" s="36">
        <v>4301012234</v>
      </c>
      <c r="D324" s="714">
        <v>4680115887237</v>
      </c>
      <c r="E324" s="71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134</v>
      </c>
      <c r="L324" s="37" t="s">
        <v>46</v>
      </c>
      <c r="M324" s="38" t="s">
        <v>133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716"/>
      <c r="R324" s="716"/>
      <c r="S324" s="716"/>
      <c r="T324" s="71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541</v>
      </c>
      <c r="AG324" s="78"/>
      <c r="AJ324" s="84" t="s">
        <v>46</v>
      </c>
      <c r="AK324" s="84">
        <v>0</v>
      </c>
      <c r="BB324" s="413" t="s">
        <v>66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542</v>
      </c>
      <c r="B325" s="63" t="s">
        <v>543</v>
      </c>
      <c r="C325" s="36">
        <v>4301011850</v>
      </c>
      <c r="D325" s="714">
        <v>4680115885806</v>
      </c>
      <c r="E325" s="714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134</v>
      </c>
      <c r="L325" s="37" t="s">
        <v>46</v>
      </c>
      <c r="M325" s="38" t="s">
        <v>133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716"/>
      <c r="R325" s="716"/>
      <c r="S325" s="716"/>
      <c r="T325" s="71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544</v>
      </c>
      <c r="AG325" s="78"/>
      <c r="AJ325" s="84" t="s">
        <v>46</v>
      </c>
      <c r="AK325" s="84">
        <v>0</v>
      </c>
      <c r="BB325" s="415" t="s">
        <v>66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4301011852</v>
      </c>
      <c r="D326" s="714">
        <v>4680115885844</v>
      </c>
      <c r="E326" s="71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141</v>
      </c>
      <c r="L326" s="37" t="s">
        <v>46</v>
      </c>
      <c r="M326" s="38" t="s">
        <v>133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716"/>
      <c r="R326" s="716"/>
      <c r="S326" s="716"/>
      <c r="T326" s="71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547</v>
      </c>
      <c r="AG326" s="78"/>
      <c r="AJ326" s="84" t="s">
        <v>46</v>
      </c>
      <c r="AK326" s="84">
        <v>0</v>
      </c>
      <c r="BB326" s="417" t="s">
        <v>66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hidden="1" customHeight="1" x14ac:dyDescent="0.25">
      <c r="A327" s="63" t="s">
        <v>548</v>
      </c>
      <c r="B327" s="63" t="s">
        <v>549</v>
      </c>
      <c r="C327" s="36">
        <v>4301011851</v>
      </c>
      <c r="D327" s="714">
        <v>4680115885820</v>
      </c>
      <c r="E327" s="714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141</v>
      </c>
      <c r="L327" s="37" t="s">
        <v>46</v>
      </c>
      <c r="M327" s="38" t="s">
        <v>133</v>
      </c>
      <c r="N327" s="38"/>
      <c r="O327" s="37">
        <v>55</v>
      </c>
      <c r="P327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716"/>
      <c r="R327" s="716"/>
      <c r="S327" s="716"/>
      <c r="T327" s="717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550</v>
      </c>
      <c r="AG327" s="78"/>
      <c r="AJ327" s="84" t="s">
        <v>46</v>
      </c>
      <c r="AK327" s="84">
        <v>0</v>
      </c>
      <c r="BB327" s="419" t="s">
        <v>66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idden="1" x14ac:dyDescent="0.2">
      <c r="A328" s="721"/>
      <c r="B328" s="721"/>
      <c r="C328" s="721"/>
      <c r="D328" s="721"/>
      <c r="E328" s="721"/>
      <c r="F328" s="721"/>
      <c r="G328" s="721"/>
      <c r="H328" s="721"/>
      <c r="I328" s="721"/>
      <c r="J328" s="721"/>
      <c r="K328" s="721"/>
      <c r="L328" s="721"/>
      <c r="M328" s="721"/>
      <c r="N328" s="721"/>
      <c r="O328" s="722"/>
      <c r="P328" s="718" t="s">
        <v>40</v>
      </c>
      <c r="Q328" s="719"/>
      <c r="R328" s="719"/>
      <c r="S328" s="719"/>
      <c r="T328" s="719"/>
      <c r="U328" s="719"/>
      <c r="V328" s="720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21"/>
      <c r="B329" s="721"/>
      <c r="C329" s="721"/>
      <c r="D329" s="721"/>
      <c r="E329" s="721"/>
      <c r="F329" s="721"/>
      <c r="G329" s="721"/>
      <c r="H329" s="721"/>
      <c r="I329" s="721"/>
      <c r="J329" s="721"/>
      <c r="K329" s="721"/>
      <c r="L329" s="721"/>
      <c r="M329" s="721"/>
      <c r="N329" s="721"/>
      <c r="O329" s="722"/>
      <c r="P329" s="718" t="s">
        <v>40</v>
      </c>
      <c r="Q329" s="719"/>
      <c r="R329" s="719"/>
      <c r="S329" s="719"/>
      <c r="T329" s="719"/>
      <c r="U329" s="719"/>
      <c r="V329" s="720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hidden="1" customHeight="1" x14ac:dyDescent="0.25">
      <c r="A330" s="712" t="s">
        <v>551</v>
      </c>
      <c r="B330" s="712"/>
      <c r="C330" s="712"/>
      <c r="D330" s="712"/>
      <c r="E330" s="712"/>
      <c r="F330" s="712"/>
      <c r="G330" s="712"/>
      <c r="H330" s="712"/>
      <c r="I330" s="712"/>
      <c r="J330" s="712"/>
      <c r="K330" s="712"/>
      <c r="L330" s="712"/>
      <c r="M330" s="712"/>
      <c r="N330" s="712"/>
      <c r="O330" s="712"/>
      <c r="P330" s="712"/>
      <c r="Q330" s="712"/>
      <c r="R330" s="712"/>
      <c r="S330" s="712"/>
      <c r="T330" s="712"/>
      <c r="U330" s="712"/>
      <c r="V330" s="712"/>
      <c r="W330" s="712"/>
      <c r="X330" s="712"/>
      <c r="Y330" s="712"/>
      <c r="Z330" s="712"/>
      <c r="AA330" s="65"/>
      <c r="AB330" s="65"/>
      <c r="AC330" s="79"/>
    </row>
    <row r="331" spans="1:68" ht="14.25" hidden="1" customHeight="1" x14ac:dyDescent="0.25">
      <c r="A331" s="713" t="s">
        <v>82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4301051893</v>
      </c>
      <c r="D332" s="714">
        <v>4680115886186</v>
      </c>
      <c r="E332" s="714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87</v>
      </c>
      <c r="L332" s="37" t="s">
        <v>46</v>
      </c>
      <c r="M332" s="38" t="s">
        <v>86</v>
      </c>
      <c r="N332" s="38"/>
      <c r="O332" s="37">
        <v>45</v>
      </c>
      <c r="P332" s="8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716"/>
      <c r="R332" s="716"/>
      <c r="S332" s="716"/>
      <c r="T332" s="71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554</v>
      </c>
      <c r="AG332" s="78"/>
      <c r="AJ332" s="84" t="s">
        <v>46</v>
      </c>
      <c r="AK332" s="84">
        <v>0</v>
      </c>
      <c r="BB332" s="421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4301051795</v>
      </c>
      <c r="D333" s="714">
        <v>4680115881228</v>
      </c>
      <c r="E333" s="714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87</v>
      </c>
      <c r="L333" s="37" t="s">
        <v>46</v>
      </c>
      <c r="M333" s="38" t="s">
        <v>93</v>
      </c>
      <c r="N333" s="38"/>
      <c r="O333" s="37">
        <v>40</v>
      </c>
      <c r="P333" s="8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716"/>
      <c r="R333" s="716"/>
      <c r="S333" s="716"/>
      <c r="T333" s="71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557</v>
      </c>
      <c r="AG333" s="78"/>
      <c r="AJ333" s="84" t="s">
        <v>46</v>
      </c>
      <c r="AK333" s="84">
        <v>0</v>
      </c>
      <c r="BB333" s="423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4301051388</v>
      </c>
      <c r="D334" s="714">
        <v>4680115881211</v>
      </c>
      <c r="E334" s="714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87</v>
      </c>
      <c r="L334" s="37" t="s">
        <v>46</v>
      </c>
      <c r="M334" s="38" t="s">
        <v>86</v>
      </c>
      <c r="N334" s="38"/>
      <c r="O334" s="37">
        <v>45</v>
      </c>
      <c r="P334" s="8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716"/>
      <c r="R334" s="716"/>
      <c r="S334" s="716"/>
      <c r="T334" s="71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554</v>
      </c>
      <c r="AG334" s="78"/>
      <c r="AJ334" s="84" t="s">
        <v>46</v>
      </c>
      <c r="AK334" s="84">
        <v>0</v>
      </c>
      <c r="BB334" s="425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721"/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2"/>
      <c r="P335" s="718" t="s">
        <v>40</v>
      </c>
      <c r="Q335" s="719"/>
      <c r="R335" s="719"/>
      <c r="S335" s="719"/>
      <c r="T335" s="719"/>
      <c r="U335" s="719"/>
      <c r="V335" s="720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721"/>
      <c r="B336" s="721"/>
      <c r="C336" s="721"/>
      <c r="D336" s="721"/>
      <c r="E336" s="721"/>
      <c r="F336" s="721"/>
      <c r="G336" s="721"/>
      <c r="H336" s="721"/>
      <c r="I336" s="721"/>
      <c r="J336" s="721"/>
      <c r="K336" s="721"/>
      <c r="L336" s="721"/>
      <c r="M336" s="721"/>
      <c r="N336" s="721"/>
      <c r="O336" s="722"/>
      <c r="P336" s="718" t="s">
        <v>40</v>
      </c>
      <c r="Q336" s="719"/>
      <c r="R336" s="719"/>
      <c r="S336" s="719"/>
      <c r="T336" s="719"/>
      <c r="U336" s="719"/>
      <c r="V336" s="720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712" t="s">
        <v>560</v>
      </c>
      <c r="B337" s="712"/>
      <c r="C337" s="712"/>
      <c r="D337" s="712"/>
      <c r="E337" s="712"/>
      <c r="F337" s="712"/>
      <c r="G337" s="712"/>
      <c r="H337" s="712"/>
      <c r="I337" s="712"/>
      <c r="J337" s="712"/>
      <c r="K337" s="712"/>
      <c r="L337" s="712"/>
      <c r="M337" s="712"/>
      <c r="N337" s="712"/>
      <c r="O337" s="712"/>
      <c r="P337" s="712"/>
      <c r="Q337" s="712"/>
      <c r="R337" s="712"/>
      <c r="S337" s="712"/>
      <c r="T337" s="712"/>
      <c r="U337" s="712"/>
      <c r="V337" s="712"/>
      <c r="W337" s="712"/>
      <c r="X337" s="712"/>
      <c r="Y337" s="712"/>
      <c r="Z337" s="712"/>
      <c r="AA337" s="65"/>
      <c r="AB337" s="65"/>
      <c r="AC337" s="79"/>
    </row>
    <row r="338" spans="1:68" ht="14.25" hidden="1" customHeight="1" x14ac:dyDescent="0.25">
      <c r="A338" s="713" t="s">
        <v>76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6"/>
      <c r="AB338" s="66"/>
      <c r="AC338" s="80"/>
    </row>
    <row r="339" spans="1:68" ht="27" hidden="1" customHeight="1" x14ac:dyDescent="0.25">
      <c r="A339" s="63" t="s">
        <v>561</v>
      </c>
      <c r="B339" s="63" t="s">
        <v>562</v>
      </c>
      <c r="C339" s="36">
        <v>4301031445</v>
      </c>
      <c r="D339" s="714">
        <v>4680115888319</v>
      </c>
      <c r="E339" s="714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45</v>
      </c>
      <c r="P339" s="89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716"/>
      <c r="R339" s="716"/>
      <c r="S339" s="716"/>
      <c r="T339" s="71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563</v>
      </c>
      <c r="AG339" s="78"/>
      <c r="AJ339" s="84" t="s">
        <v>46</v>
      </c>
      <c r="AK339" s="84">
        <v>0</v>
      </c>
      <c r="BB339" s="427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564</v>
      </c>
      <c r="B340" s="63" t="s">
        <v>565</v>
      </c>
      <c r="C340" s="36">
        <v>4301031502</v>
      </c>
      <c r="D340" s="714">
        <v>4680115884700</v>
      </c>
      <c r="E340" s="714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716"/>
      <c r="R340" s="716"/>
      <c r="S340" s="716"/>
      <c r="T340" s="71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566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567</v>
      </c>
      <c r="B341" s="63" t="s">
        <v>568</v>
      </c>
      <c r="C341" s="36">
        <v>4301031307</v>
      </c>
      <c r="D341" s="714">
        <v>4680115880344</v>
      </c>
      <c r="E341" s="714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81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716"/>
      <c r="R341" s="716"/>
      <c r="S341" s="716"/>
      <c r="T341" s="71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569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570</v>
      </c>
      <c r="B342" s="63" t="s">
        <v>571</v>
      </c>
      <c r="C342" s="36">
        <v>4301031501</v>
      </c>
      <c r="D342" s="714">
        <v>4680115886919</v>
      </c>
      <c r="E342" s="714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87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716"/>
      <c r="R342" s="716"/>
      <c r="S342" s="716"/>
      <c r="T342" s="71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572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1"/>
      <c r="B343" s="721"/>
      <c r="C343" s="721"/>
      <c r="D343" s="721"/>
      <c r="E343" s="721"/>
      <c r="F343" s="721"/>
      <c r="G343" s="721"/>
      <c r="H343" s="721"/>
      <c r="I343" s="721"/>
      <c r="J343" s="721"/>
      <c r="K343" s="721"/>
      <c r="L343" s="721"/>
      <c r="M343" s="721"/>
      <c r="N343" s="721"/>
      <c r="O343" s="722"/>
      <c r="P343" s="718" t="s">
        <v>40</v>
      </c>
      <c r="Q343" s="719"/>
      <c r="R343" s="719"/>
      <c r="S343" s="719"/>
      <c r="T343" s="719"/>
      <c r="U343" s="719"/>
      <c r="V343" s="720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1"/>
      <c r="B344" s="721"/>
      <c r="C344" s="721"/>
      <c r="D344" s="721"/>
      <c r="E344" s="721"/>
      <c r="F344" s="721"/>
      <c r="G344" s="721"/>
      <c r="H344" s="721"/>
      <c r="I344" s="721"/>
      <c r="J344" s="721"/>
      <c r="K344" s="721"/>
      <c r="L344" s="721"/>
      <c r="M344" s="721"/>
      <c r="N344" s="721"/>
      <c r="O344" s="722"/>
      <c r="P344" s="718" t="s">
        <v>40</v>
      </c>
      <c r="Q344" s="719"/>
      <c r="R344" s="719"/>
      <c r="S344" s="719"/>
      <c r="T344" s="719"/>
      <c r="U344" s="719"/>
      <c r="V344" s="720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3" t="s">
        <v>82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4301051782</v>
      </c>
      <c r="D346" s="714">
        <v>4680115884618</v>
      </c>
      <c r="E346" s="71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141</v>
      </c>
      <c r="L346" s="37" t="s">
        <v>46</v>
      </c>
      <c r="M346" s="38" t="s">
        <v>86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575</v>
      </c>
      <c r="AG346" s="78"/>
      <c r="AJ346" s="84" t="s">
        <v>46</v>
      </c>
      <c r="AK346" s="84">
        <v>0</v>
      </c>
      <c r="BB346" s="435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4301052057</v>
      </c>
      <c r="D347" s="714">
        <v>4680115887114</v>
      </c>
      <c r="E347" s="71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141</v>
      </c>
      <c r="L347" s="37" t="s">
        <v>46</v>
      </c>
      <c r="M347" s="38" t="s">
        <v>86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578</v>
      </c>
      <c r="AG347" s="78"/>
      <c r="AJ347" s="84" t="s">
        <v>46</v>
      </c>
      <c r="AK347" s="84">
        <v>0</v>
      </c>
      <c r="BB347" s="437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4301052066</v>
      </c>
      <c r="D348" s="714">
        <v>4680115887466</v>
      </c>
      <c r="E348" s="714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134</v>
      </c>
      <c r="L348" s="37" t="s">
        <v>46</v>
      </c>
      <c r="M348" s="38" t="s">
        <v>86</v>
      </c>
      <c r="N348" s="38"/>
      <c r="O348" s="37">
        <v>45</v>
      </c>
      <c r="P348" s="89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716"/>
      <c r="R348" s="716"/>
      <c r="S348" s="716"/>
      <c r="T348" s="717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581</v>
      </c>
      <c r="AG348" s="78"/>
      <c r="AJ348" s="84" t="s">
        <v>46</v>
      </c>
      <c r="AK348" s="84">
        <v>0</v>
      </c>
      <c r="BB348" s="439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21"/>
      <c r="B349" s="721"/>
      <c r="C349" s="721"/>
      <c r="D349" s="721"/>
      <c r="E349" s="721"/>
      <c r="F349" s="721"/>
      <c r="G349" s="721"/>
      <c r="H349" s="721"/>
      <c r="I349" s="721"/>
      <c r="J349" s="721"/>
      <c r="K349" s="721"/>
      <c r="L349" s="721"/>
      <c r="M349" s="721"/>
      <c r="N349" s="721"/>
      <c r="O349" s="722"/>
      <c r="P349" s="718" t="s">
        <v>40</v>
      </c>
      <c r="Q349" s="719"/>
      <c r="R349" s="719"/>
      <c r="S349" s="719"/>
      <c r="T349" s="719"/>
      <c r="U349" s="719"/>
      <c r="V349" s="720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21"/>
      <c r="B350" s="721"/>
      <c r="C350" s="721"/>
      <c r="D350" s="721"/>
      <c r="E350" s="721"/>
      <c r="F350" s="721"/>
      <c r="G350" s="721"/>
      <c r="H350" s="721"/>
      <c r="I350" s="721"/>
      <c r="J350" s="721"/>
      <c r="K350" s="721"/>
      <c r="L350" s="721"/>
      <c r="M350" s="721"/>
      <c r="N350" s="721"/>
      <c r="O350" s="722"/>
      <c r="P350" s="718" t="s">
        <v>40</v>
      </c>
      <c r="Q350" s="719"/>
      <c r="R350" s="719"/>
      <c r="S350" s="719"/>
      <c r="T350" s="719"/>
      <c r="U350" s="719"/>
      <c r="V350" s="720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712" t="s">
        <v>582</v>
      </c>
      <c r="B351" s="712"/>
      <c r="C351" s="712"/>
      <c r="D351" s="712"/>
      <c r="E351" s="712"/>
      <c r="F351" s="712"/>
      <c r="G351" s="712"/>
      <c r="H351" s="712"/>
      <c r="I351" s="712"/>
      <c r="J351" s="712"/>
      <c r="K351" s="712"/>
      <c r="L351" s="712"/>
      <c r="M351" s="712"/>
      <c r="N351" s="712"/>
      <c r="O351" s="712"/>
      <c r="P351" s="712"/>
      <c r="Q351" s="712"/>
      <c r="R351" s="712"/>
      <c r="S351" s="712"/>
      <c r="T351" s="712"/>
      <c r="U351" s="712"/>
      <c r="V351" s="712"/>
      <c r="W351" s="712"/>
      <c r="X351" s="712"/>
      <c r="Y351" s="712"/>
      <c r="Z351" s="712"/>
      <c r="AA351" s="65"/>
      <c r="AB351" s="65"/>
      <c r="AC351" s="79"/>
    </row>
    <row r="352" spans="1:68" ht="14.25" hidden="1" customHeight="1" x14ac:dyDescent="0.25">
      <c r="A352" s="713" t="s">
        <v>76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6"/>
      <c r="AB352" s="66"/>
      <c r="AC352" s="80"/>
    </row>
    <row r="353" spans="1:68" ht="37.5" hidden="1" customHeight="1" x14ac:dyDescent="0.25">
      <c r="A353" s="63" t="s">
        <v>583</v>
      </c>
      <c r="B353" s="63" t="s">
        <v>584</v>
      </c>
      <c r="C353" s="36">
        <v>4301031283</v>
      </c>
      <c r="D353" s="714">
        <v>4680115886001</v>
      </c>
      <c r="E353" s="714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141</v>
      </c>
      <c r="L353" s="37" t="s">
        <v>46</v>
      </c>
      <c r="M353" s="38" t="s">
        <v>80</v>
      </c>
      <c r="N353" s="38"/>
      <c r="O353" s="37">
        <v>45</v>
      </c>
      <c r="P353" s="89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716"/>
      <c r="R353" s="716"/>
      <c r="S353" s="716"/>
      <c r="T353" s="71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585</v>
      </c>
      <c r="AG353" s="78"/>
      <c r="AJ353" s="84" t="s">
        <v>46</v>
      </c>
      <c r="AK353" s="84">
        <v>0</v>
      </c>
      <c r="BB353" s="44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21"/>
      <c r="B354" s="721"/>
      <c r="C354" s="721"/>
      <c r="D354" s="721"/>
      <c r="E354" s="721"/>
      <c r="F354" s="721"/>
      <c r="G354" s="721"/>
      <c r="H354" s="721"/>
      <c r="I354" s="721"/>
      <c r="J354" s="721"/>
      <c r="K354" s="721"/>
      <c r="L354" s="721"/>
      <c r="M354" s="721"/>
      <c r="N354" s="721"/>
      <c r="O354" s="722"/>
      <c r="P354" s="718" t="s">
        <v>40</v>
      </c>
      <c r="Q354" s="719"/>
      <c r="R354" s="719"/>
      <c r="S354" s="719"/>
      <c r="T354" s="719"/>
      <c r="U354" s="719"/>
      <c r="V354" s="720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721"/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2"/>
      <c r="P355" s="718" t="s">
        <v>40</v>
      </c>
      <c r="Q355" s="719"/>
      <c r="R355" s="719"/>
      <c r="S355" s="719"/>
      <c r="T355" s="719"/>
      <c r="U355" s="719"/>
      <c r="V355" s="720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13" t="s">
        <v>82</v>
      </c>
      <c r="B356" s="713"/>
      <c r="C356" s="713"/>
      <c r="D356" s="713"/>
      <c r="E356" s="713"/>
      <c r="F356" s="713"/>
      <c r="G356" s="713"/>
      <c r="H356" s="713"/>
      <c r="I356" s="713"/>
      <c r="J356" s="713"/>
      <c r="K356" s="713"/>
      <c r="L356" s="713"/>
      <c r="M356" s="713"/>
      <c r="N356" s="713"/>
      <c r="O356" s="713"/>
      <c r="P356" s="713"/>
      <c r="Q356" s="713"/>
      <c r="R356" s="713"/>
      <c r="S356" s="713"/>
      <c r="T356" s="713"/>
      <c r="U356" s="713"/>
      <c r="V356" s="713"/>
      <c r="W356" s="713"/>
      <c r="X356" s="713"/>
      <c r="Y356" s="713"/>
      <c r="Z356" s="713"/>
      <c r="AA356" s="66"/>
      <c r="AB356" s="66"/>
      <c r="AC356" s="80"/>
    </row>
    <row r="357" spans="1:68" ht="27" hidden="1" customHeight="1" x14ac:dyDescent="0.25">
      <c r="A357" s="63" t="s">
        <v>586</v>
      </c>
      <c r="B357" s="63" t="s">
        <v>587</v>
      </c>
      <c r="C357" s="36">
        <v>4301051597</v>
      </c>
      <c r="D357" s="714">
        <v>4680115886087</v>
      </c>
      <c r="E357" s="714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134</v>
      </c>
      <c r="L357" s="37" t="s">
        <v>46</v>
      </c>
      <c r="M357" s="38" t="s">
        <v>86</v>
      </c>
      <c r="N357" s="38"/>
      <c r="O357" s="37">
        <v>45</v>
      </c>
      <c r="P357" s="90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716"/>
      <c r="R357" s="716"/>
      <c r="S357" s="716"/>
      <c r="T357" s="71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588</v>
      </c>
      <c r="AG357" s="78"/>
      <c r="AJ357" s="84" t="s">
        <v>46</v>
      </c>
      <c r="AK357" s="84">
        <v>0</v>
      </c>
      <c r="BB357" s="44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21"/>
      <c r="B358" s="721"/>
      <c r="C358" s="721"/>
      <c r="D358" s="721"/>
      <c r="E358" s="721"/>
      <c r="F358" s="721"/>
      <c r="G358" s="721"/>
      <c r="H358" s="721"/>
      <c r="I358" s="721"/>
      <c r="J358" s="721"/>
      <c r="K358" s="721"/>
      <c r="L358" s="721"/>
      <c r="M358" s="721"/>
      <c r="N358" s="721"/>
      <c r="O358" s="722"/>
      <c r="P358" s="718" t="s">
        <v>40</v>
      </c>
      <c r="Q358" s="719"/>
      <c r="R358" s="719"/>
      <c r="S358" s="719"/>
      <c r="T358" s="719"/>
      <c r="U358" s="719"/>
      <c r="V358" s="720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721"/>
      <c r="B359" s="721"/>
      <c r="C359" s="721"/>
      <c r="D359" s="721"/>
      <c r="E359" s="721"/>
      <c r="F359" s="721"/>
      <c r="G359" s="721"/>
      <c r="H359" s="721"/>
      <c r="I359" s="721"/>
      <c r="J359" s="721"/>
      <c r="K359" s="721"/>
      <c r="L359" s="721"/>
      <c r="M359" s="721"/>
      <c r="N359" s="721"/>
      <c r="O359" s="722"/>
      <c r="P359" s="718" t="s">
        <v>40</v>
      </c>
      <c r="Q359" s="719"/>
      <c r="R359" s="719"/>
      <c r="S359" s="719"/>
      <c r="T359" s="719"/>
      <c r="U359" s="719"/>
      <c r="V359" s="720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712" t="s">
        <v>589</v>
      </c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2"/>
      <c r="P360" s="712"/>
      <c r="Q360" s="712"/>
      <c r="R360" s="712"/>
      <c r="S360" s="712"/>
      <c r="T360" s="712"/>
      <c r="U360" s="712"/>
      <c r="V360" s="712"/>
      <c r="W360" s="712"/>
      <c r="X360" s="712"/>
      <c r="Y360" s="712"/>
      <c r="Z360" s="712"/>
      <c r="AA360" s="65"/>
      <c r="AB360" s="65"/>
      <c r="AC360" s="79"/>
    </row>
    <row r="361" spans="1:68" ht="14.25" hidden="1" customHeight="1" x14ac:dyDescent="0.25">
      <c r="A361" s="713" t="s">
        <v>129</v>
      </c>
      <c r="B361" s="713"/>
      <c r="C361" s="713"/>
      <c r="D361" s="713"/>
      <c r="E361" s="713"/>
      <c r="F361" s="713"/>
      <c r="G361" s="713"/>
      <c r="H361" s="713"/>
      <c r="I361" s="713"/>
      <c r="J361" s="713"/>
      <c r="K361" s="713"/>
      <c r="L361" s="713"/>
      <c r="M361" s="713"/>
      <c r="N361" s="713"/>
      <c r="O361" s="713"/>
      <c r="P361" s="713"/>
      <c r="Q361" s="713"/>
      <c r="R361" s="713"/>
      <c r="S361" s="713"/>
      <c r="T361" s="713"/>
      <c r="U361" s="713"/>
      <c r="V361" s="713"/>
      <c r="W361" s="713"/>
      <c r="X361" s="713"/>
      <c r="Y361" s="713"/>
      <c r="Z361" s="713"/>
      <c r="AA361" s="66"/>
      <c r="AB361" s="66"/>
      <c r="AC361" s="80"/>
    </row>
    <row r="362" spans="1:68" ht="27" hidden="1" customHeight="1" x14ac:dyDescent="0.25">
      <c r="A362" s="63" t="s">
        <v>590</v>
      </c>
      <c r="B362" s="63" t="s">
        <v>591</v>
      </c>
      <c r="C362" s="36">
        <v>4301012324</v>
      </c>
      <c r="D362" s="714">
        <v>4680115887947</v>
      </c>
      <c r="E362" s="714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134</v>
      </c>
      <c r="L362" s="37" t="s">
        <v>46</v>
      </c>
      <c r="M362" s="38" t="s">
        <v>86</v>
      </c>
      <c r="N362" s="38"/>
      <c r="O362" s="37">
        <v>60</v>
      </c>
      <c r="P362" s="9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716"/>
      <c r="R362" s="716"/>
      <c r="S362" s="716"/>
      <c r="T362" s="717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351</v>
      </c>
      <c r="AG362" s="78"/>
      <c r="AJ362" s="84" t="s">
        <v>46</v>
      </c>
      <c r="AK362" s="84">
        <v>0</v>
      </c>
      <c r="BB362" s="445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592</v>
      </c>
      <c r="B363" s="63" t="s">
        <v>593</v>
      </c>
      <c r="C363" s="36">
        <v>4301012325</v>
      </c>
      <c r="D363" s="714">
        <v>4680115887978</v>
      </c>
      <c r="E363" s="71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134</v>
      </c>
      <c r="L363" s="37" t="s">
        <v>46</v>
      </c>
      <c r="M363" s="38" t="s">
        <v>86</v>
      </c>
      <c r="N363" s="38"/>
      <c r="O363" s="37">
        <v>60</v>
      </c>
      <c r="P363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716"/>
      <c r="R363" s="716"/>
      <c r="S363" s="716"/>
      <c r="T363" s="71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594</v>
      </c>
      <c r="AG363" s="78"/>
      <c r="AJ363" s="84" t="s">
        <v>46</v>
      </c>
      <c r="AK363" s="84">
        <v>0</v>
      </c>
      <c r="BB363" s="44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595</v>
      </c>
      <c r="B364" s="63" t="s">
        <v>596</v>
      </c>
      <c r="C364" s="36">
        <v>4301012327</v>
      </c>
      <c r="D364" s="714">
        <v>4680115887992</v>
      </c>
      <c r="E364" s="71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134</v>
      </c>
      <c r="L364" s="37" t="s">
        <v>46</v>
      </c>
      <c r="M364" s="38" t="s">
        <v>86</v>
      </c>
      <c r="N364" s="38"/>
      <c r="O364" s="37">
        <v>60</v>
      </c>
      <c r="P364" s="90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716"/>
      <c r="R364" s="716"/>
      <c r="S364" s="716"/>
      <c r="T364" s="71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597</v>
      </c>
      <c r="AG364" s="78"/>
      <c r="AJ364" s="84" t="s">
        <v>46</v>
      </c>
      <c r="AK364" s="84">
        <v>0</v>
      </c>
      <c r="BB364" s="44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721"/>
      <c r="B365" s="721"/>
      <c r="C365" s="721"/>
      <c r="D365" s="721"/>
      <c r="E365" s="721"/>
      <c r="F365" s="721"/>
      <c r="G365" s="721"/>
      <c r="H365" s="721"/>
      <c r="I365" s="721"/>
      <c r="J365" s="721"/>
      <c r="K365" s="721"/>
      <c r="L365" s="721"/>
      <c r="M365" s="721"/>
      <c r="N365" s="721"/>
      <c r="O365" s="722"/>
      <c r="P365" s="718" t="s">
        <v>40</v>
      </c>
      <c r="Q365" s="719"/>
      <c r="R365" s="719"/>
      <c r="S365" s="719"/>
      <c r="T365" s="719"/>
      <c r="U365" s="719"/>
      <c r="V365" s="720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21"/>
      <c r="B366" s="721"/>
      <c r="C366" s="721"/>
      <c r="D366" s="721"/>
      <c r="E366" s="721"/>
      <c r="F366" s="721"/>
      <c r="G366" s="721"/>
      <c r="H366" s="721"/>
      <c r="I366" s="721"/>
      <c r="J366" s="721"/>
      <c r="K366" s="721"/>
      <c r="L366" s="721"/>
      <c r="M366" s="721"/>
      <c r="N366" s="721"/>
      <c r="O366" s="722"/>
      <c r="P366" s="718" t="s">
        <v>40</v>
      </c>
      <c r="Q366" s="719"/>
      <c r="R366" s="719"/>
      <c r="S366" s="719"/>
      <c r="T366" s="719"/>
      <c r="U366" s="719"/>
      <c r="V366" s="720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712" t="s">
        <v>598</v>
      </c>
      <c r="B367" s="712"/>
      <c r="C367" s="712"/>
      <c r="D367" s="712"/>
      <c r="E367" s="712"/>
      <c r="F367" s="712"/>
      <c r="G367" s="712"/>
      <c r="H367" s="712"/>
      <c r="I367" s="712"/>
      <c r="J367" s="712"/>
      <c r="K367" s="712"/>
      <c r="L367" s="712"/>
      <c r="M367" s="712"/>
      <c r="N367" s="712"/>
      <c r="O367" s="712"/>
      <c r="P367" s="712"/>
      <c r="Q367" s="712"/>
      <c r="R367" s="712"/>
      <c r="S367" s="712"/>
      <c r="T367" s="712"/>
      <c r="U367" s="712"/>
      <c r="V367" s="712"/>
      <c r="W367" s="712"/>
      <c r="X367" s="712"/>
      <c r="Y367" s="712"/>
      <c r="Z367" s="712"/>
      <c r="AA367" s="65"/>
      <c r="AB367" s="65"/>
      <c r="AC367" s="79"/>
    </row>
    <row r="368" spans="1:68" ht="14.25" hidden="1" customHeight="1" x14ac:dyDescent="0.25">
      <c r="A368" s="713" t="s">
        <v>129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6"/>
      <c r="AB368" s="66"/>
      <c r="AC368" s="80"/>
    </row>
    <row r="369" spans="1:68" ht="27" hidden="1" customHeight="1" x14ac:dyDescent="0.25">
      <c r="A369" s="63" t="s">
        <v>599</v>
      </c>
      <c r="B369" s="63" t="s">
        <v>600</v>
      </c>
      <c r="C369" s="36">
        <v>4301012360</v>
      </c>
      <c r="D369" s="714">
        <v>4680115889293</v>
      </c>
      <c r="E369" s="714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134</v>
      </c>
      <c r="L369" s="37" t="s">
        <v>46</v>
      </c>
      <c r="M369" s="38" t="s">
        <v>133</v>
      </c>
      <c r="N369" s="38"/>
      <c r="O369" s="37">
        <v>55</v>
      </c>
      <c r="P369" s="90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716"/>
      <c r="R369" s="716"/>
      <c r="S369" s="716"/>
      <c r="T369" s="71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601</v>
      </c>
      <c r="AG369" s="78"/>
      <c r="AJ369" s="84" t="s">
        <v>46</v>
      </c>
      <c r="AK369" s="84">
        <v>0</v>
      </c>
      <c r="BB369" s="451" t="s">
        <v>66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hidden="1" customHeight="1" x14ac:dyDescent="0.25">
      <c r="A370" s="63" t="s">
        <v>602</v>
      </c>
      <c r="B370" s="63" t="s">
        <v>603</v>
      </c>
      <c r="C370" s="36">
        <v>4301012235</v>
      </c>
      <c r="D370" s="714">
        <v>4680115887190</v>
      </c>
      <c r="E370" s="71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134</v>
      </c>
      <c r="L370" s="37" t="s">
        <v>46</v>
      </c>
      <c r="M370" s="38" t="s">
        <v>133</v>
      </c>
      <c r="N370" s="38"/>
      <c r="O370" s="37">
        <v>55</v>
      </c>
      <c r="P370" s="90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16"/>
      <c r="R370" s="716"/>
      <c r="S370" s="716"/>
      <c r="T370" s="71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604</v>
      </c>
      <c r="AG370" s="78"/>
      <c r="AJ370" s="84" t="s">
        <v>46</v>
      </c>
      <c r="AK370" s="84">
        <v>0</v>
      </c>
      <c r="BB370" s="453" t="s">
        <v>66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hidden="1" customHeight="1" x14ac:dyDescent="0.25">
      <c r="A371" s="63" t="s">
        <v>605</v>
      </c>
      <c r="B371" s="63" t="s">
        <v>606</v>
      </c>
      <c r="C371" s="36">
        <v>4301012400</v>
      </c>
      <c r="D371" s="714">
        <v>4680115889880</v>
      </c>
      <c r="E371" s="71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134</v>
      </c>
      <c r="L371" s="37" t="s">
        <v>46</v>
      </c>
      <c r="M371" s="38" t="s">
        <v>133</v>
      </c>
      <c r="N371" s="38"/>
      <c r="O371" s="37">
        <v>55</v>
      </c>
      <c r="P371" s="90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716"/>
      <c r="R371" s="716"/>
      <c r="S371" s="716"/>
      <c r="T371" s="71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507</v>
      </c>
      <c r="AG371" s="78"/>
      <c r="AJ371" s="84" t="s">
        <v>46</v>
      </c>
      <c r="AK371" s="84">
        <v>0</v>
      </c>
      <c r="BB371" s="455" t="s">
        <v>66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hidden="1" customHeight="1" x14ac:dyDescent="0.25">
      <c r="A372" s="63" t="s">
        <v>607</v>
      </c>
      <c r="B372" s="63" t="s">
        <v>608</v>
      </c>
      <c r="C372" s="36">
        <v>4301012233</v>
      </c>
      <c r="D372" s="714">
        <v>4680115887138</v>
      </c>
      <c r="E372" s="71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134</v>
      </c>
      <c r="L372" s="37" t="s">
        <v>46</v>
      </c>
      <c r="M372" s="38" t="s">
        <v>133</v>
      </c>
      <c r="N372" s="38"/>
      <c r="O372" s="37">
        <v>55</v>
      </c>
      <c r="P372" s="9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16"/>
      <c r="R372" s="716"/>
      <c r="S372" s="716"/>
      <c r="T372" s="71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609</v>
      </c>
      <c r="AG372" s="78"/>
      <c r="AJ372" s="84" t="s">
        <v>46</v>
      </c>
      <c r="AK372" s="84">
        <v>0</v>
      </c>
      <c r="BB372" s="457" t="s">
        <v>66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610</v>
      </c>
      <c r="B373" s="63" t="s">
        <v>611</v>
      </c>
      <c r="C373" s="36">
        <v>4301012016</v>
      </c>
      <c r="D373" s="714">
        <v>4680115885554</v>
      </c>
      <c r="E373" s="71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134</v>
      </c>
      <c r="L373" s="37" t="s">
        <v>46</v>
      </c>
      <c r="M373" s="38" t="s">
        <v>86</v>
      </c>
      <c r="N373" s="38"/>
      <c r="O373" s="37">
        <v>55</v>
      </c>
      <c r="P373" s="9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16"/>
      <c r="R373" s="716"/>
      <c r="S373" s="716"/>
      <c r="T373" s="71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612</v>
      </c>
      <c r="AG373" s="78"/>
      <c r="AJ373" s="84" t="s">
        <v>46</v>
      </c>
      <c r="AK373" s="84">
        <v>0</v>
      </c>
      <c r="BB373" s="459" t="s">
        <v>66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hidden="1" customHeight="1" x14ac:dyDescent="0.25">
      <c r="A374" s="63" t="s">
        <v>613</v>
      </c>
      <c r="B374" s="63" t="s">
        <v>614</v>
      </c>
      <c r="C374" s="36">
        <v>4301012236</v>
      </c>
      <c r="D374" s="714">
        <v>4680115887220</v>
      </c>
      <c r="E374" s="71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141</v>
      </c>
      <c r="L374" s="37" t="s">
        <v>46</v>
      </c>
      <c r="M374" s="38" t="s">
        <v>133</v>
      </c>
      <c r="N374" s="38"/>
      <c r="O374" s="37">
        <v>55</v>
      </c>
      <c r="P374" s="9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16"/>
      <c r="R374" s="716"/>
      <c r="S374" s="716"/>
      <c r="T374" s="71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604</v>
      </c>
      <c r="AG374" s="78"/>
      <c r="AJ374" s="84" t="s">
        <v>46</v>
      </c>
      <c r="AK374" s="84">
        <v>0</v>
      </c>
      <c r="BB374" s="461" t="s">
        <v>66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615</v>
      </c>
      <c r="B375" s="63" t="s">
        <v>616</v>
      </c>
      <c r="C375" s="36">
        <v>4301011859</v>
      </c>
      <c r="D375" s="714">
        <v>4680115885608</v>
      </c>
      <c r="E375" s="71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141</v>
      </c>
      <c r="L375" s="37" t="s">
        <v>46</v>
      </c>
      <c r="M375" s="38" t="s">
        <v>133</v>
      </c>
      <c r="N375" s="38"/>
      <c r="O375" s="37">
        <v>55</v>
      </c>
      <c r="P375" s="91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16"/>
      <c r="R375" s="716"/>
      <c r="S375" s="716"/>
      <c r="T375" s="71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617</v>
      </c>
      <c r="AG375" s="78"/>
      <c r="AJ375" s="84" t="s">
        <v>46</v>
      </c>
      <c r="AK375" s="84">
        <v>0</v>
      </c>
      <c r="BB375" s="463" t="s">
        <v>66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idden="1" x14ac:dyDescent="0.2">
      <c r="A376" s="721"/>
      <c r="B376" s="721"/>
      <c r="C376" s="721"/>
      <c r="D376" s="721"/>
      <c r="E376" s="721"/>
      <c r="F376" s="721"/>
      <c r="G376" s="721"/>
      <c r="H376" s="721"/>
      <c r="I376" s="721"/>
      <c r="J376" s="721"/>
      <c r="K376" s="721"/>
      <c r="L376" s="721"/>
      <c r="M376" s="721"/>
      <c r="N376" s="721"/>
      <c r="O376" s="722"/>
      <c r="P376" s="718" t="s">
        <v>40</v>
      </c>
      <c r="Q376" s="719"/>
      <c r="R376" s="719"/>
      <c r="S376" s="719"/>
      <c r="T376" s="719"/>
      <c r="U376" s="719"/>
      <c r="V376" s="72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1"/>
      <c r="B377" s="721"/>
      <c r="C377" s="721"/>
      <c r="D377" s="721"/>
      <c r="E377" s="721"/>
      <c r="F377" s="721"/>
      <c r="G377" s="721"/>
      <c r="H377" s="721"/>
      <c r="I377" s="721"/>
      <c r="J377" s="721"/>
      <c r="K377" s="721"/>
      <c r="L377" s="721"/>
      <c r="M377" s="721"/>
      <c r="N377" s="721"/>
      <c r="O377" s="722"/>
      <c r="P377" s="718" t="s">
        <v>40</v>
      </c>
      <c r="Q377" s="719"/>
      <c r="R377" s="719"/>
      <c r="S377" s="719"/>
      <c r="T377" s="719"/>
      <c r="U377" s="719"/>
      <c r="V377" s="72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3" t="s">
        <v>76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6"/>
      <c r="AB378" s="66"/>
      <c r="AC378" s="80"/>
    </row>
    <row r="379" spans="1:68" ht="27" hidden="1" customHeight="1" x14ac:dyDescent="0.25">
      <c r="A379" s="63" t="s">
        <v>618</v>
      </c>
      <c r="B379" s="63" t="s">
        <v>619</v>
      </c>
      <c r="C379" s="36">
        <v>4301030878</v>
      </c>
      <c r="D379" s="714">
        <v>4607091387193</v>
      </c>
      <c r="E379" s="71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141</v>
      </c>
      <c r="L379" s="37" t="s">
        <v>46</v>
      </c>
      <c r="M379" s="38" t="s">
        <v>80</v>
      </c>
      <c r="N379" s="38"/>
      <c r="O379" s="37">
        <v>35</v>
      </c>
      <c r="P379" s="91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16"/>
      <c r="R379" s="716"/>
      <c r="S379" s="716"/>
      <c r="T379" s="71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620</v>
      </c>
      <c r="AG379" s="78"/>
      <c r="AJ379" s="84" t="s">
        <v>46</v>
      </c>
      <c r="AK379" s="84">
        <v>0</v>
      </c>
      <c r="BB379" s="465" t="s">
        <v>66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hidden="1" customHeight="1" x14ac:dyDescent="0.25">
      <c r="A380" s="63" t="s">
        <v>621</v>
      </c>
      <c r="B380" s="63" t="s">
        <v>622</v>
      </c>
      <c r="C380" s="36">
        <v>4301031153</v>
      </c>
      <c r="D380" s="714">
        <v>4607091387230</v>
      </c>
      <c r="E380" s="71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141</v>
      </c>
      <c r="L380" s="37" t="s">
        <v>46</v>
      </c>
      <c r="M380" s="38" t="s">
        <v>80</v>
      </c>
      <c r="N380" s="38"/>
      <c r="O380" s="37">
        <v>40</v>
      </c>
      <c r="P380" s="91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16"/>
      <c r="R380" s="716"/>
      <c r="S380" s="716"/>
      <c r="T380" s="71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623</v>
      </c>
      <c r="AG380" s="78"/>
      <c r="AJ380" s="84" t="s">
        <v>46</v>
      </c>
      <c r="AK380" s="84">
        <v>0</v>
      </c>
      <c r="BB380" s="467" t="s">
        <v>66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hidden="1" customHeight="1" x14ac:dyDescent="0.25">
      <c r="A381" s="63" t="s">
        <v>624</v>
      </c>
      <c r="B381" s="63" t="s">
        <v>625</v>
      </c>
      <c r="C381" s="36">
        <v>4301031154</v>
      </c>
      <c r="D381" s="714">
        <v>4607091387292</v>
      </c>
      <c r="E381" s="71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141</v>
      </c>
      <c r="L381" s="37" t="s">
        <v>46</v>
      </c>
      <c r="M381" s="38" t="s">
        <v>80</v>
      </c>
      <c r="N381" s="38"/>
      <c r="O381" s="37">
        <v>45</v>
      </c>
      <c r="P381" s="91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16"/>
      <c r="R381" s="716"/>
      <c r="S381" s="716"/>
      <c r="T381" s="71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626</v>
      </c>
      <c r="AG381" s="78"/>
      <c r="AJ381" s="84" t="s">
        <v>46</v>
      </c>
      <c r="AK381" s="84">
        <v>0</v>
      </c>
      <c r="BB381" s="469" t="s">
        <v>66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hidden="1" customHeight="1" x14ac:dyDescent="0.25">
      <c r="A382" s="63" t="s">
        <v>627</v>
      </c>
      <c r="B382" s="63" t="s">
        <v>628</v>
      </c>
      <c r="C382" s="36">
        <v>4301031152</v>
      </c>
      <c r="D382" s="714">
        <v>4607091387285</v>
      </c>
      <c r="E382" s="71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91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16"/>
      <c r="R382" s="716"/>
      <c r="S382" s="716"/>
      <c r="T382" s="71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623</v>
      </c>
      <c r="AG382" s="78"/>
      <c r="AJ382" s="84" t="s">
        <v>46</v>
      </c>
      <c r="AK382" s="84">
        <v>0</v>
      </c>
      <c r="BB382" s="471" t="s">
        <v>66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629</v>
      </c>
      <c r="B383" s="63" t="s">
        <v>630</v>
      </c>
      <c r="C383" s="36">
        <v>4301031305</v>
      </c>
      <c r="D383" s="714">
        <v>4607091389845</v>
      </c>
      <c r="E383" s="71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81</v>
      </c>
      <c r="L383" s="37" t="s">
        <v>46</v>
      </c>
      <c r="M383" s="38" t="s">
        <v>80</v>
      </c>
      <c r="N383" s="38"/>
      <c r="O383" s="37">
        <v>40</v>
      </c>
      <c r="P383" s="91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16"/>
      <c r="R383" s="716"/>
      <c r="S383" s="716"/>
      <c r="T383" s="71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631</v>
      </c>
      <c r="AG383" s="78"/>
      <c r="AJ383" s="84" t="s">
        <v>46</v>
      </c>
      <c r="AK383" s="84">
        <v>0</v>
      </c>
      <c r="BB383" s="473" t="s">
        <v>66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632</v>
      </c>
      <c r="B384" s="63" t="s">
        <v>633</v>
      </c>
      <c r="C384" s="36">
        <v>4301031460</v>
      </c>
      <c r="D384" s="714">
        <v>4680115887442</v>
      </c>
      <c r="E384" s="71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141</v>
      </c>
      <c r="L384" s="37" t="s">
        <v>46</v>
      </c>
      <c r="M384" s="38" t="s">
        <v>80</v>
      </c>
      <c r="N384" s="38"/>
      <c r="O384" s="37">
        <v>45</v>
      </c>
      <c r="P384" s="91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16"/>
      <c r="R384" s="716"/>
      <c r="S384" s="716"/>
      <c r="T384" s="71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626</v>
      </c>
      <c r="AG384" s="78"/>
      <c r="AJ384" s="84" t="s">
        <v>46</v>
      </c>
      <c r="AK384" s="84">
        <v>0</v>
      </c>
      <c r="BB384" s="475" t="s">
        <v>66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634</v>
      </c>
      <c r="B385" s="63" t="s">
        <v>635</v>
      </c>
      <c r="C385" s="36">
        <v>4301031066</v>
      </c>
      <c r="D385" s="714">
        <v>4607091383836</v>
      </c>
      <c r="E385" s="71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87</v>
      </c>
      <c r="L385" s="37" t="s">
        <v>46</v>
      </c>
      <c r="M385" s="38" t="s">
        <v>80</v>
      </c>
      <c r="N385" s="38"/>
      <c r="O385" s="37">
        <v>40</v>
      </c>
      <c r="P385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16"/>
      <c r="R385" s="716"/>
      <c r="S385" s="716"/>
      <c r="T385" s="71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636</v>
      </c>
      <c r="AG385" s="78"/>
      <c r="AJ385" s="84" t="s">
        <v>46</v>
      </c>
      <c r="AK385" s="84">
        <v>0</v>
      </c>
      <c r="BB385" s="477" t="s">
        <v>66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idden="1" x14ac:dyDescent="0.2">
      <c r="A386" s="721"/>
      <c r="B386" s="721"/>
      <c r="C386" s="721"/>
      <c r="D386" s="721"/>
      <c r="E386" s="721"/>
      <c r="F386" s="721"/>
      <c r="G386" s="721"/>
      <c r="H386" s="721"/>
      <c r="I386" s="721"/>
      <c r="J386" s="721"/>
      <c r="K386" s="721"/>
      <c r="L386" s="721"/>
      <c r="M386" s="721"/>
      <c r="N386" s="721"/>
      <c r="O386" s="722"/>
      <c r="P386" s="718" t="s">
        <v>40</v>
      </c>
      <c r="Q386" s="719"/>
      <c r="R386" s="719"/>
      <c r="S386" s="719"/>
      <c r="T386" s="719"/>
      <c r="U386" s="719"/>
      <c r="V386" s="720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1"/>
      <c r="B387" s="721"/>
      <c r="C387" s="721"/>
      <c r="D387" s="721"/>
      <c r="E387" s="721"/>
      <c r="F387" s="721"/>
      <c r="G387" s="721"/>
      <c r="H387" s="721"/>
      <c r="I387" s="721"/>
      <c r="J387" s="721"/>
      <c r="K387" s="721"/>
      <c r="L387" s="721"/>
      <c r="M387" s="721"/>
      <c r="N387" s="721"/>
      <c r="O387" s="722"/>
      <c r="P387" s="718" t="s">
        <v>40</v>
      </c>
      <c r="Q387" s="719"/>
      <c r="R387" s="719"/>
      <c r="S387" s="719"/>
      <c r="T387" s="719"/>
      <c r="U387" s="719"/>
      <c r="V387" s="720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13" t="s">
        <v>82</v>
      </c>
      <c r="B388" s="713"/>
      <c r="C388" s="713"/>
      <c r="D388" s="713"/>
      <c r="E388" s="713"/>
      <c r="F388" s="713"/>
      <c r="G388" s="713"/>
      <c r="H388" s="713"/>
      <c r="I388" s="713"/>
      <c r="J388" s="713"/>
      <c r="K388" s="713"/>
      <c r="L388" s="713"/>
      <c r="M388" s="713"/>
      <c r="N388" s="713"/>
      <c r="O388" s="713"/>
      <c r="P388" s="713"/>
      <c r="Q388" s="713"/>
      <c r="R388" s="713"/>
      <c r="S388" s="713"/>
      <c r="T388" s="713"/>
      <c r="U388" s="713"/>
      <c r="V388" s="713"/>
      <c r="W388" s="713"/>
      <c r="X388" s="713"/>
      <c r="Y388" s="713"/>
      <c r="Z388" s="713"/>
      <c r="AA388" s="66"/>
      <c r="AB388" s="66"/>
      <c r="AC388" s="80"/>
    </row>
    <row r="389" spans="1:68" ht="27" hidden="1" customHeight="1" x14ac:dyDescent="0.25">
      <c r="A389" s="63" t="s">
        <v>637</v>
      </c>
      <c r="B389" s="63" t="s">
        <v>638</v>
      </c>
      <c r="C389" s="36">
        <v>4301051100</v>
      </c>
      <c r="D389" s="714">
        <v>4607091387766</v>
      </c>
      <c r="E389" s="71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134</v>
      </c>
      <c r="L389" s="37" t="s">
        <v>46</v>
      </c>
      <c r="M389" s="38" t="s">
        <v>86</v>
      </c>
      <c r="N389" s="38"/>
      <c r="O389" s="37">
        <v>40</v>
      </c>
      <c r="P389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16"/>
      <c r="R389" s="716"/>
      <c r="S389" s="716"/>
      <c r="T389" s="71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639</v>
      </c>
      <c r="AG389" s="78"/>
      <c r="AJ389" s="84" t="s">
        <v>46</v>
      </c>
      <c r="AK389" s="84">
        <v>0</v>
      </c>
      <c r="BB389" s="47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640</v>
      </c>
      <c r="B390" s="63" t="s">
        <v>641</v>
      </c>
      <c r="C390" s="36">
        <v>4301051818</v>
      </c>
      <c r="D390" s="714">
        <v>4607091387957</v>
      </c>
      <c r="E390" s="71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134</v>
      </c>
      <c r="L390" s="37" t="s">
        <v>46</v>
      </c>
      <c r="M390" s="38" t="s">
        <v>86</v>
      </c>
      <c r="N390" s="38"/>
      <c r="O390" s="37">
        <v>40</v>
      </c>
      <c r="P390" s="9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16"/>
      <c r="R390" s="716"/>
      <c r="S390" s="716"/>
      <c r="T390" s="71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642</v>
      </c>
      <c r="AG390" s="78"/>
      <c r="AJ390" s="84" t="s">
        <v>46</v>
      </c>
      <c r="AK390" s="84">
        <v>0</v>
      </c>
      <c r="BB390" s="48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643</v>
      </c>
      <c r="B391" s="63" t="s">
        <v>644</v>
      </c>
      <c r="C391" s="36">
        <v>4301051819</v>
      </c>
      <c r="D391" s="714">
        <v>4607091387964</v>
      </c>
      <c r="E391" s="71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134</v>
      </c>
      <c r="L391" s="37" t="s">
        <v>46</v>
      </c>
      <c r="M391" s="38" t="s">
        <v>86</v>
      </c>
      <c r="N391" s="38"/>
      <c r="O391" s="37">
        <v>40</v>
      </c>
      <c r="P391" s="9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16"/>
      <c r="R391" s="716"/>
      <c r="S391" s="716"/>
      <c r="T391" s="71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645</v>
      </c>
      <c r="AG391" s="78"/>
      <c r="AJ391" s="84" t="s">
        <v>46</v>
      </c>
      <c r="AK391" s="84">
        <v>0</v>
      </c>
      <c r="BB391" s="48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646</v>
      </c>
      <c r="B392" s="63" t="s">
        <v>647</v>
      </c>
      <c r="C392" s="36">
        <v>4301051734</v>
      </c>
      <c r="D392" s="714">
        <v>4680115884588</v>
      </c>
      <c r="E392" s="71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87</v>
      </c>
      <c r="L392" s="37" t="s">
        <v>46</v>
      </c>
      <c r="M392" s="38" t="s">
        <v>86</v>
      </c>
      <c r="N392" s="38"/>
      <c r="O392" s="37">
        <v>40</v>
      </c>
      <c r="P392" s="9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16"/>
      <c r="R392" s="716"/>
      <c r="S392" s="716"/>
      <c r="T392" s="71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639</v>
      </c>
      <c r="AG392" s="78"/>
      <c r="AJ392" s="84" t="s">
        <v>46</v>
      </c>
      <c r="AK392" s="84">
        <v>0</v>
      </c>
      <c r="BB392" s="485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21"/>
      <c r="B393" s="721"/>
      <c r="C393" s="721"/>
      <c r="D393" s="721"/>
      <c r="E393" s="721"/>
      <c r="F393" s="721"/>
      <c r="G393" s="721"/>
      <c r="H393" s="721"/>
      <c r="I393" s="721"/>
      <c r="J393" s="721"/>
      <c r="K393" s="721"/>
      <c r="L393" s="721"/>
      <c r="M393" s="721"/>
      <c r="N393" s="721"/>
      <c r="O393" s="722"/>
      <c r="P393" s="718" t="s">
        <v>40</v>
      </c>
      <c r="Q393" s="719"/>
      <c r="R393" s="719"/>
      <c r="S393" s="719"/>
      <c r="T393" s="719"/>
      <c r="U393" s="719"/>
      <c r="V393" s="72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21"/>
      <c r="B394" s="721"/>
      <c r="C394" s="721"/>
      <c r="D394" s="721"/>
      <c r="E394" s="721"/>
      <c r="F394" s="721"/>
      <c r="G394" s="721"/>
      <c r="H394" s="721"/>
      <c r="I394" s="721"/>
      <c r="J394" s="721"/>
      <c r="K394" s="721"/>
      <c r="L394" s="721"/>
      <c r="M394" s="721"/>
      <c r="N394" s="721"/>
      <c r="O394" s="722"/>
      <c r="P394" s="718" t="s">
        <v>40</v>
      </c>
      <c r="Q394" s="719"/>
      <c r="R394" s="719"/>
      <c r="S394" s="719"/>
      <c r="T394" s="719"/>
      <c r="U394" s="719"/>
      <c r="V394" s="72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13" t="s">
        <v>182</v>
      </c>
      <c r="B395" s="713"/>
      <c r="C395" s="713"/>
      <c r="D395" s="713"/>
      <c r="E395" s="713"/>
      <c r="F395" s="713"/>
      <c r="G395" s="713"/>
      <c r="H395" s="713"/>
      <c r="I395" s="713"/>
      <c r="J395" s="713"/>
      <c r="K395" s="713"/>
      <c r="L395" s="713"/>
      <c r="M395" s="713"/>
      <c r="N395" s="713"/>
      <c r="O395" s="713"/>
      <c r="P395" s="713"/>
      <c r="Q395" s="713"/>
      <c r="R395" s="713"/>
      <c r="S395" s="713"/>
      <c r="T395" s="713"/>
      <c r="U395" s="713"/>
      <c r="V395" s="713"/>
      <c r="W395" s="713"/>
      <c r="X395" s="713"/>
      <c r="Y395" s="713"/>
      <c r="Z395" s="713"/>
      <c r="AA395" s="66"/>
      <c r="AB395" s="66"/>
      <c r="AC395" s="80"/>
    </row>
    <row r="396" spans="1:68" ht="27" hidden="1" customHeight="1" x14ac:dyDescent="0.25">
      <c r="A396" s="63" t="s">
        <v>648</v>
      </c>
      <c r="B396" s="63" t="s">
        <v>649</v>
      </c>
      <c r="C396" s="36">
        <v>4301060387</v>
      </c>
      <c r="D396" s="714">
        <v>4607091380880</v>
      </c>
      <c r="E396" s="71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134</v>
      </c>
      <c r="L396" s="37" t="s">
        <v>46</v>
      </c>
      <c r="M396" s="38" t="s">
        <v>86</v>
      </c>
      <c r="N396" s="38"/>
      <c r="O396" s="37">
        <v>30</v>
      </c>
      <c r="P396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16"/>
      <c r="R396" s="716"/>
      <c r="S396" s="716"/>
      <c r="T396" s="71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650</v>
      </c>
      <c r="AG396" s="78"/>
      <c r="AJ396" s="84" t="s">
        <v>46</v>
      </c>
      <c r="AK396" s="84">
        <v>0</v>
      </c>
      <c r="BB396" s="48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651</v>
      </c>
      <c r="B397" s="63" t="s">
        <v>652</v>
      </c>
      <c r="C397" s="36">
        <v>4301060406</v>
      </c>
      <c r="D397" s="714">
        <v>4607091384482</v>
      </c>
      <c r="E397" s="71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134</v>
      </c>
      <c r="L397" s="37" t="s">
        <v>46</v>
      </c>
      <c r="M397" s="38" t="s">
        <v>86</v>
      </c>
      <c r="N397" s="38"/>
      <c r="O397" s="37">
        <v>30</v>
      </c>
      <c r="P397" s="92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16"/>
      <c r="R397" s="716"/>
      <c r="S397" s="716"/>
      <c r="T397" s="71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653</v>
      </c>
      <c r="AG397" s="78"/>
      <c r="AJ397" s="84" t="s">
        <v>46</v>
      </c>
      <c r="AK397" s="84">
        <v>0</v>
      </c>
      <c r="BB397" s="48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654</v>
      </c>
      <c r="B398" s="63" t="s">
        <v>655</v>
      </c>
      <c r="C398" s="36">
        <v>4301060484</v>
      </c>
      <c r="D398" s="714">
        <v>4607091380897</v>
      </c>
      <c r="E398" s="71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134</v>
      </c>
      <c r="L398" s="37" t="s">
        <v>46</v>
      </c>
      <c r="M398" s="38" t="s">
        <v>93</v>
      </c>
      <c r="N398" s="38"/>
      <c r="O398" s="37">
        <v>30</v>
      </c>
      <c r="P398" s="92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16"/>
      <c r="R398" s="716"/>
      <c r="S398" s="716"/>
      <c r="T398" s="71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656</v>
      </c>
      <c r="AG398" s="78"/>
      <c r="AJ398" s="84" t="s">
        <v>46</v>
      </c>
      <c r="AK398" s="84">
        <v>0</v>
      </c>
      <c r="BB398" s="49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1"/>
      <c r="B399" s="721"/>
      <c r="C399" s="721"/>
      <c r="D399" s="721"/>
      <c r="E399" s="721"/>
      <c r="F399" s="721"/>
      <c r="G399" s="721"/>
      <c r="H399" s="721"/>
      <c r="I399" s="721"/>
      <c r="J399" s="721"/>
      <c r="K399" s="721"/>
      <c r="L399" s="721"/>
      <c r="M399" s="721"/>
      <c r="N399" s="721"/>
      <c r="O399" s="722"/>
      <c r="P399" s="718" t="s">
        <v>40</v>
      </c>
      <c r="Q399" s="719"/>
      <c r="R399" s="719"/>
      <c r="S399" s="719"/>
      <c r="T399" s="719"/>
      <c r="U399" s="719"/>
      <c r="V399" s="720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1"/>
      <c r="B400" s="721"/>
      <c r="C400" s="721"/>
      <c r="D400" s="721"/>
      <c r="E400" s="721"/>
      <c r="F400" s="721"/>
      <c r="G400" s="721"/>
      <c r="H400" s="721"/>
      <c r="I400" s="721"/>
      <c r="J400" s="721"/>
      <c r="K400" s="721"/>
      <c r="L400" s="721"/>
      <c r="M400" s="721"/>
      <c r="N400" s="721"/>
      <c r="O400" s="722"/>
      <c r="P400" s="718" t="s">
        <v>40</v>
      </c>
      <c r="Q400" s="719"/>
      <c r="R400" s="719"/>
      <c r="S400" s="719"/>
      <c r="T400" s="719"/>
      <c r="U400" s="719"/>
      <c r="V400" s="720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13" t="s">
        <v>100</v>
      </c>
      <c r="B401" s="713"/>
      <c r="C401" s="713"/>
      <c r="D401" s="713"/>
      <c r="E401" s="713"/>
      <c r="F401" s="713"/>
      <c r="G401" s="713"/>
      <c r="H401" s="713"/>
      <c r="I401" s="713"/>
      <c r="J401" s="713"/>
      <c r="K401" s="713"/>
      <c r="L401" s="713"/>
      <c r="M401" s="713"/>
      <c r="N401" s="713"/>
      <c r="O401" s="713"/>
      <c r="P401" s="713"/>
      <c r="Q401" s="713"/>
      <c r="R401" s="713"/>
      <c r="S401" s="713"/>
      <c r="T401" s="713"/>
      <c r="U401" s="713"/>
      <c r="V401" s="713"/>
      <c r="W401" s="713"/>
      <c r="X401" s="713"/>
      <c r="Y401" s="713"/>
      <c r="Z401" s="713"/>
      <c r="AA401" s="66"/>
      <c r="AB401" s="66"/>
      <c r="AC401" s="80"/>
    </row>
    <row r="402" spans="1:68" ht="27" hidden="1" customHeight="1" x14ac:dyDescent="0.25">
      <c r="A402" s="63" t="s">
        <v>657</v>
      </c>
      <c r="B402" s="63" t="s">
        <v>658</v>
      </c>
      <c r="C402" s="36">
        <v>4301030235</v>
      </c>
      <c r="D402" s="714">
        <v>4607091388381</v>
      </c>
      <c r="E402" s="71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141</v>
      </c>
      <c r="L402" s="37" t="s">
        <v>46</v>
      </c>
      <c r="M402" s="38" t="s">
        <v>260</v>
      </c>
      <c r="N402" s="38"/>
      <c r="O402" s="37">
        <v>180</v>
      </c>
      <c r="P402" s="9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16"/>
      <c r="R402" s="716"/>
      <c r="S402" s="716"/>
      <c r="T402" s="71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659</v>
      </c>
      <c r="AG402" s="78"/>
      <c r="AJ402" s="84" t="s">
        <v>46</v>
      </c>
      <c r="AK402" s="84">
        <v>0</v>
      </c>
      <c r="BB402" s="49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660</v>
      </c>
      <c r="B403" s="63" t="s">
        <v>661</v>
      </c>
      <c r="C403" s="36">
        <v>4301030232</v>
      </c>
      <c r="D403" s="714">
        <v>4607091388374</v>
      </c>
      <c r="E403" s="71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141</v>
      </c>
      <c r="L403" s="37" t="s">
        <v>46</v>
      </c>
      <c r="M403" s="38" t="s">
        <v>260</v>
      </c>
      <c r="N403" s="38"/>
      <c r="O403" s="37">
        <v>180</v>
      </c>
      <c r="P403" s="9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16"/>
      <c r="R403" s="716"/>
      <c r="S403" s="716"/>
      <c r="T403" s="71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659</v>
      </c>
      <c r="AG403" s="78"/>
      <c r="AJ403" s="84" t="s">
        <v>46</v>
      </c>
      <c r="AK403" s="84">
        <v>0</v>
      </c>
      <c r="BB403" s="49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662</v>
      </c>
      <c r="B404" s="63" t="s">
        <v>663</v>
      </c>
      <c r="C404" s="36">
        <v>4301032015</v>
      </c>
      <c r="D404" s="714">
        <v>4607091383102</v>
      </c>
      <c r="E404" s="71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87</v>
      </c>
      <c r="L404" s="37" t="s">
        <v>46</v>
      </c>
      <c r="M404" s="38" t="s">
        <v>260</v>
      </c>
      <c r="N404" s="38"/>
      <c r="O404" s="37">
        <v>180</v>
      </c>
      <c r="P404" s="9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16"/>
      <c r="R404" s="716"/>
      <c r="S404" s="716"/>
      <c r="T404" s="71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659</v>
      </c>
      <c r="AG404" s="78"/>
      <c r="AJ404" s="84" t="s">
        <v>46</v>
      </c>
      <c r="AK404" s="84">
        <v>0</v>
      </c>
      <c r="BB404" s="49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664</v>
      </c>
      <c r="B405" s="63" t="s">
        <v>665</v>
      </c>
      <c r="C405" s="36">
        <v>4301030233</v>
      </c>
      <c r="D405" s="714">
        <v>4607091388404</v>
      </c>
      <c r="E405" s="71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87</v>
      </c>
      <c r="L405" s="37" t="s">
        <v>46</v>
      </c>
      <c r="M405" s="38" t="s">
        <v>260</v>
      </c>
      <c r="N405" s="38"/>
      <c r="O405" s="37">
        <v>180</v>
      </c>
      <c r="P405" s="9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16"/>
      <c r="R405" s="716"/>
      <c r="S405" s="716"/>
      <c r="T405" s="71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659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21"/>
      <c r="B406" s="721"/>
      <c r="C406" s="721"/>
      <c r="D406" s="721"/>
      <c r="E406" s="721"/>
      <c r="F406" s="721"/>
      <c r="G406" s="721"/>
      <c r="H406" s="721"/>
      <c r="I406" s="721"/>
      <c r="J406" s="721"/>
      <c r="K406" s="721"/>
      <c r="L406" s="721"/>
      <c r="M406" s="721"/>
      <c r="N406" s="721"/>
      <c r="O406" s="722"/>
      <c r="P406" s="718" t="s">
        <v>40</v>
      </c>
      <c r="Q406" s="719"/>
      <c r="R406" s="719"/>
      <c r="S406" s="719"/>
      <c r="T406" s="719"/>
      <c r="U406" s="719"/>
      <c r="V406" s="72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21"/>
      <c r="B407" s="721"/>
      <c r="C407" s="721"/>
      <c r="D407" s="721"/>
      <c r="E407" s="721"/>
      <c r="F407" s="721"/>
      <c r="G407" s="721"/>
      <c r="H407" s="721"/>
      <c r="I407" s="721"/>
      <c r="J407" s="721"/>
      <c r="K407" s="721"/>
      <c r="L407" s="721"/>
      <c r="M407" s="721"/>
      <c r="N407" s="721"/>
      <c r="O407" s="722"/>
      <c r="P407" s="718" t="s">
        <v>40</v>
      </c>
      <c r="Q407" s="719"/>
      <c r="R407" s="719"/>
      <c r="S407" s="719"/>
      <c r="T407" s="719"/>
      <c r="U407" s="719"/>
      <c r="V407" s="72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13" t="s">
        <v>666</v>
      </c>
      <c r="B408" s="713"/>
      <c r="C408" s="713"/>
      <c r="D408" s="713"/>
      <c r="E408" s="713"/>
      <c r="F408" s="713"/>
      <c r="G408" s="713"/>
      <c r="H408" s="713"/>
      <c r="I408" s="713"/>
      <c r="J408" s="713"/>
      <c r="K408" s="713"/>
      <c r="L408" s="713"/>
      <c r="M408" s="713"/>
      <c r="N408" s="713"/>
      <c r="O408" s="713"/>
      <c r="P408" s="713"/>
      <c r="Q408" s="713"/>
      <c r="R408" s="713"/>
      <c r="S408" s="713"/>
      <c r="T408" s="713"/>
      <c r="U408" s="713"/>
      <c r="V408" s="713"/>
      <c r="W408" s="713"/>
      <c r="X408" s="713"/>
      <c r="Y408" s="713"/>
      <c r="Z408" s="713"/>
      <c r="AA408" s="66"/>
      <c r="AB408" s="66"/>
      <c r="AC408" s="80"/>
    </row>
    <row r="409" spans="1:68" ht="16.5" hidden="1" customHeight="1" x14ac:dyDescent="0.25">
      <c r="A409" s="63" t="s">
        <v>667</v>
      </c>
      <c r="B409" s="63" t="s">
        <v>668</v>
      </c>
      <c r="C409" s="36">
        <v>4301180007</v>
      </c>
      <c r="D409" s="714">
        <v>4680115881808</v>
      </c>
      <c r="E409" s="71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87</v>
      </c>
      <c r="L409" s="37" t="s">
        <v>46</v>
      </c>
      <c r="M409" s="38" t="s">
        <v>670</v>
      </c>
      <c r="N409" s="38"/>
      <c r="O409" s="37">
        <v>731</v>
      </c>
      <c r="P409" s="9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16"/>
      <c r="R409" s="716"/>
      <c r="S409" s="716"/>
      <c r="T409" s="71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669</v>
      </c>
      <c r="AG409" s="78"/>
      <c r="AJ409" s="84" t="s">
        <v>46</v>
      </c>
      <c r="AK409" s="84">
        <v>0</v>
      </c>
      <c r="BB409" s="50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671</v>
      </c>
      <c r="B410" s="63" t="s">
        <v>672</v>
      </c>
      <c r="C410" s="36">
        <v>4301180006</v>
      </c>
      <c r="D410" s="714">
        <v>4680115881822</v>
      </c>
      <c r="E410" s="71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87</v>
      </c>
      <c r="L410" s="37" t="s">
        <v>46</v>
      </c>
      <c r="M410" s="38" t="s">
        <v>670</v>
      </c>
      <c r="N410" s="38"/>
      <c r="O410" s="37">
        <v>731</v>
      </c>
      <c r="P410" s="9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16"/>
      <c r="R410" s="716"/>
      <c r="S410" s="716"/>
      <c r="T410" s="71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669</v>
      </c>
      <c r="AG410" s="78"/>
      <c r="AJ410" s="84" t="s">
        <v>46</v>
      </c>
      <c r="AK410" s="84">
        <v>0</v>
      </c>
      <c r="BB410" s="50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673</v>
      </c>
      <c r="B411" s="63" t="s">
        <v>674</v>
      </c>
      <c r="C411" s="36">
        <v>4301180001</v>
      </c>
      <c r="D411" s="714">
        <v>4680115880016</v>
      </c>
      <c r="E411" s="71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87</v>
      </c>
      <c r="L411" s="37" t="s">
        <v>46</v>
      </c>
      <c r="M411" s="38" t="s">
        <v>670</v>
      </c>
      <c r="N411" s="38"/>
      <c r="O411" s="37">
        <v>731</v>
      </c>
      <c r="P411" s="9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16"/>
      <c r="R411" s="716"/>
      <c r="S411" s="716"/>
      <c r="T411" s="71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669</v>
      </c>
      <c r="AG411" s="78"/>
      <c r="AJ411" s="84" t="s">
        <v>46</v>
      </c>
      <c r="AK411" s="84">
        <v>0</v>
      </c>
      <c r="BB411" s="505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21"/>
      <c r="B412" s="721"/>
      <c r="C412" s="721"/>
      <c r="D412" s="721"/>
      <c r="E412" s="721"/>
      <c r="F412" s="721"/>
      <c r="G412" s="721"/>
      <c r="H412" s="721"/>
      <c r="I412" s="721"/>
      <c r="J412" s="721"/>
      <c r="K412" s="721"/>
      <c r="L412" s="721"/>
      <c r="M412" s="721"/>
      <c r="N412" s="721"/>
      <c r="O412" s="722"/>
      <c r="P412" s="718" t="s">
        <v>40</v>
      </c>
      <c r="Q412" s="719"/>
      <c r="R412" s="719"/>
      <c r="S412" s="719"/>
      <c r="T412" s="719"/>
      <c r="U412" s="719"/>
      <c r="V412" s="72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21"/>
      <c r="B413" s="721"/>
      <c r="C413" s="721"/>
      <c r="D413" s="721"/>
      <c r="E413" s="721"/>
      <c r="F413" s="721"/>
      <c r="G413" s="721"/>
      <c r="H413" s="721"/>
      <c r="I413" s="721"/>
      <c r="J413" s="721"/>
      <c r="K413" s="721"/>
      <c r="L413" s="721"/>
      <c r="M413" s="721"/>
      <c r="N413" s="721"/>
      <c r="O413" s="722"/>
      <c r="P413" s="718" t="s">
        <v>40</v>
      </c>
      <c r="Q413" s="719"/>
      <c r="R413" s="719"/>
      <c r="S413" s="719"/>
      <c r="T413" s="719"/>
      <c r="U413" s="719"/>
      <c r="V413" s="72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13" t="s">
        <v>675</v>
      </c>
      <c r="B414" s="713"/>
      <c r="C414" s="713"/>
      <c r="D414" s="713"/>
      <c r="E414" s="713"/>
      <c r="F414" s="713"/>
      <c r="G414" s="713"/>
      <c r="H414" s="713"/>
      <c r="I414" s="713"/>
      <c r="J414" s="713"/>
      <c r="K414" s="713"/>
      <c r="L414" s="713"/>
      <c r="M414" s="713"/>
      <c r="N414" s="713"/>
      <c r="O414" s="713"/>
      <c r="P414" s="713"/>
      <c r="Q414" s="713"/>
      <c r="R414" s="713"/>
      <c r="S414" s="713"/>
      <c r="T414" s="713"/>
      <c r="U414" s="713"/>
      <c r="V414" s="713"/>
      <c r="W414" s="713"/>
      <c r="X414" s="713"/>
      <c r="Y414" s="713"/>
      <c r="Z414" s="713"/>
      <c r="AA414" s="66"/>
      <c r="AB414" s="66"/>
      <c r="AC414" s="80"/>
    </row>
    <row r="415" spans="1:68" ht="27" hidden="1" customHeight="1" x14ac:dyDescent="0.25">
      <c r="A415" s="63" t="s">
        <v>676</v>
      </c>
      <c r="B415" s="63" t="s">
        <v>677</v>
      </c>
      <c r="C415" s="36">
        <v>4301220003</v>
      </c>
      <c r="D415" s="714">
        <v>4680115888678</v>
      </c>
      <c r="E415" s="71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87</v>
      </c>
      <c r="L415" s="37" t="s">
        <v>46</v>
      </c>
      <c r="M415" s="38" t="s">
        <v>670</v>
      </c>
      <c r="N415" s="38"/>
      <c r="O415" s="37">
        <v>1096</v>
      </c>
      <c r="P415" s="93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16"/>
      <c r="R415" s="716"/>
      <c r="S415" s="716"/>
      <c r="T415" s="71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678</v>
      </c>
      <c r="AG415" s="78"/>
      <c r="AJ415" s="84" t="s">
        <v>46</v>
      </c>
      <c r="AK415" s="84">
        <v>0</v>
      </c>
      <c r="BB415" s="50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679</v>
      </c>
      <c r="B416" s="63" t="s">
        <v>680</v>
      </c>
      <c r="C416" s="36">
        <v>4301220001</v>
      </c>
      <c r="D416" s="714">
        <v>4680115888654</v>
      </c>
      <c r="E416" s="71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141</v>
      </c>
      <c r="L416" s="37" t="s">
        <v>46</v>
      </c>
      <c r="M416" s="38" t="s">
        <v>670</v>
      </c>
      <c r="N416" s="38"/>
      <c r="O416" s="37">
        <v>1096</v>
      </c>
      <c r="P416" s="93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16"/>
      <c r="R416" s="716"/>
      <c r="S416" s="716"/>
      <c r="T416" s="71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681</v>
      </c>
      <c r="AG416" s="78"/>
      <c r="AJ416" s="84" t="s">
        <v>46</v>
      </c>
      <c r="AK416" s="84">
        <v>0</v>
      </c>
      <c r="BB416" s="50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682</v>
      </c>
      <c r="B417" s="63" t="s">
        <v>683</v>
      </c>
      <c r="C417" s="36">
        <v>4301220002</v>
      </c>
      <c r="D417" s="714">
        <v>4680115888753</v>
      </c>
      <c r="E417" s="71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87</v>
      </c>
      <c r="L417" s="37" t="s">
        <v>46</v>
      </c>
      <c r="M417" s="38" t="s">
        <v>670</v>
      </c>
      <c r="N417" s="38"/>
      <c r="O417" s="37">
        <v>1096</v>
      </c>
      <c r="P417" s="9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16"/>
      <c r="R417" s="716"/>
      <c r="S417" s="716"/>
      <c r="T417" s="71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678</v>
      </c>
      <c r="AG417" s="78"/>
      <c r="AJ417" s="84" t="s">
        <v>46</v>
      </c>
      <c r="AK417" s="84">
        <v>0</v>
      </c>
      <c r="BB417" s="511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21"/>
      <c r="B418" s="721"/>
      <c r="C418" s="721"/>
      <c r="D418" s="721"/>
      <c r="E418" s="721"/>
      <c r="F418" s="721"/>
      <c r="G418" s="721"/>
      <c r="H418" s="721"/>
      <c r="I418" s="721"/>
      <c r="J418" s="721"/>
      <c r="K418" s="721"/>
      <c r="L418" s="721"/>
      <c r="M418" s="721"/>
      <c r="N418" s="721"/>
      <c r="O418" s="722"/>
      <c r="P418" s="718" t="s">
        <v>40</v>
      </c>
      <c r="Q418" s="719"/>
      <c r="R418" s="719"/>
      <c r="S418" s="719"/>
      <c r="T418" s="719"/>
      <c r="U418" s="719"/>
      <c r="V418" s="72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21"/>
      <c r="B419" s="721"/>
      <c r="C419" s="721"/>
      <c r="D419" s="721"/>
      <c r="E419" s="721"/>
      <c r="F419" s="721"/>
      <c r="G419" s="721"/>
      <c r="H419" s="721"/>
      <c r="I419" s="721"/>
      <c r="J419" s="721"/>
      <c r="K419" s="721"/>
      <c r="L419" s="721"/>
      <c r="M419" s="721"/>
      <c r="N419" s="721"/>
      <c r="O419" s="722"/>
      <c r="P419" s="718" t="s">
        <v>40</v>
      </c>
      <c r="Q419" s="719"/>
      <c r="R419" s="719"/>
      <c r="S419" s="719"/>
      <c r="T419" s="719"/>
      <c r="U419" s="719"/>
      <c r="V419" s="72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12" t="s">
        <v>684</v>
      </c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2"/>
      <c r="P420" s="712"/>
      <c r="Q420" s="712"/>
      <c r="R420" s="712"/>
      <c r="S420" s="712"/>
      <c r="T420" s="712"/>
      <c r="U420" s="712"/>
      <c r="V420" s="712"/>
      <c r="W420" s="712"/>
      <c r="X420" s="712"/>
      <c r="Y420" s="712"/>
      <c r="Z420" s="712"/>
      <c r="AA420" s="65"/>
      <c r="AB420" s="65"/>
      <c r="AC420" s="79"/>
    </row>
    <row r="421" spans="1:68" ht="14.25" hidden="1" customHeight="1" x14ac:dyDescent="0.25">
      <c r="A421" s="713" t="s">
        <v>82</v>
      </c>
      <c r="B421" s="713"/>
      <c r="C421" s="713"/>
      <c r="D421" s="713"/>
      <c r="E421" s="713"/>
      <c r="F421" s="713"/>
      <c r="G421" s="713"/>
      <c r="H421" s="713"/>
      <c r="I421" s="713"/>
      <c r="J421" s="713"/>
      <c r="K421" s="713"/>
      <c r="L421" s="713"/>
      <c r="M421" s="713"/>
      <c r="N421" s="713"/>
      <c r="O421" s="713"/>
      <c r="P421" s="713"/>
      <c r="Q421" s="713"/>
      <c r="R421" s="713"/>
      <c r="S421" s="713"/>
      <c r="T421" s="713"/>
      <c r="U421" s="713"/>
      <c r="V421" s="713"/>
      <c r="W421" s="713"/>
      <c r="X421" s="713"/>
      <c r="Y421" s="713"/>
      <c r="Z421" s="713"/>
      <c r="AA421" s="66"/>
      <c r="AB421" s="66"/>
      <c r="AC421" s="80"/>
    </row>
    <row r="422" spans="1:68" ht="16.5" hidden="1" customHeight="1" x14ac:dyDescent="0.25">
      <c r="A422" s="63" t="s">
        <v>685</v>
      </c>
      <c r="B422" s="63" t="s">
        <v>686</v>
      </c>
      <c r="C422" s="36">
        <v>4301052235</v>
      </c>
      <c r="D422" s="714">
        <v>4680115889415</v>
      </c>
      <c r="E422" s="71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134</v>
      </c>
      <c r="L422" s="37" t="s">
        <v>46</v>
      </c>
      <c r="M422" s="38" t="s">
        <v>86</v>
      </c>
      <c r="N422" s="38"/>
      <c r="O422" s="37">
        <v>40</v>
      </c>
      <c r="P422" s="93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16"/>
      <c r="R422" s="716"/>
      <c r="S422" s="716"/>
      <c r="T422" s="71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687</v>
      </c>
      <c r="AG422" s="78"/>
      <c r="AJ422" s="84" t="s">
        <v>46</v>
      </c>
      <c r="AK422" s="84">
        <v>0</v>
      </c>
      <c r="BB422" s="51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685</v>
      </c>
      <c r="B423" s="63" t="s">
        <v>688</v>
      </c>
      <c r="C423" s="36">
        <v>4301052283</v>
      </c>
      <c r="D423" s="714">
        <v>4660663720026</v>
      </c>
      <c r="E423" s="714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134</v>
      </c>
      <c r="L423" s="37" t="s">
        <v>46</v>
      </c>
      <c r="M423" s="38" t="s">
        <v>86</v>
      </c>
      <c r="N423" s="38"/>
      <c r="O423" s="37">
        <v>40</v>
      </c>
      <c r="P423" s="936" t="s">
        <v>689</v>
      </c>
      <c r="Q423" s="716"/>
      <c r="R423" s="716"/>
      <c r="S423" s="716"/>
      <c r="T423" s="71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690</v>
      </c>
      <c r="AG423" s="78"/>
      <c r="AJ423" s="84" t="s">
        <v>46</v>
      </c>
      <c r="AK423" s="84">
        <v>0</v>
      </c>
      <c r="BB423" s="515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691</v>
      </c>
      <c r="B424" s="63" t="s">
        <v>692</v>
      </c>
      <c r="C424" s="36">
        <v>4301052236</v>
      </c>
      <c r="D424" s="714">
        <v>4680115889422</v>
      </c>
      <c r="E424" s="714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134</v>
      </c>
      <c r="L424" s="37" t="s">
        <v>46</v>
      </c>
      <c r="M424" s="38" t="s">
        <v>86</v>
      </c>
      <c r="N424" s="38"/>
      <c r="O424" s="37">
        <v>40</v>
      </c>
      <c r="P424" s="93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716"/>
      <c r="R424" s="716"/>
      <c r="S424" s="716"/>
      <c r="T424" s="717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693</v>
      </c>
      <c r="AG424" s="78"/>
      <c r="AJ424" s="84" t="s">
        <v>46</v>
      </c>
      <c r="AK424" s="84">
        <v>0</v>
      </c>
      <c r="BB424" s="517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691</v>
      </c>
      <c r="B425" s="63" t="s">
        <v>694</v>
      </c>
      <c r="C425" s="36">
        <v>4301052284</v>
      </c>
      <c r="D425" s="714">
        <v>4680115889972</v>
      </c>
      <c r="E425" s="714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134</v>
      </c>
      <c r="L425" s="37" t="s">
        <v>46</v>
      </c>
      <c r="M425" s="38" t="s">
        <v>86</v>
      </c>
      <c r="N425" s="38"/>
      <c r="O425" s="37">
        <v>40</v>
      </c>
      <c r="P425" s="93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716"/>
      <c r="R425" s="716"/>
      <c r="S425" s="716"/>
      <c r="T425" s="717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695</v>
      </c>
      <c r="AG425" s="78"/>
      <c r="AJ425" s="84" t="s">
        <v>46</v>
      </c>
      <c r="AK425" s="84">
        <v>0</v>
      </c>
      <c r="BB425" s="519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21"/>
      <c r="B426" s="721"/>
      <c r="C426" s="721"/>
      <c r="D426" s="721"/>
      <c r="E426" s="721"/>
      <c r="F426" s="721"/>
      <c r="G426" s="721"/>
      <c r="H426" s="721"/>
      <c r="I426" s="721"/>
      <c r="J426" s="721"/>
      <c r="K426" s="721"/>
      <c r="L426" s="721"/>
      <c r="M426" s="721"/>
      <c r="N426" s="721"/>
      <c r="O426" s="722"/>
      <c r="P426" s="718" t="s">
        <v>40</v>
      </c>
      <c r="Q426" s="719"/>
      <c r="R426" s="719"/>
      <c r="S426" s="719"/>
      <c r="T426" s="719"/>
      <c r="U426" s="719"/>
      <c r="V426" s="720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21"/>
      <c r="B427" s="721"/>
      <c r="C427" s="721"/>
      <c r="D427" s="721"/>
      <c r="E427" s="721"/>
      <c r="F427" s="721"/>
      <c r="G427" s="721"/>
      <c r="H427" s="721"/>
      <c r="I427" s="721"/>
      <c r="J427" s="721"/>
      <c r="K427" s="721"/>
      <c r="L427" s="721"/>
      <c r="M427" s="721"/>
      <c r="N427" s="721"/>
      <c r="O427" s="722"/>
      <c r="P427" s="718" t="s">
        <v>40</v>
      </c>
      <c r="Q427" s="719"/>
      <c r="R427" s="719"/>
      <c r="S427" s="719"/>
      <c r="T427" s="719"/>
      <c r="U427" s="719"/>
      <c r="V427" s="720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712" t="s">
        <v>696</v>
      </c>
      <c r="B428" s="712"/>
      <c r="C428" s="712"/>
      <c r="D428" s="712"/>
      <c r="E428" s="712"/>
      <c r="F428" s="712"/>
      <c r="G428" s="712"/>
      <c r="H428" s="712"/>
      <c r="I428" s="712"/>
      <c r="J428" s="712"/>
      <c r="K428" s="712"/>
      <c r="L428" s="712"/>
      <c r="M428" s="712"/>
      <c r="N428" s="712"/>
      <c r="O428" s="712"/>
      <c r="P428" s="712"/>
      <c r="Q428" s="712"/>
      <c r="R428" s="712"/>
      <c r="S428" s="712"/>
      <c r="T428" s="712"/>
      <c r="U428" s="712"/>
      <c r="V428" s="712"/>
      <c r="W428" s="712"/>
      <c r="X428" s="712"/>
      <c r="Y428" s="712"/>
      <c r="Z428" s="712"/>
      <c r="AA428" s="65"/>
      <c r="AB428" s="65"/>
      <c r="AC428" s="79"/>
    </row>
    <row r="429" spans="1:68" ht="14.25" hidden="1" customHeight="1" x14ac:dyDescent="0.25">
      <c r="A429" s="713" t="s">
        <v>82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6"/>
      <c r="AB429" s="66"/>
      <c r="AC429" s="80"/>
    </row>
    <row r="430" spans="1:68" ht="27" hidden="1" customHeight="1" x14ac:dyDescent="0.25">
      <c r="A430" s="63" t="s">
        <v>697</v>
      </c>
      <c r="B430" s="63" t="s">
        <v>698</v>
      </c>
      <c r="C430" s="36">
        <v>4301051489</v>
      </c>
      <c r="D430" s="714">
        <v>4607091387919</v>
      </c>
      <c r="E430" s="714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134</v>
      </c>
      <c r="L430" s="37" t="s">
        <v>46</v>
      </c>
      <c r="M430" s="38" t="s">
        <v>93</v>
      </c>
      <c r="N430" s="38"/>
      <c r="O430" s="37">
        <v>45</v>
      </c>
      <c r="P430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716"/>
      <c r="R430" s="716"/>
      <c r="S430" s="716"/>
      <c r="T430" s="71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699</v>
      </c>
      <c r="AG430" s="78"/>
      <c r="AJ430" s="84" t="s">
        <v>46</v>
      </c>
      <c r="AK430" s="84">
        <v>0</v>
      </c>
      <c r="BB430" s="521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700</v>
      </c>
      <c r="B431" s="63" t="s">
        <v>701</v>
      </c>
      <c r="C431" s="36">
        <v>4301051461</v>
      </c>
      <c r="D431" s="714">
        <v>4680115883604</v>
      </c>
      <c r="E431" s="714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87</v>
      </c>
      <c r="L431" s="37" t="s">
        <v>46</v>
      </c>
      <c r="M431" s="38" t="s">
        <v>86</v>
      </c>
      <c r="N431" s="38"/>
      <c r="O431" s="37">
        <v>45</v>
      </c>
      <c r="P431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716"/>
      <c r="R431" s="716"/>
      <c r="S431" s="716"/>
      <c r="T431" s="717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702</v>
      </c>
      <c r="AG431" s="78"/>
      <c r="AJ431" s="84" t="s">
        <v>46</v>
      </c>
      <c r="AK431" s="84">
        <v>0</v>
      </c>
      <c r="BB431" s="523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703</v>
      </c>
      <c r="B432" s="63" t="s">
        <v>704</v>
      </c>
      <c r="C432" s="36">
        <v>4301051864</v>
      </c>
      <c r="D432" s="714">
        <v>4680115883567</v>
      </c>
      <c r="E432" s="714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87</v>
      </c>
      <c r="L432" s="37" t="s">
        <v>46</v>
      </c>
      <c r="M432" s="38" t="s">
        <v>93</v>
      </c>
      <c r="N432" s="38"/>
      <c r="O432" s="37">
        <v>40</v>
      </c>
      <c r="P432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716"/>
      <c r="R432" s="716"/>
      <c r="S432" s="716"/>
      <c r="T432" s="717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705</v>
      </c>
      <c r="AG432" s="78"/>
      <c r="AJ432" s="84" t="s">
        <v>46</v>
      </c>
      <c r="AK432" s="84">
        <v>0</v>
      </c>
      <c r="BB432" s="525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721"/>
      <c r="B433" s="721"/>
      <c r="C433" s="721"/>
      <c r="D433" s="721"/>
      <c r="E433" s="721"/>
      <c r="F433" s="721"/>
      <c r="G433" s="721"/>
      <c r="H433" s="721"/>
      <c r="I433" s="721"/>
      <c r="J433" s="721"/>
      <c r="K433" s="721"/>
      <c r="L433" s="721"/>
      <c r="M433" s="721"/>
      <c r="N433" s="721"/>
      <c r="O433" s="722"/>
      <c r="P433" s="718" t="s">
        <v>40</v>
      </c>
      <c r="Q433" s="719"/>
      <c r="R433" s="719"/>
      <c r="S433" s="719"/>
      <c r="T433" s="719"/>
      <c r="U433" s="719"/>
      <c r="V433" s="720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721"/>
      <c r="B434" s="721"/>
      <c r="C434" s="721"/>
      <c r="D434" s="721"/>
      <c r="E434" s="721"/>
      <c r="F434" s="721"/>
      <c r="G434" s="721"/>
      <c r="H434" s="721"/>
      <c r="I434" s="721"/>
      <c r="J434" s="721"/>
      <c r="K434" s="721"/>
      <c r="L434" s="721"/>
      <c r="M434" s="721"/>
      <c r="N434" s="721"/>
      <c r="O434" s="722"/>
      <c r="P434" s="718" t="s">
        <v>40</v>
      </c>
      <c r="Q434" s="719"/>
      <c r="R434" s="719"/>
      <c r="S434" s="719"/>
      <c r="T434" s="719"/>
      <c r="U434" s="719"/>
      <c r="V434" s="720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hidden="1" customHeight="1" x14ac:dyDescent="0.2">
      <c r="A435" s="711" t="s">
        <v>706</v>
      </c>
      <c r="B435" s="711"/>
      <c r="C435" s="711"/>
      <c r="D435" s="711"/>
      <c r="E435" s="711"/>
      <c r="F435" s="711"/>
      <c r="G435" s="711"/>
      <c r="H435" s="711"/>
      <c r="I435" s="711"/>
      <c r="J435" s="711"/>
      <c r="K435" s="711"/>
      <c r="L435" s="711"/>
      <c r="M435" s="711"/>
      <c r="N435" s="711"/>
      <c r="O435" s="711"/>
      <c r="P435" s="711"/>
      <c r="Q435" s="711"/>
      <c r="R435" s="711"/>
      <c r="S435" s="711"/>
      <c r="T435" s="711"/>
      <c r="U435" s="711"/>
      <c r="V435" s="711"/>
      <c r="W435" s="711"/>
      <c r="X435" s="711"/>
      <c r="Y435" s="711"/>
      <c r="Z435" s="711"/>
      <c r="AA435" s="54"/>
      <c r="AB435" s="54"/>
      <c r="AC435" s="54"/>
    </row>
    <row r="436" spans="1:68" ht="16.5" hidden="1" customHeight="1" x14ac:dyDescent="0.25">
      <c r="A436" s="712" t="s">
        <v>707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65"/>
      <c r="AB436" s="65"/>
      <c r="AC436" s="79"/>
    </row>
    <row r="437" spans="1:68" ht="14.25" hidden="1" customHeight="1" x14ac:dyDescent="0.25">
      <c r="A437" s="713" t="s">
        <v>129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6"/>
      <c r="AB437" s="66"/>
      <c r="AC437" s="80"/>
    </row>
    <row r="438" spans="1:68" ht="27" hidden="1" customHeight="1" x14ac:dyDescent="0.25">
      <c r="A438" s="63" t="s">
        <v>708</v>
      </c>
      <c r="B438" s="63" t="s">
        <v>709</v>
      </c>
      <c r="C438" s="36">
        <v>4301012332</v>
      </c>
      <c r="D438" s="714">
        <v>4680115888401</v>
      </c>
      <c r="E438" s="71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134</v>
      </c>
      <c r="L438" s="37" t="s">
        <v>46</v>
      </c>
      <c r="M438" s="38" t="s">
        <v>93</v>
      </c>
      <c r="N438" s="38"/>
      <c r="O438" s="37">
        <v>60</v>
      </c>
      <c r="P438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716"/>
      <c r="R438" s="716"/>
      <c r="S438" s="716"/>
      <c r="T438" s="71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710</v>
      </c>
      <c r="AG438" s="78"/>
      <c r="AJ438" s="84" t="s">
        <v>46</v>
      </c>
      <c r="AK438" s="84">
        <v>0</v>
      </c>
      <c r="BB438" s="527" t="s">
        <v>66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711</v>
      </c>
      <c r="B439" s="63" t="s">
        <v>712</v>
      </c>
      <c r="C439" s="36">
        <v>4301011869</v>
      </c>
      <c r="D439" s="714">
        <v>4680115884847</v>
      </c>
      <c r="E439" s="71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134</v>
      </c>
      <c r="L439" s="37" t="s">
        <v>46</v>
      </c>
      <c r="M439" s="38" t="s">
        <v>80</v>
      </c>
      <c r="N439" s="38"/>
      <c r="O439" s="37">
        <v>60</v>
      </c>
      <c r="P439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716"/>
      <c r="R439" s="716"/>
      <c r="S439" s="716"/>
      <c r="T439" s="717"/>
      <c r="U439" s="39" t="s">
        <v>46</v>
      </c>
      <c r="V439" s="39" t="s">
        <v>46</v>
      </c>
      <c r="W439" s="40" t="s">
        <v>0</v>
      </c>
      <c r="X439" s="58">
        <v>100</v>
      </c>
      <c r="Y439" s="55">
        <f t="shared" si="61"/>
        <v>105</v>
      </c>
      <c r="Z439" s="41">
        <f>IFERROR(IF(Y439=0,"",ROUNDUP(Y439/H439,0)*0.02175),"")</f>
        <v>0.15225</v>
      </c>
      <c r="AA439" s="68" t="s">
        <v>46</v>
      </c>
      <c r="AB439" s="69" t="s">
        <v>46</v>
      </c>
      <c r="AC439" s="528" t="s">
        <v>713</v>
      </c>
      <c r="AG439" s="78"/>
      <c r="AJ439" s="84" t="s">
        <v>46</v>
      </c>
      <c r="AK439" s="84">
        <v>0</v>
      </c>
      <c r="BB439" s="529" t="s">
        <v>66</v>
      </c>
      <c r="BM439" s="78">
        <f t="shared" si="62"/>
        <v>103.13333333333334</v>
      </c>
      <c r="BN439" s="78">
        <f t="shared" si="63"/>
        <v>108.29</v>
      </c>
      <c r="BO439" s="78">
        <f t="shared" si="64"/>
        <v>0.1388888888888889</v>
      </c>
      <c r="BP439" s="78">
        <f t="shared" si="65"/>
        <v>0.14583333333333331</v>
      </c>
    </row>
    <row r="440" spans="1:68" ht="27" hidden="1" customHeight="1" x14ac:dyDescent="0.25">
      <c r="A440" s="63" t="s">
        <v>714</v>
      </c>
      <c r="B440" s="63" t="s">
        <v>715</v>
      </c>
      <c r="C440" s="36">
        <v>4301012083</v>
      </c>
      <c r="D440" s="714">
        <v>4680115884854</v>
      </c>
      <c r="E440" s="71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134</v>
      </c>
      <c r="L440" s="37" t="s">
        <v>46</v>
      </c>
      <c r="M440" s="38" t="s">
        <v>133</v>
      </c>
      <c r="N440" s="38"/>
      <c r="O440" s="37">
        <v>60</v>
      </c>
      <c r="P440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716"/>
      <c r="R440" s="716"/>
      <c r="S440" s="716"/>
      <c r="T440" s="71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716</v>
      </c>
      <c r="AG440" s="78"/>
      <c r="AJ440" s="84" t="s">
        <v>46</v>
      </c>
      <c r="AK440" s="84">
        <v>0</v>
      </c>
      <c r="BB440" s="531" t="s">
        <v>66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717</v>
      </c>
      <c r="B441" s="63" t="s">
        <v>718</v>
      </c>
      <c r="C441" s="36">
        <v>4301011867</v>
      </c>
      <c r="D441" s="714">
        <v>4680115884830</v>
      </c>
      <c r="E441" s="714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134</v>
      </c>
      <c r="L441" s="37" t="s">
        <v>46</v>
      </c>
      <c r="M441" s="38" t="s">
        <v>80</v>
      </c>
      <c r="N441" s="38"/>
      <c r="O441" s="37">
        <v>60</v>
      </c>
      <c r="P441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716"/>
      <c r="R441" s="716"/>
      <c r="S441" s="716"/>
      <c r="T441" s="71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719</v>
      </c>
      <c r="AG441" s="78"/>
      <c r="AJ441" s="84" t="s">
        <v>46</v>
      </c>
      <c r="AK441" s="84">
        <v>0</v>
      </c>
      <c r="BB441" s="533" t="s">
        <v>66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720</v>
      </c>
      <c r="B442" s="63" t="s">
        <v>721</v>
      </c>
      <c r="C442" s="36">
        <v>4301012356</v>
      </c>
      <c r="D442" s="714">
        <v>4680115889231</v>
      </c>
      <c r="E442" s="714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134</v>
      </c>
      <c r="L442" s="37" t="s">
        <v>46</v>
      </c>
      <c r="M442" s="38" t="s">
        <v>93</v>
      </c>
      <c r="N442" s="38"/>
      <c r="O442" s="37">
        <v>60</v>
      </c>
      <c r="P442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716"/>
      <c r="R442" s="716"/>
      <c r="S442" s="716"/>
      <c r="T442" s="71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722</v>
      </c>
      <c r="AG442" s="78"/>
      <c r="AJ442" s="84" t="s">
        <v>46</v>
      </c>
      <c r="AK442" s="84">
        <v>0</v>
      </c>
      <c r="BB442" s="535" t="s">
        <v>66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723</v>
      </c>
      <c r="B443" s="63" t="s">
        <v>724</v>
      </c>
      <c r="C443" s="36">
        <v>4301011433</v>
      </c>
      <c r="D443" s="714">
        <v>4680115882638</v>
      </c>
      <c r="E443" s="714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141</v>
      </c>
      <c r="L443" s="37" t="s">
        <v>46</v>
      </c>
      <c r="M443" s="38" t="s">
        <v>133</v>
      </c>
      <c r="N443" s="38"/>
      <c r="O443" s="37">
        <v>90</v>
      </c>
      <c r="P443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716"/>
      <c r="R443" s="716"/>
      <c r="S443" s="716"/>
      <c r="T443" s="71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725</v>
      </c>
      <c r="AG443" s="78"/>
      <c r="AJ443" s="84" t="s">
        <v>46</v>
      </c>
      <c r="AK443" s="84">
        <v>0</v>
      </c>
      <c r="BB443" s="537" t="s">
        <v>66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726</v>
      </c>
      <c r="B444" s="63" t="s">
        <v>727</v>
      </c>
      <c r="C444" s="36">
        <v>4301011952</v>
      </c>
      <c r="D444" s="714">
        <v>4680115884922</v>
      </c>
      <c r="E444" s="714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141</v>
      </c>
      <c r="L444" s="37" t="s">
        <v>46</v>
      </c>
      <c r="M444" s="38" t="s">
        <v>80</v>
      </c>
      <c r="N444" s="38"/>
      <c r="O444" s="37">
        <v>60</v>
      </c>
      <c r="P444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716"/>
      <c r="R444" s="716"/>
      <c r="S444" s="716"/>
      <c r="T444" s="717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728</v>
      </c>
      <c r="AG444" s="78"/>
      <c r="AJ444" s="84" t="s">
        <v>46</v>
      </c>
      <c r="AK444" s="84">
        <v>0</v>
      </c>
      <c r="BB444" s="539" t="s">
        <v>66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729</v>
      </c>
      <c r="B445" s="63" t="s">
        <v>730</v>
      </c>
      <c r="C445" s="36">
        <v>4301011868</v>
      </c>
      <c r="D445" s="714">
        <v>4680115884861</v>
      </c>
      <c r="E445" s="714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141</v>
      </c>
      <c r="L445" s="37" t="s">
        <v>46</v>
      </c>
      <c r="M445" s="38" t="s">
        <v>80</v>
      </c>
      <c r="N445" s="38"/>
      <c r="O445" s="37">
        <v>60</v>
      </c>
      <c r="P445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716"/>
      <c r="R445" s="716"/>
      <c r="S445" s="716"/>
      <c r="T445" s="717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731</v>
      </c>
      <c r="AG445" s="78"/>
      <c r="AJ445" s="84" t="s">
        <v>46</v>
      </c>
      <c r="AK445" s="84">
        <v>0</v>
      </c>
      <c r="BB445" s="541" t="s">
        <v>66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721"/>
      <c r="B446" s="721"/>
      <c r="C446" s="721"/>
      <c r="D446" s="721"/>
      <c r="E446" s="721"/>
      <c r="F446" s="721"/>
      <c r="G446" s="721"/>
      <c r="H446" s="721"/>
      <c r="I446" s="721"/>
      <c r="J446" s="721"/>
      <c r="K446" s="721"/>
      <c r="L446" s="721"/>
      <c r="M446" s="721"/>
      <c r="N446" s="721"/>
      <c r="O446" s="722"/>
      <c r="P446" s="718" t="s">
        <v>40</v>
      </c>
      <c r="Q446" s="719"/>
      <c r="R446" s="719"/>
      <c r="S446" s="719"/>
      <c r="T446" s="719"/>
      <c r="U446" s="719"/>
      <c r="V446" s="720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6.666666666666667</v>
      </c>
      <c r="Y446" s="43">
        <f>IFERROR(Y438/H438,"0")+IFERROR(Y439/H439,"0")+IFERROR(Y440/H440,"0")+IFERROR(Y441/H441,"0")+IFERROR(Y442/H442,"0")+IFERROR(Y443/H443,"0")+IFERROR(Y444/H444,"0")+IFERROR(Y445/H445,"0")</f>
        <v>7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0.15225</v>
      </c>
      <c r="AA446" s="67"/>
      <c r="AB446" s="67"/>
      <c r="AC446" s="67"/>
    </row>
    <row r="447" spans="1:68" x14ac:dyDescent="0.2">
      <c r="A447" s="721"/>
      <c r="B447" s="721"/>
      <c r="C447" s="721"/>
      <c r="D447" s="721"/>
      <c r="E447" s="721"/>
      <c r="F447" s="721"/>
      <c r="G447" s="721"/>
      <c r="H447" s="721"/>
      <c r="I447" s="721"/>
      <c r="J447" s="721"/>
      <c r="K447" s="721"/>
      <c r="L447" s="721"/>
      <c r="M447" s="721"/>
      <c r="N447" s="721"/>
      <c r="O447" s="722"/>
      <c r="P447" s="718" t="s">
        <v>40</v>
      </c>
      <c r="Q447" s="719"/>
      <c r="R447" s="719"/>
      <c r="S447" s="719"/>
      <c r="T447" s="719"/>
      <c r="U447" s="719"/>
      <c r="V447" s="720"/>
      <c r="W447" s="42" t="s">
        <v>0</v>
      </c>
      <c r="X447" s="43">
        <f>IFERROR(SUM(X438:X445),"0")</f>
        <v>100</v>
      </c>
      <c r="Y447" s="43">
        <f>IFERROR(SUM(Y438:Y445),"0")</f>
        <v>105</v>
      </c>
      <c r="Z447" s="42"/>
      <c r="AA447" s="67"/>
      <c r="AB447" s="67"/>
      <c r="AC447" s="67"/>
    </row>
    <row r="448" spans="1:68" ht="14.25" hidden="1" customHeight="1" x14ac:dyDescent="0.25">
      <c r="A448" s="713" t="s">
        <v>164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6"/>
      <c r="AB448" s="66"/>
      <c r="AC448" s="80"/>
    </row>
    <row r="449" spans="1:68" ht="27" hidden="1" customHeight="1" x14ac:dyDescent="0.25">
      <c r="A449" s="63" t="s">
        <v>732</v>
      </c>
      <c r="B449" s="63" t="s">
        <v>733</v>
      </c>
      <c r="C449" s="36">
        <v>4301020178</v>
      </c>
      <c r="D449" s="714">
        <v>4607091383980</v>
      </c>
      <c r="E449" s="714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134</v>
      </c>
      <c r="L449" s="37" t="s">
        <v>46</v>
      </c>
      <c r="M449" s="38" t="s">
        <v>133</v>
      </c>
      <c r="N449" s="38"/>
      <c r="O449" s="37">
        <v>50</v>
      </c>
      <c r="P449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716"/>
      <c r="R449" s="716"/>
      <c r="S449" s="716"/>
      <c r="T449" s="71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734</v>
      </c>
      <c r="AG449" s="78"/>
      <c r="AJ449" s="84" t="s">
        <v>46</v>
      </c>
      <c r="AK449" s="84">
        <v>0</v>
      </c>
      <c r="BB449" s="543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735</v>
      </c>
      <c r="B450" s="63" t="s">
        <v>736</v>
      </c>
      <c r="C450" s="36">
        <v>4301020355</v>
      </c>
      <c r="D450" s="714">
        <v>4680115888425</v>
      </c>
      <c r="E450" s="714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134</v>
      </c>
      <c r="L450" s="37" t="s">
        <v>46</v>
      </c>
      <c r="M450" s="38" t="s">
        <v>133</v>
      </c>
      <c r="N450" s="38"/>
      <c r="O450" s="37">
        <v>50</v>
      </c>
      <c r="P450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716"/>
      <c r="R450" s="716"/>
      <c r="S450" s="716"/>
      <c r="T450" s="71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738</v>
      </c>
      <c r="B451" s="63" t="s">
        <v>739</v>
      </c>
      <c r="C451" s="36">
        <v>4301020179</v>
      </c>
      <c r="D451" s="714">
        <v>4607091384178</v>
      </c>
      <c r="E451" s="714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141</v>
      </c>
      <c r="L451" s="37" t="s">
        <v>46</v>
      </c>
      <c r="M451" s="38" t="s">
        <v>133</v>
      </c>
      <c r="N451" s="38"/>
      <c r="O451" s="37">
        <v>50</v>
      </c>
      <c r="P451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716"/>
      <c r="R451" s="716"/>
      <c r="S451" s="716"/>
      <c r="T451" s="717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740</v>
      </c>
      <c r="AG451" s="78"/>
      <c r="AJ451" s="84" t="s">
        <v>46</v>
      </c>
      <c r="AK451" s="84">
        <v>0</v>
      </c>
      <c r="BB451" s="547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1"/>
      <c r="B452" s="721"/>
      <c r="C452" s="721"/>
      <c r="D452" s="721"/>
      <c r="E452" s="721"/>
      <c r="F452" s="721"/>
      <c r="G452" s="721"/>
      <c r="H452" s="721"/>
      <c r="I452" s="721"/>
      <c r="J452" s="721"/>
      <c r="K452" s="721"/>
      <c r="L452" s="721"/>
      <c r="M452" s="721"/>
      <c r="N452" s="721"/>
      <c r="O452" s="722"/>
      <c r="P452" s="718" t="s">
        <v>40</v>
      </c>
      <c r="Q452" s="719"/>
      <c r="R452" s="719"/>
      <c r="S452" s="719"/>
      <c r="T452" s="719"/>
      <c r="U452" s="719"/>
      <c r="V452" s="72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21"/>
      <c r="B453" s="721"/>
      <c r="C453" s="721"/>
      <c r="D453" s="721"/>
      <c r="E453" s="721"/>
      <c r="F453" s="721"/>
      <c r="G453" s="721"/>
      <c r="H453" s="721"/>
      <c r="I453" s="721"/>
      <c r="J453" s="721"/>
      <c r="K453" s="721"/>
      <c r="L453" s="721"/>
      <c r="M453" s="721"/>
      <c r="N453" s="721"/>
      <c r="O453" s="722"/>
      <c r="P453" s="718" t="s">
        <v>40</v>
      </c>
      <c r="Q453" s="719"/>
      <c r="R453" s="719"/>
      <c r="S453" s="719"/>
      <c r="T453" s="719"/>
      <c r="U453" s="719"/>
      <c r="V453" s="72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13" t="s">
        <v>82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6"/>
      <c r="AB454" s="66"/>
      <c r="AC454" s="80"/>
    </row>
    <row r="455" spans="1:68" ht="27" hidden="1" customHeight="1" x14ac:dyDescent="0.25">
      <c r="A455" s="63" t="s">
        <v>741</v>
      </c>
      <c r="B455" s="63" t="s">
        <v>742</v>
      </c>
      <c r="C455" s="36">
        <v>4301051903</v>
      </c>
      <c r="D455" s="714">
        <v>4607091383928</v>
      </c>
      <c r="E455" s="714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134</v>
      </c>
      <c r="L455" s="37" t="s">
        <v>46</v>
      </c>
      <c r="M455" s="38" t="s">
        <v>86</v>
      </c>
      <c r="N455" s="38"/>
      <c r="O455" s="37">
        <v>40</v>
      </c>
      <c r="P455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716"/>
      <c r="R455" s="716"/>
      <c r="S455" s="716"/>
      <c r="T455" s="71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743</v>
      </c>
      <c r="AG455" s="78"/>
      <c r="AJ455" s="84" t="s">
        <v>46</v>
      </c>
      <c r="AK455" s="84">
        <v>0</v>
      </c>
      <c r="BB455" s="549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744</v>
      </c>
      <c r="B456" s="63" t="s">
        <v>745</v>
      </c>
      <c r="C456" s="36">
        <v>4301051897</v>
      </c>
      <c r="D456" s="714">
        <v>4607091384260</v>
      </c>
      <c r="E456" s="714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134</v>
      </c>
      <c r="L456" s="37" t="s">
        <v>46</v>
      </c>
      <c r="M456" s="38" t="s">
        <v>86</v>
      </c>
      <c r="N456" s="38"/>
      <c r="O456" s="37">
        <v>40</v>
      </c>
      <c r="P456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716"/>
      <c r="R456" s="716"/>
      <c r="S456" s="716"/>
      <c r="T456" s="71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746</v>
      </c>
      <c r="AG456" s="78"/>
      <c r="AJ456" s="84" t="s">
        <v>46</v>
      </c>
      <c r="AK456" s="84">
        <v>0</v>
      </c>
      <c r="BB456" s="551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747</v>
      </c>
      <c r="B457" s="63" t="s">
        <v>748</v>
      </c>
      <c r="C457" s="36">
        <v>4301052220</v>
      </c>
      <c r="D457" s="714">
        <v>4680115889538</v>
      </c>
      <c r="E457" s="714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134</v>
      </c>
      <c r="L457" s="37" t="s">
        <v>46</v>
      </c>
      <c r="M457" s="38" t="s">
        <v>86</v>
      </c>
      <c r="N457" s="38"/>
      <c r="O457" s="37">
        <v>45</v>
      </c>
      <c r="P457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716"/>
      <c r="R457" s="716"/>
      <c r="S457" s="716"/>
      <c r="T457" s="717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749</v>
      </c>
      <c r="AG457" s="78"/>
      <c r="AJ457" s="84" t="s">
        <v>46</v>
      </c>
      <c r="AK457" s="84">
        <v>0</v>
      </c>
      <c r="BB457" s="55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21"/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2"/>
      <c r="P458" s="718" t="s">
        <v>40</v>
      </c>
      <c r="Q458" s="719"/>
      <c r="R458" s="719"/>
      <c r="S458" s="719"/>
      <c r="T458" s="719"/>
      <c r="U458" s="719"/>
      <c r="V458" s="720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721"/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2"/>
      <c r="P459" s="718" t="s">
        <v>40</v>
      </c>
      <c r="Q459" s="719"/>
      <c r="R459" s="719"/>
      <c r="S459" s="719"/>
      <c r="T459" s="719"/>
      <c r="U459" s="719"/>
      <c r="V459" s="720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13" t="s">
        <v>182</v>
      </c>
      <c r="B460" s="713"/>
      <c r="C460" s="713"/>
      <c r="D460" s="713"/>
      <c r="E460" s="713"/>
      <c r="F460" s="713"/>
      <c r="G460" s="713"/>
      <c r="H460" s="713"/>
      <c r="I460" s="713"/>
      <c r="J460" s="713"/>
      <c r="K460" s="713"/>
      <c r="L460" s="713"/>
      <c r="M460" s="713"/>
      <c r="N460" s="713"/>
      <c r="O460" s="713"/>
      <c r="P460" s="713"/>
      <c r="Q460" s="713"/>
      <c r="R460" s="713"/>
      <c r="S460" s="713"/>
      <c r="T460" s="713"/>
      <c r="U460" s="713"/>
      <c r="V460" s="713"/>
      <c r="W460" s="713"/>
      <c r="X460" s="713"/>
      <c r="Y460" s="713"/>
      <c r="Z460" s="713"/>
      <c r="AA460" s="66"/>
      <c r="AB460" s="66"/>
      <c r="AC460" s="80"/>
    </row>
    <row r="461" spans="1:68" ht="27" hidden="1" customHeight="1" x14ac:dyDescent="0.25">
      <c r="A461" s="63" t="s">
        <v>750</v>
      </c>
      <c r="B461" s="63" t="s">
        <v>751</v>
      </c>
      <c r="C461" s="36">
        <v>4301060537</v>
      </c>
      <c r="D461" s="714">
        <v>4680115889545</v>
      </c>
      <c r="E461" s="714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134</v>
      </c>
      <c r="L461" s="37" t="s">
        <v>46</v>
      </c>
      <c r="M461" s="38" t="s">
        <v>86</v>
      </c>
      <c r="N461" s="38"/>
      <c r="O461" s="37">
        <v>30</v>
      </c>
      <c r="P461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716"/>
      <c r="R461" s="716"/>
      <c r="S461" s="716"/>
      <c r="T461" s="717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752</v>
      </c>
      <c r="AG461" s="78"/>
      <c r="AJ461" s="84" t="s">
        <v>46</v>
      </c>
      <c r="AK461" s="84">
        <v>0</v>
      </c>
      <c r="BB461" s="555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753</v>
      </c>
      <c r="B462" s="63" t="s">
        <v>754</v>
      </c>
      <c r="C462" s="36">
        <v>4301060524</v>
      </c>
      <c r="D462" s="714">
        <v>4607091384673</v>
      </c>
      <c r="E462" s="714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134</v>
      </c>
      <c r="L462" s="37" t="s">
        <v>46</v>
      </c>
      <c r="M462" s="38" t="s">
        <v>86</v>
      </c>
      <c r="N462" s="38"/>
      <c r="O462" s="37">
        <v>40</v>
      </c>
      <c r="P462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716"/>
      <c r="R462" s="716"/>
      <c r="S462" s="716"/>
      <c r="T462" s="717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755</v>
      </c>
      <c r="AG462" s="78"/>
      <c r="AJ462" s="84" t="s">
        <v>46</v>
      </c>
      <c r="AK462" s="84">
        <v>0</v>
      </c>
      <c r="BB462" s="557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21"/>
      <c r="B463" s="721"/>
      <c r="C463" s="721"/>
      <c r="D463" s="721"/>
      <c r="E463" s="721"/>
      <c r="F463" s="721"/>
      <c r="G463" s="721"/>
      <c r="H463" s="721"/>
      <c r="I463" s="721"/>
      <c r="J463" s="721"/>
      <c r="K463" s="721"/>
      <c r="L463" s="721"/>
      <c r="M463" s="721"/>
      <c r="N463" s="721"/>
      <c r="O463" s="722"/>
      <c r="P463" s="718" t="s">
        <v>40</v>
      </c>
      <c r="Q463" s="719"/>
      <c r="R463" s="719"/>
      <c r="S463" s="719"/>
      <c r="T463" s="719"/>
      <c r="U463" s="719"/>
      <c r="V463" s="72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21"/>
      <c r="B464" s="721"/>
      <c r="C464" s="721"/>
      <c r="D464" s="721"/>
      <c r="E464" s="721"/>
      <c r="F464" s="721"/>
      <c r="G464" s="721"/>
      <c r="H464" s="721"/>
      <c r="I464" s="721"/>
      <c r="J464" s="721"/>
      <c r="K464" s="721"/>
      <c r="L464" s="721"/>
      <c r="M464" s="721"/>
      <c r="N464" s="721"/>
      <c r="O464" s="722"/>
      <c r="P464" s="718" t="s">
        <v>40</v>
      </c>
      <c r="Q464" s="719"/>
      <c r="R464" s="719"/>
      <c r="S464" s="719"/>
      <c r="T464" s="719"/>
      <c r="U464" s="719"/>
      <c r="V464" s="72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712" t="s">
        <v>756</v>
      </c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2"/>
      <c r="P465" s="712"/>
      <c r="Q465" s="712"/>
      <c r="R465" s="712"/>
      <c r="S465" s="712"/>
      <c r="T465" s="712"/>
      <c r="U465" s="712"/>
      <c r="V465" s="712"/>
      <c r="W465" s="712"/>
      <c r="X465" s="712"/>
      <c r="Y465" s="712"/>
      <c r="Z465" s="712"/>
      <c r="AA465" s="65"/>
      <c r="AB465" s="65"/>
      <c r="AC465" s="79"/>
    </row>
    <row r="466" spans="1:68" ht="14.25" hidden="1" customHeight="1" x14ac:dyDescent="0.25">
      <c r="A466" s="713" t="s">
        <v>129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6"/>
      <c r="AB466" s="66"/>
      <c r="AC466" s="80"/>
    </row>
    <row r="467" spans="1:68" ht="27" hidden="1" customHeight="1" x14ac:dyDescent="0.25">
      <c r="A467" s="63" t="s">
        <v>757</v>
      </c>
      <c r="B467" s="63" t="s">
        <v>758</v>
      </c>
      <c r="C467" s="36">
        <v>4301011875</v>
      </c>
      <c r="D467" s="714">
        <v>4680115884885</v>
      </c>
      <c r="E467" s="714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134</v>
      </c>
      <c r="L467" s="37" t="s">
        <v>46</v>
      </c>
      <c r="M467" s="38" t="s">
        <v>80</v>
      </c>
      <c r="N467" s="38"/>
      <c r="O467" s="37">
        <v>60</v>
      </c>
      <c r="P467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716"/>
      <c r="R467" s="716"/>
      <c r="S467" s="716"/>
      <c r="T467" s="717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759</v>
      </c>
      <c r="AG467" s="78"/>
      <c r="AJ467" s="84" t="s">
        <v>46</v>
      </c>
      <c r="AK467" s="84">
        <v>0</v>
      </c>
      <c r="BB467" s="559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760</v>
      </c>
      <c r="B468" s="63" t="s">
        <v>761</v>
      </c>
      <c r="C468" s="36">
        <v>4301011871</v>
      </c>
      <c r="D468" s="714">
        <v>4680115884908</v>
      </c>
      <c r="E468" s="714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141</v>
      </c>
      <c r="L468" s="37" t="s">
        <v>46</v>
      </c>
      <c r="M468" s="38" t="s">
        <v>80</v>
      </c>
      <c r="N468" s="38"/>
      <c r="O468" s="37">
        <v>60</v>
      </c>
      <c r="P468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716"/>
      <c r="R468" s="716"/>
      <c r="S468" s="716"/>
      <c r="T468" s="717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759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21"/>
      <c r="B469" s="721"/>
      <c r="C469" s="721"/>
      <c r="D469" s="721"/>
      <c r="E469" s="721"/>
      <c r="F469" s="721"/>
      <c r="G469" s="721"/>
      <c r="H469" s="721"/>
      <c r="I469" s="721"/>
      <c r="J469" s="721"/>
      <c r="K469" s="721"/>
      <c r="L469" s="721"/>
      <c r="M469" s="721"/>
      <c r="N469" s="721"/>
      <c r="O469" s="722"/>
      <c r="P469" s="718" t="s">
        <v>40</v>
      </c>
      <c r="Q469" s="719"/>
      <c r="R469" s="719"/>
      <c r="S469" s="719"/>
      <c r="T469" s="719"/>
      <c r="U469" s="719"/>
      <c r="V469" s="720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21"/>
      <c r="B470" s="721"/>
      <c r="C470" s="721"/>
      <c r="D470" s="721"/>
      <c r="E470" s="721"/>
      <c r="F470" s="721"/>
      <c r="G470" s="721"/>
      <c r="H470" s="721"/>
      <c r="I470" s="721"/>
      <c r="J470" s="721"/>
      <c r="K470" s="721"/>
      <c r="L470" s="721"/>
      <c r="M470" s="721"/>
      <c r="N470" s="721"/>
      <c r="O470" s="722"/>
      <c r="P470" s="718" t="s">
        <v>40</v>
      </c>
      <c r="Q470" s="719"/>
      <c r="R470" s="719"/>
      <c r="S470" s="719"/>
      <c r="T470" s="719"/>
      <c r="U470" s="719"/>
      <c r="V470" s="720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713" t="s">
        <v>76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6"/>
      <c r="AB471" s="66"/>
      <c r="AC471" s="80"/>
    </row>
    <row r="472" spans="1:68" ht="27" hidden="1" customHeight="1" x14ac:dyDescent="0.25">
      <c r="A472" s="63" t="s">
        <v>762</v>
      </c>
      <c r="B472" s="63" t="s">
        <v>763</v>
      </c>
      <c r="C472" s="36">
        <v>4301031457</v>
      </c>
      <c r="D472" s="714">
        <v>4607091384802</v>
      </c>
      <c r="E472" s="714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141</v>
      </c>
      <c r="L472" s="37" t="s">
        <v>46</v>
      </c>
      <c r="M472" s="38" t="s">
        <v>80</v>
      </c>
      <c r="N472" s="38"/>
      <c r="O472" s="37">
        <v>50</v>
      </c>
      <c r="P472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716"/>
      <c r="R472" s="716"/>
      <c r="S472" s="716"/>
      <c r="T472" s="717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764</v>
      </c>
      <c r="AG472" s="78"/>
      <c r="AJ472" s="84" t="s">
        <v>46</v>
      </c>
      <c r="AK472" s="84">
        <v>0</v>
      </c>
      <c r="BB472" s="563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21"/>
      <c r="B473" s="721"/>
      <c r="C473" s="721"/>
      <c r="D473" s="721"/>
      <c r="E473" s="721"/>
      <c r="F473" s="721"/>
      <c r="G473" s="721"/>
      <c r="H473" s="721"/>
      <c r="I473" s="721"/>
      <c r="J473" s="721"/>
      <c r="K473" s="721"/>
      <c r="L473" s="721"/>
      <c r="M473" s="721"/>
      <c r="N473" s="721"/>
      <c r="O473" s="722"/>
      <c r="P473" s="718" t="s">
        <v>40</v>
      </c>
      <c r="Q473" s="719"/>
      <c r="R473" s="719"/>
      <c r="S473" s="719"/>
      <c r="T473" s="719"/>
      <c r="U473" s="719"/>
      <c r="V473" s="720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721"/>
      <c r="B474" s="721"/>
      <c r="C474" s="721"/>
      <c r="D474" s="721"/>
      <c r="E474" s="721"/>
      <c r="F474" s="721"/>
      <c r="G474" s="721"/>
      <c r="H474" s="721"/>
      <c r="I474" s="721"/>
      <c r="J474" s="721"/>
      <c r="K474" s="721"/>
      <c r="L474" s="721"/>
      <c r="M474" s="721"/>
      <c r="N474" s="721"/>
      <c r="O474" s="722"/>
      <c r="P474" s="718" t="s">
        <v>40</v>
      </c>
      <c r="Q474" s="719"/>
      <c r="R474" s="719"/>
      <c r="S474" s="719"/>
      <c r="T474" s="719"/>
      <c r="U474" s="719"/>
      <c r="V474" s="720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713" t="s">
        <v>82</v>
      </c>
      <c r="B475" s="713"/>
      <c r="C475" s="713"/>
      <c r="D475" s="713"/>
      <c r="E475" s="713"/>
      <c r="F475" s="713"/>
      <c r="G475" s="713"/>
      <c r="H475" s="713"/>
      <c r="I475" s="713"/>
      <c r="J475" s="713"/>
      <c r="K475" s="713"/>
      <c r="L475" s="713"/>
      <c r="M475" s="713"/>
      <c r="N475" s="713"/>
      <c r="O475" s="713"/>
      <c r="P475" s="713"/>
      <c r="Q475" s="713"/>
      <c r="R475" s="713"/>
      <c r="S475" s="713"/>
      <c r="T475" s="713"/>
      <c r="U475" s="713"/>
      <c r="V475" s="713"/>
      <c r="W475" s="713"/>
      <c r="X475" s="713"/>
      <c r="Y475" s="713"/>
      <c r="Z475" s="713"/>
      <c r="AA475" s="66"/>
      <c r="AB475" s="66"/>
      <c r="AC475" s="80"/>
    </row>
    <row r="476" spans="1:68" ht="27" hidden="1" customHeight="1" x14ac:dyDescent="0.25">
      <c r="A476" s="63" t="s">
        <v>765</v>
      </c>
      <c r="B476" s="63" t="s">
        <v>766</v>
      </c>
      <c r="C476" s="36">
        <v>4301051899</v>
      </c>
      <c r="D476" s="714">
        <v>4607091384246</v>
      </c>
      <c r="E476" s="714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134</v>
      </c>
      <c r="L476" s="37" t="s">
        <v>46</v>
      </c>
      <c r="M476" s="38" t="s">
        <v>86</v>
      </c>
      <c r="N476" s="38"/>
      <c r="O476" s="37">
        <v>40</v>
      </c>
      <c r="P476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716"/>
      <c r="R476" s="716"/>
      <c r="S476" s="716"/>
      <c r="T476" s="71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767</v>
      </c>
      <c r="AG476" s="78"/>
      <c r="AJ476" s="84" t="s">
        <v>46</v>
      </c>
      <c r="AK476" s="84">
        <v>0</v>
      </c>
      <c r="BB476" s="565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768</v>
      </c>
      <c r="B477" s="63" t="s">
        <v>769</v>
      </c>
      <c r="C477" s="36">
        <v>4301051660</v>
      </c>
      <c r="D477" s="714">
        <v>4607091384253</v>
      </c>
      <c r="E477" s="714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87</v>
      </c>
      <c r="L477" s="37" t="s">
        <v>46</v>
      </c>
      <c r="M477" s="38" t="s">
        <v>86</v>
      </c>
      <c r="N477" s="38"/>
      <c r="O477" s="37">
        <v>40</v>
      </c>
      <c r="P477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716"/>
      <c r="R477" s="716"/>
      <c r="S477" s="716"/>
      <c r="T477" s="717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767</v>
      </c>
      <c r="AG477" s="78"/>
      <c r="AJ477" s="84" t="s">
        <v>46</v>
      </c>
      <c r="AK477" s="84">
        <v>0</v>
      </c>
      <c r="BB477" s="567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768</v>
      </c>
      <c r="B478" s="63" t="s">
        <v>770</v>
      </c>
      <c r="C478" s="36">
        <v>4301052069</v>
      </c>
      <c r="D478" s="714">
        <v>4607091384253</v>
      </c>
      <c r="E478" s="714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87</v>
      </c>
      <c r="L478" s="37" t="s">
        <v>46</v>
      </c>
      <c r="M478" s="38" t="s">
        <v>86</v>
      </c>
      <c r="N478" s="38"/>
      <c r="O478" s="37">
        <v>40</v>
      </c>
      <c r="P478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716"/>
      <c r="R478" s="716"/>
      <c r="S478" s="716"/>
      <c r="T478" s="717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771</v>
      </c>
      <c r="AG478" s="78"/>
      <c r="AJ478" s="84" t="s">
        <v>46</v>
      </c>
      <c r="AK478" s="84">
        <v>0</v>
      </c>
      <c r="BB478" s="569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21"/>
      <c r="B479" s="721"/>
      <c r="C479" s="721"/>
      <c r="D479" s="721"/>
      <c r="E479" s="721"/>
      <c r="F479" s="721"/>
      <c r="G479" s="721"/>
      <c r="H479" s="721"/>
      <c r="I479" s="721"/>
      <c r="J479" s="721"/>
      <c r="K479" s="721"/>
      <c r="L479" s="721"/>
      <c r="M479" s="721"/>
      <c r="N479" s="721"/>
      <c r="O479" s="722"/>
      <c r="P479" s="718" t="s">
        <v>40</v>
      </c>
      <c r="Q479" s="719"/>
      <c r="R479" s="719"/>
      <c r="S479" s="719"/>
      <c r="T479" s="719"/>
      <c r="U479" s="719"/>
      <c r="V479" s="720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1"/>
      <c r="B480" s="721"/>
      <c r="C480" s="721"/>
      <c r="D480" s="721"/>
      <c r="E480" s="721"/>
      <c r="F480" s="721"/>
      <c r="G480" s="721"/>
      <c r="H480" s="721"/>
      <c r="I480" s="721"/>
      <c r="J480" s="721"/>
      <c r="K480" s="721"/>
      <c r="L480" s="721"/>
      <c r="M480" s="721"/>
      <c r="N480" s="721"/>
      <c r="O480" s="722"/>
      <c r="P480" s="718" t="s">
        <v>40</v>
      </c>
      <c r="Q480" s="719"/>
      <c r="R480" s="719"/>
      <c r="S480" s="719"/>
      <c r="T480" s="719"/>
      <c r="U480" s="719"/>
      <c r="V480" s="720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711" t="s">
        <v>772</v>
      </c>
      <c r="B481" s="711"/>
      <c r="C481" s="711"/>
      <c r="D481" s="711"/>
      <c r="E481" s="711"/>
      <c r="F481" s="711"/>
      <c r="G481" s="711"/>
      <c r="H481" s="711"/>
      <c r="I481" s="711"/>
      <c r="J481" s="711"/>
      <c r="K481" s="711"/>
      <c r="L481" s="711"/>
      <c r="M481" s="711"/>
      <c r="N481" s="711"/>
      <c r="O481" s="711"/>
      <c r="P481" s="711"/>
      <c r="Q481" s="711"/>
      <c r="R481" s="711"/>
      <c r="S481" s="711"/>
      <c r="T481" s="711"/>
      <c r="U481" s="711"/>
      <c r="V481" s="711"/>
      <c r="W481" s="711"/>
      <c r="X481" s="711"/>
      <c r="Y481" s="711"/>
      <c r="Z481" s="711"/>
      <c r="AA481" s="54"/>
      <c r="AB481" s="54"/>
      <c r="AC481" s="54"/>
    </row>
    <row r="482" spans="1:68" ht="16.5" hidden="1" customHeight="1" x14ac:dyDescent="0.25">
      <c r="A482" s="712" t="s">
        <v>773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65"/>
      <c r="AB482" s="65"/>
      <c r="AC482" s="79"/>
    </row>
    <row r="483" spans="1:68" ht="14.25" hidden="1" customHeight="1" x14ac:dyDescent="0.25">
      <c r="A483" s="713" t="s">
        <v>76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6"/>
      <c r="AB483" s="66"/>
      <c r="AC483" s="80"/>
    </row>
    <row r="484" spans="1:68" ht="27" hidden="1" customHeight="1" x14ac:dyDescent="0.25">
      <c r="A484" s="63" t="s">
        <v>774</v>
      </c>
      <c r="B484" s="63" t="s">
        <v>775</v>
      </c>
      <c r="C484" s="36">
        <v>4301031405</v>
      </c>
      <c r="D484" s="714">
        <v>4680115886100</v>
      </c>
      <c r="E484" s="714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141</v>
      </c>
      <c r="L484" s="37" t="s">
        <v>46</v>
      </c>
      <c r="M484" s="38" t="s">
        <v>80</v>
      </c>
      <c r="N484" s="38"/>
      <c r="O484" s="37">
        <v>50</v>
      </c>
      <c r="P484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716"/>
      <c r="R484" s="716"/>
      <c r="S484" s="716"/>
      <c r="T484" s="71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776</v>
      </c>
      <c r="AG484" s="78"/>
      <c r="AJ484" s="84" t="s">
        <v>46</v>
      </c>
      <c r="AK484" s="84">
        <v>0</v>
      </c>
      <c r="BB484" s="571" t="s">
        <v>66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777</v>
      </c>
      <c r="B485" s="63" t="s">
        <v>778</v>
      </c>
      <c r="C485" s="36">
        <v>4301031402</v>
      </c>
      <c r="D485" s="714">
        <v>4680115886124</v>
      </c>
      <c r="E485" s="714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141</v>
      </c>
      <c r="L485" s="37" t="s">
        <v>46</v>
      </c>
      <c r="M485" s="38" t="s">
        <v>80</v>
      </c>
      <c r="N485" s="38"/>
      <c r="O485" s="37">
        <v>50</v>
      </c>
      <c r="P485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716"/>
      <c r="R485" s="716"/>
      <c r="S485" s="716"/>
      <c r="T485" s="71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779</v>
      </c>
      <c r="AG485" s="78"/>
      <c r="AJ485" s="84" t="s">
        <v>46</v>
      </c>
      <c r="AK485" s="84">
        <v>0</v>
      </c>
      <c r="BB485" s="573" t="s">
        <v>66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hidden="1" customHeight="1" x14ac:dyDescent="0.25">
      <c r="A486" s="63" t="s">
        <v>780</v>
      </c>
      <c r="B486" s="63" t="s">
        <v>781</v>
      </c>
      <c r="C486" s="36">
        <v>4301031362</v>
      </c>
      <c r="D486" s="714">
        <v>4607091384338</v>
      </c>
      <c r="E486" s="71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716"/>
      <c r="R486" s="716"/>
      <c r="S486" s="716"/>
      <c r="T486" s="71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776</v>
      </c>
      <c r="AG486" s="78"/>
      <c r="AJ486" s="84" t="s">
        <v>46</v>
      </c>
      <c r="AK486" s="84">
        <v>0</v>
      </c>
      <c r="BB486" s="575" t="s">
        <v>66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782</v>
      </c>
      <c r="B487" s="63" t="s">
        <v>783</v>
      </c>
      <c r="C487" s="36">
        <v>4301031364</v>
      </c>
      <c r="D487" s="714">
        <v>4680115883161</v>
      </c>
      <c r="E487" s="714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81</v>
      </c>
      <c r="L487" s="37" t="s">
        <v>46</v>
      </c>
      <c r="M487" s="38" t="s">
        <v>80</v>
      </c>
      <c r="N487" s="38"/>
      <c r="O487" s="37">
        <v>50</v>
      </c>
      <c r="P487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716"/>
      <c r="R487" s="716"/>
      <c r="S487" s="716"/>
      <c r="T487" s="71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784</v>
      </c>
      <c r="AG487" s="78"/>
      <c r="AJ487" s="84" t="s">
        <v>46</v>
      </c>
      <c r="AK487" s="84">
        <v>0</v>
      </c>
      <c r="BB487" s="577" t="s">
        <v>66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4301031358</v>
      </c>
      <c r="D488" s="714">
        <v>4607091389531</v>
      </c>
      <c r="E488" s="714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716"/>
      <c r="R488" s="716"/>
      <c r="S488" s="716"/>
      <c r="T488" s="717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787</v>
      </c>
      <c r="AG488" s="78"/>
      <c r="AJ488" s="84" t="s">
        <v>46</v>
      </c>
      <c r="AK488" s="84">
        <v>0</v>
      </c>
      <c r="BB488" s="579" t="s">
        <v>66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hidden="1" customHeight="1" x14ac:dyDescent="0.25">
      <c r="A489" s="63" t="s">
        <v>788</v>
      </c>
      <c r="B489" s="63" t="s">
        <v>789</v>
      </c>
      <c r="C489" s="36">
        <v>4301031360</v>
      </c>
      <c r="D489" s="714">
        <v>4607091384345</v>
      </c>
      <c r="E489" s="714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716"/>
      <c r="R489" s="716"/>
      <c r="S489" s="716"/>
      <c r="T489" s="717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784</v>
      </c>
      <c r="AG489" s="78"/>
      <c r="AJ489" s="84" t="s">
        <v>46</v>
      </c>
      <c r="AK489" s="84">
        <v>0</v>
      </c>
      <c r="BB489" s="581" t="s">
        <v>66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idden="1" x14ac:dyDescent="0.2">
      <c r="A490" s="721"/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2"/>
      <c r="P490" s="718" t="s">
        <v>40</v>
      </c>
      <c r="Q490" s="719"/>
      <c r="R490" s="719"/>
      <c r="S490" s="719"/>
      <c r="T490" s="719"/>
      <c r="U490" s="719"/>
      <c r="V490" s="720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21"/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2"/>
      <c r="P491" s="718" t="s">
        <v>40</v>
      </c>
      <c r="Q491" s="719"/>
      <c r="R491" s="719"/>
      <c r="S491" s="719"/>
      <c r="T491" s="719"/>
      <c r="U491" s="719"/>
      <c r="V491" s="720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hidden="1" customHeight="1" x14ac:dyDescent="0.25">
      <c r="A492" s="713" t="s">
        <v>82</v>
      </c>
      <c r="B492" s="713"/>
      <c r="C492" s="713"/>
      <c r="D492" s="713"/>
      <c r="E492" s="713"/>
      <c r="F492" s="713"/>
      <c r="G492" s="713"/>
      <c r="H492" s="713"/>
      <c r="I492" s="713"/>
      <c r="J492" s="713"/>
      <c r="K492" s="713"/>
      <c r="L492" s="713"/>
      <c r="M492" s="713"/>
      <c r="N492" s="713"/>
      <c r="O492" s="713"/>
      <c r="P492" s="713"/>
      <c r="Q492" s="713"/>
      <c r="R492" s="713"/>
      <c r="S492" s="713"/>
      <c r="T492" s="713"/>
      <c r="U492" s="713"/>
      <c r="V492" s="713"/>
      <c r="W492" s="713"/>
      <c r="X492" s="713"/>
      <c r="Y492" s="713"/>
      <c r="Z492" s="713"/>
      <c r="AA492" s="66"/>
      <c r="AB492" s="66"/>
      <c r="AC492" s="80"/>
    </row>
    <row r="493" spans="1:68" ht="27" hidden="1" customHeight="1" x14ac:dyDescent="0.25">
      <c r="A493" s="63" t="s">
        <v>790</v>
      </c>
      <c r="B493" s="63" t="s">
        <v>791</v>
      </c>
      <c r="C493" s="36">
        <v>4301051284</v>
      </c>
      <c r="D493" s="714">
        <v>4607091384352</v>
      </c>
      <c r="E493" s="714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141</v>
      </c>
      <c r="L493" s="37" t="s">
        <v>46</v>
      </c>
      <c r="M493" s="38" t="s">
        <v>86</v>
      </c>
      <c r="N493" s="38"/>
      <c r="O493" s="37">
        <v>45</v>
      </c>
      <c r="P493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716"/>
      <c r="R493" s="716"/>
      <c r="S493" s="716"/>
      <c r="T493" s="71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792</v>
      </c>
      <c r="AG493" s="78"/>
      <c r="AJ493" s="84" t="s">
        <v>46</v>
      </c>
      <c r="AK493" s="84">
        <v>0</v>
      </c>
      <c r="BB493" s="583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1"/>
      <c r="B494" s="721"/>
      <c r="C494" s="721"/>
      <c r="D494" s="721"/>
      <c r="E494" s="721"/>
      <c r="F494" s="721"/>
      <c r="G494" s="721"/>
      <c r="H494" s="721"/>
      <c r="I494" s="721"/>
      <c r="J494" s="721"/>
      <c r="K494" s="721"/>
      <c r="L494" s="721"/>
      <c r="M494" s="721"/>
      <c r="N494" s="721"/>
      <c r="O494" s="722"/>
      <c r="P494" s="718" t="s">
        <v>40</v>
      </c>
      <c r="Q494" s="719"/>
      <c r="R494" s="719"/>
      <c r="S494" s="719"/>
      <c r="T494" s="719"/>
      <c r="U494" s="719"/>
      <c r="V494" s="72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21"/>
      <c r="B495" s="721"/>
      <c r="C495" s="721"/>
      <c r="D495" s="721"/>
      <c r="E495" s="721"/>
      <c r="F495" s="721"/>
      <c r="G495" s="721"/>
      <c r="H495" s="721"/>
      <c r="I495" s="721"/>
      <c r="J495" s="721"/>
      <c r="K495" s="721"/>
      <c r="L495" s="721"/>
      <c r="M495" s="721"/>
      <c r="N495" s="721"/>
      <c r="O495" s="722"/>
      <c r="P495" s="718" t="s">
        <v>40</v>
      </c>
      <c r="Q495" s="719"/>
      <c r="R495" s="719"/>
      <c r="S495" s="719"/>
      <c r="T495" s="719"/>
      <c r="U495" s="719"/>
      <c r="V495" s="72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712" t="s">
        <v>793</v>
      </c>
      <c r="B496" s="712"/>
      <c r="C496" s="712"/>
      <c r="D496" s="712"/>
      <c r="E496" s="712"/>
      <c r="F496" s="712"/>
      <c r="G496" s="712"/>
      <c r="H496" s="712"/>
      <c r="I496" s="712"/>
      <c r="J496" s="712"/>
      <c r="K496" s="712"/>
      <c r="L496" s="712"/>
      <c r="M496" s="712"/>
      <c r="N496" s="712"/>
      <c r="O496" s="712"/>
      <c r="P496" s="712"/>
      <c r="Q496" s="712"/>
      <c r="R496" s="712"/>
      <c r="S496" s="712"/>
      <c r="T496" s="712"/>
      <c r="U496" s="712"/>
      <c r="V496" s="712"/>
      <c r="W496" s="712"/>
      <c r="X496" s="712"/>
      <c r="Y496" s="712"/>
      <c r="Z496" s="712"/>
      <c r="AA496" s="65"/>
      <c r="AB496" s="65"/>
      <c r="AC496" s="79"/>
    </row>
    <row r="497" spans="1:68" ht="14.25" hidden="1" customHeight="1" x14ac:dyDescent="0.25">
      <c r="A497" s="713" t="s">
        <v>164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6"/>
      <c r="AB497" s="66"/>
      <c r="AC497" s="80"/>
    </row>
    <row r="498" spans="1:68" ht="27" hidden="1" customHeight="1" x14ac:dyDescent="0.25">
      <c r="A498" s="63" t="s">
        <v>794</v>
      </c>
      <c r="B498" s="63" t="s">
        <v>795</v>
      </c>
      <c r="C498" s="36">
        <v>4301020416</v>
      </c>
      <c r="D498" s="714">
        <v>4680115885240</v>
      </c>
      <c r="E498" s="714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87</v>
      </c>
      <c r="L498" s="37" t="s">
        <v>46</v>
      </c>
      <c r="M498" s="38" t="s">
        <v>80</v>
      </c>
      <c r="N498" s="38"/>
      <c r="O498" s="37">
        <v>40</v>
      </c>
      <c r="P498" s="97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716"/>
      <c r="R498" s="716"/>
      <c r="S498" s="716"/>
      <c r="T498" s="717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796</v>
      </c>
      <c r="AG498" s="78"/>
      <c r="AJ498" s="84" t="s">
        <v>46</v>
      </c>
      <c r="AK498" s="84">
        <v>0</v>
      </c>
      <c r="BB498" s="585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721"/>
      <c r="B499" s="721"/>
      <c r="C499" s="721"/>
      <c r="D499" s="721"/>
      <c r="E499" s="721"/>
      <c r="F499" s="721"/>
      <c r="G499" s="721"/>
      <c r="H499" s="721"/>
      <c r="I499" s="721"/>
      <c r="J499" s="721"/>
      <c r="K499" s="721"/>
      <c r="L499" s="721"/>
      <c r="M499" s="721"/>
      <c r="N499" s="721"/>
      <c r="O499" s="722"/>
      <c r="P499" s="718" t="s">
        <v>40</v>
      </c>
      <c r="Q499" s="719"/>
      <c r="R499" s="719"/>
      <c r="S499" s="719"/>
      <c r="T499" s="719"/>
      <c r="U499" s="719"/>
      <c r="V499" s="720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721"/>
      <c r="B500" s="721"/>
      <c r="C500" s="721"/>
      <c r="D500" s="721"/>
      <c r="E500" s="721"/>
      <c r="F500" s="721"/>
      <c r="G500" s="721"/>
      <c r="H500" s="721"/>
      <c r="I500" s="721"/>
      <c r="J500" s="721"/>
      <c r="K500" s="721"/>
      <c r="L500" s="721"/>
      <c r="M500" s="721"/>
      <c r="N500" s="721"/>
      <c r="O500" s="722"/>
      <c r="P500" s="718" t="s">
        <v>40</v>
      </c>
      <c r="Q500" s="719"/>
      <c r="R500" s="719"/>
      <c r="S500" s="719"/>
      <c r="T500" s="719"/>
      <c r="U500" s="719"/>
      <c r="V500" s="720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713" t="s">
        <v>76</v>
      </c>
      <c r="B501" s="713"/>
      <c r="C501" s="713"/>
      <c r="D501" s="713"/>
      <c r="E501" s="713"/>
      <c r="F501" s="713"/>
      <c r="G501" s="713"/>
      <c r="H501" s="713"/>
      <c r="I501" s="713"/>
      <c r="J501" s="713"/>
      <c r="K501" s="713"/>
      <c r="L501" s="713"/>
      <c r="M501" s="713"/>
      <c r="N501" s="713"/>
      <c r="O501" s="713"/>
      <c r="P501" s="713"/>
      <c r="Q501" s="713"/>
      <c r="R501" s="713"/>
      <c r="S501" s="713"/>
      <c r="T501" s="713"/>
      <c r="U501" s="713"/>
      <c r="V501" s="713"/>
      <c r="W501" s="713"/>
      <c r="X501" s="713"/>
      <c r="Y501" s="713"/>
      <c r="Z501" s="713"/>
      <c r="AA501" s="66"/>
      <c r="AB501" s="66"/>
      <c r="AC501" s="80"/>
    </row>
    <row r="502" spans="1:68" ht="27" hidden="1" customHeight="1" x14ac:dyDescent="0.25">
      <c r="A502" s="63" t="s">
        <v>797</v>
      </c>
      <c r="B502" s="63" t="s">
        <v>798</v>
      </c>
      <c r="C502" s="36">
        <v>4301031407</v>
      </c>
      <c r="D502" s="714">
        <v>4680115886094</v>
      </c>
      <c r="E502" s="714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141</v>
      </c>
      <c r="L502" s="37" t="s">
        <v>46</v>
      </c>
      <c r="M502" s="38" t="s">
        <v>80</v>
      </c>
      <c r="N502" s="38"/>
      <c r="O502" s="37">
        <v>50</v>
      </c>
      <c r="P502" s="97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716"/>
      <c r="R502" s="716"/>
      <c r="S502" s="716"/>
      <c r="T502" s="71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799</v>
      </c>
      <c r="AG502" s="78"/>
      <c r="AJ502" s="84" t="s">
        <v>46</v>
      </c>
      <c r="AK502" s="84">
        <v>0</v>
      </c>
      <c r="BB502" s="58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800</v>
      </c>
      <c r="B503" s="63" t="s">
        <v>801</v>
      </c>
      <c r="C503" s="36">
        <v>4301031373</v>
      </c>
      <c r="D503" s="714">
        <v>4680115880771</v>
      </c>
      <c r="E503" s="714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81</v>
      </c>
      <c r="L503" s="37" t="s">
        <v>46</v>
      </c>
      <c r="M503" s="38" t="s">
        <v>80</v>
      </c>
      <c r="N503" s="38"/>
      <c r="O503" s="37">
        <v>50</v>
      </c>
      <c r="P503" s="9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716"/>
      <c r="R503" s="716"/>
      <c r="S503" s="716"/>
      <c r="T503" s="71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802</v>
      </c>
      <c r="AG503" s="78"/>
      <c r="AJ503" s="84" t="s">
        <v>46</v>
      </c>
      <c r="AK503" s="84">
        <v>0</v>
      </c>
      <c r="BB503" s="589" t="s">
        <v>66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803</v>
      </c>
      <c r="B504" s="63" t="s">
        <v>804</v>
      </c>
      <c r="C504" s="36">
        <v>4301031359</v>
      </c>
      <c r="D504" s="714">
        <v>4607091389500</v>
      </c>
      <c r="E504" s="714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81</v>
      </c>
      <c r="L504" s="37" t="s">
        <v>46</v>
      </c>
      <c r="M504" s="38" t="s">
        <v>80</v>
      </c>
      <c r="N504" s="38"/>
      <c r="O504" s="37">
        <v>50</v>
      </c>
      <c r="P504" s="9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716"/>
      <c r="R504" s="716"/>
      <c r="S504" s="716"/>
      <c r="T504" s="717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802</v>
      </c>
      <c r="AG504" s="78"/>
      <c r="AJ504" s="84" t="s">
        <v>46</v>
      </c>
      <c r="AK504" s="84">
        <v>0</v>
      </c>
      <c r="BB504" s="591" t="s">
        <v>66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721"/>
      <c r="B505" s="721"/>
      <c r="C505" s="721"/>
      <c r="D505" s="721"/>
      <c r="E505" s="721"/>
      <c r="F505" s="721"/>
      <c r="G505" s="721"/>
      <c r="H505" s="721"/>
      <c r="I505" s="721"/>
      <c r="J505" s="721"/>
      <c r="K505" s="721"/>
      <c r="L505" s="721"/>
      <c r="M505" s="721"/>
      <c r="N505" s="721"/>
      <c r="O505" s="722"/>
      <c r="P505" s="718" t="s">
        <v>40</v>
      </c>
      <c r="Q505" s="719"/>
      <c r="R505" s="719"/>
      <c r="S505" s="719"/>
      <c r="T505" s="719"/>
      <c r="U505" s="719"/>
      <c r="V505" s="720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21"/>
      <c r="B506" s="721"/>
      <c r="C506" s="721"/>
      <c r="D506" s="721"/>
      <c r="E506" s="721"/>
      <c r="F506" s="721"/>
      <c r="G506" s="721"/>
      <c r="H506" s="721"/>
      <c r="I506" s="721"/>
      <c r="J506" s="721"/>
      <c r="K506" s="721"/>
      <c r="L506" s="721"/>
      <c r="M506" s="721"/>
      <c r="N506" s="721"/>
      <c r="O506" s="722"/>
      <c r="P506" s="718" t="s">
        <v>40</v>
      </c>
      <c r="Q506" s="719"/>
      <c r="R506" s="719"/>
      <c r="S506" s="719"/>
      <c r="T506" s="719"/>
      <c r="U506" s="719"/>
      <c r="V506" s="720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711" t="s">
        <v>805</v>
      </c>
      <c r="B507" s="711"/>
      <c r="C507" s="711"/>
      <c r="D507" s="711"/>
      <c r="E507" s="711"/>
      <c r="F507" s="711"/>
      <c r="G507" s="711"/>
      <c r="H507" s="711"/>
      <c r="I507" s="711"/>
      <c r="J507" s="711"/>
      <c r="K507" s="711"/>
      <c r="L507" s="711"/>
      <c r="M507" s="711"/>
      <c r="N507" s="711"/>
      <c r="O507" s="711"/>
      <c r="P507" s="711"/>
      <c r="Q507" s="711"/>
      <c r="R507" s="711"/>
      <c r="S507" s="711"/>
      <c r="T507" s="711"/>
      <c r="U507" s="711"/>
      <c r="V507" s="711"/>
      <c r="W507" s="711"/>
      <c r="X507" s="711"/>
      <c r="Y507" s="711"/>
      <c r="Z507" s="711"/>
      <c r="AA507" s="54"/>
      <c r="AB507" s="54"/>
      <c r="AC507" s="54"/>
    </row>
    <row r="508" spans="1:68" ht="16.5" hidden="1" customHeight="1" x14ac:dyDescent="0.25">
      <c r="A508" s="712" t="s">
        <v>805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65"/>
      <c r="AB508" s="65"/>
      <c r="AC508" s="79"/>
    </row>
    <row r="509" spans="1:68" ht="14.25" hidden="1" customHeight="1" x14ac:dyDescent="0.25">
      <c r="A509" s="713" t="s">
        <v>129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6"/>
      <c r="AB509" s="66"/>
      <c r="AC509" s="80"/>
    </row>
    <row r="510" spans="1:68" ht="27" hidden="1" customHeight="1" x14ac:dyDescent="0.25">
      <c r="A510" s="63" t="s">
        <v>806</v>
      </c>
      <c r="B510" s="63" t="s">
        <v>807</v>
      </c>
      <c r="C510" s="36">
        <v>4301011769</v>
      </c>
      <c r="D510" s="714">
        <v>4607091389067</v>
      </c>
      <c r="E510" s="71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134</v>
      </c>
      <c r="L510" s="37" t="s">
        <v>46</v>
      </c>
      <c r="M510" s="38" t="s">
        <v>86</v>
      </c>
      <c r="N510" s="38"/>
      <c r="O510" s="37">
        <v>60</v>
      </c>
      <c r="P510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716"/>
      <c r="R510" s="716"/>
      <c r="S510" s="716"/>
      <c r="T510" s="71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132</v>
      </c>
      <c r="AG510" s="78"/>
      <c r="AJ510" s="84" t="s">
        <v>46</v>
      </c>
      <c r="AK510" s="84">
        <v>0</v>
      </c>
      <c r="BB510" s="593" t="s">
        <v>66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hidden="1" customHeight="1" x14ac:dyDescent="0.25">
      <c r="A511" s="63" t="s">
        <v>808</v>
      </c>
      <c r="B511" s="63" t="s">
        <v>809</v>
      </c>
      <c r="C511" s="36">
        <v>4301012380</v>
      </c>
      <c r="D511" s="714">
        <v>4680115889576</v>
      </c>
      <c r="E511" s="71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134</v>
      </c>
      <c r="L511" s="37" t="s">
        <v>46</v>
      </c>
      <c r="M511" s="38" t="s">
        <v>133</v>
      </c>
      <c r="N511" s="38"/>
      <c r="O511" s="37">
        <v>60</v>
      </c>
      <c r="P511" s="9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716"/>
      <c r="R511" s="716"/>
      <c r="S511" s="716"/>
      <c r="T511" s="71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810</v>
      </c>
      <c r="AG511" s="78"/>
      <c r="AJ511" s="84" t="s">
        <v>46</v>
      </c>
      <c r="AK511" s="84">
        <v>0</v>
      </c>
      <c r="BB511" s="595" t="s">
        <v>66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811</v>
      </c>
      <c r="B512" s="63" t="s">
        <v>812</v>
      </c>
      <c r="C512" s="36">
        <v>4301011961</v>
      </c>
      <c r="D512" s="714">
        <v>4680115885271</v>
      </c>
      <c r="E512" s="71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134</v>
      </c>
      <c r="L512" s="37" t="s">
        <v>46</v>
      </c>
      <c r="M512" s="38" t="s">
        <v>133</v>
      </c>
      <c r="N512" s="38"/>
      <c r="O512" s="37">
        <v>60</v>
      </c>
      <c r="P512" s="9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716"/>
      <c r="R512" s="716"/>
      <c r="S512" s="716"/>
      <c r="T512" s="71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813</v>
      </c>
      <c r="AG512" s="78"/>
      <c r="AJ512" s="84" t="s">
        <v>46</v>
      </c>
      <c r="AK512" s="84">
        <v>0</v>
      </c>
      <c r="BB512" s="597" t="s">
        <v>66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814</v>
      </c>
      <c r="B513" s="63" t="s">
        <v>815</v>
      </c>
      <c r="C513" s="36">
        <v>4301011369</v>
      </c>
      <c r="D513" s="714">
        <v>4680115885226</v>
      </c>
      <c r="E513" s="71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134</v>
      </c>
      <c r="L513" s="37" t="s">
        <v>46</v>
      </c>
      <c r="M513" s="38" t="s">
        <v>133</v>
      </c>
      <c r="N513" s="38"/>
      <c r="O513" s="37">
        <v>60</v>
      </c>
      <c r="P513" s="9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716"/>
      <c r="R513" s="716"/>
      <c r="S513" s="716"/>
      <c r="T513" s="71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816</v>
      </c>
      <c r="AG513" s="78"/>
      <c r="AJ513" s="84" t="s">
        <v>46</v>
      </c>
      <c r="AK513" s="84">
        <v>0</v>
      </c>
      <c r="BB513" s="599" t="s">
        <v>66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817</v>
      </c>
      <c r="B514" s="63" t="s">
        <v>818</v>
      </c>
      <c r="C514" s="36">
        <v>4301011771</v>
      </c>
      <c r="D514" s="714">
        <v>4607091389104</v>
      </c>
      <c r="E514" s="71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134</v>
      </c>
      <c r="L514" s="37" t="s">
        <v>46</v>
      </c>
      <c r="M514" s="38" t="s">
        <v>133</v>
      </c>
      <c r="N514" s="38"/>
      <c r="O514" s="37">
        <v>60</v>
      </c>
      <c r="P514" s="9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16"/>
      <c r="R514" s="716"/>
      <c r="S514" s="716"/>
      <c r="T514" s="71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819</v>
      </c>
      <c r="AG514" s="78"/>
      <c r="AJ514" s="84" t="s">
        <v>46</v>
      </c>
      <c r="AK514" s="84">
        <v>0</v>
      </c>
      <c r="BB514" s="601" t="s">
        <v>66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820</v>
      </c>
      <c r="B515" s="63" t="s">
        <v>821</v>
      </c>
      <c r="C515" s="36">
        <v>4301012125</v>
      </c>
      <c r="D515" s="714">
        <v>4680115886391</v>
      </c>
      <c r="E515" s="71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87</v>
      </c>
      <c r="L515" s="37" t="s">
        <v>46</v>
      </c>
      <c r="M515" s="38" t="s">
        <v>86</v>
      </c>
      <c r="N515" s="38"/>
      <c r="O515" s="37">
        <v>60</v>
      </c>
      <c r="P515" s="9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16"/>
      <c r="R515" s="716"/>
      <c r="S515" s="716"/>
      <c r="T515" s="71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132</v>
      </c>
      <c r="AG515" s="78"/>
      <c r="AJ515" s="84" t="s">
        <v>46</v>
      </c>
      <c r="AK515" s="84">
        <v>0</v>
      </c>
      <c r="BB515" s="603" t="s">
        <v>66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822</v>
      </c>
      <c r="B516" s="63" t="s">
        <v>823</v>
      </c>
      <c r="C516" s="36">
        <v>4301012048</v>
      </c>
      <c r="D516" s="714">
        <v>4680115880603</v>
      </c>
      <c r="E516" s="71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141</v>
      </c>
      <c r="L516" s="37" t="s">
        <v>46</v>
      </c>
      <c r="M516" s="38" t="s">
        <v>86</v>
      </c>
      <c r="N516" s="38"/>
      <c r="O516" s="37">
        <v>60</v>
      </c>
      <c r="P516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16"/>
      <c r="R516" s="716"/>
      <c r="S516" s="716"/>
      <c r="T516" s="71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132</v>
      </c>
      <c r="AG516" s="78"/>
      <c r="AJ516" s="84" t="s">
        <v>46</v>
      </c>
      <c r="AK516" s="84">
        <v>0</v>
      </c>
      <c r="BB516" s="605" t="s">
        <v>66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824</v>
      </c>
      <c r="B517" s="63" t="s">
        <v>825</v>
      </c>
      <c r="C517" s="36">
        <v>4301012034</v>
      </c>
      <c r="D517" s="714">
        <v>4607091389982</v>
      </c>
      <c r="E517" s="71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141</v>
      </c>
      <c r="L517" s="37" t="s">
        <v>46</v>
      </c>
      <c r="M517" s="38" t="s">
        <v>133</v>
      </c>
      <c r="N517" s="38"/>
      <c r="O517" s="37">
        <v>60</v>
      </c>
      <c r="P517" s="9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16"/>
      <c r="R517" s="716"/>
      <c r="S517" s="716"/>
      <c r="T517" s="71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819</v>
      </c>
      <c r="AG517" s="78"/>
      <c r="AJ517" s="84" t="s">
        <v>46</v>
      </c>
      <c r="AK517" s="84">
        <v>0</v>
      </c>
      <c r="BB517" s="607" t="s">
        <v>66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idden="1" x14ac:dyDescent="0.2">
      <c r="A518" s="721"/>
      <c r="B518" s="721"/>
      <c r="C518" s="721"/>
      <c r="D518" s="721"/>
      <c r="E518" s="721"/>
      <c r="F518" s="721"/>
      <c r="G518" s="721"/>
      <c r="H518" s="721"/>
      <c r="I518" s="721"/>
      <c r="J518" s="721"/>
      <c r="K518" s="721"/>
      <c r="L518" s="721"/>
      <c r="M518" s="721"/>
      <c r="N518" s="721"/>
      <c r="O518" s="722"/>
      <c r="P518" s="718" t="s">
        <v>40</v>
      </c>
      <c r="Q518" s="719"/>
      <c r="R518" s="719"/>
      <c r="S518" s="719"/>
      <c r="T518" s="719"/>
      <c r="U518" s="719"/>
      <c r="V518" s="720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21"/>
      <c r="B519" s="721"/>
      <c r="C519" s="721"/>
      <c r="D519" s="721"/>
      <c r="E519" s="721"/>
      <c r="F519" s="721"/>
      <c r="G519" s="721"/>
      <c r="H519" s="721"/>
      <c r="I519" s="721"/>
      <c r="J519" s="721"/>
      <c r="K519" s="721"/>
      <c r="L519" s="721"/>
      <c r="M519" s="721"/>
      <c r="N519" s="721"/>
      <c r="O519" s="722"/>
      <c r="P519" s="718" t="s">
        <v>40</v>
      </c>
      <c r="Q519" s="719"/>
      <c r="R519" s="719"/>
      <c r="S519" s="719"/>
      <c r="T519" s="719"/>
      <c r="U519" s="719"/>
      <c r="V519" s="720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13" t="s">
        <v>164</v>
      </c>
      <c r="B520" s="713"/>
      <c r="C520" s="713"/>
      <c r="D520" s="713"/>
      <c r="E520" s="713"/>
      <c r="F520" s="713"/>
      <c r="G520" s="713"/>
      <c r="H520" s="713"/>
      <c r="I520" s="713"/>
      <c r="J520" s="713"/>
      <c r="K520" s="713"/>
      <c r="L520" s="713"/>
      <c r="M520" s="713"/>
      <c r="N520" s="713"/>
      <c r="O520" s="713"/>
      <c r="P520" s="713"/>
      <c r="Q520" s="713"/>
      <c r="R520" s="713"/>
      <c r="S520" s="713"/>
      <c r="T520" s="713"/>
      <c r="U520" s="713"/>
      <c r="V520" s="713"/>
      <c r="W520" s="713"/>
      <c r="X520" s="713"/>
      <c r="Y520" s="713"/>
      <c r="Z520" s="713"/>
      <c r="AA520" s="66"/>
      <c r="AB520" s="66"/>
      <c r="AC520" s="80"/>
    </row>
    <row r="521" spans="1:68" ht="16.5" hidden="1" customHeight="1" x14ac:dyDescent="0.25">
      <c r="A521" s="63" t="s">
        <v>826</v>
      </c>
      <c r="B521" s="63" t="s">
        <v>827</v>
      </c>
      <c r="C521" s="36">
        <v>4301020334</v>
      </c>
      <c r="D521" s="714">
        <v>4607091388930</v>
      </c>
      <c r="E521" s="71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134</v>
      </c>
      <c r="L521" s="37" t="s">
        <v>46</v>
      </c>
      <c r="M521" s="38" t="s">
        <v>86</v>
      </c>
      <c r="N521" s="38"/>
      <c r="O521" s="37">
        <v>70</v>
      </c>
      <c r="P521" s="98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16"/>
      <c r="R521" s="716"/>
      <c r="S521" s="716"/>
      <c r="T521" s="71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828</v>
      </c>
      <c r="AG521" s="78"/>
      <c r="AJ521" s="84" t="s">
        <v>46</v>
      </c>
      <c r="AK521" s="84">
        <v>0</v>
      </c>
      <c r="BB521" s="60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829</v>
      </c>
      <c r="B522" s="63" t="s">
        <v>830</v>
      </c>
      <c r="C522" s="36">
        <v>4301020374</v>
      </c>
      <c r="D522" s="714">
        <v>4680115886407</v>
      </c>
      <c r="E522" s="71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87</v>
      </c>
      <c r="L522" s="37" t="s">
        <v>46</v>
      </c>
      <c r="M522" s="38" t="s">
        <v>133</v>
      </c>
      <c r="N522" s="38"/>
      <c r="O522" s="37">
        <v>70</v>
      </c>
      <c r="P522" s="98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16"/>
      <c r="R522" s="716"/>
      <c r="S522" s="716"/>
      <c r="T522" s="71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828</v>
      </c>
      <c r="AG522" s="78"/>
      <c r="AJ522" s="84" t="s">
        <v>46</v>
      </c>
      <c r="AK522" s="84">
        <v>0</v>
      </c>
      <c r="BB522" s="61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831</v>
      </c>
      <c r="B523" s="63" t="s">
        <v>832</v>
      </c>
      <c r="C523" s="36">
        <v>4301020385</v>
      </c>
      <c r="D523" s="714">
        <v>4680115880054</v>
      </c>
      <c r="E523" s="71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141</v>
      </c>
      <c r="L523" s="37" t="s">
        <v>46</v>
      </c>
      <c r="M523" s="38" t="s">
        <v>133</v>
      </c>
      <c r="N523" s="38"/>
      <c r="O523" s="37">
        <v>70</v>
      </c>
      <c r="P523" s="9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16"/>
      <c r="R523" s="716"/>
      <c r="S523" s="716"/>
      <c r="T523" s="71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828</v>
      </c>
      <c r="AG523" s="78"/>
      <c r="AJ523" s="84" t="s">
        <v>46</v>
      </c>
      <c r="AK523" s="84">
        <v>0</v>
      </c>
      <c r="BB523" s="613" t="s">
        <v>66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21"/>
      <c r="B524" s="721"/>
      <c r="C524" s="721"/>
      <c r="D524" s="721"/>
      <c r="E524" s="721"/>
      <c r="F524" s="721"/>
      <c r="G524" s="721"/>
      <c r="H524" s="721"/>
      <c r="I524" s="721"/>
      <c r="J524" s="721"/>
      <c r="K524" s="721"/>
      <c r="L524" s="721"/>
      <c r="M524" s="721"/>
      <c r="N524" s="721"/>
      <c r="O524" s="722"/>
      <c r="P524" s="718" t="s">
        <v>40</v>
      </c>
      <c r="Q524" s="719"/>
      <c r="R524" s="719"/>
      <c r="S524" s="719"/>
      <c r="T524" s="719"/>
      <c r="U524" s="719"/>
      <c r="V524" s="720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1"/>
      <c r="B525" s="721"/>
      <c r="C525" s="721"/>
      <c r="D525" s="721"/>
      <c r="E525" s="721"/>
      <c r="F525" s="721"/>
      <c r="G525" s="721"/>
      <c r="H525" s="721"/>
      <c r="I525" s="721"/>
      <c r="J525" s="721"/>
      <c r="K525" s="721"/>
      <c r="L525" s="721"/>
      <c r="M525" s="721"/>
      <c r="N525" s="721"/>
      <c r="O525" s="722"/>
      <c r="P525" s="718" t="s">
        <v>40</v>
      </c>
      <c r="Q525" s="719"/>
      <c r="R525" s="719"/>
      <c r="S525" s="719"/>
      <c r="T525" s="719"/>
      <c r="U525" s="719"/>
      <c r="V525" s="720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13" t="s">
        <v>76</v>
      </c>
      <c r="B526" s="713"/>
      <c r="C526" s="713"/>
      <c r="D526" s="713"/>
      <c r="E526" s="713"/>
      <c r="F526" s="713"/>
      <c r="G526" s="713"/>
      <c r="H526" s="713"/>
      <c r="I526" s="713"/>
      <c r="J526" s="713"/>
      <c r="K526" s="713"/>
      <c r="L526" s="713"/>
      <c r="M526" s="713"/>
      <c r="N526" s="713"/>
      <c r="O526" s="713"/>
      <c r="P526" s="713"/>
      <c r="Q526" s="713"/>
      <c r="R526" s="713"/>
      <c r="S526" s="713"/>
      <c r="T526" s="713"/>
      <c r="U526" s="713"/>
      <c r="V526" s="713"/>
      <c r="W526" s="713"/>
      <c r="X526" s="713"/>
      <c r="Y526" s="713"/>
      <c r="Z526" s="713"/>
      <c r="AA526" s="66"/>
      <c r="AB526" s="66"/>
      <c r="AC526" s="80"/>
    </row>
    <row r="527" spans="1:68" ht="27" hidden="1" customHeight="1" x14ac:dyDescent="0.25">
      <c r="A527" s="63" t="s">
        <v>833</v>
      </c>
      <c r="B527" s="63" t="s">
        <v>834</v>
      </c>
      <c r="C527" s="36">
        <v>4301031349</v>
      </c>
      <c r="D527" s="714">
        <v>4680115883116</v>
      </c>
      <c r="E527" s="71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134</v>
      </c>
      <c r="L527" s="37" t="s">
        <v>46</v>
      </c>
      <c r="M527" s="38" t="s">
        <v>133</v>
      </c>
      <c r="N527" s="38"/>
      <c r="O527" s="37">
        <v>70</v>
      </c>
      <c r="P527" s="98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16"/>
      <c r="R527" s="716"/>
      <c r="S527" s="716"/>
      <c r="T527" s="71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835</v>
      </c>
      <c r="AG527" s="78"/>
      <c r="AJ527" s="84" t="s">
        <v>46</v>
      </c>
      <c r="AK527" s="84">
        <v>0</v>
      </c>
      <c r="BB527" s="615" t="s">
        <v>66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hidden="1" customHeight="1" x14ac:dyDescent="0.25">
      <c r="A528" s="63" t="s">
        <v>836</v>
      </c>
      <c r="B528" s="63" t="s">
        <v>837</v>
      </c>
      <c r="C528" s="36">
        <v>4301031350</v>
      </c>
      <c r="D528" s="714">
        <v>4680115883093</v>
      </c>
      <c r="E528" s="71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134</v>
      </c>
      <c r="L528" s="37" t="s">
        <v>46</v>
      </c>
      <c r="M528" s="38" t="s">
        <v>80</v>
      </c>
      <c r="N528" s="38"/>
      <c r="O528" s="37">
        <v>70</v>
      </c>
      <c r="P528" s="9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16"/>
      <c r="R528" s="716"/>
      <c r="S528" s="716"/>
      <c r="T528" s="71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838</v>
      </c>
      <c r="AG528" s="78"/>
      <c r="AJ528" s="84" t="s">
        <v>46</v>
      </c>
      <c r="AK528" s="84">
        <v>0</v>
      </c>
      <c r="BB528" s="617" t="s">
        <v>66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hidden="1" customHeight="1" x14ac:dyDescent="0.25">
      <c r="A529" s="63" t="s">
        <v>839</v>
      </c>
      <c r="B529" s="63" t="s">
        <v>840</v>
      </c>
      <c r="C529" s="36">
        <v>4301031353</v>
      </c>
      <c r="D529" s="714">
        <v>4680115883109</v>
      </c>
      <c r="E529" s="71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134</v>
      </c>
      <c r="L529" s="37" t="s">
        <v>46</v>
      </c>
      <c r="M529" s="38" t="s">
        <v>80</v>
      </c>
      <c r="N529" s="38"/>
      <c r="O529" s="37">
        <v>70</v>
      </c>
      <c r="P529" s="9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16"/>
      <c r="R529" s="716"/>
      <c r="S529" s="716"/>
      <c r="T529" s="71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841</v>
      </c>
      <c r="AG529" s="78"/>
      <c r="AJ529" s="84" t="s">
        <v>46</v>
      </c>
      <c r="AK529" s="84">
        <v>0</v>
      </c>
      <c r="BB529" s="619" t="s">
        <v>66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842</v>
      </c>
      <c r="B530" s="63" t="s">
        <v>843</v>
      </c>
      <c r="C530" s="36">
        <v>4301031419</v>
      </c>
      <c r="D530" s="714">
        <v>4680115882072</v>
      </c>
      <c r="E530" s="71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141</v>
      </c>
      <c r="L530" s="37" t="s">
        <v>46</v>
      </c>
      <c r="M530" s="38" t="s">
        <v>133</v>
      </c>
      <c r="N530" s="38"/>
      <c r="O530" s="37">
        <v>70</v>
      </c>
      <c r="P53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16"/>
      <c r="R530" s="716"/>
      <c r="S530" s="716"/>
      <c r="T530" s="71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835</v>
      </c>
      <c r="AG530" s="78"/>
      <c r="AJ530" s="84" t="s">
        <v>46</v>
      </c>
      <c r="AK530" s="84">
        <v>0</v>
      </c>
      <c r="BB530" s="621" t="s">
        <v>66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844</v>
      </c>
      <c r="B531" s="63" t="s">
        <v>845</v>
      </c>
      <c r="C531" s="36">
        <v>4301031352</v>
      </c>
      <c r="D531" s="714">
        <v>4680115882102</v>
      </c>
      <c r="E531" s="71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141</v>
      </c>
      <c r="L531" s="37" t="s">
        <v>46</v>
      </c>
      <c r="M531" s="38" t="s">
        <v>80</v>
      </c>
      <c r="N531" s="38"/>
      <c r="O531" s="37">
        <v>70</v>
      </c>
      <c r="P531" s="99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16"/>
      <c r="R531" s="716"/>
      <c r="S531" s="716"/>
      <c r="T531" s="71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838</v>
      </c>
      <c r="AG531" s="78"/>
      <c r="AJ531" s="84" t="s">
        <v>46</v>
      </c>
      <c r="AK531" s="84">
        <v>0</v>
      </c>
      <c r="BB531" s="623" t="s">
        <v>66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844</v>
      </c>
      <c r="B532" s="63" t="s">
        <v>846</v>
      </c>
      <c r="C532" s="36">
        <v>4301031418</v>
      </c>
      <c r="D532" s="714">
        <v>4680115882102</v>
      </c>
      <c r="E532" s="71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141</v>
      </c>
      <c r="L532" s="37" t="s">
        <v>46</v>
      </c>
      <c r="M532" s="38" t="s">
        <v>80</v>
      </c>
      <c r="N532" s="38"/>
      <c r="O532" s="37">
        <v>70</v>
      </c>
      <c r="P532" s="99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16"/>
      <c r="R532" s="716"/>
      <c r="S532" s="716"/>
      <c r="T532" s="71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838</v>
      </c>
      <c r="AG532" s="78"/>
      <c r="AJ532" s="84" t="s">
        <v>46</v>
      </c>
      <c r="AK532" s="84">
        <v>0</v>
      </c>
      <c r="BB532" s="625" t="s">
        <v>66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847</v>
      </c>
      <c r="B533" s="63" t="s">
        <v>848</v>
      </c>
      <c r="C533" s="36">
        <v>4301031417</v>
      </c>
      <c r="D533" s="714">
        <v>4680115882096</v>
      </c>
      <c r="E533" s="71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141</v>
      </c>
      <c r="L533" s="37" t="s">
        <v>46</v>
      </c>
      <c r="M533" s="38" t="s">
        <v>80</v>
      </c>
      <c r="N533" s="38"/>
      <c r="O533" s="37">
        <v>70</v>
      </c>
      <c r="P533" s="9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16"/>
      <c r="R533" s="716"/>
      <c r="S533" s="716"/>
      <c r="T533" s="71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841</v>
      </c>
      <c r="AG533" s="78"/>
      <c r="AJ533" s="84" t="s">
        <v>46</v>
      </c>
      <c r="AK533" s="84">
        <v>0</v>
      </c>
      <c r="BB533" s="627" t="s">
        <v>66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idden="1" x14ac:dyDescent="0.2">
      <c r="A534" s="721"/>
      <c r="B534" s="721"/>
      <c r="C534" s="721"/>
      <c r="D534" s="721"/>
      <c r="E534" s="721"/>
      <c r="F534" s="721"/>
      <c r="G534" s="721"/>
      <c r="H534" s="721"/>
      <c r="I534" s="721"/>
      <c r="J534" s="721"/>
      <c r="K534" s="721"/>
      <c r="L534" s="721"/>
      <c r="M534" s="721"/>
      <c r="N534" s="721"/>
      <c r="O534" s="722"/>
      <c r="P534" s="718" t="s">
        <v>40</v>
      </c>
      <c r="Q534" s="719"/>
      <c r="R534" s="719"/>
      <c r="S534" s="719"/>
      <c r="T534" s="719"/>
      <c r="U534" s="719"/>
      <c r="V534" s="720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21"/>
      <c r="B535" s="721"/>
      <c r="C535" s="721"/>
      <c r="D535" s="721"/>
      <c r="E535" s="721"/>
      <c r="F535" s="721"/>
      <c r="G535" s="721"/>
      <c r="H535" s="721"/>
      <c r="I535" s="721"/>
      <c r="J535" s="721"/>
      <c r="K535" s="721"/>
      <c r="L535" s="721"/>
      <c r="M535" s="721"/>
      <c r="N535" s="721"/>
      <c r="O535" s="722"/>
      <c r="P535" s="718" t="s">
        <v>40</v>
      </c>
      <c r="Q535" s="719"/>
      <c r="R535" s="719"/>
      <c r="S535" s="719"/>
      <c r="T535" s="719"/>
      <c r="U535" s="719"/>
      <c r="V535" s="720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11" t="s">
        <v>849</v>
      </c>
      <c r="B536" s="711"/>
      <c r="C536" s="711"/>
      <c r="D536" s="711"/>
      <c r="E536" s="711"/>
      <c r="F536" s="711"/>
      <c r="G536" s="711"/>
      <c r="H536" s="711"/>
      <c r="I536" s="711"/>
      <c r="J536" s="711"/>
      <c r="K536" s="711"/>
      <c r="L536" s="711"/>
      <c r="M536" s="711"/>
      <c r="N536" s="711"/>
      <c r="O536" s="711"/>
      <c r="P536" s="711"/>
      <c r="Q536" s="711"/>
      <c r="R536" s="711"/>
      <c r="S536" s="711"/>
      <c r="T536" s="711"/>
      <c r="U536" s="711"/>
      <c r="V536" s="711"/>
      <c r="W536" s="711"/>
      <c r="X536" s="711"/>
      <c r="Y536" s="711"/>
      <c r="Z536" s="711"/>
      <c r="AA536" s="54"/>
      <c r="AB536" s="54"/>
      <c r="AC536" s="54"/>
    </row>
    <row r="537" spans="1:68" ht="16.5" hidden="1" customHeight="1" x14ac:dyDescent="0.25">
      <c r="A537" s="712" t="s">
        <v>849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65"/>
      <c r="AB537" s="65"/>
      <c r="AC537" s="79"/>
    </row>
    <row r="538" spans="1:68" ht="14.25" hidden="1" customHeight="1" x14ac:dyDescent="0.25">
      <c r="A538" s="713" t="s">
        <v>129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6"/>
      <c r="AB538" s="66"/>
      <c r="AC538" s="80"/>
    </row>
    <row r="539" spans="1:68" ht="27" hidden="1" customHeight="1" x14ac:dyDescent="0.25">
      <c r="A539" s="63" t="s">
        <v>850</v>
      </c>
      <c r="B539" s="63" t="s">
        <v>851</v>
      </c>
      <c r="C539" s="36">
        <v>4301012386</v>
      </c>
      <c r="D539" s="714">
        <v>4680115889736</v>
      </c>
      <c r="E539" s="71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134</v>
      </c>
      <c r="L539" s="37" t="s">
        <v>46</v>
      </c>
      <c r="M539" s="38" t="s">
        <v>133</v>
      </c>
      <c r="N539" s="38"/>
      <c r="O539" s="37">
        <v>50</v>
      </c>
      <c r="P539" s="99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716"/>
      <c r="R539" s="716"/>
      <c r="S539" s="716"/>
      <c r="T539" s="71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852</v>
      </c>
      <c r="AG539" s="78"/>
      <c r="AJ539" s="84" t="s">
        <v>46</v>
      </c>
      <c r="AK539" s="84">
        <v>0</v>
      </c>
      <c r="BB539" s="629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21"/>
      <c r="B540" s="721"/>
      <c r="C540" s="721"/>
      <c r="D540" s="721"/>
      <c r="E540" s="721"/>
      <c r="F540" s="721"/>
      <c r="G540" s="721"/>
      <c r="H540" s="721"/>
      <c r="I540" s="721"/>
      <c r="J540" s="721"/>
      <c r="K540" s="721"/>
      <c r="L540" s="721"/>
      <c r="M540" s="721"/>
      <c r="N540" s="721"/>
      <c r="O540" s="722"/>
      <c r="P540" s="718" t="s">
        <v>40</v>
      </c>
      <c r="Q540" s="719"/>
      <c r="R540" s="719"/>
      <c r="S540" s="719"/>
      <c r="T540" s="719"/>
      <c r="U540" s="719"/>
      <c r="V540" s="72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21"/>
      <c r="B541" s="721"/>
      <c r="C541" s="721"/>
      <c r="D541" s="721"/>
      <c r="E541" s="721"/>
      <c r="F541" s="721"/>
      <c r="G541" s="721"/>
      <c r="H541" s="721"/>
      <c r="I541" s="721"/>
      <c r="J541" s="721"/>
      <c r="K541" s="721"/>
      <c r="L541" s="721"/>
      <c r="M541" s="721"/>
      <c r="N541" s="721"/>
      <c r="O541" s="722"/>
      <c r="P541" s="718" t="s">
        <v>40</v>
      </c>
      <c r="Q541" s="719"/>
      <c r="R541" s="719"/>
      <c r="S541" s="719"/>
      <c r="T541" s="719"/>
      <c r="U541" s="719"/>
      <c r="V541" s="72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13" t="s">
        <v>164</v>
      </c>
      <c r="B542" s="713"/>
      <c r="C542" s="713"/>
      <c r="D542" s="713"/>
      <c r="E542" s="713"/>
      <c r="F542" s="713"/>
      <c r="G542" s="713"/>
      <c r="H542" s="713"/>
      <c r="I542" s="713"/>
      <c r="J542" s="713"/>
      <c r="K542" s="713"/>
      <c r="L542" s="713"/>
      <c r="M542" s="713"/>
      <c r="N542" s="713"/>
      <c r="O542" s="713"/>
      <c r="P542" s="713"/>
      <c r="Q542" s="713"/>
      <c r="R542" s="713"/>
      <c r="S542" s="713"/>
      <c r="T542" s="713"/>
      <c r="U542" s="713"/>
      <c r="V542" s="713"/>
      <c r="W542" s="713"/>
      <c r="X542" s="713"/>
      <c r="Y542" s="713"/>
      <c r="Z542" s="713"/>
      <c r="AA542" s="66"/>
      <c r="AB542" s="66"/>
      <c r="AC542" s="80"/>
    </row>
    <row r="543" spans="1:68" ht="27" hidden="1" customHeight="1" x14ac:dyDescent="0.25">
      <c r="A543" s="63" t="s">
        <v>853</v>
      </c>
      <c r="B543" s="63" t="s">
        <v>854</v>
      </c>
      <c r="C543" s="36">
        <v>4301020444</v>
      </c>
      <c r="D543" s="714">
        <v>4680115889781</v>
      </c>
      <c r="E543" s="71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134</v>
      </c>
      <c r="L543" s="37" t="s">
        <v>46</v>
      </c>
      <c r="M543" s="38" t="s">
        <v>86</v>
      </c>
      <c r="N543" s="38"/>
      <c r="O543" s="37">
        <v>50</v>
      </c>
      <c r="P543" s="99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716"/>
      <c r="R543" s="716"/>
      <c r="S543" s="716"/>
      <c r="T543" s="71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734</v>
      </c>
      <c r="AG543" s="78"/>
      <c r="AJ543" s="84" t="s">
        <v>46</v>
      </c>
      <c r="AK543" s="84">
        <v>0</v>
      </c>
      <c r="BB543" s="631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21"/>
      <c r="B544" s="721"/>
      <c r="C544" s="721"/>
      <c r="D544" s="721"/>
      <c r="E544" s="721"/>
      <c r="F544" s="721"/>
      <c r="G544" s="721"/>
      <c r="H544" s="721"/>
      <c r="I544" s="721"/>
      <c r="J544" s="721"/>
      <c r="K544" s="721"/>
      <c r="L544" s="721"/>
      <c r="M544" s="721"/>
      <c r="N544" s="721"/>
      <c r="O544" s="722"/>
      <c r="P544" s="718" t="s">
        <v>40</v>
      </c>
      <c r="Q544" s="719"/>
      <c r="R544" s="719"/>
      <c r="S544" s="719"/>
      <c r="T544" s="719"/>
      <c r="U544" s="719"/>
      <c r="V544" s="72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21"/>
      <c r="B545" s="721"/>
      <c r="C545" s="721"/>
      <c r="D545" s="721"/>
      <c r="E545" s="721"/>
      <c r="F545" s="721"/>
      <c r="G545" s="721"/>
      <c r="H545" s="721"/>
      <c r="I545" s="721"/>
      <c r="J545" s="721"/>
      <c r="K545" s="721"/>
      <c r="L545" s="721"/>
      <c r="M545" s="721"/>
      <c r="N545" s="721"/>
      <c r="O545" s="722"/>
      <c r="P545" s="718" t="s">
        <v>40</v>
      </c>
      <c r="Q545" s="719"/>
      <c r="R545" s="719"/>
      <c r="S545" s="719"/>
      <c r="T545" s="719"/>
      <c r="U545" s="719"/>
      <c r="V545" s="72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13" t="s">
        <v>76</v>
      </c>
      <c r="B546" s="713"/>
      <c r="C546" s="713"/>
      <c r="D546" s="713"/>
      <c r="E546" s="713"/>
      <c r="F546" s="713"/>
      <c r="G546" s="713"/>
      <c r="H546" s="713"/>
      <c r="I546" s="713"/>
      <c r="J546" s="713"/>
      <c r="K546" s="713"/>
      <c r="L546" s="713"/>
      <c r="M546" s="713"/>
      <c r="N546" s="713"/>
      <c r="O546" s="713"/>
      <c r="P546" s="713"/>
      <c r="Q546" s="713"/>
      <c r="R546" s="713"/>
      <c r="S546" s="713"/>
      <c r="T546" s="713"/>
      <c r="U546" s="713"/>
      <c r="V546" s="713"/>
      <c r="W546" s="713"/>
      <c r="X546" s="713"/>
      <c r="Y546" s="713"/>
      <c r="Z546" s="713"/>
      <c r="AA546" s="66"/>
      <c r="AB546" s="66"/>
      <c r="AC546" s="80"/>
    </row>
    <row r="547" spans="1:68" ht="27" hidden="1" customHeight="1" x14ac:dyDescent="0.25">
      <c r="A547" s="63" t="s">
        <v>855</v>
      </c>
      <c r="B547" s="63" t="s">
        <v>856</v>
      </c>
      <c r="C547" s="36">
        <v>4301031523</v>
      </c>
      <c r="D547" s="714">
        <v>4680115889774</v>
      </c>
      <c r="E547" s="71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141</v>
      </c>
      <c r="L547" s="37" t="s">
        <v>46</v>
      </c>
      <c r="M547" s="38" t="s">
        <v>80</v>
      </c>
      <c r="N547" s="38"/>
      <c r="O547" s="37">
        <v>40</v>
      </c>
      <c r="P547" s="995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16"/>
      <c r="R547" s="716"/>
      <c r="S547" s="716"/>
      <c r="T547" s="71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857</v>
      </c>
      <c r="AG547" s="78"/>
      <c r="AJ547" s="84" t="s">
        <v>46</v>
      </c>
      <c r="AK547" s="84">
        <v>0</v>
      </c>
      <c r="BB547" s="633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1"/>
      <c r="B548" s="721"/>
      <c r="C548" s="721"/>
      <c r="D548" s="721"/>
      <c r="E548" s="721"/>
      <c r="F548" s="721"/>
      <c r="G548" s="721"/>
      <c r="H548" s="721"/>
      <c r="I548" s="721"/>
      <c r="J548" s="721"/>
      <c r="K548" s="721"/>
      <c r="L548" s="721"/>
      <c r="M548" s="721"/>
      <c r="N548" s="721"/>
      <c r="O548" s="722"/>
      <c r="P548" s="718" t="s">
        <v>40</v>
      </c>
      <c r="Q548" s="719"/>
      <c r="R548" s="719"/>
      <c r="S548" s="719"/>
      <c r="T548" s="719"/>
      <c r="U548" s="719"/>
      <c r="V548" s="72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21"/>
      <c r="B549" s="721"/>
      <c r="C549" s="721"/>
      <c r="D549" s="721"/>
      <c r="E549" s="721"/>
      <c r="F549" s="721"/>
      <c r="G549" s="721"/>
      <c r="H549" s="721"/>
      <c r="I549" s="721"/>
      <c r="J549" s="721"/>
      <c r="K549" s="721"/>
      <c r="L549" s="721"/>
      <c r="M549" s="721"/>
      <c r="N549" s="721"/>
      <c r="O549" s="722"/>
      <c r="P549" s="718" t="s">
        <v>40</v>
      </c>
      <c r="Q549" s="719"/>
      <c r="R549" s="719"/>
      <c r="S549" s="719"/>
      <c r="T549" s="719"/>
      <c r="U549" s="719"/>
      <c r="V549" s="72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13" t="s">
        <v>82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6"/>
      <c r="AB550" s="66"/>
      <c r="AC550" s="80"/>
    </row>
    <row r="551" spans="1:68" ht="27" hidden="1" customHeight="1" x14ac:dyDescent="0.25">
      <c r="A551" s="63" t="s">
        <v>858</v>
      </c>
      <c r="B551" s="63" t="s">
        <v>859</v>
      </c>
      <c r="C551" s="36">
        <v>4301052282</v>
      </c>
      <c r="D551" s="714">
        <v>4680115889811</v>
      </c>
      <c r="E551" s="71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134</v>
      </c>
      <c r="L551" s="37" t="s">
        <v>46</v>
      </c>
      <c r="M551" s="38" t="s">
        <v>86</v>
      </c>
      <c r="N551" s="38"/>
      <c r="O551" s="37">
        <v>45</v>
      </c>
      <c r="P551" s="99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716"/>
      <c r="R551" s="716"/>
      <c r="S551" s="716"/>
      <c r="T551" s="71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860</v>
      </c>
      <c r="AG551" s="78"/>
      <c r="AJ551" s="84" t="s">
        <v>46</v>
      </c>
      <c r="AK551" s="84">
        <v>0</v>
      </c>
      <c r="BB551" s="635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1"/>
      <c r="B552" s="721"/>
      <c r="C552" s="721"/>
      <c r="D552" s="721"/>
      <c r="E552" s="721"/>
      <c r="F552" s="721"/>
      <c r="G552" s="721"/>
      <c r="H552" s="721"/>
      <c r="I552" s="721"/>
      <c r="J552" s="721"/>
      <c r="K552" s="721"/>
      <c r="L552" s="721"/>
      <c r="M552" s="721"/>
      <c r="N552" s="721"/>
      <c r="O552" s="722"/>
      <c r="P552" s="718" t="s">
        <v>40</v>
      </c>
      <c r="Q552" s="719"/>
      <c r="R552" s="719"/>
      <c r="S552" s="719"/>
      <c r="T552" s="719"/>
      <c r="U552" s="719"/>
      <c r="V552" s="72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1"/>
      <c r="B553" s="721"/>
      <c r="C553" s="721"/>
      <c r="D553" s="721"/>
      <c r="E553" s="721"/>
      <c r="F553" s="721"/>
      <c r="G553" s="721"/>
      <c r="H553" s="721"/>
      <c r="I553" s="721"/>
      <c r="J553" s="721"/>
      <c r="K553" s="721"/>
      <c r="L553" s="721"/>
      <c r="M553" s="721"/>
      <c r="N553" s="721"/>
      <c r="O553" s="722"/>
      <c r="P553" s="718" t="s">
        <v>40</v>
      </c>
      <c r="Q553" s="719"/>
      <c r="R553" s="719"/>
      <c r="S553" s="719"/>
      <c r="T553" s="719"/>
      <c r="U553" s="719"/>
      <c r="V553" s="72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13" t="s">
        <v>182</v>
      </c>
      <c r="B554" s="713"/>
      <c r="C554" s="713"/>
      <c r="D554" s="713"/>
      <c r="E554" s="713"/>
      <c r="F554" s="713"/>
      <c r="G554" s="713"/>
      <c r="H554" s="713"/>
      <c r="I554" s="713"/>
      <c r="J554" s="713"/>
      <c r="K554" s="713"/>
      <c r="L554" s="713"/>
      <c r="M554" s="713"/>
      <c r="N554" s="713"/>
      <c r="O554" s="713"/>
      <c r="P554" s="713"/>
      <c r="Q554" s="713"/>
      <c r="R554" s="713"/>
      <c r="S554" s="713"/>
      <c r="T554" s="713"/>
      <c r="U554" s="713"/>
      <c r="V554" s="713"/>
      <c r="W554" s="713"/>
      <c r="X554" s="713"/>
      <c r="Y554" s="713"/>
      <c r="Z554" s="713"/>
      <c r="AA554" s="66"/>
      <c r="AB554" s="66"/>
      <c r="AC554" s="80"/>
    </row>
    <row r="555" spans="1:68" ht="27" hidden="1" customHeight="1" x14ac:dyDescent="0.25">
      <c r="A555" s="63" t="s">
        <v>861</v>
      </c>
      <c r="B555" s="63" t="s">
        <v>862</v>
      </c>
      <c r="C555" s="36">
        <v>4301060543</v>
      </c>
      <c r="D555" s="714">
        <v>4680115889804</v>
      </c>
      <c r="E555" s="71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134</v>
      </c>
      <c r="L555" s="37" t="s">
        <v>46</v>
      </c>
      <c r="M555" s="38" t="s">
        <v>86</v>
      </c>
      <c r="N555" s="38"/>
      <c r="O555" s="37">
        <v>40</v>
      </c>
      <c r="P555" s="99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16"/>
      <c r="R555" s="716"/>
      <c r="S555" s="716"/>
      <c r="T555" s="71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863</v>
      </c>
      <c r="AG555" s="78"/>
      <c r="AJ555" s="84" t="s">
        <v>46</v>
      </c>
      <c r="AK555" s="84">
        <v>0</v>
      </c>
      <c r="BB555" s="63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864</v>
      </c>
      <c r="B556" s="63" t="s">
        <v>865</v>
      </c>
      <c r="C556" s="36">
        <v>4301060544</v>
      </c>
      <c r="D556" s="714">
        <v>4680115889828</v>
      </c>
      <c r="E556" s="71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134</v>
      </c>
      <c r="L556" s="37" t="s">
        <v>46</v>
      </c>
      <c r="M556" s="38" t="s">
        <v>86</v>
      </c>
      <c r="N556" s="38"/>
      <c r="O556" s="37">
        <v>40</v>
      </c>
      <c r="P556" s="99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16"/>
      <c r="R556" s="716"/>
      <c r="S556" s="716"/>
      <c r="T556" s="71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866</v>
      </c>
      <c r="AG556" s="78"/>
      <c r="AJ556" s="84" t="s">
        <v>46</v>
      </c>
      <c r="AK556" s="84">
        <v>0</v>
      </c>
      <c r="BB556" s="639" t="s">
        <v>66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21"/>
      <c r="B557" s="721"/>
      <c r="C557" s="721"/>
      <c r="D557" s="721"/>
      <c r="E557" s="721"/>
      <c r="F557" s="721"/>
      <c r="G557" s="721"/>
      <c r="H557" s="721"/>
      <c r="I557" s="721"/>
      <c r="J557" s="721"/>
      <c r="K557" s="721"/>
      <c r="L557" s="721"/>
      <c r="M557" s="721"/>
      <c r="N557" s="721"/>
      <c r="O557" s="722"/>
      <c r="P557" s="718" t="s">
        <v>40</v>
      </c>
      <c r="Q557" s="719"/>
      <c r="R557" s="719"/>
      <c r="S557" s="719"/>
      <c r="T557" s="719"/>
      <c r="U557" s="719"/>
      <c r="V557" s="72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21"/>
      <c r="B558" s="721"/>
      <c r="C558" s="721"/>
      <c r="D558" s="721"/>
      <c r="E558" s="721"/>
      <c r="F558" s="721"/>
      <c r="G558" s="721"/>
      <c r="H558" s="721"/>
      <c r="I558" s="721"/>
      <c r="J558" s="721"/>
      <c r="K558" s="721"/>
      <c r="L558" s="721"/>
      <c r="M558" s="721"/>
      <c r="N558" s="721"/>
      <c r="O558" s="722"/>
      <c r="P558" s="718" t="s">
        <v>40</v>
      </c>
      <c r="Q558" s="719"/>
      <c r="R558" s="719"/>
      <c r="S558" s="719"/>
      <c r="T558" s="719"/>
      <c r="U558" s="719"/>
      <c r="V558" s="72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12" t="s">
        <v>867</v>
      </c>
      <c r="B559" s="712"/>
      <c r="C559" s="712"/>
      <c r="D559" s="712"/>
      <c r="E559" s="712"/>
      <c r="F559" s="712"/>
      <c r="G559" s="712"/>
      <c r="H559" s="712"/>
      <c r="I559" s="712"/>
      <c r="J559" s="712"/>
      <c r="K559" s="712"/>
      <c r="L559" s="712"/>
      <c r="M559" s="712"/>
      <c r="N559" s="712"/>
      <c r="O559" s="712"/>
      <c r="P559" s="712"/>
      <c r="Q559" s="712"/>
      <c r="R559" s="712"/>
      <c r="S559" s="712"/>
      <c r="T559" s="712"/>
      <c r="U559" s="712"/>
      <c r="V559" s="712"/>
      <c r="W559" s="712"/>
      <c r="X559" s="712"/>
      <c r="Y559" s="712"/>
      <c r="Z559" s="712"/>
      <c r="AA559" s="65"/>
      <c r="AB559" s="65"/>
      <c r="AC559" s="79"/>
    </row>
    <row r="560" spans="1:68" ht="14.25" hidden="1" customHeight="1" x14ac:dyDescent="0.25">
      <c r="A560" s="713" t="s">
        <v>164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6"/>
      <c r="AB560" s="66"/>
      <c r="AC560" s="80"/>
    </row>
    <row r="561" spans="1:68" ht="27" hidden="1" customHeight="1" x14ac:dyDescent="0.25">
      <c r="A561" s="63" t="s">
        <v>868</v>
      </c>
      <c r="B561" s="63" t="s">
        <v>869</v>
      </c>
      <c r="C561" s="36">
        <v>4301020441</v>
      </c>
      <c r="D561" s="714">
        <v>4680115889798</v>
      </c>
      <c r="E561" s="71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134</v>
      </c>
      <c r="L561" s="37" t="s">
        <v>46</v>
      </c>
      <c r="M561" s="38" t="s">
        <v>133</v>
      </c>
      <c r="N561" s="38"/>
      <c r="O561" s="37">
        <v>50</v>
      </c>
      <c r="P561" s="100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716"/>
      <c r="R561" s="716"/>
      <c r="S561" s="716"/>
      <c r="T561" s="71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870</v>
      </c>
      <c r="AG561" s="78"/>
      <c r="AJ561" s="84" t="s">
        <v>46</v>
      </c>
      <c r="AK561" s="84">
        <v>0</v>
      </c>
      <c r="BB561" s="641" t="s">
        <v>66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21"/>
      <c r="B562" s="721"/>
      <c r="C562" s="721"/>
      <c r="D562" s="721"/>
      <c r="E562" s="721"/>
      <c r="F562" s="721"/>
      <c r="G562" s="721"/>
      <c r="H562" s="721"/>
      <c r="I562" s="721"/>
      <c r="J562" s="721"/>
      <c r="K562" s="721"/>
      <c r="L562" s="721"/>
      <c r="M562" s="721"/>
      <c r="N562" s="721"/>
      <c r="O562" s="722"/>
      <c r="P562" s="718" t="s">
        <v>40</v>
      </c>
      <c r="Q562" s="719"/>
      <c r="R562" s="719"/>
      <c r="S562" s="719"/>
      <c r="T562" s="719"/>
      <c r="U562" s="719"/>
      <c r="V562" s="72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21"/>
      <c r="B563" s="721"/>
      <c r="C563" s="721"/>
      <c r="D563" s="721"/>
      <c r="E563" s="721"/>
      <c r="F563" s="721"/>
      <c r="G563" s="721"/>
      <c r="H563" s="721"/>
      <c r="I563" s="721"/>
      <c r="J563" s="721"/>
      <c r="K563" s="721"/>
      <c r="L563" s="721"/>
      <c r="M563" s="721"/>
      <c r="N563" s="721"/>
      <c r="O563" s="722"/>
      <c r="P563" s="718" t="s">
        <v>40</v>
      </c>
      <c r="Q563" s="719"/>
      <c r="R563" s="719"/>
      <c r="S563" s="719"/>
      <c r="T563" s="719"/>
      <c r="U563" s="719"/>
      <c r="V563" s="72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21"/>
      <c r="B564" s="721"/>
      <c r="C564" s="721"/>
      <c r="D564" s="721"/>
      <c r="E564" s="721"/>
      <c r="F564" s="721"/>
      <c r="G564" s="721"/>
      <c r="H564" s="721"/>
      <c r="I564" s="721"/>
      <c r="J564" s="721"/>
      <c r="K564" s="721"/>
      <c r="L564" s="721"/>
      <c r="M564" s="721"/>
      <c r="N564" s="721"/>
      <c r="O564" s="1004"/>
      <c r="P564" s="1001" t="s">
        <v>33</v>
      </c>
      <c r="Q564" s="1002"/>
      <c r="R564" s="1002"/>
      <c r="S564" s="1002"/>
      <c r="T564" s="1002"/>
      <c r="U564" s="1002"/>
      <c r="V564" s="1003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100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105</v>
      </c>
      <c r="Z564" s="42"/>
      <c r="AA564" s="67"/>
      <c r="AB564" s="67"/>
      <c r="AC564" s="67"/>
    </row>
    <row r="565" spans="1:68" x14ac:dyDescent="0.2">
      <c r="A565" s="721"/>
      <c r="B565" s="721"/>
      <c r="C565" s="721"/>
      <c r="D565" s="721"/>
      <c r="E565" s="721"/>
      <c r="F565" s="721"/>
      <c r="G565" s="721"/>
      <c r="H565" s="721"/>
      <c r="I565" s="721"/>
      <c r="J565" s="721"/>
      <c r="K565" s="721"/>
      <c r="L565" s="721"/>
      <c r="M565" s="721"/>
      <c r="N565" s="721"/>
      <c r="O565" s="1004"/>
      <c r="P565" s="1001" t="s">
        <v>34</v>
      </c>
      <c r="Q565" s="1002"/>
      <c r="R565" s="1002"/>
      <c r="S565" s="1002"/>
      <c r="T565" s="1002"/>
      <c r="U565" s="1002"/>
      <c r="V565" s="1003"/>
      <c r="W565" s="42" t="s">
        <v>0</v>
      </c>
      <c r="X565" s="43">
        <f>IFERROR(SUM(BM22:BM561),"0")</f>
        <v>103.13333333333334</v>
      </c>
      <c r="Y565" s="43">
        <f>IFERROR(SUM(BN22:BN561),"0")</f>
        <v>108.29</v>
      </c>
      <c r="Z565" s="42"/>
      <c r="AA565" s="67"/>
      <c r="AB565" s="67"/>
      <c r="AC565" s="67"/>
    </row>
    <row r="566" spans="1:68" x14ac:dyDescent="0.2">
      <c r="A566" s="721"/>
      <c r="B566" s="721"/>
      <c r="C566" s="721"/>
      <c r="D566" s="721"/>
      <c r="E566" s="721"/>
      <c r="F566" s="721"/>
      <c r="G566" s="721"/>
      <c r="H566" s="721"/>
      <c r="I566" s="721"/>
      <c r="J566" s="721"/>
      <c r="K566" s="721"/>
      <c r="L566" s="721"/>
      <c r="M566" s="721"/>
      <c r="N566" s="721"/>
      <c r="O566" s="1004"/>
      <c r="P566" s="1001" t="s">
        <v>35</v>
      </c>
      <c r="Q566" s="1002"/>
      <c r="R566" s="1002"/>
      <c r="S566" s="1002"/>
      <c r="T566" s="1002"/>
      <c r="U566" s="1002"/>
      <c r="V566" s="1003"/>
      <c r="W566" s="42" t="s">
        <v>20</v>
      </c>
      <c r="X566" s="44">
        <f>ROUNDUP(SUM(BO22:BO561),0)</f>
        <v>1</v>
      </c>
      <c r="Y566" s="44">
        <f>ROUNDUP(SUM(BP22:BP561),0)</f>
        <v>1</v>
      </c>
      <c r="Z566" s="42"/>
      <c r="AA566" s="67"/>
      <c r="AB566" s="67"/>
      <c r="AC566" s="67"/>
    </row>
    <row r="567" spans="1:68" x14ac:dyDescent="0.2">
      <c r="A567" s="721"/>
      <c r="B567" s="721"/>
      <c r="C567" s="721"/>
      <c r="D567" s="721"/>
      <c r="E567" s="721"/>
      <c r="F567" s="721"/>
      <c r="G567" s="721"/>
      <c r="H567" s="721"/>
      <c r="I567" s="721"/>
      <c r="J567" s="721"/>
      <c r="K567" s="721"/>
      <c r="L567" s="721"/>
      <c r="M567" s="721"/>
      <c r="N567" s="721"/>
      <c r="O567" s="1004"/>
      <c r="P567" s="1001" t="s">
        <v>36</v>
      </c>
      <c r="Q567" s="1002"/>
      <c r="R567" s="1002"/>
      <c r="S567" s="1002"/>
      <c r="T567" s="1002"/>
      <c r="U567" s="1002"/>
      <c r="V567" s="1003"/>
      <c r="W567" s="42" t="s">
        <v>0</v>
      </c>
      <c r="X567" s="43">
        <f>GrossWeightTotal+PalletQtyTotal*25</f>
        <v>128.13333333333333</v>
      </c>
      <c r="Y567" s="43">
        <f>GrossWeightTotalR+PalletQtyTotalR*25</f>
        <v>133.29000000000002</v>
      </c>
      <c r="Z567" s="42"/>
      <c r="AA567" s="67"/>
      <c r="AB567" s="67"/>
      <c r="AC567" s="67"/>
    </row>
    <row r="568" spans="1:68" x14ac:dyDescent="0.2">
      <c r="A568" s="721"/>
      <c r="B568" s="721"/>
      <c r="C568" s="721"/>
      <c r="D568" s="721"/>
      <c r="E568" s="721"/>
      <c r="F568" s="721"/>
      <c r="G568" s="721"/>
      <c r="H568" s="721"/>
      <c r="I568" s="721"/>
      <c r="J568" s="721"/>
      <c r="K568" s="721"/>
      <c r="L568" s="721"/>
      <c r="M568" s="721"/>
      <c r="N568" s="721"/>
      <c r="O568" s="1004"/>
      <c r="P568" s="1001" t="s">
        <v>37</v>
      </c>
      <c r="Q568" s="1002"/>
      <c r="R568" s="1002"/>
      <c r="S568" s="1002"/>
      <c r="T568" s="1002"/>
      <c r="U568" s="1002"/>
      <c r="V568" s="1003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6.666666666666667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7</v>
      </c>
      <c r="Z568" s="42"/>
      <c r="AA568" s="67"/>
      <c r="AB568" s="67"/>
      <c r="AC568" s="67"/>
    </row>
    <row r="569" spans="1:68" ht="14.25" hidden="1" x14ac:dyDescent="0.2">
      <c r="A569" s="721"/>
      <c r="B569" s="721"/>
      <c r="C569" s="721"/>
      <c r="D569" s="721"/>
      <c r="E569" s="721"/>
      <c r="F569" s="721"/>
      <c r="G569" s="721"/>
      <c r="H569" s="721"/>
      <c r="I569" s="721"/>
      <c r="J569" s="721"/>
      <c r="K569" s="721"/>
      <c r="L569" s="721"/>
      <c r="M569" s="721"/>
      <c r="N569" s="721"/>
      <c r="O569" s="1004"/>
      <c r="P569" s="1001" t="s">
        <v>38</v>
      </c>
      <c r="Q569" s="1002"/>
      <c r="R569" s="1002"/>
      <c r="S569" s="1002"/>
      <c r="T569" s="1002"/>
      <c r="U569" s="1002"/>
      <c r="V569" s="1003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0.15225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75</v>
      </c>
      <c r="C571" s="85" t="s">
        <v>45</v>
      </c>
      <c r="D571" s="999" t="s">
        <v>127</v>
      </c>
      <c r="E571" s="999" t="s">
        <v>127</v>
      </c>
      <c r="F571" s="999" t="s">
        <v>127</v>
      </c>
      <c r="G571" s="999" t="s">
        <v>127</v>
      </c>
      <c r="H571" s="999" t="s">
        <v>127</v>
      </c>
      <c r="I571" s="999" t="s">
        <v>127</v>
      </c>
      <c r="J571" s="999" t="s">
        <v>127</v>
      </c>
      <c r="K571" s="999" t="s">
        <v>342</v>
      </c>
      <c r="L571" s="999" t="s">
        <v>342</v>
      </c>
      <c r="M571" s="999" t="s">
        <v>342</v>
      </c>
      <c r="N571" s="1005"/>
      <c r="O571" s="999" t="s">
        <v>342</v>
      </c>
      <c r="P571" s="999" t="s">
        <v>342</v>
      </c>
      <c r="Q571" s="999" t="s">
        <v>342</v>
      </c>
      <c r="R571" s="999" t="s">
        <v>342</v>
      </c>
      <c r="S571" s="999" t="s">
        <v>342</v>
      </c>
      <c r="T571" s="999" t="s">
        <v>342</v>
      </c>
      <c r="U571" s="999" t="s">
        <v>342</v>
      </c>
      <c r="V571" s="999" t="s">
        <v>342</v>
      </c>
      <c r="W571" s="999" t="s">
        <v>342</v>
      </c>
      <c r="X571" s="999" t="s">
        <v>706</v>
      </c>
      <c r="Y571" s="999" t="s">
        <v>706</v>
      </c>
      <c r="Z571" s="999" t="s">
        <v>772</v>
      </c>
      <c r="AA571" s="999" t="s">
        <v>772</v>
      </c>
      <c r="AB571" s="85" t="s">
        <v>805</v>
      </c>
      <c r="AC571" s="999" t="s">
        <v>849</v>
      </c>
      <c r="AD571" s="999" t="s">
        <v>849</v>
      </c>
      <c r="AF571" s="1"/>
    </row>
    <row r="572" spans="1:68" ht="14.25" customHeight="1" thickTop="1" x14ac:dyDescent="0.2">
      <c r="A572" s="1006" t="s">
        <v>10</v>
      </c>
      <c r="B572" s="999" t="s">
        <v>75</v>
      </c>
      <c r="C572" s="999" t="s">
        <v>111</v>
      </c>
      <c r="D572" s="999" t="s">
        <v>128</v>
      </c>
      <c r="E572" s="999" t="s">
        <v>144</v>
      </c>
      <c r="F572" s="999" t="s">
        <v>190</v>
      </c>
      <c r="G572" s="999" t="s">
        <v>214</v>
      </c>
      <c r="H572" s="999" t="s">
        <v>256</v>
      </c>
      <c r="I572" s="999" t="s">
        <v>269</v>
      </c>
      <c r="J572" s="999" t="s">
        <v>127</v>
      </c>
      <c r="K572" s="999" t="s">
        <v>343</v>
      </c>
      <c r="L572" s="999" t="s">
        <v>364</v>
      </c>
      <c r="M572" s="999" t="s">
        <v>428</v>
      </c>
      <c r="N572" s="1"/>
      <c r="O572" s="999" t="s">
        <v>494</v>
      </c>
      <c r="P572" s="999" t="s">
        <v>529</v>
      </c>
      <c r="Q572" s="999" t="s">
        <v>551</v>
      </c>
      <c r="R572" s="999" t="s">
        <v>560</v>
      </c>
      <c r="S572" s="999" t="s">
        <v>582</v>
      </c>
      <c r="T572" s="999" t="s">
        <v>589</v>
      </c>
      <c r="U572" s="999" t="s">
        <v>598</v>
      </c>
      <c r="V572" s="999" t="s">
        <v>684</v>
      </c>
      <c r="W572" s="999" t="s">
        <v>696</v>
      </c>
      <c r="X572" s="999" t="s">
        <v>707</v>
      </c>
      <c r="Y572" s="999" t="s">
        <v>756</v>
      </c>
      <c r="Z572" s="999" t="s">
        <v>773</v>
      </c>
      <c r="AA572" s="999" t="s">
        <v>793</v>
      </c>
      <c r="AB572" s="999" t="s">
        <v>805</v>
      </c>
      <c r="AC572" s="999" t="s">
        <v>849</v>
      </c>
      <c r="AD572" s="999" t="s">
        <v>867</v>
      </c>
      <c r="AF572" s="1"/>
    </row>
    <row r="573" spans="1:68" ht="13.5" thickBot="1" x14ac:dyDescent="0.25">
      <c r="A573" s="1007"/>
      <c r="B573" s="999"/>
      <c r="C573" s="999"/>
      <c r="D573" s="999"/>
      <c r="E573" s="999"/>
      <c r="F573" s="999"/>
      <c r="G573" s="999"/>
      <c r="H573" s="999"/>
      <c r="I573" s="999"/>
      <c r="J573" s="999"/>
      <c r="K573" s="999"/>
      <c r="L573" s="999"/>
      <c r="M573" s="999"/>
      <c r="N573" s="1"/>
      <c r="O573" s="999"/>
      <c r="P573" s="999"/>
      <c r="Q573" s="999"/>
      <c r="R573" s="999"/>
      <c r="S573" s="999"/>
      <c r="T573" s="999"/>
      <c r="U573" s="999"/>
      <c r="V573" s="999"/>
      <c r="W573" s="999"/>
      <c r="X573" s="999"/>
      <c r="Y573" s="999"/>
      <c r="Z573" s="999"/>
      <c r="AA573" s="999"/>
      <c r="AB573" s="999"/>
      <c r="AC573" s="999"/>
      <c r="AD573" s="999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105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103,13"/>
        <filter val="128,13"/>
        <filter val="6,67"/>
      </filters>
    </filterColumn>
    <filterColumn colId="29" showButton="0"/>
    <filterColumn colId="30" showButton="0"/>
  </autoFilter>
  <dataConsolidate/>
  <mergeCells count="1007"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3" spans="2:8" x14ac:dyDescent="0.2">
      <c r="B13" s="53" t="s">
        <v>895</v>
      </c>
      <c r="C13" s="53" t="s">
        <v>896</v>
      </c>
      <c r="D13" s="53" t="s">
        <v>134</v>
      </c>
      <c r="E13" s="53" t="s">
        <v>46</v>
      </c>
    </row>
    <row r="15" spans="2:8" x14ac:dyDescent="0.2">
      <c r="B15" s="53" t="s">
        <v>897</v>
      </c>
      <c r="C15" s="53" t="s">
        <v>875</v>
      </c>
      <c r="D15" s="53" t="s">
        <v>46</v>
      </c>
      <c r="E15" s="53" t="s">
        <v>46</v>
      </c>
    </row>
    <row r="17" spans="2:5" x14ac:dyDescent="0.2">
      <c r="B17" s="53" t="s">
        <v>898</v>
      </c>
      <c r="C17" s="53" t="s">
        <v>878</v>
      </c>
      <c r="D17" s="53" t="s">
        <v>46</v>
      </c>
      <c r="E17" s="53" t="s">
        <v>46</v>
      </c>
    </row>
    <row r="19" spans="2:5" x14ac:dyDescent="0.2">
      <c r="B19" s="53" t="s">
        <v>899</v>
      </c>
      <c r="C19" s="53" t="s">
        <v>881</v>
      </c>
      <c r="D19" s="53" t="s">
        <v>46</v>
      </c>
      <c r="E19" s="53" t="s">
        <v>46</v>
      </c>
    </row>
    <row r="21" spans="2:5" x14ac:dyDescent="0.2">
      <c r="B21" s="53" t="s">
        <v>900</v>
      </c>
      <c r="C21" s="53" t="s">
        <v>884</v>
      </c>
      <c r="D21" s="53" t="s">
        <v>46</v>
      </c>
      <c r="E21" s="53" t="s">
        <v>46</v>
      </c>
    </row>
    <row r="23" spans="2:5" x14ac:dyDescent="0.2">
      <c r="B23" s="53" t="s">
        <v>901</v>
      </c>
      <c r="C23" s="53" t="s">
        <v>887</v>
      </c>
      <c r="D23" s="53" t="s">
        <v>46</v>
      </c>
      <c r="E23" s="53" t="s">
        <v>46</v>
      </c>
    </row>
    <row r="25" spans="2:5" x14ac:dyDescent="0.2">
      <c r="B25" s="53" t="s">
        <v>902</v>
      </c>
      <c r="C25" s="53" t="s">
        <v>890</v>
      </c>
      <c r="D25" s="53" t="s">
        <v>46</v>
      </c>
      <c r="E25" s="53" t="s">
        <v>46</v>
      </c>
    </row>
    <row r="27" spans="2:5" x14ac:dyDescent="0.2">
      <c r="B27" s="53" t="s">
        <v>903</v>
      </c>
      <c r="C27" s="53" t="s">
        <v>893</v>
      </c>
      <c r="D27" s="53" t="s">
        <v>46</v>
      </c>
      <c r="E27" s="53" t="s">
        <v>46</v>
      </c>
    </row>
    <row r="29" spans="2:5" x14ac:dyDescent="0.2">
      <c r="B29" s="53" t="s">
        <v>904</v>
      </c>
      <c r="C29" s="53" t="s">
        <v>896</v>
      </c>
      <c r="D29" s="53" t="s">
        <v>46</v>
      </c>
      <c r="E29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913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914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915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2026-10-19T08:26:50Z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