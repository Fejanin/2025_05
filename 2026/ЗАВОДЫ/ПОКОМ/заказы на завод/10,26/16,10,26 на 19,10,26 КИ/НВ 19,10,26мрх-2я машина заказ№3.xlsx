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E3B1B6-8B5B-4FF5-B1F5-B4269DB96F0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Y553" i="1" s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Y545" i="1" s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N517" i="1" s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BN503" i="1" s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X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BN457" i="1" s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BN415" i="1" s="1"/>
  <c r="P415" i="1"/>
  <c r="X413" i="1"/>
  <c r="X412" i="1"/>
  <c r="BP411" i="1"/>
  <c r="BO411" i="1"/>
  <c r="BM411" i="1"/>
  <c r="Z411" i="1"/>
  <c r="Y411" i="1"/>
  <c r="BN411" i="1" s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BN389" i="1" s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M383" i="1"/>
  <c r="Z383" i="1"/>
  <c r="Y383" i="1"/>
  <c r="BN383" i="1" s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BN379" i="1" s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M373" i="1"/>
  <c r="Z373" i="1"/>
  <c r="Y373" i="1"/>
  <c r="BN373" i="1" s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BN369" i="1" s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M362" i="1"/>
  <c r="Z362" i="1"/>
  <c r="Y362" i="1"/>
  <c r="BN362" i="1" s="1"/>
  <c r="P362" i="1"/>
  <c r="X359" i="1"/>
  <c r="Y358" i="1"/>
  <c r="X358" i="1"/>
  <c r="BO357" i="1"/>
  <c r="BN357" i="1"/>
  <c r="BM357" i="1"/>
  <c r="Y357" i="1"/>
  <c r="Y359" i="1" s="1"/>
  <c r="P357" i="1"/>
  <c r="X355" i="1"/>
  <c r="X354" i="1"/>
  <c r="BP353" i="1"/>
  <c r="BO353" i="1"/>
  <c r="BM353" i="1"/>
  <c r="Z353" i="1"/>
  <c r="Z354" i="1" s="1"/>
  <c r="Y353" i="1"/>
  <c r="Y35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BN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M324" i="1"/>
  <c r="Z324" i="1"/>
  <c r="Y324" i="1"/>
  <c r="BN324" i="1" s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BN313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N295" i="1" s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M264" i="1"/>
  <c r="Z264" i="1"/>
  <c r="Y264" i="1"/>
  <c r="BN264" i="1" s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N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M208" i="1"/>
  <c r="Z208" i="1"/>
  <c r="Y208" i="1"/>
  <c r="BN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N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BN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BN146" i="1" s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N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M26" i="1"/>
  <c r="Z26" i="1"/>
  <c r="Y26" i="1"/>
  <c r="BN26" i="1" s="1"/>
  <c r="P26" i="1"/>
  <c r="X24" i="1"/>
  <c r="Y23" i="1"/>
  <c r="X23" i="1"/>
  <c r="BO22" i="1"/>
  <c r="BN22" i="1"/>
  <c r="BM22" i="1"/>
  <c r="Y22" i="1"/>
  <c r="BP22" i="1" s="1"/>
  <c r="P22" i="1"/>
  <c r="H10" i="1"/>
  <c r="A9" i="1"/>
  <c r="A10" i="1" s="1"/>
  <c r="D7" i="1"/>
  <c r="Q6" i="1"/>
  <c r="P2" i="1"/>
  <c r="F9" i="1" l="1"/>
  <c r="Z77" i="1"/>
  <c r="BP77" i="1"/>
  <c r="Z109" i="1"/>
  <c r="BP109" i="1"/>
  <c r="Z146" i="1"/>
  <c r="BP146" i="1"/>
  <c r="Z166" i="1"/>
  <c r="BP166" i="1"/>
  <c r="Z204" i="1"/>
  <c r="BP204" i="1"/>
  <c r="Z229" i="1"/>
  <c r="BP229" i="1"/>
  <c r="Z239" i="1"/>
  <c r="BP239" i="1"/>
  <c r="Z254" i="1"/>
  <c r="BP254" i="1"/>
  <c r="Z295" i="1"/>
  <c r="BP295" i="1"/>
  <c r="Z305" i="1"/>
  <c r="Z306" i="1" s="1"/>
  <c r="BP305" i="1"/>
  <c r="Z313" i="1"/>
  <c r="BP313" i="1"/>
  <c r="Z333" i="1"/>
  <c r="BP333" i="1"/>
  <c r="Z369" i="1"/>
  <c r="BP369" i="1"/>
  <c r="Z379" i="1"/>
  <c r="BP379" i="1"/>
  <c r="Z389" i="1"/>
  <c r="BP389" i="1"/>
  <c r="Z415" i="1"/>
  <c r="BP415" i="1"/>
  <c r="Z457" i="1"/>
  <c r="BP457" i="1"/>
  <c r="Z472" i="1"/>
  <c r="Z473" i="1" s="1"/>
  <c r="BP472" i="1"/>
  <c r="Z503" i="1"/>
  <c r="BP503" i="1"/>
  <c r="Z517" i="1"/>
  <c r="BP517" i="1"/>
  <c r="Z543" i="1"/>
  <c r="Z544" i="1" s="1"/>
  <c r="BP543" i="1"/>
  <c r="Z551" i="1"/>
  <c r="Z552" i="1" s="1"/>
  <c r="BP551" i="1"/>
  <c r="J9" i="1"/>
  <c r="F10" i="1"/>
  <c r="Z22" i="1"/>
  <c r="Z23" i="1" s="1"/>
  <c r="Z42" i="1"/>
  <c r="Z117" i="1"/>
  <c r="Z136" i="1"/>
  <c r="Z153" i="1"/>
  <c r="Z184" i="1"/>
  <c r="Z225" i="1"/>
  <c r="Z235" i="1"/>
  <c r="Z245" i="1"/>
  <c r="Z284" i="1"/>
  <c r="Z322" i="1"/>
  <c r="Z342" i="1"/>
  <c r="BN353" i="1"/>
  <c r="Z357" i="1"/>
  <c r="Z358" i="1" s="1"/>
  <c r="BP357" i="1"/>
  <c r="Z397" i="1"/>
  <c r="Z461" i="1"/>
  <c r="Z513" i="1"/>
  <c r="Z523" i="1"/>
  <c r="Z531" i="1"/>
  <c r="BN305" i="1"/>
  <c r="Y306" i="1"/>
  <c r="S574" i="1"/>
  <c r="BN472" i="1"/>
  <c r="Y473" i="1"/>
  <c r="Z539" i="1"/>
  <c r="Z540" i="1" s="1"/>
  <c r="BP539" i="1"/>
  <c r="BN543" i="1"/>
  <c r="Y544" i="1"/>
  <c r="Z547" i="1"/>
  <c r="Z548" i="1" s="1"/>
  <c r="BP547" i="1"/>
  <c r="BN551" i="1"/>
  <c r="Y552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26" i="1" l="1"/>
  <c r="Z142" i="1"/>
  <c r="Z524" i="1"/>
  <c r="Z534" i="1"/>
  <c r="Z102" i="1"/>
  <c r="Y566" i="1"/>
  <c r="Z31" i="1"/>
  <c r="Z386" i="1"/>
  <c r="Y568" i="1"/>
  <c r="Z490" i="1"/>
  <c r="Z393" i="1"/>
  <c r="Z376" i="1"/>
  <c r="Z328" i="1"/>
  <c r="Z302" i="1"/>
  <c r="Z399" i="1"/>
  <c r="Z291" i="1"/>
  <c r="Z272" i="1"/>
  <c r="Z210" i="1"/>
  <c r="Z155" i="1"/>
  <c r="Z127" i="1"/>
  <c r="Z85" i="1"/>
  <c r="Z67" i="1"/>
  <c r="Y565" i="1"/>
  <c r="Y567" i="1" s="1"/>
  <c r="Z317" i="1"/>
  <c r="Z261" i="1"/>
  <c r="Z505" i="1"/>
  <c r="Z286" i="1"/>
  <c r="Y564" i="1"/>
  <c r="Z335" i="1"/>
  <c r="Z185" i="1"/>
  <c r="Z518" i="1"/>
  <c r="Z446" i="1"/>
  <c r="Z406" i="1"/>
  <c r="Z343" i="1"/>
  <c r="Z120" i="1"/>
  <c r="Z113" i="1"/>
  <c r="Z95" i="1"/>
  <c r="Z74" i="1"/>
  <c r="Z55" i="1"/>
  <c r="Z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<sst xmlns="http://schemas.openxmlformats.org/spreadsheetml/2006/main" count="2538" uniqueCount="917">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</sst>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46314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895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8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0.41666666666666669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150</v>
      </c>
      <c r="Y51" s="634">
        <f>IFERROR(IF(X51="",0,CEILING((X51/$H51),1)*$H51),"")</f>
        <v>151.20000000000002</v>
      </c>
      <c r="Z51" s="36">
        <f>IFERROR(IF(Y51=0,"",ROUNDUP(Y51/H51,0)*0.01898),"")</f>
        <v>0.26572000000000001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155.69444444444446</v>
      </c>
      <c r="BN51" s="64">
        <f>IFERROR(Y51*I51/H51,"0")</f>
        <v>156.94</v>
      </c>
      <c r="BO51" s="64">
        <f>IFERROR(1/J51*(X51/H51),"0")</f>
        <v>0.21701388888888887</v>
      </c>
      <c r="BP51" s="64">
        <f>IFERROR(1/J51*(Y51/H51),"0")</f>
        <v>0.21875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1</v>
      </c>
      <c r="Y54" s="634">
        <f>IFERROR(IF(X54="",0,CEILING((X54/$H54),1)*$H54),"")</f>
        <v>3.7</v>
      </c>
      <c r="Z54" s="36">
        <f>IFERROR(IF(Y54=0,"",ROUNDUP(Y54/H54,0)*0.00902),"")</f>
        <v>9.0200000000000002E-3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1.0513513513513513</v>
      </c>
      <c r="BN54" s="64">
        <f>IFERROR(Y54*I54/H54,"0")</f>
        <v>3.89</v>
      </c>
      <c r="BO54" s="64">
        <f>IFERROR(1/J54*(X54/H54),"0")</f>
        <v>2.0475020475020471E-3</v>
      </c>
      <c r="BP54" s="64">
        <f>IFERROR(1/J54*(Y54/H54),"0")</f>
        <v>7.575757575757576E-3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14.159159159159158</v>
      </c>
      <c r="Y55" s="635">
        <f>IFERROR(Y51/H51,"0")+IFERROR(Y52/H52,"0")+IFERROR(Y53/H53,"0")+IFERROR(Y54/H54,"0")</f>
        <v>15</v>
      </c>
      <c r="Z55" s="635">
        <f>IFERROR(IF(Z51="",0,Z51),"0")+IFERROR(IF(Z52="",0,Z52),"0")+IFERROR(IF(Z53="",0,Z53),"0")+IFERROR(IF(Z54="",0,Z54),"0")</f>
        <v>0.27473999999999998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151</v>
      </c>
      <c r="Y56" s="635">
        <f>IFERROR(SUM(Y51:Y54),"0")</f>
        <v>154.9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50</v>
      </c>
      <c r="Y60" s="634">
        <f t="shared" si="0"/>
        <v>54</v>
      </c>
      <c r="Z60" s="36">
        <f>IFERROR(IF(Y60=0,"",ROUNDUP(Y60/H60,0)*0.01898),"")</f>
        <v>9.4899999999999998E-2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51.898148148148145</v>
      </c>
      <c r="BN60" s="64">
        <f t="shared" si="2"/>
        <v>56.05</v>
      </c>
      <c r="BO60" s="64">
        <f t="shared" si="3"/>
        <v>7.2337962962962965E-2</v>
      </c>
      <c r="BP60" s="64">
        <f t="shared" si="4"/>
        <v>7.8125E-2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20</v>
      </c>
      <c r="Y63" s="634">
        <f t="shared" si="0"/>
        <v>20</v>
      </c>
      <c r="Z63" s="36">
        <f>IFERROR(IF(Y63=0,"",ROUNDUP(Y63/H63,0)*0.00902),"")</f>
        <v>4.5100000000000001E-2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20.950000000000003</v>
      </c>
      <c r="BN63" s="64">
        <f t="shared" si="2"/>
        <v>20.950000000000003</v>
      </c>
      <c r="BO63" s="64">
        <f t="shared" si="3"/>
        <v>3.787878787878788E-2</v>
      </c>
      <c r="BP63" s="64">
        <f t="shared" si="4"/>
        <v>3.787878787878788E-2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25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26.055555555555557</v>
      </c>
      <c r="BN66" s="64">
        <f t="shared" si="2"/>
        <v>28.14</v>
      </c>
      <c r="BO66" s="64">
        <f t="shared" si="3"/>
        <v>4.208754208754209E-2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15.185185185185185</v>
      </c>
      <c r="Y67" s="635">
        <f>IFERROR(Y59/H59,"0")+IFERROR(Y60/H60,"0")+IFERROR(Y61/H61,"0")+IFERROR(Y62/H62,"0")+IFERROR(Y63/H63,"0")+IFERROR(Y64/H64,"0")+IFERROR(Y65/H65,"0")+IFERROR(Y66/H66,"0")</f>
        <v>16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0.19412000000000001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95</v>
      </c>
      <c r="Y68" s="635">
        <f>IFERROR(SUM(Y59:Y66),"0")</f>
        <v>101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65</v>
      </c>
      <c r="Y70" s="634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67.467592592592595</v>
      </c>
      <c r="BN70" s="64">
        <f>IFERROR(Y70*I70/H70,"0")</f>
        <v>78.47</v>
      </c>
      <c r="BO70" s="64">
        <f>IFERROR(1/J70*(X70/H70),"0")</f>
        <v>9.4039351851851846E-2</v>
      </c>
      <c r="BP70" s="64">
        <f>IFERROR(1/J70*(Y70/H70),"0")</f>
        <v>0.109375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6.0185185185185182</v>
      </c>
      <c r="Y74" s="635">
        <f>IFERROR(Y70/H70,"0")+IFERROR(Y71/H71,"0")+IFERROR(Y72/H72,"0")+IFERROR(Y73/H73,"0")</f>
        <v>7</v>
      </c>
      <c r="Z74" s="635">
        <f>IFERROR(IF(Z70="",0,Z70),"0")+IFERROR(IF(Z71="",0,Z71),"0")+IFERROR(IF(Z72="",0,Z72),"0")+IFERROR(IF(Z73="",0,Z73),"0")</f>
        <v>0.13286000000000001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65</v>
      </c>
      <c r="Y75" s="635">
        <f>IFERROR(SUM(Y70:Y73),"0")</f>
        <v>75.600000000000009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60</v>
      </c>
      <c r="Y89" s="634">
        <f t="shared" ref="Y89:Y94" si="5">IFERROR(IF(X89="",0,CEILING((X89/$H89),1)*$H89),"")</f>
        <v>64.800000000000011</v>
      </c>
      <c r="Z89" s="36">
        <f>IFERROR(IF(Y89=0,"",ROUNDUP(Y89/H89,0)*0.01898),"")</f>
        <v>0.11388000000000001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62.277777777777779</v>
      </c>
      <c r="BN89" s="64">
        <f t="shared" ref="BN89:BN94" si="7">IFERROR(Y89*I89/H89,"0")</f>
        <v>67.260000000000005</v>
      </c>
      <c r="BO89" s="64">
        <f t="shared" ref="BO89:BO94" si="8">IFERROR(1/J89*(X89/H89),"0")</f>
        <v>8.6805555555555552E-2</v>
      </c>
      <c r="BP89" s="64">
        <f t="shared" ref="BP89:BP94" si="9">IFERROR(1/J89*(Y89/H89),"0")</f>
        <v>9.3750000000000014E-2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1</v>
      </c>
      <c r="Y91" s="634">
        <f t="shared" si="5"/>
        <v>1.36</v>
      </c>
      <c r="Z91" s="36">
        <f>IFERROR(IF(Y91=0,"",ROUNDUP(Y91/H91,0)*0.00726),"")</f>
        <v>7.26E-3</v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1.1323529411764706</v>
      </c>
      <c r="BN91" s="64">
        <f t="shared" si="7"/>
        <v>1.54</v>
      </c>
      <c r="BO91" s="64">
        <f t="shared" si="8"/>
        <v>3.8296568627450974E-3</v>
      </c>
      <c r="BP91" s="64">
        <f t="shared" si="9"/>
        <v>5.208333333333333E-3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6.2908496732026142</v>
      </c>
      <c r="Y95" s="635">
        <f>IFERROR(Y89/H89,"0")+IFERROR(Y90/H90,"0")+IFERROR(Y91/H91,"0")+IFERROR(Y92/H92,"0")+IFERROR(Y93/H93,"0")+IFERROR(Y94/H94,"0")</f>
        <v>7.0000000000000009</v>
      </c>
      <c r="Z95" s="635">
        <f>IFERROR(IF(Z89="",0,Z89),"0")+IFERROR(IF(Z90="",0,Z90),"0")+IFERROR(IF(Z91="",0,Z91),"0")+IFERROR(IF(Z92="",0,Z92),"0")+IFERROR(IF(Z93="",0,Z93),"0")+IFERROR(IF(Z94="",0,Z94),"0")</f>
        <v>0.12114000000000001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61</v>
      </c>
      <c r="Y96" s="635">
        <f>IFERROR(SUM(Y89:Y94),"0")</f>
        <v>66.160000000000011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80</v>
      </c>
      <c r="Y98" s="634">
        <f>IFERROR(IF(X98="",0,CEILING((X98/$H98),1)*$H98),"")</f>
        <v>81</v>
      </c>
      <c r="Z98" s="36">
        <f>IFERROR(IF(Y98=0,"",ROUNDUP(Y98/H98,0)*0.01898),"")</f>
        <v>0.1898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84.879012345679016</v>
      </c>
      <c r="BN98" s="64">
        <f>IFERROR(Y98*I98/H98,"0")</f>
        <v>85.94</v>
      </c>
      <c r="BO98" s="64">
        <f>IFERROR(1/J98*(X98/H98),"0")</f>
        <v>0.15432098765432101</v>
      </c>
      <c r="BP98" s="64">
        <f>IFERROR(1/J98*(Y98/H98),"0")</f>
        <v>0.15625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9.8765432098765444</v>
      </c>
      <c r="Y102" s="635">
        <f>IFERROR(Y98/H98,"0")+IFERROR(Y99/H99,"0")+IFERROR(Y100/H100,"0")+IFERROR(Y101/H101,"0")</f>
        <v>10</v>
      </c>
      <c r="Z102" s="635">
        <f>IFERROR(IF(Z98="",0,Z98),"0")+IFERROR(IF(Z99="",0,Z99),"0")+IFERROR(IF(Z100="",0,Z100),"0")+IFERROR(IF(Z101="",0,Z101),"0")</f>
        <v>0.1898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80</v>
      </c>
      <c r="Y103" s="635">
        <f>IFERROR(SUM(Y98:Y101),"0")</f>
        <v>81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7</v>
      </c>
      <c r="Y110" s="634">
        <f t="shared" si="10"/>
        <v>9</v>
      </c>
      <c r="Z110" s="36">
        <f>IFERROR(IF(Y110=0,"",ROUNDUP(Y110/H110,0)*0.00902),"")</f>
        <v>1.804E-2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7.2955555555555565</v>
      </c>
      <c r="BN110" s="64">
        <f t="shared" si="12"/>
        <v>9.3800000000000008</v>
      </c>
      <c r="BO110" s="64">
        <f t="shared" si="13"/>
        <v>1.1784511784511785E-2</v>
      </c>
      <c r="BP110" s="64">
        <f t="shared" si="14"/>
        <v>1.5151515151515152E-2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1.5555555555555556</v>
      </c>
      <c r="Y113" s="635">
        <f>IFERROR(Y106/H106,"0")+IFERROR(Y107/H107,"0")+IFERROR(Y108/H108,"0")+IFERROR(Y109/H109,"0")+IFERROR(Y110/H110,"0")+IFERROR(Y111/H111,"0")+IFERROR(Y112/H112,"0")</f>
        <v>2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1.804E-2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7</v>
      </c>
      <c r="Y114" s="635">
        <f>IFERROR(SUM(Y106:Y112),"0")</f>
        <v>9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70</v>
      </c>
      <c r="Y123" s="634">
        <f>IFERROR(IF(X123="",0,CEILING((X123/$H123),1)*$H123),"")</f>
        <v>72.899999999999991</v>
      </c>
      <c r="Z123" s="36">
        <f>IFERROR(IF(Y123=0,"",ROUNDUP(Y123/H123,0)*0.01898),"")</f>
        <v>0.17082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74.217283950617286</v>
      </c>
      <c r="BN123" s="64">
        <f>IFERROR(Y123*I123/H123,"0")</f>
        <v>77.291999999999987</v>
      </c>
      <c r="BO123" s="64">
        <f>IFERROR(1/J123*(X123/H123),"0")</f>
        <v>0.13503086419753088</v>
      </c>
      <c r="BP123" s="64">
        <f>IFERROR(1/J123*(Y123/H123),"0")</f>
        <v>0.140625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6</v>
      </c>
      <c r="Y125" s="634">
        <f>IFERROR(IF(X125="",0,CEILING((X125/$H125),1)*$H125),"")</f>
        <v>8.1000000000000014</v>
      </c>
      <c r="Z125" s="36">
        <f>IFERROR(IF(Y125=0,"",ROUNDUP(Y125/H125,0)*0.00651),"")</f>
        <v>1.9529999999999999E-2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6.56</v>
      </c>
      <c r="BN125" s="64">
        <f>IFERROR(Y125*I125/H125,"0")</f>
        <v>8.8560000000000016</v>
      </c>
      <c r="BO125" s="64">
        <f>IFERROR(1/J125*(X125/H125),"0")</f>
        <v>1.2210012210012208E-2</v>
      </c>
      <c r="BP125" s="64">
        <f>IFERROR(1/J125*(Y125/H125),"0")</f>
        <v>1.6483516483516487E-2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10.864197530864198</v>
      </c>
      <c r="Y127" s="635">
        <f>IFERROR(Y123/H123,"0")+IFERROR(Y124/H124,"0")+IFERROR(Y125/H125,"0")+IFERROR(Y126/H126,"0")</f>
        <v>12</v>
      </c>
      <c r="Z127" s="635">
        <f>IFERROR(IF(Z123="",0,Z123),"0")+IFERROR(IF(Z124="",0,Z124),"0")+IFERROR(IF(Z125="",0,Z125),"0")+IFERROR(IF(Z126="",0,Z126),"0")</f>
        <v>0.19034999999999999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76</v>
      </c>
      <c r="Y128" s="635">
        <f>IFERROR(SUM(Y123:Y126),"0")</f>
        <v>81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20</v>
      </c>
      <c r="Y130" s="634">
        <f>IFERROR(IF(X130="",0,CEILING((X130/$H130),1)*$H130),"")</f>
        <v>21.78</v>
      </c>
      <c r="Z130" s="36">
        <f>IFERROR(IF(Y130=0,"",ROUNDUP(Y130/H130,0)*0.00651),"")</f>
        <v>7.1610000000000007E-2</v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22.606060606060606</v>
      </c>
      <c r="BN130" s="64">
        <f>IFERROR(Y130*I130/H130,"0")</f>
        <v>24.617999999999999</v>
      </c>
      <c r="BO130" s="64">
        <f>IFERROR(1/J130*(X130/H130),"0")</f>
        <v>5.5500055500055503E-2</v>
      </c>
      <c r="BP130" s="64">
        <f>IFERROR(1/J130*(Y130/H130),"0")</f>
        <v>6.0439560439560447E-2</v>
      </c>
    </row>
    <row r="131" spans="1:68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10.1010101010101</v>
      </c>
      <c r="Y131" s="635">
        <f>IFERROR(Y130/H130,"0")</f>
        <v>11</v>
      </c>
      <c r="Z131" s="635">
        <f>IFERROR(IF(Z130="",0,Z130),"0")</f>
        <v>7.1610000000000007E-2</v>
      </c>
      <c r="AA131" s="636"/>
      <c r="AB131" s="636"/>
      <c r="AC131" s="636"/>
    </row>
    <row r="132" spans="1:68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20</v>
      </c>
      <c r="Y132" s="635">
        <f>IFERROR(SUM(Y130:Y130),"0")</f>
        <v>21.78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20</v>
      </c>
      <c r="Y135" s="634">
        <f>IFERROR(IF(X135="",0,CEILING((X135/$H135),1)*$H135),"")</f>
        <v>22.400000000000002</v>
      </c>
      <c r="Z135" s="36">
        <f>IFERROR(IF(Y135=0,"",ROUNDUP(Y135/H135,0)*0.00651),"")</f>
        <v>4.5569999999999999E-2</v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21.124999999999996</v>
      </c>
      <c r="BN135" s="64">
        <f>IFERROR(Y135*I135/H135,"0")</f>
        <v>23.66</v>
      </c>
      <c r="BO135" s="64">
        <f>IFERROR(1/J135*(X135/H135),"0")</f>
        <v>3.4340659340659344E-2</v>
      </c>
      <c r="BP135" s="64">
        <f>IFERROR(1/J135*(Y135/H135),"0")</f>
        <v>3.8461538461538464E-2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6.25</v>
      </c>
      <c r="Y137" s="635">
        <f>IFERROR(Y135/H135,"0")+IFERROR(Y136/H136,"0")</f>
        <v>7</v>
      </c>
      <c r="Z137" s="635">
        <f>IFERROR(IF(Z135="",0,Z135),"0")+IFERROR(IF(Z136="",0,Z136),"0")</f>
        <v>4.5569999999999999E-2</v>
      </c>
      <c r="AA137" s="636"/>
      <c r="AB137" s="636"/>
      <c r="AC137" s="636"/>
    </row>
    <row r="138" spans="1:68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20</v>
      </c>
      <c r="Y138" s="635">
        <f>IFERROR(SUM(Y135:Y136),"0")</f>
        <v>22.400000000000002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20</v>
      </c>
      <c r="Y140" s="634">
        <f>IFERROR(IF(X140="",0,CEILING((X140/$H140),1)*$H140),"")</f>
        <v>22.4</v>
      </c>
      <c r="Z140" s="36">
        <f>IFERROR(IF(Y140=0,"",ROUNDUP(Y140/H140,0)*0.00651),"")</f>
        <v>5.2080000000000001E-2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21.914285714285715</v>
      </c>
      <c r="BN140" s="64">
        <f>IFERROR(Y140*I140/H140,"0")</f>
        <v>24.543999999999997</v>
      </c>
      <c r="BO140" s="64">
        <f>IFERROR(1/J140*(X140/H140),"0")</f>
        <v>3.9246467817896397E-2</v>
      </c>
      <c r="BP140" s="64">
        <f>IFERROR(1/J140*(Y140/H140),"0")</f>
        <v>4.3956043956043959E-2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7.1428571428571432</v>
      </c>
      <c r="Y142" s="635">
        <f>IFERROR(Y140/H140,"0")+IFERROR(Y141/H141,"0")</f>
        <v>8</v>
      </c>
      <c r="Z142" s="635">
        <f>IFERROR(IF(Z140="",0,Z140),"0")+IFERROR(IF(Z141="",0,Z141),"0")</f>
        <v>5.2080000000000001E-2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20</v>
      </c>
      <c r="Y143" s="635">
        <f>IFERROR(SUM(Y140:Y141),"0")</f>
        <v>22.4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28</v>
      </c>
      <c r="Y145" s="634">
        <f>IFERROR(IF(X145="",0,CEILING((X145/$H145),1)*$H145),"")</f>
        <v>29.040000000000003</v>
      </c>
      <c r="Z145" s="36">
        <f>IFERROR(IF(Y145=0,"",ROUNDUP(Y145/H145,0)*0.00651),"")</f>
        <v>7.1610000000000007E-2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30.842424242424237</v>
      </c>
      <c r="BN145" s="64">
        <f>IFERROR(Y145*I145/H145,"0")</f>
        <v>31.988000000000003</v>
      </c>
      <c r="BO145" s="64">
        <f>IFERROR(1/J145*(X145/H145),"0")</f>
        <v>5.8275058275058279E-2</v>
      </c>
      <c r="BP145" s="64">
        <f>IFERROR(1/J145*(Y145/H145),"0")</f>
        <v>6.0439560439560447E-2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10.606060606060606</v>
      </c>
      <c r="Y147" s="635">
        <f>IFERROR(Y145/H145,"0")+IFERROR(Y146/H146,"0")</f>
        <v>11</v>
      </c>
      <c r="Z147" s="635">
        <f>IFERROR(IF(Z145="",0,Z145),"0")+IFERROR(IF(Z146="",0,Z146),"0")</f>
        <v>7.1610000000000007E-2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28</v>
      </c>
      <c r="Y148" s="635">
        <f>IFERROR(SUM(Y145:Y146),"0")</f>
        <v>29.040000000000003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30</v>
      </c>
      <c r="Y175" s="634">
        <f t="shared" ref="Y175:Y184" si="15">IFERROR(IF(X175="",0,CEILING((X175/$H175),1)*$H175),"")</f>
        <v>31.5</v>
      </c>
      <c r="Z175" s="36">
        <f>IFERROR(IF(Y175=0,"",ROUNDUP(Y175/H175,0)*0.00902),"")</f>
        <v>8.1180000000000002E-2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31.62857142857143</v>
      </c>
      <c r="BN175" s="64">
        <f t="shared" ref="BN175:BN184" si="17">IFERROR(Y175*I175/H175,"0")</f>
        <v>33.21</v>
      </c>
      <c r="BO175" s="64">
        <f t="shared" ref="BO175:BO184" si="18">IFERROR(1/J175*(X175/H175),"0")</f>
        <v>6.4935064935064929E-2</v>
      </c>
      <c r="BP175" s="64">
        <f t="shared" ref="BP175:BP184" si="19">IFERROR(1/J175*(Y175/H175),"0")</f>
        <v>6.8181818181818177E-2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70</v>
      </c>
      <c r="Y177" s="634">
        <f t="shared" si="15"/>
        <v>70</v>
      </c>
      <c r="Z177" s="36">
        <f>IFERROR(IF(Y177=0,"",ROUNDUP(Y177/H177,0)*0.00902),"")</f>
        <v>0.1804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73.8</v>
      </c>
      <c r="BN177" s="64">
        <f t="shared" si="17"/>
        <v>73.8</v>
      </c>
      <c r="BO177" s="64">
        <f t="shared" si="18"/>
        <v>0.15151515151515152</v>
      </c>
      <c r="BP177" s="64">
        <f t="shared" si="19"/>
        <v>0.15151515151515152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50</v>
      </c>
      <c r="Y178" s="634">
        <f t="shared" si="15"/>
        <v>52.5</v>
      </c>
      <c r="Z178" s="36">
        <f>IFERROR(IF(Y178=0,"",ROUNDUP(Y178/H178,0)*0.00902),"")</f>
        <v>0.1353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52.714285714285715</v>
      </c>
      <c r="BN178" s="64">
        <f t="shared" si="17"/>
        <v>55.35</v>
      </c>
      <c r="BO178" s="64">
        <f t="shared" si="18"/>
        <v>0.10822510822510824</v>
      </c>
      <c r="BP178" s="64">
        <f t="shared" si="19"/>
        <v>0.11363636363636365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8</v>
      </c>
      <c r="Y180" s="634">
        <f t="shared" si="15"/>
        <v>8.4</v>
      </c>
      <c r="Z180" s="36">
        <f>IFERROR(IF(Y180=0,"",ROUNDUP(Y180/H180,0)*0.00502),"")</f>
        <v>2.5100000000000001E-2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8.4761904761904763</v>
      </c>
      <c r="BN180" s="64">
        <f t="shared" si="17"/>
        <v>8.9000000000000021</v>
      </c>
      <c r="BO180" s="64">
        <f t="shared" si="18"/>
        <v>2.0350020350020353E-2</v>
      </c>
      <c r="BP180" s="64">
        <f t="shared" si="19"/>
        <v>2.1367521367521368E-2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20</v>
      </c>
      <c r="Y182" s="634">
        <f t="shared" si="15"/>
        <v>20.16</v>
      </c>
      <c r="Z182" s="36">
        <f>IFERROR(IF(Y182=0,"",ROUNDUP(Y182/H182,0)*0.00502),"")</f>
        <v>6.0240000000000002E-2</v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21.190476190476193</v>
      </c>
      <c r="BN182" s="64">
        <f t="shared" si="17"/>
        <v>21.36</v>
      </c>
      <c r="BO182" s="64">
        <f t="shared" si="18"/>
        <v>5.0875050875050884E-2</v>
      </c>
      <c r="BP182" s="64">
        <f t="shared" si="19"/>
        <v>5.1282051282051287E-2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17</v>
      </c>
      <c r="Y184" s="634">
        <f t="shared" si="15"/>
        <v>18.48</v>
      </c>
      <c r="Z184" s="36">
        <f>IFERROR(IF(Y184=0,"",ROUNDUP(Y184/H184,0)*0.00502),"")</f>
        <v>5.5220000000000005E-2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18.011904761904763</v>
      </c>
      <c r="BN184" s="64">
        <f t="shared" si="17"/>
        <v>19.580000000000002</v>
      </c>
      <c r="BO184" s="64">
        <f t="shared" si="18"/>
        <v>4.3243793243793245E-2</v>
      </c>
      <c r="BP184" s="64">
        <f t="shared" si="19"/>
        <v>4.7008547008547015E-2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69.642857142857139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72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0.53744000000000003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195</v>
      </c>
      <c r="Y186" s="635">
        <f>IFERROR(SUM(Y175:Y184),"0")</f>
        <v>201.04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40</v>
      </c>
      <c r="Y218" s="634">
        <f t="shared" ref="Y218:Y231" si="26">IFERROR(IF(X218="",0,CEILING((X218/$H218),1)*$H218),"")</f>
        <v>42</v>
      </c>
      <c r="Z218" s="36">
        <f>IFERROR(IF(Y218=0,"",ROUNDUP(Y218/H218,0)*0.00902),"")</f>
        <v>9.0200000000000002E-2</v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42.38095238095238</v>
      </c>
      <c r="BN218" s="64">
        <f t="shared" ref="BN218:BN231" si="28">IFERROR(Y218*I218/H218,"0")</f>
        <v>44.5</v>
      </c>
      <c r="BO218" s="64">
        <f t="shared" ref="BO218:BO231" si="29">IFERROR(1/J218*(X218/H218),"0")</f>
        <v>7.2150072150072145E-2</v>
      </c>
      <c r="BP218" s="64">
        <f t="shared" ref="BP218:BP231" si="30">IFERROR(1/J218*(Y218/H218),"0")</f>
        <v>7.575757575757576E-2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70</v>
      </c>
      <c r="Y220" s="634">
        <f t="shared" si="26"/>
        <v>71.400000000000006</v>
      </c>
      <c r="Z220" s="36">
        <f>IFERROR(IF(Y220=0,"",ROUNDUP(Y220/H220,0)*0.00902),"")</f>
        <v>0.15334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73.166666666666657</v>
      </c>
      <c r="BN220" s="64">
        <f t="shared" si="28"/>
        <v>74.63000000000001</v>
      </c>
      <c r="BO220" s="64">
        <f t="shared" si="29"/>
        <v>0.12626262626262624</v>
      </c>
      <c r="BP220" s="64">
        <f t="shared" si="30"/>
        <v>0.12878787878787878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6</v>
      </c>
      <c r="Y222" s="634">
        <f t="shared" si="26"/>
        <v>6.4</v>
      </c>
      <c r="Z222" s="36">
        <f>IFERROR(IF(Y222=0,"",ROUNDUP(Y222/H222,0)*0.00556),"")</f>
        <v>4.4479999999999999E-2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6.9749999999999996</v>
      </c>
      <c r="BN222" s="64">
        <f t="shared" si="28"/>
        <v>7.44</v>
      </c>
      <c r="BO222" s="64">
        <f t="shared" si="29"/>
        <v>3.2051282051282055E-2</v>
      </c>
      <c r="BP222" s="64">
        <f t="shared" si="30"/>
        <v>3.4188034188034191E-2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7</v>
      </c>
      <c r="Y223" s="634">
        <f t="shared" si="26"/>
        <v>8.4</v>
      </c>
      <c r="Z223" s="36">
        <f>IFERROR(IF(Y223=0,"",ROUNDUP(Y223/H223,0)*0.00502),"")</f>
        <v>2.0080000000000001E-2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7.4333333333333327</v>
      </c>
      <c r="BN223" s="64">
        <f t="shared" si="28"/>
        <v>8.92</v>
      </c>
      <c r="BO223" s="64">
        <f t="shared" si="29"/>
        <v>1.4245014245014245E-2</v>
      </c>
      <c r="BP223" s="64">
        <f t="shared" si="30"/>
        <v>1.7094017094017096E-2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21</v>
      </c>
      <c r="Y227" s="634">
        <f t="shared" si="26"/>
        <v>21.6</v>
      </c>
      <c r="Z227" s="36">
        <f>IFERROR(IF(Y227=0,"",ROUNDUP(Y227/H227,0)*0.00502),"")</f>
        <v>6.0240000000000002E-2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22.516666666666666</v>
      </c>
      <c r="BN227" s="64">
        <f t="shared" si="28"/>
        <v>23.16</v>
      </c>
      <c r="BO227" s="64">
        <f t="shared" si="29"/>
        <v>4.9857549857549859E-2</v>
      </c>
      <c r="BP227" s="64">
        <f t="shared" si="30"/>
        <v>5.1282051282051287E-2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2</v>
      </c>
      <c r="Y228" s="634">
        <f t="shared" si="26"/>
        <v>2.4000000000000004</v>
      </c>
      <c r="Z228" s="36">
        <f>IFERROR(IF(Y228=0,"",ROUNDUP(Y228/H228,0)*0.00417),"")</f>
        <v>1.251E-2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2.5249999999999999</v>
      </c>
      <c r="BN228" s="64">
        <f t="shared" si="28"/>
        <v>3.0300000000000002</v>
      </c>
      <c r="BO228" s="64">
        <f t="shared" si="29"/>
        <v>8.0128205128205121E-3</v>
      </c>
      <c r="BP228" s="64">
        <f t="shared" si="30"/>
        <v>9.6153846153846159E-3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11</v>
      </c>
      <c r="Y229" s="634">
        <f t="shared" si="26"/>
        <v>12.600000000000001</v>
      </c>
      <c r="Z229" s="36">
        <f>IFERROR(IF(Y229=0,"",ROUNDUP(Y229/H229,0)*0.00502),"")</f>
        <v>3.0120000000000001E-2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11.523809523809526</v>
      </c>
      <c r="BN229" s="64">
        <f t="shared" si="28"/>
        <v>13.200000000000003</v>
      </c>
      <c r="BO229" s="64">
        <f t="shared" si="29"/>
        <v>2.2385022385022386E-2</v>
      </c>
      <c r="BP229" s="64">
        <f t="shared" si="30"/>
        <v>2.5641025641025644E-2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56.428571428571431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60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0.41097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157</v>
      </c>
      <c r="Y233" s="635">
        <f>IFERROR(SUM(Y218:Y231),"0")</f>
        <v>164.8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1</v>
      </c>
      <c r="Y244" s="634">
        <f>IFERROR(IF(X244="",0,CEILING((X244/$H244),1)*$H244),"")</f>
        <v>1.26</v>
      </c>
      <c r="Z244" s="36">
        <f>IFERROR(IF(Y244=0,"",ROUNDUP(Y244/H244,0)*0.0059),"")</f>
        <v>5.8999999999999999E-3</v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1.1507936507936507</v>
      </c>
      <c r="BN244" s="64">
        <f>IFERROR(Y244*I244/H244,"0")</f>
        <v>1.45</v>
      </c>
      <c r="BO244" s="64">
        <f>IFERROR(1/J244*(X244/H244),"0")</f>
        <v>3.6743092298647849E-3</v>
      </c>
      <c r="BP244" s="64">
        <f>IFERROR(1/J244*(Y244/H244),"0")</f>
        <v>4.6296296296296294E-3</v>
      </c>
    </row>
    <row r="245" spans="1:68" ht="27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1</v>
      </c>
      <c r="Y245" s="634">
        <f>IFERROR(IF(X245="",0,CEILING((X245/$H245),1)*$H245),"")</f>
        <v>1.26</v>
      </c>
      <c r="Z245" s="36">
        <f>IFERROR(IF(Y245=0,"",ROUNDUP(Y245/H245,0)*0.0059),"")</f>
        <v>5.8999999999999999E-3</v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1.1507936507936507</v>
      </c>
      <c r="BN245" s="64">
        <f>IFERROR(Y245*I245/H245,"0")</f>
        <v>1.45</v>
      </c>
      <c r="BO245" s="64">
        <f>IFERROR(1/J245*(X245/H245),"0")</f>
        <v>3.6743092298647849E-3</v>
      </c>
      <c r="BP245" s="64">
        <f>IFERROR(1/J245*(Y245/H245),"0")</f>
        <v>4.6296296296296294E-3</v>
      </c>
    </row>
    <row r="246" spans="1:68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1.5873015873015872</v>
      </c>
      <c r="Y246" s="635">
        <f>IFERROR(Y243/H243,"0")+IFERROR(Y244/H244,"0")+IFERROR(Y245/H245,"0")</f>
        <v>2</v>
      </c>
      <c r="Z246" s="635">
        <f>IFERROR(IF(Z243="",0,Z243),"0")+IFERROR(IF(Z244="",0,Z244),"0")+IFERROR(IF(Z245="",0,Z245),"0")</f>
        <v>1.18E-2</v>
      </c>
      <c r="AA246" s="636"/>
      <c r="AB246" s="636"/>
      <c r="AC246" s="636"/>
    </row>
    <row r="247" spans="1:68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2</v>
      </c>
      <c r="Y247" s="635">
        <f>IFERROR(SUM(Y243:Y245),"0")</f>
        <v>2.52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2</v>
      </c>
      <c r="Y249" s="634">
        <f>IFERROR(IF(X249="",0,CEILING((X249/$H249),1)*$H249),"")</f>
        <v>2.52</v>
      </c>
      <c r="Z249" s="36">
        <f>IFERROR(IF(Y249=0,"",ROUNDUP(Y249/H249,0)*0.0059),"")</f>
        <v>1.18E-2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2.3015873015873014</v>
      </c>
      <c r="BN249" s="64">
        <f>IFERROR(Y249*I249/H249,"0")</f>
        <v>2.9</v>
      </c>
      <c r="BO249" s="64">
        <f>IFERROR(1/J249*(X249/H249),"0")</f>
        <v>7.3486184597295699E-3</v>
      </c>
      <c r="BP249" s="64">
        <f>IFERROR(1/J249*(Y249/H249),"0")</f>
        <v>9.2592592592592587E-3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1.5873015873015872</v>
      </c>
      <c r="Y250" s="635">
        <f>IFERROR(Y249/H249,"0")</f>
        <v>2</v>
      </c>
      <c r="Z250" s="635">
        <f>IFERROR(IF(Z249="",0,Z249),"0")</f>
        <v>1.18E-2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2</v>
      </c>
      <c r="Y251" s="635">
        <f>IFERROR(SUM(Y249:Y249),"0")</f>
        <v>2.52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60</v>
      </c>
      <c r="Y264" s="634">
        <f t="shared" ref="Y264:Y271" si="31">IFERROR(IF(X264="",0,CEILING((X264/$H264),1)*$H264),"")</f>
        <v>64.800000000000011</v>
      </c>
      <c r="Z264" s="36">
        <f>IFERROR(IF(Y264=0,"",ROUNDUP(Y264/H264,0)*0.00902),"")</f>
        <v>0.10824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62.1111111111111</v>
      </c>
      <c r="BN264" s="64">
        <f t="shared" ref="BN264:BN271" si="33">IFERROR(Y264*I264/H264,"0")</f>
        <v>67.08</v>
      </c>
      <c r="BO264" s="64">
        <f t="shared" ref="BO264:BO271" si="34">IFERROR(1/J264*(X264/H264),"0")</f>
        <v>8.4175084175084181E-2</v>
      </c>
      <c r="BP264" s="64">
        <f t="shared" ref="BP264:BP271" si="35">IFERROR(1/J264*(Y264/H264),"0")</f>
        <v>9.0909090909090925E-2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50</v>
      </c>
      <c r="Y265" s="634">
        <f t="shared" si="31"/>
        <v>54</v>
      </c>
      <c r="Z265" s="36">
        <f>IFERROR(IF(Y265=0,"",ROUNDUP(Y265/H265,0)*0.00902),"")</f>
        <v>9.0200000000000002E-2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51.759259259259252</v>
      </c>
      <c r="BN265" s="64">
        <f t="shared" si="33"/>
        <v>55.9</v>
      </c>
      <c r="BO265" s="64">
        <f t="shared" si="34"/>
        <v>7.0145903479236812E-2</v>
      </c>
      <c r="BP265" s="64">
        <f t="shared" si="35"/>
        <v>7.575757575757576E-2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100</v>
      </c>
      <c r="Y266" s="634">
        <f t="shared" si="31"/>
        <v>102.60000000000001</v>
      </c>
      <c r="Z266" s="36">
        <f>IFERROR(IF(Y266=0,"",ROUNDUP(Y266/H266,0)*0.00902),"")</f>
        <v>0.17138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103.5185185185185</v>
      </c>
      <c r="BN266" s="64">
        <f t="shared" si="33"/>
        <v>106.21</v>
      </c>
      <c r="BO266" s="64">
        <f t="shared" si="34"/>
        <v>0.14029180695847362</v>
      </c>
      <c r="BP266" s="64">
        <f t="shared" si="35"/>
        <v>0.14393939393939395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30</v>
      </c>
      <c r="Y267" s="634">
        <f t="shared" si="31"/>
        <v>32.400000000000006</v>
      </c>
      <c r="Z267" s="36">
        <f>IFERROR(IF(Y267=0,"",ROUNDUP(Y267/H267,0)*0.00902),"")</f>
        <v>5.4120000000000001E-2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31.05555555555555</v>
      </c>
      <c r="BN267" s="64">
        <f t="shared" si="33"/>
        <v>33.54</v>
      </c>
      <c r="BO267" s="64">
        <f t="shared" si="34"/>
        <v>4.208754208754209E-2</v>
      </c>
      <c r="BP267" s="64">
        <f t="shared" si="35"/>
        <v>4.5454545454545463E-2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9</v>
      </c>
      <c r="Y268" s="634">
        <f t="shared" si="31"/>
        <v>9</v>
      </c>
      <c r="Z268" s="36">
        <f>IFERROR(IF(Y268=0,"",ROUNDUP(Y268/H268,0)*0.00502),"")</f>
        <v>2.5100000000000001E-2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9.65</v>
      </c>
      <c r="BN268" s="64">
        <f t="shared" si="33"/>
        <v>9.65</v>
      </c>
      <c r="BO268" s="64">
        <f t="shared" si="34"/>
        <v>2.1367521367521368E-2</v>
      </c>
      <c r="BP268" s="64">
        <f t="shared" si="35"/>
        <v>2.1367521367521368E-2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9</v>
      </c>
      <c r="Y269" s="634">
        <f t="shared" si="31"/>
        <v>9</v>
      </c>
      <c r="Z269" s="36">
        <f>IFERROR(IF(Y269=0,"",ROUNDUP(Y269/H269,0)*0.00502),"")</f>
        <v>2.5100000000000001E-2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9.4999999999999982</v>
      </c>
      <c r="BN269" s="64">
        <f t="shared" si="33"/>
        <v>9.4999999999999982</v>
      </c>
      <c r="BO269" s="64">
        <f t="shared" si="34"/>
        <v>2.1367521367521368E-2</v>
      </c>
      <c r="BP269" s="64">
        <f t="shared" si="35"/>
        <v>2.1367521367521368E-2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54.444444444444443</v>
      </c>
      <c r="Y272" s="635">
        <f>IFERROR(Y264/H264,"0")+IFERROR(Y265/H265,"0")+IFERROR(Y266/H266,"0")+IFERROR(Y267/H267,"0")+IFERROR(Y268/H268,"0")+IFERROR(Y269/H269,"0")+IFERROR(Y270/H270,"0")+IFERROR(Y271/H271,"0")</f>
        <v>57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0.47414000000000006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258</v>
      </c>
      <c r="Y273" s="635">
        <f>IFERROR(SUM(Y264:Y271),"0")</f>
        <v>271.80000000000007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0</v>
      </c>
      <c r="Y276" s="634">
        <f t="shared" si="36"/>
        <v>0</v>
      </c>
      <c r="Z276" s="36" t="str">
        <f>IFERROR(IF(Y276=0,"",ROUNDUP(Y276/H276,0)*0.01898),"")</f>
        <v/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30</v>
      </c>
      <c r="Y278" s="634">
        <f t="shared" si="36"/>
        <v>31.2</v>
      </c>
      <c r="Z278" s="36">
        <f>IFERROR(IF(Y278=0,"",ROUNDUP(Y278/H278,0)*0.00651),"")</f>
        <v>8.4629999999999997E-2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33.375</v>
      </c>
      <c r="BN278" s="64">
        <f t="shared" si="38"/>
        <v>34.71</v>
      </c>
      <c r="BO278" s="64">
        <f t="shared" si="39"/>
        <v>6.8681318681318687E-2</v>
      </c>
      <c r="BP278" s="64">
        <f t="shared" si="40"/>
        <v>7.1428571428571438E-2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3</v>
      </c>
      <c r="Y280" s="634">
        <f t="shared" si="36"/>
        <v>4.8</v>
      </c>
      <c r="Z280" s="36">
        <f>IFERROR(IF(Y280=0,"",ROUNDUP(Y280/H280,0)*0.00651),"")</f>
        <v>1.302E-2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3.3150000000000004</v>
      </c>
      <c r="BN280" s="64">
        <f t="shared" si="38"/>
        <v>5.3040000000000003</v>
      </c>
      <c r="BO280" s="64">
        <f t="shared" si="39"/>
        <v>6.8681318681318689E-3</v>
      </c>
      <c r="BP280" s="64">
        <f t="shared" si="40"/>
        <v>1.098901098901099E-2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115</v>
      </c>
      <c r="Y282" s="634">
        <f t="shared" si="36"/>
        <v>115.19999999999999</v>
      </c>
      <c r="Z282" s="36">
        <f>IFERROR(IF(Y282=0,"",ROUNDUP(Y282/H282,0)*0.00651),"")</f>
        <v>0.31247999999999998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127.07500000000002</v>
      </c>
      <c r="BN282" s="64">
        <f t="shared" si="38"/>
        <v>127.29600000000001</v>
      </c>
      <c r="BO282" s="64">
        <f t="shared" si="39"/>
        <v>0.26327838827838834</v>
      </c>
      <c r="BP282" s="64">
        <f t="shared" si="40"/>
        <v>0.26373626373626374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18</v>
      </c>
      <c r="Y283" s="634">
        <f t="shared" si="36"/>
        <v>19.2</v>
      </c>
      <c r="Z283" s="36">
        <f>IFERROR(IF(Y283=0,"",ROUNDUP(Y283/H283,0)*0.00651),"")</f>
        <v>5.2080000000000001E-2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19.890000000000004</v>
      </c>
      <c r="BN283" s="64">
        <f t="shared" si="38"/>
        <v>21.216000000000001</v>
      </c>
      <c r="BO283" s="64">
        <f t="shared" si="39"/>
        <v>4.1208791208791215E-2</v>
      </c>
      <c r="BP283" s="64">
        <f t="shared" si="40"/>
        <v>4.3956043956043959E-2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69.166666666666671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71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0.46221000000000001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166</v>
      </c>
      <c r="Y287" s="635">
        <f>IFERROR(SUM(Y275:Y285),"0")</f>
        <v>170.39999999999998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72</v>
      </c>
      <c r="Y333" s="634">
        <f>IFERROR(IF(X333="",0,CEILING((X333/$H333),1)*$H333),"")</f>
        <v>72</v>
      </c>
      <c r="Z333" s="36">
        <f>IFERROR(IF(Y333=0,"",ROUNDUP(Y333/H333,0)*0.00651),"")</f>
        <v>0.1953</v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79.560000000000016</v>
      </c>
      <c r="BN333" s="64">
        <f>IFERROR(Y333*I333/H333,"0")</f>
        <v>79.560000000000016</v>
      </c>
      <c r="BO333" s="64">
        <f>IFERROR(1/J333*(X333/H333),"0")</f>
        <v>0.16483516483516486</v>
      </c>
      <c r="BP333" s="64">
        <f>IFERROR(1/J333*(Y333/H333),"0")</f>
        <v>0.16483516483516486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30</v>
      </c>
      <c r="Y335" s="635">
        <f>IFERROR(Y332/H332,"0")+IFERROR(Y333/H333,"0")+IFERROR(Y334/H334,"0")</f>
        <v>30</v>
      </c>
      <c r="Z335" s="635">
        <f>IFERROR(IF(Z332="",0,Z332),"0")+IFERROR(IF(Z333="",0,Z333),"0")+IFERROR(IF(Z334="",0,Z334),"0")</f>
        <v>0.1953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72</v>
      </c>
      <c r="Y336" s="635">
        <f>IFERROR(SUM(Y332:Y334),"0")</f>
        <v>72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40</v>
      </c>
      <c r="Y362" s="634">
        <f>IFERROR(IF(X362="",0,CEILING((X362/$H362),1)*$H362),"")</f>
        <v>46.8</v>
      </c>
      <c r="Z362" s="36">
        <f>IFERROR(IF(Y362=0,"",ROUNDUP(Y362/H362,0)*0.01898),"")</f>
        <v>0.11388000000000001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42.102564102564109</v>
      </c>
      <c r="BN362" s="64">
        <f>IFERROR(Y362*I362/H362,"0")</f>
        <v>49.260000000000005</v>
      </c>
      <c r="BO362" s="64">
        <f>IFERROR(1/J362*(X362/H362),"0")</f>
        <v>8.0128205128205135E-2</v>
      </c>
      <c r="BP362" s="64">
        <f>IFERROR(1/J362*(Y362/H362),"0")</f>
        <v>9.375E-2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70</v>
      </c>
      <c r="Y363" s="634">
        <f>IFERROR(IF(X363="",0,CEILING((X363/$H363),1)*$H363),"")</f>
        <v>70.2</v>
      </c>
      <c r="Z363" s="36">
        <f>IFERROR(IF(Y363=0,"",ROUNDUP(Y363/H363,0)*0.01898),"")</f>
        <v>0.17082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73.679487179487182</v>
      </c>
      <c r="BN363" s="64">
        <f>IFERROR(Y363*I363/H363,"0")</f>
        <v>73.890000000000015</v>
      </c>
      <c r="BO363" s="64">
        <f>IFERROR(1/J363*(X363/H363),"0")</f>
        <v>0.14022435897435898</v>
      </c>
      <c r="BP363" s="64">
        <f>IFERROR(1/J363*(Y363/H363),"0")</f>
        <v>0.140625</v>
      </c>
    </row>
    <row r="364" spans="1:68" ht="27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20</v>
      </c>
      <c r="Y364" s="634">
        <f>IFERROR(IF(X364="",0,CEILING((X364/$H364),1)*$H364),"")</f>
        <v>23.4</v>
      </c>
      <c r="Z364" s="36">
        <f>IFERROR(IF(Y364=0,"",ROUNDUP(Y364/H364,0)*0.01898),"")</f>
        <v>5.6940000000000004E-2</v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21.051282051282055</v>
      </c>
      <c r="BN364" s="64">
        <f>IFERROR(Y364*I364/H364,"0")</f>
        <v>24.630000000000003</v>
      </c>
      <c r="BO364" s="64">
        <f>IFERROR(1/J364*(X364/H364),"0")</f>
        <v>4.0064102564102567E-2</v>
      </c>
      <c r="BP364" s="64">
        <f>IFERROR(1/J364*(Y364/H364),"0")</f>
        <v>4.6875E-2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16.666666666666668</v>
      </c>
      <c r="Y365" s="635">
        <f>IFERROR(Y362/H362,"0")+IFERROR(Y363/H363,"0")+IFERROR(Y364/H364,"0")</f>
        <v>18</v>
      </c>
      <c r="Z365" s="635">
        <f>IFERROR(IF(Z362="",0,Z362),"0")+IFERROR(IF(Z363="",0,Z363),"0")+IFERROR(IF(Z364="",0,Z364),"0")</f>
        <v>0.34164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130</v>
      </c>
      <c r="Y366" s="635">
        <f>IFERROR(SUM(Y362:Y364),"0")</f>
        <v>140.4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0</v>
      </c>
      <c r="Y399" s="635">
        <f>IFERROR(Y396/H396,"0")+IFERROR(Y397/H397,"0")+IFERROR(Y398/H398,"0")</f>
        <v>0</v>
      </c>
      <c r="Z399" s="635">
        <f>IFERROR(IF(Z396="",0,Z396),"0")+IFERROR(IF(Z397="",0,Z397),"0")+IFERROR(IF(Z398="",0,Z398),"0")</f>
        <v>0</v>
      </c>
      <c r="AA399" s="636"/>
      <c r="AB399" s="636"/>
      <c r="AC399" s="636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0</v>
      </c>
      <c r="Y400" s="635">
        <f>IFERROR(SUM(Y396:Y398),"0")</f>
        <v>0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17</v>
      </c>
      <c r="Y404" s="634">
        <f>IFERROR(IF(X404="",0,CEILING((X404/$H404),1)*$H404),"")</f>
        <v>17.849999999999998</v>
      </c>
      <c r="Z404" s="36">
        <f>IFERROR(IF(Y404=0,"",ROUNDUP(Y404/H404,0)*0.00651),"")</f>
        <v>4.5569999999999999E-2</v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19.700000000000003</v>
      </c>
      <c r="BN404" s="64">
        <f>IFERROR(Y404*I404/H404,"0")</f>
        <v>20.684999999999999</v>
      </c>
      <c r="BO404" s="64">
        <f>IFERROR(1/J404*(X404/H404),"0")</f>
        <v>3.6630036630036632E-2</v>
      </c>
      <c r="BP404" s="64">
        <f>IFERROR(1/J404*(Y404/H404),"0")</f>
        <v>3.8461538461538464E-2</v>
      </c>
    </row>
    <row r="405" spans="1:68" ht="27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14</v>
      </c>
      <c r="Y405" s="634">
        <f>IFERROR(IF(X405="",0,CEILING((X405/$H405),1)*$H405),"")</f>
        <v>15.299999999999999</v>
      </c>
      <c r="Z405" s="36">
        <f>IFERROR(IF(Y405=0,"",ROUNDUP(Y405/H405,0)*0.00651),"")</f>
        <v>3.9059999999999997E-2</v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15.811764705882354</v>
      </c>
      <c r="BN405" s="64">
        <f>IFERROR(Y405*I405/H405,"0")</f>
        <v>17.279999999999998</v>
      </c>
      <c r="BO405" s="64">
        <f>IFERROR(1/J405*(X405/H405),"0")</f>
        <v>3.0165912518853699E-2</v>
      </c>
      <c r="BP405" s="64">
        <f>IFERROR(1/J405*(Y405/H405),"0")</f>
        <v>3.2967032967032968E-2</v>
      </c>
    </row>
    <row r="406" spans="1:68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12.156862745098039</v>
      </c>
      <c r="Y406" s="635">
        <f>IFERROR(Y402/H402,"0")+IFERROR(Y403/H403,"0")+IFERROR(Y404/H404,"0")+IFERROR(Y405/H405,"0")</f>
        <v>13</v>
      </c>
      <c r="Z406" s="635">
        <f>IFERROR(IF(Z402="",0,Z402),"0")+IFERROR(IF(Z403="",0,Z403),"0")+IFERROR(IF(Z404="",0,Z404),"0")+IFERROR(IF(Z405="",0,Z405),"0")</f>
        <v>8.4629999999999997E-2</v>
      </c>
      <c r="AA406" s="636"/>
      <c r="AB406" s="636"/>
      <c r="AC406" s="636"/>
    </row>
    <row r="407" spans="1:68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31</v>
      </c>
      <c r="Y407" s="635">
        <f>IFERROR(SUM(Y402:Y405),"0")</f>
        <v>33.15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22</v>
      </c>
      <c r="Y409" s="634">
        <f>IFERROR(IF(X409="",0,CEILING((X409/$H409),1)*$H409),"")</f>
        <v>22</v>
      </c>
      <c r="Z409" s="36">
        <f>IFERROR(IF(Y409=0,"",ROUNDUP(Y409/H409,0)*0.00474),"")</f>
        <v>5.2140000000000006E-2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24.64</v>
      </c>
      <c r="BN409" s="64">
        <f>IFERROR(Y409*I409/H409,"0")</f>
        <v>24.64</v>
      </c>
      <c r="BO409" s="64">
        <f>IFERROR(1/J409*(X409/H409),"0")</f>
        <v>4.6218487394957979E-2</v>
      </c>
      <c r="BP409" s="64">
        <f>IFERROR(1/J409*(Y409/H409),"0")</f>
        <v>4.6218487394957979E-2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22</v>
      </c>
      <c r="Y410" s="634">
        <f>IFERROR(IF(X410="",0,CEILING((X410/$H410),1)*$H410),"")</f>
        <v>22</v>
      </c>
      <c r="Z410" s="36">
        <f>IFERROR(IF(Y410=0,"",ROUNDUP(Y410/H410,0)*0.00474),"")</f>
        <v>5.2140000000000006E-2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24.64</v>
      </c>
      <c r="BN410" s="64">
        <f>IFERROR(Y410*I410/H410,"0")</f>
        <v>24.64</v>
      </c>
      <c r="BO410" s="64">
        <f>IFERROR(1/J410*(X410/H410),"0")</f>
        <v>4.6218487394957979E-2</v>
      </c>
      <c r="BP410" s="64">
        <f>IFERROR(1/J410*(Y410/H410),"0")</f>
        <v>4.6218487394957979E-2</v>
      </c>
    </row>
    <row r="411" spans="1:68" ht="27" hidden="1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0</v>
      </c>
      <c r="Y411" s="634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22</v>
      </c>
      <c r="Y412" s="635">
        <f>IFERROR(Y409/H409,"0")+IFERROR(Y410/H410,"0")+IFERROR(Y411/H411,"0")</f>
        <v>22</v>
      </c>
      <c r="Z412" s="635">
        <f>IFERROR(IF(Z409="",0,Z409),"0")+IFERROR(IF(Z410="",0,Z410),"0")+IFERROR(IF(Z411="",0,Z411),"0")</f>
        <v>0.10428000000000001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44</v>
      </c>
      <c r="Y413" s="635">
        <f>IFERROR(SUM(Y409:Y411),"0")</f>
        <v>44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hidden="1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0</v>
      </c>
      <c r="Y439" s="634">
        <f t="shared" si="61"/>
        <v>0</v>
      </c>
      <c r="Z439" s="36" t="str">
        <f>IFERROR(IF(Y439=0,"",ROUNDUP(Y439/H439,0)*0.02175),"")</f>
        <v/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0</v>
      </c>
      <c r="BN439" s="64">
        <f t="shared" si="63"/>
        <v>0</v>
      </c>
      <c r="BO439" s="64">
        <f t="shared" si="64"/>
        <v>0</v>
      </c>
      <c r="BP439" s="64">
        <f t="shared" si="65"/>
        <v>0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378</v>
      </c>
      <c r="Y440" s="634">
        <f t="shared" si="61"/>
        <v>390</v>
      </c>
      <c r="Z440" s="36">
        <f>IFERROR(IF(Y440=0,"",ROUNDUP(Y440/H440,0)*0.02175),"")</f>
        <v>0.5655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389.84399999999999</v>
      </c>
      <c r="BN440" s="64">
        <f t="shared" si="63"/>
        <v>402.22</v>
      </c>
      <c r="BO440" s="64">
        <f t="shared" si="64"/>
        <v>0.52499999999999991</v>
      </c>
      <c r="BP440" s="64">
        <f t="shared" si="65"/>
        <v>0.54166666666666663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285</v>
      </c>
      <c r="Y441" s="634">
        <f t="shared" si="61"/>
        <v>285</v>
      </c>
      <c r="Z441" s="36">
        <f>IFERROR(IF(Y441=0,"",ROUNDUP(Y441/H441,0)*0.02175),"")</f>
        <v>0.41324999999999995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293.93</v>
      </c>
      <c r="BN441" s="64">
        <f t="shared" si="63"/>
        <v>293.93</v>
      </c>
      <c r="BO441" s="64">
        <f t="shared" si="64"/>
        <v>0.39583333333333331</v>
      </c>
      <c r="BP441" s="64">
        <f t="shared" si="65"/>
        <v>0.39583333333333331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419</v>
      </c>
      <c r="Y442" s="634">
        <f t="shared" si="61"/>
        <v>420</v>
      </c>
      <c r="Z442" s="36">
        <f>IFERROR(IF(Y442=0,"",ROUNDUP(Y442/H442,0)*0.02175),"")</f>
        <v>0.60899999999999999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432.12866666666667</v>
      </c>
      <c r="BN442" s="64">
        <f t="shared" si="63"/>
        <v>433.16</v>
      </c>
      <c r="BO442" s="64">
        <f t="shared" si="64"/>
        <v>0.58194444444444438</v>
      </c>
      <c r="BP442" s="64">
        <f t="shared" si="65"/>
        <v>0.58333333333333326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72.13333333333334</v>
      </c>
      <c r="Y446" s="635">
        <f>IFERROR(Y438/H438,"0")+IFERROR(Y439/H439,"0")+IFERROR(Y440/H440,"0")+IFERROR(Y441/H441,"0")+IFERROR(Y442/H442,"0")+IFERROR(Y443/H443,"0")+IFERROR(Y444/H444,"0")+IFERROR(Y445/H445,"0")</f>
        <v>73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1.58775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1082</v>
      </c>
      <c r="Y447" s="635">
        <f>IFERROR(SUM(Y438:Y445),"0")</f>
        <v>1095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4</v>
      </c>
      <c r="Y450" s="634">
        <f>IFERROR(IF(X450="",0,CEILING((X450/$H450),1)*$H450),"")</f>
        <v>15</v>
      </c>
      <c r="Z450" s="36">
        <f>IFERROR(IF(Y450=0,"",ROUNDUP(Y450/H450,0)*0.02175),"")</f>
        <v>2.1749999999999999E-2</v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4.1253333333333337</v>
      </c>
      <c r="BN450" s="64">
        <f>IFERROR(Y450*I450/H450,"0")</f>
        <v>15.47</v>
      </c>
      <c r="BO450" s="64">
        <f>IFERROR(1/J450*(X450/H450),"0")</f>
        <v>5.5555555555555549E-3</v>
      </c>
      <c r="BP450" s="64">
        <f>IFERROR(1/J450*(Y450/H450),"0")</f>
        <v>2.0833333333333332E-2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0.26666666666666666</v>
      </c>
      <c r="Y452" s="635">
        <f>IFERROR(Y449/H449,"0")+IFERROR(Y450/H450,"0")+IFERROR(Y451/H451,"0")</f>
        <v>1</v>
      </c>
      <c r="Z452" s="635">
        <f>IFERROR(IF(Z449="",0,Z449),"0")+IFERROR(IF(Z450="",0,Z450),"0")+IFERROR(IF(Z451="",0,Z451),"0")</f>
        <v>2.1749999999999999E-2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4</v>
      </c>
      <c r="Y453" s="635">
        <f>IFERROR(SUM(Y449:Y451),"0")</f>
        <v>15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5</v>
      </c>
      <c r="Y462" s="634">
        <f>IFERROR(IF(X462="",0,CEILING((X462/$H462),1)*$H462),"")</f>
        <v>9</v>
      </c>
      <c r="Z462" s="36">
        <f>IFERROR(IF(Y462=0,"",ROUNDUP(Y462/H462,0)*0.01898),"")</f>
        <v>1.898E-2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5.2744444444444447</v>
      </c>
      <c r="BN462" s="64">
        <f>IFERROR(Y462*I462/H462,"0")</f>
        <v>9.4939999999999998</v>
      </c>
      <c r="BO462" s="64">
        <f>IFERROR(1/J462*(X462/H462),"0")</f>
        <v>8.6805555555555559E-3</v>
      </c>
      <c r="BP462" s="64">
        <f>IFERROR(1/J462*(Y462/H462),"0")</f>
        <v>1.5625E-2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0.55555555555555558</v>
      </c>
      <c r="Y463" s="635">
        <f>IFERROR(Y461/H461,"0")+IFERROR(Y462/H462,"0")</f>
        <v>1</v>
      </c>
      <c r="Z463" s="635">
        <f>IFERROR(IF(Z461="",0,Z461),"0")+IFERROR(IF(Z462="",0,Z462),"0")</f>
        <v>1.898E-2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5</v>
      </c>
      <c r="Y464" s="635">
        <f>IFERROR(SUM(Y461:Y462),"0")</f>
        <v>9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246</v>
      </c>
      <c r="Y476" s="634">
        <f>IFERROR(IF(X476="",0,CEILING((X476/$H476),1)*$H476),"")</f>
        <v>252</v>
      </c>
      <c r="Z476" s="36">
        <f>IFERROR(IF(Y476=0,"",ROUNDUP(Y476/H476,0)*0.01898),"")</f>
        <v>0.53144000000000002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259.50266666666664</v>
      </c>
      <c r="BN476" s="64">
        <f>IFERROR(Y476*I476/H476,"0")</f>
        <v>265.83199999999999</v>
      </c>
      <c r="BO476" s="64">
        <f>IFERROR(1/J476*(X476/H476),"0")</f>
        <v>0.42708333333333331</v>
      </c>
      <c r="BP476" s="64">
        <f>IFERROR(1/J476*(Y476/H476),"0")</f>
        <v>0.4375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27.333333333333332</v>
      </c>
      <c r="Y479" s="635">
        <f>IFERROR(Y476/H476,"0")+IFERROR(Y477/H477,"0")+IFERROR(Y478/H478,"0")</f>
        <v>28</v>
      </c>
      <c r="Z479" s="635">
        <f>IFERROR(IF(Z476="",0,Z476),"0")+IFERROR(IF(Z477="",0,Z477),"0")+IFERROR(IF(Z478="",0,Z478),"0")</f>
        <v>0.53144000000000002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246</v>
      </c>
      <c r="Y480" s="635">
        <f>IFERROR(SUM(Y476:Y478),"0")</f>
        <v>252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25</v>
      </c>
      <c r="Y510" s="634">
        <f t="shared" ref="Y510:Y517" si="71">IFERROR(IF(X510="",0,CEILING((X510/$H510),1)*$H510),"")</f>
        <v>26.400000000000002</v>
      </c>
      <c r="Z510" s="36">
        <f>IFERROR(IF(Y510=0,"",ROUNDUP(Y510/H510,0)*0.01196),"")</f>
        <v>5.9799999999999999E-2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26.657196969696969</v>
      </c>
      <c r="BN510" s="64">
        <f t="shared" ref="BN510:BN517" si="73">IFERROR(Y510*I510/H510,"0")</f>
        <v>28.15</v>
      </c>
      <c r="BO510" s="64">
        <f t="shared" ref="BO510:BO517" si="74">IFERROR(1/J510*(X510/H510),"0")</f>
        <v>4.5527389277389273E-2</v>
      </c>
      <c r="BP510" s="64">
        <f t="shared" ref="BP510:BP517" si="75">IFERROR(1/J510*(Y510/H510),"0")</f>
        <v>4.807692307692308E-2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38</v>
      </c>
      <c r="Y512" s="634">
        <f t="shared" si="71"/>
        <v>42.24</v>
      </c>
      <c r="Z512" s="36">
        <f>IFERROR(IF(Y512=0,"",ROUNDUP(Y512/H512,0)*0.01196),"")</f>
        <v>9.5680000000000001E-2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40.518939393939391</v>
      </c>
      <c r="BN512" s="64">
        <f t="shared" si="73"/>
        <v>45.04</v>
      </c>
      <c r="BO512" s="64">
        <f t="shared" si="74"/>
        <v>6.9201631701631697E-2</v>
      </c>
      <c r="BP512" s="64">
        <f t="shared" si="75"/>
        <v>7.6923076923076927E-2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72</v>
      </c>
      <c r="Y513" s="634">
        <f t="shared" si="71"/>
        <v>73.92</v>
      </c>
      <c r="Z513" s="36">
        <f>IFERROR(IF(Y513=0,"",ROUNDUP(Y513/H513,0)*0.01196),"")</f>
        <v>0.16744000000000001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76.772727272727266</v>
      </c>
      <c r="BN513" s="64">
        <f t="shared" si="73"/>
        <v>78.819999999999993</v>
      </c>
      <c r="BO513" s="64">
        <f t="shared" si="74"/>
        <v>0.13111888111888112</v>
      </c>
      <c r="BP513" s="64">
        <f t="shared" si="75"/>
        <v>0.13461538461538464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195</v>
      </c>
      <c r="Y514" s="634">
        <f t="shared" si="71"/>
        <v>195.36</v>
      </c>
      <c r="Z514" s="36">
        <f>IFERROR(IF(Y514=0,"",ROUNDUP(Y514/H514,0)*0.01196),"")</f>
        <v>0.44252000000000002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207.92613636363635</v>
      </c>
      <c r="BN514" s="64">
        <f t="shared" si="73"/>
        <v>208.31</v>
      </c>
      <c r="BO514" s="64">
        <f t="shared" si="74"/>
        <v>0.35511363636363635</v>
      </c>
      <c r="BP514" s="64">
        <f t="shared" si="75"/>
        <v>0.35576923076923078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62.499999999999993</v>
      </c>
      <c r="Y518" s="635">
        <f>IFERROR(Y510/H510,"0")+IFERROR(Y511/H511,"0")+IFERROR(Y512/H512,"0")+IFERROR(Y513/H513,"0")+IFERROR(Y514/H514,"0")+IFERROR(Y515/H515,"0")+IFERROR(Y516/H516,"0")+IFERROR(Y517/H517,"0")</f>
        <v>64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0.76544000000000001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330</v>
      </c>
      <c r="Y519" s="635">
        <f>IFERROR(SUM(Y510:Y517),"0")</f>
        <v>337.92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388</v>
      </c>
      <c r="Y521" s="634">
        <f>IFERROR(IF(X521="",0,CEILING((X521/$H521),1)*$H521),"")</f>
        <v>390.72</v>
      </c>
      <c r="Z521" s="36">
        <f>IFERROR(IF(Y521=0,"",ROUNDUP(Y521/H521,0)*0.01196),"")</f>
        <v>0.88504000000000005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413.71969696969694</v>
      </c>
      <c r="BN521" s="64">
        <f>IFERROR(Y521*I521/H521,"0")</f>
        <v>416.62</v>
      </c>
      <c r="BO521" s="64">
        <f>IFERROR(1/J521*(X521/H521),"0")</f>
        <v>0.7065850815850816</v>
      </c>
      <c r="BP521" s="64">
        <f>IFERROR(1/J521*(Y521/H521),"0")</f>
        <v>0.71153846153846156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64</v>
      </c>
      <c r="Y523" s="634">
        <f>IFERROR(IF(X523="",0,CEILING((X523/$H523),1)*$H523),"")</f>
        <v>67.2</v>
      </c>
      <c r="Z523" s="36">
        <f>IFERROR(IF(Y523=0,"",ROUNDUP(Y523/H523,0)*0.00902),"")</f>
        <v>0.12628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92.13333333333334</v>
      </c>
      <c r="BN523" s="64">
        <f>IFERROR(Y523*I523/H523,"0")</f>
        <v>96.740000000000009</v>
      </c>
      <c r="BO523" s="64">
        <f>IFERROR(1/J523*(X523/H523),"0")</f>
        <v>0.10101010101010102</v>
      </c>
      <c r="BP523" s="64">
        <f>IFERROR(1/J523*(Y523/H523),"0")</f>
        <v>0.10606060606060608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86.818181818181813</v>
      </c>
      <c r="Y524" s="635">
        <f>IFERROR(Y521/H521,"0")+IFERROR(Y522/H522,"0")+IFERROR(Y523/H523,"0")</f>
        <v>88</v>
      </c>
      <c r="Z524" s="635">
        <f>IFERROR(IF(Z521="",0,Z521),"0")+IFERROR(IF(Z522="",0,Z522),"0")+IFERROR(IF(Z523="",0,Z523),"0")</f>
        <v>1.01132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452</v>
      </c>
      <c r="Y525" s="635">
        <f>IFERROR(SUM(Y521:Y523),"0")</f>
        <v>457.92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40</v>
      </c>
      <c r="Y527" s="634">
        <f t="shared" ref="Y527:Y533" si="76">IFERROR(IF(X527="",0,CEILING((X527/$H527),1)*$H527),"")</f>
        <v>42.24</v>
      </c>
      <c r="Z527" s="36">
        <f>IFERROR(IF(Y527=0,"",ROUNDUP(Y527/H527,0)*0.01196),"")</f>
        <v>9.5680000000000001E-2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42.651515151515149</v>
      </c>
      <c r="BN527" s="64">
        <f t="shared" ref="BN527:BN533" si="78">IFERROR(Y527*I527/H527,"0")</f>
        <v>45.04</v>
      </c>
      <c r="BO527" s="64">
        <f t="shared" ref="BO527:BO533" si="79">IFERROR(1/J527*(X527/H527),"0")</f>
        <v>7.2843822843822847E-2</v>
      </c>
      <c r="BP527" s="64">
        <f t="shared" ref="BP527:BP533" si="80">IFERROR(1/J527*(Y527/H527),"0")</f>
        <v>7.6923076923076927E-2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190</v>
      </c>
      <c r="Y528" s="634">
        <f t="shared" si="76"/>
        <v>190.08</v>
      </c>
      <c r="Z528" s="36">
        <f>IFERROR(IF(Y528=0,"",ROUNDUP(Y528/H528,0)*0.01196),"")</f>
        <v>0.43056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202.59469696969697</v>
      </c>
      <c r="BN528" s="64">
        <f t="shared" si="78"/>
        <v>202.67999999999998</v>
      </c>
      <c r="BO528" s="64">
        <f t="shared" si="79"/>
        <v>0.34600815850815853</v>
      </c>
      <c r="BP528" s="64">
        <f t="shared" si="80"/>
        <v>0.34615384615384615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180</v>
      </c>
      <c r="Y529" s="634">
        <f t="shared" si="76"/>
        <v>184.8</v>
      </c>
      <c r="Z529" s="36">
        <f>IFERROR(IF(Y529=0,"",ROUNDUP(Y529/H529,0)*0.01196),"")</f>
        <v>0.41860000000000003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191.93181818181816</v>
      </c>
      <c r="BN529" s="64">
        <f t="shared" si="78"/>
        <v>197.04999999999998</v>
      </c>
      <c r="BO529" s="64">
        <f t="shared" si="79"/>
        <v>0.32779720279720276</v>
      </c>
      <c r="BP529" s="64">
        <f t="shared" si="80"/>
        <v>0.33653846153846156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77.651515151515156</v>
      </c>
      <c r="Y534" s="635">
        <f>IFERROR(Y527/H527,"0")+IFERROR(Y528/H528,"0")+IFERROR(Y529/H529,"0")+IFERROR(Y530/H530,"0")+IFERROR(Y531/H531,"0")+IFERROR(Y532/H532,"0")+IFERROR(Y533/H533,"0")</f>
        <v>79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0.94484000000000012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410</v>
      </c>
      <c r="Y535" s="635">
        <f>IFERROR(SUM(Y527:Y533),"0")</f>
        <v>417.12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4209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4350.8700000000008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4465.058591172532</v>
      </c>
      <c r="Y565" s="635">
        <f>IFERROR(SUM(BN22:BN561),"0")</f>
        <v>4615.9450000000015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8</v>
      </c>
      <c r="Y566" s="38">
        <f>ROUNDUP(SUM(BP22:BP561),0)</f>
        <v>8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4665.058591172532</v>
      </c>
      <c r="Y567" s="635">
        <f>GrossWeightTotalR+PalletQtyTotalR*25</f>
        <v>4815.9450000000015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758.98919480978304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787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8.8776499999999992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154.9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176.60000000000002</v>
      </c>
      <c r="F574" s="46">
        <f>IFERROR(Y89*1,"0")+IFERROR(Y90*1,"0")+IFERROR(Y91*1,"0")+IFERROR(Y92*1,"0")+IFERROR(Y93*1,"0")+IFERROR(Y94*1,"0")+IFERROR(Y98*1,"0")+IFERROR(Y99*1,"0")+IFERROR(Y100*1,"0")+IFERROR(Y101*1,"0")</f>
        <v>147.16000000000003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111.78</v>
      </c>
      <c r="H574" s="46">
        <f>IFERROR(Y135*1,"0")+IFERROR(Y136*1,"0")+IFERROR(Y140*1,"0")+IFERROR(Y141*1,"0")+IFERROR(Y145*1,"0")+IFERROR(Y146*1,"0")</f>
        <v>73.84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201.04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169.84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442.20000000000005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72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140.4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77.150000000000006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1119</v>
      </c>
      <c r="Y574" s="46">
        <f>IFERROR(Y467*1,"0")+IFERROR(Y468*1,"0")+IFERROR(Y472*1,"0")+IFERROR(Y476*1,"0")+IFERROR(Y477*1,"0")+IFERROR(Y478*1,"0")</f>
        <v>252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1212.96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27"/>
        <filter val="0,56"/>
        <filter val="1 082,00"/>
        <filter val="1,00"/>
        <filter val="1,56"/>
        <filter val="1,59"/>
        <filter val="10,10"/>
        <filter val="10,61"/>
        <filter val="10,86"/>
        <filter val="100,00"/>
        <filter val="11,00"/>
        <filter val="115,00"/>
        <filter val="12,16"/>
        <filter val="130,00"/>
        <filter val="14,00"/>
        <filter val="14,16"/>
        <filter val="15,19"/>
        <filter val="150,00"/>
        <filter val="151,00"/>
        <filter val="157,00"/>
        <filter val="16,67"/>
        <filter val="166,00"/>
        <filter val="17,00"/>
        <filter val="18,00"/>
        <filter val="180,00"/>
        <filter val="190,00"/>
        <filter val="195,00"/>
        <filter val="2,00"/>
        <filter val="20,00"/>
        <filter val="21,00"/>
        <filter val="22,00"/>
        <filter val="246,00"/>
        <filter val="25,00"/>
        <filter val="258,00"/>
        <filter val="27,33"/>
        <filter val="28,00"/>
        <filter val="285,00"/>
        <filter val="3,00"/>
        <filter val="30,00"/>
        <filter val="31,00"/>
        <filter val="330,00"/>
        <filter val="378,00"/>
        <filter val="38,00"/>
        <filter val="388,00"/>
        <filter val="4 209,00"/>
        <filter val="4 465,06"/>
        <filter val="4 665,06"/>
        <filter val="4,00"/>
        <filter val="40,00"/>
        <filter val="410,00"/>
        <filter val="419,00"/>
        <filter val="44,00"/>
        <filter val="452,00"/>
        <filter val="5,00"/>
        <filter val="50,00"/>
        <filter val="54,44"/>
        <filter val="56,43"/>
        <filter val="6,00"/>
        <filter val="6,02"/>
        <filter val="6,25"/>
        <filter val="6,29"/>
        <filter val="60,00"/>
        <filter val="61,00"/>
        <filter val="62,50"/>
        <filter val="64,00"/>
        <filter val="65,00"/>
        <filter val="69,17"/>
        <filter val="69,64"/>
        <filter val="7,00"/>
        <filter val="7,14"/>
        <filter val="70,00"/>
        <filter val="72,00"/>
        <filter val="72,13"/>
        <filter val="758,99"/>
        <filter val="76,00"/>
        <filter val="77,65"/>
        <filter val="8"/>
        <filter val="8,00"/>
        <filter val="80,00"/>
        <filter val="86,82"/>
        <filter val="9,00"/>
        <filter val="9,88"/>
        <filter val="95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