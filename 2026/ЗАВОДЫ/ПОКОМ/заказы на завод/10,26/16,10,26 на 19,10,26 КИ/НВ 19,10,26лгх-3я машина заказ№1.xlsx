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A2DCC4-3425-4AB9-B329-F8968D467FE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M555" i="1"/>
  <c r="Y555" i="1"/>
  <c r="BP555" i="1" s="1"/>
  <c r="P555" i="1"/>
  <c r="X553" i="1"/>
  <c r="X552" i="1"/>
  <c r="BO551" i="1"/>
  <c r="BM551" i="1"/>
  <c r="Y551" i="1"/>
  <c r="Y553" i="1" s="1"/>
  <c r="P551" i="1"/>
  <c r="X549" i="1"/>
  <c r="X548" i="1"/>
  <c r="BO547" i="1"/>
  <c r="BM547" i="1"/>
  <c r="Y547" i="1"/>
  <c r="Y549" i="1" s="1"/>
  <c r="P547" i="1"/>
  <c r="X545" i="1"/>
  <c r="X544" i="1"/>
  <c r="BO543" i="1"/>
  <c r="BM543" i="1"/>
  <c r="Y543" i="1"/>
  <c r="Y545" i="1" s="1"/>
  <c r="P543" i="1"/>
  <c r="X541" i="1"/>
  <c r="X540" i="1"/>
  <c r="BO539" i="1"/>
  <c r="BM539" i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M527" i="1"/>
  <c r="Y527" i="1"/>
  <c r="BP527" i="1" s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N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O503" i="1"/>
  <c r="BM503" i="1"/>
  <c r="Y503" i="1"/>
  <c r="BN503" i="1" s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O476" i="1"/>
  <c r="BM476" i="1"/>
  <c r="Y476" i="1"/>
  <c r="BP476" i="1" s="1"/>
  <c r="P476" i="1"/>
  <c r="X474" i="1"/>
  <c r="X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9" i="1"/>
  <c r="X458" i="1"/>
  <c r="BO457" i="1"/>
  <c r="BM457" i="1"/>
  <c r="Y457" i="1"/>
  <c r="BN457" i="1" s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M451" i="1"/>
  <c r="Z451" i="1"/>
  <c r="Y451" i="1"/>
  <c r="BN451" i="1" s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BP445" i="1" s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O431" i="1"/>
  <c r="BM431" i="1"/>
  <c r="Y431" i="1"/>
  <c r="BP431" i="1" s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O415" i="1"/>
  <c r="BM415" i="1"/>
  <c r="Y415" i="1"/>
  <c r="BN415" i="1" s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O405" i="1"/>
  <c r="BM405" i="1"/>
  <c r="Y405" i="1"/>
  <c r="BP405" i="1" s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BN389" i="1" s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N379" i="1" s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BN369" i="1" s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P357" i="1"/>
  <c r="BO357" i="1"/>
  <c r="BN357" i="1"/>
  <c r="BM357" i="1"/>
  <c r="Z357" i="1"/>
  <c r="Z358" i="1" s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S574" i="1" s="1"/>
  <c r="P353" i="1"/>
  <c r="X350" i="1"/>
  <c r="X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BN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Z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BN313" i="1" s="1"/>
  <c r="P313" i="1"/>
  <c r="X311" i="1"/>
  <c r="X310" i="1"/>
  <c r="BO309" i="1"/>
  <c r="BM309" i="1"/>
  <c r="Y309" i="1"/>
  <c r="Y311" i="1" s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O295" i="1"/>
  <c r="BM295" i="1"/>
  <c r="Y295" i="1"/>
  <c r="BN295" i="1" s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1" i="1"/>
  <c r="X250" i="1"/>
  <c r="BO249" i="1"/>
  <c r="BM249" i="1"/>
  <c r="Y249" i="1"/>
  <c r="Y251" i="1" s="1"/>
  <c r="P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O239" i="1"/>
  <c r="BM239" i="1"/>
  <c r="Y239" i="1"/>
  <c r="BN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N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N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O166" i="1"/>
  <c r="BM166" i="1"/>
  <c r="Y166" i="1"/>
  <c r="BN166" i="1" s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O146" i="1"/>
  <c r="BM146" i="1"/>
  <c r="Y146" i="1"/>
  <c r="BN146" i="1" s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N117" i="1"/>
  <c r="BM117" i="1"/>
  <c r="Z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N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M100" i="1"/>
  <c r="Z100" i="1"/>
  <c r="Y100" i="1"/>
  <c r="BN100" i="1" s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M94" i="1"/>
  <c r="Z94" i="1"/>
  <c r="Y94" i="1"/>
  <c r="BN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M90" i="1"/>
  <c r="Z90" i="1"/>
  <c r="Y90" i="1"/>
  <c r="BN90" i="1" s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N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M30" i="1"/>
  <c r="Z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BN52" i="1"/>
  <c r="BN63" i="1"/>
  <c r="Z77" i="1"/>
  <c r="BP77" i="1"/>
  <c r="Z109" i="1"/>
  <c r="BP109" i="1"/>
  <c r="BN123" i="1"/>
  <c r="Z146" i="1"/>
  <c r="BP146" i="1"/>
  <c r="Z166" i="1"/>
  <c r="BP166" i="1"/>
  <c r="BN180" i="1"/>
  <c r="Z204" i="1"/>
  <c r="BP204" i="1"/>
  <c r="BN221" i="1"/>
  <c r="Z229" i="1"/>
  <c r="BP229" i="1"/>
  <c r="Z239" i="1"/>
  <c r="BP239" i="1"/>
  <c r="BN249" i="1"/>
  <c r="Y250" i="1"/>
  <c r="Z254" i="1"/>
  <c r="BP254" i="1"/>
  <c r="BN268" i="1"/>
  <c r="BN280" i="1"/>
  <c r="Z295" i="1"/>
  <c r="BP295" i="1"/>
  <c r="Z305" i="1"/>
  <c r="Z306" i="1" s="1"/>
  <c r="BP305" i="1"/>
  <c r="BN309" i="1"/>
  <c r="Y310" i="1"/>
  <c r="Z313" i="1"/>
  <c r="BP313" i="1"/>
  <c r="Z333" i="1"/>
  <c r="BP333" i="1"/>
  <c r="BN348" i="1"/>
  <c r="Z369" i="1"/>
  <c r="BP369" i="1"/>
  <c r="Z379" i="1"/>
  <c r="BP379" i="1"/>
  <c r="Z389" i="1"/>
  <c r="BP389" i="1"/>
  <c r="BN405" i="1"/>
  <c r="Z415" i="1"/>
  <c r="BP415" i="1"/>
  <c r="BN431" i="1"/>
  <c r="BN445" i="1"/>
  <c r="Z457" i="1"/>
  <c r="BP457" i="1"/>
  <c r="Z472" i="1"/>
  <c r="Z473" i="1" s="1"/>
  <c r="BP472" i="1"/>
  <c r="BN476" i="1"/>
  <c r="Z503" i="1"/>
  <c r="BP503" i="1"/>
  <c r="Z517" i="1"/>
  <c r="BP517" i="1"/>
  <c r="BN527" i="1"/>
  <c r="BN539" i="1"/>
  <c r="Y540" i="1"/>
  <c r="Z543" i="1"/>
  <c r="Z544" i="1" s="1"/>
  <c r="BP543" i="1"/>
  <c r="BN547" i="1"/>
  <c r="Y548" i="1"/>
  <c r="Z551" i="1"/>
  <c r="Z552" i="1" s="1"/>
  <c r="BP551" i="1"/>
  <c r="BN555" i="1"/>
  <c r="F10" i="1"/>
  <c r="Z42" i="1"/>
  <c r="Z52" i="1"/>
  <c r="Z63" i="1"/>
  <c r="Z123" i="1"/>
  <c r="Z180" i="1"/>
  <c r="Z221" i="1"/>
  <c r="Z249" i="1"/>
  <c r="Z250" i="1" s="1"/>
  <c r="BP249" i="1"/>
  <c r="Z268" i="1"/>
  <c r="Z280" i="1"/>
  <c r="BN305" i="1"/>
  <c r="Y306" i="1"/>
  <c r="Z309" i="1"/>
  <c r="Z310" i="1" s="1"/>
  <c r="BP309" i="1"/>
  <c r="Z348" i="1"/>
  <c r="Z405" i="1"/>
  <c r="Z431" i="1"/>
  <c r="Z445" i="1"/>
  <c r="BN472" i="1"/>
  <c r="Y473" i="1"/>
  <c r="Z476" i="1"/>
  <c r="Z527" i="1"/>
  <c r="Z539" i="1"/>
  <c r="Z540" i="1" s="1"/>
  <c r="BP539" i="1"/>
  <c r="BN543" i="1"/>
  <c r="Y544" i="1"/>
  <c r="Z547" i="1"/>
  <c r="Z548" i="1" s="1"/>
  <c r="BP547" i="1"/>
  <c r="BN551" i="1"/>
  <c r="Y552" i="1"/>
  <c r="Z555" i="1"/>
  <c r="Y246" i="1"/>
  <c r="BP326" i="1"/>
  <c r="BN326" i="1"/>
  <c r="Z326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31" i="1"/>
  <c r="Y37" i="1"/>
  <c r="Y47" i="1"/>
  <c r="Y55" i="1"/>
  <c r="Y68" i="1"/>
  <c r="Y74" i="1"/>
  <c r="Y80" i="1"/>
  <c r="Y86" i="1"/>
  <c r="Y95" i="1"/>
  <c r="Y103" i="1"/>
  <c r="Y114" i="1"/>
  <c r="Y120" i="1"/>
  <c r="Y128" i="1"/>
  <c r="Y132" i="1"/>
  <c r="Y137" i="1"/>
  <c r="Y143" i="1"/>
  <c r="Y148" i="1"/>
  <c r="BP145" i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H9" i="1"/>
  <c r="B574" i="1"/>
  <c r="X565" i="1"/>
  <c r="X566" i="1"/>
  <c r="X568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Y147" i="1"/>
  <c r="BP152" i="1"/>
  <c r="BN152" i="1"/>
  <c r="Z152" i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Y343" i="1"/>
  <c r="BP347" i="1"/>
  <c r="BN347" i="1"/>
  <c r="Z347" i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Z393" i="1" s="1"/>
  <c r="BP398" i="1"/>
  <c r="BN398" i="1"/>
  <c r="Z398" i="1"/>
  <c r="Y407" i="1"/>
  <c r="BP402" i="1"/>
  <c r="BN402" i="1"/>
  <c r="Z402" i="1"/>
  <c r="Y406" i="1"/>
  <c r="BP410" i="1"/>
  <c r="BN410" i="1"/>
  <c r="Z410" i="1"/>
  <c r="Z412" i="1" s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Z524" i="1" s="1"/>
  <c r="Y535" i="1"/>
  <c r="BP530" i="1"/>
  <c r="BN530" i="1"/>
  <c r="Z530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376" i="1" l="1"/>
  <c r="Z113" i="1"/>
  <c r="Z95" i="1"/>
  <c r="Z74" i="1"/>
  <c r="Z55" i="1"/>
  <c r="Z46" i="1"/>
  <c r="Z349" i="1"/>
  <c r="Z418" i="1"/>
  <c r="Z534" i="1"/>
  <c r="Z406" i="1"/>
  <c r="Z120" i="1"/>
  <c r="Z272" i="1"/>
  <c r="Z102" i="1"/>
  <c r="Y566" i="1"/>
  <c r="Z31" i="1"/>
  <c r="Z386" i="1"/>
  <c r="Y568" i="1"/>
  <c r="Z518" i="1"/>
  <c r="Z433" i="1"/>
  <c r="Z490" i="1"/>
  <c r="Z343" i="1"/>
  <c r="Z302" i="1"/>
  <c r="Z365" i="1"/>
  <c r="Z291" i="1"/>
  <c r="Z155" i="1"/>
  <c r="Z127" i="1"/>
  <c r="Z67" i="1"/>
  <c r="Y565" i="1"/>
  <c r="Y567" i="1" s="1"/>
  <c r="Z317" i="1"/>
  <c r="Z261" i="1"/>
  <c r="Z426" i="1"/>
  <c r="Z505" i="1"/>
  <c r="Z328" i="1"/>
  <c r="Z286" i="1"/>
  <c r="Z399" i="1"/>
  <c r="Z210" i="1"/>
  <c r="Z85" i="1"/>
  <c r="Y564" i="1"/>
  <c r="Z335" i="1"/>
  <c r="Z185" i="1"/>
  <c r="Z446" i="1"/>
  <c r="X567" i="1"/>
  <c r="Z232" i="1"/>
  <c r="Z167" i="1"/>
  <c r="Z569" i="1" l="1"/>
</calcChain>
</file>

<file path=xl/sharedStrings.xml><?xml version="1.0" encoding="utf-8"?>
<sst xmlns="http://schemas.openxmlformats.org/spreadsheetml/2006/main" count="2538" uniqueCount="917">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</sst>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30" t="s">
        <v>0</v>
      </c>
      <c r="E1" s="673"/>
      <c r="F1" s="673"/>
      <c r="G1" s="12" t="s">
        <v>1</v>
      </c>
      <c r="H1" s="730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6" t="s">
        <v>8</v>
      </c>
      <c r="B5" s="699"/>
      <c r="C5" s="700"/>
      <c r="D5" s="736"/>
      <c r="E5" s="737"/>
      <c r="F5" s="965" t="s">
        <v>9</v>
      </c>
      <c r="G5" s="700"/>
      <c r="H5" s="736" t="s">
        <v>916</v>
      </c>
      <c r="I5" s="889"/>
      <c r="J5" s="889"/>
      <c r="K5" s="889"/>
      <c r="L5" s="889"/>
      <c r="M5" s="737"/>
      <c r="N5" s="58"/>
      <c r="P5" s="24" t="s">
        <v>10</v>
      </c>
      <c r="Q5" s="975">
        <v>46314</v>
      </c>
      <c r="R5" s="660"/>
      <c r="T5" s="817" t="s">
        <v>11</v>
      </c>
      <c r="U5" s="806"/>
      <c r="V5" s="818" t="s">
        <v>12</v>
      </c>
      <c r="W5" s="660"/>
      <c r="AB5" s="51"/>
      <c r="AC5" s="51"/>
      <c r="AD5" s="51"/>
      <c r="AE5" s="51"/>
    </row>
    <row r="6" spans="1:32" s="627" customFormat="1" ht="24" customHeight="1" x14ac:dyDescent="0.2">
      <c r="A6" s="766" t="s">
        <v>13</v>
      </c>
      <c r="B6" s="699"/>
      <c r="C6" s="700"/>
      <c r="D6" s="894" t="s">
        <v>889</v>
      </c>
      <c r="E6" s="895"/>
      <c r="F6" s="895"/>
      <c r="G6" s="895"/>
      <c r="H6" s="895"/>
      <c r="I6" s="895"/>
      <c r="J6" s="895"/>
      <c r="K6" s="895"/>
      <c r="L6" s="895"/>
      <c r="M6" s="660"/>
      <c r="N6" s="59"/>
      <c r="P6" s="24" t="s">
        <v>14</v>
      </c>
      <c r="Q6" s="983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25" t="s">
        <v>15</v>
      </c>
      <c r="U6" s="806"/>
      <c r="V6" s="876" t="s">
        <v>16</v>
      </c>
      <c r="W6" s="693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709" t="str">
        <f>IFERROR(VLOOKUP(DeliveryAddress,Table,3,0),1)</f>
        <v>6</v>
      </c>
      <c r="E7" s="710"/>
      <c r="F7" s="710"/>
      <c r="G7" s="710"/>
      <c r="H7" s="710"/>
      <c r="I7" s="710"/>
      <c r="J7" s="710"/>
      <c r="K7" s="710"/>
      <c r="L7" s="710"/>
      <c r="M7" s="711"/>
      <c r="N7" s="60"/>
      <c r="P7" s="24"/>
      <c r="Q7" s="42"/>
      <c r="R7" s="42"/>
      <c r="T7" s="645"/>
      <c r="U7" s="806"/>
      <c r="V7" s="877"/>
      <c r="W7" s="878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52"/>
      <c r="C8" s="653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74">
        <v>0.45833333333333331</v>
      </c>
      <c r="R8" s="711"/>
      <c r="T8" s="645"/>
      <c r="U8" s="806"/>
      <c r="V8" s="877"/>
      <c r="W8" s="878"/>
      <c r="AB8" s="51"/>
      <c r="AC8" s="51"/>
      <c r="AD8" s="51"/>
      <c r="AE8" s="51"/>
    </row>
    <row r="9" spans="1:32" s="627" customFormat="1" ht="39.950000000000003" customHeight="1" x14ac:dyDescent="0.2">
      <c r="A9" s="7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90"/>
      <c r="E9" s="650"/>
      <c r="F9" s="7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657"/>
      <c r="R9" s="658"/>
      <c r="T9" s="645"/>
      <c r="U9" s="806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90"/>
      <c r="E10" s="650"/>
      <c r="F10" s="7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65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26"/>
      <c r="R10" s="827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659"/>
      <c r="R11" s="660"/>
      <c r="U11" s="24" t="s">
        <v>25</v>
      </c>
      <c r="V11" s="922" t="s">
        <v>26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12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74"/>
      <c r="R12" s="711"/>
      <c r="S12" s="23"/>
      <c r="U12" s="24"/>
      <c r="V12" s="673"/>
      <c r="W12" s="645"/>
      <c r="AB12" s="51"/>
      <c r="AC12" s="51"/>
      <c r="AD12" s="51"/>
      <c r="AE12" s="51"/>
    </row>
    <row r="13" spans="1:32" s="627" customFormat="1" ht="23.25" customHeight="1" x14ac:dyDescent="0.2">
      <c r="A13" s="812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2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12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6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2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5" t="s">
        <v>34</v>
      </c>
      <c r="B17" s="655" t="s">
        <v>35</v>
      </c>
      <c r="C17" s="787" t="s">
        <v>36</v>
      </c>
      <c r="D17" s="655" t="s">
        <v>37</v>
      </c>
      <c r="E17" s="749"/>
      <c r="F17" s="655" t="s">
        <v>38</v>
      </c>
      <c r="G17" s="655" t="s">
        <v>39</v>
      </c>
      <c r="H17" s="655" t="s">
        <v>40</v>
      </c>
      <c r="I17" s="655" t="s">
        <v>41</v>
      </c>
      <c r="J17" s="655" t="s">
        <v>42</v>
      </c>
      <c r="K17" s="655" t="s">
        <v>43</v>
      </c>
      <c r="L17" s="655" t="s">
        <v>44</v>
      </c>
      <c r="M17" s="655" t="s">
        <v>45</v>
      </c>
      <c r="N17" s="655" t="s">
        <v>46</v>
      </c>
      <c r="O17" s="655" t="s">
        <v>47</v>
      </c>
      <c r="P17" s="655" t="s">
        <v>48</v>
      </c>
      <c r="Q17" s="748"/>
      <c r="R17" s="748"/>
      <c r="S17" s="748"/>
      <c r="T17" s="749"/>
      <c r="U17" s="988" t="s">
        <v>49</v>
      </c>
      <c r="V17" s="700"/>
      <c r="W17" s="655" t="s">
        <v>50</v>
      </c>
      <c r="X17" s="655" t="s">
        <v>51</v>
      </c>
      <c r="Y17" s="991" t="s">
        <v>52</v>
      </c>
      <c r="Z17" s="887" t="s">
        <v>53</v>
      </c>
      <c r="AA17" s="863" t="s">
        <v>54</v>
      </c>
      <c r="AB17" s="863" t="s">
        <v>55</v>
      </c>
      <c r="AC17" s="863" t="s">
        <v>56</v>
      </c>
      <c r="AD17" s="86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56"/>
      <c r="B18" s="656"/>
      <c r="C18" s="656"/>
      <c r="D18" s="750"/>
      <c r="E18" s="752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56"/>
      <c r="X18" s="656"/>
      <c r="Y18" s="992"/>
      <c r="Z18" s="888"/>
      <c r="AA18" s="864"/>
      <c r="AB18" s="864"/>
      <c r="AC18" s="864"/>
      <c r="AD18" s="962"/>
      <c r="AE18" s="963"/>
      <c r="AF18" s="964"/>
      <c r="AG18" s="66"/>
      <c r="BD18" s="65"/>
    </row>
    <row r="19" spans="1:68" ht="27.75" hidden="1" customHeight="1" x14ac:dyDescent="0.2">
      <c r="A19" s="685" t="s">
        <v>61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6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20</v>
      </c>
      <c r="Y28" s="634">
        <f>IFERROR(IF(X28="",0,CEILING((X28/$H28),1)*$H28),"")</f>
        <v>21.6</v>
      </c>
      <c r="Z28" s="36">
        <f>IFERROR(IF(Y28=0,"",ROUNDUP(Y28/H28,0)*0.00651),"")</f>
        <v>7.8119999999999995E-2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35.333333333333336</v>
      </c>
      <c r="BN28" s="64">
        <f>IFERROR(Y28*I28/H28,"0")</f>
        <v>38.160000000000004</v>
      </c>
      <c r="BO28" s="64">
        <f>IFERROR(1/J28*(X28/H28),"0")</f>
        <v>6.1050061050061055E-2</v>
      </c>
      <c r="BP28" s="64">
        <f>IFERROR(1/J28*(Y28/H28),"0")</f>
        <v>6.5934065934065936E-2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14</v>
      </c>
      <c r="Y29" s="634">
        <f>IFERROR(IF(X29="",0,CEILING((X29/$H29),1)*$H29),"")</f>
        <v>14.4</v>
      </c>
      <c r="Z29" s="36">
        <f>IFERROR(IF(Y29=0,"",ROUNDUP(Y29/H29,0)*0.00651),"")</f>
        <v>5.2080000000000001E-2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24.733333333333334</v>
      </c>
      <c r="BN29" s="64">
        <f>IFERROR(Y29*I29/H29,"0")</f>
        <v>25.44</v>
      </c>
      <c r="BO29" s="64">
        <f>IFERROR(1/J29*(X29/H29),"0")</f>
        <v>4.2735042735042736E-2</v>
      </c>
      <c r="BP29" s="64">
        <f>IFERROR(1/J29*(Y29/H29),"0")</f>
        <v>4.3956043956043959E-2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18.888888888888889</v>
      </c>
      <c r="Y31" s="635">
        <f>IFERROR(Y26/H26,"0")+IFERROR(Y27/H27,"0")+IFERROR(Y28/H28,"0")+IFERROR(Y29/H29,"0")+IFERROR(Y30/H30,"0")</f>
        <v>20</v>
      </c>
      <c r="Z31" s="635">
        <f>IFERROR(IF(Z26="",0,Z26),"0")+IFERROR(IF(Z27="",0,Z27),"0")+IFERROR(IF(Z28="",0,Z28),"0")+IFERROR(IF(Z29="",0,Z29),"0")+IFERROR(IF(Z30="",0,Z30),"0")</f>
        <v>0.13019999999999998</v>
      </c>
      <c r="AA31" s="636"/>
      <c r="AB31" s="636"/>
      <c r="AC31" s="636"/>
    </row>
    <row r="32" spans="1:68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34</v>
      </c>
      <c r="Y32" s="635">
        <f>IFERROR(SUM(Y26:Y30),"0")</f>
        <v>36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873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85" t="s">
        <v>100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86"/>
      <c r="W38" s="686"/>
      <c r="X38" s="686"/>
      <c r="Y38" s="686"/>
      <c r="Z38" s="686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85" t="s">
        <v>117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540</v>
      </c>
      <c r="Y51" s="634">
        <f>IFERROR(IF(X51="",0,CEILING((X51/$H51),1)*$H51),"")</f>
        <v>540</v>
      </c>
      <c r="Z51" s="36">
        <f>IFERROR(IF(Y51=0,"",ROUNDUP(Y51/H51,0)*0.01898),"")</f>
        <v>0.94900000000000007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560.5</v>
      </c>
      <c r="BN51" s="64">
        <f>IFERROR(Y51*I51/H51,"0")</f>
        <v>560.5</v>
      </c>
      <c r="BO51" s="64">
        <f>IFERROR(1/J51*(X51/H51),"0")</f>
        <v>0.78125</v>
      </c>
      <c r="BP51" s="64">
        <f>IFERROR(1/J51*(Y51/H51),"0")</f>
        <v>0.78125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7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21</v>
      </c>
      <c r="Y54" s="634">
        <f>IFERROR(IF(X54="",0,CEILING((X54/$H54),1)*$H54),"")</f>
        <v>22.200000000000003</v>
      </c>
      <c r="Z54" s="36">
        <f>IFERROR(IF(Y54=0,"",ROUNDUP(Y54/H54,0)*0.00902),"")</f>
        <v>5.4120000000000001E-2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22.078378378378378</v>
      </c>
      <c r="BN54" s="64">
        <f>IFERROR(Y54*I54/H54,"0")</f>
        <v>23.340000000000003</v>
      </c>
      <c r="BO54" s="64">
        <f>IFERROR(1/J54*(X54/H54),"0")</f>
        <v>4.2997542997542999E-2</v>
      </c>
      <c r="BP54" s="64">
        <f>IFERROR(1/J54*(Y54/H54),"0")</f>
        <v>4.5454545454545463E-2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55.675675675675677</v>
      </c>
      <c r="Y55" s="635">
        <f>IFERROR(Y51/H51,"0")+IFERROR(Y52/H52,"0")+IFERROR(Y53/H53,"0")+IFERROR(Y54/H54,"0")</f>
        <v>56</v>
      </c>
      <c r="Z55" s="635">
        <f>IFERROR(IF(Z51="",0,Z51),"0")+IFERROR(IF(Z52="",0,Z52),"0")+IFERROR(IF(Z53="",0,Z53),"0")+IFERROR(IF(Z54="",0,Z54),"0")</f>
        <v>1.00312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561</v>
      </c>
      <c r="Y56" s="635">
        <f>IFERROR(SUM(Y51:Y54),"0")</f>
        <v>562.20000000000005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0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96</v>
      </c>
      <c r="Y59" s="634">
        <f t="shared" ref="Y59:Y66" si="0">IFERROR(IF(X59="",0,CEILING((X59/$H59),1)*$H59),"")</f>
        <v>100.8</v>
      </c>
      <c r="Z59" s="36">
        <f>IFERROR(IF(Y59=0,"",ROUNDUP(Y59/H59,0)*0.01898),"")</f>
        <v>0.17082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99.51428571428572</v>
      </c>
      <c r="BN59" s="64">
        <f t="shared" ref="BN59:BN66" si="2">IFERROR(Y59*I59/H59,"0")</f>
        <v>104.49000000000001</v>
      </c>
      <c r="BO59" s="64">
        <f t="shared" ref="BO59:BO66" si="3">IFERROR(1/J59*(X59/H59),"0")</f>
        <v>0.13392857142857142</v>
      </c>
      <c r="BP59" s="64">
        <f t="shared" ref="BP59:BP66" si="4">IFERROR(1/J59*(Y59/H59),"0")</f>
        <v>0.140625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379</v>
      </c>
      <c r="Y60" s="634">
        <f t="shared" si="0"/>
        <v>388.8</v>
      </c>
      <c r="Z60" s="36">
        <f>IFERROR(IF(Y60=0,"",ROUNDUP(Y60/H60,0)*0.01898),"")</f>
        <v>0.68328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393.38796296296294</v>
      </c>
      <c r="BN60" s="64">
        <f t="shared" si="2"/>
        <v>403.56</v>
      </c>
      <c r="BO60" s="64">
        <f t="shared" si="3"/>
        <v>0.54832175925925919</v>
      </c>
      <c r="BP60" s="64">
        <f t="shared" si="4"/>
        <v>0.5625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1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5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29</v>
      </c>
      <c r="Y63" s="634">
        <f t="shared" si="0"/>
        <v>32</v>
      </c>
      <c r="Z63" s="36">
        <f>IFERROR(IF(Y63=0,"",ROUNDUP(Y63/H63,0)*0.00902),"")</f>
        <v>7.2160000000000002E-2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30.377500000000001</v>
      </c>
      <c r="BN63" s="64">
        <f t="shared" si="2"/>
        <v>33.520000000000003</v>
      </c>
      <c r="BO63" s="64">
        <f t="shared" si="3"/>
        <v>5.4924242424242424E-2</v>
      </c>
      <c r="BP63" s="64">
        <f t="shared" si="4"/>
        <v>6.0606060606060608E-2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23</v>
      </c>
      <c r="Y66" s="634">
        <f t="shared" si="0"/>
        <v>27</v>
      </c>
      <c r="Z66" s="36">
        <f>IFERROR(IF(Y66=0,"",ROUNDUP(Y66/H66,0)*0.00902),"")</f>
        <v>5.4120000000000001E-2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23.971111111111114</v>
      </c>
      <c r="BN66" s="64">
        <f t="shared" si="2"/>
        <v>28.14</v>
      </c>
      <c r="BO66" s="64">
        <f t="shared" si="3"/>
        <v>3.8720538720538718E-2</v>
      </c>
      <c r="BP66" s="64">
        <f t="shared" si="4"/>
        <v>4.5454545454545456E-2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56.025132275132265</v>
      </c>
      <c r="Y67" s="635">
        <f>IFERROR(Y59/H59,"0")+IFERROR(Y60/H60,"0")+IFERROR(Y61/H61,"0")+IFERROR(Y62/H62,"0")+IFERROR(Y63/H63,"0")+IFERROR(Y64/H64,"0")+IFERROR(Y65/H65,"0")+IFERROR(Y66/H66,"0")</f>
        <v>59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0.98038000000000003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527</v>
      </c>
      <c r="Y68" s="635">
        <f>IFERROR(SUM(Y59:Y66),"0")</f>
        <v>548.6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49</v>
      </c>
      <c r="Y70" s="634">
        <f>IFERROR(IF(X70="",0,CEILING((X70/$H70),1)*$H70),"")</f>
        <v>54</v>
      </c>
      <c r="Z70" s="36">
        <f>IFERROR(IF(Y70=0,"",ROUNDUP(Y70/H70,0)*0.01898),"")</f>
        <v>9.4899999999999998E-2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50.860185185185188</v>
      </c>
      <c r="BN70" s="64">
        <f>IFERROR(Y70*I70/H70,"0")</f>
        <v>56.05</v>
      </c>
      <c r="BO70" s="64">
        <f>IFERROR(1/J70*(X70/H70),"0")</f>
        <v>7.0891203703703692E-2</v>
      </c>
      <c r="BP70" s="64">
        <f>IFERROR(1/J70*(Y70/H70),"0")</f>
        <v>7.8125E-2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4.5370370370370363</v>
      </c>
      <c r="Y74" s="635">
        <f>IFERROR(Y70/H70,"0")+IFERROR(Y71/H71,"0")+IFERROR(Y72/H72,"0")+IFERROR(Y73/H73,"0")</f>
        <v>5</v>
      </c>
      <c r="Z74" s="635">
        <f>IFERROR(IF(Z70="",0,Z70),"0")+IFERROR(IF(Z71="",0,Z71),"0")+IFERROR(IF(Z72="",0,Z72),"0")+IFERROR(IF(Z73="",0,Z73),"0")</f>
        <v>9.4899999999999998E-2</v>
      </c>
      <c r="AA74" s="636"/>
      <c r="AB74" s="636"/>
      <c r="AC74" s="636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49</v>
      </c>
      <c r="Y75" s="635">
        <f>IFERROR(SUM(Y70:Y73),"0")</f>
        <v>54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89</v>
      </c>
      <c r="Y82" s="634">
        <f>IFERROR(IF(X82="",0,CEILING((X82/$H82),1)*$H82),"")</f>
        <v>93.6</v>
      </c>
      <c r="Z82" s="36">
        <f>IFERROR(IF(Y82=0,"",ROUNDUP(Y82/H82,0)*0.01898),"")</f>
        <v>0.22776000000000002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93.678205128205136</v>
      </c>
      <c r="BN82" s="64">
        <f>IFERROR(Y82*I82/H82,"0")</f>
        <v>98.52000000000001</v>
      </c>
      <c r="BO82" s="64">
        <f>IFERROR(1/J82*(X82/H82),"0")</f>
        <v>0.17828525641025642</v>
      </c>
      <c r="BP82" s="64">
        <f>IFERROR(1/J82*(Y82/H82),"0")</f>
        <v>0.1875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11.410256410256411</v>
      </c>
      <c r="Y85" s="635">
        <f>IFERROR(Y82/H82,"0")+IFERROR(Y83/H83,"0")+IFERROR(Y84/H84,"0")</f>
        <v>12</v>
      </c>
      <c r="Z85" s="635">
        <f>IFERROR(IF(Z82="",0,Z82),"0")+IFERROR(IF(Z83="",0,Z83),"0")+IFERROR(IF(Z84="",0,Z84),"0")</f>
        <v>0.22776000000000002</v>
      </c>
      <c r="AA85" s="636"/>
      <c r="AB85" s="636"/>
      <c r="AC85" s="636"/>
    </row>
    <row r="86" spans="1:68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89</v>
      </c>
      <c r="Y86" s="635">
        <f>IFERROR(SUM(Y82:Y84),"0")</f>
        <v>93.6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109</v>
      </c>
      <c r="Y89" s="634">
        <f t="shared" ref="Y89:Y94" si="5">IFERROR(IF(X89="",0,CEILING((X89/$H89),1)*$H89),"")</f>
        <v>118.80000000000001</v>
      </c>
      <c r="Z89" s="36">
        <f>IFERROR(IF(Y89=0,"",ROUNDUP(Y89/H89,0)*0.01898),"")</f>
        <v>0.20877999999999999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113.13796296296296</v>
      </c>
      <c r="BN89" s="64">
        <f t="shared" ref="BN89:BN94" si="7">IFERROR(Y89*I89/H89,"0")</f>
        <v>123.31000000000002</v>
      </c>
      <c r="BO89" s="64">
        <f t="shared" ref="BO89:BO94" si="8">IFERROR(1/J89*(X89/H89),"0")</f>
        <v>0.15769675925925924</v>
      </c>
      <c r="BP89" s="64">
        <f t="shared" ref="BP89:BP94" si="9">IFERROR(1/J89*(Y89/H89),"0")</f>
        <v>0.171875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39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5</v>
      </c>
      <c r="Y91" s="634">
        <f t="shared" si="5"/>
        <v>5.44</v>
      </c>
      <c r="Z91" s="36">
        <f>IFERROR(IF(Y91=0,"",ROUNDUP(Y91/H91,0)*0.00726),"")</f>
        <v>2.904E-2</v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5.6617647058823524</v>
      </c>
      <c r="BN91" s="64">
        <f t="shared" si="7"/>
        <v>6.16</v>
      </c>
      <c r="BO91" s="64">
        <f t="shared" si="8"/>
        <v>1.9148284313725488E-2</v>
      </c>
      <c r="BP91" s="64">
        <f t="shared" si="9"/>
        <v>2.0833333333333332E-2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55</v>
      </c>
      <c r="Y94" s="634">
        <f t="shared" si="5"/>
        <v>58.5</v>
      </c>
      <c r="Z94" s="36">
        <f>IFERROR(IF(Y94=0,"",ROUNDUP(Y94/H94,0)*0.00902),"")</f>
        <v>0.11726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57.32222222222223</v>
      </c>
      <c r="BN94" s="64">
        <f t="shared" si="7"/>
        <v>60.97</v>
      </c>
      <c r="BO94" s="64">
        <f t="shared" si="8"/>
        <v>9.2592592592592587E-2</v>
      </c>
      <c r="BP94" s="64">
        <f t="shared" si="9"/>
        <v>9.8484848484848481E-2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25.991285403050107</v>
      </c>
      <c r="Y95" s="635">
        <f>IFERROR(Y89/H89,"0")+IFERROR(Y90/H90,"0")+IFERROR(Y91/H91,"0")+IFERROR(Y92/H92,"0")+IFERROR(Y93/H93,"0")+IFERROR(Y94/H94,"0")</f>
        <v>28</v>
      </c>
      <c r="Z95" s="635">
        <f>IFERROR(IF(Z89="",0,Z89),"0")+IFERROR(IF(Z90="",0,Z90),"0")+IFERROR(IF(Z91="",0,Z91),"0")+IFERROR(IF(Z92="",0,Z92),"0")+IFERROR(IF(Z93="",0,Z93),"0")+IFERROR(IF(Z94="",0,Z94),"0")</f>
        <v>0.35508000000000001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169</v>
      </c>
      <c r="Y96" s="635">
        <f>IFERROR(SUM(Y89:Y94),"0")</f>
        <v>182.74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293</v>
      </c>
      <c r="Y98" s="634">
        <f>IFERROR(IF(X98="",0,CEILING((X98/$H98),1)*$H98),"")</f>
        <v>299.7</v>
      </c>
      <c r="Z98" s="36">
        <f>IFERROR(IF(Y98=0,"",ROUNDUP(Y98/H98,0)*0.01898),"")</f>
        <v>0.70226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310.86938271604936</v>
      </c>
      <c r="BN98" s="64">
        <f>IFERROR(Y98*I98/H98,"0")</f>
        <v>317.97800000000001</v>
      </c>
      <c r="BO98" s="64">
        <f>IFERROR(1/J98*(X98/H98),"0")</f>
        <v>0.56520061728395066</v>
      </c>
      <c r="BP98" s="64">
        <f>IFERROR(1/J98*(Y98/H98),"0")</f>
        <v>0.578125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9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1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114</v>
      </c>
      <c r="Y100" s="634">
        <f>IFERROR(IF(X100="",0,CEILING((X100/$H100),1)*$H100),"")</f>
        <v>116.10000000000001</v>
      </c>
      <c r="Z100" s="36">
        <f>IFERROR(IF(Y100=0,"",ROUNDUP(Y100/H100,0)*0.00651),"")</f>
        <v>0.27993000000000001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124.64</v>
      </c>
      <c r="BN100" s="64">
        <f>IFERROR(Y100*I100/H100,"0")</f>
        <v>126.93600000000001</v>
      </c>
      <c r="BO100" s="64">
        <f>IFERROR(1/J100*(X100/H100),"0")</f>
        <v>0.231990231990232</v>
      </c>
      <c r="BP100" s="64">
        <f>IFERROR(1/J100*(Y100/H100),"0")</f>
        <v>0.23626373626373628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3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78.395061728395063</v>
      </c>
      <c r="Y102" s="635">
        <f>IFERROR(Y98/H98,"0")+IFERROR(Y99/H99,"0")+IFERROR(Y100/H100,"0")+IFERROR(Y101/H101,"0")</f>
        <v>80</v>
      </c>
      <c r="Z102" s="635">
        <f>IFERROR(IF(Z98="",0,Z98),"0")+IFERROR(IF(Z99="",0,Z99),"0")+IFERROR(IF(Z100="",0,Z100),"0")+IFERROR(IF(Z101="",0,Z101),"0")</f>
        <v>0.98219000000000001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407</v>
      </c>
      <c r="Y103" s="635">
        <f>IFERROR(SUM(Y98:Y101),"0")</f>
        <v>415.8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180</v>
      </c>
      <c r="Y106" s="634">
        <f t="shared" ref="Y106:Y112" si="10">IFERROR(IF(X106="",0,CEILING((X106/$H106),1)*$H106),"")</f>
        <v>183.60000000000002</v>
      </c>
      <c r="Z106" s="36">
        <f>IFERROR(IF(Y106=0,"",ROUNDUP(Y106/H106,0)*0.01898),"")</f>
        <v>0.32266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186.83333333333334</v>
      </c>
      <c r="BN106" s="64">
        <f t="shared" ref="BN106:BN112" si="12">IFERROR(Y106*I106/H106,"0")</f>
        <v>190.57000000000002</v>
      </c>
      <c r="BO106" s="64">
        <f t="shared" ref="BO106:BO112" si="13">IFERROR(1/J106*(X106/H106),"0")</f>
        <v>0.26041666666666663</v>
      </c>
      <c r="BP106" s="64">
        <f t="shared" ref="BP106:BP112" si="14">IFERROR(1/J106*(Y106/H106),"0")</f>
        <v>0.265625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3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69</v>
      </c>
      <c r="Y110" s="634">
        <f t="shared" si="10"/>
        <v>72</v>
      </c>
      <c r="Z110" s="36">
        <f>IFERROR(IF(Y110=0,"",ROUNDUP(Y110/H110,0)*0.00902),"")</f>
        <v>0.14432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71.913333333333341</v>
      </c>
      <c r="BN110" s="64">
        <f t="shared" si="12"/>
        <v>75.040000000000006</v>
      </c>
      <c r="BO110" s="64">
        <f t="shared" si="13"/>
        <v>0.11616161616161617</v>
      </c>
      <c r="BP110" s="64">
        <f t="shared" si="14"/>
        <v>0.12121212121212122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32</v>
      </c>
      <c r="Y113" s="635">
        <f>IFERROR(Y106/H106,"0")+IFERROR(Y107/H107,"0")+IFERROR(Y108/H108,"0")+IFERROR(Y109/H109,"0")+IFERROR(Y110/H110,"0")+IFERROR(Y111/H111,"0")+IFERROR(Y112/H112,"0")</f>
        <v>33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0.46698000000000001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249</v>
      </c>
      <c r="Y114" s="635">
        <f>IFERROR(SUM(Y106:Y112),"0")</f>
        <v>255.60000000000002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4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38</v>
      </c>
      <c r="Y116" s="634">
        <f>IFERROR(IF(X116="",0,CEILING((X116/$H116),1)*$H116),"")</f>
        <v>43.2</v>
      </c>
      <c r="Z116" s="36">
        <f>IFERROR(IF(Y116=0,"",ROUNDUP(Y116/H116,0)*0.01898),"")</f>
        <v>7.5920000000000001E-2</v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39.44259259259259</v>
      </c>
      <c r="BN116" s="64">
        <f>IFERROR(Y116*I116/H116,"0")</f>
        <v>44.84</v>
      </c>
      <c r="BO116" s="64">
        <f>IFERROR(1/J116*(X116/H116),"0")</f>
        <v>5.4976851851851846E-2</v>
      </c>
      <c r="BP116" s="64">
        <f>IFERROR(1/J116*(Y116/H116),"0")</f>
        <v>6.25E-2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7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31</v>
      </c>
      <c r="Y119" s="634">
        <f>IFERROR(IF(X119="",0,CEILING((X119/$H119),1)*$H119),"")</f>
        <v>31.2</v>
      </c>
      <c r="Z119" s="36">
        <f>IFERROR(IF(Y119=0,"",ROUNDUP(Y119/H119,0)*0.00651),"")</f>
        <v>8.4629999999999997E-2</v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33.325000000000003</v>
      </c>
      <c r="BN119" s="64">
        <f>IFERROR(Y119*I119/H119,"0")</f>
        <v>33.54</v>
      </c>
      <c r="BO119" s="64">
        <f>IFERROR(1/J119*(X119/H119),"0")</f>
        <v>7.0970695970695982E-2</v>
      </c>
      <c r="BP119" s="64">
        <f>IFERROR(1/J119*(Y119/H119),"0")</f>
        <v>7.1428571428571438E-2</v>
      </c>
    </row>
    <row r="120" spans="1:68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16.435185185185187</v>
      </c>
      <c r="Y120" s="635">
        <f>IFERROR(Y116/H116,"0")+IFERROR(Y117/H117,"0")+IFERROR(Y118/H118,"0")+IFERROR(Y119/H119,"0")</f>
        <v>17</v>
      </c>
      <c r="Z120" s="635">
        <f>IFERROR(IF(Z116="",0,Z116),"0")+IFERROR(IF(Z117="",0,Z117),"0")+IFERROR(IF(Z118="",0,Z118),"0")+IFERROR(IF(Z119="",0,Z119),"0")</f>
        <v>0.16055</v>
      </c>
      <c r="AA120" s="636"/>
      <c r="AB120" s="636"/>
      <c r="AC120" s="636"/>
    </row>
    <row r="121" spans="1:68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69</v>
      </c>
      <c r="Y121" s="635">
        <f>IFERROR(SUM(Y116:Y119),"0")</f>
        <v>74.400000000000006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9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283</v>
      </c>
      <c r="Y123" s="634">
        <f>IFERROR(IF(X123="",0,CEILING((X123/$H123),1)*$H123),"")</f>
        <v>283.5</v>
      </c>
      <c r="Z123" s="36">
        <f>IFERROR(IF(Y123=0,"",ROUNDUP(Y123/H123,0)*0.01898),"")</f>
        <v>0.6643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300.0498765432099</v>
      </c>
      <c r="BN123" s="64">
        <f>IFERROR(Y123*I123/H123,"0")</f>
        <v>300.58</v>
      </c>
      <c r="BO123" s="64">
        <f>IFERROR(1/J123*(X123/H123),"0")</f>
        <v>0.5459104938271605</v>
      </c>
      <c r="BP123" s="64">
        <f>IFERROR(1/J123*(Y123/H123),"0")</f>
        <v>0.546875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110</v>
      </c>
      <c r="Y125" s="634">
        <f>IFERROR(IF(X125="",0,CEILING((X125/$H125),1)*$H125),"")</f>
        <v>110.7</v>
      </c>
      <c r="Z125" s="36">
        <f>IFERROR(IF(Y125=0,"",ROUNDUP(Y125/H125,0)*0.00651),"")</f>
        <v>0.26690999999999998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120.26666666666665</v>
      </c>
      <c r="BN125" s="64">
        <f>IFERROR(Y125*I125/H125,"0")</f>
        <v>121.032</v>
      </c>
      <c r="BO125" s="64">
        <f>IFERROR(1/J125*(X125/H125),"0")</f>
        <v>0.22385022385022388</v>
      </c>
      <c r="BP125" s="64">
        <f>IFERROR(1/J125*(Y125/H125),"0")</f>
        <v>0.22527472527472528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99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75.679012345679013</v>
      </c>
      <c r="Y127" s="635">
        <f>IFERROR(Y123/H123,"0")+IFERROR(Y124/H124,"0")+IFERROR(Y125/H125,"0")+IFERROR(Y126/H126,"0")</f>
        <v>76</v>
      </c>
      <c r="Z127" s="635">
        <f>IFERROR(IF(Z123="",0,Z123),"0")+IFERROR(IF(Z124="",0,Z124),"0")+IFERROR(IF(Z125="",0,Z125),"0")+IFERROR(IF(Z126="",0,Z126),"0")</f>
        <v>0.93120999999999998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393</v>
      </c>
      <c r="Y128" s="635">
        <f>IFERROR(SUM(Y123:Y126),"0")</f>
        <v>394.2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0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2</v>
      </c>
      <c r="Y130" s="634">
        <f>IFERROR(IF(X130="",0,CEILING((X130/$H130),1)*$H130),"")</f>
        <v>3.96</v>
      </c>
      <c r="Z130" s="36">
        <f>IFERROR(IF(Y130=0,"",ROUNDUP(Y130/H130,0)*0.00651),"")</f>
        <v>1.302E-2</v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2.2606060606060607</v>
      </c>
      <c r="BN130" s="64">
        <f>IFERROR(Y130*I130/H130,"0")</f>
        <v>4.476</v>
      </c>
      <c r="BO130" s="64">
        <f>IFERROR(1/J130*(X130/H130),"0")</f>
        <v>5.5500055500055509E-3</v>
      </c>
      <c r="BP130" s="64">
        <f>IFERROR(1/J130*(Y130/H130),"0")</f>
        <v>1.098901098901099E-2</v>
      </c>
    </row>
    <row r="131" spans="1:68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1.0101010101010102</v>
      </c>
      <c r="Y131" s="635">
        <f>IFERROR(Y130/H130,"0")</f>
        <v>2</v>
      </c>
      <c r="Z131" s="635">
        <f>IFERROR(IF(Z130="",0,Z130),"0")</f>
        <v>1.302E-2</v>
      </c>
      <c r="AA131" s="636"/>
      <c r="AB131" s="636"/>
      <c r="AC131" s="636"/>
    </row>
    <row r="132" spans="1:68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2</v>
      </c>
      <c r="Y132" s="635">
        <f>IFERROR(SUM(Y130:Y130),"0")</f>
        <v>3.96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17</v>
      </c>
      <c r="Y135" s="634">
        <f>IFERROR(IF(X135="",0,CEILING((X135/$H135),1)*$H135),"")</f>
        <v>19.200000000000003</v>
      </c>
      <c r="Z135" s="36">
        <f>IFERROR(IF(Y135=0,"",ROUNDUP(Y135/H135,0)*0.00651),"")</f>
        <v>3.9059999999999997E-2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17.956250000000001</v>
      </c>
      <c r="BN135" s="64">
        <f>IFERROR(Y135*I135/H135,"0")</f>
        <v>20.279999999999998</v>
      </c>
      <c r="BO135" s="64">
        <f>IFERROR(1/J135*(X135/H135),"0")</f>
        <v>2.9189560439560443E-2</v>
      </c>
      <c r="BP135" s="64">
        <f>IFERROR(1/J135*(Y135/H135),"0")</f>
        <v>3.2967032967032975E-2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5.3125</v>
      </c>
      <c r="Y137" s="635">
        <f>IFERROR(Y135/H135,"0")+IFERROR(Y136/H136,"0")</f>
        <v>6.0000000000000009</v>
      </c>
      <c r="Z137" s="635">
        <f>IFERROR(IF(Z135="",0,Z135),"0")+IFERROR(IF(Z136="",0,Z136),"0")</f>
        <v>3.9059999999999997E-2</v>
      </c>
      <c r="AA137" s="636"/>
      <c r="AB137" s="636"/>
      <c r="AC137" s="636"/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17</v>
      </c>
      <c r="Y138" s="635">
        <f>IFERROR(SUM(Y135:Y136),"0")</f>
        <v>19.200000000000003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21</v>
      </c>
      <c r="Y140" s="634">
        <f>IFERROR(IF(X140="",0,CEILING((X140/$H140),1)*$H140),"")</f>
        <v>22.4</v>
      </c>
      <c r="Z140" s="36">
        <f>IFERROR(IF(Y140=0,"",ROUNDUP(Y140/H140,0)*0.00651),"")</f>
        <v>5.2080000000000001E-2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23.01</v>
      </c>
      <c r="BN140" s="64">
        <f>IFERROR(Y140*I140/H140,"0")</f>
        <v>24.543999999999997</v>
      </c>
      <c r="BO140" s="64">
        <f>IFERROR(1/J140*(X140/H140),"0")</f>
        <v>4.1208791208791215E-2</v>
      </c>
      <c r="BP140" s="64">
        <f>IFERROR(1/J140*(Y140/H140),"0")</f>
        <v>4.3956043956043959E-2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7.5000000000000009</v>
      </c>
      <c r="Y142" s="635">
        <f>IFERROR(Y140/H140,"0")+IFERROR(Y141/H141,"0")</f>
        <v>8</v>
      </c>
      <c r="Z142" s="635">
        <f>IFERROR(IF(Z140="",0,Z140),"0")+IFERROR(IF(Z141="",0,Z141),"0")</f>
        <v>5.2080000000000001E-2</v>
      </c>
      <c r="AA142" s="636"/>
      <c r="AB142" s="636"/>
      <c r="AC142" s="636"/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21</v>
      </c>
      <c r="Y143" s="635">
        <f>IFERROR(SUM(Y140:Y141),"0")</f>
        <v>22.4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7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14</v>
      </c>
      <c r="Y145" s="634">
        <f>IFERROR(IF(X145="",0,CEILING((X145/$H145),1)*$H145),"")</f>
        <v>15.84</v>
      </c>
      <c r="Z145" s="36">
        <f>IFERROR(IF(Y145=0,"",ROUNDUP(Y145/H145,0)*0.00651),"")</f>
        <v>3.9059999999999997E-2</v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15.421212121212118</v>
      </c>
      <c r="BN145" s="64">
        <f>IFERROR(Y145*I145/H145,"0")</f>
        <v>17.448</v>
      </c>
      <c r="BO145" s="64">
        <f>IFERROR(1/J145*(X145/H145),"0")</f>
        <v>2.913752913752914E-2</v>
      </c>
      <c r="BP145" s="64">
        <f>IFERROR(1/J145*(Y145/H145),"0")</f>
        <v>3.2967032967032968E-2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5.3030303030303028</v>
      </c>
      <c r="Y147" s="635">
        <f>IFERROR(Y145/H145,"0")+IFERROR(Y146/H146,"0")</f>
        <v>6</v>
      </c>
      <c r="Z147" s="635">
        <f>IFERROR(IF(Z145="",0,Z145),"0")+IFERROR(IF(Z146="",0,Z146),"0")</f>
        <v>3.9059999999999997E-2</v>
      </c>
      <c r="AA147" s="636"/>
      <c r="AB147" s="636"/>
      <c r="AC147" s="636"/>
    </row>
    <row r="148" spans="1:68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14</v>
      </c>
      <c r="Y148" s="635">
        <f>IFERROR(SUM(Y145:Y146),"0")</f>
        <v>15.84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6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2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8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9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219</v>
      </c>
      <c r="Y175" s="634">
        <f t="shared" ref="Y175:Y184" si="15">IFERROR(IF(X175="",0,CEILING((X175/$H175),1)*$H175),"")</f>
        <v>220.5</v>
      </c>
      <c r="Z175" s="36">
        <f>IFERROR(IF(Y175=0,"",ROUNDUP(Y175/H175,0)*0.00902),"")</f>
        <v>0.56825999999999999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230.88857142857142</v>
      </c>
      <c r="BN175" s="64">
        <f t="shared" ref="BN175:BN184" si="17">IFERROR(Y175*I175/H175,"0")</f>
        <v>232.47</v>
      </c>
      <c r="BO175" s="64">
        <f t="shared" ref="BO175:BO184" si="18">IFERROR(1/J175*(X175/H175),"0")</f>
        <v>0.47402597402597402</v>
      </c>
      <c r="BP175" s="64">
        <f t="shared" ref="BP175:BP184" si="19">IFERROR(1/J175*(Y175/H175),"0")</f>
        <v>0.47727272727272729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428</v>
      </c>
      <c r="Y177" s="634">
        <f t="shared" si="15"/>
        <v>430.5</v>
      </c>
      <c r="Z177" s="36">
        <f>IFERROR(IF(Y177=0,"",ROUNDUP(Y177/H177,0)*0.00902),"")</f>
        <v>1.1094600000000001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451.2342857142857</v>
      </c>
      <c r="BN177" s="64">
        <f t="shared" si="17"/>
        <v>453.87</v>
      </c>
      <c r="BO177" s="64">
        <f t="shared" si="18"/>
        <v>0.92640692640692646</v>
      </c>
      <c r="BP177" s="64">
        <f t="shared" si="19"/>
        <v>0.93181818181818188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180</v>
      </c>
      <c r="Y178" s="634">
        <f t="shared" si="15"/>
        <v>182</v>
      </c>
      <c r="Z178" s="36">
        <f>IFERROR(IF(Y178=0,"",ROUNDUP(Y178/H178,0)*0.00902),"")</f>
        <v>0.46904000000000001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189.77142857142857</v>
      </c>
      <c r="BN178" s="64">
        <f t="shared" si="17"/>
        <v>191.88000000000002</v>
      </c>
      <c r="BO178" s="64">
        <f t="shared" si="18"/>
        <v>0.38961038961038963</v>
      </c>
      <c r="BP178" s="64">
        <f t="shared" si="19"/>
        <v>0.39393939393939392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50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31</v>
      </c>
      <c r="Y180" s="634">
        <f t="shared" si="15"/>
        <v>31.919999999999998</v>
      </c>
      <c r="Z180" s="36">
        <f>IFERROR(IF(Y180=0,"",ROUNDUP(Y180/H180,0)*0.00502),"")</f>
        <v>9.5380000000000006E-2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32.845238095238095</v>
      </c>
      <c r="BN180" s="64">
        <f t="shared" si="17"/>
        <v>33.82</v>
      </c>
      <c r="BO180" s="64">
        <f t="shared" si="18"/>
        <v>7.8856328856328858E-2</v>
      </c>
      <c r="BP180" s="64">
        <f t="shared" si="19"/>
        <v>8.11965811965812E-2</v>
      </c>
    </row>
    <row r="181" spans="1:68" ht="27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2</v>
      </c>
      <c r="Y181" s="634">
        <f t="shared" si="15"/>
        <v>2.7</v>
      </c>
      <c r="Z181" s="36">
        <f>IFERROR(IF(Y181=0,"",ROUNDUP(Y181/H181,0)*0.00417),"")</f>
        <v>1.251E-2</v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2.4666666666666668</v>
      </c>
      <c r="BN181" s="64">
        <f t="shared" si="17"/>
        <v>3.33</v>
      </c>
      <c r="BO181" s="64">
        <f t="shared" si="18"/>
        <v>7.1225071225071226E-3</v>
      </c>
      <c r="BP181" s="64">
        <f t="shared" si="19"/>
        <v>9.6153846153846159E-3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7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24</v>
      </c>
      <c r="Y184" s="634">
        <f t="shared" si="15"/>
        <v>25.2</v>
      </c>
      <c r="Z184" s="36">
        <f>IFERROR(IF(Y184=0,"",ROUNDUP(Y184/H184,0)*0.00502),"")</f>
        <v>7.5300000000000006E-2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25.428571428571431</v>
      </c>
      <c r="BN184" s="64">
        <f t="shared" si="17"/>
        <v>26.700000000000003</v>
      </c>
      <c r="BO184" s="64">
        <f t="shared" si="18"/>
        <v>6.1050061050061062E-2</v>
      </c>
      <c r="BP184" s="64">
        <f t="shared" si="19"/>
        <v>6.4102564102564111E-2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271.24603174603175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275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2.3299499999999997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884</v>
      </c>
      <c r="Y186" s="635">
        <f>IFERROR(SUM(Y175:Y184),"0")</f>
        <v>892.82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0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85" t="s">
        <v>332</v>
      </c>
      <c r="B200" s="686"/>
      <c r="C200" s="686"/>
      <c r="D200" s="686"/>
      <c r="E200" s="686"/>
      <c r="F200" s="686"/>
      <c r="G200" s="686"/>
      <c r="H200" s="686"/>
      <c r="I200" s="686"/>
      <c r="J200" s="686"/>
      <c r="K200" s="686"/>
      <c r="L200" s="686"/>
      <c r="M200" s="686"/>
      <c r="N200" s="686"/>
      <c r="O200" s="686"/>
      <c r="P200" s="686"/>
      <c r="Q200" s="686"/>
      <c r="R200" s="686"/>
      <c r="S200" s="686"/>
      <c r="T200" s="686"/>
      <c r="U200" s="686"/>
      <c r="V200" s="686"/>
      <c r="W200" s="686"/>
      <c r="X200" s="686"/>
      <c r="Y200" s="686"/>
      <c r="Z200" s="686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3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36</v>
      </c>
      <c r="Y218" s="634">
        <f t="shared" ref="Y218:Y231" si="26">IFERROR(IF(X218="",0,CEILING((X218/$H218),1)*$H218),"")</f>
        <v>37.800000000000004</v>
      </c>
      <c r="Z218" s="36">
        <f>IFERROR(IF(Y218=0,"",ROUNDUP(Y218/H218,0)*0.00902),"")</f>
        <v>8.1180000000000002E-2</v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38.142857142857146</v>
      </c>
      <c r="BN218" s="64">
        <f t="shared" ref="BN218:BN231" si="28">IFERROR(Y218*I218/H218,"0")</f>
        <v>40.050000000000004</v>
      </c>
      <c r="BO218" s="64">
        <f t="shared" ref="BO218:BO231" si="29">IFERROR(1/J218*(X218/H218),"0")</f>
        <v>6.4935064935064929E-2</v>
      </c>
      <c r="BP218" s="64">
        <f t="shared" ref="BP218:BP231" si="30">IFERROR(1/J218*(Y218/H218),"0")</f>
        <v>6.8181818181818177E-2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85</v>
      </c>
      <c r="Y220" s="634">
        <f t="shared" si="26"/>
        <v>88.2</v>
      </c>
      <c r="Z220" s="36">
        <f>IFERROR(IF(Y220=0,"",ROUNDUP(Y220/H220,0)*0.00902),"")</f>
        <v>0.18942000000000001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88.845238095238088</v>
      </c>
      <c r="BN220" s="64">
        <f t="shared" si="28"/>
        <v>92.19</v>
      </c>
      <c r="BO220" s="64">
        <f t="shared" si="29"/>
        <v>0.15331890331890333</v>
      </c>
      <c r="BP220" s="64">
        <f t="shared" si="30"/>
        <v>0.15909090909090909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7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6</v>
      </c>
      <c r="Y222" s="634">
        <f t="shared" si="26"/>
        <v>6.4</v>
      </c>
      <c r="Z222" s="36">
        <f>IFERROR(IF(Y222=0,"",ROUNDUP(Y222/H222,0)*0.00556),"")</f>
        <v>4.4479999999999999E-2</v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6.9749999999999996</v>
      </c>
      <c r="BN222" s="64">
        <f t="shared" si="28"/>
        <v>7.44</v>
      </c>
      <c r="BO222" s="64">
        <f t="shared" si="29"/>
        <v>3.2051282051282055E-2</v>
      </c>
      <c r="BP222" s="64">
        <f t="shared" si="30"/>
        <v>3.4188034188034191E-2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62</v>
      </c>
      <c r="Y223" s="634">
        <f t="shared" si="26"/>
        <v>63</v>
      </c>
      <c r="Z223" s="36">
        <f>IFERROR(IF(Y223=0,"",ROUNDUP(Y223/H223,0)*0.00502),"")</f>
        <v>0.15060000000000001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65.838095238095235</v>
      </c>
      <c r="BN223" s="64">
        <f t="shared" si="28"/>
        <v>66.900000000000006</v>
      </c>
      <c r="BO223" s="64">
        <f t="shared" si="29"/>
        <v>0.12617012617012618</v>
      </c>
      <c r="BP223" s="64">
        <f t="shared" si="30"/>
        <v>0.12820512820512822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9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18</v>
      </c>
      <c r="Y227" s="634">
        <f t="shared" si="26"/>
        <v>18</v>
      </c>
      <c r="Z227" s="36">
        <f>IFERROR(IF(Y227=0,"",ROUNDUP(Y227/H227,0)*0.00502),"")</f>
        <v>5.0200000000000002E-2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19.3</v>
      </c>
      <c r="BN227" s="64">
        <f t="shared" si="28"/>
        <v>19.3</v>
      </c>
      <c r="BO227" s="64">
        <f t="shared" si="29"/>
        <v>4.2735042735042736E-2</v>
      </c>
      <c r="BP227" s="64">
        <f t="shared" si="30"/>
        <v>4.2735042735042736E-2</v>
      </c>
    </row>
    <row r="228" spans="1:68" ht="27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4</v>
      </c>
      <c r="Y228" s="634">
        <f t="shared" si="26"/>
        <v>4</v>
      </c>
      <c r="Z228" s="36">
        <f>IFERROR(IF(Y228=0,"",ROUNDUP(Y228/H228,0)*0.00417),"")</f>
        <v>2.085E-2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5.05</v>
      </c>
      <c r="BN228" s="64">
        <f t="shared" si="28"/>
        <v>5.05</v>
      </c>
      <c r="BO228" s="64">
        <f t="shared" si="29"/>
        <v>1.6025641025641024E-2</v>
      </c>
      <c r="BP228" s="64">
        <f t="shared" si="30"/>
        <v>1.6025641025641024E-2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221</v>
      </c>
      <c r="Y229" s="634">
        <f t="shared" si="26"/>
        <v>222.60000000000002</v>
      </c>
      <c r="Z229" s="36">
        <f>IFERROR(IF(Y229=0,"",ROUNDUP(Y229/H229,0)*0.00502),"")</f>
        <v>0.53212000000000004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231.52380952380955</v>
      </c>
      <c r="BN229" s="64">
        <f t="shared" si="28"/>
        <v>233.20000000000002</v>
      </c>
      <c r="BO229" s="64">
        <f t="shared" si="29"/>
        <v>0.44973544973544971</v>
      </c>
      <c r="BP229" s="64">
        <f t="shared" si="30"/>
        <v>0.45299145299145305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186.07142857142856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189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1.0688500000000001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432</v>
      </c>
      <c r="Y233" s="635">
        <f>IFERROR(SUM(Y218:Y231),"0")</f>
        <v>440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1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4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84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7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6</v>
      </c>
      <c r="Y245" s="634">
        <f>IFERROR(IF(X245="",0,CEILING((X245/$H245),1)*$H245),"")</f>
        <v>6.3</v>
      </c>
      <c r="Z245" s="36">
        <f>IFERROR(IF(Y245=0,"",ROUNDUP(Y245/H245,0)*0.0059),"")</f>
        <v>2.9499999999999998E-2</v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6.9047619047619042</v>
      </c>
      <c r="BN245" s="64">
        <f>IFERROR(Y245*I245/H245,"0")</f>
        <v>7.25</v>
      </c>
      <c r="BO245" s="64">
        <f>IFERROR(1/J245*(X245/H245),"0")</f>
        <v>2.2045855379188711E-2</v>
      </c>
      <c r="BP245" s="64">
        <f>IFERROR(1/J245*(Y245/H245),"0")</f>
        <v>2.3148148148148147E-2</v>
      </c>
    </row>
    <row r="246" spans="1:68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4.7619047619047619</v>
      </c>
      <c r="Y246" s="635">
        <f>IFERROR(Y243/H243,"0")+IFERROR(Y244/H244,"0")+IFERROR(Y245/H245,"0")</f>
        <v>5</v>
      </c>
      <c r="Z246" s="635">
        <f>IFERROR(IF(Z243="",0,Z243),"0")+IFERROR(IF(Z244="",0,Z244),"0")+IFERROR(IF(Z245="",0,Z245),"0")</f>
        <v>2.9499999999999998E-2</v>
      </c>
      <c r="AA246" s="636"/>
      <c r="AB246" s="636"/>
      <c r="AC246" s="636"/>
    </row>
    <row r="247" spans="1:68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6</v>
      </c>
      <c r="Y247" s="635">
        <f>IFERROR(SUM(Y243:Y245),"0")</f>
        <v>6.3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7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4</v>
      </c>
      <c r="Y249" s="634">
        <f>IFERROR(IF(X249="",0,CEILING((X249/$H249),1)*$H249),"")</f>
        <v>5.04</v>
      </c>
      <c r="Z249" s="36">
        <f>IFERROR(IF(Y249=0,"",ROUNDUP(Y249/H249,0)*0.0059),"")</f>
        <v>2.3599999999999999E-2</v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4.6031746031746028</v>
      </c>
      <c r="BN249" s="64">
        <f>IFERROR(Y249*I249/H249,"0")</f>
        <v>5.8</v>
      </c>
      <c r="BO249" s="64">
        <f>IFERROR(1/J249*(X249/H249),"0")</f>
        <v>1.469723691945914E-2</v>
      </c>
      <c r="BP249" s="64">
        <f>IFERROR(1/J249*(Y249/H249),"0")</f>
        <v>1.8518518518518517E-2</v>
      </c>
    </row>
    <row r="250" spans="1:68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3.1746031746031744</v>
      </c>
      <c r="Y250" s="635">
        <f>IFERROR(Y249/H249,"0")</f>
        <v>4</v>
      </c>
      <c r="Z250" s="635">
        <f>IFERROR(IF(Z249="",0,Z249),"0")</f>
        <v>2.3599999999999999E-2</v>
      </c>
      <c r="AA250" s="636"/>
      <c r="AB250" s="636"/>
      <c r="AC250" s="636"/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4</v>
      </c>
      <c r="Y251" s="635">
        <f>IFERROR(SUM(Y249:Y249),"0")</f>
        <v>5.04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97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244</v>
      </c>
      <c r="Y264" s="634">
        <f t="shared" ref="Y264:Y271" si="31">IFERROR(IF(X264="",0,CEILING((X264/$H264),1)*$H264),"")</f>
        <v>248.4</v>
      </c>
      <c r="Z264" s="36">
        <f>IFERROR(IF(Y264=0,"",ROUNDUP(Y264/H264,0)*0.00902),"")</f>
        <v>0.41492000000000001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252.58518518518517</v>
      </c>
      <c r="BN264" s="64">
        <f t="shared" ref="BN264:BN271" si="33">IFERROR(Y264*I264/H264,"0")</f>
        <v>257.14</v>
      </c>
      <c r="BO264" s="64">
        <f t="shared" ref="BO264:BO271" si="34">IFERROR(1/J264*(X264/H264),"0")</f>
        <v>0.34231200897867564</v>
      </c>
      <c r="BP264" s="64">
        <f t="shared" ref="BP264:BP271" si="35">IFERROR(1/J264*(Y264/H264),"0")</f>
        <v>0.34848484848484851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100</v>
      </c>
      <c r="Y265" s="634">
        <f t="shared" si="31"/>
        <v>102.60000000000001</v>
      </c>
      <c r="Z265" s="36">
        <f>IFERROR(IF(Y265=0,"",ROUNDUP(Y265/H265,0)*0.00902),"")</f>
        <v>0.17138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103.5185185185185</v>
      </c>
      <c r="BN265" s="64">
        <f t="shared" si="33"/>
        <v>106.21</v>
      </c>
      <c r="BO265" s="64">
        <f t="shared" si="34"/>
        <v>0.14029180695847362</v>
      </c>
      <c r="BP265" s="64">
        <f t="shared" si="35"/>
        <v>0.14393939393939395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160</v>
      </c>
      <c r="Y266" s="634">
        <f t="shared" si="31"/>
        <v>162</v>
      </c>
      <c r="Z266" s="36">
        <f>IFERROR(IF(Y266=0,"",ROUNDUP(Y266/H266,0)*0.00902),"")</f>
        <v>0.27060000000000001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165.62962962962962</v>
      </c>
      <c r="BN266" s="64">
        <f t="shared" si="33"/>
        <v>167.7</v>
      </c>
      <c r="BO266" s="64">
        <f t="shared" si="34"/>
        <v>0.22446689113355778</v>
      </c>
      <c r="BP266" s="64">
        <f t="shared" si="35"/>
        <v>0.22727272727272727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64</v>
      </c>
      <c r="Y267" s="634">
        <f t="shared" si="31"/>
        <v>64.800000000000011</v>
      </c>
      <c r="Z267" s="36">
        <f>IFERROR(IF(Y267=0,"",ROUNDUP(Y267/H267,0)*0.00902),"")</f>
        <v>0.10824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66.251851851851839</v>
      </c>
      <c r="BN267" s="64">
        <f t="shared" si="33"/>
        <v>67.08</v>
      </c>
      <c r="BO267" s="64">
        <f t="shared" si="34"/>
        <v>8.9786756453423114E-2</v>
      </c>
      <c r="BP267" s="64">
        <f t="shared" si="35"/>
        <v>9.0909090909090925E-2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7</v>
      </c>
      <c r="Y268" s="634">
        <f t="shared" si="31"/>
        <v>7.2</v>
      </c>
      <c r="Z268" s="36">
        <f>IFERROR(IF(Y268=0,"",ROUNDUP(Y268/H268,0)*0.00502),"")</f>
        <v>2.0080000000000001E-2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7.5055555555555555</v>
      </c>
      <c r="BN268" s="64">
        <f t="shared" si="33"/>
        <v>7.7199999999999989</v>
      </c>
      <c r="BO268" s="64">
        <f t="shared" si="34"/>
        <v>1.6619183285849954E-2</v>
      </c>
      <c r="BP268" s="64">
        <f t="shared" si="35"/>
        <v>1.7094017094017096E-2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16</v>
      </c>
      <c r="Y269" s="634">
        <f t="shared" si="31"/>
        <v>16.2</v>
      </c>
      <c r="Z269" s="36">
        <f>IFERROR(IF(Y269=0,"",ROUNDUP(Y269/H269,0)*0.00502),"")</f>
        <v>4.5179999999999998E-2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16.888888888888889</v>
      </c>
      <c r="BN269" s="64">
        <f t="shared" si="33"/>
        <v>17.099999999999998</v>
      </c>
      <c r="BO269" s="64">
        <f t="shared" si="34"/>
        <v>3.7986704653371325E-2</v>
      </c>
      <c r="BP269" s="64">
        <f t="shared" si="35"/>
        <v>3.8461538461538464E-2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24</v>
      </c>
      <c r="Y271" s="634">
        <f t="shared" si="31"/>
        <v>25.2</v>
      </c>
      <c r="Z271" s="36">
        <f>IFERROR(IF(Y271=0,"",ROUNDUP(Y271/H271,0)*0.00502),"")</f>
        <v>7.0280000000000009E-2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25.333333333333329</v>
      </c>
      <c r="BN271" s="64">
        <f t="shared" si="33"/>
        <v>26.599999999999998</v>
      </c>
      <c r="BO271" s="64">
        <f t="shared" si="34"/>
        <v>5.6980056980056981E-2</v>
      </c>
      <c r="BP271" s="64">
        <f t="shared" si="35"/>
        <v>5.9829059829059839E-2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131.29629629629628</v>
      </c>
      <c r="Y272" s="635">
        <f>IFERROR(Y264/H264,"0")+IFERROR(Y265/H265,"0")+IFERROR(Y266/H266,"0")+IFERROR(Y267/H267,"0")+IFERROR(Y268/H268,"0")+IFERROR(Y269/H269,"0")+IFERROR(Y270/H270,"0")+IFERROR(Y271/H271,"0")</f>
        <v>134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1.1006800000000001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615</v>
      </c>
      <c r="Y273" s="635">
        <f>IFERROR(SUM(Y264:Y271),"0")</f>
        <v>626.40000000000009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44</v>
      </c>
      <c r="Y275" s="634">
        <f t="shared" ref="Y275:Y285" si="36">IFERROR(IF(X275="",0,CEILING((X275/$H275),1)*$H275),"")</f>
        <v>48.599999999999994</v>
      </c>
      <c r="Z275" s="36">
        <f>IFERROR(IF(Y275=0,"",ROUNDUP(Y275/H275,0)*0.01898),"")</f>
        <v>0.11388000000000001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46.683456790123458</v>
      </c>
      <c r="BN275" s="64">
        <f t="shared" ref="BN275:BN285" si="38">IFERROR(Y275*I275/H275,"0")</f>
        <v>51.563999999999993</v>
      </c>
      <c r="BO275" s="64">
        <f t="shared" ref="BO275:BO285" si="39">IFERROR(1/J275*(X275/H275),"0")</f>
        <v>8.4876543209876545E-2</v>
      </c>
      <c r="BP275" s="64">
        <f t="shared" ref="BP275:BP285" si="40">IFERROR(1/J275*(Y275/H275),"0")</f>
        <v>9.375E-2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124</v>
      </c>
      <c r="Y276" s="634">
        <f t="shared" si="36"/>
        <v>129.6</v>
      </c>
      <c r="Z276" s="36">
        <f>IFERROR(IF(Y276=0,"",ROUNDUP(Y276/H276,0)*0.01898),"")</f>
        <v>0.30368000000000001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131.2869135802469</v>
      </c>
      <c r="BN276" s="64">
        <f t="shared" si="38"/>
        <v>137.21600000000001</v>
      </c>
      <c r="BO276" s="64">
        <f t="shared" si="39"/>
        <v>0.23919753086419754</v>
      </c>
      <c r="BP276" s="64">
        <f t="shared" si="40"/>
        <v>0.25</v>
      </c>
    </row>
    <row r="277" spans="1:68" ht="27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55</v>
      </c>
      <c r="Y277" s="634">
        <f t="shared" si="36"/>
        <v>60.899999999999991</v>
      </c>
      <c r="Z277" s="36">
        <f>IFERROR(IF(Y277=0,"",ROUNDUP(Y277/H277,0)*0.01898),"")</f>
        <v>0.13286000000000001</v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58.122988505747138</v>
      </c>
      <c r="BN277" s="64">
        <f t="shared" si="38"/>
        <v>64.358000000000004</v>
      </c>
      <c r="BO277" s="64">
        <f t="shared" si="39"/>
        <v>9.8778735632183923E-2</v>
      </c>
      <c r="BP277" s="64">
        <f t="shared" si="40"/>
        <v>0.109375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71</v>
      </c>
      <c r="Y278" s="634">
        <f t="shared" si="36"/>
        <v>72</v>
      </c>
      <c r="Z278" s="36">
        <f>IFERROR(IF(Y278=0,"",ROUNDUP(Y278/H278,0)*0.00651),"")</f>
        <v>0.1953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78.987499999999997</v>
      </c>
      <c r="BN278" s="64">
        <f t="shared" si="38"/>
        <v>80.100000000000009</v>
      </c>
      <c r="BO278" s="64">
        <f t="shared" si="39"/>
        <v>0.16254578754578758</v>
      </c>
      <c r="BP278" s="64">
        <f t="shared" si="40"/>
        <v>0.16483516483516486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530</v>
      </c>
      <c r="Y280" s="634">
        <f t="shared" si="36"/>
        <v>530.4</v>
      </c>
      <c r="Z280" s="36">
        <f>IFERROR(IF(Y280=0,"",ROUNDUP(Y280/H280,0)*0.00651),"")</f>
        <v>1.4387099999999999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585.65000000000009</v>
      </c>
      <c r="BN280" s="64">
        <f t="shared" si="38"/>
        <v>586.09199999999998</v>
      </c>
      <c r="BO280" s="64">
        <f t="shared" si="39"/>
        <v>1.2133699633699635</v>
      </c>
      <c r="BP280" s="64">
        <f t="shared" si="40"/>
        <v>1.2142857142857144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105</v>
      </c>
      <c r="Y282" s="634">
        <f t="shared" si="36"/>
        <v>105.6</v>
      </c>
      <c r="Z282" s="36">
        <f>IFERROR(IF(Y282=0,"",ROUNDUP(Y282/H282,0)*0.00651),"")</f>
        <v>0.28644000000000003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116.02500000000002</v>
      </c>
      <c r="BN282" s="64">
        <f t="shared" si="38"/>
        <v>116.688</v>
      </c>
      <c r="BO282" s="64">
        <f t="shared" si="39"/>
        <v>0.24038461538461539</v>
      </c>
      <c r="BP282" s="64">
        <f t="shared" si="40"/>
        <v>0.24175824175824179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74</v>
      </c>
      <c r="Y283" s="634">
        <f t="shared" si="36"/>
        <v>74.399999999999991</v>
      </c>
      <c r="Z283" s="36">
        <f>IFERROR(IF(Y283=0,"",ROUNDUP(Y283/H283,0)*0.00651),"")</f>
        <v>0.20181000000000002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81.77000000000001</v>
      </c>
      <c r="BN283" s="64">
        <f t="shared" si="38"/>
        <v>82.212000000000003</v>
      </c>
      <c r="BO283" s="64">
        <f t="shared" si="39"/>
        <v>0.16941391941391945</v>
      </c>
      <c r="BP283" s="64">
        <f t="shared" si="40"/>
        <v>0.17032967032967034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70</v>
      </c>
      <c r="Y284" s="634">
        <f t="shared" si="36"/>
        <v>72</v>
      </c>
      <c r="Z284" s="36">
        <f>IFERROR(IF(Y284=0,"",ROUNDUP(Y284/H284,0)*0.00651),"")</f>
        <v>0.1953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77.525000000000006</v>
      </c>
      <c r="BN284" s="64">
        <f t="shared" si="38"/>
        <v>79.740000000000009</v>
      </c>
      <c r="BO284" s="64">
        <f t="shared" si="39"/>
        <v>0.16025641025641027</v>
      </c>
      <c r="BP284" s="64">
        <f t="shared" si="40"/>
        <v>0.16483516483516486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381.22924648786716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385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2.8679799999999998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1073</v>
      </c>
      <c r="Y287" s="635">
        <f>IFERROR(SUM(Y275:Y285),"0")</f>
        <v>1093.5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5</v>
      </c>
      <c r="Y289" s="634">
        <f>IFERROR(IF(X289="",0,CEILING((X289/$H289),1)*$H289),"")</f>
        <v>7.1999999999999993</v>
      </c>
      <c r="Z289" s="36">
        <f>IFERROR(IF(Y289=0,"",ROUNDUP(Y289/H289,0)*0.00651),"")</f>
        <v>1.9529999999999999E-2</v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5.5250000000000012</v>
      </c>
      <c r="BN289" s="64">
        <f>IFERROR(Y289*I289/H289,"0")</f>
        <v>7.9560000000000004</v>
      </c>
      <c r="BO289" s="64">
        <f>IFERROR(1/J289*(X289/H289),"0")</f>
        <v>1.1446886446886448E-2</v>
      </c>
      <c r="BP289" s="64">
        <f>IFERROR(1/J289*(Y289/H289),"0")</f>
        <v>1.6483516483516484E-2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2.0833333333333335</v>
      </c>
      <c r="Y291" s="635">
        <f>IFERROR(Y289/H289,"0")+IFERROR(Y290/H290,"0")</f>
        <v>3</v>
      </c>
      <c r="Z291" s="635">
        <f>IFERROR(IF(Z289="",0,Z289),"0")+IFERROR(IF(Z290="",0,Z290),"0")</f>
        <v>1.9529999999999999E-2</v>
      </c>
      <c r="AA291" s="636"/>
      <c r="AB291" s="636"/>
      <c r="AC291" s="636"/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5</v>
      </c>
      <c r="Y292" s="635">
        <f>IFERROR(SUM(Y289:Y290),"0")</f>
        <v>7.1999999999999993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2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40</v>
      </c>
      <c r="Y295" s="634">
        <f t="shared" ref="Y295:Y301" si="41">IFERROR(IF(X295="",0,CEILING((X295/$H295),1)*$H295),"")</f>
        <v>46.4</v>
      </c>
      <c r="Z295" s="36">
        <f>IFERROR(IF(Y295=0,"",ROUNDUP(Y295/H295,0)*0.01898),"")</f>
        <v>7.5920000000000001E-2</v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41.413793103448278</v>
      </c>
      <c r="BN295" s="64">
        <f t="shared" ref="BN295:BN301" si="43">IFERROR(Y295*I295/H295,"0")</f>
        <v>48.04</v>
      </c>
      <c r="BO295" s="64">
        <f t="shared" ref="BO295:BO301" si="44">IFERROR(1/J295*(X295/H295),"0")</f>
        <v>5.387931034482759E-2</v>
      </c>
      <c r="BP295" s="64">
        <f t="shared" ref="BP295:BP301" si="45">IFERROR(1/J295*(Y295/H295),"0")</f>
        <v>6.25E-2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3.4482758620689657</v>
      </c>
      <c r="Y302" s="635">
        <f>IFERROR(Y295/H295,"0")+IFERROR(Y296/H296,"0")+IFERROR(Y297/H297,"0")+IFERROR(Y298/H298,"0")+IFERROR(Y299/H299,"0")+IFERROR(Y300/H300,"0")+IFERROR(Y301/H301,"0")</f>
        <v>4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7.5920000000000001E-2</v>
      </c>
      <c r="AA302" s="636"/>
      <c r="AB302" s="636"/>
      <c r="AC302" s="636"/>
    </row>
    <row r="303" spans="1:68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40</v>
      </c>
      <c r="Y303" s="635">
        <f>IFERROR(SUM(Y295:Y301),"0")</f>
        <v>46.4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5</v>
      </c>
      <c r="Y309" s="634">
        <f>IFERROR(IF(X309="",0,CEILING((X309/$H309),1)*$H309),"")</f>
        <v>5.4</v>
      </c>
      <c r="Z309" s="36">
        <f>IFERROR(IF(Y309=0,"",ROUNDUP(Y309/H309,0)*0.0059),"")</f>
        <v>1.77E-2</v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5.4861111111111107</v>
      </c>
      <c r="BN309" s="64">
        <f>IFERROR(Y309*I309/H309,"0")</f>
        <v>5.9250000000000007</v>
      </c>
      <c r="BO309" s="64">
        <f>IFERROR(1/J309*(X309/H309),"0")</f>
        <v>1.2860082304526748E-2</v>
      </c>
      <c r="BP309" s="64">
        <f>IFERROR(1/J309*(Y309/H309),"0")</f>
        <v>1.3888888888888888E-2</v>
      </c>
    </row>
    <row r="310" spans="1:68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2.7777777777777777</v>
      </c>
      <c r="Y310" s="635">
        <f>IFERROR(Y309/H309,"0")</f>
        <v>3</v>
      </c>
      <c r="Z310" s="635">
        <f>IFERROR(IF(Z309="",0,Z309),"0")</f>
        <v>1.77E-2</v>
      </c>
      <c r="AA310" s="636"/>
      <c r="AB310" s="636"/>
      <c r="AC310" s="636"/>
    </row>
    <row r="311" spans="1:68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5</v>
      </c>
      <c r="Y311" s="635">
        <f>IFERROR(SUM(Y309:Y309),"0")</f>
        <v>5.4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7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941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6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7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6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28</v>
      </c>
      <c r="Y333" s="634">
        <f>IFERROR(IF(X333="",0,CEILING((X333/$H333),1)*$H333),"")</f>
        <v>28.799999999999997</v>
      </c>
      <c r="Z333" s="36">
        <f>IFERROR(IF(Y333=0,"",ROUNDUP(Y333/H333,0)*0.00651),"")</f>
        <v>7.8119999999999995E-2</v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30.94</v>
      </c>
      <c r="BN333" s="64">
        <f>IFERROR(Y333*I333/H333,"0")</f>
        <v>31.824000000000002</v>
      </c>
      <c r="BO333" s="64">
        <f>IFERROR(1/J333*(X333/H333),"0")</f>
        <v>6.4102564102564111E-2</v>
      </c>
      <c r="BP333" s="64">
        <f>IFERROR(1/J333*(Y333/H333),"0")</f>
        <v>6.5934065934065936E-2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30</v>
      </c>
      <c r="Y334" s="634">
        <f>IFERROR(IF(X334="",0,CEILING((X334/$H334),1)*$H334),"")</f>
        <v>31.2</v>
      </c>
      <c r="Z334" s="36">
        <f>IFERROR(IF(Y334=0,"",ROUNDUP(Y334/H334,0)*0.00651),"")</f>
        <v>8.4629999999999997E-2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32.250000000000007</v>
      </c>
      <c r="BN334" s="64">
        <f>IFERROR(Y334*I334/H334,"0")</f>
        <v>33.54</v>
      </c>
      <c r="BO334" s="64">
        <f>IFERROR(1/J334*(X334/H334),"0")</f>
        <v>6.8681318681318687E-2</v>
      </c>
      <c r="BP334" s="64">
        <f>IFERROR(1/J334*(Y334/H334),"0")</f>
        <v>7.1428571428571438E-2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24.166666666666668</v>
      </c>
      <c r="Y335" s="635">
        <f>IFERROR(Y332/H332,"0")+IFERROR(Y333/H333,"0")+IFERROR(Y334/H334,"0")</f>
        <v>25</v>
      </c>
      <c r="Z335" s="635">
        <f>IFERROR(IF(Z332="",0,Z332),"0")+IFERROR(IF(Z333="",0,Z333),"0")+IFERROR(IF(Z334="",0,Z334),"0")</f>
        <v>0.16275000000000001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58</v>
      </c>
      <c r="Y336" s="635">
        <f>IFERROR(SUM(Y332:Y334),"0")</f>
        <v>60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8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0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4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160</v>
      </c>
      <c r="Y362" s="634">
        <f>IFERROR(IF(X362="",0,CEILING((X362/$H362),1)*$H362),"")</f>
        <v>163.79999999999998</v>
      </c>
      <c r="Z362" s="36">
        <f>IFERROR(IF(Y362=0,"",ROUNDUP(Y362/H362,0)*0.01898),"")</f>
        <v>0.39857999999999999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168.41025641025644</v>
      </c>
      <c r="BN362" s="64">
        <f>IFERROR(Y362*I362/H362,"0")</f>
        <v>172.41</v>
      </c>
      <c r="BO362" s="64">
        <f>IFERROR(1/J362*(X362/H362),"0")</f>
        <v>0.32051282051282054</v>
      </c>
      <c r="BP362" s="64">
        <f>IFERROR(1/J362*(Y362/H362),"0")</f>
        <v>0.328125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204</v>
      </c>
      <c r="Y363" s="634">
        <f>IFERROR(IF(X363="",0,CEILING((X363/$H363),1)*$H363),"")</f>
        <v>210.6</v>
      </c>
      <c r="Z363" s="36">
        <f>IFERROR(IF(Y363=0,"",ROUNDUP(Y363/H363,0)*0.01898),"")</f>
        <v>0.51246000000000003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214.72307692307695</v>
      </c>
      <c r="BN363" s="64">
        <f>IFERROR(Y363*I363/H363,"0")</f>
        <v>221.67000000000002</v>
      </c>
      <c r="BO363" s="64">
        <f>IFERROR(1/J363*(X363/H363),"0")</f>
        <v>0.40865384615384615</v>
      </c>
      <c r="BP363" s="64">
        <f>IFERROR(1/J363*(Y363/H363),"0")</f>
        <v>0.421875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46.666666666666671</v>
      </c>
      <c r="Y365" s="635">
        <f>IFERROR(Y362/H362,"0")+IFERROR(Y363/H363,"0")+IFERROR(Y364/H364,"0")</f>
        <v>48</v>
      </c>
      <c r="Z365" s="635">
        <f>IFERROR(IF(Z362="",0,Z362),"0")+IFERROR(IF(Z363="",0,Z363),"0")+IFERROR(IF(Z364="",0,Z364),"0")</f>
        <v>0.91104000000000007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364</v>
      </c>
      <c r="Y366" s="635">
        <f>IFERROR(SUM(Y362:Y364),"0")</f>
        <v>374.4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28</v>
      </c>
      <c r="Y380" s="634">
        <f t="shared" si="56"/>
        <v>29.400000000000002</v>
      </c>
      <c r="Z380" s="36">
        <f>IFERROR(IF(Y380=0,"",ROUNDUP(Y380/H380,0)*0.00902),"")</f>
        <v>6.3140000000000002E-2</v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29.666666666666668</v>
      </c>
      <c r="BN380" s="64">
        <f t="shared" si="58"/>
        <v>31.150000000000002</v>
      </c>
      <c r="BO380" s="64">
        <f t="shared" si="59"/>
        <v>5.0505050505050504E-2</v>
      </c>
      <c r="BP380" s="64">
        <f t="shared" si="60"/>
        <v>5.3030303030303032E-2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7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6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12</v>
      </c>
      <c r="Y385" s="634">
        <f t="shared" si="56"/>
        <v>12.6</v>
      </c>
      <c r="Z385" s="36">
        <f>IFERROR(IF(Y385=0,"",ROUNDUP(Y385/H385,0)*0.00651),"")</f>
        <v>4.5569999999999999E-2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13.52</v>
      </c>
      <c r="BN385" s="64">
        <f t="shared" si="58"/>
        <v>14.196</v>
      </c>
      <c r="BO385" s="64">
        <f t="shared" si="59"/>
        <v>3.6630036630036632E-2</v>
      </c>
      <c r="BP385" s="64">
        <f t="shared" si="60"/>
        <v>3.8461538461538464E-2</v>
      </c>
    </row>
    <row r="386" spans="1:68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13.333333333333332</v>
      </c>
      <c r="Y386" s="635">
        <f>IFERROR(Y379/H379,"0")+IFERROR(Y380/H380,"0")+IFERROR(Y381/H381,"0")+IFERROR(Y382/H382,"0")+IFERROR(Y383/H383,"0")+IFERROR(Y384/H384,"0")+IFERROR(Y385/H385,"0")</f>
        <v>14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0.10871</v>
      </c>
      <c r="AA386" s="636"/>
      <c r="AB386" s="636"/>
      <c r="AC386" s="636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40</v>
      </c>
      <c r="Y387" s="635">
        <f>IFERROR(SUM(Y379:Y385),"0")</f>
        <v>42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45</v>
      </c>
      <c r="Y396" s="634">
        <f>IFERROR(IF(X396="",0,CEILING((X396/$H396),1)*$H396),"")</f>
        <v>50.400000000000006</v>
      </c>
      <c r="Z396" s="36">
        <f>IFERROR(IF(Y396=0,"",ROUNDUP(Y396/H396,0)*0.01898),"")</f>
        <v>0.11388000000000001</v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47.646428571428572</v>
      </c>
      <c r="BN396" s="64">
        <f>IFERROR(Y396*I396/H396,"0")</f>
        <v>53.364000000000004</v>
      </c>
      <c r="BO396" s="64">
        <f>IFERROR(1/J396*(X396/H396),"0")</f>
        <v>8.3705357142857137E-2</v>
      </c>
      <c r="BP396" s="64">
        <f>IFERROR(1/J396*(Y396/H396),"0")</f>
        <v>9.375E-2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345</v>
      </c>
      <c r="Y397" s="634">
        <f>IFERROR(IF(X397="",0,CEILING((X397/$H397),1)*$H397),"")</f>
        <v>351</v>
      </c>
      <c r="Z397" s="36">
        <f>IFERROR(IF(Y397=0,"",ROUNDUP(Y397/H397,0)*0.01898),"")</f>
        <v>0.85409999999999997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366.85</v>
      </c>
      <c r="BN397" s="64">
        <f>IFERROR(Y397*I397/H397,"0")</f>
        <v>373.23</v>
      </c>
      <c r="BO397" s="64">
        <f>IFERROR(1/J397*(X397/H397),"0")</f>
        <v>0.69110576923076927</v>
      </c>
      <c r="BP397" s="64">
        <f>IFERROR(1/J397*(Y397/H397),"0")</f>
        <v>0.703125</v>
      </c>
    </row>
    <row r="398" spans="1:68" ht="27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8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91</v>
      </c>
      <c r="Y398" s="634">
        <f>IFERROR(IF(X398="",0,CEILING((X398/$H398),1)*$H398),"")</f>
        <v>92.4</v>
      </c>
      <c r="Z398" s="36">
        <f>IFERROR(IF(Y398=0,"",ROUNDUP(Y398/H398,0)*0.01898),"")</f>
        <v>0.20877999999999999</v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96.351666666666674</v>
      </c>
      <c r="BN398" s="64">
        <f>IFERROR(Y398*I398/H398,"0")</f>
        <v>97.834000000000003</v>
      </c>
      <c r="BO398" s="64">
        <f>IFERROR(1/J398*(X398/H398),"0")</f>
        <v>0.16927083333333331</v>
      </c>
      <c r="BP398" s="64">
        <f>IFERROR(1/J398*(Y398/H398),"0")</f>
        <v>0.171875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60.421245421245416</v>
      </c>
      <c r="Y399" s="635">
        <f>IFERROR(Y396/H396,"0")+IFERROR(Y397/H397,"0")+IFERROR(Y398/H398,"0")</f>
        <v>62</v>
      </c>
      <c r="Z399" s="635">
        <f>IFERROR(IF(Z396="",0,Z396),"0")+IFERROR(IF(Z397="",0,Z397),"0")+IFERROR(IF(Z398="",0,Z398),"0")</f>
        <v>1.17676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481</v>
      </c>
      <c r="Y400" s="635">
        <f>IFERROR(SUM(Y396:Y398),"0")</f>
        <v>493.79999999999995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9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9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12</v>
      </c>
      <c r="Y404" s="634">
        <f>IFERROR(IF(X404="",0,CEILING((X404/$H404),1)*$H404),"")</f>
        <v>12.75</v>
      </c>
      <c r="Z404" s="36">
        <f>IFERROR(IF(Y404=0,"",ROUNDUP(Y404/H404,0)*0.00651),"")</f>
        <v>3.2550000000000003E-2</v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13.905882352941179</v>
      </c>
      <c r="BN404" s="64">
        <f>IFERROR(Y404*I404/H404,"0")</f>
        <v>14.775000000000002</v>
      </c>
      <c r="BO404" s="64">
        <f>IFERROR(1/J404*(X404/H404),"0")</f>
        <v>2.5856496444731741E-2</v>
      </c>
      <c r="BP404" s="64">
        <f>IFERROR(1/J404*(Y404/H404),"0")</f>
        <v>2.7472527472527476E-2</v>
      </c>
    </row>
    <row r="405" spans="1:68" ht="27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11</v>
      </c>
      <c r="Y405" s="634">
        <f>IFERROR(IF(X405="",0,CEILING((X405/$H405),1)*$H405),"")</f>
        <v>12.75</v>
      </c>
      <c r="Z405" s="36">
        <f>IFERROR(IF(Y405=0,"",ROUNDUP(Y405/H405,0)*0.00651),"")</f>
        <v>3.2550000000000003E-2</v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12.423529411764706</v>
      </c>
      <c r="BN405" s="64">
        <f>IFERROR(Y405*I405/H405,"0")</f>
        <v>14.4</v>
      </c>
      <c r="BO405" s="64">
        <f>IFERROR(1/J405*(X405/H405),"0")</f>
        <v>2.3701788407670767E-2</v>
      </c>
      <c r="BP405" s="64">
        <f>IFERROR(1/J405*(Y405/H405),"0")</f>
        <v>2.7472527472527476E-2</v>
      </c>
    </row>
    <row r="406" spans="1:68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9.0196078431372548</v>
      </c>
      <c r="Y406" s="635">
        <f>IFERROR(Y402/H402,"0")+IFERROR(Y403/H403,"0")+IFERROR(Y404/H404,"0")+IFERROR(Y405/H405,"0")</f>
        <v>10</v>
      </c>
      <c r="Z406" s="635">
        <f>IFERROR(IF(Z402="",0,Z402),"0")+IFERROR(IF(Z403="",0,Z403),"0")+IFERROR(IF(Z404="",0,Z404),"0")+IFERROR(IF(Z405="",0,Z405),"0")</f>
        <v>6.5100000000000005E-2</v>
      </c>
      <c r="AA406" s="636"/>
      <c r="AB406" s="636"/>
      <c r="AC406" s="636"/>
    </row>
    <row r="407" spans="1:68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23</v>
      </c>
      <c r="Y407" s="635">
        <f>IFERROR(SUM(Y402:Y405),"0")</f>
        <v>25.5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11</v>
      </c>
      <c r="Y409" s="634">
        <f>IFERROR(IF(X409="",0,CEILING((X409/$H409),1)*$H409),"")</f>
        <v>12</v>
      </c>
      <c r="Z409" s="36">
        <f>IFERROR(IF(Y409=0,"",ROUNDUP(Y409/H409,0)*0.00474),"")</f>
        <v>2.844E-2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12.32</v>
      </c>
      <c r="BN409" s="64">
        <f>IFERROR(Y409*I409/H409,"0")</f>
        <v>13.440000000000001</v>
      </c>
      <c r="BO409" s="64">
        <f>IFERROR(1/J409*(X409/H409),"0")</f>
        <v>2.3109243697478989E-2</v>
      </c>
      <c r="BP409" s="64">
        <f>IFERROR(1/J409*(Y409/H409),"0")</f>
        <v>2.5210084033613446E-2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5</v>
      </c>
      <c r="Y410" s="634">
        <f>IFERROR(IF(X410="",0,CEILING((X410/$H410),1)*$H410),"")</f>
        <v>6</v>
      </c>
      <c r="Z410" s="36">
        <f>IFERROR(IF(Y410=0,"",ROUNDUP(Y410/H410,0)*0.00474),"")</f>
        <v>1.422E-2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5.6000000000000005</v>
      </c>
      <c r="BN410" s="64">
        <f>IFERROR(Y410*I410/H410,"0")</f>
        <v>6.7200000000000006</v>
      </c>
      <c r="BO410" s="64">
        <f>IFERROR(1/J410*(X410/H410),"0")</f>
        <v>1.0504201680672268E-2</v>
      </c>
      <c r="BP410" s="64">
        <f>IFERROR(1/J410*(Y410/H410),"0")</f>
        <v>1.2605042016806723E-2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12</v>
      </c>
      <c r="Y411" s="634">
        <f>IFERROR(IF(X411="",0,CEILING((X411/$H411),1)*$H411),"")</f>
        <v>12</v>
      </c>
      <c r="Z411" s="36">
        <f>IFERROR(IF(Y411=0,"",ROUNDUP(Y411/H411,0)*0.00474),"")</f>
        <v>2.844E-2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13.440000000000001</v>
      </c>
      <c r="BN411" s="64">
        <f>IFERROR(Y411*I411/H411,"0")</f>
        <v>13.440000000000001</v>
      </c>
      <c r="BO411" s="64">
        <f>IFERROR(1/J411*(X411/H411),"0")</f>
        <v>2.5210084033613446E-2</v>
      </c>
      <c r="BP411" s="64">
        <f>IFERROR(1/J411*(Y411/H411),"0")</f>
        <v>2.5210084033613446E-2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14</v>
      </c>
      <c r="Y412" s="635">
        <f>IFERROR(Y409/H409,"0")+IFERROR(Y410/H410,"0")+IFERROR(Y411/H411,"0")</f>
        <v>15</v>
      </c>
      <c r="Z412" s="635">
        <f>IFERROR(IF(Z409="",0,Z409),"0")+IFERROR(IF(Z410="",0,Z410),"0")+IFERROR(IF(Z411="",0,Z411),"0")</f>
        <v>7.1099999999999997E-2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28</v>
      </c>
      <c r="Y413" s="635">
        <f>IFERROR(SUM(Y409:Y411),"0")</f>
        <v>30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55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16</v>
      </c>
      <c r="Y431" s="634">
        <f>IFERROR(IF(X431="",0,CEILING((X431/$H431),1)*$H431),"")</f>
        <v>16.8</v>
      </c>
      <c r="Z431" s="36">
        <f>IFERROR(IF(Y431=0,"",ROUNDUP(Y431/H431,0)*0.00651),"")</f>
        <v>5.2080000000000001E-2</v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17.919999999999998</v>
      </c>
      <c r="BN431" s="64">
        <f>IFERROR(Y431*I431/H431,"0")</f>
        <v>18.815999999999999</v>
      </c>
      <c r="BO431" s="64">
        <f>IFERROR(1/J431*(X431/H431),"0")</f>
        <v>4.1862899005756148E-2</v>
      </c>
      <c r="BP431" s="64">
        <f>IFERROR(1/J431*(Y431/H431),"0")</f>
        <v>4.3956043956043959E-2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7.6190476190476186</v>
      </c>
      <c r="Y433" s="635">
        <f>IFERROR(Y430/H430,"0")+IFERROR(Y431/H431,"0")+IFERROR(Y432/H432,"0")</f>
        <v>8</v>
      </c>
      <c r="Z433" s="635">
        <f>IFERROR(IF(Z430="",0,Z430),"0")+IFERROR(IF(Z431="",0,Z431),"0")+IFERROR(IF(Z432="",0,Z432),"0")</f>
        <v>5.2080000000000001E-2</v>
      </c>
      <c r="AA433" s="636"/>
      <c r="AB433" s="636"/>
      <c r="AC433" s="636"/>
    </row>
    <row r="434" spans="1:68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16</v>
      </c>
      <c r="Y434" s="635">
        <f>IFERROR(SUM(Y430:Y432),"0")</f>
        <v>16.8</v>
      </c>
      <c r="Z434" s="37"/>
      <c r="AA434" s="636"/>
      <c r="AB434" s="636"/>
      <c r="AC434" s="636"/>
    </row>
    <row r="435" spans="1:68" ht="27.75" hidden="1" customHeight="1" x14ac:dyDescent="0.2">
      <c r="A435" s="685" t="s">
        <v>696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6"/>
      <c r="N435" s="686"/>
      <c r="O435" s="686"/>
      <c r="P435" s="686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10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630</v>
      </c>
      <c r="Y439" s="634">
        <f t="shared" si="61"/>
        <v>630</v>
      </c>
      <c r="Z439" s="36">
        <f>IFERROR(IF(Y439=0,"",ROUNDUP(Y439/H439,0)*0.02175),"")</f>
        <v>0.91349999999999998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649.74</v>
      </c>
      <c r="BN439" s="64">
        <f t="shared" si="63"/>
        <v>649.74</v>
      </c>
      <c r="BO439" s="64">
        <f t="shared" si="64"/>
        <v>0.875</v>
      </c>
      <c r="BP439" s="64">
        <f t="shared" si="65"/>
        <v>0.875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747</v>
      </c>
      <c r="Y440" s="634">
        <f t="shared" si="61"/>
        <v>750</v>
      </c>
      <c r="Z440" s="36">
        <f>IFERROR(IF(Y440=0,"",ROUNDUP(Y440/H440,0)*0.02175),"")</f>
        <v>1.0874999999999999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770.40600000000006</v>
      </c>
      <c r="BN440" s="64">
        <f t="shared" si="63"/>
        <v>773.5</v>
      </c>
      <c r="BO440" s="64">
        <f t="shared" si="64"/>
        <v>1.0374999999999999</v>
      </c>
      <c r="BP440" s="64">
        <f t="shared" si="65"/>
        <v>1.0416666666666665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398</v>
      </c>
      <c r="Y441" s="634">
        <f t="shared" si="61"/>
        <v>405</v>
      </c>
      <c r="Z441" s="36">
        <f>IFERROR(IF(Y441=0,"",ROUNDUP(Y441/H441,0)*0.02175),"")</f>
        <v>0.58724999999999994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410.47066666666672</v>
      </c>
      <c r="BN441" s="64">
        <f t="shared" si="63"/>
        <v>417.69</v>
      </c>
      <c r="BO441" s="64">
        <f t="shared" si="64"/>
        <v>0.55277777777777781</v>
      </c>
      <c r="BP441" s="64">
        <f t="shared" si="65"/>
        <v>0.5625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607</v>
      </c>
      <c r="Y442" s="634">
        <f t="shared" si="61"/>
        <v>615</v>
      </c>
      <c r="Z442" s="36">
        <f>IFERROR(IF(Y442=0,"",ROUNDUP(Y442/H442,0)*0.02175),"")</f>
        <v>0.89174999999999993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626.01933333333341</v>
      </c>
      <c r="BN442" s="64">
        <f t="shared" si="63"/>
        <v>634.2700000000001</v>
      </c>
      <c r="BO442" s="64">
        <f t="shared" si="64"/>
        <v>0.84305555555555556</v>
      </c>
      <c r="BP442" s="64">
        <f t="shared" si="65"/>
        <v>0.85416666666666663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7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158.80000000000001</v>
      </c>
      <c r="Y446" s="635">
        <f>IFERROR(Y438/H438,"0")+IFERROR(Y439/H439,"0")+IFERROR(Y440/H440,"0")+IFERROR(Y441/H441,"0")+IFERROR(Y442/H442,"0")+IFERROR(Y443/H443,"0")+IFERROR(Y444/H444,"0")+IFERROR(Y445/H445,"0")</f>
        <v>160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3.48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2382</v>
      </c>
      <c r="Y447" s="635">
        <f>IFERROR(SUM(Y438:Y445),"0")</f>
        <v>2400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1037</v>
      </c>
      <c r="Y449" s="634">
        <f>IFERROR(IF(X449="",0,CEILING((X449/$H449),1)*$H449),"")</f>
        <v>1050</v>
      </c>
      <c r="Z449" s="36">
        <f>IFERROR(IF(Y449=0,"",ROUNDUP(Y449/H449,0)*0.02175),"")</f>
        <v>1.5225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1069.4926666666668</v>
      </c>
      <c r="BN449" s="64">
        <f>IFERROR(Y449*I449/H449,"0")</f>
        <v>1082.9000000000001</v>
      </c>
      <c r="BO449" s="64">
        <f>IFERROR(1/J449*(X449/H449),"0")</f>
        <v>1.4402777777777778</v>
      </c>
      <c r="BP449" s="64">
        <f>IFERROR(1/J449*(Y449/H449),"0")</f>
        <v>1.4583333333333333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7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69.13333333333334</v>
      </c>
      <c r="Y452" s="635">
        <f>IFERROR(Y449/H449,"0")+IFERROR(Y450/H450,"0")+IFERROR(Y451/H451,"0")</f>
        <v>70</v>
      </c>
      <c r="Z452" s="635">
        <f>IFERROR(IF(Z449="",0,Z449),"0")+IFERROR(IF(Z450="",0,Z450),"0")+IFERROR(IF(Z451="",0,Z451),"0")</f>
        <v>1.5225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1037</v>
      </c>
      <c r="Y453" s="635">
        <f>IFERROR(SUM(Y449:Y451),"0")</f>
        <v>1050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8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61</v>
      </c>
      <c r="Y462" s="634">
        <f>IFERROR(IF(X462="",0,CEILING((X462/$H462),1)*$H462),"")</f>
        <v>63</v>
      </c>
      <c r="Z462" s="36">
        <f>IFERROR(IF(Y462=0,"",ROUNDUP(Y462/H462,0)*0.01898),"")</f>
        <v>0.13286000000000001</v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64.348222222222219</v>
      </c>
      <c r="BN462" s="64">
        <f>IFERROR(Y462*I462/H462,"0")</f>
        <v>66.457999999999998</v>
      </c>
      <c r="BO462" s="64">
        <f>IFERROR(1/J462*(X462/H462),"0")</f>
        <v>0.10590277777777778</v>
      </c>
      <c r="BP462" s="64">
        <f>IFERROR(1/J462*(Y462/H462),"0")</f>
        <v>0.109375</v>
      </c>
    </row>
    <row r="463" spans="1:68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6.7777777777777777</v>
      </c>
      <c r="Y463" s="635">
        <f>IFERROR(Y461/H461,"0")+IFERROR(Y462/H462,"0")</f>
        <v>7</v>
      </c>
      <c r="Z463" s="635">
        <f>IFERROR(IF(Z461="",0,Z461),"0")+IFERROR(IF(Z462="",0,Z462),"0")</f>
        <v>0.13286000000000001</v>
      </c>
      <c r="AA463" s="636"/>
      <c r="AB463" s="636"/>
      <c r="AC463" s="636"/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61</v>
      </c>
      <c r="Y464" s="635">
        <f>IFERROR(SUM(Y461:Y462),"0")</f>
        <v>63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560</v>
      </c>
      <c r="Y476" s="634">
        <f>IFERROR(IF(X476="",0,CEILING((X476/$H476),1)*$H476),"")</f>
        <v>567</v>
      </c>
      <c r="Z476" s="36">
        <f>IFERROR(IF(Y476=0,"",ROUNDUP(Y476/H476,0)*0.01898),"")</f>
        <v>1.19574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590.73777777777775</v>
      </c>
      <c r="BN476" s="64">
        <f>IFERROR(Y476*I476/H476,"0")</f>
        <v>598.12199999999996</v>
      </c>
      <c r="BO476" s="64">
        <f>IFERROR(1/J476*(X476/H476),"0")</f>
        <v>0.97222222222222221</v>
      </c>
      <c r="BP476" s="64">
        <f>IFERROR(1/J476*(Y476/H476),"0")</f>
        <v>0.984375</v>
      </c>
    </row>
    <row r="477" spans="1:68" ht="27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4</v>
      </c>
      <c r="Y477" s="634">
        <f>IFERROR(IF(X477="",0,CEILING((X477/$H477),1)*$H477),"")</f>
        <v>4.8</v>
      </c>
      <c r="Z477" s="36">
        <f>IFERROR(IF(Y477=0,"",ROUNDUP(Y477/H477,0)*0.00651),"")</f>
        <v>1.302E-2</v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4.4400000000000004</v>
      </c>
      <c r="BN477" s="64">
        <f>IFERROR(Y477*I477/H477,"0")</f>
        <v>5.3280000000000003</v>
      </c>
      <c r="BO477" s="64">
        <f>IFERROR(1/J477*(X477/H477),"0")</f>
        <v>9.1575091575091579E-3</v>
      </c>
      <c r="BP477" s="64">
        <f>IFERROR(1/J477*(Y477/H477),"0")</f>
        <v>1.098901098901099E-2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63.888888888888886</v>
      </c>
      <c r="Y479" s="635">
        <f>IFERROR(Y476/H476,"0")+IFERROR(Y477/H477,"0")+IFERROR(Y478/H478,"0")</f>
        <v>65</v>
      </c>
      <c r="Z479" s="635">
        <f>IFERROR(IF(Z476="",0,Z476),"0")+IFERROR(IF(Z477="",0,Z477),"0")+IFERROR(IF(Z478="",0,Z478),"0")</f>
        <v>1.2087600000000001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564</v>
      </c>
      <c r="Y480" s="635">
        <f>IFERROR(SUM(Y476:Y478),"0")</f>
        <v>571.79999999999995</v>
      </c>
      <c r="Z480" s="37"/>
      <c r="AA480" s="636"/>
      <c r="AB480" s="636"/>
      <c r="AC480" s="636"/>
    </row>
    <row r="481" spans="1:68" ht="27.75" hidden="1" customHeight="1" x14ac:dyDescent="0.2">
      <c r="A481" s="685" t="s">
        <v>762</v>
      </c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6"/>
      <c r="M481" s="686"/>
      <c r="N481" s="686"/>
      <c r="O481" s="686"/>
      <c r="P481" s="686"/>
      <c r="Q481" s="686"/>
      <c r="R481" s="686"/>
      <c r="S481" s="686"/>
      <c r="T481" s="686"/>
      <c r="U481" s="686"/>
      <c r="V481" s="686"/>
      <c r="W481" s="686"/>
      <c r="X481" s="686"/>
      <c r="Y481" s="686"/>
      <c r="Z481" s="686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7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85" t="s">
        <v>795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27</v>
      </c>
      <c r="Y510" s="634">
        <f t="shared" ref="Y510:Y517" si="71">IFERROR(IF(X510="",0,CEILING((X510/$H510),1)*$H510),"")</f>
        <v>31.68</v>
      </c>
      <c r="Z510" s="36">
        <f>IFERROR(IF(Y510=0,"",ROUNDUP(Y510/H510,0)*0.01196),"")</f>
        <v>7.1760000000000004E-2</v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28.789772727272723</v>
      </c>
      <c r="BN510" s="64">
        <f t="shared" ref="BN510:BN517" si="73">IFERROR(Y510*I510/H510,"0")</f>
        <v>33.779999999999994</v>
      </c>
      <c r="BO510" s="64">
        <f t="shared" ref="BO510:BO517" si="74">IFERROR(1/J510*(X510/H510),"0")</f>
        <v>4.9169580419580416E-2</v>
      </c>
      <c r="BP510" s="64">
        <f t="shared" ref="BP510:BP517" si="75">IFERROR(1/J510*(Y510/H510),"0")</f>
        <v>5.7692307692307696E-2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50</v>
      </c>
      <c r="Y512" s="634">
        <f t="shared" si="71"/>
        <v>52.800000000000004</v>
      </c>
      <c r="Z512" s="36">
        <f>IFERROR(IF(Y512=0,"",ROUNDUP(Y512/H512,0)*0.01196),"")</f>
        <v>0.1196</v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53.314393939393938</v>
      </c>
      <c r="BN512" s="64">
        <f t="shared" si="73"/>
        <v>56.3</v>
      </c>
      <c r="BO512" s="64">
        <f t="shared" si="74"/>
        <v>9.1054778554778545E-2</v>
      </c>
      <c r="BP512" s="64">
        <f t="shared" si="75"/>
        <v>9.6153846153846159E-2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138</v>
      </c>
      <c r="Y513" s="634">
        <f t="shared" si="71"/>
        <v>142.56</v>
      </c>
      <c r="Z513" s="36">
        <f>IFERROR(IF(Y513=0,"",ROUNDUP(Y513/H513,0)*0.01196),"")</f>
        <v>0.32291999999999998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147.14772727272725</v>
      </c>
      <c r="BN513" s="64">
        <f t="shared" si="73"/>
        <v>152.01</v>
      </c>
      <c r="BO513" s="64">
        <f t="shared" si="74"/>
        <v>0.2513111888111888</v>
      </c>
      <c r="BP513" s="64">
        <f t="shared" si="75"/>
        <v>0.25961538461538464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320</v>
      </c>
      <c r="Y514" s="634">
        <f t="shared" si="71"/>
        <v>322.08000000000004</v>
      </c>
      <c r="Z514" s="36">
        <f>IFERROR(IF(Y514=0,"",ROUNDUP(Y514/H514,0)*0.01196),"")</f>
        <v>0.72955999999999999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341.21212121212119</v>
      </c>
      <c r="BN514" s="64">
        <f t="shared" si="73"/>
        <v>343.43000000000006</v>
      </c>
      <c r="BO514" s="64">
        <f t="shared" si="74"/>
        <v>0.58275058275058278</v>
      </c>
      <c r="BP514" s="64">
        <f t="shared" si="75"/>
        <v>0.58653846153846168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7</v>
      </c>
      <c r="Y516" s="634">
        <f t="shared" si="71"/>
        <v>9.6</v>
      </c>
      <c r="Z516" s="36">
        <f>IFERROR(IF(Y516=0,"",ROUNDUP(Y516/H516,0)*0.00902),"")</f>
        <v>1.804E-2</v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10.077083333333334</v>
      </c>
      <c r="BN516" s="64">
        <f t="shared" si="73"/>
        <v>13.82</v>
      </c>
      <c r="BO516" s="64">
        <f t="shared" si="74"/>
        <v>1.10479797979798E-2</v>
      </c>
      <c r="BP516" s="64">
        <f t="shared" si="75"/>
        <v>1.5151515151515152E-2</v>
      </c>
    </row>
    <row r="517" spans="1:68" ht="27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2</v>
      </c>
      <c r="Y517" s="634">
        <f t="shared" si="71"/>
        <v>4.8</v>
      </c>
      <c r="Z517" s="36">
        <f>IFERROR(IF(Y517=0,"",ROUNDUP(Y517/H517,0)*0.00902),"")</f>
        <v>9.0200000000000002E-3</v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2.8791666666666669</v>
      </c>
      <c r="BN517" s="64">
        <f t="shared" si="73"/>
        <v>6.91</v>
      </c>
      <c r="BO517" s="64">
        <f t="shared" si="74"/>
        <v>3.1565656565656569E-3</v>
      </c>
      <c r="BP517" s="64">
        <f t="shared" si="75"/>
        <v>7.575757575757576E-3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103.20075757575756</v>
      </c>
      <c r="Y518" s="635">
        <f>IFERROR(Y510/H510,"0")+IFERROR(Y511/H511,"0")+IFERROR(Y512/H512,"0")+IFERROR(Y513/H513,"0")+IFERROR(Y514/H514,"0")+IFERROR(Y515/H515,"0")+IFERROR(Y516/H516,"0")+IFERROR(Y517/H517,"0")</f>
        <v>107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1.2709000000000001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544</v>
      </c>
      <c r="Y519" s="635">
        <f>IFERROR(SUM(Y510:Y517),"0")</f>
        <v>563.5200000000001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1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190</v>
      </c>
      <c r="Y521" s="634">
        <f>IFERROR(IF(X521="",0,CEILING((X521/$H521),1)*$H521),"")</f>
        <v>190.08</v>
      </c>
      <c r="Z521" s="36">
        <f>IFERROR(IF(Y521=0,"",ROUNDUP(Y521/H521,0)*0.01196),"")</f>
        <v>0.43056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202.59469696969697</v>
      </c>
      <c r="BN521" s="64">
        <f>IFERROR(Y521*I521/H521,"0")</f>
        <v>202.67999999999998</v>
      </c>
      <c r="BO521" s="64">
        <f>IFERROR(1/J521*(X521/H521),"0")</f>
        <v>0.34600815850815853</v>
      </c>
      <c r="BP521" s="64">
        <f>IFERROR(1/J521*(Y521/H521),"0")</f>
        <v>0.34615384615384615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46</v>
      </c>
      <c r="Y523" s="634">
        <f>IFERROR(IF(X523="",0,CEILING((X523/$H523),1)*$H523),"")</f>
        <v>48</v>
      </c>
      <c r="Z523" s="36">
        <f>IFERROR(IF(Y523=0,"",ROUNDUP(Y523/H523,0)*0.00902),"")</f>
        <v>9.0200000000000002E-2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66.220833333333346</v>
      </c>
      <c r="BN523" s="64">
        <f>IFERROR(Y523*I523/H523,"0")</f>
        <v>69.100000000000009</v>
      </c>
      <c r="BO523" s="64">
        <f>IFERROR(1/J523*(X523/H523),"0")</f>
        <v>7.2601010101010111E-2</v>
      </c>
      <c r="BP523" s="64">
        <f>IFERROR(1/J523*(Y523/H523),"0")</f>
        <v>7.575757575757576E-2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45.56818181818182</v>
      </c>
      <c r="Y524" s="635">
        <f>IFERROR(Y521/H521,"0")+IFERROR(Y522/H522,"0")+IFERROR(Y523/H523,"0")</f>
        <v>46</v>
      </c>
      <c r="Z524" s="635">
        <f>IFERROR(IF(Z521="",0,Z521),"0")+IFERROR(IF(Z522="",0,Z522),"0")+IFERROR(IF(Z523="",0,Z523),"0")</f>
        <v>0.52076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236</v>
      </c>
      <c r="Y525" s="635">
        <f>IFERROR(SUM(Y521:Y523),"0")</f>
        <v>238.08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56</v>
      </c>
      <c r="Y527" s="634">
        <f t="shared" ref="Y527:Y533" si="76">IFERROR(IF(X527="",0,CEILING((X527/$H527),1)*$H527),"")</f>
        <v>58.080000000000005</v>
      </c>
      <c r="Z527" s="36">
        <f>IFERROR(IF(Y527=0,"",ROUNDUP(Y527/H527,0)*0.01196),"")</f>
        <v>0.13156000000000001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59.712121212121204</v>
      </c>
      <c r="BN527" s="64">
        <f t="shared" ref="BN527:BN533" si="78">IFERROR(Y527*I527/H527,"0")</f>
        <v>61.93</v>
      </c>
      <c r="BO527" s="64">
        <f t="shared" ref="BO527:BO533" si="79">IFERROR(1/J527*(X527/H527),"0")</f>
        <v>0.10198135198135198</v>
      </c>
      <c r="BP527" s="64">
        <f t="shared" ref="BP527:BP533" si="80">IFERROR(1/J527*(Y527/H527),"0")</f>
        <v>0.10576923076923078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160</v>
      </c>
      <c r="Y528" s="634">
        <f t="shared" si="76"/>
        <v>163.68</v>
      </c>
      <c r="Z528" s="36">
        <f>IFERROR(IF(Y528=0,"",ROUNDUP(Y528/H528,0)*0.01196),"")</f>
        <v>0.37075999999999998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170.60606060606059</v>
      </c>
      <c r="BN528" s="64">
        <f t="shared" si="78"/>
        <v>174.53</v>
      </c>
      <c r="BO528" s="64">
        <f t="shared" si="79"/>
        <v>0.29137529137529139</v>
      </c>
      <c r="BP528" s="64">
        <f t="shared" si="80"/>
        <v>0.29807692307692307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168</v>
      </c>
      <c r="Y529" s="634">
        <f t="shared" si="76"/>
        <v>168.96</v>
      </c>
      <c r="Z529" s="36">
        <f>IFERROR(IF(Y529=0,"",ROUNDUP(Y529/H529,0)*0.01196),"")</f>
        <v>0.38272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179.13636363636363</v>
      </c>
      <c r="BN529" s="64">
        <f t="shared" si="78"/>
        <v>180.16</v>
      </c>
      <c r="BO529" s="64">
        <f t="shared" si="79"/>
        <v>0.30594405594405594</v>
      </c>
      <c r="BP529" s="64">
        <f t="shared" si="80"/>
        <v>0.30769230769230771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18</v>
      </c>
      <c r="Y533" s="634">
        <f t="shared" si="76"/>
        <v>19.2</v>
      </c>
      <c r="Z533" s="36">
        <f>IFERROR(IF(Y533=0,"",ROUNDUP(Y533/H533,0)*0.00902),"")</f>
        <v>3.6080000000000001E-2</v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25.012500000000003</v>
      </c>
      <c r="BN533" s="64">
        <f t="shared" si="78"/>
        <v>26.68</v>
      </c>
      <c r="BO533" s="64">
        <f t="shared" si="79"/>
        <v>2.8409090909090912E-2</v>
      </c>
      <c r="BP533" s="64">
        <f t="shared" si="80"/>
        <v>3.0303030303030304E-2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76.47727272727272</v>
      </c>
      <c r="Y534" s="635">
        <f>IFERROR(Y527/H527,"0")+IFERROR(Y528/H528,"0")+IFERROR(Y529/H529,"0")+IFERROR(Y530/H530,"0")+IFERROR(Y531/H531,"0")+IFERROR(Y532/H532,"0")+IFERROR(Y533/H533,"0")</f>
        <v>78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0.92112000000000005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402</v>
      </c>
      <c r="Y535" s="635">
        <f>IFERROR(SUM(Y527:Y533),"0")</f>
        <v>409.92</v>
      </c>
      <c r="Z535" s="37"/>
      <c r="AA535" s="636"/>
      <c r="AB535" s="636"/>
      <c r="AC535" s="636"/>
    </row>
    <row r="536" spans="1:68" ht="27.75" hidden="1" customHeight="1" x14ac:dyDescent="0.2">
      <c r="A536" s="685" t="s">
        <v>839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3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9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0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1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805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806"/>
      <c r="P564" s="698" t="s">
        <v>861</v>
      </c>
      <c r="Q564" s="699"/>
      <c r="R564" s="699"/>
      <c r="S564" s="699"/>
      <c r="T564" s="699"/>
      <c r="U564" s="699"/>
      <c r="V564" s="700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11901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12140.419999999998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806"/>
      <c r="P565" s="698" t="s">
        <v>862</v>
      </c>
      <c r="Q565" s="699"/>
      <c r="R565" s="699"/>
      <c r="S565" s="699"/>
      <c r="T565" s="699"/>
      <c r="U565" s="699"/>
      <c r="V565" s="700"/>
      <c r="W565" s="37" t="s">
        <v>67</v>
      </c>
      <c r="X565" s="635">
        <f>IFERROR(SUM(BM22:BM561),"0")</f>
        <v>12570.875937449768</v>
      </c>
      <c r="Y565" s="635">
        <f>IFERROR(SUM(BN22:BN561),"0")</f>
        <v>12828.262000000002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806"/>
      <c r="P566" s="698" t="s">
        <v>863</v>
      </c>
      <c r="Q566" s="699"/>
      <c r="R566" s="699"/>
      <c r="S566" s="699"/>
      <c r="T566" s="699"/>
      <c r="U566" s="699"/>
      <c r="V566" s="700"/>
      <c r="W566" s="37" t="s">
        <v>864</v>
      </c>
      <c r="X566" s="38">
        <f>ROUNDUP(SUM(BO22:BO561),0)</f>
        <v>21</v>
      </c>
      <c r="Y566" s="38">
        <f>ROUNDUP(SUM(BP22:BP561),0)</f>
        <v>22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806"/>
      <c r="P567" s="698" t="s">
        <v>865</v>
      </c>
      <c r="Q567" s="699"/>
      <c r="R567" s="699"/>
      <c r="S567" s="699"/>
      <c r="T567" s="699"/>
      <c r="U567" s="699"/>
      <c r="V567" s="700"/>
      <c r="W567" s="37" t="s">
        <v>67</v>
      </c>
      <c r="X567" s="635">
        <f>GrossWeightTotal+PalletQtyTotal*25</f>
        <v>13095.875937449768</v>
      </c>
      <c r="Y567" s="635">
        <f>GrossWeightTotalR+PalletQtyTotalR*25</f>
        <v>13378.262000000002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806"/>
      <c r="P568" s="698" t="s">
        <v>866</v>
      </c>
      <c r="Q568" s="699"/>
      <c r="R568" s="699"/>
      <c r="S568" s="699"/>
      <c r="T568" s="699"/>
      <c r="U568" s="699"/>
      <c r="V568" s="700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2079.3248439450517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2125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806"/>
      <c r="P569" s="698" t="s">
        <v>867</v>
      </c>
      <c r="Q569" s="699"/>
      <c r="R569" s="699"/>
      <c r="S569" s="699"/>
      <c r="T569" s="699"/>
      <c r="U569" s="699"/>
      <c r="V569" s="700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24.61374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78" t="s">
        <v>117</v>
      </c>
      <c r="E571" s="982"/>
      <c r="F571" s="982"/>
      <c r="G571" s="982"/>
      <c r="H571" s="982"/>
      <c r="I571" s="982"/>
      <c r="J571" s="809"/>
      <c r="K571" s="678" t="s">
        <v>332</v>
      </c>
      <c r="L571" s="982"/>
      <c r="M571" s="982"/>
      <c r="N571" s="982"/>
      <c r="O571" s="982"/>
      <c r="P571" s="982"/>
      <c r="Q571" s="982"/>
      <c r="R571" s="982"/>
      <c r="S571" s="982"/>
      <c r="T571" s="982"/>
      <c r="U571" s="982"/>
      <c r="V571" s="982"/>
      <c r="W571" s="809"/>
      <c r="X571" s="678" t="s">
        <v>696</v>
      </c>
      <c r="Y571" s="809"/>
      <c r="Z571" s="678" t="s">
        <v>762</v>
      </c>
      <c r="AA571" s="809"/>
      <c r="AB571" s="630" t="s">
        <v>795</v>
      </c>
      <c r="AC571" s="678" t="s">
        <v>839</v>
      </c>
      <c r="AD571" s="809"/>
      <c r="AF571" s="631"/>
    </row>
    <row r="572" spans="1:68" ht="14.25" customHeight="1" thickTop="1" x14ac:dyDescent="0.2">
      <c r="A572" s="689" t="s">
        <v>870</v>
      </c>
      <c r="B572" s="678" t="s">
        <v>61</v>
      </c>
      <c r="C572" s="678" t="s">
        <v>101</v>
      </c>
      <c r="D572" s="678" t="s">
        <v>118</v>
      </c>
      <c r="E572" s="678" t="s">
        <v>134</v>
      </c>
      <c r="F572" s="678" t="s">
        <v>180</v>
      </c>
      <c r="G572" s="678" t="s">
        <v>204</v>
      </c>
      <c r="H572" s="678" t="s">
        <v>246</v>
      </c>
      <c r="I572" s="678" t="s">
        <v>259</v>
      </c>
      <c r="J572" s="678" t="s">
        <v>117</v>
      </c>
      <c r="K572" s="678" t="s">
        <v>333</v>
      </c>
      <c r="L572" s="678" t="s">
        <v>354</v>
      </c>
      <c r="M572" s="678" t="s">
        <v>418</v>
      </c>
      <c r="N572" s="631"/>
      <c r="O572" s="678" t="s">
        <v>484</v>
      </c>
      <c r="P572" s="678" t="s">
        <v>519</v>
      </c>
      <c r="Q572" s="678" t="s">
        <v>541</v>
      </c>
      <c r="R572" s="678" t="s">
        <v>550</v>
      </c>
      <c r="S572" s="678" t="s">
        <v>572</v>
      </c>
      <c r="T572" s="678" t="s">
        <v>579</v>
      </c>
      <c r="U572" s="678" t="s">
        <v>588</v>
      </c>
      <c r="V572" s="678" t="s">
        <v>674</v>
      </c>
      <c r="W572" s="678" t="s">
        <v>686</v>
      </c>
      <c r="X572" s="678" t="s">
        <v>697</v>
      </c>
      <c r="Y572" s="678" t="s">
        <v>746</v>
      </c>
      <c r="Z572" s="678" t="s">
        <v>763</v>
      </c>
      <c r="AA572" s="678" t="s">
        <v>783</v>
      </c>
      <c r="AB572" s="678" t="s">
        <v>795</v>
      </c>
      <c r="AC572" s="678" t="s">
        <v>839</v>
      </c>
      <c r="AD572" s="678" t="s">
        <v>857</v>
      </c>
      <c r="AF572" s="631"/>
    </row>
    <row r="573" spans="1:68" ht="13.5" customHeight="1" thickBot="1" x14ac:dyDescent="0.25">
      <c r="A573" s="690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31"/>
      <c r="O573" s="679"/>
      <c r="P573" s="679"/>
      <c r="Q573" s="679"/>
      <c r="R573" s="679"/>
      <c r="S573" s="679"/>
      <c r="T573" s="679"/>
      <c r="U573" s="679"/>
      <c r="V573" s="679"/>
      <c r="W573" s="679"/>
      <c r="X573" s="679"/>
      <c r="Y573" s="679"/>
      <c r="Z573" s="679"/>
      <c r="AA573" s="679"/>
      <c r="AB573" s="679"/>
      <c r="AC573" s="679"/>
      <c r="AD573" s="679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36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562.20000000000005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696.2</v>
      </c>
      <c r="F574" s="46">
        <f>IFERROR(Y89*1,"0")+IFERROR(Y90*1,"0")+IFERROR(Y91*1,"0")+IFERROR(Y92*1,"0")+IFERROR(Y93*1,"0")+IFERROR(Y94*1,"0")+IFERROR(Y98*1,"0")+IFERROR(Y99*1,"0")+IFERROR(Y100*1,"0")+IFERROR(Y101*1,"0")</f>
        <v>598.54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728.16000000000008</v>
      </c>
      <c r="H574" s="46">
        <f>IFERROR(Y135*1,"0")+IFERROR(Y136*1,"0")+IFERROR(Y140*1,"0")+IFERROR(Y141*1,"0")+IFERROR(Y145*1,"0")+IFERROR(Y146*1,"0")</f>
        <v>57.44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892.82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451.34000000000003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1727.1000000000001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51.8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60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374.4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591.29999999999995</v>
      </c>
      <c r="V574" s="46">
        <f>IFERROR(Y422*1,"0")+IFERROR(Y423*1,"0")+IFERROR(Y424*1,"0")+IFERROR(Y425*1,"0")</f>
        <v>0</v>
      </c>
      <c r="W574" s="46">
        <f>IFERROR(Y430*1,"0")+IFERROR(Y431*1,"0")+IFERROR(Y432*1,"0")</f>
        <v>16.8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3513</v>
      </c>
      <c r="Y574" s="46">
        <f>IFERROR(Y467*1,"0")+IFERROR(Y468*1,"0")+IFERROR(Y472*1,"0")+IFERROR(Y476*1,"0")+IFERROR(Y477*1,"0")+IFERROR(Y478*1,"0")</f>
        <v>571.79999999999995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1211.5200000000002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7,00"/>
        <filter val="1 073,00"/>
        <filter val="1,01"/>
        <filter val="100,00"/>
        <filter val="103,20"/>
        <filter val="105,00"/>
        <filter val="109,00"/>
        <filter val="11 901,00"/>
        <filter val="11,00"/>
        <filter val="11,41"/>
        <filter val="110,00"/>
        <filter val="114,00"/>
        <filter val="12 570,88"/>
        <filter val="12,00"/>
        <filter val="124,00"/>
        <filter val="13 095,88"/>
        <filter val="13,33"/>
        <filter val="131,30"/>
        <filter val="138,00"/>
        <filter val="14,00"/>
        <filter val="158,80"/>
        <filter val="16,00"/>
        <filter val="16,44"/>
        <filter val="160,00"/>
        <filter val="168,00"/>
        <filter val="169,00"/>
        <filter val="17,00"/>
        <filter val="18,00"/>
        <filter val="18,89"/>
        <filter val="180,00"/>
        <filter val="186,07"/>
        <filter val="190,00"/>
        <filter val="2 079,32"/>
        <filter val="2 382,00"/>
        <filter val="2,00"/>
        <filter val="2,08"/>
        <filter val="2,78"/>
        <filter val="20,00"/>
        <filter val="204,00"/>
        <filter val="21"/>
        <filter val="21,00"/>
        <filter val="219,00"/>
        <filter val="221,00"/>
        <filter val="23,00"/>
        <filter val="236,00"/>
        <filter val="24,00"/>
        <filter val="24,17"/>
        <filter val="244,00"/>
        <filter val="249,00"/>
        <filter val="25,99"/>
        <filter val="27,00"/>
        <filter val="271,25"/>
        <filter val="28,00"/>
        <filter val="283,00"/>
        <filter val="29,00"/>
        <filter val="293,00"/>
        <filter val="3,17"/>
        <filter val="3,45"/>
        <filter val="30,00"/>
        <filter val="31,00"/>
        <filter val="32,00"/>
        <filter val="320,00"/>
        <filter val="34,00"/>
        <filter val="345,00"/>
        <filter val="36,00"/>
        <filter val="364,00"/>
        <filter val="379,00"/>
        <filter val="38,00"/>
        <filter val="381,23"/>
        <filter val="393,00"/>
        <filter val="398,00"/>
        <filter val="4,00"/>
        <filter val="4,54"/>
        <filter val="4,76"/>
        <filter val="40,00"/>
        <filter val="402,00"/>
        <filter val="407,00"/>
        <filter val="428,00"/>
        <filter val="432,00"/>
        <filter val="44,00"/>
        <filter val="45,00"/>
        <filter val="45,57"/>
        <filter val="46,00"/>
        <filter val="46,67"/>
        <filter val="481,00"/>
        <filter val="49,00"/>
        <filter val="5,00"/>
        <filter val="5,30"/>
        <filter val="5,31"/>
        <filter val="50,00"/>
        <filter val="527,00"/>
        <filter val="530,00"/>
        <filter val="540,00"/>
        <filter val="544,00"/>
        <filter val="55,00"/>
        <filter val="55,68"/>
        <filter val="56,00"/>
        <filter val="56,03"/>
        <filter val="560,00"/>
        <filter val="561,00"/>
        <filter val="564,00"/>
        <filter val="58,00"/>
        <filter val="6,00"/>
        <filter val="6,78"/>
        <filter val="60,42"/>
        <filter val="607,00"/>
        <filter val="61,00"/>
        <filter val="615,00"/>
        <filter val="62,00"/>
        <filter val="63,89"/>
        <filter val="630,00"/>
        <filter val="64,00"/>
        <filter val="69,00"/>
        <filter val="69,13"/>
        <filter val="7,00"/>
        <filter val="7,50"/>
        <filter val="7,62"/>
        <filter val="70,00"/>
        <filter val="71,00"/>
        <filter val="74,00"/>
        <filter val="747,00"/>
        <filter val="75,68"/>
        <filter val="76,48"/>
        <filter val="78,40"/>
        <filter val="85,00"/>
        <filter val="884,00"/>
        <filter val="89,00"/>
        <filter val="9,02"/>
        <filter val="91,00"/>
        <filter val="96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P439:T439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342:T342"/>
    <mergeCell ref="D323:E323"/>
    <mergeCell ref="P260:T260"/>
    <mergeCell ref="A210:O211"/>
    <mergeCell ref="P166:T166"/>
    <mergeCell ref="D445:E445"/>
    <mergeCell ref="P402:T402"/>
    <mergeCell ref="D516:E516"/>
    <mergeCell ref="D301:E301"/>
    <mergeCell ref="D245:E245"/>
    <mergeCell ref="A505:O506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D249:E249"/>
    <mergeCell ref="D276:E27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P83:T83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P146:T146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43:T543"/>
    <mergeCell ref="D424:E424"/>
    <mergeCell ref="P224:T224"/>
    <mergeCell ref="P322:T322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D530:E530"/>
    <mergeCell ref="A406:O407"/>
    <mergeCell ref="A263:Z263"/>
    <mergeCell ref="P264:T264"/>
    <mergeCell ref="P239:T239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40:O541"/>
    <mergeCell ref="D381:E381"/>
    <mergeCell ref="A345:Z345"/>
    <mergeCell ref="A250:O251"/>
    <mergeCell ref="D380:E380"/>
    <mergeCell ref="D209:E20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514:E514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D296:E296"/>
    <mergeCell ref="D269:E269"/>
    <mergeCell ref="D152:E152"/>
    <mergeCell ref="D271:E271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