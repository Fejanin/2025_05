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D28457E-A1E0-4D7A-94F2-533D11A1F23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M555" i="1"/>
  <c r="Y555" i="1"/>
  <c r="P555" i="1"/>
  <c r="X553" i="1"/>
  <c r="X552" i="1"/>
  <c r="BO551" i="1"/>
  <c r="BM551" i="1"/>
  <c r="Y551" i="1"/>
  <c r="P551" i="1"/>
  <c r="X549" i="1"/>
  <c r="X548" i="1"/>
  <c r="BO547" i="1"/>
  <c r="BM547" i="1"/>
  <c r="Y547" i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5" i="1"/>
  <c r="X534" i="1"/>
  <c r="BO533" i="1"/>
  <c r="BM533" i="1"/>
  <c r="Y533" i="1"/>
  <c r="BN533" i="1" s="1"/>
  <c r="P533" i="1"/>
  <c r="BO532" i="1"/>
  <c r="BM532" i="1"/>
  <c r="Y532" i="1"/>
  <c r="P532" i="1"/>
  <c r="BO531" i="1"/>
  <c r="BM531" i="1"/>
  <c r="Y531" i="1"/>
  <c r="P531" i="1"/>
  <c r="BO530" i="1"/>
  <c r="BM530" i="1"/>
  <c r="Y530" i="1"/>
  <c r="P530" i="1"/>
  <c r="BO529" i="1"/>
  <c r="BN529" i="1"/>
  <c r="BM529" i="1"/>
  <c r="Y529" i="1"/>
  <c r="BP529" i="1" s="1"/>
  <c r="P529" i="1"/>
  <c r="BO528" i="1"/>
  <c r="BM528" i="1"/>
  <c r="Y528" i="1"/>
  <c r="P528" i="1"/>
  <c r="BO527" i="1"/>
  <c r="BM527" i="1"/>
  <c r="Y527" i="1"/>
  <c r="P527" i="1"/>
  <c r="X525" i="1"/>
  <c r="X524" i="1"/>
  <c r="BO523" i="1"/>
  <c r="BM523" i="1"/>
  <c r="Y523" i="1"/>
  <c r="BN523" i="1" s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BN513" i="1" s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P486" i="1" s="1"/>
  <c r="P486" i="1"/>
  <c r="BO485" i="1"/>
  <c r="BN485" i="1"/>
  <c r="BM485" i="1"/>
  <c r="Y485" i="1"/>
  <c r="BP485" i="1" s="1"/>
  <c r="P485" i="1"/>
  <c r="BO484" i="1"/>
  <c r="BM484" i="1"/>
  <c r="Y484" i="1"/>
  <c r="P484" i="1"/>
  <c r="X480" i="1"/>
  <c r="X479" i="1"/>
  <c r="BO478" i="1"/>
  <c r="BM478" i="1"/>
  <c r="Y478" i="1"/>
  <c r="BP478" i="1" s="1"/>
  <c r="P478" i="1"/>
  <c r="BO477" i="1"/>
  <c r="BM477" i="1"/>
  <c r="Y477" i="1"/>
  <c r="P477" i="1"/>
  <c r="BO476" i="1"/>
  <c r="BM476" i="1"/>
  <c r="Y476" i="1"/>
  <c r="Y479" i="1" s="1"/>
  <c r="P476" i="1"/>
  <c r="X474" i="1"/>
  <c r="X473" i="1"/>
  <c r="BO472" i="1"/>
  <c r="BM472" i="1"/>
  <c r="Y472" i="1"/>
  <c r="Y473" i="1" s="1"/>
  <c r="P472" i="1"/>
  <c r="X470" i="1"/>
  <c r="X469" i="1"/>
  <c r="BO468" i="1"/>
  <c r="BM468" i="1"/>
  <c r="Y468" i="1"/>
  <c r="BP468" i="1" s="1"/>
  <c r="P468" i="1"/>
  <c r="BO467" i="1"/>
  <c r="BN467" i="1"/>
  <c r="BM467" i="1"/>
  <c r="Y467" i="1"/>
  <c r="BP467" i="1" s="1"/>
  <c r="P467" i="1"/>
  <c r="X464" i="1"/>
  <c r="X463" i="1"/>
  <c r="BO462" i="1"/>
  <c r="BM462" i="1"/>
  <c r="Y462" i="1"/>
  <c r="P462" i="1"/>
  <c r="BO461" i="1"/>
  <c r="BM461" i="1"/>
  <c r="Y461" i="1"/>
  <c r="Y464" i="1" s="1"/>
  <c r="P461" i="1"/>
  <c r="X459" i="1"/>
  <c r="X458" i="1"/>
  <c r="BO457" i="1"/>
  <c r="BM457" i="1"/>
  <c r="Y457" i="1"/>
  <c r="BP457" i="1" s="1"/>
  <c r="P457" i="1"/>
  <c r="BO456" i="1"/>
  <c r="BN456" i="1"/>
  <c r="BM456" i="1"/>
  <c r="Y456" i="1"/>
  <c r="BP456" i="1" s="1"/>
  <c r="P456" i="1"/>
  <c r="BO455" i="1"/>
  <c r="BM455" i="1"/>
  <c r="Y455" i="1"/>
  <c r="P455" i="1"/>
  <c r="X453" i="1"/>
  <c r="X452" i="1"/>
  <c r="BO451" i="1"/>
  <c r="BM451" i="1"/>
  <c r="Y451" i="1"/>
  <c r="BP451" i="1" s="1"/>
  <c r="P451" i="1"/>
  <c r="BO450" i="1"/>
  <c r="BM450" i="1"/>
  <c r="Y450" i="1"/>
  <c r="P450" i="1"/>
  <c r="BO449" i="1"/>
  <c r="BM449" i="1"/>
  <c r="Y449" i="1"/>
  <c r="Y452" i="1" s="1"/>
  <c r="P449" i="1"/>
  <c r="X447" i="1"/>
  <c r="X446" i="1"/>
  <c r="BO445" i="1"/>
  <c r="BM445" i="1"/>
  <c r="Y445" i="1"/>
  <c r="BP445" i="1" s="1"/>
  <c r="P445" i="1"/>
  <c r="BP444" i="1"/>
  <c r="BO444" i="1"/>
  <c r="BN444" i="1"/>
  <c r="BM444" i="1"/>
  <c r="Z444" i="1"/>
  <c r="Y444" i="1"/>
  <c r="P444" i="1"/>
  <c r="BO443" i="1"/>
  <c r="BM443" i="1"/>
  <c r="Y443" i="1"/>
  <c r="BP443" i="1" s="1"/>
  <c r="P443" i="1"/>
  <c r="BO442" i="1"/>
  <c r="BM442" i="1"/>
  <c r="Y442" i="1"/>
  <c r="P442" i="1"/>
  <c r="BO441" i="1"/>
  <c r="BM441" i="1"/>
  <c r="Y441" i="1"/>
  <c r="BP441" i="1" s="1"/>
  <c r="P441" i="1"/>
  <c r="BO440" i="1"/>
  <c r="BM440" i="1"/>
  <c r="Y440" i="1"/>
  <c r="BN440" i="1" s="1"/>
  <c r="P440" i="1"/>
  <c r="BO439" i="1"/>
  <c r="BM439" i="1"/>
  <c r="Y439" i="1"/>
  <c r="BP439" i="1" s="1"/>
  <c r="P439" i="1"/>
  <c r="BO438" i="1"/>
  <c r="BM438" i="1"/>
  <c r="Y438" i="1"/>
  <c r="P438" i="1"/>
  <c r="X434" i="1"/>
  <c r="X433" i="1"/>
  <c r="BP432" i="1"/>
  <c r="BO432" i="1"/>
  <c r="BN432" i="1"/>
  <c r="BM432" i="1"/>
  <c r="Z432" i="1"/>
  <c r="Y432" i="1"/>
  <c r="P432" i="1"/>
  <c r="BO431" i="1"/>
  <c r="BM431" i="1"/>
  <c r="Y431" i="1"/>
  <c r="BP431" i="1" s="1"/>
  <c r="P431" i="1"/>
  <c r="BO430" i="1"/>
  <c r="BM430" i="1"/>
  <c r="Y430" i="1"/>
  <c r="P430" i="1"/>
  <c r="X427" i="1"/>
  <c r="X426" i="1"/>
  <c r="BO425" i="1"/>
  <c r="BN425" i="1"/>
  <c r="BM425" i="1"/>
  <c r="Y425" i="1"/>
  <c r="BP425" i="1" s="1"/>
  <c r="P425" i="1"/>
  <c r="BO424" i="1"/>
  <c r="BM424" i="1"/>
  <c r="Y424" i="1"/>
  <c r="BP424" i="1" s="1"/>
  <c r="P424" i="1"/>
  <c r="BO423" i="1"/>
  <c r="BM423" i="1"/>
  <c r="Y423" i="1"/>
  <c r="BO422" i="1"/>
  <c r="BM422" i="1"/>
  <c r="Y422" i="1"/>
  <c r="P422" i="1"/>
  <c r="X419" i="1"/>
  <c r="X418" i="1"/>
  <c r="BO417" i="1"/>
  <c r="BN417" i="1"/>
  <c r="BM417" i="1"/>
  <c r="Y417" i="1"/>
  <c r="BP417" i="1" s="1"/>
  <c r="P417" i="1"/>
  <c r="BO416" i="1"/>
  <c r="BM416" i="1"/>
  <c r="Y416" i="1"/>
  <c r="BP416" i="1" s="1"/>
  <c r="P416" i="1"/>
  <c r="BO415" i="1"/>
  <c r="BM415" i="1"/>
  <c r="Y415" i="1"/>
  <c r="P415" i="1"/>
  <c r="X413" i="1"/>
  <c r="X412" i="1"/>
  <c r="BO411" i="1"/>
  <c r="BN411" i="1"/>
  <c r="BM411" i="1"/>
  <c r="Y411" i="1"/>
  <c r="BP411" i="1" s="1"/>
  <c r="P411" i="1"/>
  <c r="BO410" i="1"/>
  <c r="BM410" i="1"/>
  <c r="Y410" i="1"/>
  <c r="BP410" i="1" s="1"/>
  <c r="P410" i="1"/>
  <c r="BO409" i="1"/>
  <c r="BM409" i="1"/>
  <c r="Y409" i="1"/>
  <c r="P409" i="1"/>
  <c r="X407" i="1"/>
  <c r="X406" i="1"/>
  <c r="BO405" i="1"/>
  <c r="BM405" i="1"/>
  <c r="Y405" i="1"/>
  <c r="BN405" i="1" s="1"/>
  <c r="P405" i="1"/>
  <c r="BO404" i="1"/>
  <c r="BM404" i="1"/>
  <c r="Y404" i="1"/>
  <c r="BP404" i="1" s="1"/>
  <c r="P404" i="1"/>
  <c r="BO403" i="1"/>
  <c r="BM403" i="1"/>
  <c r="Y403" i="1"/>
  <c r="P403" i="1"/>
  <c r="BO402" i="1"/>
  <c r="BM402" i="1"/>
  <c r="Y402" i="1"/>
  <c r="Y407" i="1" s="1"/>
  <c r="P402" i="1"/>
  <c r="X400" i="1"/>
  <c r="X399" i="1"/>
  <c r="BO398" i="1"/>
  <c r="BM398" i="1"/>
  <c r="Y398" i="1"/>
  <c r="BP398" i="1" s="1"/>
  <c r="P398" i="1"/>
  <c r="BP397" i="1"/>
  <c r="BO397" i="1"/>
  <c r="BM397" i="1"/>
  <c r="Z397" i="1"/>
  <c r="Y397" i="1"/>
  <c r="BN397" i="1" s="1"/>
  <c r="P397" i="1"/>
  <c r="BO396" i="1"/>
  <c r="BM396" i="1"/>
  <c r="Y396" i="1"/>
  <c r="P396" i="1"/>
  <c r="X394" i="1"/>
  <c r="X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BP384" i="1" s="1"/>
  <c r="P384" i="1"/>
  <c r="BO383" i="1"/>
  <c r="BN383" i="1"/>
  <c r="BM383" i="1"/>
  <c r="Y383" i="1"/>
  <c r="BP383" i="1" s="1"/>
  <c r="P383" i="1"/>
  <c r="BO382" i="1"/>
  <c r="BM382" i="1"/>
  <c r="Y382" i="1"/>
  <c r="BP382" i="1" s="1"/>
  <c r="P382" i="1"/>
  <c r="BO381" i="1"/>
  <c r="BM381" i="1"/>
  <c r="Y381" i="1"/>
  <c r="P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X377" i="1"/>
  <c r="X376" i="1"/>
  <c r="BO375" i="1"/>
  <c r="BN375" i="1"/>
  <c r="BM375" i="1"/>
  <c r="Y375" i="1"/>
  <c r="BP375" i="1" s="1"/>
  <c r="P375" i="1"/>
  <c r="BO374" i="1"/>
  <c r="BM374" i="1"/>
  <c r="Y374" i="1"/>
  <c r="BP374" i="1" s="1"/>
  <c r="P374" i="1"/>
  <c r="BO373" i="1"/>
  <c r="BM373" i="1"/>
  <c r="Y373" i="1"/>
  <c r="P373" i="1"/>
  <c r="BO372" i="1"/>
  <c r="BM372" i="1"/>
  <c r="Y372" i="1"/>
  <c r="BP372" i="1" s="1"/>
  <c r="P372" i="1"/>
  <c r="BP371" i="1"/>
  <c r="BO371" i="1"/>
  <c r="BN371" i="1"/>
  <c r="BM371" i="1"/>
  <c r="Z371" i="1"/>
  <c r="Y371" i="1"/>
  <c r="P371" i="1"/>
  <c r="BO370" i="1"/>
  <c r="BM370" i="1"/>
  <c r="Y370" i="1"/>
  <c r="BP370" i="1" s="1"/>
  <c r="P370" i="1"/>
  <c r="BO369" i="1"/>
  <c r="BM369" i="1"/>
  <c r="Y369" i="1"/>
  <c r="P369" i="1"/>
  <c r="X366" i="1"/>
  <c r="X365" i="1"/>
  <c r="BO364" i="1"/>
  <c r="BN364" i="1"/>
  <c r="BM364" i="1"/>
  <c r="Y364" i="1"/>
  <c r="BP364" i="1" s="1"/>
  <c r="P364" i="1"/>
  <c r="BO363" i="1"/>
  <c r="BM363" i="1"/>
  <c r="Y363" i="1"/>
  <c r="BP363" i="1" s="1"/>
  <c r="P363" i="1"/>
  <c r="BO362" i="1"/>
  <c r="BM362" i="1"/>
  <c r="Y362" i="1"/>
  <c r="P362" i="1"/>
  <c r="X359" i="1"/>
  <c r="X358" i="1"/>
  <c r="BO357" i="1"/>
  <c r="BM357" i="1"/>
  <c r="Y357" i="1"/>
  <c r="P357" i="1"/>
  <c r="X355" i="1"/>
  <c r="X354" i="1"/>
  <c r="BO353" i="1"/>
  <c r="BM353" i="1"/>
  <c r="Y353" i="1"/>
  <c r="P353" i="1"/>
  <c r="X350" i="1"/>
  <c r="X349" i="1"/>
  <c r="BO348" i="1"/>
  <c r="BM348" i="1"/>
  <c r="Y348" i="1"/>
  <c r="BN348" i="1" s="1"/>
  <c r="P348" i="1"/>
  <c r="BO347" i="1"/>
  <c r="BM347" i="1"/>
  <c r="Y347" i="1"/>
  <c r="BP347" i="1" s="1"/>
  <c r="P347" i="1"/>
  <c r="BO346" i="1"/>
  <c r="BM346" i="1"/>
  <c r="Y346" i="1"/>
  <c r="P346" i="1"/>
  <c r="X344" i="1"/>
  <c r="X343" i="1"/>
  <c r="BP342" i="1"/>
  <c r="BO342" i="1"/>
  <c r="BM342" i="1"/>
  <c r="Z342" i="1"/>
  <c r="Y342" i="1"/>
  <c r="BN342" i="1" s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Z334" i="1" s="1"/>
  <c r="P334" i="1"/>
  <c r="BO333" i="1"/>
  <c r="BM333" i="1"/>
  <c r="Y333" i="1"/>
  <c r="P333" i="1"/>
  <c r="BO332" i="1"/>
  <c r="BM332" i="1"/>
  <c r="Y332" i="1"/>
  <c r="P332" i="1"/>
  <c r="X329" i="1"/>
  <c r="X328" i="1"/>
  <c r="BP327" i="1"/>
  <c r="BO327" i="1"/>
  <c r="BM327" i="1"/>
  <c r="Z327" i="1"/>
  <c r="Y327" i="1"/>
  <c r="BN327" i="1" s="1"/>
  <c r="P327" i="1"/>
  <c r="BO326" i="1"/>
  <c r="BM326" i="1"/>
  <c r="Y326" i="1"/>
  <c r="BP326" i="1" s="1"/>
  <c r="P326" i="1"/>
  <c r="BO325" i="1"/>
  <c r="BM325" i="1"/>
  <c r="Y325" i="1"/>
  <c r="P325" i="1"/>
  <c r="BO324" i="1"/>
  <c r="BM324" i="1"/>
  <c r="Y324" i="1"/>
  <c r="BP324" i="1" s="1"/>
  <c r="P324" i="1"/>
  <c r="BO323" i="1"/>
  <c r="BM323" i="1"/>
  <c r="Y323" i="1"/>
  <c r="BN323" i="1" s="1"/>
  <c r="P323" i="1"/>
  <c r="BO322" i="1"/>
  <c r="BM322" i="1"/>
  <c r="Y322" i="1"/>
  <c r="P322" i="1"/>
  <c r="BO321" i="1"/>
  <c r="BM321" i="1"/>
  <c r="Y321" i="1"/>
  <c r="P321" i="1"/>
  <c r="X318" i="1"/>
  <c r="X317" i="1"/>
  <c r="BP316" i="1"/>
  <c r="BO316" i="1"/>
  <c r="BM316" i="1"/>
  <c r="Z316" i="1"/>
  <c r="Y316" i="1"/>
  <c r="BN316" i="1" s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Y317" i="1" s="1"/>
  <c r="P313" i="1"/>
  <c r="X311" i="1"/>
  <c r="X310" i="1"/>
  <c r="BO309" i="1"/>
  <c r="BM309" i="1"/>
  <c r="Y309" i="1"/>
  <c r="Y311" i="1" s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BP297" i="1" s="1"/>
  <c r="P297" i="1"/>
  <c r="BP296" i="1"/>
  <c r="BO296" i="1"/>
  <c r="BM296" i="1"/>
  <c r="Z296" i="1"/>
  <c r="Y296" i="1"/>
  <c r="BN296" i="1" s="1"/>
  <c r="P296" i="1"/>
  <c r="BO295" i="1"/>
  <c r="BM295" i="1"/>
  <c r="Y295" i="1"/>
  <c r="P295" i="1"/>
  <c r="X292" i="1"/>
  <c r="X291" i="1"/>
  <c r="BO290" i="1"/>
  <c r="BM290" i="1"/>
  <c r="Y290" i="1"/>
  <c r="P290" i="1"/>
  <c r="BO289" i="1"/>
  <c r="BM289" i="1"/>
  <c r="Y289" i="1"/>
  <c r="P289" i="1"/>
  <c r="X287" i="1"/>
  <c r="X286" i="1"/>
  <c r="BO285" i="1"/>
  <c r="BM285" i="1"/>
  <c r="Y285" i="1"/>
  <c r="BN285" i="1" s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N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BP276" i="1" s="1"/>
  <c r="P276" i="1"/>
  <c r="BO275" i="1"/>
  <c r="BM275" i="1"/>
  <c r="Y275" i="1"/>
  <c r="P275" i="1"/>
  <c r="X273" i="1"/>
  <c r="X272" i="1"/>
  <c r="BO271" i="1"/>
  <c r="BN271" i="1"/>
  <c r="BM271" i="1"/>
  <c r="Y271" i="1"/>
  <c r="BP271" i="1" s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2" i="1"/>
  <c r="X261" i="1"/>
  <c r="BO260" i="1"/>
  <c r="BM260" i="1"/>
  <c r="Y260" i="1"/>
  <c r="BP260" i="1" s="1"/>
  <c r="P260" i="1"/>
  <c r="BO259" i="1"/>
  <c r="BN259" i="1"/>
  <c r="BM259" i="1"/>
  <c r="Y259" i="1"/>
  <c r="BP259" i="1" s="1"/>
  <c r="P259" i="1"/>
  <c r="X257" i="1"/>
  <c r="X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Y251" i="1" s="1"/>
  <c r="P249" i="1"/>
  <c r="X247" i="1"/>
  <c r="X246" i="1"/>
  <c r="BO245" i="1"/>
  <c r="BM245" i="1"/>
  <c r="Y245" i="1"/>
  <c r="BP245" i="1" s="1"/>
  <c r="P245" i="1"/>
  <c r="BO244" i="1"/>
  <c r="BM244" i="1"/>
  <c r="Y244" i="1"/>
  <c r="BN244" i="1" s="1"/>
  <c r="P244" i="1"/>
  <c r="BO243" i="1"/>
  <c r="BM243" i="1"/>
  <c r="Y243" i="1"/>
  <c r="P243" i="1"/>
  <c r="X241" i="1"/>
  <c r="X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P236" i="1"/>
  <c r="BO236" i="1"/>
  <c r="BM236" i="1"/>
  <c r="Z236" i="1"/>
  <c r="Y236" i="1"/>
  <c r="BN236" i="1" s="1"/>
  <c r="P236" i="1"/>
  <c r="BO235" i="1"/>
  <c r="BM235" i="1"/>
  <c r="Y235" i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N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BN220" i="1" s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N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N205" i="1"/>
  <c r="BM205" i="1"/>
  <c r="Y205" i="1"/>
  <c r="BP205" i="1" s="1"/>
  <c r="P205" i="1"/>
  <c r="BO204" i="1"/>
  <c r="BM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N189" i="1"/>
  <c r="BM189" i="1"/>
  <c r="Y189" i="1"/>
  <c r="BP189" i="1" s="1"/>
  <c r="P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BN181" i="1" s="1"/>
  <c r="P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N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BN171" i="1" s="1"/>
  <c r="P171" i="1"/>
  <c r="BO170" i="1"/>
  <c r="BM170" i="1"/>
  <c r="Y170" i="1"/>
  <c r="Y172" i="1" s="1"/>
  <c r="P170" i="1"/>
  <c r="X168" i="1"/>
  <c r="X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X160" i="1"/>
  <c r="Y159" i="1"/>
  <c r="X159" i="1"/>
  <c r="BO158" i="1"/>
  <c r="BN158" i="1"/>
  <c r="BM158" i="1"/>
  <c r="Y158" i="1"/>
  <c r="Y160" i="1" s="1"/>
  <c r="P158" i="1"/>
  <c r="X156" i="1"/>
  <c r="X155" i="1"/>
  <c r="BO154" i="1"/>
  <c r="BM154" i="1"/>
  <c r="Y154" i="1"/>
  <c r="P154" i="1"/>
  <c r="BO153" i="1"/>
  <c r="BM153" i="1"/>
  <c r="Y153" i="1"/>
  <c r="BP153" i="1" s="1"/>
  <c r="P153" i="1"/>
  <c r="BO152" i="1"/>
  <c r="BM152" i="1"/>
  <c r="Y152" i="1"/>
  <c r="BN152" i="1" s="1"/>
  <c r="P152" i="1"/>
  <c r="BO151" i="1"/>
  <c r="BM151" i="1"/>
  <c r="Y151" i="1"/>
  <c r="P151" i="1"/>
  <c r="X148" i="1"/>
  <c r="X147" i="1"/>
  <c r="BO146" i="1"/>
  <c r="BM146" i="1"/>
  <c r="Y146" i="1"/>
  <c r="P146" i="1"/>
  <c r="BO145" i="1"/>
  <c r="BM145" i="1"/>
  <c r="Y145" i="1"/>
  <c r="P145" i="1"/>
  <c r="X143" i="1"/>
  <c r="X142" i="1"/>
  <c r="BO141" i="1"/>
  <c r="BN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O136" i="1"/>
  <c r="BM136" i="1"/>
  <c r="Y136" i="1"/>
  <c r="P136" i="1"/>
  <c r="BO135" i="1"/>
  <c r="BM135" i="1"/>
  <c r="Y135" i="1"/>
  <c r="P135" i="1"/>
  <c r="X132" i="1"/>
  <c r="X131" i="1"/>
  <c r="BO130" i="1"/>
  <c r="BM130" i="1"/>
  <c r="Y130" i="1"/>
  <c r="P130" i="1"/>
  <c r="X128" i="1"/>
  <c r="X127" i="1"/>
  <c r="BO126" i="1"/>
  <c r="BM126" i="1"/>
  <c r="Y126" i="1"/>
  <c r="BN126" i="1" s="1"/>
  <c r="P126" i="1"/>
  <c r="BO125" i="1"/>
  <c r="BM125" i="1"/>
  <c r="Y125" i="1"/>
  <c r="BP125" i="1" s="1"/>
  <c r="P125" i="1"/>
  <c r="BO124" i="1"/>
  <c r="BM124" i="1"/>
  <c r="Y124" i="1"/>
  <c r="P124" i="1"/>
  <c r="BO123" i="1"/>
  <c r="BM123" i="1"/>
  <c r="Y123" i="1"/>
  <c r="Y127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N112" i="1"/>
  <c r="BM112" i="1"/>
  <c r="Y112" i="1"/>
  <c r="BP112" i="1" s="1"/>
  <c r="P112" i="1"/>
  <c r="BO111" i="1"/>
  <c r="BM111" i="1"/>
  <c r="Y111" i="1"/>
  <c r="P111" i="1"/>
  <c r="BO110" i="1"/>
  <c r="BM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N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BO98" i="1"/>
  <c r="BM98" i="1"/>
  <c r="Y98" i="1"/>
  <c r="BN98" i="1" s="1"/>
  <c r="P98" i="1"/>
  <c r="X96" i="1"/>
  <c r="X95" i="1"/>
  <c r="BO94" i="1"/>
  <c r="BM94" i="1"/>
  <c r="Y94" i="1"/>
  <c r="BP94" i="1" s="1"/>
  <c r="P94" i="1"/>
  <c r="BO93" i="1"/>
  <c r="BN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BO90" i="1"/>
  <c r="BM90" i="1"/>
  <c r="Y90" i="1"/>
  <c r="BP90" i="1" s="1"/>
  <c r="P90" i="1"/>
  <c r="BO89" i="1"/>
  <c r="BN89" i="1"/>
  <c r="BM89" i="1"/>
  <c r="Y89" i="1"/>
  <c r="BP89" i="1" s="1"/>
  <c r="P89" i="1"/>
  <c r="X86" i="1"/>
  <c r="X85" i="1"/>
  <c r="BO84" i="1"/>
  <c r="BM84" i="1"/>
  <c r="Y84" i="1"/>
  <c r="P84" i="1"/>
  <c r="BO83" i="1"/>
  <c r="BM83" i="1"/>
  <c r="Y83" i="1"/>
  <c r="Y85" i="1" s="1"/>
  <c r="P83" i="1"/>
  <c r="BO82" i="1"/>
  <c r="BN82" i="1"/>
  <c r="BM82" i="1"/>
  <c r="Y82" i="1"/>
  <c r="BP82" i="1" s="1"/>
  <c r="P82" i="1"/>
  <c r="X80" i="1"/>
  <c r="X79" i="1"/>
  <c r="BO78" i="1"/>
  <c r="BM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N72" i="1"/>
  <c r="BM72" i="1"/>
  <c r="Y72" i="1"/>
  <c r="BP72" i="1" s="1"/>
  <c r="P72" i="1"/>
  <c r="BO71" i="1"/>
  <c r="BM71" i="1"/>
  <c r="Y71" i="1"/>
  <c r="P71" i="1"/>
  <c r="BO70" i="1"/>
  <c r="BM70" i="1"/>
  <c r="Y70" i="1"/>
  <c r="P70" i="1"/>
  <c r="X68" i="1"/>
  <c r="X67" i="1"/>
  <c r="BO66" i="1"/>
  <c r="BN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Z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N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P43" i="1"/>
  <c r="BO43" i="1"/>
  <c r="BM43" i="1"/>
  <c r="Z43" i="1"/>
  <c r="Y43" i="1"/>
  <c r="BN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N35" i="1"/>
  <c r="BM35" i="1"/>
  <c r="Y35" i="1"/>
  <c r="BP35" i="1" s="1"/>
  <c r="P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N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X565" i="1" s="1"/>
  <c r="Y22" i="1"/>
  <c r="P22" i="1"/>
  <c r="H10" i="1"/>
  <c r="A9" i="1"/>
  <c r="A10" i="1" s="1"/>
  <c r="D7" i="1"/>
  <c r="Q6" i="1"/>
  <c r="P2" i="1"/>
  <c r="Z51" i="1" l="1"/>
  <c r="Z126" i="1"/>
  <c r="Z152" i="1"/>
  <c r="BP152" i="1"/>
  <c r="Z171" i="1"/>
  <c r="BP171" i="1"/>
  <c r="Z181" i="1"/>
  <c r="BP181" i="1"/>
  <c r="Z220" i="1"/>
  <c r="BP220" i="1"/>
  <c r="Z244" i="1"/>
  <c r="BP244" i="1"/>
  <c r="Z285" i="1"/>
  <c r="BP285" i="1"/>
  <c r="Z323" i="1"/>
  <c r="BP323" i="1"/>
  <c r="Z348" i="1"/>
  <c r="BP348" i="1"/>
  <c r="Z405" i="1"/>
  <c r="BP405" i="1"/>
  <c r="Z440" i="1"/>
  <c r="BP440" i="1"/>
  <c r="Z513" i="1"/>
  <c r="BP513" i="1"/>
  <c r="Z523" i="1"/>
  <c r="BP523" i="1"/>
  <c r="Z533" i="1"/>
  <c r="BP533" i="1"/>
  <c r="BP51" i="1"/>
  <c r="BP126" i="1"/>
  <c r="X568" i="1"/>
  <c r="Z27" i="1"/>
  <c r="Z66" i="1"/>
  <c r="Z82" i="1"/>
  <c r="Z93" i="1"/>
  <c r="Z141" i="1"/>
  <c r="Z158" i="1"/>
  <c r="Z159" i="1" s="1"/>
  <c r="BP158" i="1"/>
  <c r="Y168" i="1"/>
  <c r="Z177" i="1"/>
  <c r="Z189" i="1"/>
  <c r="Z209" i="1"/>
  <c r="Z259" i="1"/>
  <c r="Y272" i="1"/>
  <c r="Z271" i="1"/>
  <c r="Z281" i="1"/>
  <c r="Z364" i="1"/>
  <c r="Z375" i="1"/>
  <c r="Z383" i="1"/>
  <c r="Z411" i="1"/>
  <c r="Z467" i="1"/>
  <c r="Z529" i="1"/>
  <c r="Z35" i="1"/>
  <c r="Y56" i="1"/>
  <c r="Z72" i="1"/>
  <c r="Z89" i="1"/>
  <c r="Z101" i="1"/>
  <c r="Z112" i="1"/>
  <c r="Z205" i="1"/>
  <c r="Z228" i="1"/>
  <c r="Z417" i="1"/>
  <c r="Z425" i="1"/>
  <c r="Z456" i="1"/>
  <c r="Z485" i="1"/>
  <c r="Y74" i="1"/>
  <c r="BP70" i="1"/>
  <c r="BN70" i="1"/>
  <c r="Z70" i="1"/>
  <c r="BP84" i="1"/>
  <c r="BN84" i="1"/>
  <c r="Z84" i="1"/>
  <c r="BP99" i="1"/>
  <c r="BN99" i="1"/>
  <c r="Z99" i="1"/>
  <c r="BP110" i="1"/>
  <c r="BN110" i="1"/>
  <c r="Z110" i="1"/>
  <c r="BP124" i="1"/>
  <c r="BN124" i="1"/>
  <c r="Z124" i="1"/>
  <c r="Y147" i="1"/>
  <c r="BP145" i="1"/>
  <c r="BN145" i="1"/>
  <c r="Z145" i="1"/>
  <c r="BP165" i="1"/>
  <c r="BN165" i="1"/>
  <c r="Z165" i="1"/>
  <c r="BP179" i="1"/>
  <c r="BN179" i="1"/>
  <c r="Z179" i="1"/>
  <c r="Y195" i="1"/>
  <c r="Y194" i="1"/>
  <c r="BP193" i="1"/>
  <c r="BN193" i="1"/>
  <c r="Z193" i="1"/>
  <c r="Z194" i="1" s="1"/>
  <c r="Y199" i="1"/>
  <c r="Y198" i="1"/>
  <c r="BP197" i="1"/>
  <c r="BN197" i="1"/>
  <c r="Z197" i="1"/>
  <c r="Z198" i="1" s="1"/>
  <c r="BP203" i="1"/>
  <c r="BN203" i="1"/>
  <c r="Z203" i="1"/>
  <c r="Y215" i="1"/>
  <c r="BP214" i="1"/>
  <c r="BN214" i="1"/>
  <c r="Z214" i="1"/>
  <c r="Z215" i="1" s="1"/>
  <c r="Y233" i="1"/>
  <c r="BP218" i="1"/>
  <c r="BN218" i="1"/>
  <c r="Z218" i="1"/>
  <c r="BP226" i="1"/>
  <c r="BN226" i="1"/>
  <c r="Z226" i="1"/>
  <c r="BP238" i="1"/>
  <c r="BN238" i="1"/>
  <c r="Z238" i="1"/>
  <c r="BP265" i="1"/>
  <c r="BN265" i="1"/>
  <c r="Z265" i="1"/>
  <c r="Y286" i="1"/>
  <c r="BP275" i="1"/>
  <c r="BN275" i="1"/>
  <c r="Z275" i="1"/>
  <c r="BP283" i="1"/>
  <c r="BN283" i="1"/>
  <c r="Z283" i="1"/>
  <c r="BP298" i="1"/>
  <c r="BN298" i="1"/>
  <c r="Z298" i="1"/>
  <c r="BP321" i="1"/>
  <c r="BN321" i="1"/>
  <c r="Z321" i="1"/>
  <c r="BP332" i="1"/>
  <c r="BN332" i="1"/>
  <c r="Z332" i="1"/>
  <c r="Y350" i="1"/>
  <c r="BP346" i="1"/>
  <c r="BN346" i="1"/>
  <c r="Z346" i="1"/>
  <c r="U574" i="1"/>
  <c r="BP369" i="1"/>
  <c r="BN369" i="1"/>
  <c r="Z369" i="1"/>
  <c r="BP385" i="1"/>
  <c r="BN385" i="1"/>
  <c r="Z385" i="1"/>
  <c r="BP403" i="1"/>
  <c r="BN403" i="1"/>
  <c r="Z403" i="1"/>
  <c r="Y419" i="1"/>
  <c r="BP415" i="1"/>
  <c r="BN415" i="1"/>
  <c r="Z415" i="1"/>
  <c r="BP423" i="1"/>
  <c r="BN423" i="1"/>
  <c r="Z423" i="1"/>
  <c r="Y447" i="1"/>
  <c r="BP438" i="1"/>
  <c r="BN438" i="1"/>
  <c r="Z438" i="1"/>
  <c r="BP450" i="1"/>
  <c r="BN450" i="1"/>
  <c r="Z450" i="1"/>
  <c r="BP477" i="1"/>
  <c r="BN477" i="1"/>
  <c r="Z477" i="1"/>
  <c r="BP511" i="1"/>
  <c r="BN511" i="1"/>
  <c r="Z511" i="1"/>
  <c r="BP521" i="1"/>
  <c r="BN521" i="1"/>
  <c r="Z521" i="1"/>
  <c r="BP531" i="1"/>
  <c r="BN531" i="1"/>
  <c r="Z531" i="1"/>
  <c r="B574" i="1"/>
  <c r="X566" i="1"/>
  <c r="X567" i="1" s="1"/>
  <c r="X564" i="1"/>
  <c r="Y32" i="1"/>
  <c r="Z29" i="1"/>
  <c r="BN29" i="1"/>
  <c r="Z41" i="1"/>
  <c r="BN41" i="1"/>
  <c r="Z45" i="1"/>
  <c r="BN45" i="1"/>
  <c r="Z53" i="1"/>
  <c r="BN53" i="1"/>
  <c r="E574" i="1"/>
  <c r="BP60" i="1"/>
  <c r="BN60" i="1"/>
  <c r="BP64" i="1"/>
  <c r="BN64" i="1"/>
  <c r="Z64" i="1"/>
  <c r="BP78" i="1"/>
  <c r="BN78" i="1"/>
  <c r="Z78" i="1"/>
  <c r="BP91" i="1"/>
  <c r="BN91" i="1"/>
  <c r="Z91" i="1"/>
  <c r="BP106" i="1"/>
  <c r="BN106" i="1"/>
  <c r="Z106" i="1"/>
  <c r="Y120" i="1"/>
  <c r="BP116" i="1"/>
  <c r="BN116" i="1"/>
  <c r="Z116" i="1"/>
  <c r="Y132" i="1"/>
  <c r="Y131" i="1"/>
  <c r="BP130" i="1"/>
  <c r="BN130" i="1"/>
  <c r="Z130" i="1"/>
  <c r="Z131" i="1" s="1"/>
  <c r="BP135" i="1"/>
  <c r="BN135" i="1"/>
  <c r="Z135" i="1"/>
  <c r="BP154" i="1"/>
  <c r="BN154" i="1"/>
  <c r="Z154" i="1"/>
  <c r="Y185" i="1"/>
  <c r="BP175" i="1"/>
  <c r="BN175" i="1"/>
  <c r="Z175" i="1"/>
  <c r="BP183" i="1"/>
  <c r="BN183" i="1"/>
  <c r="Z183" i="1"/>
  <c r="BP207" i="1"/>
  <c r="BN207" i="1"/>
  <c r="Z207" i="1"/>
  <c r="BP222" i="1"/>
  <c r="BN222" i="1"/>
  <c r="Z222" i="1"/>
  <c r="BP230" i="1"/>
  <c r="BN230" i="1"/>
  <c r="Z230" i="1"/>
  <c r="M574" i="1"/>
  <c r="BP255" i="1"/>
  <c r="BN255" i="1"/>
  <c r="Z255" i="1"/>
  <c r="BP269" i="1"/>
  <c r="BN269" i="1"/>
  <c r="Z269" i="1"/>
  <c r="BP279" i="1"/>
  <c r="BN279" i="1"/>
  <c r="Z279" i="1"/>
  <c r="Y291" i="1"/>
  <c r="BP289" i="1"/>
  <c r="BN289" i="1"/>
  <c r="Z289" i="1"/>
  <c r="BP314" i="1"/>
  <c r="BN314" i="1"/>
  <c r="Z314" i="1"/>
  <c r="BP325" i="1"/>
  <c r="BN325" i="1"/>
  <c r="Z325" i="1"/>
  <c r="BP340" i="1"/>
  <c r="BN340" i="1"/>
  <c r="Z340" i="1"/>
  <c r="Y355" i="1"/>
  <c r="Y354" i="1"/>
  <c r="BP353" i="1"/>
  <c r="BN353" i="1"/>
  <c r="Z353" i="1"/>
  <c r="Z354" i="1" s="1"/>
  <c r="Y359" i="1"/>
  <c r="Y358" i="1"/>
  <c r="BP357" i="1"/>
  <c r="BN357" i="1"/>
  <c r="Z357" i="1"/>
  <c r="Z358" i="1" s="1"/>
  <c r="Y365" i="1"/>
  <c r="BP362" i="1"/>
  <c r="BN362" i="1"/>
  <c r="Z362" i="1"/>
  <c r="BP373" i="1"/>
  <c r="BN373" i="1"/>
  <c r="Z373" i="1"/>
  <c r="Y75" i="1"/>
  <c r="Y86" i="1"/>
  <c r="Y113" i="1"/>
  <c r="Y121" i="1"/>
  <c r="Y138" i="1"/>
  <c r="Y148" i="1"/>
  <c r="I574" i="1"/>
  <c r="Y186" i="1"/>
  <c r="Y210" i="1"/>
  <c r="Y241" i="1"/>
  <c r="Y247" i="1"/>
  <c r="Y262" i="1"/>
  <c r="Y292" i="1"/>
  <c r="O574" i="1"/>
  <c r="Y328" i="1"/>
  <c r="Y336" i="1"/>
  <c r="BP381" i="1"/>
  <c r="BN381" i="1"/>
  <c r="Z381" i="1"/>
  <c r="BP391" i="1"/>
  <c r="BN391" i="1"/>
  <c r="Z391" i="1"/>
  <c r="Y413" i="1"/>
  <c r="BP409" i="1"/>
  <c r="BN409" i="1"/>
  <c r="Z409" i="1"/>
  <c r="BP422" i="1"/>
  <c r="BN422" i="1"/>
  <c r="Z422" i="1"/>
  <c r="Y434" i="1"/>
  <c r="BP430" i="1"/>
  <c r="BN430" i="1"/>
  <c r="Z430" i="1"/>
  <c r="BP442" i="1"/>
  <c r="BN442" i="1"/>
  <c r="Z442" i="1"/>
  <c r="BP462" i="1"/>
  <c r="BN462" i="1"/>
  <c r="Z462" i="1"/>
  <c r="BP487" i="1"/>
  <c r="BN487" i="1"/>
  <c r="Z487" i="1"/>
  <c r="BP515" i="1"/>
  <c r="BN515" i="1"/>
  <c r="Z515" i="1"/>
  <c r="Y535" i="1"/>
  <c r="BP527" i="1"/>
  <c r="BN527" i="1"/>
  <c r="Z527" i="1"/>
  <c r="Y541" i="1"/>
  <c r="Y540" i="1"/>
  <c r="BP539" i="1"/>
  <c r="BN539" i="1"/>
  <c r="Z539" i="1"/>
  <c r="Z540" i="1" s="1"/>
  <c r="Y545" i="1"/>
  <c r="Y544" i="1"/>
  <c r="BP543" i="1"/>
  <c r="BN543" i="1"/>
  <c r="Z543" i="1"/>
  <c r="Z544" i="1" s="1"/>
  <c r="Y549" i="1"/>
  <c r="Y548" i="1"/>
  <c r="BP547" i="1"/>
  <c r="BN547" i="1"/>
  <c r="Z547" i="1"/>
  <c r="Z548" i="1" s="1"/>
  <c r="Y553" i="1"/>
  <c r="Y552" i="1"/>
  <c r="BP551" i="1"/>
  <c r="BN551" i="1"/>
  <c r="Z551" i="1"/>
  <c r="Z552" i="1" s="1"/>
  <c r="BP555" i="1"/>
  <c r="BN555" i="1"/>
  <c r="Z555" i="1"/>
  <c r="Y387" i="1"/>
  <c r="Y393" i="1"/>
  <c r="Y399" i="1"/>
  <c r="Y458" i="1"/>
  <c r="Y574" i="1"/>
  <c r="AA574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6" i="1" s="1"/>
  <c r="BN34" i="1"/>
  <c r="BP34" i="1"/>
  <c r="Y37" i="1"/>
  <c r="C574" i="1"/>
  <c r="Z42" i="1"/>
  <c r="BN42" i="1"/>
  <c r="Z44" i="1"/>
  <c r="BN44" i="1"/>
  <c r="Y47" i="1"/>
  <c r="D574" i="1"/>
  <c r="Z52" i="1"/>
  <c r="Z55" i="1" s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BN77" i="1"/>
  <c r="BP77" i="1"/>
  <c r="Y80" i="1"/>
  <c r="Z83" i="1"/>
  <c r="BN83" i="1"/>
  <c r="BP83" i="1"/>
  <c r="F574" i="1"/>
  <c r="Z90" i="1"/>
  <c r="BN90" i="1"/>
  <c r="Z92" i="1"/>
  <c r="BN92" i="1"/>
  <c r="Z94" i="1"/>
  <c r="BN94" i="1"/>
  <c r="Y95" i="1"/>
  <c r="Z98" i="1"/>
  <c r="Z102" i="1" s="1"/>
  <c r="BP100" i="1"/>
  <c r="BN100" i="1"/>
  <c r="Z100" i="1"/>
  <c r="BP109" i="1"/>
  <c r="BN109" i="1"/>
  <c r="Z109" i="1"/>
  <c r="H9" i="1"/>
  <c r="Y24" i="1"/>
  <c r="Y46" i="1"/>
  <c r="Y67" i="1"/>
  <c r="Y96" i="1"/>
  <c r="Y103" i="1"/>
  <c r="BP98" i="1"/>
  <c r="Y102" i="1"/>
  <c r="BP107" i="1"/>
  <c r="BN107" i="1"/>
  <c r="Z107" i="1"/>
  <c r="BP111" i="1"/>
  <c r="BN111" i="1"/>
  <c r="Z111" i="1"/>
  <c r="G574" i="1"/>
  <c r="Y114" i="1"/>
  <c r="Z117" i="1"/>
  <c r="BN117" i="1"/>
  <c r="BP117" i="1"/>
  <c r="Z119" i="1"/>
  <c r="BN119" i="1"/>
  <c r="Z123" i="1"/>
  <c r="BN123" i="1"/>
  <c r="BP123" i="1"/>
  <c r="Z125" i="1"/>
  <c r="BN125" i="1"/>
  <c r="Y128" i="1"/>
  <c r="H574" i="1"/>
  <c r="Z136" i="1"/>
  <c r="BN136" i="1"/>
  <c r="BP136" i="1"/>
  <c r="Y137" i="1"/>
  <c r="Z140" i="1"/>
  <c r="Z142" i="1" s="1"/>
  <c r="BN140" i="1"/>
  <c r="BP140" i="1"/>
  <c r="Y143" i="1"/>
  <c r="Z146" i="1"/>
  <c r="Z147" i="1" s="1"/>
  <c r="BN146" i="1"/>
  <c r="BP146" i="1"/>
  <c r="Z151" i="1"/>
  <c r="BN151" i="1"/>
  <c r="BP151" i="1"/>
  <c r="Z153" i="1"/>
  <c r="BN153" i="1"/>
  <c r="Y156" i="1"/>
  <c r="J574" i="1"/>
  <c r="Z164" i="1"/>
  <c r="BN164" i="1"/>
  <c r="BP164" i="1"/>
  <c r="Z166" i="1"/>
  <c r="BN166" i="1"/>
  <c r="Y167" i="1"/>
  <c r="Z170" i="1"/>
  <c r="Z172" i="1" s="1"/>
  <c r="BN170" i="1"/>
  <c r="BP170" i="1"/>
  <c r="Y173" i="1"/>
  <c r="Z176" i="1"/>
  <c r="BN176" i="1"/>
  <c r="BP176" i="1"/>
  <c r="Z178" i="1"/>
  <c r="BN178" i="1"/>
  <c r="Z180" i="1"/>
  <c r="BN180" i="1"/>
  <c r="Z182" i="1"/>
  <c r="BN182" i="1"/>
  <c r="Z184" i="1"/>
  <c r="BN184" i="1"/>
  <c r="Z188" i="1"/>
  <c r="Z190" i="1" s="1"/>
  <c r="BN188" i="1"/>
  <c r="BP188" i="1"/>
  <c r="Y191" i="1"/>
  <c r="K574" i="1"/>
  <c r="Z204" i="1"/>
  <c r="BN204" i="1"/>
  <c r="BP204" i="1"/>
  <c r="Z206" i="1"/>
  <c r="BN206" i="1"/>
  <c r="Z208" i="1"/>
  <c r="BN208" i="1"/>
  <c r="Y211" i="1"/>
  <c r="L574" i="1"/>
  <c r="Y216" i="1"/>
  <c r="Z219" i="1"/>
  <c r="BN219" i="1"/>
  <c r="Z221" i="1"/>
  <c r="BN221" i="1"/>
  <c r="Z223" i="1"/>
  <c r="BN223" i="1"/>
  <c r="Z225" i="1"/>
  <c r="BN225" i="1"/>
  <c r="Z227" i="1"/>
  <c r="BN227" i="1"/>
  <c r="Z229" i="1"/>
  <c r="BN229" i="1"/>
  <c r="Z231" i="1"/>
  <c r="BN231" i="1"/>
  <c r="Y232" i="1"/>
  <c r="Z235" i="1"/>
  <c r="BN235" i="1"/>
  <c r="BP235" i="1"/>
  <c r="Z237" i="1"/>
  <c r="BN237" i="1"/>
  <c r="Z239" i="1"/>
  <c r="BN239" i="1"/>
  <c r="Y240" i="1"/>
  <c r="Z243" i="1"/>
  <c r="BN243" i="1"/>
  <c r="BP243" i="1"/>
  <c r="Z245" i="1"/>
  <c r="BN245" i="1"/>
  <c r="Y246" i="1"/>
  <c r="Z249" i="1"/>
  <c r="Z250" i="1" s="1"/>
  <c r="BN249" i="1"/>
  <c r="BP249" i="1"/>
  <c r="Y250" i="1"/>
  <c r="Z254" i="1"/>
  <c r="Z256" i="1" s="1"/>
  <c r="BN254" i="1"/>
  <c r="BP254" i="1"/>
  <c r="Y257" i="1"/>
  <c r="Z260" i="1"/>
  <c r="Z261" i="1" s="1"/>
  <c r="BN260" i="1"/>
  <c r="Y261" i="1"/>
  <c r="Z264" i="1"/>
  <c r="BP268" i="1"/>
  <c r="BN268" i="1"/>
  <c r="Z268" i="1"/>
  <c r="Y155" i="1"/>
  <c r="Y256" i="1"/>
  <c r="Y273" i="1"/>
  <c r="BP264" i="1"/>
  <c r="BN264" i="1"/>
  <c r="BP266" i="1"/>
  <c r="BN266" i="1"/>
  <c r="Z266" i="1"/>
  <c r="BP270" i="1"/>
  <c r="BN270" i="1"/>
  <c r="Z270" i="1"/>
  <c r="Z276" i="1"/>
  <c r="BN276" i="1"/>
  <c r="Z278" i="1"/>
  <c r="BN278" i="1"/>
  <c r="Z280" i="1"/>
  <c r="BN280" i="1"/>
  <c r="Z282" i="1"/>
  <c r="BN282" i="1"/>
  <c r="Z284" i="1"/>
  <c r="BN284" i="1"/>
  <c r="Y287" i="1"/>
  <c r="Z290" i="1"/>
  <c r="Z291" i="1" s="1"/>
  <c r="BN290" i="1"/>
  <c r="BP290" i="1"/>
  <c r="Z295" i="1"/>
  <c r="BN295" i="1"/>
  <c r="BP295" i="1"/>
  <c r="Z297" i="1"/>
  <c r="BN297" i="1"/>
  <c r="Z299" i="1"/>
  <c r="BN299" i="1"/>
  <c r="Z301" i="1"/>
  <c r="BN301" i="1"/>
  <c r="Y302" i="1"/>
  <c r="Z305" i="1"/>
  <c r="Z306" i="1" s="1"/>
  <c r="BN305" i="1"/>
  <c r="BP305" i="1"/>
  <c r="Y306" i="1"/>
  <c r="Z309" i="1"/>
  <c r="Z310" i="1" s="1"/>
  <c r="BN309" i="1"/>
  <c r="BP309" i="1"/>
  <c r="Y310" i="1"/>
  <c r="Z313" i="1"/>
  <c r="BN313" i="1"/>
  <c r="BP313" i="1"/>
  <c r="Z315" i="1"/>
  <c r="BN315" i="1"/>
  <c r="Y318" i="1"/>
  <c r="P574" i="1"/>
  <c r="Z322" i="1"/>
  <c r="BN322" i="1"/>
  <c r="BP322" i="1"/>
  <c r="Z324" i="1"/>
  <c r="BN324" i="1"/>
  <c r="Z326" i="1"/>
  <c r="BN326" i="1"/>
  <c r="Y329" i="1"/>
  <c r="Q574" i="1"/>
  <c r="Y335" i="1"/>
  <c r="Z333" i="1"/>
  <c r="Z335" i="1" s="1"/>
  <c r="BN333" i="1"/>
  <c r="BP333" i="1"/>
  <c r="BP334" i="1"/>
  <c r="BN334" i="1"/>
  <c r="BP341" i="1"/>
  <c r="BN341" i="1"/>
  <c r="Z341" i="1"/>
  <c r="Y303" i="1"/>
  <c r="R574" i="1"/>
  <c r="Y344" i="1"/>
  <c r="BP339" i="1"/>
  <c r="BN339" i="1"/>
  <c r="Z339" i="1"/>
  <c r="Y343" i="1"/>
  <c r="Y349" i="1"/>
  <c r="Y376" i="1"/>
  <c r="Y386" i="1"/>
  <c r="Y394" i="1"/>
  <c r="Y400" i="1"/>
  <c r="Y406" i="1"/>
  <c r="Y412" i="1"/>
  <c r="Y418" i="1"/>
  <c r="Y426" i="1"/>
  <c r="Y433" i="1"/>
  <c r="Y453" i="1"/>
  <c r="Y459" i="1"/>
  <c r="Y463" i="1"/>
  <c r="Y470" i="1"/>
  <c r="Y474" i="1"/>
  <c r="Y480" i="1"/>
  <c r="Z574" i="1"/>
  <c r="Y490" i="1"/>
  <c r="BP504" i="1"/>
  <c r="BN504" i="1"/>
  <c r="Z504" i="1"/>
  <c r="Y506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BP530" i="1"/>
  <c r="BN530" i="1"/>
  <c r="Z530" i="1"/>
  <c r="Y534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S574" i="1"/>
  <c r="W574" i="1"/>
  <c r="Z347" i="1"/>
  <c r="Z349" i="1" s="1"/>
  <c r="BN347" i="1"/>
  <c r="T574" i="1"/>
  <c r="Z363" i="1"/>
  <c r="Z365" i="1" s="1"/>
  <c r="BN363" i="1"/>
  <c r="Y366" i="1"/>
  <c r="Z370" i="1"/>
  <c r="BN370" i="1"/>
  <c r="Z372" i="1"/>
  <c r="BN372" i="1"/>
  <c r="Z374" i="1"/>
  <c r="BN374" i="1"/>
  <c r="Y377" i="1"/>
  <c r="Z380" i="1"/>
  <c r="BN380" i="1"/>
  <c r="Z382" i="1"/>
  <c r="BN382" i="1"/>
  <c r="Z384" i="1"/>
  <c r="BN384" i="1"/>
  <c r="Z390" i="1"/>
  <c r="BN390" i="1"/>
  <c r="Z392" i="1"/>
  <c r="BN392" i="1"/>
  <c r="Z396" i="1"/>
  <c r="BN396" i="1"/>
  <c r="BP396" i="1"/>
  <c r="Z398" i="1"/>
  <c r="BN398" i="1"/>
  <c r="Z402" i="1"/>
  <c r="BN402" i="1"/>
  <c r="BP402" i="1"/>
  <c r="Z404" i="1"/>
  <c r="BN404" i="1"/>
  <c r="Z410" i="1"/>
  <c r="Z412" i="1" s="1"/>
  <c r="BN410" i="1"/>
  <c r="Z416" i="1"/>
  <c r="Z418" i="1" s="1"/>
  <c r="BN416" i="1"/>
  <c r="V574" i="1"/>
  <c r="Z424" i="1"/>
  <c r="BN424" i="1"/>
  <c r="Y427" i="1"/>
  <c r="Z431" i="1"/>
  <c r="BN431" i="1"/>
  <c r="X574" i="1"/>
  <c r="Z439" i="1"/>
  <c r="BN439" i="1"/>
  <c r="Z441" i="1"/>
  <c r="BN441" i="1"/>
  <c r="Z443" i="1"/>
  <c r="BN443" i="1"/>
  <c r="Z445" i="1"/>
  <c r="BN445" i="1"/>
  <c r="Y446" i="1"/>
  <c r="Z449" i="1"/>
  <c r="BN449" i="1"/>
  <c r="BP449" i="1"/>
  <c r="Z451" i="1"/>
  <c r="BN451" i="1"/>
  <c r="Z455" i="1"/>
  <c r="BN455" i="1"/>
  <c r="BP455" i="1"/>
  <c r="Z457" i="1"/>
  <c r="BN457" i="1"/>
  <c r="Z461" i="1"/>
  <c r="Z463" i="1" s="1"/>
  <c r="BN461" i="1"/>
  <c r="BP461" i="1"/>
  <c r="Z468" i="1"/>
  <c r="Z469" i="1" s="1"/>
  <c r="BN468" i="1"/>
  <c r="Y469" i="1"/>
  <c r="Z472" i="1"/>
  <c r="Z473" i="1" s="1"/>
  <c r="BN472" i="1"/>
  <c r="BP472" i="1"/>
  <c r="Z476" i="1"/>
  <c r="BN476" i="1"/>
  <c r="BP476" i="1"/>
  <c r="Z478" i="1"/>
  <c r="BN478" i="1"/>
  <c r="Z484" i="1"/>
  <c r="BN484" i="1"/>
  <c r="BP484" i="1"/>
  <c r="Z486" i="1"/>
  <c r="BN486" i="1"/>
  <c r="Z488" i="1"/>
  <c r="BN488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Y500" i="1"/>
  <c r="Y505" i="1"/>
  <c r="BP502" i="1"/>
  <c r="BN502" i="1"/>
  <c r="Z502" i="1"/>
  <c r="Z505" i="1" s="1"/>
  <c r="BP512" i="1"/>
  <c r="BN512" i="1"/>
  <c r="Z512" i="1"/>
  <c r="BP516" i="1"/>
  <c r="BN516" i="1"/>
  <c r="Z516" i="1"/>
  <c r="Y525" i="1"/>
  <c r="Y524" i="1"/>
  <c r="BP528" i="1"/>
  <c r="BN528" i="1"/>
  <c r="Z528" i="1"/>
  <c r="BP532" i="1"/>
  <c r="BN532" i="1"/>
  <c r="Z532" i="1"/>
  <c r="Y557" i="1"/>
  <c r="AC574" i="1"/>
  <c r="Z534" i="1" l="1"/>
  <c r="Z393" i="1"/>
  <c r="Z286" i="1"/>
  <c r="Z433" i="1"/>
  <c r="Z328" i="1"/>
  <c r="Z343" i="1"/>
  <c r="Z524" i="1"/>
  <c r="Z386" i="1"/>
  <c r="Z46" i="1"/>
  <c r="Z479" i="1"/>
  <c r="Z458" i="1"/>
  <c r="Z446" i="1"/>
  <c r="Z426" i="1"/>
  <c r="Z406" i="1"/>
  <c r="Z376" i="1"/>
  <c r="Z232" i="1"/>
  <c r="Z210" i="1"/>
  <c r="Z185" i="1"/>
  <c r="Z167" i="1"/>
  <c r="Z137" i="1"/>
  <c r="Z120" i="1"/>
  <c r="Z113" i="1"/>
  <c r="Z95" i="1"/>
  <c r="Z85" i="1"/>
  <c r="Z79" i="1"/>
  <c r="Z272" i="1"/>
  <c r="Y564" i="1"/>
  <c r="Z67" i="1"/>
  <c r="Y568" i="1"/>
  <c r="Y565" i="1"/>
  <c r="Z490" i="1"/>
  <c r="Z452" i="1"/>
  <c r="Z399" i="1"/>
  <c r="Z518" i="1"/>
  <c r="Z317" i="1"/>
  <c r="Z302" i="1"/>
  <c r="Z246" i="1"/>
  <c r="Z240" i="1"/>
  <c r="Z155" i="1"/>
  <c r="Z127" i="1"/>
  <c r="Z31" i="1"/>
  <c r="Y566" i="1"/>
  <c r="Z569" i="1" l="1"/>
  <c r="Y567" i="1"/>
</calcChain>
</file>

<file path=xl/sharedStrings.xml><?xml version="1.0" encoding="utf-8"?>
<sst xmlns="http://schemas.openxmlformats.org/spreadsheetml/2006/main" count="2538" uniqueCount="917">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</sst>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47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76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42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14" fontId="34" fillId="24" borderId="0" xfId="0" applyNumberFormat="1" applyFont="1" applyFill="1" applyAlignment="1">
      <alignment vertical="center" wrapText="1"/>
    </xf>
    <xf numFmtId="0" fontId="758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0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7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08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2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6" customWidth="1"/>
    <col min="19" max="19" width="6.140625" style="62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6" customWidth="1"/>
    <col min="25" max="25" width="11" style="626" customWidth="1"/>
    <col min="26" max="26" width="10" style="626" customWidth="1"/>
    <col min="27" max="27" width="11.5703125" style="626" customWidth="1"/>
    <col min="28" max="28" width="10.42578125" style="626" customWidth="1"/>
    <col min="29" max="29" width="30" style="62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6" customWidth="1"/>
    <col min="34" max="34" width="9.140625" style="626" customWidth="1"/>
    <col min="35" max="16384" width="9.140625" style="626"/>
  </cols>
  <sheetData>
    <row r="1" spans="1:32" s="630" customFormat="1" ht="45" customHeight="1" x14ac:dyDescent="0.2">
      <c r="A1" s="41"/>
      <c r="B1" s="41"/>
      <c r="C1" s="41"/>
      <c r="D1" s="727" t="s">
        <v>0</v>
      </c>
      <c r="E1" s="728"/>
      <c r="F1" s="728"/>
      <c r="G1" s="12" t="s">
        <v>1</v>
      </c>
      <c r="H1" s="727" t="s">
        <v>2</v>
      </c>
      <c r="I1" s="728"/>
      <c r="J1" s="728"/>
      <c r="K1" s="728"/>
      <c r="L1" s="728"/>
      <c r="M1" s="728"/>
      <c r="N1" s="728"/>
      <c r="O1" s="728"/>
      <c r="P1" s="728"/>
      <c r="Q1" s="728"/>
      <c r="R1" s="739" t="s">
        <v>3</v>
      </c>
      <c r="S1" s="728"/>
      <c r="T1" s="72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3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3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0" customFormat="1" ht="23.45" customHeight="1" x14ac:dyDescent="0.2">
      <c r="A5" s="730" t="s">
        <v>8</v>
      </c>
      <c r="B5" s="688"/>
      <c r="C5" s="689"/>
      <c r="D5" s="732"/>
      <c r="E5" s="733"/>
      <c r="F5" s="959" t="s">
        <v>9</v>
      </c>
      <c r="G5" s="689"/>
      <c r="H5" s="732" t="s">
        <v>916</v>
      </c>
      <c r="I5" s="894"/>
      <c r="J5" s="894"/>
      <c r="K5" s="894"/>
      <c r="L5" s="894"/>
      <c r="M5" s="733"/>
      <c r="N5" s="58"/>
      <c r="P5" s="24" t="s">
        <v>10</v>
      </c>
      <c r="Q5" s="975">
        <v>46314</v>
      </c>
      <c r="R5" s="762"/>
      <c r="T5" s="821" t="s">
        <v>11</v>
      </c>
      <c r="U5" s="773"/>
      <c r="V5" s="822" t="s">
        <v>12</v>
      </c>
      <c r="W5" s="762"/>
      <c r="AB5" s="51"/>
      <c r="AC5" s="51"/>
      <c r="AD5" s="51"/>
      <c r="AE5" s="51"/>
    </row>
    <row r="6" spans="1:32" s="630" customFormat="1" ht="24" customHeight="1" x14ac:dyDescent="0.2">
      <c r="A6" s="730" t="s">
        <v>13</v>
      </c>
      <c r="B6" s="688"/>
      <c r="C6" s="689"/>
      <c r="D6" s="898" t="s">
        <v>892</v>
      </c>
      <c r="E6" s="899"/>
      <c r="F6" s="899"/>
      <c r="G6" s="899"/>
      <c r="H6" s="899"/>
      <c r="I6" s="899"/>
      <c r="J6" s="899"/>
      <c r="K6" s="899"/>
      <c r="L6" s="899"/>
      <c r="M6" s="762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0" t="s">
        <v>15</v>
      </c>
      <c r="U6" s="773"/>
      <c r="V6" s="919" t="s">
        <v>16</v>
      </c>
      <c r="W6" s="682"/>
      <c r="AB6" s="51"/>
      <c r="AC6" s="51"/>
      <c r="AD6" s="51"/>
      <c r="AE6" s="51"/>
    </row>
    <row r="7" spans="1:32" s="630" customFormat="1" ht="21.75" hidden="1" customHeight="1" x14ac:dyDescent="0.2">
      <c r="A7" s="55"/>
      <c r="B7" s="55"/>
      <c r="C7" s="55"/>
      <c r="D7" s="734" t="str">
        <f>IFERROR(VLOOKUP(DeliveryAddress,Table,3,0),1)</f>
        <v>7</v>
      </c>
      <c r="E7" s="735"/>
      <c r="F7" s="735"/>
      <c r="G7" s="735"/>
      <c r="H7" s="735"/>
      <c r="I7" s="735"/>
      <c r="J7" s="735"/>
      <c r="K7" s="735"/>
      <c r="L7" s="735"/>
      <c r="M7" s="655"/>
      <c r="N7" s="60"/>
      <c r="P7" s="24"/>
      <c r="Q7" s="42"/>
      <c r="R7" s="42"/>
      <c r="T7" s="642"/>
      <c r="U7" s="773"/>
      <c r="V7" s="920"/>
      <c r="W7" s="921"/>
      <c r="AB7" s="51"/>
      <c r="AC7" s="51"/>
      <c r="AD7" s="51"/>
      <c r="AE7" s="51"/>
    </row>
    <row r="8" spans="1:32" s="630" customFormat="1" ht="25.5" customHeight="1" x14ac:dyDescent="0.2">
      <c r="A8" s="995" t="s">
        <v>17</v>
      </c>
      <c r="B8" s="644"/>
      <c r="C8" s="645"/>
      <c r="D8" s="736"/>
      <c r="E8" s="737"/>
      <c r="F8" s="737"/>
      <c r="G8" s="737"/>
      <c r="H8" s="737"/>
      <c r="I8" s="737"/>
      <c r="J8" s="737"/>
      <c r="K8" s="737"/>
      <c r="L8" s="737"/>
      <c r="M8" s="738"/>
      <c r="N8" s="61"/>
      <c r="P8" s="24" t="s">
        <v>18</v>
      </c>
      <c r="Q8" s="654">
        <v>0.41666666666666669</v>
      </c>
      <c r="R8" s="655"/>
      <c r="T8" s="642"/>
      <c r="U8" s="773"/>
      <c r="V8" s="920"/>
      <c r="W8" s="921"/>
      <c r="AB8" s="51"/>
      <c r="AC8" s="51"/>
      <c r="AD8" s="51"/>
      <c r="AE8" s="51"/>
    </row>
    <row r="9" spans="1:32" s="630" customFormat="1" ht="39.950000000000003" customHeight="1" x14ac:dyDescent="0.2">
      <c r="A9" s="7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69"/>
      <c r="E9" s="640"/>
      <c r="F9" s="7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40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0"/>
      <c r="L9" s="640"/>
      <c r="M9" s="640"/>
      <c r="N9" s="631"/>
      <c r="P9" s="26" t="s">
        <v>19</v>
      </c>
      <c r="Q9" s="758"/>
      <c r="R9" s="759"/>
      <c r="T9" s="642"/>
      <c r="U9" s="773"/>
      <c r="V9" s="922"/>
      <c r="W9" s="923"/>
      <c r="X9" s="43"/>
      <c r="Y9" s="43"/>
      <c r="Z9" s="43"/>
      <c r="AA9" s="43"/>
      <c r="AB9" s="51"/>
      <c r="AC9" s="51"/>
      <c r="AD9" s="51"/>
      <c r="AE9" s="51"/>
    </row>
    <row r="10" spans="1:32" s="630" customFormat="1" ht="26.45" customHeight="1" x14ac:dyDescent="0.2">
      <c r="A10" s="7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69"/>
      <c r="E10" s="640"/>
      <c r="F10" s="7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62" t="str">
        <f>IFERROR(VLOOKUP($D$10,Proxy,2,FALSE),"")</f>
        <v/>
      </c>
      <c r="I10" s="642"/>
      <c r="J10" s="642"/>
      <c r="K10" s="642"/>
      <c r="L10" s="642"/>
      <c r="M10" s="642"/>
      <c r="N10" s="629"/>
      <c r="P10" s="26" t="s">
        <v>20</v>
      </c>
      <c r="Q10" s="811"/>
      <c r="R10" s="812"/>
      <c r="U10" s="24" t="s">
        <v>21</v>
      </c>
      <c r="V10" s="681" t="s">
        <v>22</v>
      </c>
      <c r="W10" s="682"/>
      <c r="X10" s="44"/>
      <c r="Y10" s="44"/>
      <c r="Z10" s="44"/>
      <c r="AA10" s="44"/>
      <c r="AB10" s="51"/>
      <c r="AC10" s="51"/>
      <c r="AD10" s="51"/>
      <c r="AE10" s="51"/>
    </row>
    <row r="11" spans="1:32" s="63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1"/>
      <c r="R11" s="762"/>
      <c r="U11" s="24" t="s">
        <v>25</v>
      </c>
      <c r="V11" s="916" t="s">
        <v>26</v>
      </c>
      <c r="W11" s="759"/>
      <c r="X11" s="45"/>
      <c r="Y11" s="45"/>
      <c r="Z11" s="45"/>
      <c r="AA11" s="45"/>
      <c r="AB11" s="51"/>
      <c r="AC11" s="51"/>
      <c r="AD11" s="51"/>
      <c r="AE11" s="51"/>
    </row>
    <row r="12" spans="1:32" s="630" customFormat="1" ht="18.600000000000001" customHeight="1" x14ac:dyDescent="0.2">
      <c r="A12" s="800" t="s">
        <v>27</v>
      </c>
      <c r="B12" s="688"/>
      <c r="C12" s="688"/>
      <c r="D12" s="688"/>
      <c r="E12" s="688"/>
      <c r="F12" s="688"/>
      <c r="G12" s="688"/>
      <c r="H12" s="688"/>
      <c r="I12" s="688"/>
      <c r="J12" s="688"/>
      <c r="K12" s="688"/>
      <c r="L12" s="688"/>
      <c r="M12" s="689"/>
      <c r="N12" s="62"/>
      <c r="P12" s="24" t="s">
        <v>28</v>
      </c>
      <c r="Q12" s="654"/>
      <c r="R12" s="655"/>
      <c r="S12" s="23"/>
      <c r="U12" s="24"/>
      <c r="V12" s="728"/>
      <c r="W12" s="642"/>
      <c r="AB12" s="51"/>
      <c r="AC12" s="51"/>
      <c r="AD12" s="51"/>
      <c r="AE12" s="51"/>
    </row>
    <row r="13" spans="1:32" s="630" customFormat="1" ht="23.25" customHeight="1" x14ac:dyDescent="0.2">
      <c r="A13" s="800" t="s">
        <v>29</v>
      </c>
      <c r="B13" s="688"/>
      <c r="C13" s="688"/>
      <c r="D13" s="688"/>
      <c r="E13" s="688"/>
      <c r="F13" s="688"/>
      <c r="G13" s="688"/>
      <c r="H13" s="688"/>
      <c r="I13" s="688"/>
      <c r="J13" s="688"/>
      <c r="K13" s="688"/>
      <c r="L13" s="688"/>
      <c r="M13" s="689"/>
      <c r="N13" s="62"/>
      <c r="O13" s="26"/>
      <c r="P13" s="26" t="s">
        <v>30</v>
      </c>
      <c r="Q13" s="916"/>
      <c r="R13" s="7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0" customFormat="1" ht="18.600000000000001" customHeight="1" x14ac:dyDescent="0.2">
      <c r="A14" s="800" t="s">
        <v>31</v>
      </c>
      <c r="B14" s="688"/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0" customFormat="1" ht="22.5" customHeight="1" x14ac:dyDescent="0.2">
      <c r="A15" s="830" t="s">
        <v>32</v>
      </c>
      <c r="B15" s="688"/>
      <c r="C15" s="688"/>
      <c r="D15" s="688"/>
      <c r="E15" s="688"/>
      <c r="F15" s="688"/>
      <c r="G15" s="688"/>
      <c r="H15" s="688"/>
      <c r="I15" s="688"/>
      <c r="J15" s="688"/>
      <c r="K15" s="688"/>
      <c r="L15" s="688"/>
      <c r="M15" s="689"/>
      <c r="N15" s="63"/>
      <c r="P15" s="789" t="s">
        <v>33</v>
      </c>
      <c r="Q15" s="728"/>
      <c r="R15" s="728"/>
      <c r="S15" s="728"/>
      <c r="T15" s="72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1" t="s">
        <v>34</v>
      </c>
      <c r="B17" s="651" t="s">
        <v>35</v>
      </c>
      <c r="C17" s="777" t="s">
        <v>36</v>
      </c>
      <c r="D17" s="651" t="s">
        <v>37</v>
      </c>
      <c r="E17" s="743"/>
      <c r="F17" s="651" t="s">
        <v>38</v>
      </c>
      <c r="G17" s="651" t="s">
        <v>39</v>
      </c>
      <c r="H17" s="651" t="s">
        <v>40</v>
      </c>
      <c r="I17" s="651" t="s">
        <v>41</v>
      </c>
      <c r="J17" s="651" t="s">
        <v>42</v>
      </c>
      <c r="K17" s="651" t="s">
        <v>43</v>
      </c>
      <c r="L17" s="651" t="s">
        <v>44</v>
      </c>
      <c r="M17" s="651" t="s">
        <v>45</v>
      </c>
      <c r="N17" s="651" t="s">
        <v>46</v>
      </c>
      <c r="O17" s="651" t="s">
        <v>47</v>
      </c>
      <c r="P17" s="651" t="s">
        <v>48</v>
      </c>
      <c r="Q17" s="742"/>
      <c r="R17" s="742"/>
      <c r="S17" s="742"/>
      <c r="T17" s="743"/>
      <c r="U17" s="989" t="s">
        <v>49</v>
      </c>
      <c r="V17" s="689"/>
      <c r="W17" s="651" t="s">
        <v>50</v>
      </c>
      <c r="X17" s="651" t="s">
        <v>51</v>
      </c>
      <c r="Y17" s="990" t="s">
        <v>52</v>
      </c>
      <c r="Z17" s="889" t="s">
        <v>53</v>
      </c>
      <c r="AA17" s="863" t="s">
        <v>54</v>
      </c>
      <c r="AB17" s="863" t="s">
        <v>55</v>
      </c>
      <c r="AC17" s="863" t="s">
        <v>56</v>
      </c>
      <c r="AD17" s="863" t="s">
        <v>57</v>
      </c>
      <c r="AE17" s="954"/>
      <c r="AF17" s="955"/>
      <c r="AG17" s="66"/>
      <c r="BD17" s="65" t="s">
        <v>58</v>
      </c>
    </row>
    <row r="18" spans="1:68" ht="14.25" customHeight="1" x14ac:dyDescent="0.2">
      <c r="A18" s="652"/>
      <c r="B18" s="652"/>
      <c r="C18" s="652"/>
      <c r="D18" s="744"/>
      <c r="E18" s="746"/>
      <c r="F18" s="652"/>
      <c r="G18" s="652"/>
      <c r="H18" s="652"/>
      <c r="I18" s="652"/>
      <c r="J18" s="652"/>
      <c r="K18" s="652"/>
      <c r="L18" s="652"/>
      <c r="M18" s="652"/>
      <c r="N18" s="652"/>
      <c r="O18" s="652"/>
      <c r="P18" s="744"/>
      <c r="Q18" s="745"/>
      <c r="R18" s="745"/>
      <c r="S18" s="745"/>
      <c r="T18" s="746"/>
      <c r="U18" s="67" t="s">
        <v>59</v>
      </c>
      <c r="V18" s="67" t="s">
        <v>60</v>
      </c>
      <c r="W18" s="652"/>
      <c r="X18" s="652"/>
      <c r="Y18" s="991"/>
      <c r="Z18" s="890"/>
      <c r="AA18" s="864"/>
      <c r="AB18" s="864"/>
      <c r="AC18" s="864"/>
      <c r="AD18" s="956"/>
      <c r="AE18" s="957"/>
      <c r="AF18" s="958"/>
      <c r="AG18" s="66"/>
      <c r="BD18" s="65"/>
    </row>
    <row r="19" spans="1:68" ht="27.75" hidden="1" customHeight="1" x14ac:dyDescent="0.2">
      <c r="A19" s="672" t="s">
        <v>61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48"/>
      <c r="AB19" s="48"/>
      <c r="AC19" s="48"/>
    </row>
    <row r="20" spans="1:68" ht="16.5" hidden="1" customHeight="1" x14ac:dyDescent="0.25">
      <c r="A20" s="641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27"/>
      <c r="AB20" s="627"/>
      <c r="AC20" s="627"/>
    </row>
    <row r="21" spans="1:68" ht="14.25" hidden="1" customHeight="1" x14ac:dyDescent="0.25">
      <c r="A21" s="66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28"/>
      <c r="AB21" s="628"/>
      <c r="AC21" s="628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9"/>
      <c r="R22" s="649"/>
      <c r="S22" s="649"/>
      <c r="T22" s="650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47"/>
      <c r="P23" s="643" t="s">
        <v>69</v>
      </c>
      <c r="Q23" s="644"/>
      <c r="R23" s="644"/>
      <c r="S23" s="644"/>
      <c r="T23" s="644"/>
      <c r="U23" s="644"/>
      <c r="V23" s="645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47"/>
      <c r="P24" s="643" t="s">
        <v>69</v>
      </c>
      <c r="Q24" s="644"/>
      <c r="R24" s="644"/>
      <c r="S24" s="644"/>
      <c r="T24" s="644"/>
      <c r="U24" s="644"/>
      <c r="V24" s="645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6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28"/>
      <c r="AB25" s="628"/>
      <c r="AC25" s="628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9"/>
      <c r="R26" s="649"/>
      <c r="S26" s="649"/>
      <c r="T26" s="650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9"/>
      <c r="R27" s="649"/>
      <c r="S27" s="649"/>
      <c r="T27" s="650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9"/>
      <c r="R28" s="649"/>
      <c r="S28" s="649"/>
      <c r="T28" s="650"/>
      <c r="U28" s="34"/>
      <c r="V28" s="34"/>
      <c r="W28" s="35" t="s">
        <v>67</v>
      </c>
      <c r="X28" s="633">
        <v>6</v>
      </c>
      <c r="Y28" s="634">
        <f>IFERROR(IF(X28="",0,CEILING((X28/$H28),1)*$H28),"")</f>
        <v>7.2</v>
      </c>
      <c r="Z28" s="36">
        <f>IFERROR(IF(Y28=0,"",ROUNDUP(Y28/H28,0)*0.00651),"")</f>
        <v>2.6040000000000001E-2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10.600000000000001</v>
      </c>
      <c r="BN28" s="64">
        <f>IFERROR(Y28*I28/H28,"0")</f>
        <v>12.72</v>
      </c>
      <c r="BO28" s="64">
        <f>IFERROR(1/J28*(X28/H28),"0")</f>
        <v>1.8315018315018316E-2</v>
      </c>
      <c r="BP28" s="64">
        <f>IFERROR(1/J28*(Y28/H28),"0")</f>
        <v>2.197802197802198E-2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9"/>
      <c r="R29" s="649"/>
      <c r="S29" s="649"/>
      <c r="T29" s="650"/>
      <c r="U29" s="34"/>
      <c r="V29" s="34"/>
      <c r="W29" s="35" t="s">
        <v>67</v>
      </c>
      <c r="X29" s="633">
        <v>6</v>
      </c>
      <c r="Y29" s="634">
        <f>IFERROR(IF(X29="",0,CEILING((X29/$H29),1)*$H29),"")</f>
        <v>7.2</v>
      </c>
      <c r="Z29" s="36">
        <f>IFERROR(IF(Y29=0,"",ROUNDUP(Y29/H29,0)*0.00651),"")</f>
        <v>2.6040000000000001E-2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10.600000000000001</v>
      </c>
      <c r="BN29" s="64">
        <f>IFERROR(Y29*I29/H29,"0")</f>
        <v>12.72</v>
      </c>
      <c r="BO29" s="64">
        <f>IFERROR(1/J29*(X29/H29),"0")</f>
        <v>1.8315018315018316E-2</v>
      </c>
      <c r="BP29" s="64">
        <f>IFERROR(1/J29*(Y29/H29),"0")</f>
        <v>2.197802197802198E-2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9"/>
      <c r="R30" s="649"/>
      <c r="S30" s="649"/>
      <c r="T30" s="650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4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47"/>
      <c r="P31" s="643" t="s">
        <v>69</v>
      </c>
      <c r="Q31" s="644"/>
      <c r="R31" s="644"/>
      <c r="S31" s="644"/>
      <c r="T31" s="644"/>
      <c r="U31" s="644"/>
      <c r="V31" s="645"/>
      <c r="W31" s="37" t="s">
        <v>70</v>
      </c>
      <c r="X31" s="635">
        <f>IFERROR(X26/H26,"0")+IFERROR(X27/H27,"0")+IFERROR(X28/H28,"0")+IFERROR(X29/H29,"0")+IFERROR(X30/H30,"0")</f>
        <v>6.6666666666666661</v>
      </c>
      <c r="Y31" s="635">
        <f>IFERROR(Y26/H26,"0")+IFERROR(Y27/H27,"0")+IFERROR(Y28/H28,"0")+IFERROR(Y29/H29,"0")+IFERROR(Y30/H30,"0")</f>
        <v>8</v>
      </c>
      <c r="Z31" s="635">
        <f>IFERROR(IF(Z26="",0,Z26),"0")+IFERROR(IF(Z27="",0,Z27),"0")+IFERROR(IF(Z28="",0,Z28),"0")+IFERROR(IF(Z29="",0,Z29),"0")+IFERROR(IF(Z30="",0,Z30),"0")</f>
        <v>5.2080000000000001E-2</v>
      </c>
      <c r="AA31" s="636"/>
      <c r="AB31" s="636"/>
      <c r="AC31" s="636"/>
    </row>
    <row r="32" spans="1:68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47"/>
      <c r="P32" s="643" t="s">
        <v>69</v>
      </c>
      <c r="Q32" s="644"/>
      <c r="R32" s="644"/>
      <c r="S32" s="644"/>
      <c r="T32" s="644"/>
      <c r="U32" s="644"/>
      <c r="V32" s="645"/>
      <c r="W32" s="37" t="s">
        <v>67</v>
      </c>
      <c r="X32" s="635">
        <f>IFERROR(SUM(X26:X30),"0")</f>
        <v>12</v>
      </c>
      <c r="Y32" s="635">
        <f>IFERROR(SUM(Y26:Y30),"0")</f>
        <v>14.4</v>
      </c>
      <c r="Z32" s="37"/>
      <c r="AA32" s="636"/>
      <c r="AB32" s="636"/>
      <c r="AC32" s="636"/>
    </row>
    <row r="33" spans="1:68" ht="14.25" hidden="1" customHeight="1" x14ac:dyDescent="0.25">
      <c r="A33" s="66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28"/>
      <c r="AB33" s="628"/>
      <c r="AC33" s="628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25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9"/>
      <c r="R34" s="649"/>
      <c r="S34" s="649"/>
      <c r="T34" s="650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891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9"/>
      <c r="R35" s="649"/>
      <c r="S35" s="649"/>
      <c r="T35" s="650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47"/>
      <c r="P36" s="643" t="s">
        <v>69</v>
      </c>
      <c r="Q36" s="644"/>
      <c r="R36" s="644"/>
      <c r="S36" s="644"/>
      <c r="T36" s="644"/>
      <c r="U36" s="644"/>
      <c r="V36" s="645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47"/>
      <c r="P37" s="643" t="s">
        <v>69</v>
      </c>
      <c r="Q37" s="644"/>
      <c r="R37" s="644"/>
      <c r="S37" s="644"/>
      <c r="T37" s="644"/>
      <c r="U37" s="644"/>
      <c r="V37" s="645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2" t="s">
        <v>100</v>
      </c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3"/>
      <c r="P38" s="673"/>
      <c r="Q38" s="673"/>
      <c r="R38" s="673"/>
      <c r="S38" s="673"/>
      <c r="T38" s="673"/>
      <c r="U38" s="673"/>
      <c r="V38" s="673"/>
      <c r="W38" s="673"/>
      <c r="X38" s="673"/>
      <c r="Y38" s="673"/>
      <c r="Z38" s="673"/>
      <c r="AA38" s="48"/>
      <c r="AB38" s="48"/>
      <c r="AC38" s="48"/>
    </row>
    <row r="39" spans="1:68" ht="16.5" hidden="1" customHeight="1" x14ac:dyDescent="0.25">
      <c r="A39" s="641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27"/>
      <c r="AB39" s="627"/>
      <c r="AC39" s="627"/>
    </row>
    <row r="40" spans="1:68" ht="14.25" hidden="1" customHeight="1" x14ac:dyDescent="0.25">
      <c r="A40" s="66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28"/>
      <c r="AB40" s="628"/>
      <c r="AC40" s="628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1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9"/>
      <c r="R41" s="649"/>
      <c r="S41" s="649"/>
      <c r="T41" s="650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9"/>
      <c r="R42" s="649"/>
      <c r="S42" s="649"/>
      <c r="T42" s="650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79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9"/>
      <c r="R43" s="649"/>
      <c r="S43" s="649"/>
      <c r="T43" s="650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9"/>
      <c r="R44" s="649"/>
      <c r="S44" s="649"/>
      <c r="T44" s="650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9"/>
      <c r="R45" s="649"/>
      <c r="S45" s="649"/>
      <c r="T45" s="650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47"/>
      <c r="P46" s="643" t="s">
        <v>69</v>
      </c>
      <c r="Q46" s="644"/>
      <c r="R46" s="644"/>
      <c r="S46" s="644"/>
      <c r="T46" s="644"/>
      <c r="U46" s="644"/>
      <c r="V46" s="645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47"/>
      <c r="P47" s="643" t="s">
        <v>69</v>
      </c>
      <c r="Q47" s="644"/>
      <c r="R47" s="644"/>
      <c r="S47" s="644"/>
      <c r="T47" s="644"/>
      <c r="U47" s="644"/>
      <c r="V47" s="645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2" t="s">
        <v>117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48"/>
      <c r="AB48" s="48"/>
      <c r="AC48" s="48"/>
    </row>
    <row r="49" spans="1:68" ht="16.5" hidden="1" customHeight="1" x14ac:dyDescent="0.25">
      <c r="A49" s="641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27"/>
      <c r="AB49" s="627"/>
      <c r="AC49" s="627"/>
    </row>
    <row r="50" spans="1:68" ht="14.25" hidden="1" customHeight="1" x14ac:dyDescent="0.25">
      <c r="A50" s="66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28"/>
      <c r="AB50" s="628"/>
      <c r="AC50" s="628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1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9"/>
      <c r="R51" s="649"/>
      <c r="S51" s="649"/>
      <c r="T51" s="650"/>
      <c r="U51" s="34"/>
      <c r="V51" s="34"/>
      <c r="W51" s="35" t="s">
        <v>67</v>
      </c>
      <c r="X51" s="633">
        <v>100</v>
      </c>
      <c r="Y51" s="634">
        <f>IFERROR(IF(X51="",0,CEILING((X51/$H51),1)*$H51),"")</f>
        <v>108</v>
      </c>
      <c r="Z51" s="36">
        <f>IFERROR(IF(Y51=0,"",ROUNDUP(Y51/H51,0)*0.01898),"")</f>
        <v>0.1898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103.79629629629629</v>
      </c>
      <c r="BN51" s="64">
        <f>IFERROR(Y51*I51/H51,"0")</f>
        <v>112.1</v>
      </c>
      <c r="BO51" s="64">
        <f>IFERROR(1/J51*(X51/H51),"0")</f>
        <v>0.14467592592592593</v>
      </c>
      <c r="BP51" s="64">
        <f>IFERROR(1/J51*(Y51/H51),"0")</f>
        <v>0.15625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9"/>
      <c r="R52" s="649"/>
      <c r="S52" s="649"/>
      <c r="T52" s="650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9"/>
      <c r="R53" s="649"/>
      <c r="S53" s="649"/>
      <c r="T53" s="650"/>
      <c r="U53" s="34"/>
      <c r="V53" s="34"/>
      <c r="W53" s="35" t="s">
        <v>67</v>
      </c>
      <c r="X53" s="633">
        <v>25</v>
      </c>
      <c r="Y53" s="634">
        <f>IFERROR(IF(X53="",0,CEILING((X53/$H53),1)*$H53),"")</f>
        <v>28</v>
      </c>
      <c r="Z53" s="36">
        <f>IFERROR(IF(Y53=0,"",ROUNDUP(Y53/H53,0)*0.00902),"")</f>
        <v>6.3140000000000002E-2</v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26.187500000000004</v>
      </c>
      <c r="BN53" s="64">
        <f>IFERROR(Y53*I53/H53,"0")</f>
        <v>29.330000000000002</v>
      </c>
      <c r="BO53" s="64">
        <f>IFERROR(1/J53*(X53/H53),"0")</f>
        <v>4.7348484848484848E-2</v>
      </c>
      <c r="BP53" s="64">
        <f>IFERROR(1/J53*(Y53/H53),"0")</f>
        <v>5.3030303030303032E-2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9"/>
      <c r="R54" s="649"/>
      <c r="S54" s="649"/>
      <c r="T54" s="650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47"/>
      <c r="P55" s="643" t="s">
        <v>69</v>
      </c>
      <c r="Q55" s="644"/>
      <c r="R55" s="644"/>
      <c r="S55" s="644"/>
      <c r="T55" s="644"/>
      <c r="U55" s="644"/>
      <c r="V55" s="645"/>
      <c r="W55" s="37" t="s">
        <v>70</v>
      </c>
      <c r="X55" s="635">
        <f>IFERROR(X51/H51,"0")+IFERROR(X52/H52,"0")+IFERROR(X53/H53,"0")+IFERROR(X54/H54,"0")</f>
        <v>15.50925925925926</v>
      </c>
      <c r="Y55" s="635">
        <f>IFERROR(Y51/H51,"0")+IFERROR(Y52/H52,"0")+IFERROR(Y53/H53,"0")+IFERROR(Y54/H54,"0")</f>
        <v>17</v>
      </c>
      <c r="Z55" s="635">
        <f>IFERROR(IF(Z51="",0,Z51),"0")+IFERROR(IF(Z52="",0,Z52),"0")+IFERROR(IF(Z53="",0,Z53),"0")+IFERROR(IF(Z54="",0,Z54),"0")</f>
        <v>0.25294</v>
      </c>
      <c r="AA55" s="636"/>
      <c r="AB55" s="636"/>
      <c r="AC55" s="636"/>
    </row>
    <row r="56" spans="1:68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47"/>
      <c r="P56" s="643" t="s">
        <v>69</v>
      </c>
      <c r="Q56" s="644"/>
      <c r="R56" s="644"/>
      <c r="S56" s="644"/>
      <c r="T56" s="644"/>
      <c r="U56" s="644"/>
      <c r="V56" s="645"/>
      <c r="W56" s="37" t="s">
        <v>67</v>
      </c>
      <c r="X56" s="635">
        <f>IFERROR(SUM(X51:X54),"0")</f>
        <v>125</v>
      </c>
      <c r="Y56" s="635">
        <f>IFERROR(SUM(Y51:Y54),"0")</f>
        <v>136</v>
      </c>
      <c r="Z56" s="37"/>
      <c r="AA56" s="636"/>
      <c r="AB56" s="636"/>
      <c r="AC56" s="636"/>
    </row>
    <row r="57" spans="1:68" ht="16.5" hidden="1" customHeight="1" x14ac:dyDescent="0.25">
      <c r="A57" s="641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27"/>
      <c r="AB57" s="627"/>
      <c r="AC57" s="627"/>
    </row>
    <row r="58" spans="1:68" ht="14.25" hidden="1" customHeight="1" x14ac:dyDescent="0.25">
      <c r="A58" s="66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28"/>
      <c r="AB58" s="628"/>
      <c r="AC58" s="628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8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9"/>
      <c r="R59" s="649"/>
      <c r="S59" s="649"/>
      <c r="T59" s="650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9"/>
      <c r="R60" s="649"/>
      <c r="S60" s="649"/>
      <c r="T60" s="650"/>
      <c r="U60" s="34"/>
      <c r="V60" s="34"/>
      <c r="W60" s="35" t="s">
        <v>67</v>
      </c>
      <c r="X60" s="633">
        <v>40</v>
      </c>
      <c r="Y60" s="634">
        <f t="shared" si="0"/>
        <v>43.2</v>
      </c>
      <c r="Z60" s="36">
        <f>IFERROR(IF(Y60=0,"",ROUNDUP(Y60/H60,0)*0.01898),"")</f>
        <v>7.5920000000000001E-2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41.518518518518519</v>
      </c>
      <c r="BN60" s="64">
        <f t="shared" si="2"/>
        <v>44.84</v>
      </c>
      <c r="BO60" s="64">
        <f t="shared" si="3"/>
        <v>5.7870370370370364E-2</v>
      </c>
      <c r="BP60" s="64">
        <f t="shared" si="4"/>
        <v>6.25E-2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86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9"/>
      <c r="R61" s="649"/>
      <c r="S61" s="649"/>
      <c r="T61" s="650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9"/>
      <c r="R62" s="649"/>
      <c r="S62" s="649"/>
      <c r="T62" s="650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9"/>
      <c r="R63" s="649"/>
      <c r="S63" s="649"/>
      <c r="T63" s="650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9"/>
      <c r="R64" s="649"/>
      <c r="S64" s="649"/>
      <c r="T64" s="650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9"/>
      <c r="R65" s="649"/>
      <c r="S65" s="649"/>
      <c r="T65" s="650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9"/>
      <c r="R66" s="649"/>
      <c r="S66" s="649"/>
      <c r="T66" s="650"/>
      <c r="U66" s="34"/>
      <c r="V66" s="34"/>
      <c r="W66" s="35" t="s">
        <v>67</v>
      </c>
      <c r="X66" s="633">
        <v>100</v>
      </c>
      <c r="Y66" s="634">
        <f t="shared" si="0"/>
        <v>103.5</v>
      </c>
      <c r="Z66" s="36">
        <f>IFERROR(IF(Y66=0,"",ROUNDUP(Y66/H66,0)*0.00902),"")</f>
        <v>0.20746000000000001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104.22222222222223</v>
      </c>
      <c r="BN66" s="64">
        <f t="shared" si="2"/>
        <v>107.87</v>
      </c>
      <c r="BO66" s="64">
        <f t="shared" si="3"/>
        <v>0.16835016835016836</v>
      </c>
      <c r="BP66" s="64">
        <f t="shared" si="4"/>
        <v>0.17424242424242425</v>
      </c>
    </row>
    <row r="67" spans="1:68" x14ac:dyDescent="0.2">
      <c r="A67" s="64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47"/>
      <c r="P67" s="643" t="s">
        <v>69</v>
      </c>
      <c r="Q67" s="644"/>
      <c r="R67" s="644"/>
      <c r="S67" s="644"/>
      <c r="T67" s="644"/>
      <c r="U67" s="644"/>
      <c r="V67" s="645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25.925925925925924</v>
      </c>
      <c r="Y67" s="635">
        <f>IFERROR(Y59/H59,"0")+IFERROR(Y60/H60,"0")+IFERROR(Y61/H61,"0")+IFERROR(Y62/H62,"0")+IFERROR(Y63/H63,"0")+IFERROR(Y64/H64,"0")+IFERROR(Y65/H65,"0")+IFERROR(Y66/H66,"0")</f>
        <v>27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0.28338000000000002</v>
      </c>
      <c r="AA67" s="636"/>
      <c r="AB67" s="636"/>
      <c r="AC67" s="636"/>
    </row>
    <row r="68" spans="1:68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47"/>
      <c r="P68" s="643" t="s">
        <v>69</v>
      </c>
      <c r="Q68" s="644"/>
      <c r="R68" s="644"/>
      <c r="S68" s="644"/>
      <c r="T68" s="644"/>
      <c r="U68" s="644"/>
      <c r="V68" s="645"/>
      <c r="W68" s="37" t="s">
        <v>67</v>
      </c>
      <c r="X68" s="635">
        <f>IFERROR(SUM(X59:X66),"0")</f>
        <v>140</v>
      </c>
      <c r="Y68" s="635">
        <f>IFERROR(SUM(Y59:Y66),"0")</f>
        <v>146.69999999999999</v>
      </c>
      <c r="Z68" s="37"/>
      <c r="AA68" s="636"/>
      <c r="AB68" s="636"/>
      <c r="AC68" s="636"/>
    </row>
    <row r="69" spans="1:68" ht="14.25" hidden="1" customHeight="1" x14ac:dyDescent="0.25">
      <c r="A69" s="661" t="s">
        <v>154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28"/>
      <c r="AB69" s="628"/>
      <c r="AC69" s="628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9"/>
      <c r="R70" s="649"/>
      <c r="S70" s="649"/>
      <c r="T70" s="650"/>
      <c r="U70" s="34"/>
      <c r="V70" s="34"/>
      <c r="W70" s="35" t="s">
        <v>67</v>
      </c>
      <c r="X70" s="633">
        <v>60</v>
      </c>
      <c r="Y70" s="634">
        <f>IFERROR(IF(X70="",0,CEILING((X70/$H70),1)*$H70),"")</f>
        <v>64.800000000000011</v>
      </c>
      <c r="Z70" s="36">
        <f>IFERROR(IF(Y70=0,"",ROUNDUP(Y70/H70,0)*0.01898),"")</f>
        <v>0.11388000000000001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62.277777777777779</v>
      </c>
      <c r="BN70" s="64">
        <f>IFERROR(Y70*I70/H70,"0")</f>
        <v>67.260000000000005</v>
      </c>
      <c r="BO70" s="64">
        <f>IFERROR(1/J70*(X70/H70),"0")</f>
        <v>8.6805555555555552E-2</v>
      </c>
      <c r="BP70" s="64">
        <f>IFERROR(1/J70*(Y70/H70),"0")</f>
        <v>9.3750000000000014E-2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9"/>
      <c r="R71" s="649"/>
      <c r="S71" s="649"/>
      <c r="T71" s="650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9"/>
      <c r="R72" s="649"/>
      <c r="S72" s="649"/>
      <c r="T72" s="650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6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9"/>
      <c r="R73" s="649"/>
      <c r="S73" s="649"/>
      <c r="T73" s="650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47"/>
      <c r="P74" s="643" t="s">
        <v>69</v>
      </c>
      <c r="Q74" s="644"/>
      <c r="R74" s="644"/>
      <c r="S74" s="644"/>
      <c r="T74" s="644"/>
      <c r="U74" s="644"/>
      <c r="V74" s="645"/>
      <c r="W74" s="37" t="s">
        <v>70</v>
      </c>
      <c r="X74" s="635">
        <f>IFERROR(X70/H70,"0")+IFERROR(X71/H71,"0")+IFERROR(X72/H72,"0")+IFERROR(X73/H73,"0")</f>
        <v>5.5555555555555554</v>
      </c>
      <c r="Y74" s="635">
        <f>IFERROR(Y70/H70,"0")+IFERROR(Y71/H71,"0")+IFERROR(Y72/H72,"0")+IFERROR(Y73/H73,"0")</f>
        <v>6.0000000000000009</v>
      </c>
      <c r="Z74" s="635">
        <f>IFERROR(IF(Z70="",0,Z70),"0")+IFERROR(IF(Z71="",0,Z71),"0")+IFERROR(IF(Z72="",0,Z72),"0")+IFERROR(IF(Z73="",0,Z73),"0")</f>
        <v>0.11388000000000001</v>
      </c>
      <c r="AA74" s="636"/>
      <c r="AB74" s="636"/>
      <c r="AC74" s="636"/>
    </row>
    <row r="75" spans="1:68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47"/>
      <c r="P75" s="643" t="s">
        <v>69</v>
      </c>
      <c r="Q75" s="644"/>
      <c r="R75" s="644"/>
      <c r="S75" s="644"/>
      <c r="T75" s="644"/>
      <c r="U75" s="644"/>
      <c r="V75" s="645"/>
      <c r="W75" s="37" t="s">
        <v>67</v>
      </c>
      <c r="X75" s="635">
        <f>IFERROR(SUM(X70:X73),"0")</f>
        <v>60</v>
      </c>
      <c r="Y75" s="635">
        <f>IFERROR(SUM(Y70:Y73),"0")</f>
        <v>64.800000000000011</v>
      </c>
      <c r="Z75" s="37"/>
      <c r="AA75" s="636"/>
      <c r="AB75" s="636"/>
      <c r="AC75" s="636"/>
    </row>
    <row r="76" spans="1:68" ht="14.25" hidden="1" customHeight="1" x14ac:dyDescent="0.25">
      <c r="A76" s="66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28"/>
      <c r="AB76" s="628"/>
      <c r="AC76" s="628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3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9"/>
      <c r="R77" s="649"/>
      <c r="S77" s="649"/>
      <c r="T77" s="650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9"/>
      <c r="R78" s="649"/>
      <c r="S78" s="649"/>
      <c r="T78" s="650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47"/>
      <c r="P79" s="643" t="s">
        <v>69</v>
      </c>
      <c r="Q79" s="644"/>
      <c r="R79" s="644"/>
      <c r="S79" s="644"/>
      <c r="T79" s="644"/>
      <c r="U79" s="644"/>
      <c r="V79" s="645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47"/>
      <c r="P80" s="643" t="s">
        <v>69</v>
      </c>
      <c r="Q80" s="644"/>
      <c r="R80" s="644"/>
      <c r="S80" s="644"/>
      <c r="T80" s="644"/>
      <c r="U80" s="644"/>
      <c r="V80" s="645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61" t="s">
        <v>172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28"/>
      <c r="AB81" s="628"/>
      <c r="AC81" s="628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9"/>
      <c r="R82" s="649"/>
      <c r="S82" s="649"/>
      <c r="T82" s="650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9"/>
      <c r="R83" s="649"/>
      <c r="S83" s="649"/>
      <c r="T83" s="650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9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9"/>
      <c r="R84" s="649"/>
      <c r="S84" s="649"/>
      <c r="T84" s="650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47"/>
      <c r="P85" s="643" t="s">
        <v>69</v>
      </c>
      <c r="Q85" s="644"/>
      <c r="R85" s="644"/>
      <c r="S85" s="644"/>
      <c r="T85" s="644"/>
      <c r="U85" s="644"/>
      <c r="V85" s="645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47"/>
      <c r="P86" s="643" t="s">
        <v>69</v>
      </c>
      <c r="Q86" s="644"/>
      <c r="R86" s="644"/>
      <c r="S86" s="644"/>
      <c r="T86" s="644"/>
      <c r="U86" s="644"/>
      <c r="V86" s="645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41" t="s">
        <v>180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27"/>
      <c r="AB87" s="627"/>
      <c r="AC87" s="627"/>
    </row>
    <row r="88" spans="1:68" ht="14.25" hidden="1" customHeight="1" x14ac:dyDescent="0.25">
      <c r="A88" s="66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28"/>
      <c r="AB88" s="628"/>
      <c r="AC88" s="628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9"/>
      <c r="R89" s="649"/>
      <c r="S89" s="649"/>
      <c r="T89" s="650"/>
      <c r="U89" s="34"/>
      <c r="V89" s="34"/>
      <c r="W89" s="35" t="s">
        <v>67</v>
      </c>
      <c r="X89" s="633">
        <v>50</v>
      </c>
      <c r="Y89" s="634">
        <f t="shared" ref="Y89:Y94" si="5">IFERROR(IF(X89="",0,CEILING((X89/$H89),1)*$H89),"")</f>
        <v>54</v>
      </c>
      <c r="Z89" s="36">
        <f>IFERROR(IF(Y89=0,"",ROUNDUP(Y89/H89,0)*0.01898),"")</f>
        <v>9.4899999999999998E-2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51.898148148148145</v>
      </c>
      <c r="BN89" s="64">
        <f t="shared" ref="BN89:BN94" si="7">IFERROR(Y89*I89/H89,"0")</f>
        <v>56.05</v>
      </c>
      <c r="BO89" s="64">
        <f t="shared" ref="BO89:BO94" si="8">IFERROR(1/J89*(X89/H89),"0")</f>
        <v>7.2337962962962965E-2</v>
      </c>
      <c r="BP89" s="64">
        <f t="shared" ref="BP89:BP94" si="9">IFERROR(1/J89*(Y89/H89),"0")</f>
        <v>7.8125E-2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4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9"/>
      <c r="R90" s="649"/>
      <c r="S90" s="649"/>
      <c r="T90" s="650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9"/>
      <c r="R91" s="649"/>
      <c r="S91" s="649"/>
      <c r="T91" s="650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6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9"/>
      <c r="R92" s="649"/>
      <c r="S92" s="649"/>
      <c r="T92" s="650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9"/>
      <c r="R93" s="649"/>
      <c r="S93" s="649"/>
      <c r="T93" s="650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0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9"/>
      <c r="R94" s="649"/>
      <c r="S94" s="649"/>
      <c r="T94" s="650"/>
      <c r="U94" s="34"/>
      <c r="V94" s="34"/>
      <c r="W94" s="35" t="s">
        <v>67</v>
      </c>
      <c r="X94" s="633">
        <v>73</v>
      </c>
      <c r="Y94" s="634">
        <f t="shared" si="5"/>
        <v>76.5</v>
      </c>
      <c r="Z94" s="36">
        <f>IFERROR(IF(Y94=0,"",ROUNDUP(Y94/H94,0)*0.00902),"")</f>
        <v>0.15334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76.082222222222228</v>
      </c>
      <c r="BN94" s="64">
        <f t="shared" si="7"/>
        <v>79.73</v>
      </c>
      <c r="BO94" s="64">
        <f t="shared" si="8"/>
        <v>0.12289562289562289</v>
      </c>
      <c r="BP94" s="64">
        <f t="shared" si="9"/>
        <v>0.12878787878787878</v>
      </c>
    </row>
    <row r="95" spans="1:68" x14ac:dyDescent="0.2">
      <c r="A95" s="64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47"/>
      <c r="P95" s="643" t="s">
        <v>69</v>
      </c>
      <c r="Q95" s="644"/>
      <c r="R95" s="644"/>
      <c r="S95" s="644"/>
      <c r="T95" s="644"/>
      <c r="U95" s="644"/>
      <c r="V95" s="645"/>
      <c r="W95" s="37" t="s">
        <v>70</v>
      </c>
      <c r="X95" s="635">
        <f>IFERROR(X89/H89,"0")+IFERROR(X90/H90,"0")+IFERROR(X91/H91,"0")+IFERROR(X92/H92,"0")+IFERROR(X93/H93,"0")+IFERROR(X94/H94,"0")</f>
        <v>20.851851851851851</v>
      </c>
      <c r="Y95" s="635">
        <f>IFERROR(Y89/H89,"0")+IFERROR(Y90/H90,"0")+IFERROR(Y91/H91,"0")+IFERROR(Y92/H92,"0")+IFERROR(Y93/H93,"0")+IFERROR(Y94/H94,"0")</f>
        <v>22</v>
      </c>
      <c r="Z95" s="635">
        <f>IFERROR(IF(Z89="",0,Z89),"0")+IFERROR(IF(Z90="",0,Z90),"0")+IFERROR(IF(Z91="",0,Z91),"0")+IFERROR(IF(Z92="",0,Z92),"0")+IFERROR(IF(Z93="",0,Z93),"0")+IFERROR(IF(Z94="",0,Z94),"0")</f>
        <v>0.24824000000000002</v>
      </c>
      <c r="AA95" s="636"/>
      <c r="AB95" s="636"/>
      <c r="AC95" s="636"/>
    </row>
    <row r="96" spans="1:68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47"/>
      <c r="P96" s="643" t="s">
        <v>69</v>
      </c>
      <c r="Q96" s="644"/>
      <c r="R96" s="644"/>
      <c r="S96" s="644"/>
      <c r="T96" s="644"/>
      <c r="U96" s="644"/>
      <c r="V96" s="645"/>
      <c r="W96" s="37" t="s">
        <v>67</v>
      </c>
      <c r="X96" s="635">
        <f>IFERROR(SUM(X89:X94),"0")</f>
        <v>123</v>
      </c>
      <c r="Y96" s="635">
        <f>IFERROR(SUM(Y89:Y94),"0")</f>
        <v>130.5</v>
      </c>
      <c r="Z96" s="37"/>
      <c r="AA96" s="636"/>
      <c r="AB96" s="636"/>
      <c r="AC96" s="636"/>
    </row>
    <row r="97" spans="1:68" ht="14.25" hidden="1" customHeight="1" x14ac:dyDescent="0.25">
      <c r="A97" s="66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28"/>
      <c r="AB97" s="628"/>
      <c r="AC97" s="628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9"/>
      <c r="R98" s="649"/>
      <c r="S98" s="649"/>
      <c r="T98" s="650"/>
      <c r="U98" s="34"/>
      <c r="V98" s="34"/>
      <c r="W98" s="35" t="s">
        <v>67</v>
      </c>
      <c r="X98" s="633">
        <v>296</v>
      </c>
      <c r="Y98" s="634">
        <f>IFERROR(IF(X98="",0,CEILING((X98/$H98),1)*$H98),"")</f>
        <v>299.7</v>
      </c>
      <c r="Z98" s="36">
        <f>IFERROR(IF(Y98=0,"",ROUNDUP(Y98/H98,0)*0.01898),"")</f>
        <v>0.70226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314.05234567901232</v>
      </c>
      <c r="BN98" s="64">
        <f>IFERROR(Y98*I98/H98,"0")</f>
        <v>317.97800000000001</v>
      </c>
      <c r="BO98" s="64">
        <f>IFERROR(1/J98*(X98/H98),"0")</f>
        <v>0.57098765432098764</v>
      </c>
      <c r="BP98" s="64">
        <f>IFERROR(1/J98*(Y98/H98),"0")</f>
        <v>0.578125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9"/>
      <c r="R99" s="649"/>
      <c r="S99" s="649"/>
      <c r="T99" s="650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9"/>
      <c r="R100" s="649"/>
      <c r="S100" s="649"/>
      <c r="T100" s="650"/>
      <c r="U100" s="34"/>
      <c r="V100" s="34"/>
      <c r="W100" s="35" t="s">
        <v>67</v>
      </c>
      <c r="X100" s="633">
        <v>146</v>
      </c>
      <c r="Y100" s="634">
        <f>IFERROR(IF(X100="",0,CEILING((X100/$H100),1)*$H100),"")</f>
        <v>148.5</v>
      </c>
      <c r="Z100" s="36">
        <f>IFERROR(IF(Y100=0,"",ROUNDUP(Y100/H100,0)*0.00651),"")</f>
        <v>0.35805000000000003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159.62666666666667</v>
      </c>
      <c r="BN100" s="64">
        <f>IFERROR(Y100*I100/H100,"0")</f>
        <v>162.35999999999999</v>
      </c>
      <c r="BO100" s="64">
        <f>IFERROR(1/J100*(X100/H100),"0")</f>
        <v>0.29711029711029713</v>
      </c>
      <c r="BP100" s="64">
        <f>IFERROR(1/J100*(Y100/H100),"0")</f>
        <v>0.30219780219780218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3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9"/>
      <c r="R101" s="649"/>
      <c r="S101" s="649"/>
      <c r="T101" s="650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47"/>
      <c r="P102" s="643" t="s">
        <v>69</v>
      </c>
      <c r="Q102" s="644"/>
      <c r="R102" s="644"/>
      <c r="S102" s="644"/>
      <c r="T102" s="644"/>
      <c r="U102" s="644"/>
      <c r="V102" s="645"/>
      <c r="W102" s="37" t="s">
        <v>70</v>
      </c>
      <c r="X102" s="635">
        <f>IFERROR(X98/H98,"0")+IFERROR(X99/H99,"0")+IFERROR(X100/H100,"0")+IFERROR(X101/H101,"0")</f>
        <v>90.617283950617278</v>
      </c>
      <c r="Y102" s="635">
        <f>IFERROR(Y98/H98,"0")+IFERROR(Y99/H99,"0")+IFERROR(Y100/H100,"0")+IFERROR(Y101/H101,"0")</f>
        <v>92</v>
      </c>
      <c r="Z102" s="635">
        <f>IFERROR(IF(Z98="",0,Z98),"0")+IFERROR(IF(Z99="",0,Z99),"0")+IFERROR(IF(Z100="",0,Z100),"0")+IFERROR(IF(Z101="",0,Z101),"0")</f>
        <v>1.0603100000000001</v>
      </c>
      <c r="AA102" s="636"/>
      <c r="AB102" s="636"/>
      <c r="AC102" s="636"/>
    </row>
    <row r="103" spans="1:68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47"/>
      <c r="P103" s="643" t="s">
        <v>69</v>
      </c>
      <c r="Q103" s="644"/>
      <c r="R103" s="644"/>
      <c r="S103" s="644"/>
      <c r="T103" s="644"/>
      <c r="U103" s="644"/>
      <c r="V103" s="645"/>
      <c r="W103" s="37" t="s">
        <v>67</v>
      </c>
      <c r="X103" s="635">
        <f>IFERROR(SUM(X98:X101),"0")</f>
        <v>442</v>
      </c>
      <c r="Y103" s="635">
        <f>IFERROR(SUM(Y98:Y101),"0")</f>
        <v>448.2</v>
      </c>
      <c r="Z103" s="37"/>
      <c r="AA103" s="636"/>
      <c r="AB103" s="636"/>
      <c r="AC103" s="636"/>
    </row>
    <row r="104" spans="1:68" ht="16.5" hidden="1" customHeight="1" x14ac:dyDescent="0.25">
      <c r="A104" s="641" t="s">
        <v>204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27"/>
      <c r="AB104" s="627"/>
      <c r="AC104" s="627"/>
    </row>
    <row r="105" spans="1:68" ht="14.25" hidden="1" customHeight="1" x14ac:dyDescent="0.25">
      <c r="A105" s="66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28"/>
      <c r="AB105" s="628"/>
      <c r="AC105" s="628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9"/>
      <c r="R106" s="649"/>
      <c r="S106" s="649"/>
      <c r="T106" s="650"/>
      <c r="U106" s="34"/>
      <c r="V106" s="34"/>
      <c r="W106" s="35" t="s">
        <v>67</v>
      </c>
      <c r="X106" s="633">
        <v>80</v>
      </c>
      <c r="Y106" s="634">
        <f t="shared" ref="Y106:Y112" si="10">IFERROR(IF(X106="",0,CEILING((X106/$H106),1)*$H106),"")</f>
        <v>86.4</v>
      </c>
      <c r="Z106" s="36">
        <f>IFERROR(IF(Y106=0,"",ROUNDUP(Y106/H106,0)*0.01898),"")</f>
        <v>0.15184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83.037037037037038</v>
      </c>
      <c r="BN106" s="64">
        <f t="shared" ref="BN106:BN112" si="12">IFERROR(Y106*I106/H106,"0")</f>
        <v>89.68</v>
      </c>
      <c r="BO106" s="64">
        <f t="shared" ref="BO106:BO112" si="13">IFERROR(1/J106*(X106/H106),"0")</f>
        <v>0.11574074074074073</v>
      </c>
      <c r="BP106" s="64">
        <f t="shared" ref="BP106:BP112" si="14">IFERROR(1/J106*(Y106/H106),"0")</f>
        <v>0.125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3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9"/>
      <c r="R107" s="649"/>
      <c r="S107" s="649"/>
      <c r="T107" s="650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9"/>
      <c r="R108" s="649"/>
      <c r="S108" s="649"/>
      <c r="T108" s="650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92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9"/>
      <c r="R109" s="649"/>
      <c r="S109" s="649"/>
      <c r="T109" s="650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9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9"/>
      <c r="R110" s="649"/>
      <c r="S110" s="649"/>
      <c r="T110" s="650"/>
      <c r="U110" s="34"/>
      <c r="V110" s="34"/>
      <c r="W110" s="35" t="s">
        <v>67</v>
      </c>
      <c r="X110" s="633">
        <v>45</v>
      </c>
      <c r="Y110" s="634">
        <f t="shared" si="10"/>
        <v>45</v>
      </c>
      <c r="Z110" s="36">
        <f>IFERROR(IF(Y110=0,"",ROUNDUP(Y110/H110,0)*0.00902),"")</f>
        <v>9.0200000000000002E-2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46.900000000000006</v>
      </c>
      <c r="BN110" s="64">
        <f t="shared" si="12"/>
        <v>46.900000000000006</v>
      </c>
      <c r="BO110" s="64">
        <f t="shared" si="13"/>
        <v>7.575757575757576E-2</v>
      </c>
      <c r="BP110" s="64">
        <f t="shared" si="14"/>
        <v>7.575757575757576E-2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86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9"/>
      <c r="R111" s="649"/>
      <c r="S111" s="649"/>
      <c r="T111" s="650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1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9"/>
      <c r="R112" s="649"/>
      <c r="S112" s="649"/>
      <c r="T112" s="650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47"/>
      <c r="P113" s="643" t="s">
        <v>69</v>
      </c>
      <c r="Q113" s="644"/>
      <c r="R113" s="644"/>
      <c r="S113" s="644"/>
      <c r="T113" s="644"/>
      <c r="U113" s="644"/>
      <c r="V113" s="645"/>
      <c r="W113" s="37" t="s">
        <v>70</v>
      </c>
      <c r="X113" s="635">
        <f>IFERROR(X106/H106,"0")+IFERROR(X107/H107,"0")+IFERROR(X108/H108,"0")+IFERROR(X109/H109,"0")+IFERROR(X110/H110,"0")+IFERROR(X111/H111,"0")+IFERROR(X112/H112,"0")</f>
        <v>17.407407407407405</v>
      </c>
      <c r="Y113" s="635">
        <f>IFERROR(Y106/H106,"0")+IFERROR(Y107/H107,"0")+IFERROR(Y108/H108,"0")+IFERROR(Y109/H109,"0")+IFERROR(Y110/H110,"0")+IFERROR(Y111/H111,"0")+IFERROR(Y112/H112,"0")</f>
        <v>18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0.24204000000000001</v>
      </c>
      <c r="AA113" s="636"/>
      <c r="AB113" s="636"/>
      <c r="AC113" s="636"/>
    </row>
    <row r="114" spans="1:68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47"/>
      <c r="P114" s="643" t="s">
        <v>69</v>
      </c>
      <c r="Q114" s="644"/>
      <c r="R114" s="644"/>
      <c r="S114" s="644"/>
      <c r="T114" s="644"/>
      <c r="U114" s="644"/>
      <c r="V114" s="645"/>
      <c r="W114" s="37" t="s">
        <v>67</v>
      </c>
      <c r="X114" s="635">
        <f>IFERROR(SUM(X106:X112),"0")</f>
        <v>125</v>
      </c>
      <c r="Y114" s="635">
        <f>IFERROR(SUM(Y106:Y112),"0")</f>
        <v>131.4</v>
      </c>
      <c r="Z114" s="37"/>
      <c r="AA114" s="636"/>
      <c r="AB114" s="636"/>
      <c r="AC114" s="636"/>
    </row>
    <row r="115" spans="1:68" ht="14.25" hidden="1" customHeight="1" x14ac:dyDescent="0.25">
      <c r="A115" s="661" t="s">
        <v>154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28"/>
      <c r="AB115" s="628"/>
      <c r="AC115" s="628"/>
    </row>
    <row r="116" spans="1:68" ht="27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8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9"/>
      <c r="R116" s="649"/>
      <c r="S116" s="649"/>
      <c r="T116" s="650"/>
      <c r="U116" s="34"/>
      <c r="V116" s="34"/>
      <c r="W116" s="35" t="s">
        <v>67</v>
      </c>
      <c r="X116" s="633">
        <v>4</v>
      </c>
      <c r="Y116" s="634">
        <f>IFERROR(IF(X116="",0,CEILING((X116/$H116),1)*$H116),"")</f>
        <v>10.8</v>
      </c>
      <c r="Z116" s="36">
        <f>IFERROR(IF(Y116=0,"",ROUNDUP(Y116/H116,0)*0.01898),"")</f>
        <v>1.898E-2</v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4.1518518518518519</v>
      </c>
      <c r="BN116" s="64">
        <f>IFERROR(Y116*I116/H116,"0")</f>
        <v>11.21</v>
      </c>
      <c r="BO116" s="64">
        <f>IFERROR(1/J116*(X116/H116),"0")</f>
        <v>5.7870370370370367E-3</v>
      </c>
      <c r="BP116" s="64">
        <f>IFERROR(1/J116*(Y116/H116),"0")</f>
        <v>1.5625E-2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3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9"/>
      <c r="R117" s="649"/>
      <c r="S117" s="649"/>
      <c r="T117" s="650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9"/>
      <c r="R118" s="649"/>
      <c r="S118" s="649"/>
      <c r="T118" s="650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9"/>
      <c r="R119" s="649"/>
      <c r="S119" s="649"/>
      <c r="T119" s="650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6"/>
      <c r="B120" s="642"/>
      <c r="C120" s="642"/>
      <c r="D120" s="642"/>
      <c r="E120" s="642"/>
      <c r="F120" s="642"/>
      <c r="G120" s="642"/>
      <c r="H120" s="642"/>
      <c r="I120" s="642"/>
      <c r="J120" s="642"/>
      <c r="K120" s="642"/>
      <c r="L120" s="642"/>
      <c r="M120" s="642"/>
      <c r="N120" s="642"/>
      <c r="O120" s="647"/>
      <c r="P120" s="643" t="s">
        <v>69</v>
      </c>
      <c r="Q120" s="644"/>
      <c r="R120" s="644"/>
      <c r="S120" s="644"/>
      <c r="T120" s="644"/>
      <c r="U120" s="644"/>
      <c r="V120" s="645"/>
      <c r="W120" s="37" t="s">
        <v>70</v>
      </c>
      <c r="X120" s="635">
        <f>IFERROR(X116/H116,"0")+IFERROR(X117/H117,"0")+IFERROR(X118/H118,"0")+IFERROR(X119/H119,"0")</f>
        <v>0.37037037037037035</v>
      </c>
      <c r="Y120" s="635">
        <f>IFERROR(Y116/H116,"0")+IFERROR(Y117/H117,"0")+IFERROR(Y118/H118,"0")+IFERROR(Y119/H119,"0")</f>
        <v>1</v>
      </c>
      <c r="Z120" s="635">
        <f>IFERROR(IF(Z116="",0,Z116),"0")+IFERROR(IF(Z117="",0,Z117),"0")+IFERROR(IF(Z118="",0,Z118),"0")+IFERROR(IF(Z119="",0,Z119),"0")</f>
        <v>1.898E-2</v>
      </c>
      <c r="AA120" s="636"/>
      <c r="AB120" s="636"/>
      <c r="AC120" s="636"/>
    </row>
    <row r="121" spans="1:68" x14ac:dyDescent="0.2">
      <c r="A121" s="642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47"/>
      <c r="P121" s="643" t="s">
        <v>69</v>
      </c>
      <c r="Q121" s="644"/>
      <c r="R121" s="644"/>
      <c r="S121" s="644"/>
      <c r="T121" s="644"/>
      <c r="U121" s="644"/>
      <c r="V121" s="645"/>
      <c r="W121" s="37" t="s">
        <v>67</v>
      </c>
      <c r="X121" s="635">
        <f>IFERROR(SUM(X116:X119),"0")</f>
        <v>4</v>
      </c>
      <c r="Y121" s="635">
        <f>IFERROR(SUM(Y116:Y119),"0")</f>
        <v>10.8</v>
      </c>
      <c r="Z121" s="37"/>
      <c r="AA121" s="636"/>
      <c r="AB121" s="636"/>
      <c r="AC121" s="636"/>
    </row>
    <row r="122" spans="1:68" ht="14.25" hidden="1" customHeight="1" x14ac:dyDescent="0.25">
      <c r="A122" s="661" t="s">
        <v>71</v>
      </c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42"/>
      <c r="P122" s="642"/>
      <c r="Q122" s="642"/>
      <c r="R122" s="642"/>
      <c r="S122" s="642"/>
      <c r="T122" s="642"/>
      <c r="U122" s="642"/>
      <c r="V122" s="642"/>
      <c r="W122" s="642"/>
      <c r="X122" s="642"/>
      <c r="Y122" s="642"/>
      <c r="Z122" s="642"/>
      <c r="AA122" s="628"/>
      <c r="AB122" s="628"/>
      <c r="AC122" s="628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9"/>
      <c r="R123" s="649"/>
      <c r="S123" s="649"/>
      <c r="T123" s="650"/>
      <c r="U123" s="34"/>
      <c r="V123" s="34"/>
      <c r="W123" s="35" t="s">
        <v>67</v>
      </c>
      <c r="X123" s="633">
        <v>220</v>
      </c>
      <c r="Y123" s="634">
        <f>IFERROR(IF(X123="",0,CEILING((X123/$H123),1)*$H123),"")</f>
        <v>226.79999999999998</v>
      </c>
      <c r="Z123" s="36">
        <f>IFERROR(IF(Y123=0,"",ROUNDUP(Y123/H123,0)*0.01898),"")</f>
        <v>0.53144000000000002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233.25432098765432</v>
      </c>
      <c r="BN123" s="64">
        <f>IFERROR(Y123*I123/H123,"0")</f>
        <v>240.46399999999997</v>
      </c>
      <c r="BO123" s="64">
        <f>IFERROR(1/J123*(X123/H123),"0")</f>
        <v>0.42438271604938271</v>
      </c>
      <c r="BP123" s="64">
        <f>IFERROR(1/J123*(Y123/H123),"0")</f>
        <v>0.4375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9"/>
      <c r="R124" s="649"/>
      <c r="S124" s="649"/>
      <c r="T124" s="650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1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9"/>
      <c r="R125" s="649"/>
      <c r="S125" s="649"/>
      <c r="T125" s="650"/>
      <c r="U125" s="34"/>
      <c r="V125" s="34"/>
      <c r="W125" s="35" t="s">
        <v>67</v>
      </c>
      <c r="X125" s="633">
        <v>123</v>
      </c>
      <c r="Y125" s="634">
        <f>IFERROR(IF(X125="",0,CEILING((X125/$H125),1)*$H125),"")</f>
        <v>124.2</v>
      </c>
      <c r="Z125" s="36">
        <f>IFERROR(IF(Y125=0,"",ROUNDUP(Y125/H125,0)*0.00651),"")</f>
        <v>0.29946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134.47999999999999</v>
      </c>
      <c r="BN125" s="64">
        <f>IFERROR(Y125*I125/H125,"0")</f>
        <v>135.792</v>
      </c>
      <c r="BO125" s="64">
        <f>IFERROR(1/J125*(X125/H125),"0")</f>
        <v>0.2503052503052503</v>
      </c>
      <c r="BP125" s="64">
        <f>IFERROR(1/J125*(Y125/H125),"0")</f>
        <v>0.25274725274725279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9"/>
      <c r="R126" s="649"/>
      <c r="S126" s="649"/>
      <c r="T126" s="650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6"/>
      <c r="B127" s="642"/>
      <c r="C127" s="642"/>
      <c r="D127" s="642"/>
      <c r="E127" s="642"/>
      <c r="F127" s="642"/>
      <c r="G127" s="642"/>
      <c r="H127" s="642"/>
      <c r="I127" s="642"/>
      <c r="J127" s="642"/>
      <c r="K127" s="642"/>
      <c r="L127" s="642"/>
      <c r="M127" s="642"/>
      <c r="N127" s="642"/>
      <c r="O127" s="647"/>
      <c r="P127" s="643" t="s">
        <v>69</v>
      </c>
      <c r="Q127" s="644"/>
      <c r="R127" s="644"/>
      <c r="S127" s="644"/>
      <c r="T127" s="644"/>
      <c r="U127" s="644"/>
      <c r="V127" s="645"/>
      <c r="W127" s="37" t="s">
        <v>70</v>
      </c>
      <c r="X127" s="635">
        <f>IFERROR(X123/H123,"0")+IFERROR(X124/H124,"0")+IFERROR(X125/H125,"0")+IFERROR(X126/H126,"0")</f>
        <v>72.716049382716051</v>
      </c>
      <c r="Y127" s="635">
        <f>IFERROR(Y123/H123,"0")+IFERROR(Y124/H124,"0")+IFERROR(Y125/H125,"0")+IFERROR(Y126/H126,"0")</f>
        <v>74</v>
      </c>
      <c r="Z127" s="635">
        <f>IFERROR(IF(Z123="",0,Z123),"0")+IFERROR(IF(Z124="",0,Z124),"0")+IFERROR(IF(Z125="",0,Z125),"0")+IFERROR(IF(Z126="",0,Z126),"0")</f>
        <v>0.83089999999999997</v>
      </c>
      <c r="AA127" s="636"/>
      <c r="AB127" s="636"/>
      <c r="AC127" s="636"/>
    </row>
    <row r="128" spans="1:68" x14ac:dyDescent="0.2">
      <c r="A128" s="642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47"/>
      <c r="P128" s="643" t="s">
        <v>69</v>
      </c>
      <c r="Q128" s="644"/>
      <c r="R128" s="644"/>
      <c r="S128" s="644"/>
      <c r="T128" s="644"/>
      <c r="U128" s="644"/>
      <c r="V128" s="645"/>
      <c r="W128" s="37" t="s">
        <v>67</v>
      </c>
      <c r="X128" s="635">
        <f>IFERROR(SUM(X123:X126),"0")</f>
        <v>343</v>
      </c>
      <c r="Y128" s="635">
        <f>IFERROR(SUM(Y123:Y126),"0")</f>
        <v>351</v>
      </c>
      <c r="Z128" s="37"/>
      <c r="AA128" s="636"/>
      <c r="AB128" s="636"/>
      <c r="AC128" s="636"/>
    </row>
    <row r="129" spans="1:68" ht="14.25" hidden="1" customHeight="1" x14ac:dyDescent="0.25">
      <c r="A129" s="661" t="s">
        <v>172</v>
      </c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42"/>
      <c r="P129" s="642"/>
      <c r="Q129" s="642"/>
      <c r="R129" s="642"/>
      <c r="S129" s="642"/>
      <c r="T129" s="642"/>
      <c r="U129" s="642"/>
      <c r="V129" s="642"/>
      <c r="W129" s="642"/>
      <c r="X129" s="642"/>
      <c r="Y129" s="642"/>
      <c r="Z129" s="642"/>
      <c r="AA129" s="628"/>
      <c r="AB129" s="628"/>
      <c r="AC129" s="628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88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9"/>
      <c r="R130" s="649"/>
      <c r="S130" s="649"/>
      <c r="T130" s="650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6"/>
      <c r="B131" s="642"/>
      <c r="C131" s="642"/>
      <c r="D131" s="642"/>
      <c r="E131" s="642"/>
      <c r="F131" s="642"/>
      <c r="G131" s="642"/>
      <c r="H131" s="642"/>
      <c r="I131" s="642"/>
      <c r="J131" s="642"/>
      <c r="K131" s="642"/>
      <c r="L131" s="642"/>
      <c r="M131" s="642"/>
      <c r="N131" s="642"/>
      <c r="O131" s="647"/>
      <c r="P131" s="643" t="s">
        <v>69</v>
      </c>
      <c r="Q131" s="644"/>
      <c r="R131" s="644"/>
      <c r="S131" s="644"/>
      <c r="T131" s="644"/>
      <c r="U131" s="644"/>
      <c r="V131" s="645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2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47"/>
      <c r="P132" s="643" t="s">
        <v>69</v>
      </c>
      <c r="Q132" s="644"/>
      <c r="R132" s="644"/>
      <c r="S132" s="644"/>
      <c r="T132" s="644"/>
      <c r="U132" s="644"/>
      <c r="V132" s="645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41" t="s">
        <v>246</v>
      </c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42"/>
      <c r="P133" s="642"/>
      <c r="Q133" s="642"/>
      <c r="R133" s="642"/>
      <c r="S133" s="642"/>
      <c r="T133" s="642"/>
      <c r="U133" s="642"/>
      <c r="V133" s="642"/>
      <c r="W133" s="642"/>
      <c r="X133" s="642"/>
      <c r="Y133" s="642"/>
      <c r="Z133" s="642"/>
      <c r="AA133" s="627"/>
      <c r="AB133" s="627"/>
      <c r="AC133" s="627"/>
    </row>
    <row r="134" spans="1:68" ht="14.25" hidden="1" customHeight="1" x14ac:dyDescent="0.25">
      <c r="A134" s="661" t="s">
        <v>119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28"/>
      <c r="AB134" s="628"/>
      <c r="AC134" s="628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9"/>
      <c r="R135" s="649"/>
      <c r="S135" s="649"/>
      <c r="T135" s="650"/>
      <c r="U135" s="34"/>
      <c r="V135" s="34"/>
      <c r="W135" s="35" t="s">
        <v>67</v>
      </c>
      <c r="X135" s="633">
        <v>13</v>
      </c>
      <c r="Y135" s="634">
        <f>IFERROR(IF(X135="",0,CEILING((X135/$H135),1)*$H135),"")</f>
        <v>16</v>
      </c>
      <c r="Z135" s="36">
        <f>IFERROR(IF(Y135=0,"",ROUNDUP(Y135/H135,0)*0.00651),"")</f>
        <v>3.2550000000000003E-2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13.731249999999999</v>
      </c>
      <c r="BN135" s="64">
        <f>IFERROR(Y135*I135/H135,"0")</f>
        <v>16.899999999999999</v>
      </c>
      <c r="BO135" s="64">
        <f>IFERROR(1/J135*(X135/H135),"0")</f>
        <v>2.2321428571428572E-2</v>
      </c>
      <c r="BP135" s="64">
        <f>IFERROR(1/J135*(Y135/H135),"0")</f>
        <v>2.7472527472527476E-2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9"/>
      <c r="R136" s="649"/>
      <c r="S136" s="649"/>
      <c r="T136" s="650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6"/>
      <c r="B137" s="642"/>
      <c r="C137" s="642"/>
      <c r="D137" s="642"/>
      <c r="E137" s="642"/>
      <c r="F137" s="642"/>
      <c r="G137" s="642"/>
      <c r="H137" s="642"/>
      <c r="I137" s="642"/>
      <c r="J137" s="642"/>
      <c r="K137" s="642"/>
      <c r="L137" s="642"/>
      <c r="M137" s="642"/>
      <c r="N137" s="642"/>
      <c r="O137" s="647"/>
      <c r="P137" s="643" t="s">
        <v>69</v>
      </c>
      <c r="Q137" s="644"/>
      <c r="R137" s="644"/>
      <c r="S137" s="644"/>
      <c r="T137" s="644"/>
      <c r="U137" s="644"/>
      <c r="V137" s="645"/>
      <c r="W137" s="37" t="s">
        <v>70</v>
      </c>
      <c r="X137" s="635">
        <f>IFERROR(X135/H135,"0")+IFERROR(X136/H136,"0")</f>
        <v>4.0625</v>
      </c>
      <c r="Y137" s="635">
        <f>IFERROR(Y135/H135,"0")+IFERROR(Y136/H136,"0")</f>
        <v>5</v>
      </c>
      <c r="Z137" s="635">
        <f>IFERROR(IF(Z135="",0,Z135),"0")+IFERROR(IF(Z136="",0,Z136),"0")</f>
        <v>3.2550000000000003E-2</v>
      </c>
      <c r="AA137" s="636"/>
      <c r="AB137" s="636"/>
      <c r="AC137" s="636"/>
    </row>
    <row r="138" spans="1:68" x14ac:dyDescent="0.2">
      <c r="A138" s="642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47"/>
      <c r="P138" s="643" t="s">
        <v>69</v>
      </c>
      <c r="Q138" s="644"/>
      <c r="R138" s="644"/>
      <c r="S138" s="644"/>
      <c r="T138" s="644"/>
      <c r="U138" s="644"/>
      <c r="V138" s="645"/>
      <c r="W138" s="37" t="s">
        <v>67</v>
      </c>
      <c r="X138" s="635">
        <f>IFERROR(SUM(X135:X136),"0")</f>
        <v>13</v>
      </c>
      <c r="Y138" s="635">
        <f>IFERROR(SUM(Y135:Y136),"0")</f>
        <v>16</v>
      </c>
      <c r="Z138" s="37"/>
      <c r="AA138" s="636"/>
      <c r="AB138" s="636"/>
      <c r="AC138" s="636"/>
    </row>
    <row r="139" spans="1:68" ht="14.25" hidden="1" customHeight="1" x14ac:dyDescent="0.25">
      <c r="A139" s="661" t="s">
        <v>62</v>
      </c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42"/>
      <c r="P139" s="642"/>
      <c r="Q139" s="642"/>
      <c r="R139" s="642"/>
      <c r="S139" s="642"/>
      <c r="T139" s="642"/>
      <c r="U139" s="642"/>
      <c r="V139" s="642"/>
      <c r="W139" s="642"/>
      <c r="X139" s="642"/>
      <c r="Y139" s="642"/>
      <c r="Z139" s="642"/>
      <c r="AA139" s="628"/>
      <c r="AB139" s="628"/>
      <c r="AC139" s="628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9"/>
      <c r="R140" s="649"/>
      <c r="S140" s="649"/>
      <c r="T140" s="650"/>
      <c r="U140" s="34"/>
      <c r="V140" s="34"/>
      <c r="W140" s="35" t="s">
        <v>67</v>
      </c>
      <c r="X140" s="633">
        <v>6</v>
      </c>
      <c r="Y140" s="634">
        <f>IFERROR(IF(X140="",0,CEILING((X140/$H140),1)*$H140),"")</f>
        <v>8.3999999999999986</v>
      </c>
      <c r="Z140" s="36">
        <f>IFERROR(IF(Y140=0,"",ROUNDUP(Y140/H140,0)*0.00651),"")</f>
        <v>1.9529999999999999E-2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6.5742857142857147</v>
      </c>
      <c r="BN140" s="64">
        <f>IFERROR(Y140*I140/H140,"0")</f>
        <v>9.2039999999999988</v>
      </c>
      <c r="BO140" s="64">
        <f>IFERROR(1/J140*(X140/H140),"0")</f>
        <v>1.1773940345368918E-2</v>
      </c>
      <c r="BP140" s="64">
        <f>IFERROR(1/J140*(Y140/H140),"0")</f>
        <v>1.6483516483516484E-2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9"/>
      <c r="R141" s="649"/>
      <c r="S141" s="649"/>
      <c r="T141" s="650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6"/>
      <c r="B142" s="642"/>
      <c r="C142" s="642"/>
      <c r="D142" s="642"/>
      <c r="E142" s="642"/>
      <c r="F142" s="642"/>
      <c r="G142" s="642"/>
      <c r="H142" s="642"/>
      <c r="I142" s="642"/>
      <c r="J142" s="642"/>
      <c r="K142" s="642"/>
      <c r="L142" s="642"/>
      <c r="M142" s="642"/>
      <c r="N142" s="642"/>
      <c r="O142" s="647"/>
      <c r="P142" s="643" t="s">
        <v>69</v>
      </c>
      <c r="Q142" s="644"/>
      <c r="R142" s="644"/>
      <c r="S142" s="644"/>
      <c r="T142" s="644"/>
      <c r="U142" s="644"/>
      <c r="V142" s="645"/>
      <c r="W142" s="37" t="s">
        <v>70</v>
      </c>
      <c r="X142" s="635">
        <f>IFERROR(X140/H140,"0")+IFERROR(X141/H141,"0")</f>
        <v>2.1428571428571428</v>
      </c>
      <c r="Y142" s="635">
        <f>IFERROR(Y140/H140,"0")+IFERROR(Y141/H141,"0")</f>
        <v>2.9999999999999996</v>
      </c>
      <c r="Z142" s="635">
        <f>IFERROR(IF(Z140="",0,Z140),"0")+IFERROR(IF(Z141="",0,Z141),"0")</f>
        <v>1.9529999999999999E-2</v>
      </c>
      <c r="AA142" s="636"/>
      <c r="AB142" s="636"/>
      <c r="AC142" s="636"/>
    </row>
    <row r="143" spans="1:68" x14ac:dyDescent="0.2">
      <c r="A143" s="642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47"/>
      <c r="P143" s="643" t="s">
        <v>69</v>
      </c>
      <c r="Q143" s="644"/>
      <c r="R143" s="644"/>
      <c r="S143" s="644"/>
      <c r="T143" s="644"/>
      <c r="U143" s="644"/>
      <c r="V143" s="645"/>
      <c r="W143" s="37" t="s">
        <v>67</v>
      </c>
      <c r="X143" s="635">
        <f>IFERROR(SUM(X140:X141),"0")</f>
        <v>6</v>
      </c>
      <c r="Y143" s="635">
        <f>IFERROR(SUM(Y140:Y141),"0")</f>
        <v>8.3999999999999986</v>
      </c>
      <c r="Z143" s="37"/>
      <c r="AA143" s="636"/>
      <c r="AB143" s="636"/>
      <c r="AC143" s="636"/>
    </row>
    <row r="144" spans="1:68" ht="14.25" hidden="1" customHeight="1" x14ac:dyDescent="0.25">
      <c r="A144" s="661" t="s">
        <v>71</v>
      </c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42"/>
      <c r="P144" s="642"/>
      <c r="Q144" s="642"/>
      <c r="R144" s="642"/>
      <c r="S144" s="642"/>
      <c r="T144" s="642"/>
      <c r="U144" s="642"/>
      <c r="V144" s="642"/>
      <c r="W144" s="642"/>
      <c r="X144" s="642"/>
      <c r="Y144" s="642"/>
      <c r="Z144" s="642"/>
      <c r="AA144" s="628"/>
      <c r="AB144" s="628"/>
      <c r="AC144" s="628"/>
    </row>
    <row r="145" spans="1:68" ht="16.5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9"/>
      <c r="R145" s="649"/>
      <c r="S145" s="649"/>
      <c r="T145" s="650"/>
      <c r="U145" s="34"/>
      <c r="V145" s="34"/>
      <c r="W145" s="35" t="s">
        <v>67</v>
      </c>
      <c r="X145" s="633">
        <v>10</v>
      </c>
      <c r="Y145" s="634">
        <f>IFERROR(IF(X145="",0,CEILING((X145/$H145),1)*$H145),"")</f>
        <v>10.56</v>
      </c>
      <c r="Z145" s="36">
        <f>IFERROR(IF(Y145=0,"",ROUNDUP(Y145/H145,0)*0.00651),"")</f>
        <v>2.6040000000000001E-2</v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11.015151515151514</v>
      </c>
      <c r="BN145" s="64">
        <f>IFERROR(Y145*I145/H145,"0")</f>
        <v>11.632</v>
      </c>
      <c r="BO145" s="64">
        <f>IFERROR(1/J145*(X145/H145),"0")</f>
        <v>2.0812520812520812E-2</v>
      </c>
      <c r="BP145" s="64">
        <f>IFERROR(1/J145*(Y145/H145),"0")</f>
        <v>2.197802197802198E-2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9"/>
      <c r="R146" s="649"/>
      <c r="S146" s="649"/>
      <c r="T146" s="650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46"/>
      <c r="B147" s="642"/>
      <c r="C147" s="642"/>
      <c r="D147" s="642"/>
      <c r="E147" s="642"/>
      <c r="F147" s="642"/>
      <c r="G147" s="642"/>
      <c r="H147" s="642"/>
      <c r="I147" s="642"/>
      <c r="J147" s="642"/>
      <c r="K147" s="642"/>
      <c r="L147" s="642"/>
      <c r="M147" s="642"/>
      <c r="N147" s="642"/>
      <c r="O147" s="647"/>
      <c r="P147" s="643" t="s">
        <v>69</v>
      </c>
      <c r="Q147" s="644"/>
      <c r="R147" s="644"/>
      <c r="S147" s="644"/>
      <c r="T147" s="644"/>
      <c r="U147" s="644"/>
      <c r="V147" s="645"/>
      <c r="W147" s="37" t="s">
        <v>70</v>
      </c>
      <c r="X147" s="635">
        <f>IFERROR(X145/H145,"0")+IFERROR(X146/H146,"0")</f>
        <v>3.7878787878787876</v>
      </c>
      <c r="Y147" s="635">
        <f>IFERROR(Y145/H145,"0")+IFERROR(Y146/H146,"0")</f>
        <v>4</v>
      </c>
      <c r="Z147" s="635">
        <f>IFERROR(IF(Z145="",0,Z145),"0")+IFERROR(IF(Z146="",0,Z146),"0")</f>
        <v>2.6040000000000001E-2</v>
      </c>
      <c r="AA147" s="636"/>
      <c r="AB147" s="636"/>
      <c r="AC147" s="636"/>
    </row>
    <row r="148" spans="1:68" x14ac:dyDescent="0.2">
      <c r="A148" s="642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47"/>
      <c r="P148" s="643" t="s">
        <v>69</v>
      </c>
      <c r="Q148" s="644"/>
      <c r="R148" s="644"/>
      <c r="S148" s="644"/>
      <c r="T148" s="644"/>
      <c r="U148" s="644"/>
      <c r="V148" s="645"/>
      <c r="W148" s="37" t="s">
        <v>67</v>
      </c>
      <c r="X148" s="635">
        <f>IFERROR(SUM(X145:X146),"0")</f>
        <v>10</v>
      </c>
      <c r="Y148" s="635">
        <f>IFERROR(SUM(Y145:Y146),"0")</f>
        <v>10.56</v>
      </c>
      <c r="Z148" s="37"/>
      <c r="AA148" s="636"/>
      <c r="AB148" s="636"/>
      <c r="AC148" s="636"/>
    </row>
    <row r="149" spans="1:68" ht="16.5" hidden="1" customHeight="1" x14ac:dyDescent="0.25">
      <c r="A149" s="641" t="s">
        <v>259</v>
      </c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42"/>
      <c r="P149" s="642"/>
      <c r="Q149" s="642"/>
      <c r="R149" s="642"/>
      <c r="S149" s="642"/>
      <c r="T149" s="642"/>
      <c r="U149" s="642"/>
      <c r="V149" s="642"/>
      <c r="W149" s="642"/>
      <c r="X149" s="642"/>
      <c r="Y149" s="642"/>
      <c r="Z149" s="642"/>
      <c r="AA149" s="627"/>
      <c r="AB149" s="627"/>
      <c r="AC149" s="627"/>
    </row>
    <row r="150" spans="1:68" ht="14.25" hidden="1" customHeight="1" x14ac:dyDescent="0.25">
      <c r="A150" s="661" t="s">
        <v>71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28"/>
      <c r="AB150" s="628"/>
      <c r="AC150" s="628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9"/>
      <c r="R151" s="649"/>
      <c r="S151" s="649"/>
      <c r="T151" s="650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9"/>
      <c r="R152" s="649"/>
      <c r="S152" s="649"/>
      <c r="T152" s="650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5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9"/>
      <c r="R153" s="649"/>
      <c r="S153" s="649"/>
      <c r="T153" s="650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5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9"/>
      <c r="R154" s="649"/>
      <c r="S154" s="649"/>
      <c r="T154" s="650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6"/>
      <c r="B155" s="642"/>
      <c r="C155" s="642"/>
      <c r="D155" s="642"/>
      <c r="E155" s="642"/>
      <c r="F155" s="642"/>
      <c r="G155" s="642"/>
      <c r="H155" s="642"/>
      <c r="I155" s="642"/>
      <c r="J155" s="642"/>
      <c r="K155" s="642"/>
      <c r="L155" s="642"/>
      <c r="M155" s="642"/>
      <c r="N155" s="642"/>
      <c r="O155" s="647"/>
      <c r="P155" s="643" t="s">
        <v>69</v>
      </c>
      <c r="Q155" s="644"/>
      <c r="R155" s="644"/>
      <c r="S155" s="644"/>
      <c r="T155" s="644"/>
      <c r="U155" s="644"/>
      <c r="V155" s="645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2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47"/>
      <c r="P156" s="643" t="s">
        <v>69</v>
      </c>
      <c r="Q156" s="644"/>
      <c r="R156" s="644"/>
      <c r="S156" s="644"/>
      <c r="T156" s="644"/>
      <c r="U156" s="644"/>
      <c r="V156" s="645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61" t="s">
        <v>89</v>
      </c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42"/>
      <c r="P157" s="642"/>
      <c r="Q157" s="642"/>
      <c r="R157" s="642"/>
      <c r="S157" s="642"/>
      <c r="T157" s="642"/>
      <c r="U157" s="642"/>
      <c r="V157" s="642"/>
      <c r="W157" s="642"/>
      <c r="X157" s="642"/>
      <c r="Y157" s="642"/>
      <c r="Z157" s="642"/>
      <c r="AA157" s="628"/>
      <c r="AB157" s="628"/>
      <c r="AC157" s="628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0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9"/>
      <c r="R158" s="649"/>
      <c r="S158" s="649"/>
      <c r="T158" s="650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6"/>
      <c r="B159" s="642"/>
      <c r="C159" s="642"/>
      <c r="D159" s="642"/>
      <c r="E159" s="642"/>
      <c r="F159" s="642"/>
      <c r="G159" s="642"/>
      <c r="H159" s="642"/>
      <c r="I159" s="642"/>
      <c r="J159" s="642"/>
      <c r="K159" s="642"/>
      <c r="L159" s="642"/>
      <c r="M159" s="642"/>
      <c r="N159" s="642"/>
      <c r="O159" s="647"/>
      <c r="P159" s="643" t="s">
        <v>69</v>
      </c>
      <c r="Q159" s="644"/>
      <c r="R159" s="644"/>
      <c r="S159" s="644"/>
      <c r="T159" s="644"/>
      <c r="U159" s="644"/>
      <c r="V159" s="645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2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47"/>
      <c r="P160" s="643" t="s">
        <v>69</v>
      </c>
      <c r="Q160" s="644"/>
      <c r="R160" s="644"/>
      <c r="S160" s="644"/>
      <c r="T160" s="644"/>
      <c r="U160" s="644"/>
      <c r="V160" s="645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41" t="s">
        <v>117</v>
      </c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42"/>
      <c r="P161" s="642"/>
      <c r="Q161" s="642"/>
      <c r="R161" s="642"/>
      <c r="S161" s="642"/>
      <c r="T161" s="642"/>
      <c r="U161" s="642"/>
      <c r="V161" s="642"/>
      <c r="W161" s="642"/>
      <c r="X161" s="642"/>
      <c r="Y161" s="642"/>
      <c r="Z161" s="642"/>
      <c r="AA161" s="627"/>
      <c r="AB161" s="627"/>
      <c r="AC161" s="627"/>
    </row>
    <row r="162" spans="1:68" ht="14.25" hidden="1" customHeight="1" x14ac:dyDescent="0.25">
      <c r="A162" s="661" t="s">
        <v>119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28"/>
      <c r="AB162" s="628"/>
      <c r="AC162" s="628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9"/>
      <c r="R163" s="649"/>
      <c r="S163" s="649"/>
      <c r="T163" s="650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9"/>
      <c r="R164" s="649"/>
      <c r="S164" s="649"/>
      <c r="T164" s="650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6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9"/>
      <c r="R165" s="649"/>
      <c r="S165" s="649"/>
      <c r="T165" s="650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9"/>
      <c r="R166" s="649"/>
      <c r="S166" s="649"/>
      <c r="T166" s="650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6"/>
      <c r="B167" s="642"/>
      <c r="C167" s="642"/>
      <c r="D167" s="642"/>
      <c r="E167" s="642"/>
      <c r="F167" s="642"/>
      <c r="G167" s="642"/>
      <c r="H167" s="642"/>
      <c r="I167" s="642"/>
      <c r="J167" s="642"/>
      <c r="K167" s="642"/>
      <c r="L167" s="642"/>
      <c r="M167" s="642"/>
      <c r="N167" s="642"/>
      <c r="O167" s="647"/>
      <c r="P167" s="643" t="s">
        <v>69</v>
      </c>
      <c r="Q167" s="644"/>
      <c r="R167" s="644"/>
      <c r="S167" s="644"/>
      <c r="T167" s="644"/>
      <c r="U167" s="644"/>
      <c r="V167" s="645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2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47"/>
      <c r="P168" s="643" t="s">
        <v>69</v>
      </c>
      <c r="Q168" s="644"/>
      <c r="R168" s="644"/>
      <c r="S168" s="644"/>
      <c r="T168" s="644"/>
      <c r="U168" s="644"/>
      <c r="V168" s="645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61" t="s">
        <v>154</v>
      </c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42"/>
      <c r="P169" s="642"/>
      <c r="Q169" s="642"/>
      <c r="R169" s="642"/>
      <c r="S169" s="642"/>
      <c r="T169" s="642"/>
      <c r="U169" s="642"/>
      <c r="V169" s="642"/>
      <c r="W169" s="642"/>
      <c r="X169" s="642"/>
      <c r="Y169" s="642"/>
      <c r="Z169" s="642"/>
      <c r="AA169" s="628"/>
      <c r="AB169" s="628"/>
      <c r="AC169" s="628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9"/>
      <c r="R170" s="649"/>
      <c r="S170" s="649"/>
      <c r="T170" s="650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1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9"/>
      <c r="R171" s="649"/>
      <c r="S171" s="649"/>
      <c r="T171" s="650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6"/>
      <c r="B172" s="642"/>
      <c r="C172" s="642"/>
      <c r="D172" s="642"/>
      <c r="E172" s="642"/>
      <c r="F172" s="642"/>
      <c r="G172" s="642"/>
      <c r="H172" s="642"/>
      <c r="I172" s="642"/>
      <c r="J172" s="642"/>
      <c r="K172" s="642"/>
      <c r="L172" s="642"/>
      <c r="M172" s="642"/>
      <c r="N172" s="642"/>
      <c r="O172" s="647"/>
      <c r="P172" s="643" t="s">
        <v>69</v>
      </c>
      <c r="Q172" s="644"/>
      <c r="R172" s="644"/>
      <c r="S172" s="644"/>
      <c r="T172" s="644"/>
      <c r="U172" s="644"/>
      <c r="V172" s="645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2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47"/>
      <c r="P173" s="643" t="s">
        <v>69</v>
      </c>
      <c r="Q173" s="644"/>
      <c r="R173" s="644"/>
      <c r="S173" s="644"/>
      <c r="T173" s="644"/>
      <c r="U173" s="644"/>
      <c r="V173" s="645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61" t="s">
        <v>62</v>
      </c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42"/>
      <c r="P174" s="642"/>
      <c r="Q174" s="642"/>
      <c r="R174" s="642"/>
      <c r="S174" s="642"/>
      <c r="T174" s="642"/>
      <c r="U174" s="642"/>
      <c r="V174" s="642"/>
      <c r="W174" s="642"/>
      <c r="X174" s="642"/>
      <c r="Y174" s="642"/>
      <c r="Z174" s="642"/>
      <c r="AA174" s="628"/>
      <c r="AB174" s="628"/>
      <c r="AC174" s="628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9"/>
      <c r="R175" s="649"/>
      <c r="S175" s="649"/>
      <c r="T175" s="650"/>
      <c r="U175" s="34"/>
      <c r="V175" s="34"/>
      <c r="W175" s="35" t="s">
        <v>67</v>
      </c>
      <c r="X175" s="633">
        <v>20</v>
      </c>
      <c r="Y175" s="634">
        <f t="shared" ref="Y175:Y184" si="15">IFERROR(IF(X175="",0,CEILING((X175/$H175),1)*$H175),"")</f>
        <v>21</v>
      </c>
      <c r="Z175" s="36">
        <f>IFERROR(IF(Y175=0,"",ROUNDUP(Y175/H175,0)*0.00902),"")</f>
        <v>5.4120000000000001E-2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21.085714285714285</v>
      </c>
      <c r="BN175" s="64">
        <f t="shared" ref="BN175:BN184" si="17">IFERROR(Y175*I175/H175,"0")</f>
        <v>22.139999999999997</v>
      </c>
      <c r="BO175" s="64">
        <f t="shared" ref="BO175:BO184" si="18">IFERROR(1/J175*(X175/H175),"0")</f>
        <v>4.3290043290043295E-2</v>
      </c>
      <c r="BP175" s="64">
        <f t="shared" ref="BP175:BP184" si="19">IFERROR(1/J175*(Y175/H175),"0")</f>
        <v>4.5454545454545456E-2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9"/>
      <c r="R176" s="649"/>
      <c r="S176" s="649"/>
      <c r="T176" s="650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9"/>
      <c r="R177" s="649"/>
      <c r="S177" s="649"/>
      <c r="T177" s="650"/>
      <c r="U177" s="34"/>
      <c r="V177" s="34"/>
      <c r="W177" s="35" t="s">
        <v>67</v>
      </c>
      <c r="X177" s="633">
        <v>30</v>
      </c>
      <c r="Y177" s="634">
        <f t="shared" si="15"/>
        <v>31.5</v>
      </c>
      <c r="Z177" s="36">
        <f>IFERROR(IF(Y177=0,"",ROUNDUP(Y177/H177,0)*0.00902),"")</f>
        <v>8.1180000000000002E-2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31.62857142857143</v>
      </c>
      <c r="BN177" s="64">
        <f t="shared" si="17"/>
        <v>33.21</v>
      </c>
      <c r="BO177" s="64">
        <f t="shared" si="18"/>
        <v>6.4935064935064929E-2</v>
      </c>
      <c r="BP177" s="64">
        <f t="shared" si="19"/>
        <v>6.8181818181818177E-2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7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9"/>
      <c r="R178" s="649"/>
      <c r="S178" s="649"/>
      <c r="T178" s="650"/>
      <c r="U178" s="34"/>
      <c r="V178" s="34"/>
      <c r="W178" s="35" t="s">
        <v>67</v>
      </c>
      <c r="X178" s="633">
        <v>80</v>
      </c>
      <c r="Y178" s="634">
        <f t="shared" si="15"/>
        <v>80.5</v>
      </c>
      <c r="Z178" s="36">
        <f>IFERROR(IF(Y178=0,"",ROUNDUP(Y178/H178,0)*0.00902),"")</f>
        <v>0.20746000000000001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84.342857142857142</v>
      </c>
      <c r="BN178" s="64">
        <f t="shared" si="17"/>
        <v>84.87</v>
      </c>
      <c r="BO178" s="64">
        <f t="shared" si="18"/>
        <v>0.17316017316017318</v>
      </c>
      <c r="BP178" s="64">
        <f t="shared" si="19"/>
        <v>0.17424242424242425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3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9"/>
      <c r="R179" s="649"/>
      <c r="S179" s="649"/>
      <c r="T179" s="650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9"/>
      <c r="R180" s="649"/>
      <c r="S180" s="649"/>
      <c r="T180" s="650"/>
      <c r="U180" s="34"/>
      <c r="V180" s="34"/>
      <c r="W180" s="35" t="s">
        <v>67</v>
      </c>
      <c r="X180" s="633">
        <v>56</v>
      </c>
      <c r="Y180" s="634">
        <f t="shared" si="15"/>
        <v>57.12</v>
      </c>
      <c r="Z180" s="36">
        <f>IFERROR(IF(Y180=0,"",ROUNDUP(Y180/H180,0)*0.00502),"")</f>
        <v>0.17068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59.333333333333343</v>
      </c>
      <c r="BN180" s="64">
        <f t="shared" si="17"/>
        <v>60.519999999999996</v>
      </c>
      <c r="BO180" s="64">
        <f t="shared" si="18"/>
        <v>0.14245014245014248</v>
      </c>
      <c r="BP180" s="64">
        <f t="shared" si="19"/>
        <v>0.14529914529914531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4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9"/>
      <c r="R181" s="649"/>
      <c r="S181" s="649"/>
      <c r="T181" s="650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65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9"/>
      <c r="R182" s="649"/>
      <c r="S182" s="649"/>
      <c r="T182" s="650"/>
      <c r="U182" s="34"/>
      <c r="V182" s="34"/>
      <c r="W182" s="35" t="s">
        <v>67</v>
      </c>
      <c r="X182" s="633">
        <v>22</v>
      </c>
      <c r="Y182" s="634">
        <f t="shared" si="15"/>
        <v>23.52</v>
      </c>
      <c r="Z182" s="36">
        <f>IFERROR(IF(Y182=0,"",ROUNDUP(Y182/H182,0)*0.00502),"")</f>
        <v>7.0280000000000009E-2</v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23.309523809523814</v>
      </c>
      <c r="BN182" s="64">
        <f t="shared" si="17"/>
        <v>24.92</v>
      </c>
      <c r="BO182" s="64">
        <f t="shared" si="18"/>
        <v>5.596255596255597E-2</v>
      </c>
      <c r="BP182" s="64">
        <f t="shared" si="19"/>
        <v>5.9829059829059839E-2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9"/>
      <c r="R183" s="649"/>
      <c r="S183" s="649"/>
      <c r="T183" s="650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9"/>
      <c r="R184" s="649"/>
      <c r="S184" s="649"/>
      <c r="T184" s="650"/>
      <c r="U184" s="34"/>
      <c r="V184" s="34"/>
      <c r="W184" s="35" t="s">
        <v>67</v>
      </c>
      <c r="X184" s="633">
        <v>14</v>
      </c>
      <c r="Y184" s="634">
        <f t="shared" si="15"/>
        <v>15.12</v>
      </c>
      <c r="Z184" s="36">
        <f>IFERROR(IF(Y184=0,"",ROUNDUP(Y184/H184,0)*0.00502),"")</f>
        <v>4.5179999999999998E-2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14.833333333333336</v>
      </c>
      <c r="BN184" s="64">
        <f t="shared" si="17"/>
        <v>16.02</v>
      </c>
      <c r="BO184" s="64">
        <f t="shared" si="18"/>
        <v>3.561253561253562E-2</v>
      </c>
      <c r="BP184" s="64">
        <f t="shared" si="19"/>
        <v>3.8461538461538464E-2</v>
      </c>
    </row>
    <row r="185" spans="1:68" x14ac:dyDescent="0.2">
      <c r="A185" s="646"/>
      <c r="B185" s="642"/>
      <c r="C185" s="642"/>
      <c r="D185" s="642"/>
      <c r="E185" s="642"/>
      <c r="F185" s="642"/>
      <c r="G185" s="642"/>
      <c r="H185" s="642"/>
      <c r="I185" s="642"/>
      <c r="J185" s="642"/>
      <c r="K185" s="642"/>
      <c r="L185" s="642"/>
      <c r="M185" s="642"/>
      <c r="N185" s="642"/>
      <c r="O185" s="647"/>
      <c r="P185" s="643" t="s">
        <v>69</v>
      </c>
      <c r="Q185" s="644"/>
      <c r="R185" s="644"/>
      <c r="S185" s="644"/>
      <c r="T185" s="644"/>
      <c r="U185" s="644"/>
      <c r="V185" s="645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91.904761904761912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95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0.62890000000000001</v>
      </c>
      <c r="AA185" s="636"/>
      <c r="AB185" s="636"/>
      <c r="AC185" s="636"/>
    </row>
    <row r="186" spans="1:68" x14ac:dyDescent="0.2">
      <c r="A186" s="642"/>
      <c r="B186" s="642"/>
      <c r="C186" s="642"/>
      <c r="D186" s="642"/>
      <c r="E186" s="642"/>
      <c r="F186" s="642"/>
      <c r="G186" s="642"/>
      <c r="H186" s="642"/>
      <c r="I186" s="642"/>
      <c r="J186" s="642"/>
      <c r="K186" s="642"/>
      <c r="L186" s="642"/>
      <c r="M186" s="642"/>
      <c r="N186" s="642"/>
      <c r="O186" s="647"/>
      <c r="P186" s="643" t="s">
        <v>69</v>
      </c>
      <c r="Q186" s="644"/>
      <c r="R186" s="644"/>
      <c r="S186" s="644"/>
      <c r="T186" s="644"/>
      <c r="U186" s="644"/>
      <c r="V186" s="645"/>
      <c r="W186" s="37" t="s">
        <v>67</v>
      </c>
      <c r="X186" s="635">
        <f>IFERROR(SUM(X175:X184),"0")</f>
        <v>222</v>
      </c>
      <c r="Y186" s="635">
        <f>IFERROR(SUM(Y175:Y184),"0")</f>
        <v>228.76000000000002</v>
      </c>
      <c r="Z186" s="37"/>
      <c r="AA186" s="636"/>
      <c r="AB186" s="636"/>
      <c r="AC186" s="636"/>
    </row>
    <row r="187" spans="1:68" ht="14.25" hidden="1" customHeight="1" x14ac:dyDescent="0.25">
      <c r="A187" s="661" t="s">
        <v>71</v>
      </c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42"/>
      <c r="P187" s="642"/>
      <c r="Q187" s="642"/>
      <c r="R187" s="642"/>
      <c r="S187" s="642"/>
      <c r="T187" s="642"/>
      <c r="U187" s="642"/>
      <c r="V187" s="642"/>
      <c r="W187" s="642"/>
      <c r="X187" s="642"/>
      <c r="Y187" s="642"/>
      <c r="Z187" s="642"/>
      <c r="AA187" s="628"/>
      <c r="AB187" s="628"/>
      <c r="AC187" s="628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88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9"/>
      <c r="R188" s="649"/>
      <c r="S188" s="649"/>
      <c r="T188" s="650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9"/>
      <c r="R189" s="649"/>
      <c r="S189" s="649"/>
      <c r="T189" s="650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6"/>
      <c r="B190" s="642"/>
      <c r="C190" s="642"/>
      <c r="D190" s="642"/>
      <c r="E190" s="642"/>
      <c r="F190" s="642"/>
      <c r="G190" s="642"/>
      <c r="H190" s="642"/>
      <c r="I190" s="642"/>
      <c r="J190" s="642"/>
      <c r="K190" s="642"/>
      <c r="L190" s="642"/>
      <c r="M190" s="642"/>
      <c r="N190" s="642"/>
      <c r="O190" s="647"/>
      <c r="P190" s="643" t="s">
        <v>69</v>
      </c>
      <c r="Q190" s="644"/>
      <c r="R190" s="644"/>
      <c r="S190" s="644"/>
      <c r="T190" s="644"/>
      <c r="U190" s="644"/>
      <c r="V190" s="645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2"/>
      <c r="B191" s="642"/>
      <c r="C191" s="642"/>
      <c r="D191" s="642"/>
      <c r="E191" s="642"/>
      <c r="F191" s="642"/>
      <c r="G191" s="642"/>
      <c r="H191" s="642"/>
      <c r="I191" s="642"/>
      <c r="J191" s="642"/>
      <c r="K191" s="642"/>
      <c r="L191" s="642"/>
      <c r="M191" s="642"/>
      <c r="N191" s="642"/>
      <c r="O191" s="647"/>
      <c r="P191" s="643" t="s">
        <v>69</v>
      </c>
      <c r="Q191" s="644"/>
      <c r="R191" s="644"/>
      <c r="S191" s="644"/>
      <c r="T191" s="644"/>
      <c r="U191" s="644"/>
      <c r="V191" s="645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61" t="s">
        <v>89</v>
      </c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42"/>
      <c r="P192" s="642"/>
      <c r="Q192" s="642"/>
      <c r="R192" s="642"/>
      <c r="S192" s="642"/>
      <c r="T192" s="642"/>
      <c r="U192" s="642"/>
      <c r="V192" s="642"/>
      <c r="W192" s="642"/>
      <c r="X192" s="642"/>
      <c r="Y192" s="642"/>
      <c r="Z192" s="642"/>
      <c r="AA192" s="628"/>
      <c r="AB192" s="628"/>
      <c r="AC192" s="628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9"/>
      <c r="R193" s="649"/>
      <c r="S193" s="649"/>
      <c r="T193" s="650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6"/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7"/>
      <c r="P194" s="643" t="s">
        <v>69</v>
      </c>
      <c r="Q194" s="644"/>
      <c r="R194" s="644"/>
      <c r="S194" s="644"/>
      <c r="T194" s="644"/>
      <c r="U194" s="644"/>
      <c r="V194" s="645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2"/>
      <c r="B195" s="642"/>
      <c r="C195" s="642"/>
      <c r="D195" s="642"/>
      <c r="E195" s="642"/>
      <c r="F195" s="642"/>
      <c r="G195" s="642"/>
      <c r="H195" s="642"/>
      <c r="I195" s="642"/>
      <c r="J195" s="642"/>
      <c r="K195" s="642"/>
      <c r="L195" s="642"/>
      <c r="M195" s="642"/>
      <c r="N195" s="642"/>
      <c r="O195" s="647"/>
      <c r="P195" s="643" t="s">
        <v>69</v>
      </c>
      <c r="Q195" s="644"/>
      <c r="R195" s="644"/>
      <c r="S195" s="644"/>
      <c r="T195" s="644"/>
      <c r="U195" s="644"/>
      <c r="V195" s="645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61" t="s">
        <v>328</v>
      </c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42"/>
      <c r="P196" s="642"/>
      <c r="Q196" s="642"/>
      <c r="R196" s="642"/>
      <c r="S196" s="642"/>
      <c r="T196" s="642"/>
      <c r="U196" s="642"/>
      <c r="V196" s="642"/>
      <c r="W196" s="642"/>
      <c r="X196" s="642"/>
      <c r="Y196" s="642"/>
      <c r="Z196" s="642"/>
      <c r="AA196" s="628"/>
      <c r="AB196" s="628"/>
      <c r="AC196" s="628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9"/>
      <c r="R197" s="649"/>
      <c r="S197" s="649"/>
      <c r="T197" s="650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6"/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7"/>
      <c r="P198" s="643" t="s">
        <v>69</v>
      </c>
      <c r="Q198" s="644"/>
      <c r="R198" s="644"/>
      <c r="S198" s="644"/>
      <c r="T198" s="644"/>
      <c r="U198" s="644"/>
      <c r="V198" s="645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2"/>
      <c r="B199" s="642"/>
      <c r="C199" s="642"/>
      <c r="D199" s="642"/>
      <c r="E199" s="642"/>
      <c r="F199" s="642"/>
      <c r="G199" s="642"/>
      <c r="H199" s="642"/>
      <c r="I199" s="642"/>
      <c r="J199" s="642"/>
      <c r="K199" s="642"/>
      <c r="L199" s="642"/>
      <c r="M199" s="642"/>
      <c r="N199" s="642"/>
      <c r="O199" s="647"/>
      <c r="P199" s="643" t="s">
        <v>69</v>
      </c>
      <c r="Q199" s="644"/>
      <c r="R199" s="644"/>
      <c r="S199" s="644"/>
      <c r="T199" s="644"/>
      <c r="U199" s="644"/>
      <c r="V199" s="645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2" t="s">
        <v>332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48"/>
      <c r="AB200" s="48"/>
      <c r="AC200" s="48"/>
    </row>
    <row r="201" spans="1:68" ht="16.5" hidden="1" customHeight="1" x14ac:dyDescent="0.25">
      <c r="A201" s="641" t="s">
        <v>333</v>
      </c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42"/>
      <c r="P201" s="642"/>
      <c r="Q201" s="642"/>
      <c r="R201" s="642"/>
      <c r="S201" s="642"/>
      <c r="T201" s="642"/>
      <c r="U201" s="642"/>
      <c r="V201" s="642"/>
      <c r="W201" s="642"/>
      <c r="X201" s="642"/>
      <c r="Y201" s="642"/>
      <c r="Z201" s="642"/>
      <c r="AA201" s="627"/>
      <c r="AB201" s="627"/>
      <c r="AC201" s="627"/>
    </row>
    <row r="202" spans="1:68" ht="14.25" hidden="1" customHeight="1" x14ac:dyDescent="0.25">
      <c r="A202" s="661" t="s">
        <v>119</v>
      </c>
      <c r="B202" s="642"/>
      <c r="C202" s="642"/>
      <c r="D202" s="642"/>
      <c r="E202" s="642"/>
      <c r="F202" s="642"/>
      <c r="G202" s="642"/>
      <c r="H202" s="642"/>
      <c r="I202" s="642"/>
      <c r="J202" s="642"/>
      <c r="K202" s="642"/>
      <c r="L202" s="642"/>
      <c r="M202" s="642"/>
      <c r="N202" s="642"/>
      <c r="O202" s="642"/>
      <c r="P202" s="642"/>
      <c r="Q202" s="642"/>
      <c r="R202" s="642"/>
      <c r="S202" s="642"/>
      <c r="T202" s="642"/>
      <c r="U202" s="642"/>
      <c r="V202" s="642"/>
      <c r="W202" s="642"/>
      <c r="X202" s="642"/>
      <c r="Y202" s="642"/>
      <c r="Z202" s="642"/>
      <c r="AA202" s="628"/>
      <c r="AB202" s="628"/>
      <c r="AC202" s="628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9"/>
      <c r="R203" s="649"/>
      <c r="S203" s="649"/>
      <c r="T203" s="650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3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9"/>
      <c r="R204" s="649"/>
      <c r="S204" s="649"/>
      <c r="T204" s="650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9"/>
      <c r="R205" s="649"/>
      <c r="S205" s="649"/>
      <c r="T205" s="650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9"/>
      <c r="R206" s="649"/>
      <c r="S206" s="649"/>
      <c r="T206" s="650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9"/>
      <c r="R207" s="649"/>
      <c r="S207" s="649"/>
      <c r="T207" s="650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8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9"/>
      <c r="R208" s="649"/>
      <c r="S208" s="649"/>
      <c r="T208" s="650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9"/>
      <c r="R209" s="649"/>
      <c r="S209" s="649"/>
      <c r="T209" s="650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6"/>
      <c r="B210" s="642"/>
      <c r="C210" s="642"/>
      <c r="D210" s="642"/>
      <c r="E210" s="642"/>
      <c r="F210" s="642"/>
      <c r="G210" s="642"/>
      <c r="H210" s="642"/>
      <c r="I210" s="642"/>
      <c r="J210" s="642"/>
      <c r="K210" s="642"/>
      <c r="L210" s="642"/>
      <c r="M210" s="642"/>
      <c r="N210" s="642"/>
      <c r="O210" s="647"/>
      <c r="P210" s="643" t="s">
        <v>69</v>
      </c>
      <c r="Q210" s="644"/>
      <c r="R210" s="644"/>
      <c r="S210" s="644"/>
      <c r="T210" s="644"/>
      <c r="U210" s="644"/>
      <c r="V210" s="645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2"/>
      <c r="B211" s="642"/>
      <c r="C211" s="642"/>
      <c r="D211" s="642"/>
      <c r="E211" s="642"/>
      <c r="F211" s="642"/>
      <c r="G211" s="642"/>
      <c r="H211" s="642"/>
      <c r="I211" s="642"/>
      <c r="J211" s="642"/>
      <c r="K211" s="642"/>
      <c r="L211" s="642"/>
      <c r="M211" s="642"/>
      <c r="N211" s="642"/>
      <c r="O211" s="647"/>
      <c r="P211" s="643" t="s">
        <v>69</v>
      </c>
      <c r="Q211" s="644"/>
      <c r="R211" s="644"/>
      <c r="S211" s="644"/>
      <c r="T211" s="644"/>
      <c r="U211" s="644"/>
      <c r="V211" s="645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41" t="s">
        <v>354</v>
      </c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42"/>
      <c r="P212" s="642"/>
      <c r="Q212" s="642"/>
      <c r="R212" s="642"/>
      <c r="S212" s="642"/>
      <c r="T212" s="642"/>
      <c r="U212" s="642"/>
      <c r="V212" s="642"/>
      <c r="W212" s="642"/>
      <c r="X212" s="642"/>
      <c r="Y212" s="642"/>
      <c r="Z212" s="642"/>
      <c r="AA212" s="627"/>
      <c r="AB212" s="627"/>
      <c r="AC212" s="627"/>
    </row>
    <row r="213" spans="1:68" ht="14.25" hidden="1" customHeight="1" x14ac:dyDescent="0.25">
      <c r="A213" s="661" t="s">
        <v>154</v>
      </c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42"/>
      <c r="P213" s="642"/>
      <c r="Q213" s="642"/>
      <c r="R213" s="642"/>
      <c r="S213" s="642"/>
      <c r="T213" s="642"/>
      <c r="U213" s="642"/>
      <c r="V213" s="642"/>
      <c r="W213" s="642"/>
      <c r="X213" s="642"/>
      <c r="Y213" s="642"/>
      <c r="Z213" s="642"/>
      <c r="AA213" s="628"/>
      <c r="AB213" s="628"/>
      <c r="AC213" s="628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9"/>
      <c r="R214" s="649"/>
      <c r="S214" s="649"/>
      <c r="T214" s="650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6"/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7"/>
      <c r="P215" s="643" t="s">
        <v>69</v>
      </c>
      <c r="Q215" s="644"/>
      <c r="R215" s="644"/>
      <c r="S215" s="644"/>
      <c r="T215" s="644"/>
      <c r="U215" s="644"/>
      <c r="V215" s="645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2"/>
      <c r="B216" s="642"/>
      <c r="C216" s="642"/>
      <c r="D216" s="642"/>
      <c r="E216" s="642"/>
      <c r="F216" s="642"/>
      <c r="G216" s="642"/>
      <c r="H216" s="642"/>
      <c r="I216" s="642"/>
      <c r="J216" s="642"/>
      <c r="K216" s="642"/>
      <c r="L216" s="642"/>
      <c r="M216" s="642"/>
      <c r="N216" s="642"/>
      <c r="O216" s="647"/>
      <c r="P216" s="643" t="s">
        <v>69</v>
      </c>
      <c r="Q216" s="644"/>
      <c r="R216" s="644"/>
      <c r="S216" s="644"/>
      <c r="T216" s="644"/>
      <c r="U216" s="644"/>
      <c r="V216" s="645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61" t="s">
        <v>62</v>
      </c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42"/>
      <c r="P217" s="642"/>
      <c r="Q217" s="642"/>
      <c r="R217" s="642"/>
      <c r="S217" s="642"/>
      <c r="T217" s="642"/>
      <c r="U217" s="642"/>
      <c r="V217" s="642"/>
      <c r="W217" s="642"/>
      <c r="X217" s="642"/>
      <c r="Y217" s="642"/>
      <c r="Z217" s="642"/>
      <c r="AA217" s="628"/>
      <c r="AB217" s="628"/>
      <c r="AC217" s="628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9"/>
      <c r="R218" s="649"/>
      <c r="S218" s="649"/>
      <c r="T218" s="650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9"/>
      <c r="R219" s="649"/>
      <c r="S219" s="649"/>
      <c r="T219" s="650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9"/>
      <c r="R220" s="649"/>
      <c r="S220" s="649"/>
      <c r="T220" s="650"/>
      <c r="U220" s="34"/>
      <c r="V220" s="34"/>
      <c r="W220" s="35" t="s">
        <v>67</v>
      </c>
      <c r="X220" s="633">
        <v>150</v>
      </c>
      <c r="Y220" s="634">
        <f t="shared" si="26"/>
        <v>151.20000000000002</v>
      </c>
      <c r="Z220" s="36">
        <f>IFERROR(IF(Y220=0,"",ROUNDUP(Y220/H220,0)*0.00902),"")</f>
        <v>0.32472000000000001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156.78571428571428</v>
      </c>
      <c r="BN220" s="64">
        <f t="shared" si="28"/>
        <v>158.04</v>
      </c>
      <c r="BO220" s="64">
        <f t="shared" si="29"/>
        <v>0.27056277056277056</v>
      </c>
      <c r="BP220" s="64">
        <f t="shared" si="30"/>
        <v>0.27272727272727271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71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9"/>
      <c r="R221" s="649"/>
      <c r="S221" s="649"/>
      <c r="T221" s="650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93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9"/>
      <c r="R222" s="649"/>
      <c r="S222" s="649"/>
      <c r="T222" s="650"/>
      <c r="U222" s="34"/>
      <c r="V222" s="34"/>
      <c r="W222" s="35" t="s">
        <v>67</v>
      </c>
      <c r="X222" s="633">
        <v>8</v>
      </c>
      <c r="Y222" s="634">
        <f t="shared" si="26"/>
        <v>8</v>
      </c>
      <c r="Z222" s="36">
        <f>IFERROR(IF(Y222=0,"",ROUNDUP(Y222/H222,0)*0.00556),"")</f>
        <v>5.5599999999999997E-2</v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9.3000000000000007</v>
      </c>
      <c r="BN222" s="64">
        <f t="shared" si="28"/>
        <v>9.3000000000000007</v>
      </c>
      <c r="BO222" s="64">
        <f t="shared" si="29"/>
        <v>4.2735042735042736E-2</v>
      </c>
      <c r="BP222" s="64">
        <f t="shared" si="30"/>
        <v>4.2735042735042736E-2</v>
      </c>
    </row>
    <row r="223" spans="1:68" ht="27" hidden="1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5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9"/>
      <c r="R223" s="649"/>
      <c r="S223" s="649"/>
      <c r="T223" s="650"/>
      <c r="U223" s="34"/>
      <c r="V223" s="34"/>
      <c r="W223" s="35" t="s">
        <v>67</v>
      </c>
      <c r="X223" s="633">
        <v>0</v>
      </c>
      <c r="Y223" s="634">
        <f t="shared" si="26"/>
        <v>0</v>
      </c>
      <c r="Z223" s="36" t="str">
        <f>IFERROR(IF(Y223=0,"",ROUNDUP(Y223/H223,0)*0.00502),"")</f>
        <v/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9"/>
      <c r="R224" s="649"/>
      <c r="S224" s="649"/>
      <c r="T224" s="650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9"/>
      <c r="R225" s="649"/>
      <c r="S225" s="649"/>
      <c r="T225" s="650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9"/>
      <c r="R226" s="649"/>
      <c r="S226" s="649"/>
      <c r="T226" s="650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9"/>
      <c r="R227" s="649"/>
      <c r="S227" s="649"/>
      <c r="T227" s="650"/>
      <c r="U227" s="34"/>
      <c r="V227" s="34"/>
      <c r="W227" s="35" t="s">
        <v>67</v>
      </c>
      <c r="X227" s="633">
        <v>24</v>
      </c>
      <c r="Y227" s="634">
        <f t="shared" si="26"/>
        <v>25.2</v>
      </c>
      <c r="Z227" s="36">
        <f>IFERROR(IF(Y227=0,"",ROUNDUP(Y227/H227,0)*0.00502),"")</f>
        <v>7.0280000000000009E-2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25.733333333333334</v>
      </c>
      <c r="BN227" s="64">
        <f t="shared" si="28"/>
        <v>27.019999999999996</v>
      </c>
      <c r="BO227" s="64">
        <f t="shared" si="29"/>
        <v>5.6980056980056981E-2</v>
      </c>
      <c r="BP227" s="64">
        <f t="shared" si="30"/>
        <v>5.9829059829059839E-2</v>
      </c>
    </row>
    <row r="228" spans="1:68" ht="27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9"/>
      <c r="R228" s="649"/>
      <c r="S228" s="649"/>
      <c r="T228" s="650"/>
      <c r="U228" s="34"/>
      <c r="V228" s="34"/>
      <c r="W228" s="35" t="s">
        <v>67</v>
      </c>
      <c r="X228" s="633">
        <v>6</v>
      </c>
      <c r="Y228" s="634">
        <f t="shared" si="26"/>
        <v>6.4</v>
      </c>
      <c r="Z228" s="36">
        <f>IFERROR(IF(Y228=0,"",ROUNDUP(Y228/H228,0)*0.00417),"")</f>
        <v>3.3360000000000001E-2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7.5750000000000002</v>
      </c>
      <c r="BN228" s="64">
        <f t="shared" si="28"/>
        <v>8.08</v>
      </c>
      <c r="BO228" s="64">
        <f t="shared" si="29"/>
        <v>2.4038461538461536E-2</v>
      </c>
      <c r="BP228" s="64">
        <f t="shared" si="30"/>
        <v>2.564102564102564E-2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3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9"/>
      <c r="R229" s="649"/>
      <c r="S229" s="649"/>
      <c r="T229" s="650"/>
      <c r="U229" s="34"/>
      <c r="V229" s="34"/>
      <c r="W229" s="35" t="s">
        <v>67</v>
      </c>
      <c r="X229" s="633">
        <v>28</v>
      </c>
      <c r="Y229" s="634">
        <f t="shared" si="26"/>
        <v>29.400000000000002</v>
      </c>
      <c r="Z229" s="36">
        <f>IFERROR(IF(Y229=0,"",ROUNDUP(Y229/H229,0)*0.00502),"")</f>
        <v>7.0280000000000009E-2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29.333333333333336</v>
      </c>
      <c r="BN229" s="64">
        <f t="shared" si="28"/>
        <v>30.8</v>
      </c>
      <c r="BO229" s="64">
        <f t="shared" si="29"/>
        <v>5.6980056980056981E-2</v>
      </c>
      <c r="BP229" s="64">
        <f t="shared" si="30"/>
        <v>5.9829059829059839E-2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2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9"/>
      <c r="R230" s="649"/>
      <c r="S230" s="649"/>
      <c r="T230" s="650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6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9"/>
      <c r="R231" s="649"/>
      <c r="S231" s="649"/>
      <c r="T231" s="650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6"/>
      <c r="B232" s="642"/>
      <c r="C232" s="642"/>
      <c r="D232" s="642"/>
      <c r="E232" s="642"/>
      <c r="F232" s="642"/>
      <c r="G232" s="642"/>
      <c r="H232" s="642"/>
      <c r="I232" s="642"/>
      <c r="J232" s="642"/>
      <c r="K232" s="642"/>
      <c r="L232" s="642"/>
      <c r="M232" s="642"/>
      <c r="N232" s="642"/>
      <c r="O232" s="647"/>
      <c r="P232" s="643" t="s">
        <v>69</v>
      </c>
      <c r="Q232" s="644"/>
      <c r="R232" s="644"/>
      <c r="S232" s="644"/>
      <c r="T232" s="644"/>
      <c r="U232" s="644"/>
      <c r="V232" s="645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79.88095238095238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82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0.55424000000000007</v>
      </c>
      <c r="AA232" s="636"/>
      <c r="AB232" s="636"/>
      <c r="AC232" s="636"/>
    </row>
    <row r="233" spans="1:68" x14ac:dyDescent="0.2">
      <c r="A233" s="642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47"/>
      <c r="P233" s="643" t="s">
        <v>69</v>
      </c>
      <c r="Q233" s="644"/>
      <c r="R233" s="644"/>
      <c r="S233" s="644"/>
      <c r="T233" s="644"/>
      <c r="U233" s="644"/>
      <c r="V233" s="645"/>
      <c r="W233" s="37" t="s">
        <v>67</v>
      </c>
      <c r="X233" s="635">
        <f>IFERROR(SUM(X218:X231),"0")</f>
        <v>216</v>
      </c>
      <c r="Y233" s="635">
        <f>IFERROR(SUM(Y218:Y231),"0")</f>
        <v>220.20000000000002</v>
      </c>
      <c r="Z233" s="37"/>
      <c r="AA233" s="636"/>
      <c r="AB233" s="636"/>
      <c r="AC233" s="636"/>
    </row>
    <row r="234" spans="1:68" ht="14.25" hidden="1" customHeight="1" x14ac:dyDescent="0.25">
      <c r="A234" s="661" t="s">
        <v>71</v>
      </c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42"/>
      <c r="P234" s="642"/>
      <c r="Q234" s="642"/>
      <c r="R234" s="642"/>
      <c r="S234" s="642"/>
      <c r="T234" s="642"/>
      <c r="U234" s="642"/>
      <c r="V234" s="642"/>
      <c r="W234" s="642"/>
      <c r="X234" s="642"/>
      <c r="Y234" s="642"/>
      <c r="Z234" s="642"/>
      <c r="AA234" s="628"/>
      <c r="AB234" s="628"/>
      <c r="AC234" s="628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3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9"/>
      <c r="R235" s="649"/>
      <c r="S235" s="649"/>
      <c r="T235" s="650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69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9"/>
      <c r="R236" s="649"/>
      <c r="S236" s="649"/>
      <c r="T236" s="650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0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9"/>
      <c r="R237" s="649"/>
      <c r="S237" s="649"/>
      <c r="T237" s="650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9"/>
      <c r="R238" s="649"/>
      <c r="S238" s="649"/>
      <c r="T238" s="650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9"/>
      <c r="R239" s="649"/>
      <c r="S239" s="649"/>
      <c r="T239" s="650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6"/>
      <c r="B240" s="642"/>
      <c r="C240" s="642"/>
      <c r="D240" s="642"/>
      <c r="E240" s="642"/>
      <c r="F240" s="642"/>
      <c r="G240" s="642"/>
      <c r="H240" s="642"/>
      <c r="I240" s="642"/>
      <c r="J240" s="642"/>
      <c r="K240" s="642"/>
      <c r="L240" s="642"/>
      <c r="M240" s="642"/>
      <c r="N240" s="642"/>
      <c r="O240" s="647"/>
      <c r="P240" s="643" t="s">
        <v>69</v>
      </c>
      <c r="Q240" s="644"/>
      <c r="R240" s="644"/>
      <c r="S240" s="644"/>
      <c r="T240" s="644"/>
      <c r="U240" s="644"/>
      <c r="V240" s="645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2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47"/>
      <c r="P241" s="643" t="s">
        <v>69</v>
      </c>
      <c r="Q241" s="644"/>
      <c r="R241" s="644"/>
      <c r="S241" s="644"/>
      <c r="T241" s="644"/>
      <c r="U241" s="644"/>
      <c r="V241" s="645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61" t="s">
        <v>89</v>
      </c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42"/>
      <c r="P242" s="642"/>
      <c r="Q242" s="642"/>
      <c r="R242" s="642"/>
      <c r="S242" s="642"/>
      <c r="T242" s="642"/>
      <c r="U242" s="642"/>
      <c r="V242" s="642"/>
      <c r="W242" s="642"/>
      <c r="X242" s="642"/>
      <c r="Y242" s="642"/>
      <c r="Z242" s="642"/>
      <c r="AA242" s="628"/>
      <c r="AB242" s="628"/>
      <c r="AC242" s="628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9"/>
      <c r="R243" s="649"/>
      <c r="S243" s="649"/>
      <c r="T243" s="650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9"/>
      <c r="R244" s="649"/>
      <c r="S244" s="649"/>
      <c r="T244" s="650"/>
      <c r="U244" s="34"/>
      <c r="V244" s="34"/>
      <c r="W244" s="35" t="s">
        <v>67</v>
      </c>
      <c r="X244" s="633">
        <v>4</v>
      </c>
      <c r="Y244" s="634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ht="27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9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9"/>
      <c r="R245" s="649"/>
      <c r="S245" s="649"/>
      <c r="T245" s="650"/>
      <c r="U245" s="34"/>
      <c r="V245" s="34"/>
      <c r="W245" s="35" t="s">
        <v>67</v>
      </c>
      <c r="X245" s="633">
        <v>3</v>
      </c>
      <c r="Y245" s="634">
        <f>IFERROR(IF(X245="",0,CEILING((X245/$H245),1)*$H245),"")</f>
        <v>3.7800000000000002</v>
      </c>
      <c r="Z245" s="36">
        <f>IFERROR(IF(Y245=0,"",ROUNDUP(Y245/H245,0)*0.0059),"")</f>
        <v>1.77E-2</v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3.4523809523809521</v>
      </c>
      <c r="BN245" s="64">
        <f>IFERROR(Y245*I245/H245,"0")</f>
        <v>4.3499999999999996</v>
      </c>
      <c r="BO245" s="64">
        <f>IFERROR(1/J245*(X245/H245),"0")</f>
        <v>1.1022927689594356E-2</v>
      </c>
      <c r="BP245" s="64">
        <f>IFERROR(1/J245*(Y245/H245),"0")</f>
        <v>1.3888888888888888E-2</v>
      </c>
    </row>
    <row r="246" spans="1:68" x14ac:dyDescent="0.2">
      <c r="A246" s="646"/>
      <c r="B246" s="642"/>
      <c r="C246" s="642"/>
      <c r="D246" s="642"/>
      <c r="E246" s="642"/>
      <c r="F246" s="642"/>
      <c r="G246" s="642"/>
      <c r="H246" s="642"/>
      <c r="I246" s="642"/>
      <c r="J246" s="642"/>
      <c r="K246" s="642"/>
      <c r="L246" s="642"/>
      <c r="M246" s="642"/>
      <c r="N246" s="642"/>
      <c r="O246" s="647"/>
      <c r="P246" s="643" t="s">
        <v>69</v>
      </c>
      <c r="Q246" s="644"/>
      <c r="R246" s="644"/>
      <c r="S246" s="644"/>
      <c r="T246" s="644"/>
      <c r="U246" s="644"/>
      <c r="V246" s="645"/>
      <c r="W246" s="37" t="s">
        <v>70</v>
      </c>
      <c r="X246" s="635">
        <f>IFERROR(X243/H243,"0")+IFERROR(X244/H244,"0")+IFERROR(X245/H245,"0")</f>
        <v>5.5555555555555554</v>
      </c>
      <c r="Y246" s="635">
        <f>IFERROR(Y243/H243,"0")+IFERROR(Y244/H244,"0")+IFERROR(Y245/H245,"0")</f>
        <v>7</v>
      </c>
      <c r="Z246" s="635">
        <f>IFERROR(IF(Z243="",0,Z243),"0")+IFERROR(IF(Z244="",0,Z244),"0")+IFERROR(IF(Z245="",0,Z245),"0")</f>
        <v>4.1300000000000003E-2</v>
      </c>
      <c r="AA246" s="636"/>
      <c r="AB246" s="636"/>
      <c r="AC246" s="636"/>
    </row>
    <row r="247" spans="1:68" x14ac:dyDescent="0.2">
      <c r="A247" s="642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47"/>
      <c r="P247" s="643" t="s">
        <v>69</v>
      </c>
      <c r="Q247" s="644"/>
      <c r="R247" s="644"/>
      <c r="S247" s="644"/>
      <c r="T247" s="644"/>
      <c r="U247" s="644"/>
      <c r="V247" s="645"/>
      <c r="W247" s="37" t="s">
        <v>67</v>
      </c>
      <c r="X247" s="635">
        <f>IFERROR(SUM(X243:X245),"0")</f>
        <v>7</v>
      </c>
      <c r="Y247" s="635">
        <f>IFERROR(SUM(Y243:Y245),"0")</f>
        <v>8.82</v>
      </c>
      <c r="Z247" s="37"/>
      <c r="AA247" s="636"/>
      <c r="AB247" s="636"/>
      <c r="AC247" s="636"/>
    </row>
    <row r="248" spans="1:68" ht="14.25" hidden="1" customHeight="1" x14ac:dyDescent="0.25">
      <c r="A248" s="661" t="s">
        <v>415</v>
      </c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42"/>
      <c r="P248" s="642"/>
      <c r="Q248" s="642"/>
      <c r="R248" s="642"/>
      <c r="S248" s="642"/>
      <c r="T248" s="642"/>
      <c r="U248" s="642"/>
      <c r="V248" s="642"/>
      <c r="W248" s="642"/>
      <c r="X248" s="642"/>
      <c r="Y248" s="642"/>
      <c r="Z248" s="642"/>
      <c r="AA248" s="628"/>
      <c r="AB248" s="628"/>
      <c r="AC248" s="628"/>
    </row>
    <row r="249" spans="1:68" ht="27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82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9"/>
      <c r="R249" s="649"/>
      <c r="S249" s="649"/>
      <c r="T249" s="650"/>
      <c r="U249" s="34"/>
      <c r="V249" s="34"/>
      <c r="W249" s="35" t="s">
        <v>67</v>
      </c>
      <c r="X249" s="633">
        <v>4</v>
      </c>
      <c r="Y249" s="634">
        <f>IFERROR(IF(X249="",0,CEILING((X249/$H249),1)*$H249),"")</f>
        <v>5.04</v>
      </c>
      <c r="Z249" s="36">
        <f>IFERROR(IF(Y249=0,"",ROUNDUP(Y249/H249,0)*0.0059),"")</f>
        <v>2.3599999999999999E-2</v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4.6031746031746028</v>
      </c>
      <c r="BN249" s="64">
        <f>IFERROR(Y249*I249/H249,"0")</f>
        <v>5.8</v>
      </c>
      <c r="BO249" s="64">
        <f>IFERROR(1/J249*(X249/H249),"0")</f>
        <v>1.469723691945914E-2</v>
      </c>
      <c r="BP249" s="64">
        <f>IFERROR(1/J249*(Y249/H249),"0")</f>
        <v>1.8518518518518517E-2</v>
      </c>
    </row>
    <row r="250" spans="1:68" x14ac:dyDescent="0.2">
      <c r="A250" s="646"/>
      <c r="B250" s="642"/>
      <c r="C250" s="642"/>
      <c r="D250" s="642"/>
      <c r="E250" s="642"/>
      <c r="F250" s="642"/>
      <c r="G250" s="642"/>
      <c r="H250" s="642"/>
      <c r="I250" s="642"/>
      <c r="J250" s="642"/>
      <c r="K250" s="642"/>
      <c r="L250" s="642"/>
      <c r="M250" s="642"/>
      <c r="N250" s="642"/>
      <c r="O250" s="647"/>
      <c r="P250" s="643" t="s">
        <v>69</v>
      </c>
      <c r="Q250" s="644"/>
      <c r="R250" s="644"/>
      <c r="S250" s="644"/>
      <c r="T250" s="644"/>
      <c r="U250" s="644"/>
      <c r="V250" s="645"/>
      <c r="W250" s="37" t="s">
        <v>70</v>
      </c>
      <c r="X250" s="635">
        <f>IFERROR(X249/H249,"0")</f>
        <v>3.1746031746031744</v>
      </c>
      <c r="Y250" s="635">
        <f>IFERROR(Y249/H249,"0")</f>
        <v>4</v>
      </c>
      <c r="Z250" s="635">
        <f>IFERROR(IF(Z249="",0,Z249),"0")</f>
        <v>2.3599999999999999E-2</v>
      </c>
      <c r="AA250" s="636"/>
      <c r="AB250" s="636"/>
      <c r="AC250" s="636"/>
    </row>
    <row r="251" spans="1:68" x14ac:dyDescent="0.2">
      <c r="A251" s="642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47"/>
      <c r="P251" s="643" t="s">
        <v>69</v>
      </c>
      <c r="Q251" s="644"/>
      <c r="R251" s="644"/>
      <c r="S251" s="644"/>
      <c r="T251" s="644"/>
      <c r="U251" s="644"/>
      <c r="V251" s="645"/>
      <c r="W251" s="37" t="s">
        <v>67</v>
      </c>
      <c r="X251" s="635">
        <f>IFERROR(SUM(X249:X249),"0")</f>
        <v>4</v>
      </c>
      <c r="Y251" s="635">
        <f>IFERROR(SUM(Y249:Y249),"0")</f>
        <v>5.04</v>
      </c>
      <c r="Z251" s="37"/>
      <c r="AA251" s="636"/>
      <c r="AB251" s="636"/>
      <c r="AC251" s="636"/>
    </row>
    <row r="252" spans="1:68" ht="16.5" hidden="1" customHeight="1" x14ac:dyDescent="0.25">
      <c r="A252" s="641" t="s">
        <v>418</v>
      </c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42"/>
      <c r="P252" s="642"/>
      <c r="Q252" s="642"/>
      <c r="R252" s="642"/>
      <c r="S252" s="642"/>
      <c r="T252" s="642"/>
      <c r="U252" s="642"/>
      <c r="V252" s="642"/>
      <c r="W252" s="642"/>
      <c r="X252" s="642"/>
      <c r="Y252" s="642"/>
      <c r="Z252" s="642"/>
      <c r="AA252" s="627"/>
      <c r="AB252" s="627"/>
      <c r="AC252" s="627"/>
    </row>
    <row r="253" spans="1:68" ht="14.25" hidden="1" customHeight="1" x14ac:dyDescent="0.25">
      <c r="A253" s="661" t="s">
        <v>119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28"/>
      <c r="AB253" s="628"/>
      <c r="AC253" s="628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9"/>
      <c r="R254" s="649"/>
      <c r="S254" s="649"/>
      <c r="T254" s="650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9"/>
      <c r="R255" s="649"/>
      <c r="S255" s="649"/>
      <c r="T255" s="650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6"/>
      <c r="B256" s="642"/>
      <c r="C256" s="642"/>
      <c r="D256" s="642"/>
      <c r="E256" s="642"/>
      <c r="F256" s="642"/>
      <c r="G256" s="642"/>
      <c r="H256" s="642"/>
      <c r="I256" s="642"/>
      <c r="J256" s="642"/>
      <c r="K256" s="642"/>
      <c r="L256" s="642"/>
      <c r="M256" s="642"/>
      <c r="N256" s="642"/>
      <c r="O256" s="647"/>
      <c r="P256" s="643" t="s">
        <v>69</v>
      </c>
      <c r="Q256" s="644"/>
      <c r="R256" s="644"/>
      <c r="S256" s="644"/>
      <c r="T256" s="644"/>
      <c r="U256" s="644"/>
      <c r="V256" s="645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2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47"/>
      <c r="P257" s="643" t="s">
        <v>69</v>
      </c>
      <c r="Q257" s="644"/>
      <c r="R257" s="644"/>
      <c r="S257" s="644"/>
      <c r="T257" s="644"/>
      <c r="U257" s="644"/>
      <c r="V257" s="645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61" t="s">
        <v>154</v>
      </c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42"/>
      <c r="P258" s="642"/>
      <c r="Q258" s="642"/>
      <c r="R258" s="642"/>
      <c r="S258" s="642"/>
      <c r="T258" s="642"/>
      <c r="U258" s="642"/>
      <c r="V258" s="642"/>
      <c r="W258" s="642"/>
      <c r="X258" s="642"/>
      <c r="Y258" s="642"/>
      <c r="Z258" s="642"/>
      <c r="AA258" s="628"/>
      <c r="AB258" s="628"/>
      <c r="AC258" s="628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69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9"/>
      <c r="R259" s="649"/>
      <c r="S259" s="649"/>
      <c r="T259" s="650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9"/>
      <c r="R260" s="649"/>
      <c r="S260" s="649"/>
      <c r="T260" s="650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6"/>
      <c r="B261" s="642"/>
      <c r="C261" s="642"/>
      <c r="D261" s="642"/>
      <c r="E261" s="642"/>
      <c r="F261" s="642"/>
      <c r="G261" s="642"/>
      <c r="H261" s="642"/>
      <c r="I261" s="642"/>
      <c r="J261" s="642"/>
      <c r="K261" s="642"/>
      <c r="L261" s="642"/>
      <c r="M261" s="642"/>
      <c r="N261" s="642"/>
      <c r="O261" s="647"/>
      <c r="P261" s="643" t="s">
        <v>69</v>
      </c>
      <c r="Q261" s="644"/>
      <c r="R261" s="644"/>
      <c r="S261" s="644"/>
      <c r="T261" s="644"/>
      <c r="U261" s="644"/>
      <c r="V261" s="645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2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47"/>
      <c r="P262" s="643" t="s">
        <v>69</v>
      </c>
      <c r="Q262" s="644"/>
      <c r="R262" s="644"/>
      <c r="S262" s="644"/>
      <c r="T262" s="644"/>
      <c r="U262" s="644"/>
      <c r="V262" s="645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61" t="s">
        <v>62</v>
      </c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42"/>
      <c r="P263" s="642"/>
      <c r="Q263" s="642"/>
      <c r="R263" s="642"/>
      <c r="S263" s="642"/>
      <c r="T263" s="642"/>
      <c r="U263" s="642"/>
      <c r="V263" s="642"/>
      <c r="W263" s="642"/>
      <c r="X263" s="642"/>
      <c r="Y263" s="642"/>
      <c r="Z263" s="642"/>
      <c r="AA263" s="628"/>
      <c r="AB263" s="628"/>
      <c r="AC263" s="628"/>
    </row>
    <row r="264" spans="1:68" ht="27" hidden="1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9"/>
      <c r="R264" s="649"/>
      <c r="S264" s="649"/>
      <c r="T264" s="650"/>
      <c r="U264" s="34"/>
      <c r="V264" s="34"/>
      <c r="W264" s="35" t="s">
        <v>67</v>
      </c>
      <c r="X264" s="633">
        <v>0</v>
      </c>
      <c r="Y264" s="634">
        <f t="shared" ref="Y264:Y271" si="31"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0</v>
      </c>
      <c r="BN264" s="64">
        <f t="shared" ref="BN264:BN271" si="33">IFERROR(Y264*I264/H264,"0")</f>
        <v>0</v>
      </c>
      <c r="BO264" s="64">
        <f t="shared" ref="BO264:BO271" si="34">IFERROR(1/J264*(X264/H264),"0")</f>
        <v>0</v>
      </c>
      <c r="BP264" s="64">
        <f t="shared" ref="BP264:BP271" si="35">IFERROR(1/J264*(Y264/H264),"0")</f>
        <v>0</v>
      </c>
    </row>
    <row r="265" spans="1:68" ht="27" hidden="1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9"/>
      <c r="R265" s="649"/>
      <c r="S265" s="649"/>
      <c r="T265" s="650"/>
      <c r="U265" s="34"/>
      <c r="V265" s="34"/>
      <c r="W265" s="35" t="s">
        <v>67</v>
      </c>
      <c r="X265" s="633">
        <v>0</v>
      </c>
      <c r="Y265" s="634">
        <f t="shared" si="31"/>
        <v>0</v>
      </c>
      <c r="Z265" s="36" t="str">
        <f>IFERROR(IF(Y265=0,"",ROUNDUP(Y265/H265,0)*0.00902),"")</f>
        <v/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9"/>
      <c r="R266" s="649"/>
      <c r="S266" s="649"/>
      <c r="T266" s="650"/>
      <c r="U266" s="34"/>
      <c r="V266" s="34"/>
      <c r="W266" s="35" t="s">
        <v>67</v>
      </c>
      <c r="X266" s="633">
        <v>50</v>
      </c>
      <c r="Y266" s="634">
        <f t="shared" si="31"/>
        <v>54</v>
      </c>
      <c r="Z266" s="36">
        <f>IFERROR(IF(Y266=0,"",ROUNDUP(Y266/H266,0)*0.00902),"")</f>
        <v>9.0200000000000002E-2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51.759259259259252</v>
      </c>
      <c r="BN266" s="64">
        <f t="shared" si="33"/>
        <v>55.9</v>
      </c>
      <c r="BO266" s="64">
        <f t="shared" si="34"/>
        <v>7.0145903479236812E-2</v>
      </c>
      <c r="BP266" s="64">
        <f t="shared" si="35"/>
        <v>7.575757575757576E-2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9"/>
      <c r="R267" s="649"/>
      <c r="S267" s="649"/>
      <c r="T267" s="650"/>
      <c r="U267" s="34"/>
      <c r="V267" s="34"/>
      <c r="W267" s="35" t="s">
        <v>67</v>
      </c>
      <c r="X267" s="633">
        <v>80</v>
      </c>
      <c r="Y267" s="634">
        <f t="shared" si="31"/>
        <v>81</v>
      </c>
      <c r="Z267" s="36">
        <f>IFERROR(IF(Y267=0,"",ROUNDUP(Y267/H267,0)*0.00902),"")</f>
        <v>0.1353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82.81481481481481</v>
      </c>
      <c r="BN267" s="64">
        <f t="shared" si="33"/>
        <v>83.85</v>
      </c>
      <c r="BO267" s="64">
        <f t="shared" si="34"/>
        <v>0.11223344556677889</v>
      </c>
      <c r="BP267" s="64">
        <f t="shared" si="35"/>
        <v>0.11363636363636363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9"/>
      <c r="R268" s="649"/>
      <c r="S268" s="649"/>
      <c r="T268" s="650"/>
      <c r="U268" s="34"/>
      <c r="V268" s="34"/>
      <c r="W268" s="35" t="s">
        <v>67</v>
      </c>
      <c r="X268" s="633">
        <v>24</v>
      </c>
      <c r="Y268" s="634">
        <f t="shared" si="31"/>
        <v>25.2</v>
      </c>
      <c r="Z268" s="36">
        <f>IFERROR(IF(Y268=0,"",ROUNDUP(Y268/H268,0)*0.00502),"")</f>
        <v>7.0280000000000009E-2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25.733333333333334</v>
      </c>
      <c r="BN268" s="64">
        <f t="shared" si="33"/>
        <v>27.019999999999996</v>
      </c>
      <c r="BO268" s="64">
        <f t="shared" si="34"/>
        <v>5.6980056980056981E-2</v>
      </c>
      <c r="BP268" s="64">
        <f t="shared" si="35"/>
        <v>5.9829059829059839E-2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9"/>
      <c r="R269" s="649"/>
      <c r="S269" s="649"/>
      <c r="T269" s="650"/>
      <c r="U269" s="34"/>
      <c r="V269" s="34"/>
      <c r="W269" s="35" t="s">
        <v>67</v>
      </c>
      <c r="X269" s="633">
        <v>15</v>
      </c>
      <c r="Y269" s="634">
        <f t="shared" si="31"/>
        <v>16.2</v>
      </c>
      <c r="Z269" s="36">
        <f>IFERROR(IF(Y269=0,"",ROUNDUP(Y269/H269,0)*0.00502),"")</f>
        <v>4.5179999999999998E-2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15.833333333333332</v>
      </c>
      <c r="BN269" s="64">
        <f t="shared" si="33"/>
        <v>17.099999999999998</v>
      </c>
      <c r="BO269" s="64">
        <f t="shared" si="34"/>
        <v>3.561253561253562E-2</v>
      </c>
      <c r="BP269" s="64">
        <f t="shared" si="35"/>
        <v>3.8461538461538464E-2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9"/>
      <c r="R270" s="649"/>
      <c r="S270" s="649"/>
      <c r="T270" s="650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9"/>
      <c r="R271" s="649"/>
      <c r="S271" s="649"/>
      <c r="T271" s="650"/>
      <c r="U271" s="34"/>
      <c r="V271" s="34"/>
      <c r="W271" s="35" t="s">
        <v>67</v>
      </c>
      <c r="X271" s="633">
        <v>24</v>
      </c>
      <c r="Y271" s="634">
        <f t="shared" si="31"/>
        <v>25.2</v>
      </c>
      <c r="Z271" s="36">
        <f>IFERROR(IF(Y271=0,"",ROUNDUP(Y271/H271,0)*0.00502),"")</f>
        <v>7.0280000000000009E-2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25.333333333333329</v>
      </c>
      <c r="BN271" s="64">
        <f t="shared" si="33"/>
        <v>26.599999999999998</v>
      </c>
      <c r="BO271" s="64">
        <f t="shared" si="34"/>
        <v>5.6980056980056981E-2</v>
      </c>
      <c r="BP271" s="64">
        <f t="shared" si="35"/>
        <v>5.9829059829059839E-2</v>
      </c>
    </row>
    <row r="272" spans="1:68" x14ac:dyDescent="0.2">
      <c r="A272" s="646"/>
      <c r="B272" s="642"/>
      <c r="C272" s="642"/>
      <c r="D272" s="642"/>
      <c r="E272" s="642"/>
      <c r="F272" s="642"/>
      <c r="G272" s="642"/>
      <c r="H272" s="642"/>
      <c r="I272" s="642"/>
      <c r="J272" s="642"/>
      <c r="K272" s="642"/>
      <c r="L272" s="642"/>
      <c r="M272" s="642"/>
      <c r="N272" s="642"/>
      <c r="O272" s="647"/>
      <c r="P272" s="643" t="s">
        <v>69</v>
      </c>
      <c r="Q272" s="644"/>
      <c r="R272" s="644"/>
      <c r="S272" s="644"/>
      <c r="T272" s="644"/>
      <c r="U272" s="644"/>
      <c r="V272" s="645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59.074074074074076</v>
      </c>
      <c r="Y272" s="635">
        <f>IFERROR(Y264/H264,"0")+IFERROR(Y265/H265,"0")+IFERROR(Y266/H266,"0")+IFERROR(Y267/H267,"0")+IFERROR(Y268/H268,"0")+IFERROR(Y269/H269,"0")+IFERROR(Y270/H270,"0")+IFERROR(Y271/H271,"0")</f>
        <v>62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0.41124000000000005</v>
      </c>
      <c r="AA272" s="636"/>
      <c r="AB272" s="636"/>
      <c r="AC272" s="636"/>
    </row>
    <row r="273" spans="1:68" x14ac:dyDescent="0.2">
      <c r="A273" s="642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47"/>
      <c r="P273" s="643" t="s">
        <v>69</v>
      </c>
      <c r="Q273" s="644"/>
      <c r="R273" s="644"/>
      <c r="S273" s="644"/>
      <c r="T273" s="644"/>
      <c r="U273" s="644"/>
      <c r="V273" s="645"/>
      <c r="W273" s="37" t="s">
        <v>67</v>
      </c>
      <c r="X273" s="635">
        <f>IFERROR(SUM(X264:X271),"0")</f>
        <v>193</v>
      </c>
      <c r="Y273" s="635">
        <f>IFERROR(SUM(Y264:Y271),"0")</f>
        <v>201.59999999999997</v>
      </c>
      <c r="Z273" s="37"/>
      <c r="AA273" s="636"/>
      <c r="AB273" s="636"/>
      <c r="AC273" s="636"/>
    </row>
    <row r="274" spans="1:68" ht="14.25" hidden="1" customHeight="1" x14ac:dyDescent="0.25">
      <c r="A274" s="661" t="s">
        <v>71</v>
      </c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42"/>
      <c r="P274" s="642"/>
      <c r="Q274" s="642"/>
      <c r="R274" s="642"/>
      <c r="S274" s="642"/>
      <c r="T274" s="642"/>
      <c r="U274" s="642"/>
      <c r="V274" s="642"/>
      <c r="W274" s="642"/>
      <c r="X274" s="642"/>
      <c r="Y274" s="642"/>
      <c r="Z274" s="642"/>
      <c r="AA274" s="628"/>
      <c r="AB274" s="628"/>
      <c r="AC274" s="628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6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9"/>
      <c r="R275" s="649"/>
      <c r="S275" s="649"/>
      <c r="T275" s="650"/>
      <c r="U275" s="34"/>
      <c r="V275" s="34"/>
      <c r="W275" s="35" t="s">
        <v>67</v>
      </c>
      <c r="X275" s="633">
        <v>26</v>
      </c>
      <c r="Y275" s="634">
        <f t="shared" ref="Y275:Y285" si="36">IFERROR(IF(X275="",0,CEILING((X275/$H275),1)*$H275),"")</f>
        <v>32.4</v>
      </c>
      <c r="Z275" s="36">
        <f>IFERROR(IF(Y275=0,"",ROUNDUP(Y275/H275,0)*0.01898),"")</f>
        <v>7.5920000000000001E-2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27.585679012345679</v>
      </c>
      <c r="BN275" s="64">
        <f t="shared" ref="BN275:BN285" si="38">IFERROR(Y275*I275/H275,"0")</f>
        <v>34.375999999999998</v>
      </c>
      <c r="BO275" s="64">
        <f t="shared" ref="BO275:BO285" si="39">IFERROR(1/J275*(X275/H275),"0")</f>
        <v>5.0154320987654322E-2</v>
      </c>
      <c r="BP275" s="64">
        <f t="shared" ref="BP275:BP285" si="40">IFERROR(1/J275*(Y275/H275),"0")</f>
        <v>6.25E-2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9"/>
      <c r="R276" s="649"/>
      <c r="S276" s="649"/>
      <c r="T276" s="650"/>
      <c r="U276" s="34"/>
      <c r="V276" s="34"/>
      <c r="W276" s="35" t="s">
        <v>67</v>
      </c>
      <c r="X276" s="633">
        <v>74</v>
      </c>
      <c r="Y276" s="634">
        <f t="shared" si="36"/>
        <v>81</v>
      </c>
      <c r="Z276" s="36">
        <f>IFERROR(IF(Y276=0,"",ROUNDUP(Y276/H276,0)*0.01898),"")</f>
        <v>0.1898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78.348641975308652</v>
      </c>
      <c r="BN276" s="64">
        <f t="shared" si="38"/>
        <v>85.76</v>
      </c>
      <c r="BO276" s="64">
        <f t="shared" si="39"/>
        <v>0.14274691358024691</v>
      </c>
      <c r="BP276" s="64">
        <f t="shared" si="40"/>
        <v>0.15625</v>
      </c>
    </row>
    <row r="277" spans="1:68" ht="27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9"/>
      <c r="R277" s="649"/>
      <c r="S277" s="649"/>
      <c r="T277" s="650"/>
      <c r="U277" s="34"/>
      <c r="V277" s="34"/>
      <c r="W277" s="35" t="s">
        <v>67</v>
      </c>
      <c r="X277" s="633">
        <v>64</v>
      </c>
      <c r="Y277" s="634">
        <f t="shared" si="36"/>
        <v>69.599999999999994</v>
      </c>
      <c r="Z277" s="36">
        <f>IFERROR(IF(Y277=0,"",ROUNDUP(Y277/H277,0)*0.01898),"")</f>
        <v>0.15184</v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67.634022988505762</v>
      </c>
      <c r="BN277" s="64">
        <f t="shared" si="38"/>
        <v>73.552000000000007</v>
      </c>
      <c r="BO277" s="64">
        <f t="shared" si="39"/>
        <v>0.1149425287356322</v>
      </c>
      <c r="BP277" s="64">
        <f t="shared" si="40"/>
        <v>0.125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9"/>
      <c r="R278" s="649"/>
      <c r="S278" s="649"/>
      <c r="T278" s="650"/>
      <c r="U278" s="34"/>
      <c r="V278" s="34"/>
      <c r="W278" s="35" t="s">
        <v>67</v>
      </c>
      <c r="X278" s="633">
        <v>0</v>
      </c>
      <c r="Y278" s="634">
        <f t="shared" si="36"/>
        <v>0</v>
      </c>
      <c r="Z278" s="36" t="str">
        <f>IFERROR(IF(Y278=0,"",ROUNDUP(Y278/H278,0)*0.00651),"")</f>
        <v/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9"/>
      <c r="R279" s="649"/>
      <c r="S279" s="649"/>
      <c r="T279" s="650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6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9"/>
      <c r="R280" s="649"/>
      <c r="S280" s="649"/>
      <c r="T280" s="650"/>
      <c r="U280" s="34"/>
      <c r="V280" s="34"/>
      <c r="W280" s="35" t="s">
        <v>67</v>
      </c>
      <c r="X280" s="633">
        <v>0</v>
      </c>
      <c r="Y280" s="634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9"/>
      <c r="R281" s="649"/>
      <c r="S281" s="649"/>
      <c r="T281" s="650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86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9"/>
      <c r="R282" s="649"/>
      <c r="S282" s="649"/>
      <c r="T282" s="650"/>
      <c r="U282" s="34"/>
      <c r="V282" s="34"/>
      <c r="W282" s="35" t="s">
        <v>67</v>
      </c>
      <c r="X282" s="633">
        <v>147</v>
      </c>
      <c r="Y282" s="634">
        <f t="shared" si="36"/>
        <v>148.79999999999998</v>
      </c>
      <c r="Z282" s="36">
        <f>IFERROR(IF(Y282=0,"",ROUNDUP(Y282/H282,0)*0.00651),"")</f>
        <v>0.40362000000000003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162.435</v>
      </c>
      <c r="BN282" s="64">
        <f t="shared" si="38"/>
        <v>164.42400000000001</v>
      </c>
      <c r="BO282" s="64">
        <f t="shared" si="39"/>
        <v>0.33653846153846156</v>
      </c>
      <c r="BP282" s="64">
        <f t="shared" si="40"/>
        <v>0.34065934065934067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77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9"/>
      <c r="R283" s="649"/>
      <c r="S283" s="649"/>
      <c r="T283" s="650"/>
      <c r="U283" s="34"/>
      <c r="V283" s="34"/>
      <c r="W283" s="35" t="s">
        <v>67</v>
      </c>
      <c r="X283" s="633">
        <v>162</v>
      </c>
      <c r="Y283" s="634">
        <f t="shared" si="36"/>
        <v>163.19999999999999</v>
      </c>
      <c r="Z283" s="36">
        <f>IFERROR(IF(Y283=0,"",ROUNDUP(Y283/H283,0)*0.00651),"")</f>
        <v>0.44268000000000002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179.01000000000002</v>
      </c>
      <c r="BN283" s="64">
        <f t="shared" si="38"/>
        <v>180.33600000000001</v>
      </c>
      <c r="BO283" s="64">
        <f t="shared" si="39"/>
        <v>0.37087912087912089</v>
      </c>
      <c r="BP283" s="64">
        <f t="shared" si="40"/>
        <v>0.37362637362637363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4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9"/>
      <c r="R284" s="649"/>
      <c r="S284" s="649"/>
      <c r="T284" s="650"/>
      <c r="U284" s="34"/>
      <c r="V284" s="34"/>
      <c r="W284" s="35" t="s">
        <v>67</v>
      </c>
      <c r="X284" s="633">
        <v>80</v>
      </c>
      <c r="Y284" s="634">
        <f t="shared" si="36"/>
        <v>81.599999999999994</v>
      </c>
      <c r="Z284" s="36">
        <f>IFERROR(IF(Y284=0,"",ROUNDUP(Y284/H284,0)*0.00651),"")</f>
        <v>0.22134000000000001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88.6</v>
      </c>
      <c r="BN284" s="64">
        <f t="shared" si="38"/>
        <v>90.371999999999986</v>
      </c>
      <c r="BO284" s="64">
        <f t="shared" si="39"/>
        <v>0.18315018315018317</v>
      </c>
      <c r="BP284" s="64">
        <f t="shared" si="40"/>
        <v>0.18681318681318682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9"/>
      <c r="R285" s="649"/>
      <c r="S285" s="649"/>
      <c r="T285" s="650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6"/>
      <c r="B286" s="642"/>
      <c r="C286" s="642"/>
      <c r="D286" s="642"/>
      <c r="E286" s="642"/>
      <c r="F286" s="642"/>
      <c r="G286" s="642"/>
      <c r="H286" s="642"/>
      <c r="I286" s="642"/>
      <c r="J286" s="642"/>
      <c r="K286" s="642"/>
      <c r="L286" s="642"/>
      <c r="M286" s="642"/>
      <c r="N286" s="642"/>
      <c r="O286" s="647"/>
      <c r="P286" s="643" t="s">
        <v>69</v>
      </c>
      <c r="Q286" s="644"/>
      <c r="R286" s="644"/>
      <c r="S286" s="644"/>
      <c r="T286" s="644"/>
      <c r="U286" s="644"/>
      <c r="V286" s="645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181.78533418475948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186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1.4852000000000001</v>
      </c>
      <c r="AA286" s="636"/>
      <c r="AB286" s="636"/>
      <c r="AC286" s="636"/>
    </row>
    <row r="287" spans="1:68" x14ac:dyDescent="0.2">
      <c r="A287" s="642"/>
      <c r="B287" s="642"/>
      <c r="C287" s="642"/>
      <c r="D287" s="642"/>
      <c r="E287" s="642"/>
      <c r="F287" s="642"/>
      <c r="G287" s="642"/>
      <c r="H287" s="642"/>
      <c r="I287" s="642"/>
      <c r="J287" s="642"/>
      <c r="K287" s="642"/>
      <c r="L287" s="642"/>
      <c r="M287" s="642"/>
      <c r="N287" s="642"/>
      <c r="O287" s="647"/>
      <c r="P287" s="643" t="s">
        <v>69</v>
      </c>
      <c r="Q287" s="644"/>
      <c r="R287" s="644"/>
      <c r="S287" s="644"/>
      <c r="T287" s="644"/>
      <c r="U287" s="644"/>
      <c r="V287" s="645"/>
      <c r="W287" s="37" t="s">
        <v>67</v>
      </c>
      <c r="X287" s="635">
        <f>IFERROR(SUM(X275:X285),"0")</f>
        <v>553</v>
      </c>
      <c r="Y287" s="635">
        <f>IFERROR(SUM(Y275:Y285),"0")</f>
        <v>576.59999999999991</v>
      </c>
      <c r="Z287" s="37"/>
      <c r="AA287" s="636"/>
      <c r="AB287" s="636"/>
      <c r="AC287" s="636"/>
    </row>
    <row r="288" spans="1:68" ht="14.25" hidden="1" customHeight="1" x14ac:dyDescent="0.25">
      <c r="A288" s="661" t="s">
        <v>172</v>
      </c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42"/>
      <c r="P288" s="642"/>
      <c r="Q288" s="642"/>
      <c r="R288" s="642"/>
      <c r="S288" s="642"/>
      <c r="T288" s="642"/>
      <c r="U288" s="642"/>
      <c r="V288" s="642"/>
      <c r="W288" s="642"/>
      <c r="X288" s="642"/>
      <c r="Y288" s="642"/>
      <c r="Z288" s="642"/>
      <c r="AA288" s="628"/>
      <c r="AB288" s="628"/>
      <c r="AC288" s="628"/>
    </row>
    <row r="289" spans="1:68" ht="27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9"/>
      <c r="R289" s="649"/>
      <c r="S289" s="649"/>
      <c r="T289" s="650"/>
      <c r="U289" s="34"/>
      <c r="V289" s="34"/>
      <c r="W289" s="35" t="s">
        <v>67</v>
      </c>
      <c r="X289" s="633">
        <v>82</v>
      </c>
      <c r="Y289" s="634">
        <f>IFERROR(IF(X289="",0,CEILING((X289/$H289),1)*$H289),"")</f>
        <v>84</v>
      </c>
      <c r="Z289" s="36">
        <f>IFERROR(IF(Y289=0,"",ROUNDUP(Y289/H289,0)*0.00651),"")</f>
        <v>0.22785</v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90.61</v>
      </c>
      <c r="BN289" s="64">
        <f>IFERROR(Y289*I289/H289,"0")</f>
        <v>92.820000000000007</v>
      </c>
      <c r="BO289" s="64">
        <f>IFERROR(1/J289*(X289/H289),"0")</f>
        <v>0.18772893772893776</v>
      </c>
      <c r="BP289" s="64">
        <f>IFERROR(1/J289*(Y289/H289),"0")</f>
        <v>0.19230769230769232</v>
      </c>
    </row>
    <row r="290" spans="1:68" ht="27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9"/>
      <c r="R290" s="649"/>
      <c r="S290" s="649"/>
      <c r="T290" s="650"/>
      <c r="U290" s="34"/>
      <c r="V290" s="34"/>
      <c r="W290" s="35" t="s">
        <v>67</v>
      </c>
      <c r="X290" s="633">
        <v>71</v>
      </c>
      <c r="Y290" s="634">
        <f>IFERROR(IF(X290="",0,CEILING((X290/$H290),1)*$H290),"")</f>
        <v>72</v>
      </c>
      <c r="Z290" s="36">
        <f>IFERROR(IF(Y290=0,"",ROUNDUP(Y290/H290,0)*0.00651),"")</f>
        <v>0.1953</v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78.454999999999998</v>
      </c>
      <c r="BN290" s="64">
        <f>IFERROR(Y290*I290/H290,"0")</f>
        <v>79.560000000000016</v>
      </c>
      <c r="BO290" s="64">
        <f>IFERROR(1/J290*(X290/H290),"0")</f>
        <v>0.16254578754578758</v>
      </c>
      <c r="BP290" s="64">
        <f>IFERROR(1/J290*(Y290/H290),"0")</f>
        <v>0.16483516483516486</v>
      </c>
    </row>
    <row r="291" spans="1:68" x14ac:dyDescent="0.2">
      <c r="A291" s="646"/>
      <c r="B291" s="642"/>
      <c r="C291" s="642"/>
      <c r="D291" s="642"/>
      <c r="E291" s="642"/>
      <c r="F291" s="642"/>
      <c r="G291" s="642"/>
      <c r="H291" s="642"/>
      <c r="I291" s="642"/>
      <c r="J291" s="642"/>
      <c r="K291" s="642"/>
      <c r="L291" s="642"/>
      <c r="M291" s="642"/>
      <c r="N291" s="642"/>
      <c r="O291" s="647"/>
      <c r="P291" s="643" t="s">
        <v>69</v>
      </c>
      <c r="Q291" s="644"/>
      <c r="R291" s="644"/>
      <c r="S291" s="644"/>
      <c r="T291" s="644"/>
      <c r="U291" s="644"/>
      <c r="V291" s="645"/>
      <c r="W291" s="37" t="s">
        <v>70</v>
      </c>
      <c r="X291" s="635">
        <f>IFERROR(X289/H289,"0")+IFERROR(X290/H290,"0")</f>
        <v>63.750000000000007</v>
      </c>
      <c r="Y291" s="635">
        <f>IFERROR(Y289/H289,"0")+IFERROR(Y290/H290,"0")</f>
        <v>65</v>
      </c>
      <c r="Z291" s="635">
        <f>IFERROR(IF(Z289="",0,Z289),"0")+IFERROR(IF(Z290="",0,Z290),"0")</f>
        <v>0.42315000000000003</v>
      </c>
      <c r="AA291" s="636"/>
      <c r="AB291" s="636"/>
      <c r="AC291" s="636"/>
    </row>
    <row r="292" spans="1:68" x14ac:dyDescent="0.2">
      <c r="A292" s="642"/>
      <c r="B292" s="642"/>
      <c r="C292" s="642"/>
      <c r="D292" s="642"/>
      <c r="E292" s="642"/>
      <c r="F292" s="642"/>
      <c r="G292" s="642"/>
      <c r="H292" s="642"/>
      <c r="I292" s="642"/>
      <c r="J292" s="642"/>
      <c r="K292" s="642"/>
      <c r="L292" s="642"/>
      <c r="M292" s="642"/>
      <c r="N292" s="642"/>
      <c r="O292" s="647"/>
      <c r="P292" s="643" t="s">
        <v>69</v>
      </c>
      <c r="Q292" s="644"/>
      <c r="R292" s="644"/>
      <c r="S292" s="644"/>
      <c r="T292" s="644"/>
      <c r="U292" s="644"/>
      <c r="V292" s="645"/>
      <c r="W292" s="37" t="s">
        <v>67</v>
      </c>
      <c r="X292" s="635">
        <f>IFERROR(SUM(X289:X290),"0")</f>
        <v>153</v>
      </c>
      <c r="Y292" s="635">
        <f>IFERROR(SUM(Y289:Y290),"0")</f>
        <v>156</v>
      </c>
      <c r="Z292" s="37"/>
      <c r="AA292" s="636"/>
      <c r="AB292" s="636"/>
      <c r="AC292" s="636"/>
    </row>
    <row r="293" spans="1:68" ht="16.5" hidden="1" customHeight="1" x14ac:dyDescent="0.25">
      <c r="A293" s="641" t="s">
        <v>484</v>
      </c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42"/>
      <c r="P293" s="642"/>
      <c r="Q293" s="642"/>
      <c r="R293" s="642"/>
      <c r="S293" s="642"/>
      <c r="T293" s="642"/>
      <c r="U293" s="642"/>
      <c r="V293" s="642"/>
      <c r="W293" s="642"/>
      <c r="X293" s="642"/>
      <c r="Y293" s="642"/>
      <c r="Z293" s="642"/>
      <c r="AA293" s="627"/>
      <c r="AB293" s="627"/>
      <c r="AC293" s="627"/>
    </row>
    <row r="294" spans="1:68" ht="14.25" hidden="1" customHeight="1" x14ac:dyDescent="0.25">
      <c r="A294" s="661" t="s">
        <v>119</v>
      </c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42"/>
      <c r="P294" s="642"/>
      <c r="Q294" s="642"/>
      <c r="R294" s="642"/>
      <c r="S294" s="642"/>
      <c r="T294" s="642"/>
      <c r="U294" s="642"/>
      <c r="V294" s="642"/>
      <c r="W294" s="642"/>
      <c r="X294" s="642"/>
      <c r="Y294" s="642"/>
      <c r="Z294" s="642"/>
      <c r="AA294" s="628"/>
      <c r="AB294" s="628"/>
      <c r="AC294" s="628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9"/>
      <c r="R295" s="649"/>
      <c r="S295" s="649"/>
      <c r="T295" s="650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1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9"/>
      <c r="R296" s="649"/>
      <c r="S296" s="649"/>
      <c r="T296" s="650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9"/>
      <c r="R297" s="649"/>
      <c r="S297" s="649"/>
      <c r="T297" s="650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9"/>
      <c r="R298" s="649"/>
      <c r="S298" s="649"/>
      <c r="T298" s="650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9"/>
      <c r="R299" s="649"/>
      <c r="S299" s="649"/>
      <c r="T299" s="650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9"/>
      <c r="R300" s="649"/>
      <c r="S300" s="649"/>
      <c r="T300" s="650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6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9"/>
      <c r="R301" s="649"/>
      <c r="S301" s="649"/>
      <c r="T301" s="650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6"/>
      <c r="B302" s="642"/>
      <c r="C302" s="642"/>
      <c r="D302" s="642"/>
      <c r="E302" s="642"/>
      <c r="F302" s="642"/>
      <c r="G302" s="642"/>
      <c r="H302" s="642"/>
      <c r="I302" s="642"/>
      <c r="J302" s="642"/>
      <c r="K302" s="642"/>
      <c r="L302" s="642"/>
      <c r="M302" s="642"/>
      <c r="N302" s="642"/>
      <c r="O302" s="647"/>
      <c r="P302" s="643" t="s">
        <v>69</v>
      </c>
      <c r="Q302" s="644"/>
      <c r="R302" s="644"/>
      <c r="S302" s="644"/>
      <c r="T302" s="644"/>
      <c r="U302" s="644"/>
      <c r="V302" s="645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2"/>
      <c r="B303" s="642"/>
      <c r="C303" s="642"/>
      <c r="D303" s="642"/>
      <c r="E303" s="642"/>
      <c r="F303" s="642"/>
      <c r="G303" s="642"/>
      <c r="H303" s="642"/>
      <c r="I303" s="642"/>
      <c r="J303" s="642"/>
      <c r="K303" s="642"/>
      <c r="L303" s="642"/>
      <c r="M303" s="642"/>
      <c r="N303" s="642"/>
      <c r="O303" s="647"/>
      <c r="P303" s="643" t="s">
        <v>69</v>
      </c>
      <c r="Q303" s="644"/>
      <c r="R303" s="644"/>
      <c r="S303" s="644"/>
      <c r="T303" s="644"/>
      <c r="U303" s="644"/>
      <c r="V303" s="645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61" t="s">
        <v>154</v>
      </c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42"/>
      <c r="P304" s="642"/>
      <c r="Q304" s="642"/>
      <c r="R304" s="642"/>
      <c r="S304" s="642"/>
      <c r="T304" s="642"/>
      <c r="U304" s="642"/>
      <c r="V304" s="642"/>
      <c r="W304" s="642"/>
      <c r="X304" s="642"/>
      <c r="Y304" s="642"/>
      <c r="Z304" s="642"/>
      <c r="AA304" s="628"/>
      <c r="AB304" s="628"/>
      <c r="AC304" s="628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80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9"/>
      <c r="R305" s="649"/>
      <c r="S305" s="649"/>
      <c r="T305" s="650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6"/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7"/>
      <c r="P306" s="643" t="s">
        <v>69</v>
      </c>
      <c r="Q306" s="644"/>
      <c r="R306" s="644"/>
      <c r="S306" s="644"/>
      <c r="T306" s="644"/>
      <c r="U306" s="644"/>
      <c r="V306" s="645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2"/>
      <c r="B307" s="642"/>
      <c r="C307" s="642"/>
      <c r="D307" s="642"/>
      <c r="E307" s="642"/>
      <c r="F307" s="642"/>
      <c r="G307" s="642"/>
      <c r="H307" s="642"/>
      <c r="I307" s="642"/>
      <c r="J307" s="642"/>
      <c r="K307" s="642"/>
      <c r="L307" s="642"/>
      <c r="M307" s="642"/>
      <c r="N307" s="642"/>
      <c r="O307" s="647"/>
      <c r="P307" s="643" t="s">
        <v>69</v>
      </c>
      <c r="Q307" s="644"/>
      <c r="R307" s="644"/>
      <c r="S307" s="644"/>
      <c r="T307" s="644"/>
      <c r="U307" s="644"/>
      <c r="V307" s="645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61" t="s">
        <v>506</v>
      </c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42"/>
      <c r="P308" s="642"/>
      <c r="Q308" s="642"/>
      <c r="R308" s="642"/>
      <c r="S308" s="642"/>
      <c r="T308" s="642"/>
      <c r="U308" s="642"/>
      <c r="V308" s="642"/>
      <c r="W308" s="642"/>
      <c r="X308" s="642"/>
      <c r="Y308" s="642"/>
      <c r="Z308" s="642"/>
      <c r="AA308" s="628"/>
      <c r="AB308" s="628"/>
      <c r="AC308" s="628"/>
    </row>
    <row r="309" spans="1:68" ht="27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1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9"/>
      <c r="R309" s="649"/>
      <c r="S309" s="649"/>
      <c r="T309" s="650"/>
      <c r="U309" s="34"/>
      <c r="V309" s="34"/>
      <c r="W309" s="35" t="s">
        <v>67</v>
      </c>
      <c r="X309" s="633">
        <v>5</v>
      </c>
      <c r="Y309" s="634">
        <f>IFERROR(IF(X309="",0,CEILING((X309/$H309),1)*$H309),"")</f>
        <v>5.4</v>
      </c>
      <c r="Z309" s="36">
        <f>IFERROR(IF(Y309=0,"",ROUNDUP(Y309/H309,0)*0.0059),"")</f>
        <v>1.77E-2</v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5.4861111111111107</v>
      </c>
      <c r="BN309" s="64">
        <f>IFERROR(Y309*I309/H309,"0")</f>
        <v>5.9250000000000007</v>
      </c>
      <c r="BO309" s="64">
        <f>IFERROR(1/J309*(X309/H309),"0")</f>
        <v>1.2860082304526748E-2</v>
      </c>
      <c r="BP309" s="64">
        <f>IFERROR(1/J309*(Y309/H309),"0")</f>
        <v>1.3888888888888888E-2</v>
      </c>
    </row>
    <row r="310" spans="1:68" x14ac:dyDescent="0.2">
      <c r="A310" s="646"/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7"/>
      <c r="P310" s="643" t="s">
        <v>69</v>
      </c>
      <c r="Q310" s="644"/>
      <c r="R310" s="644"/>
      <c r="S310" s="644"/>
      <c r="T310" s="644"/>
      <c r="U310" s="644"/>
      <c r="V310" s="645"/>
      <c r="W310" s="37" t="s">
        <v>70</v>
      </c>
      <c r="X310" s="635">
        <f>IFERROR(X309/H309,"0")</f>
        <v>2.7777777777777777</v>
      </c>
      <c r="Y310" s="635">
        <f>IFERROR(Y309/H309,"0")</f>
        <v>3</v>
      </c>
      <c r="Z310" s="635">
        <f>IFERROR(IF(Z309="",0,Z309),"0")</f>
        <v>1.77E-2</v>
      </c>
      <c r="AA310" s="636"/>
      <c r="AB310" s="636"/>
      <c r="AC310" s="636"/>
    </row>
    <row r="311" spans="1:68" x14ac:dyDescent="0.2">
      <c r="A311" s="642"/>
      <c r="B311" s="642"/>
      <c r="C311" s="642"/>
      <c r="D311" s="642"/>
      <c r="E311" s="642"/>
      <c r="F311" s="642"/>
      <c r="G311" s="642"/>
      <c r="H311" s="642"/>
      <c r="I311" s="642"/>
      <c r="J311" s="642"/>
      <c r="K311" s="642"/>
      <c r="L311" s="642"/>
      <c r="M311" s="642"/>
      <c r="N311" s="642"/>
      <c r="O311" s="647"/>
      <c r="P311" s="643" t="s">
        <v>69</v>
      </c>
      <c r="Q311" s="644"/>
      <c r="R311" s="644"/>
      <c r="S311" s="644"/>
      <c r="T311" s="644"/>
      <c r="U311" s="644"/>
      <c r="V311" s="645"/>
      <c r="W311" s="37" t="s">
        <v>67</v>
      </c>
      <c r="X311" s="635">
        <f>IFERROR(SUM(X309:X309),"0")</f>
        <v>5</v>
      </c>
      <c r="Y311" s="635">
        <f>IFERROR(SUM(Y309:Y309),"0")</f>
        <v>5.4</v>
      </c>
      <c r="Z311" s="37"/>
      <c r="AA311" s="636"/>
      <c r="AB311" s="636"/>
      <c r="AC311" s="636"/>
    </row>
    <row r="312" spans="1:68" ht="14.25" hidden="1" customHeight="1" x14ac:dyDescent="0.25">
      <c r="A312" s="661" t="s">
        <v>328</v>
      </c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42"/>
      <c r="P312" s="642"/>
      <c r="Q312" s="642"/>
      <c r="R312" s="642"/>
      <c r="S312" s="642"/>
      <c r="T312" s="642"/>
      <c r="U312" s="642"/>
      <c r="V312" s="642"/>
      <c r="W312" s="642"/>
      <c r="X312" s="642"/>
      <c r="Y312" s="642"/>
      <c r="Z312" s="642"/>
      <c r="AA312" s="628"/>
      <c r="AB312" s="628"/>
      <c r="AC312" s="628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9"/>
      <c r="R313" s="649"/>
      <c r="S313" s="649"/>
      <c r="T313" s="650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9"/>
      <c r="R314" s="649"/>
      <c r="S314" s="649"/>
      <c r="T314" s="650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6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9"/>
      <c r="R315" s="649"/>
      <c r="S315" s="649"/>
      <c r="T315" s="650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9"/>
      <c r="R316" s="649"/>
      <c r="S316" s="649"/>
      <c r="T316" s="650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6"/>
      <c r="B317" s="642"/>
      <c r="C317" s="642"/>
      <c r="D317" s="642"/>
      <c r="E317" s="642"/>
      <c r="F317" s="642"/>
      <c r="G317" s="642"/>
      <c r="H317" s="642"/>
      <c r="I317" s="642"/>
      <c r="J317" s="642"/>
      <c r="K317" s="642"/>
      <c r="L317" s="642"/>
      <c r="M317" s="642"/>
      <c r="N317" s="642"/>
      <c r="O317" s="647"/>
      <c r="P317" s="643" t="s">
        <v>69</v>
      </c>
      <c r="Q317" s="644"/>
      <c r="R317" s="644"/>
      <c r="S317" s="644"/>
      <c r="T317" s="644"/>
      <c r="U317" s="644"/>
      <c r="V317" s="645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2"/>
      <c r="B318" s="642"/>
      <c r="C318" s="642"/>
      <c r="D318" s="642"/>
      <c r="E318" s="642"/>
      <c r="F318" s="642"/>
      <c r="G318" s="642"/>
      <c r="H318" s="642"/>
      <c r="I318" s="642"/>
      <c r="J318" s="642"/>
      <c r="K318" s="642"/>
      <c r="L318" s="642"/>
      <c r="M318" s="642"/>
      <c r="N318" s="642"/>
      <c r="O318" s="647"/>
      <c r="P318" s="643" t="s">
        <v>69</v>
      </c>
      <c r="Q318" s="644"/>
      <c r="R318" s="644"/>
      <c r="S318" s="644"/>
      <c r="T318" s="644"/>
      <c r="U318" s="644"/>
      <c r="V318" s="645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41" t="s">
        <v>519</v>
      </c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42"/>
      <c r="P319" s="642"/>
      <c r="Q319" s="642"/>
      <c r="R319" s="642"/>
      <c r="S319" s="642"/>
      <c r="T319" s="642"/>
      <c r="U319" s="642"/>
      <c r="V319" s="642"/>
      <c r="W319" s="642"/>
      <c r="X319" s="642"/>
      <c r="Y319" s="642"/>
      <c r="Z319" s="642"/>
      <c r="AA319" s="627"/>
      <c r="AB319" s="627"/>
      <c r="AC319" s="627"/>
    </row>
    <row r="320" spans="1:68" ht="14.25" hidden="1" customHeight="1" x14ac:dyDescent="0.25">
      <c r="A320" s="661" t="s">
        <v>119</v>
      </c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42"/>
      <c r="P320" s="642"/>
      <c r="Q320" s="642"/>
      <c r="R320" s="642"/>
      <c r="S320" s="642"/>
      <c r="T320" s="642"/>
      <c r="U320" s="642"/>
      <c r="V320" s="642"/>
      <c r="W320" s="642"/>
      <c r="X320" s="642"/>
      <c r="Y320" s="642"/>
      <c r="Z320" s="642"/>
      <c r="AA320" s="628"/>
      <c r="AB320" s="628"/>
      <c r="AC320" s="628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1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9"/>
      <c r="R321" s="649"/>
      <c r="S321" s="649"/>
      <c r="T321" s="650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15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9"/>
      <c r="R322" s="649"/>
      <c r="S322" s="649"/>
      <c r="T322" s="650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1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9"/>
      <c r="R323" s="649"/>
      <c r="S323" s="649"/>
      <c r="T323" s="650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9"/>
      <c r="R324" s="649"/>
      <c r="S324" s="649"/>
      <c r="T324" s="650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9"/>
      <c r="R325" s="649"/>
      <c r="S325" s="649"/>
      <c r="T325" s="650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72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9"/>
      <c r="R326" s="649"/>
      <c r="S326" s="649"/>
      <c r="T326" s="650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9"/>
      <c r="R327" s="649"/>
      <c r="S327" s="649"/>
      <c r="T327" s="650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6"/>
      <c r="B328" s="642"/>
      <c r="C328" s="642"/>
      <c r="D328" s="642"/>
      <c r="E328" s="642"/>
      <c r="F328" s="642"/>
      <c r="G328" s="642"/>
      <c r="H328" s="642"/>
      <c r="I328" s="642"/>
      <c r="J328" s="642"/>
      <c r="K328" s="642"/>
      <c r="L328" s="642"/>
      <c r="M328" s="642"/>
      <c r="N328" s="642"/>
      <c r="O328" s="647"/>
      <c r="P328" s="643" t="s">
        <v>69</v>
      </c>
      <c r="Q328" s="644"/>
      <c r="R328" s="644"/>
      <c r="S328" s="644"/>
      <c r="T328" s="644"/>
      <c r="U328" s="644"/>
      <c r="V328" s="645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2"/>
      <c r="B329" s="642"/>
      <c r="C329" s="642"/>
      <c r="D329" s="642"/>
      <c r="E329" s="642"/>
      <c r="F329" s="642"/>
      <c r="G329" s="642"/>
      <c r="H329" s="642"/>
      <c r="I329" s="642"/>
      <c r="J329" s="642"/>
      <c r="K329" s="642"/>
      <c r="L329" s="642"/>
      <c r="M329" s="642"/>
      <c r="N329" s="642"/>
      <c r="O329" s="647"/>
      <c r="P329" s="643" t="s">
        <v>69</v>
      </c>
      <c r="Q329" s="644"/>
      <c r="R329" s="644"/>
      <c r="S329" s="644"/>
      <c r="T329" s="644"/>
      <c r="U329" s="644"/>
      <c r="V329" s="645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41" t="s">
        <v>541</v>
      </c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42"/>
      <c r="P330" s="642"/>
      <c r="Q330" s="642"/>
      <c r="R330" s="642"/>
      <c r="S330" s="642"/>
      <c r="T330" s="642"/>
      <c r="U330" s="642"/>
      <c r="V330" s="642"/>
      <c r="W330" s="642"/>
      <c r="X330" s="642"/>
      <c r="Y330" s="642"/>
      <c r="Z330" s="642"/>
      <c r="AA330" s="627"/>
      <c r="AB330" s="627"/>
      <c r="AC330" s="627"/>
    </row>
    <row r="331" spans="1:68" ht="14.25" hidden="1" customHeight="1" x14ac:dyDescent="0.25">
      <c r="A331" s="661" t="s">
        <v>71</v>
      </c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42"/>
      <c r="P331" s="642"/>
      <c r="Q331" s="642"/>
      <c r="R331" s="642"/>
      <c r="S331" s="642"/>
      <c r="T331" s="642"/>
      <c r="U331" s="642"/>
      <c r="V331" s="642"/>
      <c r="W331" s="642"/>
      <c r="X331" s="642"/>
      <c r="Y331" s="642"/>
      <c r="Z331" s="642"/>
      <c r="AA331" s="628"/>
      <c r="AB331" s="628"/>
      <c r="AC331" s="628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4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9"/>
      <c r="R332" s="649"/>
      <c r="S332" s="649"/>
      <c r="T332" s="650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89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9"/>
      <c r="R333" s="649"/>
      <c r="S333" s="649"/>
      <c r="T333" s="650"/>
      <c r="U333" s="34"/>
      <c r="V333" s="34"/>
      <c r="W333" s="35" t="s">
        <v>67</v>
      </c>
      <c r="X333" s="633">
        <v>50</v>
      </c>
      <c r="Y333" s="634">
        <f>IFERROR(IF(X333="",0,CEILING((X333/$H333),1)*$H333),"")</f>
        <v>50.4</v>
      </c>
      <c r="Z333" s="36">
        <f>IFERROR(IF(Y333=0,"",ROUNDUP(Y333/H333,0)*0.00651),"")</f>
        <v>0.13671</v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55.25</v>
      </c>
      <c r="BN333" s="64">
        <f>IFERROR(Y333*I333/H333,"0")</f>
        <v>55.692</v>
      </c>
      <c r="BO333" s="64">
        <f>IFERROR(1/J333*(X333/H333),"0")</f>
        <v>0.11446886446886449</v>
      </c>
      <c r="BP333" s="64">
        <f>IFERROR(1/J333*(Y333/H333),"0")</f>
        <v>0.11538461538461539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9"/>
      <c r="R334" s="649"/>
      <c r="S334" s="649"/>
      <c r="T334" s="650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646"/>
      <c r="B335" s="642"/>
      <c r="C335" s="642"/>
      <c r="D335" s="642"/>
      <c r="E335" s="642"/>
      <c r="F335" s="642"/>
      <c r="G335" s="642"/>
      <c r="H335" s="642"/>
      <c r="I335" s="642"/>
      <c r="J335" s="642"/>
      <c r="K335" s="642"/>
      <c r="L335" s="642"/>
      <c r="M335" s="642"/>
      <c r="N335" s="642"/>
      <c r="O335" s="647"/>
      <c r="P335" s="643" t="s">
        <v>69</v>
      </c>
      <c r="Q335" s="644"/>
      <c r="R335" s="644"/>
      <c r="S335" s="644"/>
      <c r="T335" s="644"/>
      <c r="U335" s="644"/>
      <c r="V335" s="645"/>
      <c r="W335" s="37" t="s">
        <v>70</v>
      </c>
      <c r="X335" s="635">
        <f>IFERROR(X332/H332,"0")+IFERROR(X333/H333,"0")+IFERROR(X334/H334,"0")</f>
        <v>20.833333333333336</v>
      </c>
      <c r="Y335" s="635">
        <f>IFERROR(Y332/H332,"0")+IFERROR(Y333/H333,"0")+IFERROR(Y334/H334,"0")</f>
        <v>21</v>
      </c>
      <c r="Z335" s="635">
        <f>IFERROR(IF(Z332="",0,Z332),"0")+IFERROR(IF(Z333="",0,Z333),"0")+IFERROR(IF(Z334="",0,Z334),"0")</f>
        <v>0.13671</v>
      </c>
      <c r="AA335" s="636"/>
      <c r="AB335" s="636"/>
      <c r="AC335" s="636"/>
    </row>
    <row r="336" spans="1:68" x14ac:dyDescent="0.2">
      <c r="A336" s="642"/>
      <c r="B336" s="642"/>
      <c r="C336" s="642"/>
      <c r="D336" s="642"/>
      <c r="E336" s="642"/>
      <c r="F336" s="642"/>
      <c r="G336" s="642"/>
      <c r="H336" s="642"/>
      <c r="I336" s="642"/>
      <c r="J336" s="642"/>
      <c r="K336" s="642"/>
      <c r="L336" s="642"/>
      <c r="M336" s="642"/>
      <c r="N336" s="642"/>
      <c r="O336" s="647"/>
      <c r="P336" s="643" t="s">
        <v>69</v>
      </c>
      <c r="Q336" s="644"/>
      <c r="R336" s="644"/>
      <c r="S336" s="644"/>
      <c r="T336" s="644"/>
      <c r="U336" s="644"/>
      <c r="V336" s="645"/>
      <c r="W336" s="37" t="s">
        <v>67</v>
      </c>
      <c r="X336" s="635">
        <f>IFERROR(SUM(X332:X334),"0")</f>
        <v>50</v>
      </c>
      <c r="Y336" s="635">
        <f>IFERROR(SUM(Y332:Y334),"0")</f>
        <v>50.4</v>
      </c>
      <c r="Z336" s="37"/>
      <c r="AA336" s="636"/>
      <c r="AB336" s="636"/>
      <c r="AC336" s="636"/>
    </row>
    <row r="337" spans="1:68" ht="16.5" hidden="1" customHeight="1" x14ac:dyDescent="0.25">
      <c r="A337" s="641" t="s">
        <v>550</v>
      </c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42"/>
      <c r="P337" s="642"/>
      <c r="Q337" s="642"/>
      <c r="R337" s="642"/>
      <c r="S337" s="642"/>
      <c r="T337" s="642"/>
      <c r="U337" s="642"/>
      <c r="V337" s="642"/>
      <c r="W337" s="642"/>
      <c r="X337" s="642"/>
      <c r="Y337" s="642"/>
      <c r="Z337" s="642"/>
      <c r="AA337" s="627"/>
      <c r="AB337" s="627"/>
      <c r="AC337" s="627"/>
    </row>
    <row r="338" spans="1:68" ht="14.25" hidden="1" customHeight="1" x14ac:dyDescent="0.25">
      <c r="A338" s="661" t="s">
        <v>62</v>
      </c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42"/>
      <c r="P338" s="642"/>
      <c r="Q338" s="642"/>
      <c r="R338" s="642"/>
      <c r="S338" s="642"/>
      <c r="T338" s="642"/>
      <c r="U338" s="642"/>
      <c r="V338" s="642"/>
      <c r="W338" s="642"/>
      <c r="X338" s="642"/>
      <c r="Y338" s="642"/>
      <c r="Z338" s="642"/>
      <c r="AA338" s="628"/>
      <c r="AB338" s="628"/>
      <c r="AC338" s="628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2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9"/>
      <c r="R339" s="649"/>
      <c r="S339" s="649"/>
      <c r="T339" s="650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9"/>
      <c r="R340" s="649"/>
      <c r="S340" s="649"/>
      <c r="T340" s="650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9"/>
      <c r="R341" s="649"/>
      <c r="S341" s="649"/>
      <c r="T341" s="650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9"/>
      <c r="R342" s="649"/>
      <c r="S342" s="649"/>
      <c r="T342" s="650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6"/>
      <c r="B343" s="642"/>
      <c r="C343" s="642"/>
      <c r="D343" s="642"/>
      <c r="E343" s="642"/>
      <c r="F343" s="642"/>
      <c r="G343" s="642"/>
      <c r="H343" s="642"/>
      <c r="I343" s="642"/>
      <c r="J343" s="642"/>
      <c r="K343" s="642"/>
      <c r="L343" s="642"/>
      <c r="M343" s="642"/>
      <c r="N343" s="642"/>
      <c r="O343" s="647"/>
      <c r="P343" s="643" t="s">
        <v>69</v>
      </c>
      <c r="Q343" s="644"/>
      <c r="R343" s="644"/>
      <c r="S343" s="644"/>
      <c r="T343" s="644"/>
      <c r="U343" s="644"/>
      <c r="V343" s="645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2"/>
      <c r="B344" s="642"/>
      <c r="C344" s="642"/>
      <c r="D344" s="642"/>
      <c r="E344" s="642"/>
      <c r="F344" s="642"/>
      <c r="G344" s="642"/>
      <c r="H344" s="642"/>
      <c r="I344" s="642"/>
      <c r="J344" s="642"/>
      <c r="K344" s="642"/>
      <c r="L344" s="642"/>
      <c r="M344" s="642"/>
      <c r="N344" s="642"/>
      <c r="O344" s="647"/>
      <c r="P344" s="643" t="s">
        <v>69</v>
      </c>
      <c r="Q344" s="644"/>
      <c r="R344" s="644"/>
      <c r="S344" s="644"/>
      <c r="T344" s="644"/>
      <c r="U344" s="644"/>
      <c r="V344" s="645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61" t="s">
        <v>71</v>
      </c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2"/>
      <c r="P345" s="642"/>
      <c r="Q345" s="642"/>
      <c r="R345" s="642"/>
      <c r="S345" s="642"/>
      <c r="T345" s="642"/>
      <c r="U345" s="642"/>
      <c r="V345" s="642"/>
      <c r="W345" s="642"/>
      <c r="X345" s="642"/>
      <c r="Y345" s="642"/>
      <c r="Z345" s="642"/>
      <c r="AA345" s="628"/>
      <c r="AB345" s="628"/>
      <c r="AC345" s="628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8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9"/>
      <c r="R346" s="649"/>
      <c r="S346" s="649"/>
      <c r="T346" s="650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4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9"/>
      <c r="R347" s="649"/>
      <c r="S347" s="649"/>
      <c r="T347" s="650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1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9"/>
      <c r="R348" s="649"/>
      <c r="S348" s="649"/>
      <c r="T348" s="650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6"/>
      <c r="B349" s="642"/>
      <c r="C349" s="642"/>
      <c r="D349" s="642"/>
      <c r="E349" s="642"/>
      <c r="F349" s="642"/>
      <c r="G349" s="642"/>
      <c r="H349" s="642"/>
      <c r="I349" s="642"/>
      <c r="J349" s="642"/>
      <c r="K349" s="642"/>
      <c r="L349" s="642"/>
      <c r="M349" s="642"/>
      <c r="N349" s="642"/>
      <c r="O349" s="647"/>
      <c r="P349" s="643" t="s">
        <v>69</v>
      </c>
      <c r="Q349" s="644"/>
      <c r="R349" s="644"/>
      <c r="S349" s="644"/>
      <c r="T349" s="644"/>
      <c r="U349" s="644"/>
      <c r="V349" s="645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2"/>
      <c r="B350" s="642"/>
      <c r="C350" s="642"/>
      <c r="D350" s="642"/>
      <c r="E350" s="642"/>
      <c r="F350" s="642"/>
      <c r="G350" s="642"/>
      <c r="H350" s="642"/>
      <c r="I350" s="642"/>
      <c r="J350" s="642"/>
      <c r="K350" s="642"/>
      <c r="L350" s="642"/>
      <c r="M350" s="642"/>
      <c r="N350" s="642"/>
      <c r="O350" s="647"/>
      <c r="P350" s="643" t="s">
        <v>69</v>
      </c>
      <c r="Q350" s="644"/>
      <c r="R350" s="644"/>
      <c r="S350" s="644"/>
      <c r="T350" s="644"/>
      <c r="U350" s="644"/>
      <c r="V350" s="645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41" t="s">
        <v>572</v>
      </c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42"/>
      <c r="P351" s="642"/>
      <c r="Q351" s="642"/>
      <c r="R351" s="642"/>
      <c r="S351" s="642"/>
      <c r="T351" s="642"/>
      <c r="U351" s="642"/>
      <c r="V351" s="642"/>
      <c r="W351" s="642"/>
      <c r="X351" s="642"/>
      <c r="Y351" s="642"/>
      <c r="Z351" s="642"/>
      <c r="AA351" s="627"/>
      <c r="AB351" s="627"/>
      <c r="AC351" s="627"/>
    </row>
    <row r="352" spans="1:68" ht="14.25" hidden="1" customHeight="1" x14ac:dyDescent="0.25">
      <c r="A352" s="661" t="s">
        <v>62</v>
      </c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42"/>
      <c r="P352" s="642"/>
      <c r="Q352" s="642"/>
      <c r="R352" s="642"/>
      <c r="S352" s="642"/>
      <c r="T352" s="642"/>
      <c r="U352" s="642"/>
      <c r="V352" s="642"/>
      <c r="W352" s="642"/>
      <c r="X352" s="642"/>
      <c r="Y352" s="642"/>
      <c r="Z352" s="642"/>
      <c r="AA352" s="628"/>
      <c r="AB352" s="628"/>
      <c r="AC352" s="628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71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9"/>
      <c r="R353" s="649"/>
      <c r="S353" s="649"/>
      <c r="T353" s="650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6"/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7"/>
      <c r="P354" s="643" t="s">
        <v>69</v>
      </c>
      <c r="Q354" s="644"/>
      <c r="R354" s="644"/>
      <c r="S354" s="644"/>
      <c r="T354" s="644"/>
      <c r="U354" s="644"/>
      <c r="V354" s="645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2"/>
      <c r="B355" s="642"/>
      <c r="C355" s="642"/>
      <c r="D355" s="642"/>
      <c r="E355" s="642"/>
      <c r="F355" s="642"/>
      <c r="G355" s="642"/>
      <c r="H355" s="642"/>
      <c r="I355" s="642"/>
      <c r="J355" s="642"/>
      <c r="K355" s="642"/>
      <c r="L355" s="642"/>
      <c r="M355" s="642"/>
      <c r="N355" s="642"/>
      <c r="O355" s="647"/>
      <c r="P355" s="643" t="s">
        <v>69</v>
      </c>
      <c r="Q355" s="644"/>
      <c r="R355" s="644"/>
      <c r="S355" s="644"/>
      <c r="T355" s="644"/>
      <c r="U355" s="644"/>
      <c r="V355" s="645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61" t="s">
        <v>71</v>
      </c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42"/>
      <c r="P356" s="642"/>
      <c r="Q356" s="642"/>
      <c r="R356" s="642"/>
      <c r="S356" s="642"/>
      <c r="T356" s="642"/>
      <c r="U356" s="642"/>
      <c r="V356" s="642"/>
      <c r="W356" s="642"/>
      <c r="X356" s="642"/>
      <c r="Y356" s="642"/>
      <c r="Z356" s="642"/>
      <c r="AA356" s="628"/>
      <c r="AB356" s="628"/>
      <c r="AC356" s="628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4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9"/>
      <c r="R357" s="649"/>
      <c r="S357" s="649"/>
      <c r="T357" s="650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6"/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7"/>
      <c r="P358" s="643" t="s">
        <v>69</v>
      </c>
      <c r="Q358" s="644"/>
      <c r="R358" s="644"/>
      <c r="S358" s="644"/>
      <c r="T358" s="644"/>
      <c r="U358" s="644"/>
      <c r="V358" s="645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2"/>
      <c r="B359" s="642"/>
      <c r="C359" s="642"/>
      <c r="D359" s="642"/>
      <c r="E359" s="642"/>
      <c r="F359" s="642"/>
      <c r="G359" s="642"/>
      <c r="H359" s="642"/>
      <c r="I359" s="642"/>
      <c r="J359" s="642"/>
      <c r="K359" s="642"/>
      <c r="L359" s="642"/>
      <c r="M359" s="642"/>
      <c r="N359" s="642"/>
      <c r="O359" s="647"/>
      <c r="P359" s="643" t="s">
        <v>69</v>
      </c>
      <c r="Q359" s="644"/>
      <c r="R359" s="644"/>
      <c r="S359" s="644"/>
      <c r="T359" s="644"/>
      <c r="U359" s="644"/>
      <c r="V359" s="645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41" t="s">
        <v>579</v>
      </c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42"/>
      <c r="P360" s="642"/>
      <c r="Q360" s="642"/>
      <c r="R360" s="642"/>
      <c r="S360" s="642"/>
      <c r="T360" s="642"/>
      <c r="U360" s="642"/>
      <c r="V360" s="642"/>
      <c r="W360" s="642"/>
      <c r="X360" s="642"/>
      <c r="Y360" s="642"/>
      <c r="Z360" s="642"/>
      <c r="AA360" s="627"/>
      <c r="AB360" s="627"/>
      <c r="AC360" s="627"/>
    </row>
    <row r="361" spans="1:68" ht="14.25" hidden="1" customHeight="1" x14ac:dyDescent="0.25">
      <c r="A361" s="661" t="s">
        <v>119</v>
      </c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42"/>
      <c r="P361" s="642"/>
      <c r="Q361" s="642"/>
      <c r="R361" s="642"/>
      <c r="S361" s="642"/>
      <c r="T361" s="642"/>
      <c r="U361" s="642"/>
      <c r="V361" s="642"/>
      <c r="W361" s="642"/>
      <c r="X361" s="642"/>
      <c r="Y361" s="642"/>
      <c r="Z361" s="642"/>
      <c r="AA361" s="628"/>
      <c r="AB361" s="628"/>
      <c r="AC361" s="628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9"/>
      <c r="R362" s="649"/>
      <c r="S362" s="649"/>
      <c r="T362" s="650"/>
      <c r="U362" s="34"/>
      <c r="V362" s="34"/>
      <c r="W362" s="35" t="s">
        <v>67</v>
      </c>
      <c r="X362" s="633">
        <v>120</v>
      </c>
      <c r="Y362" s="634">
        <f>IFERROR(IF(X362="",0,CEILING((X362/$H362),1)*$H362),"")</f>
        <v>124.8</v>
      </c>
      <c r="Z362" s="36">
        <f>IFERROR(IF(Y362=0,"",ROUNDUP(Y362/H362,0)*0.01898),"")</f>
        <v>0.30368000000000001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126.30769230769232</v>
      </c>
      <c r="BN362" s="64">
        <f>IFERROR(Y362*I362/H362,"0")</f>
        <v>131.36000000000001</v>
      </c>
      <c r="BO362" s="64">
        <f>IFERROR(1/J362*(X362/H362),"0")</f>
        <v>0.24038461538461539</v>
      </c>
      <c r="BP362" s="64">
        <f>IFERROR(1/J362*(Y362/H362),"0")</f>
        <v>0.25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9"/>
      <c r="R363" s="649"/>
      <c r="S363" s="649"/>
      <c r="T363" s="650"/>
      <c r="U363" s="34"/>
      <c r="V363" s="34"/>
      <c r="W363" s="35" t="s">
        <v>67</v>
      </c>
      <c r="X363" s="633">
        <v>80</v>
      </c>
      <c r="Y363" s="634">
        <f>IFERROR(IF(X363="",0,CEILING((X363/$H363),1)*$H363),"")</f>
        <v>85.8</v>
      </c>
      <c r="Z363" s="36">
        <f>IFERROR(IF(Y363=0,"",ROUNDUP(Y363/H363,0)*0.01898),"")</f>
        <v>0.20877999999999999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84.205128205128219</v>
      </c>
      <c r="BN363" s="64">
        <f>IFERROR(Y363*I363/H363,"0")</f>
        <v>90.31</v>
      </c>
      <c r="BO363" s="64">
        <f>IFERROR(1/J363*(X363/H363),"0")</f>
        <v>0.16025641025641027</v>
      </c>
      <c r="BP363" s="64">
        <f>IFERROR(1/J363*(Y363/H363),"0")</f>
        <v>0.171875</v>
      </c>
    </row>
    <row r="364" spans="1:68" ht="27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9"/>
      <c r="R364" s="649"/>
      <c r="S364" s="649"/>
      <c r="T364" s="650"/>
      <c r="U364" s="34"/>
      <c r="V364" s="34"/>
      <c r="W364" s="35" t="s">
        <v>67</v>
      </c>
      <c r="X364" s="633">
        <v>29</v>
      </c>
      <c r="Y364" s="634">
        <f>IFERROR(IF(X364="",0,CEILING((X364/$H364),1)*$H364),"")</f>
        <v>31.2</v>
      </c>
      <c r="Z364" s="36">
        <f>IFERROR(IF(Y364=0,"",ROUNDUP(Y364/H364,0)*0.01898),"")</f>
        <v>7.5920000000000001E-2</v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30.524358974358979</v>
      </c>
      <c r="BN364" s="64">
        <f>IFERROR(Y364*I364/H364,"0")</f>
        <v>32.840000000000003</v>
      </c>
      <c r="BO364" s="64">
        <f>IFERROR(1/J364*(X364/H364),"0")</f>
        <v>5.809294871794872E-2</v>
      </c>
      <c r="BP364" s="64">
        <f>IFERROR(1/J364*(Y364/H364),"0")</f>
        <v>6.25E-2</v>
      </c>
    </row>
    <row r="365" spans="1:68" x14ac:dyDescent="0.2">
      <c r="A365" s="646"/>
      <c r="B365" s="642"/>
      <c r="C365" s="642"/>
      <c r="D365" s="642"/>
      <c r="E365" s="642"/>
      <c r="F365" s="642"/>
      <c r="G365" s="642"/>
      <c r="H365" s="642"/>
      <c r="I365" s="642"/>
      <c r="J365" s="642"/>
      <c r="K365" s="642"/>
      <c r="L365" s="642"/>
      <c r="M365" s="642"/>
      <c r="N365" s="642"/>
      <c r="O365" s="647"/>
      <c r="P365" s="643" t="s">
        <v>69</v>
      </c>
      <c r="Q365" s="644"/>
      <c r="R365" s="644"/>
      <c r="S365" s="644"/>
      <c r="T365" s="644"/>
      <c r="U365" s="644"/>
      <c r="V365" s="645"/>
      <c r="W365" s="37" t="s">
        <v>70</v>
      </c>
      <c r="X365" s="635">
        <f>IFERROR(X362/H362,"0")+IFERROR(X363/H363,"0")+IFERROR(X364/H364,"0")</f>
        <v>29.358974358974361</v>
      </c>
      <c r="Y365" s="635">
        <f>IFERROR(Y362/H362,"0")+IFERROR(Y363/H363,"0")+IFERROR(Y364/H364,"0")</f>
        <v>31</v>
      </c>
      <c r="Z365" s="635">
        <f>IFERROR(IF(Z362="",0,Z362),"0")+IFERROR(IF(Z363="",0,Z363),"0")+IFERROR(IF(Z364="",0,Z364),"0")</f>
        <v>0.58838000000000001</v>
      </c>
      <c r="AA365" s="636"/>
      <c r="AB365" s="636"/>
      <c r="AC365" s="636"/>
    </row>
    <row r="366" spans="1:68" x14ac:dyDescent="0.2">
      <c r="A366" s="642"/>
      <c r="B366" s="642"/>
      <c r="C366" s="642"/>
      <c r="D366" s="642"/>
      <c r="E366" s="642"/>
      <c r="F366" s="642"/>
      <c r="G366" s="642"/>
      <c r="H366" s="642"/>
      <c r="I366" s="642"/>
      <c r="J366" s="642"/>
      <c r="K366" s="642"/>
      <c r="L366" s="642"/>
      <c r="M366" s="642"/>
      <c r="N366" s="642"/>
      <c r="O366" s="647"/>
      <c r="P366" s="643" t="s">
        <v>69</v>
      </c>
      <c r="Q366" s="644"/>
      <c r="R366" s="644"/>
      <c r="S366" s="644"/>
      <c r="T366" s="644"/>
      <c r="U366" s="644"/>
      <c r="V366" s="645"/>
      <c r="W366" s="37" t="s">
        <v>67</v>
      </c>
      <c r="X366" s="635">
        <f>IFERROR(SUM(X362:X364),"0")</f>
        <v>229</v>
      </c>
      <c r="Y366" s="635">
        <f>IFERROR(SUM(Y362:Y364),"0")</f>
        <v>241.79999999999998</v>
      </c>
      <c r="Z366" s="37"/>
      <c r="AA366" s="636"/>
      <c r="AB366" s="636"/>
      <c r="AC366" s="636"/>
    </row>
    <row r="367" spans="1:68" ht="16.5" hidden="1" customHeight="1" x14ac:dyDescent="0.25">
      <c r="A367" s="641" t="s">
        <v>588</v>
      </c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42"/>
      <c r="P367" s="642"/>
      <c r="Q367" s="642"/>
      <c r="R367" s="642"/>
      <c r="S367" s="642"/>
      <c r="T367" s="642"/>
      <c r="U367" s="642"/>
      <c r="V367" s="642"/>
      <c r="W367" s="642"/>
      <c r="X367" s="642"/>
      <c r="Y367" s="642"/>
      <c r="Z367" s="642"/>
      <c r="AA367" s="627"/>
      <c r="AB367" s="627"/>
      <c r="AC367" s="627"/>
    </row>
    <row r="368" spans="1:68" ht="14.25" hidden="1" customHeight="1" x14ac:dyDescent="0.25">
      <c r="A368" s="661" t="s">
        <v>119</v>
      </c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42"/>
      <c r="P368" s="642"/>
      <c r="Q368" s="642"/>
      <c r="R368" s="642"/>
      <c r="S368" s="642"/>
      <c r="T368" s="642"/>
      <c r="U368" s="642"/>
      <c r="V368" s="642"/>
      <c r="W368" s="642"/>
      <c r="X368" s="642"/>
      <c r="Y368" s="642"/>
      <c r="Z368" s="642"/>
      <c r="AA368" s="628"/>
      <c r="AB368" s="628"/>
      <c r="AC368" s="628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4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9"/>
      <c r="R369" s="649"/>
      <c r="S369" s="649"/>
      <c r="T369" s="650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9"/>
      <c r="R370" s="649"/>
      <c r="S370" s="649"/>
      <c r="T370" s="650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9"/>
      <c r="R371" s="649"/>
      <c r="S371" s="649"/>
      <c r="T371" s="650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9"/>
      <c r="R372" s="649"/>
      <c r="S372" s="649"/>
      <c r="T372" s="650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9"/>
      <c r="R373" s="649"/>
      <c r="S373" s="649"/>
      <c r="T373" s="650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2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9"/>
      <c r="R374" s="649"/>
      <c r="S374" s="649"/>
      <c r="T374" s="650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9"/>
      <c r="R375" s="649"/>
      <c r="S375" s="649"/>
      <c r="T375" s="650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6"/>
      <c r="B376" s="642"/>
      <c r="C376" s="642"/>
      <c r="D376" s="642"/>
      <c r="E376" s="642"/>
      <c r="F376" s="642"/>
      <c r="G376" s="642"/>
      <c r="H376" s="642"/>
      <c r="I376" s="642"/>
      <c r="J376" s="642"/>
      <c r="K376" s="642"/>
      <c r="L376" s="642"/>
      <c r="M376" s="642"/>
      <c r="N376" s="642"/>
      <c r="O376" s="647"/>
      <c r="P376" s="643" t="s">
        <v>69</v>
      </c>
      <c r="Q376" s="644"/>
      <c r="R376" s="644"/>
      <c r="S376" s="644"/>
      <c r="T376" s="644"/>
      <c r="U376" s="644"/>
      <c r="V376" s="645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2"/>
      <c r="B377" s="642"/>
      <c r="C377" s="642"/>
      <c r="D377" s="642"/>
      <c r="E377" s="642"/>
      <c r="F377" s="642"/>
      <c r="G377" s="642"/>
      <c r="H377" s="642"/>
      <c r="I377" s="642"/>
      <c r="J377" s="642"/>
      <c r="K377" s="642"/>
      <c r="L377" s="642"/>
      <c r="M377" s="642"/>
      <c r="N377" s="642"/>
      <c r="O377" s="647"/>
      <c r="P377" s="643" t="s">
        <v>69</v>
      </c>
      <c r="Q377" s="644"/>
      <c r="R377" s="644"/>
      <c r="S377" s="644"/>
      <c r="T377" s="644"/>
      <c r="U377" s="644"/>
      <c r="V377" s="645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61" t="s">
        <v>62</v>
      </c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42"/>
      <c r="P378" s="642"/>
      <c r="Q378" s="642"/>
      <c r="R378" s="642"/>
      <c r="S378" s="642"/>
      <c r="T378" s="642"/>
      <c r="U378" s="642"/>
      <c r="V378" s="642"/>
      <c r="W378" s="642"/>
      <c r="X378" s="642"/>
      <c r="Y378" s="642"/>
      <c r="Z378" s="642"/>
      <c r="AA378" s="628"/>
      <c r="AB378" s="628"/>
      <c r="AC378" s="628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9"/>
      <c r="R379" s="649"/>
      <c r="S379" s="649"/>
      <c r="T379" s="650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9"/>
      <c r="R380" s="649"/>
      <c r="S380" s="649"/>
      <c r="T380" s="650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9"/>
      <c r="R381" s="649"/>
      <c r="S381" s="649"/>
      <c r="T381" s="650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9"/>
      <c r="R382" s="649"/>
      <c r="S382" s="649"/>
      <c r="T382" s="650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9"/>
      <c r="R383" s="649"/>
      <c r="S383" s="649"/>
      <c r="T383" s="650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9"/>
      <c r="R384" s="649"/>
      <c r="S384" s="649"/>
      <c r="T384" s="650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9"/>
      <c r="R385" s="649"/>
      <c r="S385" s="649"/>
      <c r="T385" s="650"/>
      <c r="U385" s="34"/>
      <c r="V385" s="34"/>
      <c r="W385" s="35" t="s">
        <v>67</v>
      </c>
      <c r="X385" s="633">
        <v>18</v>
      </c>
      <c r="Y385" s="634">
        <f t="shared" si="56"/>
        <v>18</v>
      </c>
      <c r="Z385" s="36">
        <f>IFERROR(IF(Y385=0,"",ROUNDUP(Y385/H385,0)*0.00651),"")</f>
        <v>6.5100000000000005E-2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20.279999999999998</v>
      </c>
      <c r="BN385" s="64">
        <f t="shared" si="58"/>
        <v>20.279999999999998</v>
      </c>
      <c r="BO385" s="64">
        <f t="shared" si="59"/>
        <v>5.4945054945054951E-2</v>
      </c>
      <c r="BP385" s="64">
        <f t="shared" si="60"/>
        <v>5.4945054945054951E-2</v>
      </c>
    </row>
    <row r="386" spans="1:68" x14ac:dyDescent="0.2">
      <c r="A386" s="646"/>
      <c r="B386" s="642"/>
      <c r="C386" s="642"/>
      <c r="D386" s="642"/>
      <c r="E386" s="642"/>
      <c r="F386" s="642"/>
      <c r="G386" s="642"/>
      <c r="H386" s="642"/>
      <c r="I386" s="642"/>
      <c r="J386" s="642"/>
      <c r="K386" s="642"/>
      <c r="L386" s="642"/>
      <c r="M386" s="642"/>
      <c r="N386" s="642"/>
      <c r="O386" s="647"/>
      <c r="P386" s="643" t="s">
        <v>69</v>
      </c>
      <c r="Q386" s="644"/>
      <c r="R386" s="644"/>
      <c r="S386" s="644"/>
      <c r="T386" s="644"/>
      <c r="U386" s="644"/>
      <c r="V386" s="645"/>
      <c r="W386" s="37" t="s">
        <v>70</v>
      </c>
      <c r="X386" s="635">
        <f>IFERROR(X379/H379,"0")+IFERROR(X380/H380,"0")+IFERROR(X381/H381,"0")+IFERROR(X382/H382,"0")+IFERROR(X383/H383,"0")+IFERROR(X384/H384,"0")+IFERROR(X385/H385,"0")</f>
        <v>10</v>
      </c>
      <c r="Y386" s="635">
        <f>IFERROR(Y379/H379,"0")+IFERROR(Y380/H380,"0")+IFERROR(Y381/H381,"0")+IFERROR(Y382/H382,"0")+IFERROR(Y383/H383,"0")+IFERROR(Y384/H384,"0")+IFERROR(Y385/H385,"0")</f>
        <v>10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6.5100000000000005E-2</v>
      </c>
      <c r="AA386" s="636"/>
      <c r="AB386" s="636"/>
      <c r="AC386" s="636"/>
    </row>
    <row r="387" spans="1:68" x14ac:dyDescent="0.2">
      <c r="A387" s="642"/>
      <c r="B387" s="642"/>
      <c r="C387" s="642"/>
      <c r="D387" s="642"/>
      <c r="E387" s="642"/>
      <c r="F387" s="642"/>
      <c r="G387" s="642"/>
      <c r="H387" s="642"/>
      <c r="I387" s="642"/>
      <c r="J387" s="642"/>
      <c r="K387" s="642"/>
      <c r="L387" s="642"/>
      <c r="M387" s="642"/>
      <c r="N387" s="642"/>
      <c r="O387" s="647"/>
      <c r="P387" s="643" t="s">
        <v>69</v>
      </c>
      <c r="Q387" s="644"/>
      <c r="R387" s="644"/>
      <c r="S387" s="644"/>
      <c r="T387" s="644"/>
      <c r="U387" s="644"/>
      <c r="V387" s="645"/>
      <c r="W387" s="37" t="s">
        <v>67</v>
      </c>
      <c r="X387" s="635">
        <f>IFERROR(SUM(X379:X385),"0")</f>
        <v>18</v>
      </c>
      <c r="Y387" s="635">
        <f>IFERROR(SUM(Y379:Y385),"0")</f>
        <v>18</v>
      </c>
      <c r="Z387" s="37"/>
      <c r="AA387" s="636"/>
      <c r="AB387" s="636"/>
      <c r="AC387" s="636"/>
    </row>
    <row r="388" spans="1:68" ht="14.25" hidden="1" customHeight="1" x14ac:dyDescent="0.25">
      <c r="A388" s="661" t="s">
        <v>71</v>
      </c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2"/>
      <c r="P388" s="642"/>
      <c r="Q388" s="642"/>
      <c r="R388" s="642"/>
      <c r="S388" s="642"/>
      <c r="T388" s="642"/>
      <c r="U388" s="642"/>
      <c r="V388" s="642"/>
      <c r="W388" s="642"/>
      <c r="X388" s="642"/>
      <c r="Y388" s="642"/>
      <c r="Z388" s="642"/>
      <c r="AA388" s="628"/>
      <c r="AB388" s="628"/>
      <c r="AC388" s="628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9"/>
      <c r="R389" s="649"/>
      <c r="S389" s="649"/>
      <c r="T389" s="650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9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9"/>
      <c r="R390" s="649"/>
      <c r="S390" s="649"/>
      <c r="T390" s="650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9"/>
      <c r="R391" s="649"/>
      <c r="S391" s="649"/>
      <c r="T391" s="650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9"/>
      <c r="R392" s="649"/>
      <c r="S392" s="649"/>
      <c r="T392" s="650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6"/>
      <c r="B393" s="642"/>
      <c r="C393" s="642"/>
      <c r="D393" s="642"/>
      <c r="E393" s="642"/>
      <c r="F393" s="642"/>
      <c r="G393" s="642"/>
      <c r="H393" s="642"/>
      <c r="I393" s="642"/>
      <c r="J393" s="642"/>
      <c r="K393" s="642"/>
      <c r="L393" s="642"/>
      <c r="M393" s="642"/>
      <c r="N393" s="642"/>
      <c r="O393" s="647"/>
      <c r="P393" s="643" t="s">
        <v>69</v>
      </c>
      <c r="Q393" s="644"/>
      <c r="R393" s="644"/>
      <c r="S393" s="644"/>
      <c r="T393" s="644"/>
      <c r="U393" s="644"/>
      <c r="V393" s="645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2"/>
      <c r="B394" s="642"/>
      <c r="C394" s="642"/>
      <c r="D394" s="642"/>
      <c r="E394" s="642"/>
      <c r="F394" s="642"/>
      <c r="G394" s="642"/>
      <c r="H394" s="642"/>
      <c r="I394" s="642"/>
      <c r="J394" s="642"/>
      <c r="K394" s="642"/>
      <c r="L394" s="642"/>
      <c r="M394" s="642"/>
      <c r="N394" s="642"/>
      <c r="O394" s="647"/>
      <c r="P394" s="643" t="s">
        <v>69</v>
      </c>
      <c r="Q394" s="644"/>
      <c r="R394" s="644"/>
      <c r="S394" s="644"/>
      <c r="T394" s="644"/>
      <c r="U394" s="644"/>
      <c r="V394" s="645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61" t="s">
        <v>172</v>
      </c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42"/>
      <c r="P395" s="642"/>
      <c r="Q395" s="642"/>
      <c r="R395" s="642"/>
      <c r="S395" s="642"/>
      <c r="T395" s="642"/>
      <c r="U395" s="642"/>
      <c r="V395" s="642"/>
      <c r="W395" s="642"/>
      <c r="X395" s="642"/>
      <c r="Y395" s="642"/>
      <c r="Z395" s="642"/>
      <c r="AA395" s="628"/>
      <c r="AB395" s="628"/>
      <c r="AC395" s="628"/>
    </row>
    <row r="396" spans="1:68" ht="27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9"/>
      <c r="R396" s="649"/>
      <c r="S396" s="649"/>
      <c r="T396" s="650"/>
      <c r="U396" s="34"/>
      <c r="V396" s="34"/>
      <c r="W396" s="35" t="s">
        <v>67</v>
      </c>
      <c r="X396" s="633">
        <v>82</v>
      </c>
      <c r="Y396" s="634">
        <f>IFERROR(IF(X396="",0,CEILING((X396/$H396),1)*$H396),"")</f>
        <v>84</v>
      </c>
      <c r="Z396" s="36">
        <f>IFERROR(IF(Y396=0,"",ROUNDUP(Y396/H396,0)*0.01898),"")</f>
        <v>0.1898</v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86.822380952380954</v>
      </c>
      <c r="BN396" s="64">
        <f>IFERROR(Y396*I396/H396,"0")</f>
        <v>88.94</v>
      </c>
      <c r="BO396" s="64">
        <f>IFERROR(1/J396*(X396/H396),"0")</f>
        <v>0.15252976190476189</v>
      </c>
      <c r="BP396" s="64">
        <f>IFERROR(1/J396*(Y396/H396),"0")</f>
        <v>0.15625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9"/>
      <c r="R397" s="649"/>
      <c r="S397" s="649"/>
      <c r="T397" s="650"/>
      <c r="U397" s="34"/>
      <c r="V397" s="34"/>
      <c r="W397" s="35" t="s">
        <v>67</v>
      </c>
      <c r="X397" s="633">
        <v>80</v>
      </c>
      <c r="Y397" s="634">
        <f>IFERROR(IF(X397="",0,CEILING((X397/$H397),1)*$H397),"")</f>
        <v>85.8</v>
      </c>
      <c r="Z397" s="36">
        <f>IFERROR(IF(Y397=0,"",ROUNDUP(Y397/H397,0)*0.01898),"")</f>
        <v>0.20877999999999999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85.066666666666663</v>
      </c>
      <c r="BN397" s="64">
        <f>IFERROR(Y397*I397/H397,"0")</f>
        <v>91.234000000000009</v>
      </c>
      <c r="BO397" s="64">
        <f>IFERROR(1/J397*(X397/H397),"0")</f>
        <v>0.16025641025641027</v>
      </c>
      <c r="BP397" s="64">
        <f>IFERROR(1/J397*(Y397/H397),"0")</f>
        <v>0.171875</v>
      </c>
    </row>
    <row r="398" spans="1:68" ht="27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9"/>
      <c r="R398" s="649"/>
      <c r="S398" s="649"/>
      <c r="T398" s="650"/>
      <c r="U398" s="34"/>
      <c r="V398" s="34"/>
      <c r="W398" s="35" t="s">
        <v>67</v>
      </c>
      <c r="X398" s="633">
        <v>15</v>
      </c>
      <c r="Y398" s="634">
        <f>IFERROR(IF(X398="",0,CEILING((X398/$H398),1)*$H398),"")</f>
        <v>16.8</v>
      </c>
      <c r="Z398" s="36">
        <f>IFERROR(IF(Y398=0,"",ROUNDUP(Y398/H398,0)*0.01898),"")</f>
        <v>3.7960000000000001E-2</v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15.882142857142856</v>
      </c>
      <c r="BN398" s="64">
        <f>IFERROR(Y398*I398/H398,"0")</f>
        <v>17.788</v>
      </c>
      <c r="BO398" s="64">
        <f>IFERROR(1/J398*(X398/H398),"0")</f>
        <v>2.7901785714285712E-2</v>
      </c>
      <c r="BP398" s="64">
        <f>IFERROR(1/J398*(Y398/H398),"0")</f>
        <v>3.125E-2</v>
      </c>
    </row>
    <row r="399" spans="1:68" x14ac:dyDescent="0.2">
      <c r="A399" s="646"/>
      <c r="B399" s="642"/>
      <c r="C399" s="642"/>
      <c r="D399" s="642"/>
      <c r="E399" s="642"/>
      <c r="F399" s="642"/>
      <c r="G399" s="642"/>
      <c r="H399" s="642"/>
      <c r="I399" s="642"/>
      <c r="J399" s="642"/>
      <c r="K399" s="642"/>
      <c r="L399" s="642"/>
      <c r="M399" s="642"/>
      <c r="N399" s="642"/>
      <c r="O399" s="647"/>
      <c r="P399" s="643" t="s">
        <v>69</v>
      </c>
      <c r="Q399" s="644"/>
      <c r="R399" s="644"/>
      <c r="S399" s="644"/>
      <c r="T399" s="644"/>
      <c r="U399" s="644"/>
      <c r="V399" s="645"/>
      <c r="W399" s="37" t="s">
        <v>70</v>
      </c>
      <c r="X399" s="635">
        <f>IFERROR(X396/H396,"0")+IFERROR(X397/H397,"0")+IFERROR(X398/H398,"0")</f>
        <v>21.804029304029303</v>
      </c>
      <c r="Y399" s="635">
        <f>IFERROR(Y396/H396,"0")+IFERROR(Y397/H397,"0")+IFERROR(Y398/H398,"0")</f>
        <v>23</v>
      </c>
      <c r="Z399" s="635">
        <f>IFERROR(IF(Z396="",0,Z396),"0")+IFERROR(IF(Z397="",0,Z397),"0")+IFERROR(IF(Z398="",0,Z398),"0")</f>
        <v>0.43653999999999998</v>
      </c>
      <c r="AA399" s="636"/>
      <c r="AB399" s="636"/>
      <c r="AC399" s="636"/>
    </row>
    <row r="400" spans="1:68" x14ac:dyDescent="0.2">
      <c r="A400" s="642"/>
      <c r="B400" s="642"/>
      <c r="C400" s="642"/>
      <c r="D400" s="642"/>
      <c r="E400" s="642"/>
      <c r="F400" s="642"/>
      <c r="G400" s="642"/>
      <c r="H400" s="642"/>
      <c r="I400" s="642"/>
      <c r="J400" s="642"/>
      <c r="K400" s="642"/>
      <c r="L400" s="642"/>
      <c r="M400" s="642"/>
      <c r="N400" s="642"/>
      <c r="O400" s="647"/>
      <c r="P400" s="643" t="s">
        <v>69</v>
      </c>
      <c r="Q400" s="644"/>
      <c r="R400" s="644"/>
      <c r="S400" s="644"/>
      <c r="T400" s="644"/>
      <c r="U400" s="644"/>
      <c r="V400" s="645"/>
      <c r="W400" s="37" t="s">
        <v>67</v>
      </c>
      <c r="X400" s="635">
        <f>IFERROR(SUM(X396:X398),"0")</f>
        <v>177</v>
      </c>
      <c r="Y400" s="635">
        <f>IFERROR(SUM(Y396:Y398),"0")</f>
        <v>186.60000000000002</v>
      </c>
      <c r="Z400" s="37"/>
      <c r="AA400" s="636"/>
      <c r="AB400" s="636"/>
      <c r="AC400" s="636"/>
    </row>
    <row r="401" spans="1:68" ht="14.25" hidden="1" customHeight="1" x14ac:dyDescent="0.25">
      <c r="A401" s="661" t="s">
        <v>89</v>
      </c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42"/>
      <c r="P401" s="642"/>
      <c r="Q401" s="642"/>
      <c r="R401" s="642"/>
      <c r="S401" s="642"/>
      <c r="T401" s="642"/>
      <c r="U401" s="642"/>
      <c r="V401" s="642"/>
      <c r="W401" s="642"/>
      <c r="X401" s="642"/>
      <c r="Y401" s="642"/>
      <c r="Z401" s="642"/>
      <c r="AA401" s="628"/>
      <c r="AB401" s="628"/>
      <c r="AC401" s="628"/>
    </row>
    <row r="402" spans="1:68" ht="27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9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9"/>
      <c r="R402" s="649"/>
      <c r="S402" s="649"/>
      <c r="T402" s="650"/>
      <c r="U402" s="34"/>
      <c r="V402" s="34"/>
      <c r="W402" s="35" t="s">
        <v>67</v>
      </c>
      <c r="X402" s="633">
        <v>40</v>
      </c>
      <c r="Y402" s="634">
        <f>IFERROR(IF(X402="",0,CEILING((X402/$H402),1)*$H402),"")</f>
        <v>42.56</v>
      </c>
      <c r="Z402" s="36">
        <f>IFERROR(IF(Y402=0,"",ROUNDUP(Y402/H402,0)*0.00902),"")</f>
        <v>0.12628</v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43.55263157894737</v>
      </c>
      <c r="BN402" s="64">
        <f>IFERROR(Y402*I402/H402,"0")</f>
        <v>46.34</v>
      </c>
      <c r="BO402" s="64">
        <f>IFERROR(1/J402*(X402/H402),"0")</f>
        <v>9.9681020733652315E-2</v>
      </c>
      <c r="BP402" s="64">
        <f>IFERROR(1/J402*(Y402/H402),"0")</f>
        <v>0.10606060606060606</v>
      </c>
    </row>
    <row r="403" spans="1:68" ht="27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9"/>
      <c r="R403" s="649"/>
      <c r="S403" s="649"/>
      <c r="T403" s="650"/>
      <c r="U403" s="34"/>
      <c r="V403" s="34"/>
      <c r="W403" s="35" t="s">
        <v>67</v>
      </c>
      <c r="X403" s="633">
        <v>30</v>
      </c>
      <c r="Y403" s="634">
        <f>IFERROR(IF(X403="",0,CEILING((X403/$H403),1)*$H403),"")</f>
        <v>30.4</v>
      </c>
      <c r="Z403" s="36">
        <f>IFERROR(IF(Y403=0,"",ROUNDUP(Y403/H403,0)*0.00902),"")</f>
        <v>9.0200000000000002E-2</v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32.26973684210526</v>
      </c>
      <c r="BN403" s="64">
        <f>IFERROR(Y403*I403/H403,"0")</f>
        <v>32.700000000000003</v>
      </c>
      <c r="BO403" s="64">
        <f>IFERROR(1/J403*(X403/H403),"0")</f>
        <v>7.4760765550239236E-2</v>
      </c>
      <c r="BP403" s="64">
        <f>IFERROR(1/J403*(Y403/H403),"0")</f>
        <v>7.575757575757576E-2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9"/>
      <c r="R404" s="649"/>
      <c r="S404" s="649"/>
      <c r="T404" s="650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9"/>
      <c r="R405" s="649"/>
      <c r="S405" s="649"/>
      <c r="T405" s="650"/>
      <c r="U405" s="34"/>
      <c r="V405" s="34"/>
      <c r="W405" s="35" t="s">
        <v>67</v>
      </c>
      <c r="X405" s="633">
        <v>15</v>
      </c>
      <c r="Y405" s="634">
        <f>IFERROR(IF(X405="",0,CEILING((X405/$H405),1)*$H405),"")</f>
        <v>15.299999999999999</v>
      </c>
      <c r="Z405" s="36">
        <f>IFERROR(IF(Y405=0,"",ROUNDUP(Y405/H405,0)*0.00651),"")</f>
        <v>3.9059999999999997E-2</v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16.941176470588236</v>
      </c>
      <c r="BN405" s="64">
        <f>IFERROR(Y405*I405/H405,"0")</f>
        <v>17.279999999999998</v>
      </c>
      <c r="BO405" s="64">
        <f>IFERROR(1/J405*(X405/H405),"0")</f>
        <v>3.2320620555914677E-2</v>
      </c>
      <c r="BP405" s="64">
        <f>IFERROR(1/J405*(Y405/H405),"0")</f>
        <v>3.2967032967032968E-2</v>
      </c>
    </row>
    <row r="406" spans="1:68" x14ac:dyDescent="0.2">
      <c r="A406" s="646"/>
      <c r="B406" s="642"/>
      <c r="C406" s="642"/>
      <c r="D406" s="642"/>
      <c r="E406" s="642"/>
      <c r="F406" s="642"/>
      <c r="G406" s="642"/>
      <c r="H406" s="642"/>
      <c r="I406" s="642"/>
      <c r="J406" s="642"/>
      <c r="K406" s="642"/>
      <c r="L406" s="642"/>
      <c r="M406" s="642"/>
      <c r="N406" s="642"/>
      <c r="O406" s="647"/>
      <c r="P406" s="643" t="s">
        <v>69</v>
      </c>
      <c r="Q406" s="644"/>
      <c r="R406" s="644"/>
      <c r="S406" s="644"/>
      <c r="T406" s="644"/>
      <c r="U406" s="644"/>
      <c r="V406" s="645"/>
      <c r="W406" s="37" t="s">
        <v>70</v>
      </c>
      <c r="X406" s="635">
        <f>IFERROR(X402/H402,"0")+IFERROR(X403/H403,"0")+IFERROR(X404/H404,"0")+IFERROR(X405/H405,"0")</f>
        <v>28.908668730650156</v>
      </c>
      <c r="Y406" s="635">
        <f>IFERROR(Y402/H402,"0")+IFERROR(Y403/H403,"0")+IFERROR(Y404/H404,"0")+IFERROR(Y405/H405,"0")</f>
        <v>30</v>
      </c>
      <c r="Z406" s="635">
        <f>IFERROR(IF(Z402="",0,Z402),"0")+IFERROR(IF(Z403="",0,Z403),"0")+IFERROR(IF(Z404="",0,Z404),"0")+IFERROR(IF(Z405="",0,Z405),"0")</f>
        <v>0.25553999999999999</v>
      </c>
      <c r="AA406" s="636"/>
      <c r="AB406" s="636"/>
      <c r="AC406" s="636"/>
    </row>
    <row r="407" spans="1:68" x14ac:dyDescent="0.2">
      <c r="A407" s="642"/>
      <c r="B407" s="642"/>
      <c r="C407" s="642"/>
      <c r="D407" s="642"/>
      <c r="E407" s="642"/>
      <c r="F407" s="642"/>
      <c r="G407" s="642"/>
      <c r="H407" s="642"/>
      <c r="I407" s="642"/>
      <c r="J407" s="642"/>
      <c r="K407" s="642"/>
      <c r="L407" s="642"/>
      <c r="M407" s="642"/>
      <c r="N407" s="642"/>
      <c r="O407" s="647"/>
      <c r="P407" s="643" t="s">
        <v>69</v>
      </c>
      <c r="Q407" s="644"/>
      <c r="R407" s="644"/>
      <c r="S407" s="644"/>
      <c r="T407" s="644"/>
      <c r="U407" s="644"/>
      <c r="V407" s="645"/>
      <c r="W407" s="37" t="s">
        <v>67</v>
      </c>
      <c r="X407" s="635">
        <f>IFERROR(SUM(X402:X405),"0")</f>
        <v>85</v>
      </c>
      <c r="Y407" s="635">
        <f>IFERROR(SUM(Y402:Y405),"0")</f>
        <v>88.26</v>
      </c>
      <c r="Z407" s="37"/>
      <c r="AA407" s="636"/>
      <c r="AB407" s="636"/>
      <c r="AC407" s="636"/>
    </row>
    <row r="408" spans="1:68" ht="14.25" hidden="1" customHeight="1" x14ac:dyDescent="0.25">
      <c r="A408" s="661" t="s">
        <v>656</v>
      </c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42"/>
      <c r="P408" s="642"/>
      <c r="Q408" s="642"/>
      <c r="R408" s="642"/>
      <c r="S408" s="642"/>
      <c r="T408" s="642"/>
      <c r="U408" s="642"/>
      <c r="V408" s="642"/>
      <c r="W408" s="642"/>
      <c r="X408" s="642"/>
      <c r="Y408" s="642"/>
      <c r="Z408" s="642"/>
      <c r="AA408" s="628"/>
      <c r="AB408" s="628"/>
      <c r="AC408" s="628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8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9"/>
      <c r="R409" s="649"/>
      <c r="S409" s="649"/>
      <c r="T409" s="650"/>
      <c r="U409" s="34"/>
      <c r="V409" s="34"/>
      <c r="W409" s="35" t="s">
        <v>67</v>
      </c>
      <c r="X409" s="633">
        <v>112</v>
      </c>
      <c r="Y409" s="634">
        <f>IFERROR(IF(X409="",0,CEILING((X409/$H409),1)*$H409),"")</f>
        <v>112</v>
      </c>
      <c r="Z409" s="36">
        <f>IFERROR(IF(Y409=0,"",ROUNDUP(Y409/H409,0)*0.00474),"")</f>
        <v>0.26544000000000001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125.44000000000001</v>
      </c>
      <c r="BN409" s="64">
        <f>IFERROR(Y409*I409/H409,"0")</f>
        <v>125.44000000000001</v>
      </c>
      <c r="BO409" s="64">
        <f>IFERROR(1/J409*(X409/H409),"0")</f>
        <v>0.23529411764705882</v>
      </c>
      <c r="BP409" s="64">
        <f>IFERROR(1/J409*(Y409/H409),"0")</f>
        <v>0.23529411764705882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9"/>
      <c r="R410" s="649"/>
      <c r="S410" s="649"/>
      <c r="T410" s="650"/>
      <c r="U410" s="34"/>
      <c r="V410" s="34"/>
      <c r="W410" s="35" t="s">
        <v>67</v>
      </c>
      <c r="X410" s="633">
        <v>70</v>
      </c>
      <c r="Y410" s="634">
        <f>IFERROR(IF(X410="",0,CEILING((X410/$H410),1)*$H410),"")</f>
        <v>70</v>
      </c>
      <c r="Z410" s="36">
        <f>IFERROR(IF(Y410=0,"",ROUNDUP(Y410/H410,0)*0.00474),"")</f>
        <v>0.16590000000000002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78.400000000000006</v>
      </c>
      <c r="BN410" s="64">
        <f>IFERROR(Y410*I410/H410,"0")</f>
        <v>78.400000000000006</v>
      </c>
      <c r="BO410" s="64">
        <f>IFERROR(1/J410*(X410/H410),"0")</f>
        <v>0.14705882352941177</v>
      </c>
      <c r="BP410" s="64">
        <f>IFERROR(1/J410*(Y410/H410),"0")</f>
        <v>0.14705882352941177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65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9"/>
      <c r="R411" s="649"/>
      <c r="S411" s="649"/>
      <c r="T411" s="650"/>
      <c r="U411" s="34"/>
      <c r="V411" s="34"/>
      <c r="W411" s="35" t="s">
        <v>67</v>
      </c>
      <c r="X411" s="633">
        <v>80</v>
      </c>
      <c r="Y411" s="634">
        <f>IFERROR(IF(X411="",0,CEILING((X411/$H411),1)*$H411),"")</f>
        <v>80</v>
      </c>
      <c r="Z411" s="36">
        <f>IFERROR(IF(Y411=0,"",ROUNDUP(Y411/H411,0)*0.00474),"")</f>
        <v>0.18960000000000002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89.600000000000009</v>
      </c>
      <c r="BN411" s="64">
        <f>IFERROR(Y411*I411/H411,"0")</f>
        <v>89.600000000000009</v>
      </c>
      <c r="BO411" s="64">
        <f>IFERROR(1/J411*(X411/H411),"0")</f>
        <v>0.16806722689075629</v>
      </c>
      <c r="BP411" s="64">
        <f>IFERROR(1/J411*(Y411/H411),"0")</f>
        <v>0.16806722689075629</v>
      </c>
    </row>
    <row r="412" spans="1:68" x14ac:dyDescent="0.2">
      <c r="A412" s="646"/>
      <c r="B412" s="642"/>
      <c r="C412" s="642"/>
      <c r="D412" s="642"/>
      <c r="E412" s="642"/>
      <c r="F412" s="642"/>
      <c r="G412" s="642"/>
      <c r="H412" s="642"/>
      <c r="I412" s="642"/>
      <c r="J412" s="642"/>
      <c r="K412" s="642"/>
      <c r="L412" s="642"/>
      <c r="M412" s="642"/>
      <c r="N412" s="642"/>
      <c r="O412" s="647"/>
      <c r="P412" s="643" t="s">
        <v>69</v>
      </c>
      <c r="Q412" s="644"/>
      <c r="R412" s="644"/>
      <c r="S412" s="644"/>
      <c r="T412" s="644"/>
      <c r="U412" s="644"/>
      <c r="V412" s="645"/>
      <c r="W412" s="37" t="s">
        <v>70</v>
      </c>
      <c r="X412" s="635">
        <f>IFERROR(X409/H409,"0")+IFERROR(X410/H410,"0")+IFERROR(X411/H411,"0")</f>
        <v>131</v>
      </c>
      <c r="Y412" s="635">
        <f>IFERROR(Y409/H409,"0")+IFERROR(Y410/H410,"0")+IFERROR(Y411/H411,"0")</f>
        <v>131</v>
      </c>
      <c r="Z412" s="635">
        <f>IFERROR(IF(Z409="",0,Z409),"0")+IFERROR(IF(Z410="",0,Z410),"0")+IFERROR(IF(Z411="",0,Z411),"0")</f>
        <v>0.62094000000000005</v>
      </c>
      <c r="AA412" s="636"/>
      <c r="AB412" s="636"/>
      <c r="AC412" s="636"/>
    </row>
    <row r="413" spans="1:68" x14ac:dyDescent="0.2">
      <c r="A413" s="642"/>
      <c r="B413" s="642"/>
      <c r="C413" s="642"/>
      <c r="D413" s="642"/>
      <c r="E413" s="642"/>
      <c r="F413" s="642"/>
      <c r="G413" s="642"/>
      <c r="H413" s="642"/>
      <c r="I413" s="642"/>
      <c r="J413" s="642"/>
      <c r="K413" s="642"/>
      <c r="L413" s="642"/>
      <c r="M413" s="642"/>
      <c r="N413" s="642"/>
      <c r="O413" s="647"/>
      <c r="P413" s="643" t="s">
        <v>69</v>
      </c>
      <c r="Q413" s="644"/>
      <c r="R413" s="644"/>
      <c r="S413" s="644"/>
      <c r="T413" s="644"/>
      <c r="U413" s="644"/>
      <c r="V413" s="645"/>
      <c r="W413" s="37" t="s">
        <v>67</v>
      </c>
      <c r="X413" s="635">
        <f>IFERROR(SUM(X409:X411),"0")</f>
        <v>262</v>
      </c>
      <c r="Y413" s="635">
        <f>IFERROR(SUM(Y409:Y411),"0")</f>
        <v>262</v>
      </c>
      <c r="Z413" s="37"/>
      <c r="AA413" s="636"/>
      <c r="AB413" s="636"/>
      <c r="AC413" s="636"/>
    </row>
    <row r="414" spans="1:68" ht="14.25" hidden="1" customHeight="1" x14ac:dyDescent="0.25">
      <c r="A414" s="661" t="s">
        <v>665</v>
      </c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42"/>
      <c r="P414" s="642"/>
      <c r="Q414" s="642"/>
      <c r="R414" s="642"/>
      <c r="S414" s="642"/>
      <c r="T414" s="642"/>
      <c r="U414" s="642"/>
      <c r="V414" s="642"/>
      <c r="W414" s="642"/>
      <c r="X414" s="642"/>
      <c r="Y414" s="642"/>
      <c r="Z414" s="642"/>
      <c r="AA414" s="628"/>
      <c r="AB414" s="628"/>
      <c r="AC414" s="628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9"/>
      <c r="R415" s="649"/>
      <c r="S415" s="649"/>
      <c r="T415" s="650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9"/>
      <c r="R416" s="649"/>
      <c r="S416" s="649"/>
      <c r="T416" s="650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9"/>
      <c r="R417" s="649"/>
      <c r="S417" s="649"/>
      <c r="T417" s="650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6"/>
      <c r="B418" s="642"/>
      <c r="C418" s="642"/>
      <c r="D418" s="642"/>
      <c r="E418" s="642"/>
      <c r="F418" s="642"/>
      <c r="G418" s="642"/>
      <c r="H418" s="642"/>
      <c r="I418" s="642"/>
      <c r="J418" s="642"/>
      <c r="K418" s="642"/>
      <c r="L418" s="642"/>
      <c r="M418" s="642"/>
      <c r="N418" s="642"/>
      <c r="O418" s="647"/>
      <c r="P418" s="643" t="s">
        <v>69</v>
      </c>
      <c r="Q418" s="644"/>
      <c r="R418" s="644"/>
      <c r="S418" s="644"/>
      <c r="T418" s="644"/>
      <c r="U418" s="644"/>
      <c r="V418" s="645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2"/>
      <c r="B419" s="642"/>
      <c r="C419" s="642"/>
      <c r="D419" s="642"/>
      <c r="E419" s="642"/>
      <c r="F419" s="642"/>
      <c r="G419" s="642"/>
      <c r="H419" s="642"/>
      <c r="I419" s="642"/>
      <c r="J419" s="642"/>
      <c r="K419" s="642"/>
      <c r="L419" s="642"/>
      <c r="M419" s="642"/>
      <c r="N419" s="642"/>
      <c r="O419" s="647"/>
      <c r="P419" s="643" t="s">
        <v>69</v>
      </c>
      <c r="Q419" s="644"/>
      <c r="R419" s="644"/>
      <c r="S419" s="644"/>
      <c r="T419" s="644"/>
      <c r="U419" s="644"/>
      <c r="V419" s="645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41" t="s">
        <v>674</v>
      </c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42"/>
      <c r="P420" s="642"/>
      <c r="Q420" s="642"/>
      <c r="R420" s="642"/>
      <c r="S420" s="642"/>
      <c r="T420" s="642"/>
      <c r="U420" s="642"/>
      <c r="V420" s="642"/>
      <c r="W420" s="642"/>
      <c r="X420" s="642"/>
      <c r="Y420" s="642"/>
      <c r="Z420" s="642"/>
      <c r="AA420" s="627"/>
      <c r="AB420" s="627"/>
      <c r="AC420" s="627"/>
    </row>
    <row r="421" spans="1:68" ht="14.25" hidden="1" customHeight="1" x14ac:dyDescent="0.25">
      <c r="A421" s="661" t="s">
        <v>71</v>
      </c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42"/>
      <c r="P421" s="642"/>
      <c r="Q421" s="642"/>
      <c r="R421" s="642"/>
      <c r="S421" s="642"/>
      <c r="T421" s="642"/>
      <c r="U421" s="642"/>
      <c r="V421" s="642"/>
      <c r="W421" s="642"/>
      <c r="X421" s="642"/>
      <c r="Y421" s="642"/>
      <c r="Z421" s="642"/>
      <c r="AA421" s="628"/>
      <c r="AB421" s="628"/>
      <c r="AC421" s="628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9"/>
      <c r="R422" s="649"/>
      <c r="S422" s="649"/>
      <c r="T422" s="650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8" t="s">
        <v>679</v>
      </c>
      <c r="Q423" s="649"/>
      <c r="R423" s="649"/>
      <c r="S423" s="649"/>
      <c r="T423" s="650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9"/>
      <c r="R424" s="649"/>
      <c r="S424" s="649"/>
      <c r="T424" s="650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0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9"/>
      <c r="R425" s="649"/>
      <c r="S425" s="649"/>
      <c r="T425" s="650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6"/>
      <c r="B426" s="642"/>
      <c r="C426" s="642"/>
      <c r="D426" s="642"/>
      <c r="E426" s="642"/>
      <c r="F426" s="642"/>
      <c r="G426" s="642"/>
      <c r="H426" s="642"/>
      <c r="I426" s="642"/>
      <c r="J426" s="642"/>
      <c r="K426" s="642"/>
      <c r="L426" s="642"/>
      <c r="M426" s="642"/>
      <c r="N426" s="642"/>
      <c r="O426" s="647"/>
      <c r="P426" s="643" t="s">
        <v>69</v>
      </c>
      <c r="Q426" s="644"/>
      <c r="R426" s="644"/>
      <c r="S426" s="644"/>
      <c r="T426" s="644"/>
      <c r="U426" s="644"/>
      <c r="V426" s="645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2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47"/>
      <c r="P427" s="643" t="s">
        <v>69</v>
      </c>
      <c r="Q427" s="644"/>
      <c r="R427" s="644"/>
      <c r="S427" s="644"/>
      <c r="T427" s="644"/>
      <c r="U427" s="644"/>
      <c r="V427" s="645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41" t="s">
        <v>686</v>
      </c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42"/>
      <c r="P428" s="642"/>
      <c r="Q428" s="642"/>
      <c r="R428" s="642"/>
      <c r="S428" s="642"/>
      <c r="T428" s="642"/>
      <c r="U428" s="642"/>
      <c r="V428" s="642"/>
      <c r="W428" s="642"/>
      <c r="X428" s="642"/>
      <c r="Y428" s="642"/>
      <c r="Z428" s="642"/>
      <c r="AA428" s="627"/>
      <c r="AB428" s="627"/>
      <c r="AC428" s="627"/>
    </row>
    <row r="429" spans="1:68" ht="14.25" hidden="1" customHeight="1" x14ac:dyDescent="0.25">
      <c r="A429" s="661" t="s">
        <v>71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28"/>
      <c r="AB429" s="628"/>
      <c r="AC429" s="628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3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9"/>
      <c r="R430" s="649"/>
      <c r="S430" s="649"/>
      <c r="T430" s="650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9"/>
      <c r="R431" s="649"/>
      <c r="S431" s="649"/>
      <c r="T431" s="650"/>
      <c r="U431" s="34"/>
      <c r="V431" s="34"/>
      <c r="W431" s="35" t="s">
        <v>67</v>
      </c>
      <c r="X431" s="633">
        <v>4</v>
      </c>
      <c r="Y431" s="634">
        <f>IFERROR(IF(X431="",0,CEILING((X431/$H431),1)*$H431),"")</f>
        <v>4.2</v>
      </c>
      <c r="Z431" s="36">
        <f>IFERROR(IF(Y431=0,"",ROUNDUP(Y431/H431,0)*0.00651),"")</f>
        <v>1.302E-2</v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4.4799999999999995</v>
      </c>
      <c r="BN431" s="64">
        <f>IFERROR(Y431*I431/H431,"0")</f>
        <v>4.7039999999999997</v>
      </c>
      <c r="BO431" s="64">
        <f>IFERROR(1/J431*(X431/H431),"0")</f>
        <v>1.0465724751439037E-2</v>
      </c>
      <c r="BP431" s="64">
        <f>IFERROR(1/J431*(Y431/H431),"0")</f>
        <v>1.098901098901099E-2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9"/>
      <c r="R432" s="649"/>
      <c r="S432" s="649"/>
      <c r="T432" s="650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x14ac:dyDescent="0.2">
      <c r="A433" s="646"/>
      <c r="B433" s="642"/>
      <c r="C433" s="642"/>
      <c r="D433" s="642"/>
      <c r="E433" s="642"/>
      <c r="F433" s="642"/>
      <c r="G433" s="642"/>
      <c r="H433" s="642"/>
      <c r="I433" s="642"/>
      <c r="J433" s="642"/>
      <c r="K433" s="642"/>
      <c r="L433" s="642"/>
      <c r="M433" s="642"/>
      <c r="N433" s="642"/>
      <c r="O433" s="647"/>
      <c r="P433" s="643" t="s">
        <v>69</v>
      </c>
      <c r="Q433" s="644"/>
      <c r="R433" s="644"/>
      <c r="S433" s="644"/>
      <c r="T433" s="644"/>
      <c r="U433" s="644"/>
      <c r="V433" s="645"/>
      <c r="W433" s="37" t="s">
        <v>70</v>
      </c>
      <c r="X433" s="635">
        <f>IFERROR(X430/H430,"0")+IFERROR(X431/H431,"0")+IFERROR(X432/H432,"0")</f>
        <v>1.9047619047619047</v>
      </c>
      <c r="Y433" s="635">
        <f>IFERROR(Y430/H430,"0")+IFERROR(Y431/H431,"0")+IFERROR(Y432/H432,"0")</f>
        <v>2</v>
      </c>
      <c r="Z433" s="635">
        <f>IFERROR(IF(Z430="",0,Z430),"0")+IFERROR(IF(Z431="",0,Z431),"0")+IFERROR(IF(Z432="",0,Z432),"0")</f>
        <v>1.302E-2</v>
      </c>
      <c r="AA433" s="636"/>
      <c r="AB433" s="636"/>
      <c r="AC433" s="636"/>
    </row>
    <row r="434" spans="1:68" x14ac:dyDescent="0.2">
      <c r="A434" s="642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47"/>
      <c r="P434" s="643" t="s">
        <v>69</v>
      </c>
      <c r="Q434" s="644"/>
      <c r="R434" s="644"/>
      <c r="S434" s="644"/>
      <c r="T434" s="644"/>
      <c r="U434" s="644"/>
      <c r="V434" s="645"/>
      <c r="W434" s="37" t="s">
        <v>67</v>
      </c>
      <c r="X434" s="635">
        <f>IFERROR(SUM(X430:X432),"0")</f>
        <v>4</v>
      </c>
      <c r="Y434" s="635">
        <f>IFERROR(SUM(Y430:Y432),"0")</f>
        <v>4.2</v>
      </c>
      <c r="Z434" s="37"/>
      <c r="AA434" s="636"/>
      <c r="AB434" s="636"/>
      <c r="AC434" s="636"/>
    </row>
    <row r="435" spans="1:68" ht="27.75" hidden="1" customHeight="1" x14ac:dyDescent="0.2">
      <c r="A435" s="672" t="s">
        <v>696</v>
      </c>
      <c r="B435" s="673"/>
      <c r="C435" s="673"/>
      <c r="D435" s="673"/>
      <c r="E435" s="673"/>
      <c r="F435" s="673"/>
      <c r="G435" s="673"/>
      <c r="H435" s="673"/>
      <c r="I435" s="673"/>
      <c r="J435" s="673"/>
      <c r="K435" s="673"/>
      <c r="L435" s="673"/>
      <c r="M435" s="673"/>
      <c r="N435" s="673"/>
      <c r="O435" s="673"/>
      <c r="P435" s="673"/>
      <c r="Q435" s="673"/>
      <c r="R435" s="673"/>
      <c r="S435" s="673"/>
      <c r="T435" s="673"/>
      <c r="U435" s="673"/>
      <c r="V435" s="673"/>
      <c r="W435" s="673"/>
      <c r="X435" s="673"/>
      <c r="Y435" s="673"/>
      <c r="Z435" s="673"/>
      <c r="AA435" s="48"/>
      <c r="AB435" s="48"/>
      <c r="AC435" s="48"/>
    </row>
    <row r="436" spans="1:68" ht="16.5" hidden="1" customHeight="1" x14ac:dyDescent="0.25">
      <c r="A436" s="641" t="s">
        <v>697</v>
      </c>
      <c r="B436" s="642"/>
      <c r="C436" s="642"/>
      <c r="D436" s="642"/>
      <c r="E436" s="642"/>
      <c r="F436" s="642"/>
      <c r="G436" s="642"/>
      <c r="H436" s="642"/>
      <c r="I436" s="642"/>
      <c r="J436" s="642"/>
      <c r="K436" s="642"/>
      <c r="L436" s="642"/>
      <c r="M436" s="642"/>
      <c r="N436" s="642"/>
      <c r="O436" s="642"/>
      <c r="P436" s="642"/>
      <c r="Q436" s="642"/>
      <c r="R436" s="642"/>
      <c r="S436" s="642"/>
      <c r="T436" s="642"/>
      <c r="U436" s="642"/>
      <c r="V436" s="642"/>
      <c r="W436" s="642"/>
      <c r="X436" s="642"/>
      <c r="Y436" s="642"/>
      <c r="Z436" s="642"/>
      <c r="AA436" s="627"/>
      <c r="AB436" s="627"/>
      <c r="AC436" s="627"/>
    </row>
    <row r="437" spans="1:68" ht="14.25" hidden="1" customHeight="1" x14ac:dyDescent="0.25">
      <c r="A437" s="661" t="s">
        <v>119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28"/>
      <c r="AB437" s="628"/>
      <c r="AC437" s="628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9"/>
      <c r="R438" s="649"/>
      <c r="S438" s="649"/>
      <c r="T438" s="650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9"/>
      <c r="R439" s="649"/>
      <c r="S439" s="649"/>
      <c r="T439" s="650"/>
      <c r="U439" s="34"/>
      <c r="V439" s="34"/>
      <c r="W439" s="35" t="s">
        <v>67</v>
      </c>
      <c r="X439" s="633">
        <v>303</v>
      </c>
      <c r="Y439" s="634">
        <f t="shared" si="61"/>
        <v>315</v>
      </c>
      <c r="Z439" s="36">
        <f>IFERROR(IF(Y439=0,"",ROUNDUP(Y439/H439,0)*0.02175),"")</f>
        <v>0.45674999999999999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312.49399999999997</v>
      </c>
      <c r="BN439" s="64">
        <f t="shared" si="63"/>
        <v>324.87</v>
      </c>
      <c r="BO439" s="64">
        <f t="shared" si="64"/>
        <v>0.42083333333333328</v>
      </c>
      <c r="BP439" s="64">
        <f t="shared" si="65"/>
        <v>0.4375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9"/>
      <c r="R440" s="649"/>
      <c r="S440" s="649"/>
      <c r="T440" s="650"/>
      <c r="U440" s="34"/>
      <c r="V440" s="34"/>
      <c r="W440" s="35" t="s">
        <v>67</v>
      </c>
      <c r="X440" s="633">
        <v>268</v>
      </c>
      <c r="Y440" s="634">
        <f t="shared" si="61"/>
        <v>270</v>
      </c>
      <c r="Z440" s="36">
        <f>IFERROR(IF(Y440=0,"",ROUNDUP(Y440/H440,0)*0.02175),"")</f>
        <v>0.39149999999999996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276.39733333333334</v>
      </c>
      <c r="BN440" s="64">
        <f t="shared" si="63"/>
        <v>278.46000000000004</v>
      </c>
      <c r="BO440" s="64">
        <f t="shared" si="64"/>
        <v>0.37222222222222223</v>
      </c>
      <c r="BP440" s="64">
        <f t="shared" si="65"/>
        <v>0.375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4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9"/>
      <c r="R441" s="649"/>
      <c r="S441" s="649"/>
      <c r="T441" s="650"/>
      <c r="U441" s="34"/>
      <c r="V441" s="34"/>
      <c r="W441" s="35" t="s">
        <v>67</v>
      </c>
      <c r="X441" s="633">
        <v>19</v>
      </c>
      <c r="Y441" s="634">
        <f t="shared" si="61"/>
        <v>30</v>
      </c>
      <c r="Z441" s="36">
        <f>IFERROR(IF(Y441=0,"",ROUNDUP(Y441/H441,0)*0.02175),"")</f>
        <v>4.3499999999999997E-2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19.595333333333333</v>
      </c>
      <c r="BN441" s="64">
        <f t="shared" si="63"/>
        <v>30.94</v>
      </c>
      <c r="BO441" s="64">
        <f t="shared" si="64"/>
        <v>2.6388888888888885E-2</v>
      </c>
      <c r="BP441" s="64">
        <f t="shared" si="65"/>
        <v>4.1666666666666664E-2</v>
      </c>
    </row>
    <row r="442" spans="1:68" ht="27" hidden="1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65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9"/>
      <c r="R442" s="649"/>
      <c r="S442" s="649"/>
      <c r="T442" s="650"/>
      <c r="U442" s="34"/>
      <c r="V442" s="34"/>
      <c r="W442" s="35" t="s">
        <v>67</v>
      </c>
      <c r="X442" s="633">
        <v>0</v>
      </c>
      <c r="Y442" s="634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9"/>
      <c r="R443" s="649"/>
      <c r="S443" s="649"/>
      <c r="T443" s="650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9"/>
      <c r="R444" s="649"/>
      <c r="S444" s="649"/>
      <c r="T444" s="650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9"/>
      <c r="R445" s="649"/>
      <c r="S445" s="649"/>
      <c r="T445" s="650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6"/>
      <c r="B446" s="642"/>
      <c r="C446" s="642"/>
      <c r="D446" s="642"/>
      <c r="E446" s="642"/>
      <c r="F446" s="642"/>
      <c r="G446" s="642"/>
      <c r="H446" s="642"/>
      <c r="I446" s="642"/>
      <c r="J446" s="642"/>
      <c r="K446" s="642"/>
      <c r="L446" s="642"/>
      <c r="M446" s="642"/>
      <c r="N446" s="642"/>
      <c r="O446" s="647"/>
      <c r="P446" s="643" t="s">
        <v>69</v>
      </c>
      <c r="Q446" s="644"/>
      <c r="R446" s="644"/>
      <c r="S446" s="644"/>
      <c r="T446" s="644"/>
      <c r="U446" s="644"/>
      <c r="V446" s="645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39.333333333333329</v>
      </c>
      <c r="Y446" s="635">
        <f>IFERROR(Y438/H438,"0")+IFERROR(Y439/H439,"0")+IFERROR(Y440/H440,"0")+IFERROR(Y441/H441,"0")+IFERROR(Y442/H442,"0")+IFERROR(Y443/H443,"0")+IFERROR(Y444/H444,"0")+IFERROR(Y445/H445,"0")</f>
        <v>41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0.89174999999999993</v>
      </c>
      <c r="AA446" s="636"/>
      <c r="AB446" s="636"/>
      <c r="AC446" s="636"/>
    </row>
    <row r="447" spans="1:68" x14ac:dyDescent="0.2">
      <c r="A447" s="642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47"/>
      <c r="P447" s="643" t="s">
        <v>69</v>
      </c>
      <c r="Q447" s="644"/>
      <c r="R447" s="644"/>
      <c r="S447" s="644"/>
      <c r="T447" s="644"/>
      <c r="U447" s="644"/>
      <c r="V447" s="645"/>
      <c r="W447" s="37" t="s">
        <v>67</v>
      </c>
      <c r="X447" s="635">
        <f>IFERROR(SUM(X438:X445),"0")</f>
        <v>590</v>
      </c>
      <c r="Y447" s="635">
        <f>IFERROR(SUM(Y438:Y445),"0")</f>
        <v>615</v>
      </c>
      <c r="Z447" s="37"/>
      <c r="AA447" s="636"/>
      <c r="AB447" s="636"/>
      <c r="AC447" s="636"/>
    </row>
    <row r="448" spans="1:68" ht="14.25" hidden="1" customHeight="1" x14ac:dyDescent="0.25">
      <c r="A448" s="661" t="s">
        <v>154</v>
      </c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42"/>
      <c r="P448" s="642"/>
      <c r="Q448" s="642"/>
      <c r="R448" s="642"/>
      <c r="S448" s="642"/>
      <c r="T448" s="642"/>
      <c r="U448" s="642"/>
      <c r="V448" s="642"/>
      <c r="W448" s="642"/>
      <c r="X448" s="642"/>
      <c r="Y448" s="642"/>
      <c r="Z448" s="642"/>
      <c r="AA448" s="628"/>
      <c r="AB448" s="628"/>
      <c r="AC448" s="628"/>
    </row>
    <row r="449" spans="1:68" ht="27" hidden="1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9"/>
      <c r="R449" s="649"/>
      <c r="S449" s="649"/>
      <c r="T449" s="650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IFERROR(IF(Y449=0,"",ROUNDUP(Y449/H449,0)*0.02175),"")</f>
        <v/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9"/>
      <c r="R450" s="649"/>
      <c r="S450" s="649"/>
      <c r="T450" s="650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97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9"/>
      <c r="R451" s="649"/>
      <c r="S451" s="649"/>
      <c r="T451" s="650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46"/>
      <c r="B452" s="642"/>
      <c r="C452" s="642"/>
      <c r="D452" s="642"/>
      <c r="E452" s="642"/>
      <c r="F452" s="642"/>
      <c r="G452" s="642"/>
      <c r="H452" s="642"/>
      <c r="I452" s="642"/>
      <c r="J452" s="642"/>
      <c r="K452" s="642"/>
      <c r="L452" s="642"/>
      <c r="M452" s="642"/>
      <c r="N452" s="642"/>
      <c r="O452" s="647"/>
      <c r="P452" s="643" t="s">
        <v>69</v>
      </c>
      <c r="Q452" s="644"/>
      <c r="R452" s="644"/>
      <c r="S452" s="644"/>
      <c r="T452" s="644"/>
      <c r="U452" s="644"/>
      <c r="V452" s="645"/>
      <c r="W452" s="37" t="s">
        <v>70</v>
      </c>
      <c r="X452" s="635">
        <f>IFERROR(X449/H449,"0")+IFERROR(X450/H450,"0")+IFERROR(X451/H451,"0")</f>
        <v>0</v>
      </c>
      <c r="Y452" s="635">
        <f>IFERROR(Y449/H449,"0")+IFERROR(Y450/H450,"0")+IFERROR(Y451/H451,"0")</f>
        <v>0</v>
      </c>
      <c r="Z452" s="635">
        <f>IFERROR(IF(Z449="",0,Z449),"0")+IFERROR(IF(Z450="",0,Z450),"0")+IFERROR(IF(Z451="",0,Z451),"0")</f>
        <v>0</v>
      </c>
      <c r="AA452" s="636"/>
      <c r="AB452" s="636"/>
      <c r="AC452" s="636"/>
    </row>
    <row r="453" spans="1:68" hidden="1" x14ac:dyDescent="0.2">
      <c r="A453" s="642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47"/>
      <c r="P453" s="643" t="s">
        <v>69</v>
      </c>
      <c r="Q453" s="644"/>
      <c r="R453" s="644"/>
      <c r="S453" s="644"/>
      <c r="T453" s="644"/>
      <c r="U453" s="644"/>
      <c r="V453" s="645"/>
      <c r="W453" s="37" t="s">
        <v>67</v>
      </c>
      <c r="X453" s="635">
        <f>IFERROR(SUM(X449:X451),"0")</f>
        <v>0</v>
      </c>
      <c r="Y453" s="635">
        <f>IFERROR(SUM(Y449:Y451),"0")</f>
        <v>0</v>
      </c>
      <c r="Z453" s="37"/>
      <c r="AA453" s="636"/>
      <c r="AB453" s="636"/>
      <c r="AC453" s="636"/>
    </row>
    <row r="454" spans="1:68" ht="14.25" hidden="1" customHeight="1" x14ac:dyDescent="0.25">
      <c r="A454" s="661" t="s">
        <v>71</v>
      </c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42"/>
      <c r="P454" s="642"/>
      <c r="Q454" s="642"/>
      <c r="R454" s="642"/>
      <c r="S454" s="642"/>
      <c r="T454" s="642"/>
      <c r="U454" s="642"/>
      <c r="V454" s="642"/>
      <c r="W454" s="642"/>
      <c r="X454" s="642"/>
      <c r="Y454" s="642"/>
      <c r="Z454" s="642"/>
      <c r="AA454" s="628"/>
      <c r="AB454" s="628"/>
      <c r="AC454" s="628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9"/>
      <c r="R455" s="649"/>
      <c r="S455" s="649"/>
      <c r="T455" s="650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9"/>
      <c r="R456" s="649"/>
      <c r="S456" s="649"/>
      <c r="T456" s="650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74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9"/>
      <c r="R457" s="649"/>
      <c r="S457" s="649"/>
      <c r="T457" s="650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6"/>
      <c r="B458" s="642"/>
      <c r="C458" s="642"/>
      <c r="D458" s="642"/>
      <c r="E458" s="642"/>
      <c r="F458" s="642"/>
      <c r="G458" s="642"/>
      <c r="H458" s="642"/>
      <c r="I458" s="642"/>
      <c r="J458" s="642"/>
      <c r="K458" s="642"/>
      <c r="L458" s="642"/>
      <c r="M458" s="642"/>
      <c r="N458" s="642"/>
      <c r="O458" s="647"/>
      <c r="P458" s="643" t="s">
        <v>69</v>
      </c>
      <c r="Q458" s="644"/>
      <c r="R458" s="644"/>
      <c r="S458" s="644"/>
      <c r="T458" s="644"/>
      <c r="U458" s="644"/>
      <c r="V458" s="645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2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47"/>
      <c r="P459" s="643" t="s">
        <v>69</v>
      </c>
      <c r="Q459" s="644"/>
      <c r="R459" s="644"/>
      <c r="S459" s="644"/>
      <c r="T459" s="644"/>
      <c r="U459" s="644"/>
      <c r="V459" s="645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61" t="s">
        <v>172</v>
      </c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642"/>
      <c r="Z460" s="642"/>
      <c r="AA460" s="628"/>
      <c r="AB460" s="628"/>
      <c r="AC460" s="628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90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9"/>
      <c r="R461" s="649"/>
      <c r="S461" s="649"/>
      <c r="T461" s="650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1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9"/>
      <c r="R462" s="649"/>
      <c r="S462" s="649"/>
      <c r="T462" s="650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6"/>
      <c r="B463" s="642"/>
      <c r="C463" s="642"/>
      <c r="D463" s="642"/>
      <c r="E463" s="642"/>
      <c r="F463" s="642"/>
      <c r="G463" s="642"/>
      <c r="H463" s="642"/>
      <c r="I463" s="642"/>
      <c r="J463" s="642"/>
      <c r="K463" s="642"/>
      <c r="L463" s="642"/>
      <c r="M463" s="642"/>
      <c r="N463" s="642"/>
      <c r="O463" s="647"/>
      <c r="P463" s="643" t="s">
        <v>69</v>
      </c>
      <c r="Q463" s="644"/>
      <c r="R463" s="644"/>
      <c r="S463" s="644"/>
      <c r="T463" s="644"/>
      <c r="U463" s="644"/>
      <c r="V463" s="645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2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47"/>
      <c r="P464" s="643" t="s">
        <v>69</v>
      </c>
      <c r="Q464" s="644"/>
      <c r="R464" s="644"/>
      <c r="S464" s="644"/>
      <c r="T464" s="644"/>
      <c r="U464" s="644"/>
      <c r="V464" s="645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41" t="s">
        <v>746</v>
      </c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42"/>
      <c r="P465" s="642"/>
      <c r="Q465" s="642"/>
      <c r="R465" s="642"/>
      <c r="S465" s="642"/>
      <c r="T465" s="642"/>
      <c r="U465" s="642"/>
      <c r="V465" s="642"/>
      <c r="W465" s="642"/>
      <c r="X465" s="642"/>
      <c r="Y465" s="642"/>
      <c r="Z465" s="642"/>
      <c r="AA465" s="627"/>
      <c r="AB465" s="627"/>
      <c r="AC465" s="627"/>
    </row>
    <row r="466" spans="1:68" ht="14.25" hidden="1" customHeight="1" x14ac:dyDescent="0.25">
      <c r="A466" s="661" t="s">
        <v>119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28"/>
      <c r="AB466" s="628"/>
      <c r="AC466" s="628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6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9"/>
      <c r="R467" s="649"/>
      <c r="S467" s="649"/>
      <c r="T467" s="650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9"/>
      <c r="R468" s="649"/>
      <c r="S468" s="649"/>
      <c r="T468" s="650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6"/>
      <c r="B469" s="642"/>
      <c r="C469" s="642"/>
      <c r="D469" s="642"/>
      <c r="E469" s="642"/>
      <c r="F469" s="642"/>
      <c r="G469" s="642"/>
      <c r="H469" s="642"/>
      <c r="I469" s="642"/>
      <c r="J469" s="642"/>
      <c r="K469" s="642"/>
      <c r="L469" s="642"/>
      <c r="M469" s="642"/>
      <c r="N469" s="642"/>
      <c r="O469" s="647"/>
      <c r="P469" s="643" t="s">
        <v>69</v>
      </c>
      <c r="Q469" s="644"/>
      <c r="R469" s="644"/>
      <c r="S469" s="644"/>
      <c r="T469" s="644"/>
      <c r="U469" s="644"/>
      <c r="V469" s="645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2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47"/>
      <c r="P470" s="643" t="s">
        <v>69</v>
      </c>
      <c r="Q470" s="644"/>
      <c r="R470" s="644"/>
      <c r="S470" s="644"/>
      <c r="T470" s="644"/>
      <c r="U470" s="644"/>
      <c r="V470" s="645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61" t="s">
        <v>62</v>
      </c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42"/>
      <c r="P471" s="642"/>
      <c r="Q471" s="642"/>
      <c r="R471" s="642"/>
      <c r="S471" s="642"/>
      <c r="T471" s="642"/>
      <c r="U471" s="642"/>
      <c r="V471" s="642"/>
      <c r="W471" s="642"/>
      <c r="X471" s="642"/>
      <c r="Y471" s="642"/>
      <c r="Z471" s="642"/>
      <c r="AA471" s="628"/>
      <c r="AB471" s="628"/>
      <c r="AC471" s="628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9"/>
      <c r="R472" s="649"/>
      <c r="S472" s="649"/>
      <c r="T472" s="650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6"/>
      <c r="B473" s="642"/>
      <c r="C473" s="642"/>
      <c r="D473" s="642"/>
      <c r="E473" s="642"/>
      <c r="F473" s="642"/>
      <c r="G473" s="642"/>
      <c r="H473" s="642"/>
      <c r="I473" s="642"/>
      <c r="J473" s="642"/>
      <c r="K473" s="642"/>
      <c r="L473" s="642"/>
      <c r="M473" s="642"/>
      <c r="N473" s="642"/>
      <c r="O473" s="647"/>
      <c r="P473" s="643" t="s">
        <v>69</v>
      </c>
      <c r="Q473" s="644"/>
      <c r="R473" s="644"/>
      <c r="S473" s="644"/>
      <c r="T473" s="644"/>
      <c r="U473" s="644"/>
      <c r="V473" s="645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2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47"/>
      <c r="P474" s="643" t="s">
        <v>69</v>
      </c>
      <c r="Q474" s="644"/>
      <c r="R474" s="644"/>
      <c r="S474" s="644"/>
      <c r="T474" s="644"/>
      <c r="U474" s="644"/>
      <c r="V474" s="645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61" t="s">
        <v>71</v>
      </c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42"/>
      <c r="P475" s="642"/>
      <c r="Q475" s="642"/>
      <c r="R475" s="642"/>
      <c r="S475" s="642"/>
      <c r="T475" s="642"/>
      <c r="U475" s="642"/>
      <c r="V475" s="642"/>
      <c r="W475" s="642"/>
      <c r="X475" s="642"/>
      <c r="Y475" s="642"/>
      <c r="Z475" s="642"/>
      <c r="AA475" s="628"/>
      <c r="AB475" s="628"/>
      <c r="AC475" s="628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9"/>
      <c r="R476" s="649"/>
      <c r="S476" s="649"/>
      <c r="T476" s="650"/>
      <c r="U476" s="34"/>
      <c r="V476" s="34"/>
      <c r="W476" s="35" t="s">
        <v>67</v>
      </c>
      <c r="X476" s="633">
        <v>176</v>
      </c>
      <c r="Y476" s="634">
        <f>IFERROR(IF(X476="",0,CEILING((X476/$H476),1)*$H476),"")</f>
        <v>180</v>
      </c>
      <c r="Z476" s="36">
        <f>IFERROR(IF(Y476=0,"",ROUNDUP(Y476/H476,0)*0.01898),"")</f>
        <v>0.37959999999999999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185.66044444444444</v>
      </c>
      <c r="BN476" s="64">
        <f>IFERROR(Y476*I476/H476,"0")</f>
        <v>189.88</v>
      </c>
      <c r="BO476" s="64">
        <f>IFERROR(1/J476*(X476/H476),"0")</f>
        <v>0.30555555555555558</v>
      </c>
      <c r="BP476" s="64">
        <f>IFERROR(1/J476*(Y476/H476),"0")</f>
        <v>0.3125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9"/>
      <c r="R477" s="649"/>
      <c r="S477" s="649"/>
      <c r="T477" s="650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9"/>
      <c r="R478" s="649"/>
      <c r="S478" s="649"/>
      <c r="T478" s="650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6"/>
      <c r="B479" s="642"/>
      <c r="C479" s="642"/>
      <c r="D479" s="642"/>
      <c r="E479" s="642"/>
      <c r="F479" s="642"/>
      <c r="G479" s="642"/>
      <c r="H479" s="642"/>
      <c r="I479" s="642"/>
      <c r="J479" s="642"/>
      <c r="K479" s="642"/>
      <c r="L479" s="642"/>
      <c r="M479" s="642"/>
      <c r="N479" s="642"/>
      <c r="O479" s="647"/>
      <c r="P479" s="643" t="s">
        <v>69</v>
      </c>
      <c r="Q479" s="644"/>
      <c r="R479" s="644"/>
      <c r="S479" s="644"/>
      <c r="T479" s="644"/>
      <c r="U479" s="644"/>
      <c r="V479" s="645"/>
      <c r="W479" s="37" t="s">
        <v>70</v>
      </c>
      <c r="X479" s="635">
        <f>IFERROR(X476/H476,"0")+IFERROR(X477/H477,"0")+IFERROR(X478/H478,"0")</f>
        <v>19.555555555555557</v>
      </c>
      <c r="Y479" s="635">
        <f>IFERROR(Y476/H476,"0")+IFERROR(Y477/H477,"0")+IFERROR(Y478/H478,"0")</f>
        <v>20</v>
      </c>
      <c r="Z479" s="635">
        <f>IFERROR(IF(Z476="",0,Z476),"0")+IFERROR(IF(Z477="",0,Z477),"0")+IFERROR(IF(Z478="",0,Z478),"0")</f>
        <v>0.37959999999999999</v>
      </c>
      <c r="AA479" s="636"/>
      <c r="AB479" s="636"/>
      <c r="AC479" s="636"/>
    </row>
    <row r="480" spans="1:68" x14ac:dyDescent="0.2">
      <c r="A480" s="642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47"/>
      <c r="P480" s="643" t="s">
        <v>69</v>
      </c>
      <c r="Q480" s="644"/>
      <c r="R480" s="644"/>
      <c r="S480" s="644"/>
      <c r="T480" s="644"/>
      <c r="U480" s="644"/>
      <c r="V480" s="645"/>
      <c r="W480" s="37" t="s">
        <v>67</v>
      </c>
      <c r="X480" s="635">
        <f>IFERROR(SUM(X476:X478),"0")</f>
        <v>176</v>
      </c>
      <c r="Y480" s="635">
        <f>IFERROR(SUM(Y476:Y478),"0")</f>
        <v>180</v>
      </c>
      <c r="Z480" s="37"/>
      <c r="AA480" s="636"/>
      <c r="AB480" s="636"/>
      <c r="AC480" s="636"/>
    </row>
    <row r="481" spans="1:68" ht="27.75" hidden="1" customHeight="1" x14ac:dyDescent="0.2">
      <c r="A481" s="672" t="s">
        <v>762</v>
      </c>
      <c r="B481" s="673"/>
      <c r="C481" s="673"/>
      <c r="D481" s="673"/>
      <c r="E481" s="673"/>
      <c r="F481" s="673"/>
      <c r="G481" s="673"/>
      <c r="H481" s="673"/>
      <c r="I481" s="673"/>
      <c r="J481" s="673"/>
      <c r="K481" s="673"/>
      <c r="L481" s="673"/>
      <c r="M481" s="673"/>
      <c r="N481" s="673"/>
      <c r="O481" s="673"/>
      <c r="P481" s="673"/>
      <c r="Q481" s="673"/>
      <c r="R481" s="673"/>
      <c r="S481" s="673"/>
      <c r="T481" s="673"/>
      <c r="U481" s="673"/>
      <c r="V481" s="673"/>
      <c r="W481" s="673"/>
      <c r="X481" s="673"/>
      <c r="Y481" s="673"/>
      <c r="Z481" s="673"/>
      <c r="AA481" s="48"/>
      <c r="AB481" s="48"/>
      <c r="AC481" s="48"/>
    </row>
    <row r="482" spans="1:68" ht="16.5" hidden="1" customHeight="1" x14ac:dyDescent="0.25">
      <c r="A482" s="641" t="s">
        <v>763</v>
      </c>
      <c r="B482" s="642"/>
      <c r="C482" s="642"/>
      <c r="D482" s="642"/>
      <c r="E482" s="642"/>
      <c r="F482" s="642"/>
      <c r="G482" s="642"/>
      <c r="H482" s="642"/>
      <c r="I482" s="642"/>
      <c r="J482" s="642"/>
      <c r="K482" s="642"/>
      <c r="L482" s="642"/>
      <c r="M482" s="642"/>
      <c r="N482" s="642"/>
      <c r="O482" s="642"/>
      <c r="P482" s="642"/>
      <c r="Q482" s="642"/>
      <c r="R482" s="642"/>
      <c r="S482" s="642"/>
      <c r="T482" s="642"/>
      <c r="U482" s="642"/>
      <c r="V482" s="642"/>
      <c r="W482" s="642"/>
      <c r="X482" s="642"/>
      <c r="Y482" s="642"/>
      <c r="Z482" s="642"/>
      <c r="AA482" s="627"/>
      <c r="AB482" s="627"/>
      <c r="AC482" s="627"/>
    </row>
    <row r="483" spans="1:68" ht="14.25" hidden="1" customHeight="1" x14ac:dyDescent="0.25">
      <c r="A483" s="661" t="s">
        <v>62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28"/>
      <c r="AB483" s="628"/>
      <c r="AC483" s="628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9"/>
      <c r="R484" s="649"/>
      <c r="S484" s="649"/>
      <c r="T484" s="650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9"/>
      <c r="R485" s="649"/>
      <c r="S485" s="649"/>
      <c r="T485" s="650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9"/>
      <c r="R486" s="649"/>
      <c r="S486" s="649"/>
      <c r="T486" s="650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9"/>
      <c r="R487" s="649"/>
      <c r="S487" s="649"/>
      <c r="T487" s="650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86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9"/>
      <c r="R488" s="649"/>
      <c r="S488" s="649"/>
      <c r="T488" s="650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5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9"/>
      <c r="R489" s="649"/>
      <c r="S489" s="649"/>
      <c r="T489" s="650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6"/>
      <c r="B490" s="642"/>
      <c r="C490" s="642"/>
      <c r="D490" s="642"/>
      <c r="E490" s="642"/>
      <c r="F490" s="642"/>
      <c r="G490" s="642"/>
      <c r="H490" s="642"/>
      <c r="I490" s="642"/>
      <c r="J490" s="642"/>
      <c r="K490" s="642"/>
      <c r="L490" s="642"/>
      <c r="M490" s="642"/>
      <c r="N490" s="642"/>
      <c r="O490" s="647"/>
      <c r="P490" s="643" t="s">
        <v>69</v>
      </c>
      <c r="Q490" s="644"/>
      <c r="R490" s="644"/>
      <c r="S490" s="644"/>
      <c r="T490" s="644"/>
      <c r="U490" s="644"/>
      <c r="V490" s="645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2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47"/>
      <c r="P491" s="643" t="s">
        <v>69</v>
      </c>
      <c r="Q491" s="644"/>
      <c r="R491" s="644"/>
      <c r="S491" s="644"/>
      <c r="T491" s="644"/>
      <c r="U491" s="644"/>
      <c r="V491" s="645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61" t="s">
        <v>71</v>
      </c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642"/>
      <c r="Z492" s="642"/>
      <c r="AA492" s="628"/>
      <c r="AB492" s="628"/>
      <c r="AC492" s="628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9"/>
      <c r="R493" s="649"/>
      <c r="S493" s="649"/>
      <c r="T493" s="650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6"/>
      <c r="B494" s="642"/>
      <c r="C494" s="642"/>
      <c r="D494" s="642"/>
      <c r="E494" s="642"/>
      <c r="F494" s="642"/>
      <c r="G494" s="642"/>
      <c r="H494" s="642"/>
      <c r="I494" s="642"/>
      <c r="J494" s="642"/>
      <c r="K494" s="642"/>
      <c r="L494" s="642"/>
      <c r="M494" s="642"/>
      <c r="N494" s="642"/>
      <c r="O494" s="647"/>
      <c r="P494" s="643" t="s">
        <v>69</v>
      </c>
      <c r="Q494" s="644"/>
      <c r="R494" s="644"/>
      <c r="S494" s="644"/>
      <c r="T494" s="644"/>
      <c r="U494" s="644"/>
      <c r="V494" s="645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2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47"/>
      <c r="P495" s="643" t="s">
        <v>69</v>
      </c>
      <c r="Q495" s="644"/>
      <c r="R495" s="644"/>
      <c r="S495" s="644"/>
      <c r="T495" s="644"/>
      <c r="U495" s="644"/>
      <c r="V495" s="645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41" t="s">
        <v>783</v>
      </c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42"/>
      <c r="P496" s="642"/>
      <c r="Q496" s="642"/>
      <c r="R496" s="642"/>
      <c r="S496" s="642"/>
      <c r="T496" s="642"/>
      <c r="U496" s="642"/>
      <c r="V496" s="642"/>
      <c r="W496" s="642"/>
      <c r="X496" s="642"/>
      <c r="Y496" s="642"/>
      <c r="Z496" s="642"/>
      <c r="AA496" s="627"/>
      <c r="AB496" s="627"/>
      <c r="AC496" s="627"/>
    </row>
    <row r="497" spans="1:68" ht="14.25" hidden="1" customHeight="1" x14ac:dyDescent="0.25">
      <c r="A497" s="661" t="s">
        <v>154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28"/>
      <c r="AB497" s="628"/>
      <c r="AC497" s="628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9"/>
      <c r="R498" s="649"/>
      <c r="S498" s="649"/>
      <c r="T498" s="650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6"/>
      <c r="B499" s="642"/>
      <c r="C499" s="642"/>
      <c r="D499" s="642"/>
      <c r="E499" s="642"/>
      <c r="F499" s="642"/>
      <c r="G499" s="642"/>
      <c r="H499" s="642"/>
      <c r="I499" s="642"/>
      <c r="J499" s="642"/>
      <c r="K499" s="642"/>
      <c r="L499" s="642"/>
      <c r="M499" s="642"/>
      <c r="N499" s="642"/>
      <c r="O499" s="647"/>
      <c r="P499" s="643" t="s">
        <v>69</v>
      </c>
      <c r="Q499" s="644"/>
      <c r="R499" s="644"/>
      <c r="S499" s="644"/>
      <c r="T499" s="644"/>
      <c r="U499" s="644"/>
      <c r="V499" s="645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2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47"/>
      <c r="P500" s="643" t="s">
        <v>69</v>
      </c>
      <c r="Q500" s="644"/>
      <c r="R500" s="644"/>
      <c r="S500" s="644"/>
      <c r="T500" s="644"/>
      <c r="U500" s="644"/>
      <c r="V500" s="645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61" t="s">
        <v>62</v>
      </c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42"/>
      <c r="P501" s="642"/>
      <c r="Q501" s="642"/>
      <c r="R501" s="642"/>
      <c r="S501" s="642"/>
      <c r="T501" s="642"/>
      <c r="U501" s="642"/>
      <c r="V501" s="642"/>
      <c r="W501" s="642"/>
      <c r="X501" s="642"/>
      <c r="Y501" s="642"/>
      <c r="Z501" s="642"/>
      <c r="AA501" s="628"/>
      <c r="AB501" s="628"/>
      <c r="AC501" s="628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69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9"/>
      <c r="R502" s="649"/>
      <c r="S502" s="649"/>
      <c r="T502" s="650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4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9"/>
      <c r="R503" s="649"/>
      <c r="S503" s="649"/>
      <c r="T503" s="650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9"/>
      <c r="R504" s="649"/>
      <c r="S504" s="649"/>
      <c r="T504" s="650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6"/>
      <c r="B505" s="642"/>
      <c r="C505" s="642"/>
      <c r="D505" s="642"/>
      <c r="E505" s="642"/>
      <c r="F505" s="642"/>
      <c r="G505" s="642"/>
      <c r="H505" s="642"/>
      <c r="I505" s="642"/>
      <c r="J505" s="642"/>
      <c r="K505" s="642"/>
      <c r="L505" s="642"/>
      <c r="M505" s="642"/>
      <c r="N505" s="642"/>
      <c r="O505" s="647"/>
      <c r="P505" s="643" t="s">
        <v>69</v>
      </c>
      <c r="Q505" s="644"/>
      <c r="R505" s="644"/>
      <c r="S505" s="644"/>
      <c r="T505" s="644"/>
      <c r="U505" s="644"/>
      <c r="V505" s="645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2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47"/>
      <c r="P506" s="643" t="s">
        <v>69</v>
      </c>
      <c r="Q506" s="644"/>
      <c r="R506" s="644"/>
      <c r="S506" s="644"/>
      <c r="T506" s="644"/>
      <c r="U506" s="644"/>
      <c r="V506" s="645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72" t="s">
        <v>795</v>
      </c>
      <c r="B507" s="673"/>
      <c r="C507" s="673"/>
      <c r="D507" s="673"/>
      <c r="E507" s="673"/>
      <c r="F507" s="673"/>
      <c r="G507" s="673"/>
      <c r="H507" s="673"/>
      <c r="I507" s="673"/>
      <c r="J507" s="673"/>
      <c r="K507" s="673"/>
      <c r="L507" s="673"/>
      <c r="M507" s="673"/>
      <c r="N507" s="673"/>
      <c r="O507" s="673"/>
      <c r="P507" s="673"/>
      <c r="Q507" s="673"/>
      <c r="R507" s="673"/>
      <c r="S507" s="673"/>
      <c r="T507" s="673"/>
      <c r="U507" s="673"/>
      <c r="V507" s="673"/>
      <c r="W507" s="673"/>
      <c r="X507" s="673"/>
      <c r="Y507" s="673"/>
      <c r="Z507" s="673"/>
      <c r="AA507" s="48"/>
      <c r="AB507" s="48"/>
      <c r="AC507" s="48"/>
    </row>
    <row r="508" spans="1:68" ht="16.5" hidden="1" customHeight="1" x14ac:dyDescent="0.25">
      <c r="A508" s="641" t="s">
        <v>795</v>
      </c>
      <c r="B508" s="642"/>
      <c r="C508" s="642"/>
      <c r="D508" s="642"/>
      <c r="E508" s="642"/>
      <c r="F508" s="642"/>
      <c r="G508" s="642"/>
      <c r="H508" s="642"/>
      <c r="I508" s="642"/>
      <c r="J508" s="642"/>
      <c r="K508" s="642"/>
      <c r="L508" s="642"/>
      <c r="M508" s="642"/>
      <c r="N508" s="642"/>
      <c r="O508" s="642"/>
      <c r="P508" s="642"/>
      <c r="Q508" s="642"/>
      <c r="R508" s="642"/>
      <c r="S508" s="642"/>
      <c r="T508" s="642"/>
      <c r="U508" s="642"/>
      <c r="V508" s="642"/>
      <c r="W508" s="642"/>
      <c r="X508" s="642"/>
      <c r="Y508" s="642"/>
      <c r="Z508" s="642"/>
      <c r="AA508" s="627"/>
      <c r="AB508" s="627"/>
      <c r="AC508" s="627"/>
    </row>
    <row r="509" spans="1:68" ht="14.25" hidden="1" customHeight="1" x14ac:dyDescent="0.25">
      <c r="A509" s="661" t="s">
        <v>119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28"/>
      <c r="AB509" s="628"/>
      <c r="AC509" s="628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6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9"/>
      <c r="R510" s="649"/>
      <c r="S510" s="649"/>
      <c r="T510" s="650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5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9"/>
      <c r="R511" s="649"/>
      <c r="S511" s="649"/>
      <c r="T511" s="650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9"/>
      <c r="R512" s="649"/>
      <c r="S512" s="649"/>
      <c r="T512" s="650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9"/>
      <c r="R513" s="649"/>
      <c r="S513" s="649"/>
      <c r="T513" s="650"/>
      <c r="U513" s="34"/>
      <c r="V513" s="34"/>
      <c r="W513" s="35" t="s">
        <v>67</v>
      </c>
      <c r="X513" s="633">
        <v>173</v>
      </c>
      <c r="Y513" s="634">
        <f t="shared" si="71"/>
        <v>174.24</v>
      </c>
      <c r="Z513" s="36">
        <f>IFERROR(IF(Y513=0,"",ROUNDUP(Y513/H513,0)*0.01196),"")</f>
        <v>0.39468000000000003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184.46780303030303</v>
      </c>
      <c r="BN513" s="64">
        <f t="shared" si="73"/>
        <v>185.79</v>
      </c>
      <c r="BO513" s="64">
        <f t="shared" si="74"/>
        <v>0.31504953379953382</v>
      </c>
      <c r="BP513" s="64">
        <f t="shared" si="75"/>
        <v>0.31730769230769235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5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9"/>
      <c r="R514" s="649"/>
      <c r="S514" s="649"/>
      <c r="T514" s="650"/>
      <c r="U514" s="34"/>
      <c r="V514" s="34"/>
      <c r="W514" s="35" t="s">
        <v>67</v>
      </c>
      <c r="X514" s="633">
        <v>52</v>
      </c>
      <c r="Y514" s="634">
        <f t="shared" si="71"/>
        <v>52.800000000000004</v>
      </c>
      <c r="Z514" s="36">
        <f>IFERROR(IF(Y514=0,"",ROUNDUP(Y514/H514,0)*0.01196),"")</f>
        <v>0.1196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55.446969696969695</v>
      </c>
      <c r="BN514" s="64">
        <f t="shared" si="73"/>
        <v>56.3</v>
      </c>
      <c r="BO514" s="64">
        <f t="shared" si="74"/>
        <v>9.4696969696969696E-2</v>
      </c>
      <c r="BP514" s="64">
        <f t="shared" si="75"/>
        <v>9.6153846153846159E-2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9"/>
      <c r="R515" s="649"/>
      <c r="S515" s="649"/>
      <c r="T515" s="650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97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9"/>
      <c r="R516" s="649"/>
      <c r="S516" s="649"/>
      <c r="T516" s="650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9"/>
      <c r="R517" s="649"/>
      <c r="S517" s="649"/>
      <c r="T517" s="650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6"/>
      <c r="B518" s="642"/>
      <c r="C518" s="642"/>
      <c r="D518" s="642"/>
      <c r="E518" s="642"/>
      <c r="F518" s="642"/>
      <c r="G518" s="642"/>
      <c r="H518" s="642"/>
      <c r="I518" s="642"/>
      <c r="J518" s="642"/>
      <c r="K518" s="642"/>
      <c r="L518" s="642"/>
      <c r="M518" s="642"/>
      <c r="N518" s="642"/>
      <c r="O518" s="647"/>
      <c r="P518" s="643" t="s">
        <v>69</v>
      </c>
      <c r="Q518" s="644"/>
      <c r="R518" s="644"/>
      <c r="S518" s="644"/>
      <c r="T518" s="644"/>
      <c r="U518" s="644"/>
      <c r="V518" s="645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42.61363636363636</v>
      </c>
      <c r="Y518" s="635">
        <f>IFERROR(Y510/H510,"0")+IFERROR(Y511/H511,"0")+IFERROR(Y512/H512,"0")+IFERROR(Y513/H513,"0")+IFERROR(Y514/H514,"0")+IFERROR(Y515/H515,"0")+IFERROR(Y516/H516,"0")+IFERROR(Y517/H517,"0")</f>
        <v>43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0.51428000000000007</v>
      </c>
      <c r="AA518" s="636"/>
      <c r="AB518" s="636"/>
      <c r="AC518" s="636"/>
    </row>
    <row r="519" spans="1:68" x14ac:dyDescent="0.2">
      <c r="A519" s="642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47"/>
      <c r="P519" s="643" t="s">
        <v>69</v>
      </c>
      <c r="Q519" s="644"/>
      <c r="R519" s="644"/>
      <c r="S519" s="644"/>
      <c r="T519" s="644"/>
      <c r="U519" s="644"/>
      <c r="V519" s="645"/>
      <c r="W519" s="37" t="s">
        <v>67</v>
      </c>
      <c r="X519" s="635">
        <f>IFERROR(SUM(X510:X517),"0")</f>
        <v>225</v>
      </c>
      <c r="Y519" s="635">
        <f>IFERROR(SUM(Y510:Y517),"0")</f>
        <v>227.04000000000002</v>
      </c>
      <c r="Z519" s="37"/>
      <c r="AA519" s="636"/>
      <c r="AB519" s="636"/>
      <c r="AC519" s="636"/>
    </row>
    <row r="520" spans="1:68" ht="14.25" hidden="1" customHeight="1" x14ac:dyDescent="0.25">
      <c r="A520" s="661" t="s">
        <v>154</v>
      </c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42"/>
      <c r="P520" s="642"/>
      <c r="Q520" s="642"/>
      <c r="R520" s="642"/>
      <c r="S520" s="642"/>
      <c r="T520" s="642"/>
      <c r="U520" s="642"/>
      <c r="V520" s="642"/>
      <c r="W520" s="642"/>
      <c r="X520" s="642"/>
      <c r="Y520" s="642"/>
      <c r="Z520" s="642"/>
      <c r="AA520" s="628"/>
      <c r="AB520" s="628"/>
      <c r="AC520" s="628"/>
    </row>
    <row r="521" spans="1:68" ht="16.5" hidden="1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9"/>
      <c r="R521" s="649"/>
      <c r="S521" s="649"/>
      <c r="T521" s="650"/>
      <c r="U521" s="34"/>
      <c r="V521" s="34"/>
      <c r="W521" s="35" t="s">
        <v>67</v>
      </c>
      <c r="X521" s="633">
        <v>0</v>
      </c>
      <c r="Y521" s="634">
        <f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9"/>
      <c r="R522" s="649"/>
      <c r="S522" s="649"/>
      <c r="T522" s="650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9"/>
      <c r="R523" s="649"/>
      <c r="S523" s="649"/>
      <c r="T523" s="650"/>
      <c r="U523" s="34"/>
      <c r="V523" s="34"/>
      <c r="W523" s="35" t="s">
        <v>67</v>
      </c>
      <c r="X523" s="633">
        <v>0</v>
      </c>
      <c r="Y523" s="634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46"/>
      <c r="B524" s="642"/>
      <c r="C524" s="642"/>
      <c r="D524" s="642"/>
      <c r="E524" s="642"/>
      <c r="F524" s="642"/>
      <c r="G524" s="642"/>
      <c r="H524" s="642"/>
      <c r="I524" s="642"/>
      <c r="J524" s="642"/>
      <c r="K524" s="642"/>
      <c r="L524" s="642"/>
      <c r="M524" s="642"/>
      <c r="N524" s="642"/>
      <c r="O524" s="647"/>
      <c r="P524" s="643" t="s">
        <v>69</v>
      </c>
      <c r="Q524" s="644"/>
      <c r="R524" s="644"/>
      <c r="S524" s="644"/>
      <c r="T524" s="644"/>
      <c r="U524" s="644"/>
      <c r="V524" s="645"/>
      <c r="W524" s="37" t="s">
        <v>70</v>
      </c>
      <c r="X524" s="635">
        <f>IFERROR(X521/H521,"0")+IFERROR(X522/H522,"0")+IFERROR(X523/H523,"0")</f>
        <v>0</v>
      </c>
      <c r="Y524" s="635">
        <f>IFERROR(Y521/H521,"0")+IFERROR(Y522/H522,"0")+IFERROR(Y523/H523,"0")</f>
        <v>0</v>
      </c>
      <c r="Z524" s="635">
        <f>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42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47"/>
      <c r="P525" s="643" t="s">
        <v>69</v>
      </c>
      <c r="Q525" s="644"/>
      <c r="R525" s="644"/>
      <c r="S525" s="644"/>
      <c r="T525" s="644"/>
      <c r="U525" s="644"/>
      <c r="V525" s="645"/>
      <c r="W525" s="37" t="s">
        <v>67</v>
      </c>
      <c r="X525" s="635">
        <f>IFERROR(SUM(X521:X523),"0")</f>
        <v>0</v>
      </c>
      <c r="Y525" s="635">
        <f>IFERROR(SUM(Y521:Y523),"0")</f>
        <v>0</v>
      </c>
      <c r="Z525" s="37"/>
      <c r="AA525" s="636"/>
      <c r="AB525" s="636"/>
      <c r="AC525" s="636"/>
    </row>
    <row r="526" spans="1:68" ht="14.25" hidden="1" customHeight="1" x14ac:dyDescent="0.25">
      <c r="A526" s="661" t="s">
        <v>62</v>
      </c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42"/>
      <c r="P526" s="642"/>
      <c r="Q526" s="642"/>
      <c r="R526" s="642"/>
      <c r="S526" s="642"/>
      <c r="T526" s="642"/>
      <c r="U526" s="642"/>
      <c r="V526" s="642"/>
      <c r="W526" s="642"/>
      <c r="X526" s="642"/>
      <c r="Y526" s="642"/>
      <c r="Z526" s="642"/>
      <c r="AA526" s="628"/>
      <c r="AB526" s="628"/>
      <c r="AC526" s="628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9"/>
      <c r="R527" s="649"/>
      <c r="S527" s="649"/>
      <c r="T527" s="650"/>
      <c r="U527" s="34"/>
      <c r="V527" s="34"/>
      <c r="W527" s="35" t="s">
        <v>67</v>
      </c>
      <c r="X527" s="633">
        <v>80</v>
      </c>
      <c r="Y527" s="634">
        <f t="shared" ref="Y527:Y533" si="76">IFERROR(IF(X527="",0,CEILING((X527/$H527),1)*$H527),"")</f>
        <v>84.48</v>
      </c>
      <c r="Z527" s="36">
        <f>IFERROR(IF(Y527=0,"",ROUNDUP(Y527/H527,0)*0.01196),"")</f>
        <v>0.19136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85.303030303030297</v>
      </c>
      <c r="BN527" s="64">
        <f t="shared" ref="BN527:BN533" si="78">IFERROR(Y527*I527/H527,"0")</f>
        <v>90.08</v>
      </c>
      <c r="BO527" s="64">
        <f t="shared" ref="BO527:BO533" si="79">IFERROR(1/J527*(X527/H527),"0")</f>
        <v>0.14568764568764569</v>
      </c>
      <c r="BP527" s="64">
        <f t="shared" ref="BP527:BP533" si="80">IFERROR(1/J527*(Y527/H527),"0")</f>
        <v>0.15384615384615385</v>
      </c>
    </row>
    <row r="528" spans="1:68" ht="27" hidden="1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9"/>
      <c r="R528" s="649"/>
      <c r="S528" s="649"/>
      <c r="T528" s="650"/>
      <c r="U528" s="34"/>
      <c r="V528" s="34"/>
      <c r="W528" s="35" t="s">
        <v>67</v>
      </c>
      <c r="X528" s="633">
        <v>0</v>
      </c>
      <c r="Y528" s="634">
        <f t="shared" si="76"/>
        <v>0</v>
      </c>
      <c r="Z528" s="36" t="str">
        <f>IFERROR(IF(Y528=0,"",ROUNDUP(Y528/H528,0)*0.01196),"")</f>
        <v/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0</v>
      </c>
      <c r="BN528" s="64">
        <f t="shared" si="78"/>
        <v>0</v>
      </c>
      <c r="BO528" s="64">
        <f t="shared" si="79"/>
        <v>0</v>
      </c>
      <c r="BP528" s="64">
        <f t="shared" si="80"/>
        <v>0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9"/>
      <c r="R529" s="649"/>
      <c r="S529" s="649"/>
      <c r="T529" s="650"/>
      <c r="U529" s="34"/>
      <c r="V529" s="34"/>
      <c r="W529" s="35" t="s">
        <v>67</v>
      </c>
      <c r="X529" s="633">
        <v>100</v>
      </c>
      <c r="Y529" s="634">
        <f t="shared" si="76"/>
        <v>100.32000000000001</v>
      </c>
      <c r="Z529" s="36">
        <f>IFERROR(IF(Y529=0,"",ROUNDUP(Y529/H529,0)*0.01196),"")</f>
        <v>0.22724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106.62878787878788</v>
      </c>
      <c r="BN529" s="64">
        <f t="shared" si="78"/>
        <v>106.97</v>
      </c>
      <c r="BO529" s="64">
        <f t="shared" si="79"/>
        <v>0.18210955710955709</v>
      </c>
      <c r="BP529" s="64">
        <f t="shared" si="80"/>
        <v>0.18269230769230771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8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9"/>
      <c r="R530" s="649"/>
      <c r="S530" s="649"/>
      <c r="T530" s="650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9"/>
      <c r="R531" s="649"/>
      <c r="S531" s="649"/>
      <c r="T531" s="650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4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9"/>
      <c r="R532" s="649"/>
      <c r="S532" s="649"/>
      <c r="T532" s="650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3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9"/>
      <c r="R533" s="649"/>
      <c r="S533" s="649"/>
      <c r="T533" s="650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6"/>
      <c r="B534" s="642"/>
      <c r="C534" s="642"/>
      <c r="D534" s="642"/>
      <c r="E534" s="642"/>
      <c r="F534" s="642"/>
      <c r="G534" s="642"/>
      <c r="H534" s="642"/>
      <c r="I534" s="642"/>
      <c r="J534" s="642"/>
      <c r="K534" s="642"/>
      <c r="L534" s="642"/>
      <c r="M534" s="642"/>
      <c r="N534" s="642"/>
      <c r="O534" s="647"/>
      <c r="P534" s="643" t="s">
        <v>69</v>
      </c>
      <c r="Q534" s="644"/>
      <c r="R534" s="644"/>
      <c r="S534" s="644"/>
      <c r="T534" s="644"/>
      <c r="U534" s="644"/>
      <c r="V534" s="645"/>
      <c r="W534" s="37" t="s">
        <v>70</v>
      </c>
      <c r="X534" s="635">
        <f>IFERROR(X527/H527,"0")+IFERROR(X528/H528,"0")+IFERROR(X529/H529,"0")+IFERROR(X530/H530,"0")+IFERROR(X531/H531,"0")+IFERROR(X532/H532,"0")+IFERROR(X533/H533,"0")</f>
        <v>34.090909090909086</v>
      </c>
      <c r="Y534" s="635">
        <f>IFERROR(Y527/H527,"0")+IFERROR(Y528/H528,"0")+IFERROR(Y529/H529,"0")+IFERROR(Y530/H530,"0")+IFERROR(Y531/H531,"0")+IFERROR(Y532/H532,"0")+IFERROR(Y533/H533,"0")</f>
        <v>35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0.41859999999999997</v>
      </c>
      <c r="AA534" s="636"/>
      <c r="AB534" s="636"/>
      <c r="AC534" s="636"/>
    </row>
    <row r="535" spans="1:68" x14ac:dyDescent="0.2">
      <c r="A535" s="642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47"/>
      <c r="P535" s="643" t="s">
        <v>69</v>
      </c>
      <c r="Q535" s="644"/>
      <c r="R535" s="644"/>
      <c r="S535" s="644"/>
      <c r="T535" s="644"/>
      <c r="U535" s="644"/>
      <c r="V535" s="645"/>
      <c r="W535" s="37" t="s">
        <v>67</v>
      </c>
      <c r="X535" s="635">
        <f>IFERROR(SUM(X527:X533),"0")</f>
        <v>180</v>
      </c>
      <c r="Y535" s="635">
        <f>IFERROR(SUM(Y527:Y533),"0")</f>
        <v>184.8</v>
      </c>
      <c r="Z535" s="37"/>
      <c r="AA535" s="636"/>
      <c r="AB535" s="636"/>
      <c r="AC535" s="636"/>
    </row>
    <row r="536" spans="1:68" ht="27.75" hidden="1" customHeight="1" x14ac:dyDescent="0.2">
      <c r="A536" s="672" t="s">
        <v>839</v>
      </c>
      <c r="B536" s="673"/>
      <c r="C536" s="673"/>
      <c r="D536" s="673"/>
      <c r="E536" s="673"/>
      <c r="F536" s="673"/>
      <c r="G536" s="673"/>
      <c r="H536" s="673"/>
      <c r="I536" s="673"/>
      <c r="J536" s="673"/>
      <c r="K536" s="673"/>
      <c r="L536" s="673"/>
      <c r="M536" s="673"/>
      <c r="N536" s="673"/>
      <c r="O536" s="673"/>
      <c r="P536" s="673"/>
      <c r="Q536" s="673"/>
      <c r="R536" s="673"/>
      <c r="S536" s="673"/>
      <c r="T536" s="673"/>
      <c r="U536" s="673"/>
      <c r="V536" s="673"/>
      <c r="W536" s="673"/>
      <c r="X536" s="673"/>
      <c r="Y536" s="673"/>
      <c r="Z536" s="673"/>
      <c r="AA536" s="48"/>
      <c r="AB536" s="48"/>
      <c r="AC536" s="48"/>
    </row>
    <row r="537" spans="1:68" ht="16.5" hidden="1" customHeight="1" x14ac:dyDescent="0.25">
      <c r="A537" s="641" t="s">
        <v>839</v>
      </c>
      <c r="B537" s="642"/>
      <c r="C537" s="642"/>
      <c r="D537" s="642"/>
      <c r="E537" s="642"/>
      <c r="F537" s="642"/>
      <c r="G537" s="642"/>
      <c r="H537" s="642"/>
      <c r="I537" s="642"/>
      <c r="J537" s="642"/>
      <c r="K537" s="642"/>
      <c r="L537" s="642"/>
      <c r="M537" s="642"/>
      <c r="N537" s="642"/>
      <c r="O537" s="642"/>
      <c r="P537" s="642"/>
      <c r="Q537" s="642"/>
      <c r="R537" s="642"/>
      <c r="S537" s="642"/>
      <c r="T537" s="642"/>
      <c r="U537" s="642"/>
      <c r="V537" s="642"/>
      <c r="W537" s="642"/>
      <c r="X537" s="642"/>
      <c r="Y537" s="642"/>
      <c r="Z537" s="642"/>
      <c r="AA537" s="627"/>
      <c r="AB537" s="627"/>
      <c r="AC537" s="627"/>
    </row>
    <row r="538" spans="1:68" ht="14.25" hidden="1" customHeight="1" x14ac:dyDescent="0.25">
      <c r="A538" s="661" t="s">
        <v>119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28"/>
      <c r="AB538" s="628"/>
      <c r="AC538" s="628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14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9"/>
      <c r="R539" s="649"/>
      <c r="S539" s="649"/>
      <c r="T539" s="650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6"/>
      <c r="B540" s="642"/>
      <c r="C540" s="642"/>
      <c r="D540" s="642"/>
      <c r="E540" s="642"/>
      <c r="F540" s="642"/>
      <c r="G540" s="642"/>
      <c r="H540" s="642"/>
      <c r="I540" s="642"/>
      <c r="J540" s="642"/>
      <c r="K540" s="642"/>
      <c r="L540" s="642"/>
      <c r="M540" s="642"/>
      <c r="N540" s="642"/>
      <c r="O540" s="647"/>
      <c r="P540" s="643" t="s">
        <v>69</v>
      </c>
      <c r="Q540" s="644"/>
      <c r="R540" s="644"/>
      <c r="S540" s="644"/>
      <c r="T540" s="644"/>
      <c r="U540" s="644"/>
      <c r="V540" s="645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2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47"/>
      <c r="P541" s="643" t="s">
        <v>69</v>
      </c>
      <c r="Q541" s="644"/>
      <c r="R541" s="644"/>
      <c r="S541" s="644"/>
      <c r="T541" s="644"/>
      <c r="U541" s="644"/>
      <c r="V541" s="645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61" t="s">
        <v>154</v>
      </c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42"/>
      <c r="P542" s="642"/>
      <c r="Q542" s="642"/>
      <c r="R542" s="642"/>
      <c r="S542" s="642"/>
      <c r="T542" s="642"/>
      <c r="U542" s="642"/>
      <c r="V542" s="642"/>
      <c r="W542" s="642"/>
      <c r="X542" s="642"/>
      <c r="Y542" s="642"/>
      <c r="Z542" s="642"/>
      <c r="AA542" s="628"/>
      <c r="AB542" s="628"/>
      <c r="AC542" s="628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97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9"/>
      <c r="R543" s="649"/>
      <c r="S543" s="649"/>
      <c r="T543" s="650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6"/>
      <c r="B544" s="642"/>
      <c r="C544" s="642"/>
      <c r="D544" s="642"/>
      <c r="E544" s="642"/>
      <c r="F544" s="642"/>
      <c r="G544" s="642"/>
      <c r="H544" s="642"/>
      <c r="I544" s="642"/>
      <c r="J544" s="642"/>
      <c r="K544" s="642"/>
      <c r="L544" s="642"/>
      <c r="M544" s="642"/>
      <c r="N544" s="642"/>
      <c r="O544" s="647"/>
      <c r="P544" s="643" t="s">
        <v>69</v>
      </c>
      <c r="Q544" s="644"/>
      <c r="R544" s="644"/>
      <c r="S544" s="644"/>
      <c r="T544" s="644"/>
      <c r="U544" s="644"/>
      <c r="V544" s="645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2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47"/>
      <c r="P545" s="643" t="s">
        <v>69</v>
      </c>
      <c r="Q545" s="644"/>
      <c r="R545" s="644"/>
      <c r="S545" s="644"/>
      <c r="T545" s="644"/>
      <c r="U545" s="644"/>
      <c r="V545" s="645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61" t="s">
        <v>62</v>
      </c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42"/>
      <c r="P546" s="642"/>
      <c r="Q546" s="642"/>
      <c r="R546" s="642"/>
      <c r="S546" s="642"/>
      <c r="T546" s="642"/>
      <c r="U546" s="642"/>
      <c r="V546" s="642"/>
      <c r="W546" s="642"/>
      <c r="X546" s="642"/>
      <c r="Y546" s="642"/>
      <c r="Z546" s="642"/>
      <c r="AA546" s="628"/>
      <c r="AB546" s="628"/>
      <c r="AC546" s="628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2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9"/>
      <c r="R547" s="649"/>
      <c r="S547" s="649"/>
      <c r="T547" s="650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6"/>
      <c r="B548" s="642"/>
      <c r="C548" s="642"/>
      <c r="D548" s="642"/>
      <c r="E548" s="642"/>
      <c r="F548" s="642"/>
      <c r="G548" s="642"/>
      <c r="H548" s="642"/>
      <c r="I548" s="642"/>
      <c r="J548" s="642"/>
      <c r="K548" s="642"/>
      <c r="L548" s="642"/>
      <c r="M548" s="642"/>
      <c r="N548" s="642"/>
      <c r="O548" s="647"/>
      <c r="P548" s="643" t="s">
        <v>69</v>
      </c>
      <c r="Q548" s="644"/>
      <c r="R548" s="644"/>
      <c r="S548" s="644"/>
      <c r="T548" s="644"/>
      <c r="U548" s="644"/>
      <c r="V548" s="645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2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47"/>
      <c r="P549" s="643" t="s">
        <v>69</v>
      </c>
      <c r="Q549" s="644"/>
      <c r="R549" s="644"/>
      <c r="S549" s="644"/>
      <c r="T549" s="644"/>
      <c r="U549" s="644"/>
      <c r="V549" s="645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61" t="s">
        <v>71</v>
      </c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42"/>
      <c r="P550" s="642"/>
      <c r="Q550" s="642"/>
      <c r="R550" s="642"/>
      <c r="S550" s="642"/>
      <c r="T550" s="642"/>
      <c r="U550" s="642"/>
      <c r="V550" s="642"/>
      <c r="W550" s="642"/>
      <c r="X550" s="642"/>
      <c r="Y550" s="642"/>
      <c r="Z550" s="642"/>
      <c r="AA550" s="628"/>
      <c r="AB550" s="628"/>
      <c r="AC550" s="628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88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9"/>
      <c r="R551" s="649"/>
      <c r="S551" s="649"/>
      <c r="T551" s="650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6"/>
      <c r="B552" s="642"/>
      <c r="C552" s="642"/>
      <c r="D552" s="642"/>
      <c r="E552" s="642"/>
      <c r="F552" s="642"/>
      <c r="G552" s="642"/>
      <c r="H552" s="642"/>
      <c r="I552" s="642"/>
      <c r="J552" s="642"/>
      <c r="K552" s="642"/>
      <c r="L552" s="642"/>
      <c r="M552" s="642"/>
      <c r="N552" s="642"/>
      <c r="O552" s="647"/>
      <c r="P552" s="643" t="s">
        <v>69</v>
      </c>
      <c r="Q552" s="644"/>
      <c r="R552" s="644"/>
      <c r="S552" s="644"/>
      <c r="T552" s="644"/>
      <c r="U552" s="644"/>
      <c r="V552" s="645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2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47"/>
      <c r="P553" s="643" t="s">
        <v>69</v>
      </c>
      <c r="Q553" s="644"/>
      <c r="R553" s="644"/>
      <c r="S553" s="644"/>
      <c r="T553" s="644"/>
      <c r="U553" s="644"/>
      <c r="V553" s="645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61" t="s">
        <v>172</v>
      </c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42"/>
      <c r="P554" s="642"/>
      <c r="Q554" s="642"/>
      <c r="R554" s="642"/>
      <c r="S554" s="642"/>
      <c r="T554" s="642"/>
      <c r="U554" s="642"/>
      <c r="V554" s="642"/>
      <c r="W554" s="642"/>
      <c r="X554" s="642"/>
      <c r="Y554" s="642"/>
      <c r="Z554" s="642"/>
      <c r="AA554" s="628"/>
      <c r="AB554" s="628"/>
      <c r="AC554" s="628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87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9"/>
      <c r="R555" s="649"/>
      <c r="S555" s="649"/>
      <c r="T555" s="650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9"/>
      <c r="R556" s="649"/>
      <c r="S556" s="649"/>
      <c r="T556" s="650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6"/>
      <c r="B557" s="642"/>
      <c r="C557" s="642"/>
      <c r="D557" s="642"/>
      <c r="E557" s="642"/>
      <c r="F557" s="642"/>
      <c r="G557" s="642"/>
      <c r="H557" s="642"/>
      <c r="I557" s="642"/>
      <c r="J557" s="642"/>
      <c r="K557" s="642"/>
      <c r="L557" s="642"/>
      <c r="M557" s="642"/>
      <c r="N557" s="642"/>
      <c r="O557" s="647"/>
      <c r="P557" s="643" t="s">
        <v>69</v>
      </c>
      <c r="Q557" s="644"/>
      <c r="R557" s="644"/>
      <c r="S557" s="644"/>
      <c r="T557" s="644"/>
      <c r="U557" s="644"/>
      <c r="V557" s="645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2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47"/>
      <c r="P558" s="643" t="s">
        <v>69</v>
      </c>
      <c r="Q558" s="644"/>
      <c r="R558" s="644"/>
      <c r="S558" s="644"/>
      <c r="T558" s="644"/>
      <c r="U558" s="644"/>
      <c r="V558" s="645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41" t="s">
        <v>857</v>
      </c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42"/>
      <c r="P559" s="642"/>
      <c r="Q559" s="642"/>
      <c r="R559" s="642"/>
      <c r="S559" s="642"/>
      <c r="T559" s="642"/>
      <c r="U559" s="642"/>
      <c r="V559" s="642"/>
      <c r="W559" s="642"/>
      <c r="X559" s="642"/>
      <c r="Y559" s="642"/>
      <c r="Z559" s="642"/>
      <c r="AA559" s="627"/>
      <c r="AB559" s="627"/>
      <c r="AC559" s="627"/>
    </row>
    <row r="560" spans="1:68" ht="14.25" hidden="1" customHeight="1" x14ac:dyDescent="0.25">
      <c r="A560" s="661" t="s">
        <v>154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28"/>
      <c r="AB560" s="628"/>
      <c r="AC560" s="628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9"/>
      <c r="R561" s="649"/>
      <c r="S561" s="649"/>
      <c r="T561" s="650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6"/>
      <c r="B562" s="642"/>
      <c r="C562" s="642"/>
      <c r="D562" s="642"/>
      <c r="E562" s="642"/>
      <c r="F562" s="642"/>
      <c r="G562" s="642"/>
      <c r="H562" s="642"/>
      <c r="I562" s="642"/>
      <c r="J562" s="642"/>
      <c r="K562" s="642"/>
      <c r="L562" s="642"/>
      <c r="M562" s="642"/>
      <c r="N562" s="642"/>
      <c r="O562" s="647"/>
      <c r="P562" s="643" t="s">
        <v>69</v>
      </c>
      <c r="Q562" s="644"/>
      <c r="R562" s="644"/>
      <c r="S562" s="644"/>
      <c r="T562" s="644"/>
      <c r="U562" s="644"/>
      <c r="V562" s="645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2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47"/>
      <c r="P563" s="643" t="s">
        <v>69</v>
      </c>
      <c r="Q563" s="644"/>
      <c r="R563" s="644"/>
      <c r="S563" s="644"/>
      <c r="T563" s="644"/>
      <c r="U563" s="644"/>
      <c r="V563" s="645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7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773"/>
      <c r="P564" s="687" t="s">
        <v>861</v>
      </c>
      <c r="Q564" s="688"/>
      <c r="R564" s="688"/>
      <c r="S564" s="688"/>
      <c r="T564" s="688"/>
      <c r="U564" s="688"/>
      <c r="V564" s="689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4752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4929.2800000000007</v>
      </c>
      <c r="Z564" s="37"/>
      <c r="AA564" s="636"/>
      <c r="AB564" s="636"/>
      <c r="AC564" s="636"/>
    </row>
    <row r="565" spans="1:68" x14ac:dyDescent="0.2">
      <c r="A565" s="642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773"/>
      <c r="P565" s="687" t="s">
        <v>862</v>
      </c>
      <c r="Q565" s="688"/>
      <c r="R565" s="688"/>
      <c r="S565" s="688"/>
      <c r="T565" s="688"/>
      <c r="U565" s="688"/>
      <c r="V565" s="689"/>
      <c r="W565" s="37" t="s">
        <v>67</v>
      </c>
      <c r="X565" s="635">
        <f>IFERROR(SUM(BM22:BM561),"0")</f>
        <v>5070.5791851178492</v>
      </c>
      <c r="Y565" s="635">
        <f>IFERROR(SUM(BN22:BN561),"0")</f>
        <v>5259.4030000000012</v>
      </c>
      <c r="Z565" s="37"/>
      <c r="AA565" s="636"/>
      <c r="AB565" s="636"/>
      <c r="AC565" s="636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773"/>
      <c r="P566" s="687" t="s">
        <v>863</v>
      </c>
      <c r="Q566" s="688"/>
      <c r="R566" s="688"/>
      <c r="S566" s="688"/>
      <c r="T566" s="688"/>
      <c r="U566" s="688"/>
      <c r="V566" s="689"/>
      <c r="W566" s="37" t="s">
        <v>864</v>
      </c>
      <c r="X566" s="38">
        <f>ROUNDUP(SUM(BO22:BO561),0)</f>
        <v>10</v>
      </c>
      <c r="Y566" s="38">
        <f>ROUNDUP(SUM(BP22:BP561),0)</f>
        <v>10</v>
      </c>
      <c r="Z566" s="37"/>
      <c r="AA566" s="636"/>
      <c r="AB566" s="636"/>
      <c r="AC566" s="636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773"/>
      <c r="P567" s="687" t="s">
        <v>865</v>
      </c>
      <c r="Q567" s="688"/>
      <c r="R567" s="688"/>
      <c r="S567" s="688"/>
      <c r="T567" s="688"/>
      <c r="U567" s="688"/>
      <c r="V567" s="689"/>
      <c r="W567" s="37" t="s">
        <v>67</v>
      </c>
      <c r="X567" s="635">
        <f>GrossWeightTotal+PalletQtyTotal*25</f>
        <v>5320.5791851178492</v>
      </c>
      <c r="Y567" s="635">
        <f>GrossWeightTotalR+PalletQtyTotalR*25</f>
        <v>5509.4030000000012</v>
      </c>
      <c r="Z567" s="37"/>
      <c r="AA567" s="636"/>
      <c r="AB567" s="636"/>
      <c r="AC567" s="636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773"/>
      <c r="P568" s="687" t="s">
        <v>866</v>
      </c>
      <c r="Q568" s="688"/>
      <c r="R568" s="688"/>
      <c r="S568" s="688"/>
      <c r="T568" s="688"/>
      <c r="U568" s="688"/>
      <c r="V568" s="689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1132.919867328774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1168</v>
      </c>
      <c r="Z568" s="37"/>
      <c r="AA568" s="636"/>
      <c r="AB568" s="636"/>
      <c r="AC568" s="636"/>
    </row>
    <row r="569" spans="1:68" ht="14.25" hidden="1" customHeight="1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773"/>
      <c r="P569" s="687" t="s">
        <v>867</v>
      </c>
      <c r="Q569" s="688"/>
      <c r="R569" s="688"/>
      <c r="S569" s="688"/>
      <c r="T569" s="688"/>
      <c r="U569" s="688"/>
      <c r="V569" s="689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11.086659999999997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25" t="s">
        <v>61</v>
      </c>
      <c r="C571" s="625" t="s">
        <v>100</v>
      </c>
      <c r="D571" s="666" t="s">
        <v>117</v>
      </c>
      <c r="E571" s="983"/>
      <c r="F571" s="983"/>
      <c r="G571" s="983"/>
      <c r="H571" s="983"/>
      <c r="I571" s="983"/>
      <c r="J571" s="797"/>
      <c r="K571" s="666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797"/>
      <c r="X571" s="666" t="s">
        <v>696</v>
      </c>
      <c r="Y571" s="797"/>
      <c r="Z571" s="666" t="s">
        <v>762</v>
      </c>
      <c r="AA571" s="797"/>
      <c r="AB571" s="625" t="s">
        <v>795</v>
      </c>
      <c r="AC571" s="666" t="s">
        <v>839</v>
      </c>
      <c r="AD571" s="797"/>
      <c r="AF571" s="626"/>
    </row>
    <row r="572" spans="1:68" ht="14.25" customHeight="1" thickTop="1" x14ac:dyDescent="0.2">
      <c r="A572" s="678" t="s">
        <v>870</v>
      </c>
      <c r="B572" s="666" t="s">
        <v>61</v>
      </c>
      <c r="C572" s="666" t="s">
        <v>101</v>
      </c>
      <c r="D572" s="666" t="s">
        <v>118</v>
      </c>
      <c r="E572" s="666" t="s">
        <v>134</v>
      </c>
      <c r="F572" s="666" t="s">
        <v>180</v>
      </c>
      <c r="G572" s="666" t="s">
        <v>204</v>
      </c>
      <c r="H572" s="666" t="s">
        <v>246</v>
      </c>
      <c r="I572" s="666" t="s">
        <v>259</v>
      </c>
      <c r="J572" s="666" t="s">
        <v>117</v>
      </c>
      <c r="K572" s="666" t="s">
        <v>333</v>
      </c>
      <c r="L572" s="666" t="s">
        <v>354</v>
      </c>
      <c r="M572" s="666" t="s">
        <v>418</v>
      </c>
      <c r="N572" s="626"/>
      <c r="O572" s="666" t="s">
        <v>484</v>
      </c>
      <c r="P572" s="666" t="s">
        <v>519</v>
      </c>
      <c r="Q572" s="666" t="s">
        <v>541</v>
      </c>
      <c r="R572" s="666" t="s">
        <v>550</v>
      </c>
      <c r="S572" s="666" t="s">
        <v>572</v>
      </c>
      <c r="T572" s="666" t="s">
        <v>579</v>
      </c>
      <c r="U572" s="666" t="s">
        <v>588</v>
      </c>
      <c r="V572" s="666" t="s">
        <v>674</v>
      </c>
      <c r="W572" s="666" t="s">
        <v>686</v>
      </c>
      <c r="X572" s="666" t="s">
        <v>697</v>
      </c>
      <c r="Y572" s="666" t="s">
        <v>746</v>
      </c>
      <c r="Z572" s="666" t="s">
        <v>763</v>
      </c>
      <c r="AA572" s="666" t="s">
        <v>783</v>
      </c>
      <c r="AB572" s="666" t="s">
        <v>795</v>
      </c>
      <c r="AC572" s="666" t="s">
        <v>839</v>
      </c>
      <c r="AD572" s="666" t="s">
        <v>857</v>
      </c>
      <c r="AF572" s="626"/>
    </row>
    <row r="573" spans="1:68" ht="13.5" customHeight="1" thickBot="1" x14ac:dyDescent="0.25">
      <c r="A573" s="679"/>
      <c r="B573" s="667"/>
      <c r="C573" s="667"/>
      <c r="D573" s="667"/>
      <c r="E573" s="667"/>
      <c r="F573" s="667"/>
      <c r="G573" s="667"/>
      <c r="H573" s="667"/>
      <c r="I573" s="667"/>
      <c r="J573" s="667"/>
      <c r="K573" s="667"/>
      <c r="L573" s="667"/>
      <c r="M573" s="667"/>
      <c r="N573" s="626"/>
      <c r="O573" s="667"/>
      <c r="P573" s="667"/>
      <c r="Q573" s="667"/>
      <c r="R573" s="667"/>
      <c r="S573" s="667"/>
      <c r="T573" s="667"/>
      <c r="U573" s="667"/>
      <c r="V573" s="667"/>
      <c r="W573" s="667"/>
      <c r="X573" s="667"/>
      <c r="Y573" s="667"/>
      <c r="Z573" s="667"/>
      <c r="AA573" s="667"/>
      <c r="AB573" s="667"/>
      <c r="AC573" s="667"/>
      <c r="AD573" s="667"/>
      <c r="AF573" s="626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14.4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136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211.5</v>
      </c>
      <c r="F574" s="46">
        <f>IFERROR(Y89*1,"0")+IFERROR(Y90*1,"0")+IFERROR(Y91*1,"0")+IFERROR(Y92*1,"0")+IFERROR(Y93*1,"0")+IFERROR(Y94*1,"0")+IFERROR(Y98*1,"0")+IFERROR(Y99*1,"0")+IFERROR(Y100*1,"0")+IFERROR(Y101*1,"0")</f>
        <v>578.70000000000005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493.2</v>
      </c>
      <c r="H574" s="46">
        <f>IFERROR(Y135*1,"0")+IFERROR(Y136*1,"0")+IFERROR(Y140*1,"0")+IFERROR(Y141*1,"0")+IFERROR(Y145*1,"0")+IFERROR(Y146*1,"0")</f>
        <v>34.96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228.76000000000002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234.06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934.19999999999993</v>
      </c>
      <c r="N574" s="626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5.4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50.4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241.79999999999998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554.86</v>
      </c>
      <c r="V574" s="46">
        <f>IFERROR(Y422*1,"0")+IFERROR(Y423*1,"0")+IFERROR(Y424*1,"0")+IFERROR(Y425*1,"0")</f>
        <v>0</v>
      </c>
      <c r="W574" s="46">
        <f>IFERROR(Y430*1,"0")+IFERROR(Y431*1,"0")+IFERROR(Y432*1,"0")</f>
        <v>4.2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615</v>
      </c>
      <c r="Y574" s="46">
        <f>IFERROR(Y467*1,"0")+IFERROR(Y468*1,"0")+IFERROR(Y472*1,"0")+IFERROR(Y476*1,"0")+IFERROR(Y477*1,"0")+IFERROR(Y478*1,"0")</f>
        <v>180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411.84000000000003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26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1 132,92"/>
        <filter val="1,90"/>
        <filter val="10"/>
        <filter val="10,00"/>
        <filter val="100,00"/>
        <filter val="112,00"/>
        <filter val="12,00"/>
        <filter val="120,00"/>
        <filter val="123,00"/>
        <filter val="125,00"/>
        <filter val="13,00"/>
        <filter val="131,00"/>
        <filter val="14,00"/>
        <filter val="140,00"/>
        <filter val="146,00"/>
        <filter val="147,00"/>
        <filter val="15,00"/>
        <filter val="15,51"/>
        <filter val="150,00"/>
        <filter val="153,00"/>
        <filter val="162,00"/>
        <filter val="17,41"/>
        <filter val="173,00"/>
        <filter val="176,00"/>
        <filter val="177,00"/>
        <filter val="18,00"/>
        <filter val="180,00"/>
        <filter val="181,79"/>
        <filter val="19,00"/>
        <filter val="19,56"/>
        <filter val="193,00"/>
        <filter val="2,14"/>
        <filter val="2,78"/>
        <filter val="20,00"/>
        <filter val="20,83"/>
        <filter val="20,85"/>
        <filter val="21,80"/>
        <filter val="216,00"/>
        <filter val="22,00"/>
        <filter val="220,00"/>
        <filter val="222,00"/>
        <filter val="225,00"/>
        <filter val="229,00"/>
        <filter val="24,00"/>
        <filter val="25,00"/>
        <filter val="25,93"/>
        <filter val="26,00"/>
        <filter val="262,00"/>
        <filter val="268,00"/>
        <filter val="28,00"/>
        <filter val="28,91"/>
        <filter val="29,00"/>
        <filter val="29,36"/>
        <filter val="296,00"/>
        <filter val="3,00"/>
        <filter val="3,17"/>
        <filter val="3,79"/>
        <filter val="30,00"/>
        <filter val="303,00"/>
        <filter val="34,09"/>
        <filter val="343,00"/>
        <filter val="39,33"/>
        <filter val="4 752,00"/>
        <filter val="4,00"/>
        <filter val="4,06"/>
        <filter val="40,00"/>
        <filter val="42,61"/>
        <filter val="442,00"/>
        <filter val="45,00"/>
        <filter val="5 070,58"/>
        <filter val="5 320,58"/>
        <filter val="5,00"/>
        <filter val="5,56"/>
        <filter val="50,00"/>
        <filter val="52,00"/>
        <filter val="553,00"/>
        <filter val="56,00"/>
        <filter val="59,07"/>
        <filter val="590,00"/>
        <filter val="6,00"/>
        <filter val="6,67"/>
        <filter val="60,00"/>
        <filter val="63,75"/>
        <filter val="64,00"/>
        <filter val="7,00"/>
        <filter val="70,00"/>
        <filter val="71,00"/>
        <filter val="72,72"/>
        <filter val="73,00"/>
        <filter val="74,00"/>
        <filter val="79,88"/>
        <filter val="8,00"/>
        <filter val="80,00"/>
        <filter val="82,00"/>
        <filter val="85,00"/>
        <filter val="90,62"/>
        <filter val="91,90"/>
      </filters>
    </filterColumn>
    <filterColumn colId="29" showButton="0"/>
    <filterColumn colId="30" showButton="0"/>
  </autoFilter>
  <mergeCells count="1007">
    <mergeCell ref="A8:C8"/>
    <mergeCell ref="P124:T124"/>
    <mergeCell ref="P410:T410"/>
    <mergeCell ref="P138:V138"/>
    <mergeCell ref="P151:T151"/>
    <mergeCell ref="A137:O138"/>
    <mergeCell ref="D268:E268"/>
    <mergeCell ref="P449:T449"/>
    <mergeCell ref="A10:C10"/>
    <mergeCell ref="P126:T126"/>
    <mergeCell ref="A497:Z497"/>
    <mergeCell ref="A217:Z217"/>
    <mergeCell ref="P218:T218"/>
    <mergeCell ref="P311:V311"/>
    <mergeCell ref="A335:O336"/>
    <mergeCell ref="A21:Z21"/>
    <mergeCell ref="A192:Z192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X17:X18"/>
    <mergeCell ref="D123:E123"/>
    <mergeCell ref="P373:T373"/>
    <mergeCell ref="P444:T444"/>
    <mergeCell ref="P385:T385"/>
    <mergeCell ref="P310:V310"/>
    <mergeCell ref="D515:E515"/>
    <mergeCell ref="K571:W571"/>
    <mergeCell ref="X571:Y571"/>
    <mergeCell ref="P123:T123"/>
    <mergeCell ref="P358:V358"/>
    <mergeCell ref="A554:Z554"/>
    <mergeCell ref="P110:T110"/>
    <mergeCell ref="P137:V137"/>
    <mergeCell ref="D218:E218"/>
    <mergeCell ref="P495:V495"/>
    <mergeCell ref="A320:Z320"/>
    <mergeCell ref="A494:O495"/>
    <mergeCell ref="P68:V68"/>
    <mergeCell ref="AC572:AC573"/>
    <mergeCell ref="P387:V387"/>
    <mergeCell ref="A552:O553"/>
    <mergeCell ref="M572:M573"/>
    <mergeCell ref="P65:T65"/>
    <mergeCell ref="P136:T136"/>
    <mergeCell ref="P70:T70"/>
    <mergeCell ref="D244:E244"/>
    <mergeCell ref="A358:O359"/>
    <mergeCell ref="P228:T228"/>
    <mergeCell ref="D171:E171"/>
    <mergeCell ref="D342:E342"/>
    <mergeCell ref="D571:J571"/>
    <mergeCell ref="Q6:R6"/>
    <mergeCell ref="P243:T243"/>
    <mergeCell ref="P528:T528"/>
    <mergeCell ref="A33:Z33"/>
    <mergeCell ref="A55:O56"/>
    <mergeCell ref="P419:V419"/>
    <mergeCell ref="P23:V23"/>
    <mergeCell ref="P272:V272"/>
    <mergeCell ref="P210:V210"/>
    <mergeCell ref="D110:E110"/>
    <mergeCell ref="V12:W12"/>
    <mergeCell ref="P519:V519"/>
    <mergeCell ref="L572:L573"/>
    <mergeCell ref="D237:E237"/>
    <mergeCell ref="A39:Z39"/>
    <mergeCell ref="A215:O216"/>
    <mergeCell ref="A337:Z337"/>
    <mergeCell ref="A142:O143"/>
    <mergeCell ref="P383:T383"/>
    <mergeCell ref="D522:E522"/>
    <mergeCell ref="P60:T60"/>
    <mergeCell ref="D547:E547"/>
    <mergeCell ref="D170:E170"/>
    <mergeCell ref="D341:E341"/>
    <mergeCell ref="A536:Z536"/>
    <mergeCell ref="D468:E468"/>
    <mergeCell ref="P72:T72"/>
    <mergeCell ref="P510:T510"/>
    <mergeCell ref="P185:V185"/>
    <mergeCell ref="P160:V160"/>
    <mergeCell ref="P427:V427"/>
    <mergeCell ref="P544:V544"/>
    <mergeCell ref="P216:V216"/>
    <mergeCell ref="P83:T83"/>
    <mergeCell ref="D271:E271"/>
    <mergeCell ref="P301:T301"/>
    <mergeCell ref="D385:E385"/>
    <mergeCell ref="P426:V426"/>
    <mergeCell ref="P295:T295"/>
    <mergeCell ref="P178:T178"/>
    <mergeCell ref="A520:Z520"/>
    <mergeCell ref="A509:Z509"/>
    <mergeCell ref="D372:E372"/>
    <mergeCell ref="P451:T451"/>
    <mergeCell ref="P245:T245"/>
    <mergeCell ref="P516:T516"/>
    <mergeCell ref="D188:E188"/>
    <mergeCell ref="P543:T543"/>
    <mergeCell ref="D424:E424"/>
    <mergeCell ref="P132:V132"/>
    <mergeCell ref="P303:V303"/>
    <mergeCell ref="P370:T370"/>
    <mergeCell ref="P297:T297"/>
    <mergeCell ref="AD17:AF18"/>
    <mergeCell ref="S572:S573"/>
    <mergeCell ref="U572:U573"/>
    <mergeCell ref="P167:V167"/>
    <mergeCell ref="D101:E101"/>
    <mergeCell ref="P142:V142"/>
    <mergeCell ref="A310:O311"/>
    <mergeCell ref="W572:W573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221:E221"/>
    <mergeCell ref="V11:W11"/>
    <mergeCell ref="A294:Z294"/>
    <mergeCell ref="D392:E392"/>
    <mergeCell ref="A465:Z465"/>
    <mergeCell ref="D457:E457"/>
    <mergeCell ref="P469:V469"/>
    <mergeCell ref="D165:E165"/>
    <mergeCell ref="P486:T486"/>
    <mergeCell ref="P342:T342"/>
    <mergeCell ref="P146:T146"/>
    <mergeCell ref="D152:E152"/>
    <mergeCell ref="D323:E323"/>
    <mergeCell ref="D223:E223"/>
    <mergeCell ref="D539:E539"/>
    <mergeCell ref="D228:E228"/>
    <mergeCell ref="D333:E333"/>
    <mergeCell ref="D404:E404"/>
    <mergeCell ref="D10:E10"/>
    <mergeCell ref="A23:O24"/>
    <mergeCell ref="P64:T64"/>
    <mergeCell ref="F10:G10"/>
    <mergeCell ref="P135:T135"/>
    <mergeCell ref="D34:E34"/>
    <mergeCell ref="D305:E305"/>
    <mergeCell ref="P362:T362"/>
    <mergeCell ref="D243:E243"/>
    <mergeCell ref="A479:O480"/>
    <mergeCell ref="D99:E99"/>
    <mergeCell ref="D270:E270"/>
    <mergeCell ref="D397:E397"/>
    <mergeCell ref="P376:V376"/>
    <mergeCell ref="A201:Z201"/>
    <mergeCell ref="D528:E528"/>
    <mergeCell ref="P364:T364"/>
    <mergeCell ref="D503:E503"/>
    <mergeCell ref="D279:E279"/>
    <mergeCell ref="P406:V406"/>
    <mergeCell ref="D450:E450"/>
    <mergeCell ref="D521:E521"/>
    <mergeCell ref="P439:T439"/>
    <mergeCell ref="D249:E249"/>
    <mergeCell ref="D276:E276"/>
    <mergeCell ref="P524:V524"/>
    <mergeCell ref="F17:F18"/>
    <mergeCell ref="D478:E478"/>
    <mergeCell ref="D164:E164"/>
    <mergeCell ref="D462:E462"/>
    <mergeCell ref="P62:T62"/>
    <mergeCell ref="P181:T181"/>
    <mergeCell ref="A499:O500"/>
    <mergeCell ref="P357:T357"/>
    <mergeCell ref="D29:E29"/>
    <mergeCell ref="D265:E265"/>
    <mergeCell ref="P515:T515"/>
    <mergeCell ref="P195:V195"/>
    <mergeCell ref="A20:Z20"/>
    <mergeCell ref="A194:O195"/>
    <mergeCell ref="A31:O32"/>
    <mergeCell ref="N17:N18"/>
    <mergeCell ref="D54:E54"/>
    <mergeCell ref="P2:W3"/>
    <mergeCell ref="P298:T298"/>
    <mergeCell ref="P369:T369"/>
    <mergeCell ref="P54:T54"/>
    <mergeCell ref="P347:T347"/>
    <mergeCell ref="D35:E35"/>
    <mergeCell ref="Q5:R5"/>
    <mergeCell ref="D107:E107"/>
    <mergeCell ref="D163:E163"/>
    <mergeCell ref="D278:E278"/>
    <mergeCell ref="D405:E405"/>
    <mergeCell ref="P484:T484"/>
    <mergeCell ref="D239:E239"/>
    <mergeCell ref="D266:E266"/>
    <mergeCell ref="P74:V74"/>
    <mergeCell ref="U17:V17"/>
    <mergeCell ref="Y17:Y18"/>
    <mergeCell ref="A426:O427"/>
    <mergeCell ref="D513:E513"/>
    <mergeCell ref="P286:V286"/>
    <mergeCell ref="P415:T415"/>
    <mergeCell ref="P479:V479"/>
    <mergeCell ref="A544:O545"/>
    <mergeCell ref="A463:O464"/>
    <mergeCell ref="P262:V262"/>
    <mergeCell ref="D364:E364"/>
    <mergeCell ref="A155:O156"/>
    <mergeCell ref="D484:E484"/>
    <mergeCell ref="P84:T84"/>
    <mergeCell ref="P222:T222"/>
    <mergeCell ref="A466:Z466"/>
    <mergeCell ref="D504:E504"/>
    <mergeCell ref="M17:M18"/>
    <mergeCell ref="O17:O18"/>
    <mergeCell ref="P131:V131"/>
    <mergeCell ref="A248:Z248"/>
    <mergeCell ref="P430:T430"/>
    <mergeCell ref="A104:Z104"/>
    <mergeCell ref="P350:V350"/>
    <mergeCell ref="P494:V494"/>
    <mergeCell ref="P417:T417"/>
    <mergeCell ref="D531:E531"/>
    <mergeCell ref="A508:Z508"/>
    <mergeCell ref="D177:E177"/>
    <mergeCell ref="P287:V287"/>
    <mergeCell ref="A312:Z312"/>
    <mergeCell ref="A483:Z483"/>
    <mergeCell ref="P183:T183"/>
    <mergeCell ref="D226:E226"/>
    <mergeCell ref="A9:C9"/>
    <mergeCell ref="P125:T125"/>
    <mergeCell ref="P321:T321"/>
    <mergeCell ref="D373:E373"/>
    <mergeCell ref="P112:T112"/>
    <mergeCell ref="C572:C573"/>
    <mergeCell ref="P348:T348"/>
    <mergeCell ref="P273:V273"/>
    <mergeCell ref="E572:E5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P41:T41"/>
    <mergeCell ref="D84:E84"/>
    <mergeCell ref="D22:E22"/>
    <mergeCell ref="A157:Z157"/>
    <mergeCell ref="A127:O128"/>
    <mergeCell ref="V6:W9"/>
    <mergeCell ref="P109:T109"/>
    <mergeCell ref="H5:M5"/>
    <mergeCell ref="P31:V31"/>
    <mergeCell ref="P473:V473"/>
    <mergeCell ref="P329:V329"/>
    <mergeCell ref="P98:T98"/>
    <mergeCell ref="D146:E146"/>
    <mergeCell ref="P225:T225"/>
    <mergeCell ref="P396:T396"/>
    <mergeCell ref="D6:M6"/>
    <mergeCell ref="D439:E439"/>
    <mergeCell ref="P461:T461"/>
    <mergeCell ref="A317:O318"/>
    <mergeCell ref="D510:E510"/>
    <mergeCell ref="P565:V565"/>
    <mergeCell ref="P175:T175"/>
    <mergeCell ref="P95:V95"/>
    <mergeCell ref="D83:E83"/>
    <mergeCell ref="P227:T227"/>
    <mergeCell ref="P398:T398"/>
    <mergeCell ref="D441:E441"/>
    <mergeCell ref="D512:E512"/>
    <mergeCell ref="P106:T106"/>
    <mergeCell ref="P177:T177"/>
    <mergeCell ref="P93:T93"/>
    <mergeCell ref="P226:T226"/>
    <mergeCell ref="P164:T164"/>
    <mergeCell ref="D207:E207"/>
    <mergeCell ref="P269:T269"/>
    <mergeCell ref="P120:V120"/>
    <mergeCell ref="D383:E383"/>
    <mergeCell ref="P462:T462"/>
    <mergeCell ref="A386:O387"/>
    <mergeCell ref="Z17:Z18"/>
    <mergeCell ref="P173:V173"/>
    <mergeCell ref="AB17:AB18"/>
    <mergeCell ref="A172:O173"/>
    <mergeCell ref="A212:Z212"/>
    <mergeCell ref="P458:V458"/>
    <mergeCell ref="A388:Z388"/>
    <mergeCell ref="A448:Z448"/>
    <mergeCell ref="D299:E299"/>
    <mergeCell ref="D370:E370"/>
    <mergeCell ref="A401:Z401"/>
    <mergeCell ref="D222:E222"/>
    <mergeCell ref="P35:T35"/>
    <mergeCell ref="G17:G18"/>
    <mergeCell ref="P333:T333"/>
    <mergeCell ref="D314:E314"/>
    <mergeCell ref="P413:V413"/>
    <mergeCell ref="D206:E206"/>
    <mergeCell ref="P247:V247"/>
    <mergeCell ref="P390:T390"/>
    <mergeCell ref="P241:V241"/>
    <mergeCell ref="A338:Z338"/>
    <mergeCell ref="D374:E374"/>
    <mergeCell ref="P80:V80"/>
    <mergeCell ref="D130:E130"/>
    <mergeCell ref="P34:T34"/>
    <mergeCell ref="A102:O103"/>
    <mergeCell ref="P276:T276"/>
    <mergeCell ref="P214:T214"/>
    <mergeCell ref="P270:T270"/>
    <mergeCell ref="P341:T341"/>
    <mergeCell ref="D384:E384"/>
    <mergeCell ref="AC17:AC18"/>
    <mergeCell ref="P485:T485"/>
    <mergeCell ref="A122:Z122"/>
    <mergeCell ref="P108:T108"/>
    <mergeCell ref="P279:T279"/>
    <mergeCell ref="D89:E89"/>
    <mergeCell ref="A420:Z420"/>
    <mergeCell ref="P472:T472"/>
    <mergeCell ref="P147:V147"/>
    <mergeCell ref="P254:T254"/>
    <mergeCell ref="P45:T45"/>
    <mergeCell ref="A435:Z435"/>
    <mergeCell ref="P487:T487"/>
    <mergeCell ref="P512:T512"/>
    <mergeCell ref="F572:F573"/>
    <mergeCell ref="D153:E153"/>
    <mergeCell ref="A288:Z288"/>
    <mergeCell ref="P530:T530"/>
    <mergeCell ref="P563:V563"/>
    <mergeCell ref="Y572:Y573"/>
    <mergeCell ref="P407:V407"/>
    <mergeCell ref="P121:V121"/>
    <mergeCell ref="P188:T188"/>
    <mergeCell ref="P553:V553"/>
    <mergeCell ref="A452:O453"/>
    <mergeCell ref="A169:Z169"/>
    <mergeCell ref="P551:T551"/>
    <mergeCell ref="P148:V148"/>
    <mergeCell ref="P59:T59"/>
    <mergeCell ref="P130:T130"/>
    <mergeCell ref="D136:E136"/>
    <mergeCell ref="P240:V240"/>
    <mergeCell ref="P561:T561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H10:M10"/>
    <mergeCell ref="AA17:AA18"/>
    <mergeCell ref="P552:V552"/>
    <mergeCell ref="P488:T488"/>
    <mergeCell ref="A507:Z507"/>
    <mergeCell ref="A412:O413"/>
    <mergeCell ref="P111:T111"/>
    <mergeCell ref="D154:E154"/>
    <mergeCell ref="D225:E225"/>
    <mergeCell ref="P282:T282"/>
    <mergeCell ref="P409:T409"/>
    <mergeCell ref="A399:O400"/>
    <mergeCell ref="A481:Z481"/>
    <mergeCell ref="D461:E461"/>
    <mergeCell ref="P61:T61"/>
    <mergeCell ref="P555:T555"/>
    <mergeCell ref="P346:T346"/>
    <mergeCell ref="D227:E227"/>
    <mergeCell ref="P299:T299"/>
    <mergeCell ref="P215:V215"/>
    <mergeCell ref="A40:Z40"/>
    <mergeCell ref="P386:V386"/>
    <mergeCell ref="D203:E203"/>
    <mergeCell ref="H17:H18"/>
    <mergeCell ref="P90:T90"/>
    <mergeCell ref="P532:T532"/>
    <mergeCell ref="A291:O292"/>
    <mergeCell ref="D204:E204"/>
    <mergeCell ref="P332:T332"/>
    <mergeCell ref="P452:V452"/>
    <mergeCell ref="P503:T503"/>
    <mergeCell ref="A518:O519"/>
    <mergeCell ref="D269:E269"/>
    <mergeCell ref="D440:E440"/>
    <mergeCell ref="D296:E296"/>
    <mergeCell ref="A505:O506"/>
    <mergeCell ref="D489:E489"/>
    <mergeCell ref="A252:Z252"/>
    <mergeCell ref="P27:T27"/>
    <mergeCell ref="P154:T154"/>
    <mergeCell ref="P325:T325"/>
    <mergeCell ref="P26:T26"/>
    <mergeCell ref="P153:T153"/>
    <mergeCell ref="P324:T324"/>
    <mergeCell ref="P511:T511"/>
    <mergeCell ref="A139:Z139"/>
    <mergeCell ref="P514:T514"/>
    <mergeCell ref="D422:E422"/>
    <mergeCell ref="P489:T489"/>
    <mergeCell ref="P22:T22"/>
    <mergeCell ref="D65:E65"/>
    <mergeCell ref="P193:T193"/>
    <mergeCell ref="P314:T314"/>
    <mergeCell ref="A88:Z88"/>
    <mergeCell ref="D415:E415"/>
    <mergeCell ref="Z571:AA571"/>
    <mergeCell ref="D477:E477"/>
    <mergeCell ref="P77:T77"/>
    <mergeCell ref="A133:Z133"/>
    <mergeCell ref="D125:E125"/>
    <mergeCell ref="P179:T179"/>
    <mergeCell ref="P204:T204"/>
    <mergeCell ref="P375:T375"/>
    <mergeCell ref="J9:M9"/>
    <mergeCell ref="D112:E112"/>
    <mergeCell ref="D283:E283"/>
    <mergeCell ref="A356:Z356"/>
    <mergeCell ref="P440:T440"/>
    <mergeCell ref="D348:E348"/>
    <mergeCell ref="D62:E62"/>
    <mergeCell ref="P141:T141"/>
    <mergeCell ref="D193:E193"/>
    <mergeCell ref="P206:T206"/>
    <mergeCell ref="P504:T504"/>
    <mergeCell ref="D176:E176"/>
    <mergeCell ref="D347:E347"/>
    <mergeCell ref="P155:V155"/>
    <mergeCell ref="D285:E285"/>
    <mergeCell ref="P562:V562"/>
    <mergeCell ref="P518:V518"/>
    <mergeCell ref="D64:E64"/>
    <mergeCell ref="D362:E362"/>
    <mergeCell ref="P441:T441"/>
    <mergeCell ref="D51:E51"/>
    <mergeCell ref="P549:V549"/>
    <mergeCell ref="D140:E140"/>
    <mergeCell ref="D267:E267"/>
    <mergeCell ref="P302:V302"/>
    <mergeCell ref="A232:O233"/>
    <mergeCell ref="A367:Z367"/>
    <mergeCell ref="P235:T235"/>
    <mergeCell ref="A365:O366"/>
    <mergeCell ref="P86:V86"/>
    <mergeCell ref="P477:T477"/>
    <mergeCell ref="P328:V328"/>
    <mergeCell ref="D476:E476"/>
    <mergeCell ref="A38:Z38"/>
    <mergeCell ref="P533:T533"/>
    <mergeCell ref="D371:E371"/>
    <mergeCell ref="D43:E43"/>
    <mergeCell ref="D485:E485"/>
    <mergeCell ref="P447:V447"/>
    <mergeCell ref="A560:Z560"/>
    <mergeCell ref="D346:E346"/>
    <mergeCell ref="P229:T229"/>
    <mergeCell ref="D438:E438"/>
    <mergeCell ref="P517:T517"/>
    <mergeCell ref="D425:E425"/>
    <mergeCell ref="P394:V394"/>
    <mergeCell ref="P547:T547"/>
    <mergeCell ref="D151:E151"/>
    <mergeCell ref="D449:E449"/>
    <mergeCell ref="P478:T478"/>
    <mergeCell ref="P107:T107"/>
    <mergeCell ref="P278:T278"/>
    <mergeCell ref="D321:E321"/>
    <mergeCell ref="P101:T101"/>
    <mergeCell ref="P194:V194"/>
    <mergeCell ref="P250:V250"/>
    <mergeCell ref="P51:T51"/>
    <mergeCell ref="P207:T207"/>
    <mergeCell ref="A274:Z274"/>
    <mergeCell ref="A131:O132"/>
    <mergeCell ref="A302:O303"/>
    <mergeCell ref="P172:V172"/>
    <mergeCell ref="T5:U5"/>
    <mergeCell ref="D119:E119"/>
    <mergeCell ref="V5:W5"/>
    <mergeCell ref="P203:T203"/>
    <mergeCell ref="A48:Z48"/>
    <mergeCell ref="A319:Z319"/>
    <mergeCell ref="P374:T374"/>
    <mergeCell ref="D488:E488"/>
    <mergeCell ref="P116:T116"/>
    <mergeCell ref="A105:Z105"/>
    <mergeCell ref="D78:E78"/>
    <mergeCell ref="A343:O344"/>
    <mergeCell ref="P384:T384"/>
    <mergeCell ref="D205:E205"/>
    <mergeCell ref="A378:Z378"/>
    <mergeCell ref="P455:T455"/>
    <mergeCell ref="P249:T249"/>
    <mergeCell ref="P307:V307"/>
    <mergeCell ref="P380:T380"/>
    <mergeCell ref="A13:M13"/>
    <mergeCell ref="P79:V79"/>
    <mergeCell ref="A69:Z69"/>
    <mergeCell ref="D61:E61"/>
    <mergeCell ref="A196:Z196"/>
    <mergeCell ref="D254:E254"/>
    <mergeCell ref="A15:M15"/>
    <mergeCell ref="X572:X573"/>
    <mergeCell ref="D111:E111"/>
    <mergeCell ref="D282:E282"/>
    <mergeCell ref="Z572:Z573"/>
    <mergeCell ref="D409:E409"/>
    <mergeCell ref="Q8:R8"/>
    <mergeCell ref="P140:T140"/>
    <mergeCell ref="D183:E183"/>
    <mergeCell ref="P267:T267"/>
    <mergeCell ref="P438:T438"/>
    <mergeCell ref="D444:E444"/>
    <mergeCell ref="D219:E219"/>
    <mergeCell ref="D275:E275"/>
    <mergeCell ref="P425:T425"/>
    <mergeCell ref="T6:U9"/>
    <mergeCell ref="D340:E340"/>
    <mergeCell ref="A349:O350"/>
    <mergeCell ref="D533:E533"/>
    <mergeCell ref="Q10:R10"/>
    <mergeCell ref="D41:E41"/>
    <mergeCell ref="A429:Z429"/>
    <mergeCell ref="P296:T296"/>
    <mergeCell ref="D277:E277"/>
    <mergeCell ref="P318:V318"/>
    <mergeCell ref="D220:E220"/>
    <mergeCell ref="D391:E391"/>
    <mergeCell ref="P199:V199"/>
    <mergeCell ref="A198:O199"/>
    <mergeCell ref="P344:V344"/>
    <mergeCell ref="G572:G573"/>
    <mergeCell ref="I572:I573"/>
    <mergeCell ref="P306:V306"/>
    <mergeCell ref="P43:T43"/>
    <mergeCell ref="P285:T285"/>
    <mergeCell ref="P434:V434"/>
    <mergeCell ref="A433:O434"/>
    <mergeCell ref="A253:Z253"/>
    <mergeCell ref="A12:M12"/>
    <mergeCell ref="P499:V499"/>
    <mergeCell ref="P355:V355"/>
    <mergeCell ref="D487:E487"/>
    <mergeCell ref="P397:T397"/>
    <mergeCell ref="A482:Z482"/>
    <mergeCell ref="A538:Z538"/>
    <mergeCell ref="A19:Z19"/>
    <mergeCell ref="P372:T372"/>
    <mergeCell ref="D182:E182"/>
    <mergeCell ref="P292:V292"/>
    <mergeCell ref="A14:M14"/>
    <mergeCell ref="D109:E109"/>
    <mergeCell ref="P163:T163"/>
    <mergeCell ref="D280:E280"/>
    <mergeCell ref="P424:T424"/>
    <mergeCell ref="D467:E467"/>
    <mergeCell ref="P85:V85"/>
    <mergeCell ref="P256:V256"/>
    <mergeCell ref="P305:T305"/>
    <mergeCell ref="A421:Z421"/>
    <mergeCell ref="A304:Z304"/>
    <mergeCell ref="P224:T224"/>
    <mergeCell ref="P322:T322"/>
    <mergeCell ref="P89:T89"/>
    <mergeCell ref="P260:T260"/>
    <mergeCell ref="D59:E59"/>
    <mergeCell ref="A272:O273"/>
    <mergeCell ref="A406:O407"/>
    <mergeCell ref="P67:V67"/>
    <mergeCell ref="A210:O211"/>
    <mergeCell ref="A263:Z263"/>
    <mergeCell ref="P239:T239"/>
    <mergeCell ref="P264:T264"/>
    <mergeCell ref="P119:T119"/>
    <mergeCell ref="P354:V354"/>
    <mergeCell ref="A115:Z115"/>
    <mergeCell ref="D380:E380"/>
    <mergeCell ref="P402:T402"/>
    <mergeCell ref="D245:E245"/>
    <mergeCell ref="D301:E301"/>
    <mergeCell ref="D445:E445"/>
    <mergeCell ref="AC571:AD571"/>
    <mergeCell ref="P291:V291"/>
    <mergeCell ref="D551:E551"/>
    <mergeCell ref="A557:O558"/>
    <mergeCell ref="P540:V540"/>
    <mergeCell ref="P309:T309"/>
    <mergeCell ref="P505:V505"/>
    <mergeCell ref="D295:E295"/>
    <mergeCell ref="D178:E178"/>
    <mergeCell ref="D555:E555"/>
    <mergeCell ref="P534:V534"/>
    <mergeCell ref="A559:Z559"/>
    <mergeCell ref="P525:V525"/>
    <mergeCell ref="A546:Z546"/>
    <mergeCell ref="A496:Z496"/>
    <mergeCell ref="P500:V500"/>
    <mergeCell ref="P238:T238"/>
    <mergeCell ref="A564:O569"/>
    <mergeCell ref="D106:E106"/>
    <mergeCell ref="D416:E416"/>
    <mergeCell ref="P283:T283"/>
    <mergeCell ref="D93:E93"/>
    <mergeCell ref="D264:E264"/>
    <mergeCell ref="P277:T277"/>
    <mergeCell ref="AA572:AA573"/>
    <mergeCell ref="D166:E166"/>
    <mergeCell ref="P128:V128"/>
    <mergeCell ref="D402:E402"/>
    <mergeCell ref="A537:Z537"/>
    <mergeCell ref="A17:A18"/>
    <mergeCell ref="K17:K18"/>
    <mergeCell ref="P300:T300"/>
    <mergeCell ref="C17:C18"/>
    <mergeCell ref="P371:T371"/>
    <mergeCell ref="P431:T431"/>
    <mergeCell ref="P493:T493"/>
    <mergeCell ref="D230:E230"/>
    <mergeCell ref="P529:T529"/>
    <mergeCell ref="D339:E339"/>
    <mergeCell ref="A548:O549"/>
    <mergeCell ref="P66:T66"/>
    <mergeCell ref="D180:E180"/>
    <mergeCell ref="D118:E118"/>
    <mergeCell ref="P53:T53"/>
    <mergeCell ref="P197:T197"/>
    <mergeCell ref="A354:O355"/>
    <mergeCell ref="P289:T289"/>
    <mergeCell ref="P422:T422"/>
    <mergeCell ref="D403:E403"/>
    <mergeCell ref="A534:O535"/>
    <mergeCell ref="A328:O329"/>
    <mergeCell ref="P127:V127"/>
    <mergeCell ref="D390:E390"/>
    <mergeCell ref="P198:V198"/>
    <mergeCell ref="P491:V491"/>
    <mergeCell ref="D561:E561"/>
    <mergeCell ref="A5:C5"/>
    <mergeCell ref="P418:V418"/>
    <mergeCell ref="A492:Z492"/>
    <mergeCell ref="P412:V412"/>
    <mergeCell ref="A408:Z408"/>
    <mergeCell ref="P340:T340"/>
    <mergeCell ref="P191:V191"/>
    <mergeCell ref="A187:Z187"/>
    <mergeCell ref="D179:E179"/>
    <mergeCell ref="P349:V349"/>
    <mergeCell ref="A174:Z174"/>
    <mergeCell ref="D9:E9"/>
    <mergeCell ref="F9:G9"/>
    <mergeCell ref="D530:E530"/>
    <mergeCell ref="P186:V186"/>
    <mergeCell ref="A418:O419"/>
    <mergeCell ref="A185:O186"/>
    <mergeCell ref="P353:T353"/>
    <mergeCell ref="A134:Z134"/>
    <mergeCell ref="D532:E532"/>
    <mergeCell ref="P75:V75"/>
    <mergeCell ref="P317:V317"/>
    <mergeCell ref="D63:E63"/>
    <mergeCell ref="A542:Z542"/>
    <mergeCell ref="D334:E334"/>
    <mergeCell ref="P572:P573"/>
    <mergeCell ref="P281:T281"/>
    <mergeCell ref="H572:H573"/>
    <mergeCell ref="P523:T523"/>
    <mergeCell ref="J572:J573"/>
    <mergeCell ref="R572:R573"/>
    <mergeCell ref="P470:V470"/>
    <mergeCell ref="D72:E72"/>
    <mergeCell ref="P498:T498"/>
    <mergeCell ref="D235:E235"/>
    <mergeCell ref="Q9:R9"/>
    <mergeCell ref="P463:V463"/>
    <mergeCell ref="A331:Z331"/>
    <mergeCell ref="D255:E255"/>
    <mergeCell ref="D451:E451"/>
    <mergeCell ref="P36:V36"/>
    <mergeCell ref="P78:T78"/>
    <mergeCell ref="A97:Z97"/>
    <mergeCell ref="Q11:R11"/>
    <mergeCell ref="D322:E322"/>
    <mergeCell ref="D260:E260"/>
    <mergeCell ref="A395:Z395"/>
    <mergeCell ref="P205:T205"/>
    <mergeCell ref="D309:E309"/>
    <mergeCell ref="P180:T180"/>
    <mergeCell ref="P118:T118"/>
    <mergeCell ref="P416:T416"/>
    <mergeCell ref="P336:V336"/>
    <mergeCell ref="D26:E26"/>
    <mergeCell ref="A161:Z161"/>
    <mergeCell ref="D324:E324"/>
    <mergeCell ref="P403:T403"/>
    <mergeCell ref="P557:V557"/>
    <mergeCell ref="A308:Z308"/>
    <mergeCell ref="D100:E100"/>
    <mergeCell ref="P284:T284"/>
    <mergeCell ref="P17:T18"/>
    <mergeCell ref="A471:Z471"/>
    <mergeCell ref="P63:T63"/>
    <mergeCell ref="D523:E523"/>
    <mergeCell ref="D158:E158"/>
    <mergeCell ref="A167:O168"/>
    <mergeCell ref="D229:E229"/>
    <mergeCell ref="D77:E77"/>
    <mergeCell ref="D108:E108"/>
    <mergeCell ref="D375:E375"/>
    <mergeCell ref="D44:E44"/>
    <mergeCell ref="D369:E369"/>
    <mergeCell ref="P423:T423"/>
    <mergeCell ref="P52:T52"/>
    <mergeCell ref="P223:T223"/>
    <mergeCell ref="P556:T556"/>
    <mergeCell ref="A540:O541"/>
    <mergeCell ref="I17:I18"/>
    <mergeCell ref="D141:E141"/>
    <mergeCell ref="D135:E135"/>
    <mergeCell ref="P189:T189"/>
    <mergeCell ref="P114:V114"/>
    <mergeCell ref="P456:T456"/>
    <mergeCell ref="A246:O247"/>
    <mergeCell ref="D517:E517"/>
    <mergeCell ref="D514:E514"/>
    <mergeCell ref="P166:T166"/>
    <mergeCell ref="D209:E209"/>
    <mergeCell ref="D1:F1"/>
    <mergeCell ref="P190:V190"/>
    <mergeCell ref="P46:V46"/>
    <mergeCell ref="A242:Z242"/>
    <mergeCell ref="A469:O470"/>
    <mergeCell ref="A234:Z234"/>
    <mergeCell ref="J17:J18"/>
    <mergeCell ref="D82:E82"/>
    <mergeCell ref="L17:L18"/>
    <mergeCell ref="A85:O86"/>
    <mergeCell ref="P359:V359"/>
    <mergeCell ref="D511:E511"/>
    <mergeCell ref="P255:T255"/>
    <mergeCell ref="P490:V490"/>
    <mergeCell ref="A6:C6"/>
    <mergeCell ref="P117:T117"/>
    <mergeCell ref="H1:Q1"/>
    <mergeCell ref="A330:Z330"/>
    <mergeCell ref="P480:V480"/>
    <mergeCell ref="A501:Z501"/>
    <mergeCell ref="D5:E5"/>
    <mergeCell ref="D7:M7"/>
    <mergeCell ref="D8:M8"/>
    <mergeCell ref="R1:T1"/>
    <mergeCell ref="P457:T457"/>
    <mergeCell ref="D486:E486"/>
    <mergeCell ref="D52:E52"/>
    <mergeCell ref="D27:E27"/>
    <mergeCell ref="A162:Z162"/>
    <mergeCell ref="A67:O68"/>
    <mergeCell ref="D325:E325"/>
    <mergeCell ref="P208:T208"/>
    <mergeCell ref="P541:V541"/>
    <mergeCell ref="D214:E214"/>
    <mergeCell ref="D284:E284"/>
    <mergeCell ref="P539:T539"/>
    <mergeCell ref="P246:V246"/>
    <mergeCell ref="D259:E259"/>
    <mergeCell ref="D28:E28"/>
    <mergeCell ref="D326:E326"/>
    <mergeCell ref="P405:T405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D92:E92"/>
    <mergeCell ref="P171:T171"/>
    <mergeCell ref="D30:E30"/>
    <mergeCell ref="A95:O96"/>
    <mergeCell ref="D353:E353"/>
    <mergeCell ref="A361:Z361"/>
    <mergeCell ref="A393:O394"/>
    <mergeCell ref="A524:O525"/>
    <mergeCell ref="P382:T382"/>
    <mergeCell ref="P42:T42"/>
    <mergeCell ref="P28:T28"/>
    <mergeCell ref="A74:O75"/>
    <mergeCell ref="P326:T326"/>
    <mergeCell ref="D332:E332"/>
    <mergeCell ref="P392:T392"/>
    <mergeCell ref="P548:V548"/>
    <mergeCell ref="P236:T236"/>
    <mergeCell ref="A81:Z81"/>
    <mergeCell ref="P92:T92"/>
    <mergeCell ref="P156:V156"/>
    <mergeCell ref="P334:T334"/>
    <mergeCell ref="D315:E315"/>
    <mergeCell ref="D442:E442"/>
    <mergeCell ref="P521:T521"/>
    <mergeCell ref="D502:E502"/>
    <mergeCell ref="A159:O160"/>
    <mergeCell ref="P29:T29"/>
    <mergeCell ref="P100:T100"/>
    <mergeCell ref="P271:T271"/>
    <mergeCell ref="P535:V535"/>
    <mergeCell ref="P94:T94"/>
    <mergeCell ref="P265:T265"/>
    <mergeCell ref="D208:E208"/>
    <mergeCell ref="D379:E379"/>
    <mergeCell ref="P44:T44"/>
    <mergeCell ref="D300:E300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D71:E71"/>
    <mergeCell ref="P221:T221"/>
    <mergeCell ref="P566:V566"/>
    <mergeCell ref="P209:T209"/>
    <mergeCell ref="P445:T445"/>
    <mergeCell ref="W17:W18"/>
    <mergeCell ref="A50:Z50"/>
    <mergeCell ref="P96:V96"/>
    <mergeCell ref="A562:O563"/>
    <mergeCell ref="P261:V261"/>
    <mergeCell ref="AB572:AB573"/>
    <mergeCell ref="A213:Z213"/>
    <mergeCell ref="P459:V459"/>
    <mergeCell ref="AD572:AD573"/>
    <mergeCell ref="T572:T573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189:E189"/>
    <mergeCell ref="D493:E493"/>
    <mergeCell ref="D431:E431"/>
    <mergeCell ref="P99:T99"/>
    <mergeCell ref="P170:T170"/>
    <mergeCell ref="A360:Z360"/>
    <mergeCell ref="P468:T468"/>
    <mergeCell ref="P393:V393"/>
    <mergeCell ref="A458:O459"/>
    <mergeCell ref="P564:V564"/>
    <mergeCell ref="D66:E66"/>
    <mergeCell ref="P113:V113"/>
    <mergeCell ref="D126:E126"/>
    <mergeCell ref="P145:T145"/>
    <mergeCell ref="D197:E197"/>
    <mergeCell ref="P316:T316"/>
    <mergeCell ref="D53:E53"/>
    <mergeCell ref="P232:V232"/>
    <mergeCell ref="P381:T381"/>
    <mergeCell ref="P443:T443"/>
    <mergeCell ref="P159:V159"/>
    <mergeCell ref="D289:E289"/>
    <mergeCell ref="D411:E411"/>
    <mergeCell ref="A473:O474"/>
    <mergeCell ref="A149:Z149"/>
    <mergeCell ref="K572:K573"/>
    <mergeCell ref="A46:O47"/>
    <mergeCell ref="P165:T165"/>
    <mergeCell ref="P400:V400"/>
    <mergeCell ref="P432:T432"/>
    <mergeCell ref="D98:E98"/>
    <mergeCell ref="P30:T30"/>
    <mergeCell ref="D73:E73"/>
    <mergeCell ref="P152:T152"/>
    <mergeCell ref="A147:O148"/>
    <mergeCell ref="A200:Z200"/>
    <mergeCell ref="P446:V446"/>
    <mergeCell ref="A436:Z436"/>
    <mergeCell ref="P464:V464"/>
    <mergeCell ref="P290:T290"/>
    <mergeCell ref="P531:T531"/>
    <mergeCell ref="A550:Z550"/>
    <mergeCell ref="P377:V377"/>
    <mergeCell ref="A202:Z202"/>
    <mergeCell ref="P233:V233"/>
    <mergeCell ref="P37:V37"/>
    <mergeCell ref="A58:Z58"/>
    <mergeCell ref="A258:Z258"/>
    <mergeCell ref="P558:V558"/>
    <mergeCell ref="D297:E297"/>
    <mergeCell ref="P545:V545"/>
    <mergeCell ref="A256:O257"/>
    <mergeCell ref="D70:E70"/>
    <mergeCell ref="A79:O80"/>
    <mergeCell ref="P220:T220"/>
    <mergeCell ref="P391:T391"/>
    <mergeCell ref="D238:E238"/>
    <mergeCell ref="P506:V506"/>
    <mergeCell ref="D527:E527"/>
    <mergeCell ref="P335:V335"/>
    <mergeCell ref="A87:Z87"/>
    <mergeCell ref="P399:V399"/>
    <mergeCell ref="D145:E145"/>
    <mergeCell ref="D316:E316"/>
    <mergeCell ref="D443:E443"/>
    <mergeCell ref="A345:Z345"/>
    <mergeCell ref="D60:E60"/>
    <mergeCell ref="P73:T73"/>
    <mergeCell ref="P244:T244"/>
    <mergeCell ref="P315:T315"/>
    <mergeCell ref="A190:O191"/>
    <mergeCell ref="P231:T231"/>
    <mergeCell ref="D423:E423"/>
    <mergeCell ref="A352:Z352"/>
    <mergeCell ref="D472:E472"/>
    <mergeCell ref="D410:E410"/>
    <mergeCell ref="A368:Z368"/>
    <mergeCell ref="D516:E516"/>
    <mergeCell ref="D224:E224"/>
    <mergeCell ref="P230:T230"/>
    <mergeCell ref="P268:T268"/>
    <mergeCell ref="P339:T339"/>
    <mergeCell ref="D382:E382"/>
    <mergeCell ref="P513:T513"/>
    <mergeCell ref="D396:E396"/>
    <mergeCell ref="P450:T450"/>
    <mergeCell ref="D456:E456"/>
    <mergeCell ref="D116:E116"/>
    <mergeCell ref="D91:E91"/>
    <mergeCell ref="D45:E45"/>
    <mergeCell ref="H9:I9"/>
    <mergeCell ref="A49:Z49"/>
    <mergeCell ref="P24:V24"/>
    <mergeCell ref="A490:O491"/>
    <mergeCell ref="D281:E281"/>
    <mergeCell ref="P211:V211"/>
    <mergeCell ref="P389:T389"/>
    <mergeCell ref="P453:V453"/>
    <mergeCell ref="B17:B18"/>
    <mergeCell ref="D381:E381"/>
    <mergeCell ref="A250:O251"/>
    <mergeCell ref="P182:T182"/>
    <mergeCell ref="P102:V102"/>
    <mergeCell ref="Q12:R12"/>
    <mergeCell ref="P280:T280"/>
    <mergeCell ref="D90:E90"/>
    <mergeCell ref="P411:T411"/>
    <mergeCell ref="P467:T467"/>
    <mergeCell ref="P442:T442"/>
    <mergeCell ref="A261:O262"/>
    <mergeCell ref="D363:E363"/>
    <mergeCell ref="D357:E357"/>
    <mergeCell ref="P168:V168"/>
    <mergeCell ref="P275:T275"/>
    <mergeCell ref="P143:V143"/>
    <mergeCell ref="A437:Z437"/>
    <mergeCell ref="P15:T16"/>
    <mergeCell ref="P219:T219"/>
    <mergeCell ref="D327:E327"/>
    <mergeCell ref="D398:E398"/>
    <mergeCell ref="P433:V433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