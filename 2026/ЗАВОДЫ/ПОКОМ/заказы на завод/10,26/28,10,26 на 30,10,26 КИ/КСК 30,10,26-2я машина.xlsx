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E376996-C0D3-4921-B91D-6E189213A42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BN529" i="2" s="1"/>
  <c r="P529" i="2"/>
  <c r="BO528" i="2"/>
  <c r="BM528" i="2"/>
  <c r="Z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O499" i="2"/>
  <c r="BM499" i="2"/>
  <c r="Y499" i="2"/>
  <c r="Y500" i="2" s="1"/>
  <c r="P499" i="2"/>
  <c r="Y496" i="2"/>
  <c r="X496" i="2"/>
  <c r="X495" i="2"/>
  <c r="BO494" i="2"/>
  <c r="BM494" i="2"/>
  <c r="Y494" i="2"/>
  <c r="Y495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Y481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P444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N439" i="2" s="1"/>
  <c r="P439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BP431" i="2" s="1"/>
  <c r="P431" i="2"/>
  <c r="X428" i="2"/>
  <c r="X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V575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N413" i="2" s="1"/>
  <c r="P413" i="2"/>
  <c r="BO412" i="2"/>
  <c r="BM412" i="2"/>
  <c r="Y412" i="2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BP383" i="2"/>
  <c r="BO383" i="2"/>
  <c r="BN383" i="2"/>
  <c r="BM383" i="2"/>
  <c r="Z383" i="2"/>
  <c r="Y383" i="2"/>
  <c r="P383" i="2"/>
  <c r="BO382" i="2"/>
  <c r="BM382" i="2"/>
  <c r="Y382" i="2"/>
  <c r="BN382" i="2" s="1"/>
  <c r="P382" i="2"/>
  <c r="BO381" i="2"/>
  <c r="BM381" i="2"/>
  <c r="Z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BN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Y361" i="2" s="1"/>
  <c r="P359" i="2"/>
  <c r="X357" i="2"/>
  <c r="X356" i="2"/>
  <c r="BO355" i="2"/>
  <c r="BM355" i="2"/>
  <c r="Z355" i="2"/>
  <c r="Z356" i="2" s="1"/>
  <c r="Y355" i="2"/>
  <c r="BP355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BN348" i="2" s="1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Y328" i="2"/>
  <c r="BN328" i="2" s="1"/>
  <c r="P328" i="2"/>
  <c r="BP327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P323" i="2"/>
  <c r="X320" i="2"/>
  <c r="X319" i="2"/>
  <c r="BO318" i="2"/>
  <c r="BM318" i="2"/>
  <c r="Y318" i="2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X201" i="2"/>
  <c r="X200" i="2"/>
  <c r="BP199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Y173" i="2" s="1"/>
  <c r="P171" i="2"/>
  <c r="X169" i="2"/>
  <c r="X168" i="2"/>
  <c r="BP167" i="2"/>
  <c r="BO167" i="2"/>
  <c r="BM167" i="2"/>
  <c r="Y167" i="2"/>
  <c r="P167" i="2"/>
  <c r="BO166" i="2"/>
  <c r="BM166" i="2"/>
  <c r="Y166" i="2"/>
  <c r="Z166" i="2" s="1"/>
  <c r="P166" i="2"/>
  <c r="BO165" i="2"/>
  <c r="BM165" i="2"/>
  <c r="Y165" i="2"/>
  <c r="BP165" i="2" s="1"/>
  <c r="P165" i="2"/>
  <c r="BP164" i="2"/>
  <c r="BO164" i="2"/>
  <c r="BM164" i="2"/>
  <c r="Y164" i="2"/>
  <c r="P164" i="2"/>
  <c r="X161" i="2"/>
  <c r="Y160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BN136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BN127" i="2" s="1"/>
  <c r="P127" i="2"/>
  <c r="BO126" i="2"/>
  <c r="BM126" i="2"/>
  <c r="Y126" i="2"/>
  <c r="BP126" i="2" s="1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N90" i="2" s="1"/>
  <c r="P90" i="2"/>
  <c r="BO89" i="2"/>
  <c r="BM89" i="2"/>
  <c r="Y89" i="2"/>
  <c r="BP89" i="2" s="1"/>
  <c r="P89" i="2"/>
  <c r="X86" i="2"/>
  <c r="X85" i="2"/>
  <c r="BO84" i="2"/>
  <c r="BM84" i="2"/>
  <c r="Y84" i="2"/>
  <c r="Z84" i="2" s="1"/>
  <c r="P84" i="2"/>
  <c r="BO83" i="2"/>
  <c r="BM83" i="2"/>
  <c r="Y83" i="2"/>
  <c r="BP83" i="2" s="1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P22" i="2"/>
  <c r="H10" i="2"/>
  <c r="A9" i="2"/>
  <c r="D7" i="2"/>
  <c r="Q6" i="2"/>
  <c r="P2" i="2"/>
  <c r="BN83" i="2" l="1"/>
  <c r="BN178" i="2"/>
  <c r="BP210" i="2"/>
  <c r="BN341" i="2"/>
  <c r="BN359" i="2"/>
  <c r="BN431" i="2"/>
  <c r="Y501" i="2"/>
  <c r="BN562" i="2"/>
  <c r="BN92" i="2"/>
  <c r="BP152" i="2"/>
  <c r="BN159" i="2"/>
  <c r="Z210" i="2"/>
  <c r="BN220" i="2"/>
  <c r="BN255" i="2"/>
  <c r="BN283" i="2"/>
  <c r="Z311" i="2"/>
  <c r="Z312" i="2" s="1"/>
  <c r="BN311" i="2"/>
  <c r="BP311" i="2"/>
  <c r="Y312" i="2"/>
  <c r="Z324" i="2"/>
  <c r="Y360" i="2"/>
  <c r="BP381" i="2"/>
  <c r="BN393" i="2"/>
  <c r="Z411" i="2"/>
  <c r="BN418" i="2"/>
  <c r="BP477" i="2"/>
  <c r="BN478" i="2"/>
  <c r="BP499" i="2"/>
  <c r="BN66" i="2"/>
  <c r="BN511" i="2"/>
  <c r="BN407" i="2"/>
  <c r="Z552" i="2"/>
  <c r="Z553" i="2" s="1"/>
  <c r="Y554" i="2"/>
  <c r="Z540" i="2"/>
  <c r="Z541" i="2" s="1"/>
  <c r="BN534" i="2"/>
  <c r="BN524" i="2"/>
  <c r="BN515" i="2"/>
  <c r="BP494" i="2"/>
  <c r="Z494" i="2"/>
  <c r="Z495" i="2" s="1"/>
  <c r="BN489" i="2"/>
  <c r="Z469" i="2"/>
  <c r="Z470" i="2" s="1"/>
  <c r="Z446" i="2"/>
  <c r="Z442" i="2"/>
  <c r="Z431" i="2"/>
  <c r="BP426" i="2"/>
  <c r="Z426" i="2"/>
  <c r="BP425" i="2"/>
  <c r="BP424" i="2"/>
  <c r="Z424" i="2"/>
  <c r="Y428" i="2"/>
  <c r="Z407" i="2"/>
  <c r="Z400" i="2"/>
  <c r="Z393" i="2"/>
  <c r="BN391" i="2"/>
  <c r="Z391" i="2"/>
  <c r="BN387" i="2"/>
  <c r="BP382" i="2"/>
  <c r="BN377" i="2"/>
  <c r="Z373" i="2"/>
  <c r="BP373" i="2"/>
  <c r="BP372" i="2"/>
  <c r="Z371" i="2"/>
  <c r="BP371" i="2"/>
  <c r="BN365" i="2"/>
  <c r="Z359" i="2"/>
  <c r="Z360" i="2" s="1"/>
  <c r="BP359" i="2"/>
  <c r="Y345" i="2"/>
  <c r="BP329" i="2"/>
  <c r="BP328" i="2"/>
  <c r="Z328" i="2"/>
  <c r="BP324" i="2"/>
  <c r="BP292" i="2"/>
  <c r="Z287" i="2"/>
  <c r="Z280" i="2"/>
  <c r="BP280" i="2"/>
  <c r="BP272" i="2"/>
  <c r="BP270" i="2"/>
  <c r="Z270" i="2"/>
  <c r="BN266" i="2"/>
  <c r="BP260" i="2"/>
  <c r="Z260" i="2"/>
  <c r="BN250" i="2"/>
  <c r="Y248" i="2"/>
  <c r="BP231" i="2"/>
  <c r="Z231" i="2"/>
  <c r="BP229" i="2"/>
  <c r="Z227" i="2"/>
  <c r="BP227" i="2"/>
  <c r="BP224" i="2"/>
  <c r="BP184" i="2"/>
  <c r="BP159" i="2"/>
  <c r="Z159" i="2"/>
  <c r="Z160" i="2" s="1"/>
  <c r="Y149" i="2"/>
  <c r="Y139" i="2"/>
  <c r="BP127" i="2"/>
  <c r="Z126" i="2"/>
  <c r="BN126" i="2"/>
  <c r="Y128" i="2"/>
  <c r="Y129" i="2"/>
  <c r="BN120" i="2"/>
  <c r="Z112" i="2"/>
  <c r="BN110" i="2"/>
  <c r="BN99" i="2"/>
  <c r="BP93" i="2"/>
  <c r="Z92" i="2"/>
  <c r="BP90" i="2"/>
  <c r="Z90" i="2"/>
  <c r="Y80" i="2"/>
  <c r="BP78" i="2"/>
  <c r="BN72" i="2"/>
  <c r="BN71" i="2"/>
  <c r="Y75" i="2"/>
  <c r="Z71" i="2"/>
  <c r="BN61" i="2"/>
  <c r="BN59" i="2"/>
  <c r="Z44" i="2"/>
  <c r="C575" i="2"/>
  <c r="BN29" i="2"/>
  <c r="BN26" i="2"/>
  <c r="BP100" i="2"/>
  <c r="Z100" i="2"/>
  <c r="BP172" i="2"/>
  <c r="BN208" i="2"/>
  <c r="BP208" i="2"/>
  <c r="BP209" i="2"/>
  <c r="Z209" i="2"/>
  <c r="BN267" i="2"/>
  <c r="BP267" i="2"/>
  <c r="Z268" i="2"/>
  <c r="BN268" i="2"/>
  <c r="BN277" i="2"/>
  <c r="BP277" i="2"/>
  <c r="Z286" i="2"/>
  <c r="BN286" i="2"/>
  <c r="Y293" i="2"/>
  <c r="Z291" i="2"/>
  <c r="BP299" i="2"/>
  <c r="BN299" i="2"/>
  <c r="BP301" i="2"/>
  <c r="Z301" i="2"/>
  <c r="Y320" i="2"/>
  <c r="BP316" i="2"/>
  <c r="BP317" i="2"/>
  <c r="Z317" i="2"/>
  <c r="BP443" i="2"/>
  <c r="Z443" i="2"/>
  <c r="Y448" i="2"/>
  <c r="Z486" i="2"/>
  <c r="BN486" i="2"/>
  <c r="BP529" i="2"/>
  <c r="Z548" i="2"/>
  <c r="Z549" i="2" s="1"/>
  <c r="Y549" i="2"/>
  <c r="BN548" i="2"/>
  <c r="Y46" i="2"/>
  <c r="Z51" i="2"/>
  <c r="Z62" i="2"/>
  <c r="Y74" i="2"/>
  <c r="BP136" i="2"/>
  <c r="Z172" i="2"/>
  <c r="BP185" i="2"/>
  <c r="Y193" i="2"/>
  <c r="Z199" i="2"/>
  <c r="Z200" i="2" s="1"/>
  <c r="Y200" i="2"/>
  <c r="BN199" i="2"/>
  <c r="Y201" i="2"/>
  <c r="BP206" i="2"/>
  <c r="BN221" i="2"/>
  <c r="BP221" i="2"/>
  <c r="BP222" i="2"/>
  <c r="Z222" i="2"/>
  <c r="BP237" i="2"/>
  <c r="Z237" i="2"/>
  <c r="Y273" i="2"/>
  <c r="BN265" i="2"/>
  <c r="BP265" i="2"/>
  <c r="Y274" i="2"/>
  <c r="BN303" i="2"/>
  <c r="BP303" i="2"/>
  <c r="BN318" i="2"/>
  <c r="BP318" i="2"/>
  <c r="Z386" i="2"/>
  <c r="BN386" i="2"/>
  <c r="Z444" i="2"/>
  <c r="BN444" i="2"/>
  <c r="Z529" i="2"/>
  <c r="X567" i="2"/>
  <c r="Z41" i="2"/>
  <c r="BP43" i="2"/>
  <c r="Z45" i="2"/>
  <c r="Z146" i="2"/>
  <c r="Z167" i="2"/>
  <c r="BN167" i="2"/>
  <c r="Z26" i="2"/>
  <c r="Z29" i="2"/>
  <c r="Z61" i="2"/>
  <c r="Y79" i="2"/>
  <c r="BP94" i="2"/>
  <c r="Z94" i="2"/>
  <c r="Y103" i="2"/>
  <c r="BP99" i="2"/>
  <c r="BN100" i="2"/>
  <c r="Z101" i="2"/>
  <c r="Y102" i="2"/>
  <c r="BP120" i="2"/>
  <c r="BP125" i="2"/>
  <c r="Z136" i="2"/>
  <c r="BN153" i="2"/>
  <c r="BP153" i="2"/>
  <c r="BP182" i="2"/>
  <c r="Z185" i="2"/>
  <c r="Z206" i="2"/>
  <c r="BP223" i="2"/>
  <c r="BN223" i="2"/>
  <c r="Z232" i="2"/>
  <c r="BN232" i="2"/>
  <c r="BN239" i="2"/>
  <c r="BP239" i="2"/>
  <c r="Z265" i="2"/>
  <c r="BP284" i="2"/>
  <c r="Y294" i="2"/>
  <c r="BN301" i="2"/>
  <c r="BN317" i="2"/>
  <c r="BP348" i="2"/>
  <c r="Z376" i="2"/>
  <c r="BN376" i="2"/>
  <c r="BP399" i="2"/>
  <c r="Y402" i="2"/>
  <c r="BP413" i="2"/>
  <c r="Z413" i="2"/>
  <c r="BP419" i="2"/>
  <c r="BN419" i="2"/>
  <c r="BP439" i="2"/>
  <c r="Z439" i="2"/>
  <c r="BN443" i="2"/>
  <c r="BP490" i="2"/>
  <c r="BN490" i="2"/>
  <c r="Z531" i="2"/>
  <c r="BN531" i="2"/>
  <c r="Y550" i="2"/>
  <c r="BP28" i="2"/>
  <c r="BN43" i="2"/>
  <c r="BN62" i="2"/>
  <c r="BP66" i="2"/>
  <c r="Z72" i="2"/>
  <c r="Z83" i="2"/>
  <c r="Z89" i="2"/>
  <c r="BN89" i="2"/>
  <c r="BP91" i="2"/>
  <c r="Z91" i="2"/>
  <c r="Y95" i="2"/>
  <c r="Z125" i="2"/>
  <c r="BN146" i="2"/>
  <c r="BP176" i="2"/>
  <c r="Z182" i="2"/>
  <c r="Z211" i="2"/>
  <c r="BN211" i="2"/>
  <c r="BN222" i="2"/>
  <c r="BN237" i="2"/>
  <c r="M575" i="2"/>
  <c r="BN256" i="2"/>
  <c r="BP268" i="2"/>
  <c r="BP278" i="2"/>
  <c r="BP282" i="2"/>
  <c r="Z284" i="2"/>
  <c r="BP286" i="2"/>
  <c r="BP335" i="2"/>
  <c r="Z335" i="2"/>
  <c r="BP344" i="2"/>
  <c r="BN344" i="2"/>
  <c r="Z348" i="2"/>
  <c r="Z399" i="2"/>
  <c r="Z432" i="2"/>
  <c r="BN432" i="2"/>
  <c r="Y471" i="2"/>
  <c r="Z477" i="2"/>
  <c r="Y480" i="2"/>
  <c r="BN477" i="2"/>
  <c r="BP486" i="2"/>
  <c r="Z514" i="2"/>
  <c r="BN514" i="2"/>
  <c r="BP548" i="2"/>
  <c r="Y96" i="2"/>
  <c r="Y113" i="2"/>
  <c r="BP110" i="2"/>
  <c r="Y169" i="2"/>
  <c r="Y187" i="2"/>
  <c r="BP179" i="2"/>
  <c r="Y233" i="2"/>
  <c r="BP255" i="2"/>
  <c r="BP283" i="2"/>
  <c r="BP285" i="2"/>
  <c r="BP298" i="2"/>
  <c r="BP341" i="2"/>
  <c r="BP350" i="2"/>
  <c r="BP365" i="2"/>
  <c r="Y379" i="2"/>
  <c r="Y389" i="2"/>
  <c r="Y396" i="2"/>
  <c r="Y421" i="2"/>
  <c r="BP418" i="2"/>
  <c r="BN424" i="2"/>
  <c r="Y427" i="2"/>
  <c r="BP489" i="2"/>
  <c r="BN494" i="2"/>
  <c r="AA575" i="2"/>
  <c r="BP530" i="2"/>
  <c r="BP534" i="2"/>
  <c r="AC575" i="2"/>
  <c r="BP557" i="2"/>
  <c r="Y352" i="2"/>
  <c r="Y401" i="2"/>
  <c r="Y414" i="2"/>
  <c r="BP524" i="2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Z434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Z173" i="2" s="1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Z138" i="2"/>
  <c r="BP147" i="2"/>
  <c r="BN147" i="2"/>
  <c r="Z147" i="2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59" i="2"/>
  <c r="BP65" i="2"/>
  <c r="BN65" i="2"/>
  <c r="BN70" i="2"/>
  <c r="Z93" i="2"/>
  <c r="Z98" i="2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395" i="2" s="1"/>
  <c r="Z425" i="2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56" i="2" s="1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Z401" i="2" s="1"/>
  <c r="BN456" i="2"/>
  <c r="Y459" i="2"/>
  <c r="BN479" i="2"/>
  <c r="BN504" i="2"/>
  <c r="BN516" i="2"/>
  <c r="BP540" i="2"/>
  <c r="BP552" i="2"/>
  <c r="Y564" i="2"/>
  <c r="BN398" i="2"/>
  <c r="Y541" i="2"/>
  <c r="Z427" i="2" l="1"/>
  <c r="Z46" i="2"/>
  <c r="Z414" i="2"/>
  <c r="Z378" i="2"/>
  <c r="Z367" i="2"/>
  <c r="Z345" i="2"/>
  <c r="Z247" i="2"/>
  <c r="X568" i="2"/>
  <c r="Z148" i="2"/>
  <c r="Z113" i="2"/>
  <c r="Z102" i="2"/>
  <c r="Z95" i="2"/>
  <c r="Z67" i="2"/>
  <c r="Z36" i="2"/>
  <c r="Z31" i="2"/>
  <c r="Z388" i="2"/>
  <c r="Z288" i="2"/>
  <c r="Z319" i="2"/>
  <c r="Z558" i="2"/>
  <c r="Z74" i="2"/>
  <c r="Z408" i="2"/>
  <c r="Z337" i="2"/>
  <c r="Z535" i="2"/>
  <c r="Z447" i="2"/>
  <c r="Z128" i="2"/>
  <c r="Z351" i="2"/>
  <c r="Z192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<sst xmlns="http://schemas.openxmlformats.org/spreadsheetml/2006/main" count="4253" uniqueCount="898">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</sst>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897</v>
      </c>
      <c r="I5" s="649"/>
      <c r="J5" s="649"/>
      <c r="K5" s="649"/>
      <c r="L5" s="649"/>
      <c r="M5" s="649"/>
      <c r="N5" s="72"/>
      <c r="P5" s="27" t="s">
        <v>4</v>
      </c>
      <c r="Q5" s="651">
        <v>46325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879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Пятница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8.3333333333333329E-2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6</v>
      </c>
      <c r="Y28" s="55">
        <f>IFERROR(IF(X28="",0,CEILING((X28/$H28),1)*$H28),"")</f>
        <v>7.2</v>
      </c>
      <c r="Z28" s="41">
        <f>IFERROR(IF(Y28=0,"",ROUNDUP(Y28/H28,0)*0.00651),"")</f>
        <v>2.6040000000000001E-2</v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10.600000000000001</v>
      </c>
      <c r="BN28" s="78">
        <f>IFERROR(Y28*I28/H28,"0")</f>
        <v>12.72</v>
      </c>
      <c r="BO28" s="78">
        <f>IFERROR(1/J28*(X28/H28),"0")</f>
        <v>1.8315018315018316E-2</v>
      </c>
      <c r="BP28" s="78">
        <f>IFERROR(1/J28*(Y28/H28),"0")</f>
        <v>2.197802197802198E-2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3.333333333333333</v>
      </c>
      <c r="Y31" s="43">
        <f>IFERROR(Y26/H26,"0")+IFERROR(Y27/H27,"0")+IFERROR(Y28/H28,"0")+IFERROR(Y29/H29,"0")+IFERROR(Y30/H30,"0")</f>
        <v>4</v>
      </c>
      <c r="Z31" s="43">
        <f>IFERROR(IF(Z26="",0,Z26),"0")+IFERROR(IF(Z27="",0,Z27),"0")+IFERROR(IF(Z28="",0,Z28),"0")+IFERROR(IF(Z29="",0,Z29),"0")+IFERROR(IF(Z30="",0,Z30),"0")</f>
        <v>2.6040000000000001E-2</v>
      </c>
      <c r="AA31" s="67"/>
      <c r="AB31" s="67"/>
      <c r="AC31" s="67"/>
    </row>
    <row r="32" spans="1:68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6</v>
      </c>
      <c r="Y32" s="43">
        <f>IFERROR(SUM(Y26:Y30),"0")</f>
        <v>7.2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140</v>
      </c>
      <c r="Y51" s="55">
        <f>IFERROR(IF(X51="",0,CEILING((X51/$H51),1)*$H51),"")</f>
        <v>140.4</v>
      </c>
      <c r="Z51" s="41">
        <f>IFERROR(IF(Y51=0,"",ROUNDUP(Y51/H51,0)*0.01898),"")</f>
        <v>0.24674000000000001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145.31481481481481</v>
      </c>
      <c r="BN51" s="78">
        <f>IFERROR(Y51*I51/H51,"0")</f>
        <v>145.73000000000002</v>
      </c>
      <c r="BO51" s="78">
        <f>IFERROR(1/J51*(X51/H51),"0")</f>
        <v>0.20254629629629628</v>
      </c>
      <c r="BP51" s="78">
        <f>IFERROR(1/J51*(Y51/H51),"0")</f>
        <v>0.203125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300</v>
      </c>
      <c r="Y53" s="55">
        <f>IFERROR(IF(X53="",0,CEILING((X53/$H53),1)*$H53),"")</f>
        <v>300</v>
      </c>
      <c r="Z53" s="41">
        <f>IFERROR(IF(Y53=0,"",ROUNDUP(Y53/H53,0)*0.00902),"")</f>
        <v>0.67649999999999999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314.25000000000006</v>
      </c>
      <c r="BN53" s="78">
        <f>IFERROR(Y53*I53/H53,"0")</f>
        <v>314.25000000000006</v>
      </c>
      <c r="BO53" s="78">
        <f>IFERROR(1/J53*(X53/H53),"0")</f>
        <v>0.56818181818181823</v>
      </c>
      <c r="BP53" s="78">
        <f>IFERROR(1/J53*(Y53/H53),"0")</f>
        <v>0.56818181818181823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87.962962962962962</v>
      </c>
      <c r="Y55" s="43">
        <f>IFERROR(Y51/H51,"0")+IFERROR(Y52/H52,"0")+IFERROR(Y53/H53,"0")+IFERROR(Y54/H54,"0")</f>
        <v>88</v>
      </c>
      <c r="Z55" s="43">
        <f>IFERROR(IF(Z51="",0,Z51),"0")+IFERROR(IF(Z52="",0,Z52),"0")+IFERROR(IF(Z53="",0,Z53),"0")+IFERROR(IF(Z54="",0,Z54),"0")</f>
        <v>0.92324000000000006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440</v>
      </c>
      <c r="Y56" s="43">
        <f>IFERROR(SUM(Y51:Y54),"0")</f>
        <v>440.4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300</v>
      </c>
      <c r="Y60" s="55">
        <f t="shared" si="0"/>
        <v>302.40000000000003</v>
      </c>
      <c r="Z60" s="41">
        <f>IFERROR(IF(Y60=0,"",ROUNDUP(Y60/H60,0)*0.01898),"")</f>
        <v>0.53144000000000002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311.38888888888891</v>
      </c>
      <c r="BN60" s="78">
        <f t="shared" si="2"/>
        <v>313.88</v>
      </c>
      <c r="BO60" s="78">
        <f t="shared" si="3"/>
        <v>0.43402777777777773</v>
      </c>
      <c r="BP60" s="78">
        <f t="shared" si="4"/>
        <v>0.4375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315</v>
      </c>
      <c r="Y66" s="55">
        <f t="shared" si="0"/>
        <v>315</v>
      </c>
      <c r="Z66" s="41">
        <f>IFERROR(IF(Y66=0,"",ROUNDUP(Y66/H66,0)*0.00902),"")</f>
        <v>0.63139999999999996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328.3</v>
      </c>
      <c r="BN66" s="78">
        <f t="shared" si="2"/>
        <v>328.3</v>
      </c>
      <c r="BO66" s="78">
        <f t="shared" si="3"/>
        <v>0.53030303030303028</v>
      </c>
      <c r="BP66" s="78">
        <f t="shared" si="4"/>
        <v>0.53030303030303028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97.777777777777771</v>
      </c>
      <c r="Y67" s="43">
        <f>IFERROR(Y59/H59,"0")+IFERROR(Y60/H60,"0")+IFERROR(Y61/H61,"0")+IFERROR(Y62/H62,"0")+IFERROR(Y63/H63,"0")+IFERROR(Y64/H64,"0")+IFERROR(Y65/H65,"0")+IFERROR(Y66/H66,"0")</f>
        <v>98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1.1628400000000001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615</v>
      </c>
      <c r="Y68" s="43">
        <f>IFERROR(SUM(Y59:Y66),"0")</f>
        <v>617.40000000000009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112</v>
      </c>
      <c r="Y73" s="55">
        <f>IFERROR(IF(X73="",0,CEILING((X73/$H73),1)*$H73),"")</f>
        <v>113.4</v>
      </c>
      <c r="Z73" s="41">
        <f>IFERROR(IF(Y73=0,"",ROUNDUP(Y73/H73,0)*0.00651),"")</f>
        <v>0.27342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119.46666666666665</v>
      </c>
      <c r="BN73" s="78">
        <f>IFERROR(Y73*I73/H73,"0")</f>
        <v>120.95999999999998</v>
      </c>
      <c r="BO73" s="78">
        <f>IFERROR(1/J73*(X73/H73),"0")</f>
        <v>0.22792022792022792</v>
      </c>
      <c r="BP73" s="78">
        <f>IFERROR(1/J73*(Y73/H73),"0")</f>
        <v>0.23076923076923078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41.481481481481481</v>
      </c>
      <c r="Y74" s="43">
        <f>IFERROR(Y70/H70,"0")+IFERROR(Y71/H71,"0")+IFERROR(Y72/H72,"0")+IFERROR(Y73/H73,"0")</f>
        <v>42</v>
      </c>
      <c r="Z74" s="43">
        <f>IFERROR(IF(Z70="",0,Z70),"0")+IFERROR(IF(Z71="",0,Z71),"0")+IFERROR(IF(Z72="",0,Z72),"0")+IFERROR(IF(Z73="",0,Z73),"0")</f>
        <v>0.27342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112</v>
      </c>
      <c r="Y75" s="43">
        <f>IFERROR(SUM(Y70:Y73),"0")</f>
        <v>113.4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80</v>
      </c>
      <c r="Y89" s="55">
        <f t="shared" ref="Y89:Y94" si="5">IFERROR(IF(X89="",0,CEILING((X89/$H89),1)*$H89),"")</f>
        <v>86.4</v>
      </c>
      <c r="Z89" s="41">
        <f>IFERROR(IF(Y89=0,"",ROUNDUP(Y89/H89,0)*0.01898),"")</f>
        <v>0.15184</v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83.037037037037038</v>
      </c>
      <c r="BN89" s="78">
        <f t="shared" ref="BN89:BN94" si="7">IFERROR(Y89*I89/H89,"0")</f>
        <v>89.68</v>
      </c>
      <c r="BO89" s="78">
        <f t="shared" ref="BO89:BO94" si="8">IFERROR(1/J89*(X89/H89),"0")</f>
        <v>0.11574074074074073</v>
      </c>
      <c r="BP89" s="78">
        <f t="shared" ref="BP89:BP94" si="9">IFERROR(1/J89*(Y89/H89),"0")</f>
        <v>0.125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405</v>
      </c>
      <c r="Y94" s="55">
        <f t="shared" si="5"/>
        <v>405</v>
      </c>
      <c r="Z94" s="41">
        <f>IFERROR(IF(Y94=0,"",ROUNDUP(Y94/H94,0)*0.00902),"")</f>
        <v>0.81180000000000008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422.1</v>
      </c>
      <c r="BN94" s="78">
        <f t="shared" si="7"/>
        <v>422.1</v>
      </c>
      <c r="BO94" s="78">
        <f t="shared" si="8"/>
        <v>0.68181818181818188</v>
      </c>
      <c r="BP94" s="78">
        <f t="shared" si="9"/>
        <v>0.68181818181818188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97.407407407407405</v>
      </c>
      <c r="Y95" s="43">
        <f>IFERROR(Y89/H89,"0")+IFERROR(Y90/H90,"0")+IFERROR(Y91/H91,"0")+IFERROR(Y92/H92,"0")+IFERROR(Y93/H93,"0")+IFERROR(Y94/H94,"0")</f>
        <v>98</v>
      </c>
      <c r="Z95" s="43">
        <f>IFERROR(IF(Z89="",0,Z89),"0")+IFERROR(IF(Z90="",0,Z90),"0")+IFERROR(IF(Z91="",0,Z91),"0")+IFERROR(IF(Z92="",0,Z92),"0")+IFERROR(IF(Z93="",0,Z93),"0")+IFERROR(IF(Z94="",0,Z94),"0")</f>
        <v>0.96364000000000005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485</v>
      </c>
      <c r="Y96" s="43">
        <f>IFERROR(SUM(Y89:Y94),"0")</f>
        <v>491.4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120</v>
      </c>
      <c r="Y98" s="55">
        <f>IFERROR(IF(X98="",0,CEILING((X98/$H98),1)*$H98),"")</f>
        <v>121.5</v>
      </c>
      <c r="Z98" s="41">
        <f>IFERROR(IF(Y98=0,"",ROUNDUP(Y98/H98,0)*0.01898),"")</f>
        <v>0.28470000000000001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127.31851851851852</v>
      </c>
      <c r="BN98" s="78">
        <f>IFERROR(Y98*I98/H98,"0")</f>
        <v>128.91</v>
      </c>
      <c r="BO98" s="78">
        <f>IFERROR(1/J98*(X98/H98),"0")</f>
        <v>0.23148148148148148</v>
      </c>
      <c r="BP98" s="78">
        <f>IFERROR(1/J98*(Y98/H98),"0")</f>
        <v>0.234375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495</v>
      </c>
      <c r="Y100" s="55">
        <f>IFERROR(IF(X100="",0,CEILING((X100/$H100),1)*$H100),"")</f>
        <v>496.8</v>
      </c>
      <c r="Z100" s="41">
        <f>IFERROR(IF(Y100=0,"",ROUNDUP(Y100/H100,0)*0.00651),"")</f>
        <v>1.19784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541.19999999999993</v>
      </c>
      <c r="BN100" s="78">
        <f>IFERROR(Y100*I100/H100,"0")</f>
        <v>543.16800000000001</v>
      </c>
      <c r="BO100" s="78">
        <f>IFERROR(1/J100*(X100/H100),"0")</f>
        <v>1.0073260073260073</v>
      </c>
      <c r="BP100" s="78">
        <f>IFERROR(1/J100*(Y100/H100),"0")</f>
        <v>1.0109890109890112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198.14814814814812</v>
      </c>
      <c r="Y102" s="43">
        <f>IFERROR(Y98/H98,"0")+IFERROR(Y99/H99,"0")+IFERROR(Y100/H100,"0")+IFERROR(Y101/H101,"0")</f>
        <v>199</v>
      </c>
      <c r="Z102" s="43">
        <f>IFERROR(IF(Z98="",0,Z98),"0")+IFERROR(IF(Z99="",0,Z99),"0")+IFERROR(IF(Z100="",0,Z100),"0")+IFERROR(IF(Z101="",0,Z101),"0")</f>
        <v>1.48254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615</v>
      </c>
      <c r="Y103" s="43">
        <f>IFERROR(SUM(Y98:Y101),"0")</f>
        <v>618.29999999999995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360</v>
      </c>
      <c r="Y110" s="55">
        <f t="shared" si="10"/>
        <v>360</v>
      </c>
      <c r="Z110" s="41">
        <f>IFERROR(IF(Y110=0,"",ROUNDUP(Y110/H110,0)*0.00902),"")</f>
        <v>0.72160000000000002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375.20000000000005</v>
      </c>
      <c r="BN110" s="78">
        <f t="shared" si="12"/>
        <v>375.20000000000005</v>
      </c>
      <c r="BO110" s="78">
        <f t="shared" si="13"/>
        <v>0.60606060606060608</v>
      </c>
      <c r="BP110" s="78">
        <f t="shared" si="14"/>
        <v>0.60606060606060608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80</v>
      </c>
      <c r="Y113" s="43">
        <f>IFERROR(Y106/H106,"0")+IFERROR(Y107/H107,"0")+IFERROR(Y108/H108,"0")+IFERROR(Y109/H109,"0")+IFERROR(Y110/H110,"0")+IFERROR(Y111/H111,"0")+IFERROR(Y112/H112,"0")</f>
        <v>80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0.72160000000000002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360</v>
      </c>
      <c r="Y114" s="43">
        <f>IFERROR(SUM(Y106:Y112),"0")</f>
        <v>360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220</v>
      </c>
      <c r="Y124" s="55">
        <f>IFERROR(IF(X124="",0,CEILING((X124/$H124),1)*$H124),"")</f>
        <v>226.79999999999998</v>
      </c>
      <c r="Z124" s="41">
        <f>IFERROR(IF(Y124=0,"",ROUNDUP(Y124/H124,0)*0.01898),"")</f>
        <v>0.53144000000000002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233.25432098765432</v>
      </c>
      <c r="BN124" s="78">
        <f>IFERROR(Y124*I124/H124,"0")</f>
        <v>240.46399999999997</v>
      </c>
      <c r="BO124" s="78">
        <f>IFERROR(1/J124*(X124/H124),"0")</f>
        <v>0.42438271604938271</v>
      </c>
      <c r="BP124" s="78">
        <f>IFERROR(1/J124*(Y124/H124),"0")</f>
        <v>0.4375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765</v>
      </c>
      <c r="Y126" s="55">
        <f>IFERROR(IF(X126="",0,CEILING((X126/$H126),1)*$H126),"")</f>
        <v>766.80000000000007</v>
      </c>
      <c r="Z126" s="41">
        <f>IFERROR(IF(Y126=0,"",ROUNDUP(Y126/H126,0)*0.00651),"")</f>
        <v>1.84884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836.39999999999986</v>
      </c>
      <c r="BN126" s="78">
        <f>IFERROR(Y126*I126/H126,"0")</f>
        <v>838.36800000000005</v>
      </c>
      <c r="BO126" s="78">
        <f>IFERROR(1/J126*(X126/H126),"0")</f>
        <v>1.5567765567765568</v>
      </c>
      <c r="BP126" s="78">
        <f>IFERROR(1/J126*(Y126/H126),"0")</f>
        <v>1.5604395604395607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36</v>
      </c>
      <c r="Y127" s="55">
        <f>IFERROR(IF(X127="",0,CEILING((X127/$H127),1)*$H127),"")</f>
        <v>36</v>
      </c>
      <c r="Z127" s="41">
        <f>IFERROR(IF(Y127=0,"",ROUNDUP(Y127/H127,0)*0.00651),"")</f>
        <v>0.13020000000000001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39.6</v>
      </c>
      <c r="BN127" s="78">
        <f>IFERROR(Y127*I127/H127,"0")</f>
        <v>39.6</v>
      </c>
      <c r="BO127" s="78">
        <f>IFERROR(1/J127*(X127/H127),"0")</f>
        <v>0.1098901098901099</v>
      </c>
      <c r="BP127" s="78">
        <f>IFERROR(1/J127*(Y127/H127),"0")</f>
        <v>0.1098901098901099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330.49382716049382</v>
      </c>
      <c r="Y128" s="43">
        <f>IFERROR(Y124/H124,"0")+IFERROR(Y125/H125,"0")+IFERROR(Y126/H126,"0")+IFERROR(Y127/H127,"0")</f>
        <v>332</v>
      </c>
      <c r="Z128" s="43">
        <f>IFERROR(IF(Z124="",0,Z124),"0")+IFERROR(IF(Z125="",0,Z125),"0")+IFERROR(IF(Z126="",0,Z126),"0")+IFERROR(IF(Z127="",0,Z127),"0")</f>
        <v>2.5104799999999998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1021</v>
      </c>
      <c r="Y129" s="43">
        <f>IFERROR(SUM(Y124:Y127),"0")</f>
        <v>1029.5999999999999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40</v>
      </c>
      <c r="Y131" s="55">
        <f>IFERROR(IF(X131="",0,CEILING((X131/$H131),1)*$H131),"")</f>
        <v>41.58</v>
      </c>
      <c r="Z131" s="41">
        <f>IFERROR(IF(Y131=0,"",ROUNDUP(Y131/H131,0)*0.00651),"")</f>
        <v>0.13671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45.212121212121211</v>
      </c>
      <c r="BN131" s="78">
        <f>IFERROR(Y131*I131/H131,"0")</f>
        <v>46.997999999999998</v>
      </c>
      <c r="BO131" s="78">
        <f>IFERROR(1/J131*(X131/H131),"0")</f>
        <v>0.11100011100011101</v>
      </c>
      <c r="BP131" s="78">
        <f>IFERROR(1/J131*(Y131/H131),"0")</f>
        <v>0.11538461538461539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20.202020202020201</v>
      </c>
      <c r="Y132" s="43">
        <f>IFERROR(Y131/H131,"0")</f>
        <v>21</v>
      </c>
      <c r="Z132" s="43">
        <f>IFERROR(IF(Z131="",0,Z131),"0")</f>
        <v>0.13671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40</v>
      </c>
      <c r="Y133" s="43">
        <f>IFERROR(SUM(Y131:Y131),"0")</f>
        <v>41.58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40</v>
      </c>
      <c r="Y137" s="55">
        <f>IFERROR(IF(X137="",0,CEILING((X137/$H137),1)*$H137),"")</f>
        <v>41.6</v>
      </c>
      <c r="Z137" s="41">
        <f>IFERROR(IF(Y137=0,"",ROUNDUP(Y137/H137,0)*0.00651),"")</f>
        <v>8.4629999999999997E-2</v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42.249999999999993</v>
      </c>
      <c r="BN137" s="78">
        <f>IFERROR(Y137*I137/H137,"0")</f>
        <v>43.94</v>
      </c>
      <c r="BO137" s="78">
        <f>IFERROR(1/J137*(X137/H137),"0")</f>
        <v>6.8681318681318687E-2</v>
      </c>
      <c r="BP137" s="78">
        <f>IFERROR(1/J137*(Y137/H137),"0")</f>
        <v>7.1428571428571438E-2</v>
      </c>
    </row>
    <row r="138" spans="1:68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12.5</v>
      </c>
      <c r="Y138" s="43">
        <f>IFERROR(Y136/H136,"0")+IFERROR(Y137/H137,"0")</f>
        <v>13</v>
      </c>
      <c r="Z138" s="43">
        <f>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40</v>
      </c>
      <c r="Y139" s="43">
        <f>IFERROR(SUM(Y136:Y137),"0")</f>
        <v>41.6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35</v>
      </c>
      <c r="Y141" s="55">
        <f>IFERROR(IF(X141="",0,CEILING((X141/$H141),1)*$H141),"")</f>
        <v>36.4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38.35</v>
      </c>
      <c r="BN141" s="78">
        <f>IFERROR(Y141*I141/H141,"0")</f>
        <v>39.884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35</v>
      </c>
      <c r="Y144" s="43">
        <f>IFERROR(SUM(Y141:Y142),"0")</f>
        <v>36.4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33</v>
      </c>
      <c r="Y146" s="55">
        <f>IFERROR(IF(X146="",0,CEILING((X146/$H146),1)*$H146),"")</f>
        <v>34.32</v>
      </c>
      <c r="Z146" s="41">
        <f>IFERROR(IF(Y146=0,"",ROUNDUP(Y146/H146,0)*0.00651),"")</f>
        <v>8.4629999999999997E-2</v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36.349999999999994</v>
      </c>
      <c r="BN146" s="78">
        <f>IFERROR(Y146*I146/H146,"0")</f>
        <v>37.803999999999995</v>
      </c>
      <c r="BO146" s="78">
        <f>IFERROR(1/J146*(X146/H146),"0")</f>
        <v>6.8681318681318687E-2</v>
      </c>
      <c r="BP146" s="78">
        <f>IFERROR(1/J146*(Y146/H146),"0")</f>
        <v>7.1428571428571438E-2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12.5</v>
      </c>
      <c r="Y148" s="43">
        <f>IFERROR(Y146/H146,"0")+IFERROR(Y147/H147,"0")</f>
        <v>13</v>
      </c>
      <c r="Z148" s="43">
        <f>IFERROR(IF(Z146="",0,Z146),"0")+IFERROR(IF(Z147="",0,Z147),"0")</f>
        <v>8.4629999999999997E-2</v>
      </c>
      <c r="AA148" s="67"/>
      <c r="AB148" s="67"/>
      <c r="AC148" s="67"/>
    </row>
    <row r="149" spans="1:68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33</v>
      </c>
      <c r="Y149" s="43">
        <f>IFERROR(SUM(Y146:Y147),"0")</f>
        <v>34.32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24</v>
      </c>
      <c r="Y171" s="55">
        <f>IFERROR(IF(X171="",0,CEILING((X171/$H171),1)*$H171),"")</f>
        <v>24.48</v>
      </c>
      <c r="Z171" s="41">
        <f>IFERROR(IF(Y171=0,"",ROUNDUP(Y171/H171,0)*0.00556),"")</f>
        <v>0.18903999999999999</v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28.333333333333332</v>
      </c>
      <c r="BN171" s="78">
        <f>IFERROR(Y171*I171/H171,"0")</f>
        <v>28.900000000000002</v>
      </c>
      <c r="BO171" s="78">
        <f>IFERROR(1/J171*(X171/H171),"0")</f>
        <v>0.14245014245014248</v>
      </c>
      <c r="BP171" s="78">
        <f>IFERROR(1/J171*(Y171/H171),"0")</f>
        <v>0.14529914529914531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33.333333333333336</v>
      </c>
      <c r="Y173" s="43">
        <f>IFERROR(Y171/H171,"0")+IFERROR(Y172/H172,"0")</f>
        <v>34</v>
      </c>
      <c r="Z173" s="43">
        <f>IFERROR(IF(Z171="",0,Z171),"0")+IFERROR(IF(Z172="",0,Z172),"0")</f>
        <v>0.18903999999999999</v>
      </c>
      <c r="AA173" s="67"/>
      <c r="AB173" s="67"/>
      <c r="AC173" s="67"/>
    </row>
    <row r="174" spans="1:68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24</v>
      </c>
      <c r="Y174" s="43">
        <f>IFERROR(SUM(Y171:Y172),"0")</f>
        <v>24.48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100</v>
      </c>
      <c r="Y176" s="55">
        <f t="shared" ref="Y176:Y186" si="15">IFERROR(IF(X176="",0,CEILING((X176/$H176),1)*$H176),"")</f>
        <v>101.19999999999999</v>
      </c>
      <c r="Z176" s="41">
        <f>IFERROR(IF(Y176=0,"",ROUNDUP(Y176/H176,0)*0.01196),"")</f>
        <v>0.26312000000000002</v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107.60869565217392</v>
      </c>
      <c r="BN176" s="78">
        <f t="shared" ref="BN176:BN186" si="17">IFERROR(Y176*I176/H176,"0")</f>
        <v>108.89999999999999</v>
      </c>
      <c r="BO176" s="78">
        <f t="shared" ref="BO176:BO186" si="18">IFERROR(1/J176*(X176/H176),"0")</f>
        <v>0.20903010033444819</v>
      </c>
      <c r="BP176" s="78">
        <f t="shared" ref="BP176:BP186" si="19">IFERROR(1/J176*(Y176/H176),"0")</f>
        <v>0.21153846153846156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500</v>
      </c>
      <c r="Y177" s="55">
        <f t="shared" si="15"/>
        <v>500.5</v>
      </c>
      <c r="Z177" s="41">
        <f>IFERROR(IF(Y177=0,"",ROUNDUP(Y177/H177,0)*0.00902),"")</f>
        <v>1.28986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527.14285714285711</v>
      </c>
      <c r="BN177" s="78">
        <f t="shared" si="17"/>
        <v>527.66999999999996</v>
      </c>
      <c r="BO177" s="78">
        <f t="shared" si="18"/>
        <v>1.0822510822510822</v>
      </c>
      <c r="BP177" s="78">
        <f t="shared" si="19"/>
        <v>1.0833333333333333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200</v>
      </c>
      <c r="Y179" s="55">
        <f t="shared" si="15"/>
        <v>203</v>
      </c>
      <c r="Z179" s="41">
        <f>IFERROR(IF(Y179=0,"",ROUNDUP(Y179/H179,0)*0.00902),"")</f>
        <v>0.52316000000000007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210.85714285714286</v>
      </c>
      <c r="BN179" s="78">
        <f t="shared" si="17"/>
        <v>214.01999999999998</v>
      </c>
      <c r="BO179" s="78">
        <f t="shared" si="18"/>
        <v>0.43290043290043295</v>
      </c>
      <c r="BP179" s="78">
        <f t="shared" si="19"/>
        <v>0.43939393939393939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200</v>
      </c>
      <c r="Y180" s="55">
        <f t="shared" si="15"/>
        <v>203</v>
      </c>
      <c r="Z180" s="41">
        <f>IFERROR(IF(Y180=0,"",ROUNDUP(Y180/H180,0)*0.00902),"")</f>
        <v>0.52316000000000007</v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210.85714285714286</v>
      </c>
      <c r="BN180" s="78">
        <f t="shared" si="17"/>
        <v>214.01999999999998</v>
      </c>
      <c r="BO180" s="78">
        <f t="shared" si="18"/>
        <v>0.43290043290043295</v>
      </c>
      <c r="BP180" s="78">
        <f t="shared" si="19"/>
        <v>0.43939393939393939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18</v>
      </c>
      <c r="Y181" s="55">
        <f t="shared" si="15"/>
        <v>18</v>
      </c>
      <c r="Z181" s="41">
        <f>IFERROR(IF(Y181=0,"",ROUNDUP(Y181/H181,0)*0.00726),"")</f>
        <v>0.1452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22.2</v>
      </c>
      <c r="BN181" s="78">
        <f t="shared" si="17"/>
        <v>22.2</v>
      </c>
      <c r="BO181" s="78">
        <f t="shared" si="18"/>
        <v>0.10416666666666666</v>
      </c>
      <c r="BP181" s="78">
        <f t="shared" si="19"/>
        <v>0.10416666666666666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616</v>
      </c>
      <c r="Y182" s="55">
        <f t="shared" si="15"/>
        <v>616.55999999999995</v>
      </c>
      <c r="Z182" s="41">
        <f>IFERROR(IF(Y182=0,"",ROUNDUP(Y182/H182,0)*0.00502),"")</f>
        <v>1.8423400000000001</v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652.66666666666674</v>
      </c>
      <c r="BN182" s="78">
        <f t="shared" si="17"/>
        <v>653.26</v>
      </c>
      <c r="BO182" s="78">
        <f t="shared" si="18"/>
        <v>1.5669515669515672</v>
      </c>
      <c r="BP182" s="78">
        <f t="shared" si="19"/>
        <v>1.5683760683760686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196</v>
      </c>
      <c r="Y184" s="55">
        <f t="shared" si="15"/>
        <v>196.56</v>
      </c>
      <c r="Z184" s="41">
        <f>IFERROR(IF(Y184=0,"",ROUNDUP(Y184/H184,0)*0.00502),"")</f>
        <v>0.58733999999999997</v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207.66666666666669</v>
      </c>
      <c r="BN184" s="78">
        <f t="shared" si="17"/>
        <v>208.26000000000002</v>
      </c>
      <c r="BO184" s="78">
        <f t="shared" si="18"/>
        <v>0.49857549857549865</v>
      </c>
      <c r="BP184" s="78">
        <f t="shared" si="19"/>
        <v>0.5</v>
      </c>
    </row>
    <row r="185" spans="1:68" ht="27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4</v>
      </c>
      <c r="Y185" s="55">
        <f t="shared" si="15"/>
        <v>4.5</v>
      </c>
      <c r="Z185" s="41">
        <f>IFERROR(IF(Y185=0,"",ROUNDUP(Y185/H185,0)*0.00417),"")</f>
        <v>2.085E-2</v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4.4444444444444446</v>
      </c>
      <c r="BN185" s="78">
        <f t="shared" si="17"/>
        <v>5</v>
      </c>
      <c r="BO185" s="78">
        <f t="shared" si="18"/>
        <v>1.4245014245014245E-2</v>
      </c>
      <c r="BP185" s="78">
        <f t="shared" si="19"/>
        <v>1.6025641025641024E-2</v>
      </c>
    </row>
    <row r="186" spans="1:68" ht="27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140</v>
      </c>
      <c r="Y186" s="55">
        <f t="shared" si="15"/>
        <v>141.12</v>
      </c>
      <c r="Z186" s="41">
        <f>IFERROR(IF(Y186=0,"",ROUNDUP(Y186/H186,0)*0.00502),"")</f>
        <v>0.42168</v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148.33333333333334</v>
      </c>
      <c r="BN186" s="78">
        <f t="shared" si="17"/>
        <v>149.52000000000001</v>
      </c>
      <c r="BO186" s="78">
        <f t="shared" si="18"/>
        <v>0.35612535612535623</v>
      </c>
      <c r="BP186" s="78">
        <f t="shared" si="19"/>
        <v>0.35897435897435903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869.99309868875082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874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5.6167100000000012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1974</v>
      </c>
      <c r="Y188" s="43">
        <f>IFERROR(SUM(Y176:Y186),"0")</f>
        <v>1984.44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40</v>
      </c>
      <c r="Y221" s="55">
        <f t="shared" si="26"/>
        <v>42</v>
      </c>
      <c r="Z221" s="41">
        <f>IFERROR(IF(Y221=0,"",ROUNDUP(Y221/H221,0)*0.00902),"")</f>
        <v>9.0200000000000002E-2</v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42.38095238095238</v>
      </c>
      <c r="BN221" s="78">
        <f t="shared" si="28"/>
        <v>44.5</v>
      </c>
      <c r="BO221" s="78">
        <f t="shared" si="29"/>
        <v>7.2150072150072145E-2</v>
      </c>
      <c r="BP221" s="78">
        <f t="shared" si="30"/>
        <v>7.575757575757576E-2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100</v>
      </c>
      <c r="Y222" s="55">
        <f t="shared" si="26"/>
        <v>100.80000000000001</v>
      </c>
      <c r="Z222" s="41">
        <f>IFERROR(IF(Y222=0,"",ROUNDUP(Y222/H222,0)*0.00902),"")</f>
        <v>0.21648000000000001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104.5238095238095</v>
      </c>
      <c r="BN222" s="78">
        <f t="shared" si="28"/>
        <v>105.36</v>
      </c>
      <c r="BO222" s="78">
        <f t="shared" si="29"/>
        <v>0.18037518037518038</v>
      </c>
      <c r="BP222" s="78">
        <f t="shared" si="30"/>
        <v>0.18181818181818182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8</v>
      </c>
      <c r="Y223" s="55">
        <f t="shared" si="26"/>
        <v>8</v>
      </c>
      <c r="Z223" s="41">
        <f>IFERROR(IF(Y223=0,"",ROUNDUP(Y223/H223,0)*0.00556),"")</f>
        <v>5.5599999999999997E-2</v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9.3000000000000007</v>
      </c>
      <c r="BN223" s="78">
        <f t="shared" si="28"/>
        <v>9.3000000000000007</v>
      </c>
      <c r="BO223" s="78">
        <f t="shared" si="29"/>
        <v>4.2735042735042736E-2</v>
      </c>
      <c r="BP223" s="78">
        <f t="shared" si="30"/>
        <v>4.2735042735042736E-2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74.333333333333329</v>
      </c>
      <c r="BN224" s="78">
        <f t="shared" si="28"/>
        <v>75.820000000000007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70</v>
      </c>
      <c r="Y226" s="55">
        <f t="shared" si="26"/>
        <v>71.400000000000006</v>
      </c>
      <c r="Z226" s="41">
        <f>IFERROR(IF(Y226=0,"",ROUNDUP(Y226/H226,0)*0.00502),"")</f>
        <v>0.17068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74.333333333333329</v>
      </c>
      <c r="BN226" s="78">
        <f t="shared" si="28"/>
        <v>75.820000000000007</v>
      </c>
      <c r="BO226" s="78">
        <f t="shared" si="29"/>
        <v>0.14245014245014245</v>
      </c>
      <c r="BP226" s="78">
        <f t="shared" si="30"/>
        <v>0.14529914529914531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4</v>
      </c>
      <c r="Y229" s="55">
        <f t="shared" si="26"/>
        <v>4</v>
      </c>
      <c r="Z229" s="41">
        <f>IFERROR(IF(Y229=0,"",ROUNDUP(Y229/H229,0)*0.00417),"")</f>
        <v>2.085E-2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5.05</v>
      </c>
      <c r="BN229" s="78">
        <f t="shared" si="28"/>
        <v>5.05</v>
      </c>
      <c r="BO229" s="78">
        <f t="shared" si="29"/>
        <v>1.6025641025641024E-2</v>
      </c>
      <c r="BP229" s="78">
        <f t="shared" si="30"/>
        <v>1.6025641025641024E-2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70</v>
      </c>
      <c r="Y230" s="55">
        <f t="shared" si="26"/>
        <v>71.400000000000006</v>
      </c>
      <c r="Z230" s="41">
        <f>IFERROR(IF(Y230=0,"",ROUNDUP(Y230/H230,0)*0.00502),"")</f>
        <v>0.17068</v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73.333333333333329</v>
      </c>
      <c r="BN230" s="78">
        <f t="shared" si="28"/>
        <v>74.8</v>
      </c>
      <c r="BO230" s="78">
        <f t="shared" si="29"/>
        <v>0.14245014245014245</v>
      </c>
      <c r="BP230" s="78">
        <f t="shared" si="30"/>
        <v>0.14529914529914531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148.33333333333331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151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0.89517000000000002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362</v>
      </c>
      <c r="Y234" s="43">
        <f>IFERROR(SUM(Y220:Y232),"0")</f>
        <v>369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54</v>
      </c>
      <c r="Y238" s="55">
        <f>IFERROR(IF(X238="",0,CEILING((X238/$H238),1)*$H238),"")</f>
        <v>54</v>
      </c>
      <c r="Z238" s="41">
        <f>IFERROR(IF(Y238=0,"",ROUNDUP(Y238/H238,0)*0.00902),"")</f>
        <v>0.22550000000000001</v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60.550000000000004</v>
      </c>
      <c r="BN238" s="78">
        <f>IFERROR(Y238*I238/H238,"0")</f>
        <v>60.550000000000004</v>
      </c>
      <c r="BO238" s="78">
        <f>IFERROR(1/J238*(X238/H238),"0")</f>
        <v>0.18939393939393939</v>
      </c>
      <c r="BP238" s="78">
        <f>IFERROR(1/J238*(Y238/H238),"0")</f>
        <v>0.18939393939393939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36</v>
      </c>
      <c r="Y240" s="55">
        <f>IFERROR(IF(X240="",0,CEILING((X240/$H240),1)*$H240),"")</f>
        <v>36.72</v>
      </c>
      <c r="Z240" s="41">
        <f>IFERROR(IF(Y240=0,"",ROUNDUP(Y240/H240,0)*0.00902),"")</f>
        <v>0.15334</v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40.366666666666667</v>
      </c>
      <c r="BN240" s="78">
        <f>IFERROR(Y240*I240/H240,"0")</f>
        <v>41.173999999999999</v>
      </c>
      <c r="BO240" s="78">
        <f>IFERROR(1/J240*(X240/H240),"0")</f>
        <v>0.12626262626262624</v>
      </c>
      <c r="BP240" s="78">
        <f>IFERROR(1/J240*(Y240/H240),"0")</f>
        <v>0.12878787878787878</v>
      </c>
    </row>
    <row r="241" spans="1:68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41.666666666666664</v>
      </c>
      <c r="Y241" s="43">
        <f>IFERROR(Y236/H236,"0")+IFERROR(Y237/H237,"0")+IFERROR(Y238/H238,"0")+IFERROR(Y239/H239,"0")+IFERROR(Y240/H240,"0")</f>
        <v>42</v>
      </c>
      <c r="Z241" s="43">
        <f>IFERROR(IF(Z236="",0,Z236),"0")+IFERROR(IF(Z237="",0,Z237),"0")+IFERROR(IF(Z238="",0,Z238),"0")+IFERROR(IF(Z239="",0,Z239),"0")+IFERROR(IF(Z240="",0,Z240),"0")</f>
        <v>0.37884000000000001</v>
      </c>
      <c r="AA241" s="67"/>
      <c r="AB241" s="67"/>
      <c r="AC241" s="67"/>
    </row>
    <row r="242" spans="1:68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90</v>
      </c>
      <c r="Y242" s="43">
        <f>IFERROR(SUM(Y236:Y240),"0")</f>
        <v>90.72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18</v>
      </c>
      <c r="Y244" s="55">
        <f>IFERROR(IF(X244="",0,CEILING((X244/$H244),1)*$H244),"")</f>
        <v>18.899999999999999</v>
      </c>
      <c r="Z244" s="41">
        <f>IFERROR(IF(Y244=0,"",ROUNDUP(Y244/H244,0)*0.0059),"")</f>
        <v>8.8499999999999995E-2</v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20.714285714285712</v>
      </c>
      <c r="BN244" s="78">
        <f>IFERROR(Y244*I244/H244,"0")</f>
        <v>21.749999999999996</v>
      </c>
      <c r="BO244" s="78">
        <f>IFERROR(1/J244*(X244/H244),"0")</f>
        <v>6.6137566137566134E-2</v>
      </c>
      <c r="BP244" s="78">
        <f>IFERROR(1/J244*(Y244/H244),"0")</f>
        <v>6.9444444444444434E-2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11</v>
      </c>
      <c r="Y245" s="55">
        <f>IFERROR(IF(X245="",0,CEILING((X245/$H245),1)*$H245),"")</f>
        <v>11.34</v>
      </c>
      <c r="Z245" s="41">
        <f>IFERROR(IF(Y245=0,"",ROUNDUP(Y245/H245,0)*0.0059),"")</f>
        <v>5.3100000000000001E-2</v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12.658730158730158</v>
      </c>
      <c r="BN245" s="78">
        <f>IFERROR(Y245*I245/H245,"0")</f>
        <v>13.049999999999999</v>
      </c>
      <c r="BO245" s="78">
        <f>IFERROR(1/J245*(X245/H245),"0")</f>
        <v>4.0417401528512635E-2</v>
      </c>
      <c r="BP245" s="78">
        <f>IFERROR(1/J245*(Y245/H245),"0")</f>
        <v>4.1666666666666664E-2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4</v>
      </c>
      <c r="Y246" s="55">
        <f>IFERROR(IF(X246="",0,CEILING((X246/$H246),1)*$H246),"")</f>
        <v>5.04</v>
      </c>
      <c r="Z246" s="41">
        <f>IFERROR(IF(Y246=0,"",ROUNDUP(Y246/H246,0)*0.0059),"")</f>
        <v>2.3599999999999999E-2</v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4.6031746031746028</v>
      </c>
      <c r="BN246" s="78">
        <f>IFERROR(Y246*I246/H246,"0")</f>
        <v>5.8</v>
      </c>
      <c r="BO246" s="78">
        <f>IFERROR(1/J246*(X246/H246),"0")</f>
        <v>1.469723691945914E-2</v>
      </c>
      <c r="BP246" s="78">
        <f>IFERROR(1/J246*(Y246/H246),"0")</f>
        <v>1.8518518518518517E-2</v>
      </c>
    </row>
    <row r="247" spans="1:68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26.19047619047619</v>
      </c>
      <c r="Y247" s="43">
        <f>IFERROR(Y244/H244,"0")+IFERROR(Y245/H245,"0")+IFERROR(Y246/H246,"0")</f>
        <v>28</v>
      </c>
      <c r="Z247" s="43">
        <f>IFERROR(IF(Z244="",0,Z244),"0")+IFERROR(IF(Z245="",0,Z245),"0")+IFERROR(IF(Z246="",0,Z246),"0")</f>
        <v>0.16520000000000001</v>
      </c>
      <c r="AA247" s="67"/>
      <c r="AB247" s="67"/>
      <c r="AC247" s="67"/>
    </row>
    <row r="248" spans="1:68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33</v>
      </c>
      <c r="Y248" s="43">
        <f>IFERROR(SUM(Y244:Y246),"0")</f>
        <v>35.28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7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2.5720164609053495E-2</v>
      </c>
      <c r="BP250" s="78">
        <f>IFERROR(1/J250*(Y250/H250),"0")</f>
        <v>2.7777777777777776E-2</v>
      </c>
    </row>
    <row r="251" spans="1:68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5.5555555555555554</v>
      </c>
      <c r="Y251" s="43">
        <f>IFERROR(Y250/H250,"0")</f>
        <v>6</v>
      </c>
      <c r="Z251" s="43">
        <f>IFERROR(IF(Z250="",0,Z250),"0")</f>
        <v>3.5400000000000001E-2</v>
      </c>
      <c r="AA251" s="67"/>
      <c r="AB251" s="67"/>
      <c r="AC251" s="67"/>
    </row>
    <row r="252" spans="1:68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7</v>
      </c>
      <c r="Y252" s="43">
        <f>IFERROR(SUM(Y250:Y250),"0")</f>
        <v>7.5600000000000005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ref="Y265:Y272" si="31">IFERROR(IF(X265="",0,CEILING((X265/$H265),1)*$H265),"")</f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207.03703703703701</v>
      </c>
      <c r="BN265" s="78">
        <f t="shared" ref="BN265:BN272" si="33">IFERROR(Y265*I265/H265,"0")</f>
        <v>212.42</v>
      </c>
      <c r="BO265" s="78">
        <f t="shared" ref="BO265:BO272" si="34">IFERROR(1/J265*(X265/H265),"0")</f>
        <v>0.28058361391694725</v>
      </c>
      <c r="BP265" s="78">
        <f t="shared" ref="BP265:BP272" si="35">IFERROR(1/J265*(Y265/H265),"0")</f>
        <v>0.2878787878787879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1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155.27777777777777</v>
      </c>
      <c r="BN267" s="78">
        <f t="shared" si="33"/>
        <v>156.52000000000001</v>
      </c>
      <c r="BO267" s="78">
        <f t="shared" si="34"/>
        <v>0.21043771043771042</v>
      </c>
      <c r="BP267" s="78">
        <f t="shared" si="35"/>
        <v>0.21212121212121213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1"/>
        <v>61.2</v>
      </c>
      <c r="Z270" s="41">
        <f>IFERROR(IF(Y270=0,"",ROUNDUP(Y270/H270,0)*0.00502),"")</f>
        <v>0.17068</v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63.333333333333329</v>
      </c>
      <c r="BN270" s="78">
        <f t="shared" si="33"/>
        <v>64.599999999999994</v>
      </c>
      <c r="BO270" s="78">
        <f t="shared" si="34"/>
        <v>0.14245014245014248</v>
      </c>
      <c r="BP270" s="78">
        <f t="shared" si="35"/>
        <v>0.14529914529914531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1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31.666666666666664</v>
      </c>
      <c r="BN271" s="78">
        <f t="shared" si="33"/>
        <v>32.299999999999997</v>
      </c>
      <c r="BO271" s="78">
        <f t="shared" si="34"/>
        <v>7.122507122507124E-2</v>
      </c>
      <c r="BP271" s="78">
        <f t="shared" si="35"/>
        <v>7.2649572649572655E-2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1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31.666666666666664</v>
      </c>
      <c r="BN272" s="78">
        <f t="shared" si="33"/>
        <v>32.299999999999997</v>
      </c>
      <c r="BO272" s="78">
        <f t="shared" si="34"/>
        <v>7.122507122507124E-2</v>
      </c>
      <c r="BP272" s="78">
        <f t="shared" si="35"/>
        <v>7.2649572649572655E-2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131.4814814814815</v>
      </c>
      <c r="Y273" s="43">
        <f>IFERROR(Y265/H265,"0")+IFERROR(Y266/H266,"0")+IFERROR(Y267/H267,"0")+IFERROR(Y268/H268,"0")+IFERROR(Y269/H269,"0")+IFERROR(Y270/H270,"0")+IFERROR(Y271/H271,"0")+IFERROR(Y272/H272,"0")</f>
        <v>134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0.93667999999999996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470</v>
      </c>
      <c r="Y274" s="43">
        <f>IFERROR(SUM(Y265:Y272),"0")</f>
        <v>478.80000000000007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350</v>
      </c>
      <c r="Y277" s="55">
        <f t="shared" si="36"/>
        <v>356.4</v>
      </c>
      <c r="Z277" s="41">
        <f>IFERROR(IF(Y277=0,"",ROUNDUP(Y277/H277,0)*0.01898),"")</f>
        <v>0.83511999999999997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371.34567901234567</v>
      </c>
      <c r="BN277" s="78">
        <f t="shared" si="38"/>
        <v>378.13599999999997</v>
      </c>
      <c r="BO277" s="78">
        <f t="shared" si="39"/>
        <v>0.67515432098765438</v>
      </c>
      <c r="BP277" s="78">
        <f t="shared" si="40"/>
        <v>0.6875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36"/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105.87654320987654</v>
      </c>
      <c r="BN278" s="78">
        <f t="shared" si="38"/>
        <v>111.48800000000001</v>
      </c>
      <c r="BO278" s="78">
        <f t="shared" si="39"/>
        <v>0.19290123456790123</v>
      </c>
      <c r="BP278" s="78">
        <f t="shared" si="40"/>
        <v>0.203125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36"/>
        <v>52.199999999999996</v>
      </c>
      <c r="Z279" s="41">
        <f>IFERROR(IF(Y279=0,"",ROUNDUP(Y279/H279,0)*0.01898),"")</f>
        <v>0.11388000000000001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52.839080459770123</v>
      </c>
      <c r="BN279" s="78">
        <f t="shared" si="38"/>
        <v>55.164000000000009</v>
      </c>
      <c r="BO279" s="78">
        <f t="shared" si="39"/>
        <v>8.9798850574712652E-2</v>
      </c>
      <c r="BP279" s="78">
        <f t="shared" si="40"/>
        <v>9.375E-2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480</v>
      </c>
      <c r="Y280" s="55">
        <f t="shared" si="36"/>
        <v>480</v>
      </c>
      <c r="Z280" s="41">
        <f>IFERROR(IF(Y280=0,"",ROUNDUP(Y280/H280,0)*0.00651),"")</f>
        <v>1.302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534</v>
      </c>
      <c r="BN280" s="78">
        <f t="shared" si="38"/>
        <v>534</v>
      </c>
      <c r="BO280" s="78">
        <f t="shared" si="39"/>
        <v>1.098901098901099</v>
      </c>
      <c r="BP280" s="78">
        <f t="shared" si="40"/>
        <v>1.098901098901099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280</v>
      </c>
      <c r="Y282" s="55">
        <f t="shared" si="36"/>
        <v>280.8</v>
      </c>
      <c r="Z282" s="41">
        <f>IFERROR(IF(Y282=0,"",ROUNDUP(Y282/H282,0)*0.00651),"")</f>
        <v>0.76167000000000007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309.40000000000003</v>
      </c>
      <c r="BN282" s="78">
        <f t="shared" si="38"/>
        <v>310.28400000000005</v>
      </c>
      <c r="BO282" s="78">
        <f t="shared" si="39"/>
        <v>0.64102564102564108</v>
      </c>
      <c r="BP282" s="78">
        <f t="shared" si="40"/>
        <v>0.64285714285714302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36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44.20000000000001</v>
      </c>
      <c r="BN285" s="78">
        <f t="shared" si="38"/>
        <v>45.084000000000003</v>
      </c>
      <c r="BO285" s="78">
        <f t="shared" si="39"/>
        <v>9.1575091575091583E-2</v>
      </c>
      <c r="BP285" s="78">
        <f t="shared" si="40"/>
        <v>9.3406593406593408E-2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200</v>
      </c>
      <c r="Y286" s="55">
        <f t="shared" si="36"/>
        <v>201.6</v>
      </c>
      <c r="Z286" s="41">
        <f>IFERROR(IF(Y286=0,"",ROUNDUP(Y286/H286,0)*0.00651),"")</f>
        <v>0.54683999999999999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221.50000000000003</v>
      </c>
      <c r="BN286" s="78">
        <f t="shared" si="38"/>
        <v>223.27200000000002</v>
      </c>
      <c r="BO286" s="78">
        <f t="shared" si="39"/>
        <v>0.45787545787545797</v>
      </c>
      <c r="BP286" s="78">
        <f t="shared" si="40"/>
        <v>0.46153846153846156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477.96934865900391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481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3.9169200000000002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1500</v>
      </c>
      <c r="Y289" s="43">
        <f>IFERROR(SUM(Y276:Y287),"0")</f>
        <v>1517.1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20</v>
      </c>
      <c r="Y291" s="55">
        <f>IFERROR(IF(X291="",0,CEILING((X291/$H291),1)*$H291),"")</f>
        <v>21.599999999999998</v>
      </c>
      <c r="Z291" s="41">
        <f>IFERROR(IF(Y291=0,"",ROUNDUP(Y291/H291,0)*0.00651),"")</f>
        <v>5.8590000000000003E-2</v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22.100000000000005</v>
      </c>
      <c r="BN291" s="78">
        <f>IFERROR(Y291*I291/H291,"0")</f>
        <v>23.868000000000002</v>
      </c>
      <c r="BO291" s="78">
        <f>IFERROR(1/J291*(X291/H291),"0")</f>
        <v>4.5787545787545791E-2</v>
      </c>
      <c r="BP291" s="78">
        <f>IFERROR(1/J291*(Y291/H291),"0")</f>
        <v>4.9450549450549455E-2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60</v>
      </c>
      <c r="Y292" s="55">
        <f>IFERROR(IF(X292="",0,CEILING((X292/$H292),1)*$H292),"")</f>
        <v>60</v>
      </c>
      <c r="Z292" s="41">
        <f>IFERROR(IF(Y292=0,"",ROUNDUP(Y292/H292,0)*0.00651),"")</f>
        <v>0.16275000000000001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66.300000000000011</v>
      </c>
      <c r="BN292" s="78">
        <f>IFERROR(Y292*I292/H292,"0")</f>
        <v>66.300000000000011</v>
      </c>
      <c r="BO292" s="78">
        <f>IFERROR(1/J292*(X292/H292),"0")</f>
        <v>0.13736263736263737</v>
      </c>
      <c r="BP292" s="78">
        <f>IFERROR(1/J292*(Y292/H292),"0")</f>
        <v>0.13736263736263737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33.333333333333336</v>
      </c>
      <c r="Y293" s="43">
        <f>IFERROR(Y291/H291,"0")+IFERROR(Y292/H292,"0")</f>
        <v>34</v>
      </c>
      <c r="Z293" s="43">
        <f>IFERROR(IF(Z291="",0,Z291),"0")+IFERROR(IF(Z292="",0,Z292),"0")</f>
        <v>0.22134000000000001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80</v>
      </c>
      <c r="Y294" s="43">
        <f>IFERROR(SUM(Y291:Y292),"0")</f>
        <v>81.599999999999994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70</v>
      </c>
      <c r="Y299" s="55">
        <f t="shared" si="41"/>
        <v>81.2</v>
      </c>
      <c r="Z299" s="41">
        <f>IFERROR(IF(Y299=0,"",ROUNDUP(Y299/H299,0)*0.01898),"")</f>
        <v>0.13286000000000001</v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72.474137931034477</v>
      </c>
      <c r="BN299" s="78">
        <f t="shared" si="43"/>
        <v>84.070000000000007</v>
      </c>
      <c r="BO299" s="78">
        <f t="shared" si="44"/>
        <v>9.4288793103448273E-2</v>
      </c>
      <c r="BP299" s="78">
        <f t="shared" si="45"/>
        <v>0.10937500000000001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24</v>
      </c>
      <c r="Y300" s="55">
        <f t="shared" si="41"/>
        <v>24</v>
      </c>
      <c r="Z300" s="41">
        <f>IFERROR(IF(Y300=0,"",ROUNDUP(Y300/H300,0)*0.00902),"")</f>
        <v>5.4120000000000001E-2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25.14</v>
      </c>
      <c r="BN300" s="78">
        <f t="shared" si="43"/>
        <v>25.14</v>
      </c>
      <c r="BO300" s="78">
        <f t="shared" si="44"/>
        <v>4.5454545454545456E-2</v>
      </c>
      <c r="BP300" s="78">
        <f t="shared" si="45"/>
        <v>4.5454545454545456E-2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40</v>
      </c>
      <c r="Y303" s="55">
        <f t="shared" si="41"/>
        <v>40</v>
      </c>
      <c r="Z303" s="41">
        <f>IFERROR(IF(Y303=0,"",ROUNDUP(Y303/H303,0)*0.00902),"")</f>
        <v>9.0200000000000002E-2</v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41.900000000000006</v>
      </c>
      <c r="BN303" s="78">
        <f t="shared" si="43"/>
        <v>41.900000000000006</v>
      </c>
      <c r="BO303" s="78">
        <f t="shared" si="44"/>
        <v>7.575757575757576E-2</v>
      </c>
      <c r="BP303" s="78">
        <f t="shared" si="45"/>
        <v>7.575757575757576E-2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22.03448275862069</v>
      </c>
      <c r="Y304" s="43">
        <f>IFERROR(Y297/H297,"0")+IFERROR(Y298/H298,"0")+IFERROR(Y299/H299,"0")+IFERROR(Y300/H300,"0")+IFERROR(Y301/H301,"0")+IFERROR(Y302/H302,"0")+IFERROR(Y303/H303,"0")</f>
        <v>23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0.27717999999999998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134</v>
      </c>
      <c r="Y305" s="43">
        <f>IFERROR(SUM(Y297:Y303),"0")</f>
        <v>145.19999999999999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16</v>
      </c>
      <c r="Y307" s="55">
        <f>IFERROR(IF(X307="",0,CEILING((X307/$H307),1)*$H307),"")</f>
        <v>17.82</v>
      </c>
      <c r="Z307" s="41">
        <f>IFERROR(IF(Y307=0,"",ROUNDUP(Y307/H307,0)*0.00502),"")</f>
        <v>4.5179999999999998E-2</v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16.80808080808081</v>
      </c>
      <c r="BN307" s="78">
        <f>IFERROR(Y307*I307/H307,"0")</f>
        <v>18.720000000000002</v>
      </c>
      <c r="BO307" s="78">
        <f>IFERROR(1/J307*(X307/H307),"0")</f>
        <v>3.4533367866701206E-2</v>
      </c>
      <c r="BP307" s="78">
        <f>IFERROR(1/J307*(Y307/H307),"0")</f>
        <v>3.8461538461538464E-2</v>
      </c>
    </row>
    <row r="308" spans="1:68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8.0808080808080813</v>
      </c>
      <c r="Y308" s="43">
        <f>IFERROR(Y307/H307,"0")</f>
        <v>9</v>
      </c>
      <c r="Z308" s="43">
        <f>IFERROR(IF(Z307="",0,Z307),"0")</f>
        <v>4.5179999999999998E-2</v>
      </c>
      <c r="AA308" s="67"/>
      <c r="AB308" s="67"/>
      <c r="AC308" s="67"/>
    </row>
    <row r="309" spans="1:68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16</v>
      </c>
      <c r="Y309" s="43">
        <f>IFERROR(SUM(Y307:Y307),"0")</f>
        <v>17.82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36</v>
      </c>
      <c r="Y315" s="55">
        <f>IFERROR(IF(X315="",0,CEILING((X315/$H315),1)*$H315),"")</f>
        <v>36</v>
      </c>
      <c r="Z315" s="41">
        <f>IFERROR(IF(Y315=0,"",ROUNDUP(Y315/H315,0)*0.0059),"")</f>
        <v>0.11799999999999999</v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39.500000000000007</v>
      </c>
      <c r="BN315" s="78">
        <f>IFERROR(Y315*I315/H315,"0")</f>
        <v>39.500000000000007</v>
      </c>
      <c r="BO315" s="78">
        <f>IFERROR(1/J315*(X315/H315),"0")</f>
        <v>9.2592592592592587E-2</v>
      </c>
      <c r="BP315" s="78">
        <f>IFERROR(1/J315*(Y315/H315),"0")</f>
        <v>9.2592592592592587E-2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20</v>
      </c>
      <c r="Y319" s="43">
        <f>IFERROR(Y315/H315,"0")+IFERROR(Y316/H316,"0")+IFERROR(Y317/H317,"0")+IFERROR(Y318/H318,"0")</f>
        <v>20</v>
      </c>
      <c r="Z319" s="43">
        <f>IFERROR(IF(Z315="",0,Z315),"0")+IFERROR(IF(Z316="",0,Z316),"0")+IFERROR(IF(Z317="",0,Z317),"0")+IFERROR(IF(Z318="",0,Z318),"0")</f>
        <v>0.11799999999999999</v>
      </c>
      <c r="AA319" s="67"/>
      <c r="AB319" s="67"/>
      <c r="AC319" s="67"/>
    </row>
    <row r="320" spans="1:68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36</v>
      </c>
      <c r="Y320" s="43">
        <f>IFERROR(SUM(Y315:Y318),"0")</f>
        <v>36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40</v>
      </c>
      <c r="Y335" s="55">
        <f>IFERROR(IF(X335="",0,CEILING((X335/$H335),1)*$H335),"")</f>
        <v>40.799999999999997</v>
      </c>
      <c r="Z335" s="41">
        <f>IFERROR(IF(Y335=0,"",ROUNDUP(Y335/H335,0)*0.00651),"")</f>
        <v>0.11067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44.20000000000001</v>
      </c>
      <c r="BN335" s="78">
        <f>IFERROR(Y335*I335/H335,"0")</f>
        <v>45.084000000000003</v>
      </c>
      <c r="BO335" s="78">
        <f>IFERROR(1/J335*(X335/H335),"0")</f>
        <v>9.1575091575091583E-2</v>
      </c>
      <c r="BP335" s="78">
        <f>IFERROR(1/J335*(Y335/H335),"0")</f>
        <v>9.3406593406593408E-2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200</v>
      </c>
      <c r="Y336" s="55">
        <f>IFERROR(IF(X336="",0,CEILING((X336/$H336),1)*$H336),"")</f>
        <v>201.6</v>
      </c>
      <c r="Z336" s="41">
        <f>IFERROR(IF(Y336=0,"",ROUNDUP(Y336/H336,0)*0.00651),"")</f>
        <v>0.54683999999999999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215</v>
      </c>
      <c r="BN336" s="78">
        <f>IFERROR(Y336*I336/H336,"0")</f>
        <v>216.72000000000003</v>
      </c>
      <c r="BO336" s="78">
        <f>IFERROR(1/J336*(X336/H336),"0")</f>
        <v>0.45787545787545797</v>
      </c>
      <c r="BP336" s="78">
        <f>IFERROR(1/J336*(Y336/H336),"0")</f>
        <v>0.46153846153846156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100.00000000000001</v>
      </c>
      <c r="Y337" s="43">
        <f>IFERROR(Y334/H334,"0")+IFERROR(Y335/H335,"0")+IFERROR(Y336/H336,"0")</f>
        <v>101</v>
      </c>
      <c r="Z337" s="43">
        <f>IFERROR(IF(Z334="",0,Z334),"0")+IFERROR(IF(Z335="",0,Z335),"0")+IFERROR(IF(Z336="",0,Z336),"0")</f>
        <v>0.65751000000000004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240</v>
      </c>
      <c r="Y338" s="43">
        <f>IFERROR(SUM(Y334:Y336),"0")</f>
        <v>242.39999999999998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150</v>
      </c>
      <c r="Y364" s="55">
        <f>IFERROR(IF(X364="",0,CEILING((X364/$H364),1)*$H364),"")</f>
        <v>156</v>
      </c>
      <c r="Z364" s="41">
        <f>IFERROR(IF(Y364=0,"",ROUNDUP(Y364/H364,0)*0.01898),"")</f>
        <v>0.37959999999999999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157.88461538461542</v>
      </c>
      <c r="BN364" s="78">
        <f>IFERROR(Y364*I364/H364,"0")</f>
        <v>164.20000000000005</v>
      </c>
      <c r="BO364" s="78">
        <f>IFERROR(1/J364*(X364/H364),"0")</f>
        <v>0.30048076923076922</v>
      </c>
      <c r="BP364" s="78">
        <f>IFERROR(1/J364*(Y364/H364),"0")</f>
        <v>0.3125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100</v>
      </c>
      <c r="Y365" s="55">
        <f>IFERROR(IF(X365="",0,CEILING((X365/$H365),1)*$H365),"")</f>
        <v>101.39999999999999</v>
      </c>
      <c r="Z365" s="41">
        <f>IFERROR(IF(Y365=0,"",ROUNDUP(Y365/H365,0)*0.01898),"")</f>
        <v>0.24674000000000001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105.25641025641028</v>
      </c>
      <c r="BN365" s="78">
        <f>IFERROR(Y365*I365/H365,"0")</f>
        <v>106.73</v>
      </c>
      <c r="BO365" s="78">
        <f>IFERROR(1/J365*(X365/H365),"0")</f>
        <v>0.20032051282051283</v>
      </c>
      <c r="BP365" s="78">
        <f>IFERROR(1/J365*(Y365/H365),"0")</f>
        <v>0.203125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32.051282051282051</v>
      </c>
      <c r="Y367" s="43">
        <f>IFERROR(Y364/H364,"0")+IFERROR(Y365/H365,"0")+IFERROR(Y366/H366,"0")</f>
        <v>33</v>
      </c>
      <c r="Z367" s="43">
        <f>IFERROR(IF(Z364="",0,Z364),"0")+IFERROR(IF(Z365="",0,Z365),"0")+IFERROR(IF(Z366="",0,Z366),"0")</f>
        <v>0.62634000000000001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250</v>
      </c>
      <c r="Y368" s="43">
        <f>IFERROR(SUM(Y364:Y366),"0")</f>
        <v>257.39999999999998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30</v>
      </c>
      <c r="Y375" s="55">
        <f t="shared" si="51"/>
        <v>32.400000000000006</v>
      </c>
      <c r="Z375" s="41">
        <f>IFERROR(IF(Y375=0,"",ROUNDUP(Y375/H375,0)*0.01898),"")</f>
        <v>5.6940000000000004E-2</v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31.138888888888889</v>
      </c>
      <c r="BN375" s="78">
        <f t="shared" si="53"/>
        <v>33.630000000000003</v>
      </c>
      <c r="BO375" s="78">
        <f t="shared" si="54"/>
        <v>4.3402777777777776E-2</v>
      </c>
      <c r="BP375" s="78">
        <f t="shared" si="55"/>
        <v>4.6875000000000007E-2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2.7777777777777777</v>
      </c>
      <c r="Y378" s="43">
        <f>IFERROR(Y371/H371,"0")+IFERROR(Y372/H372,"0")+IFERROR(Y373/H373,"0")+IFERROR(Y374/H374,"0")+IFERROR(Y375/H375,"0")+IFERROR(Y376/H376,"0")+IFERROR(Y377/H377,"0")</f>
        <v>3.0000000000000004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5.6940000000000004E-2</v>
      </c>
      <c r="AA378" s="67"/>
      <c r="AB378" s="67"/>
      <c r="AC378" s="67"/>
    </row>
    <row r="379" spans="1:68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30</v>
      </c>
      <c r="Y379" s="43">
        <f>IFERROR(SUM(Y371:Y377),"0")</f>
        <v>32.400000000000006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245</v>
      </c>
      <c r="Y385" s="55">
        <f t="shared" si="56"/>
        <v>245.70000000000002</v>
      </c>
      <c r="Z385" s="41">
        <f>IFERROR(IF(Y385=0,"",ROUNDUP(Y385/H385,0)*0.00502),"")</f>
        <v>0.58733999999999997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256.66666666666663</v>
      </c>
      <c r="BN385" s="78">
        <f t="shared" si="58"/>
        <v>257.40000000000003</v>
      </c>
      <c r="BO385" s="78">
        <f t="shared" si="59"/>
        <v>0.4985754985754986</v>
      </c>
      <c r="BP385" s="78">
        <f t="shared" si="60"/>
        <v>0.5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15</v>
      </c>
      <c r="Y387" s="55">
        <f t="shared" si="56"/>
        <v>16.2</v>
      </c>
      <c r="Z387" s="41">
        <f>IFERROR(IF(Y387=0,"",ROUNDUP(Y387/H387,0)*0.00651),"")</f>
        <v>5.8590000000000003E-2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16.900000000000002</v>
      </c>
      <c r="BN387" s="78">
        <f t="shared" si="58"/>
        <v>18.251999999999999</v>
      </c>
      <c r="BO387" s="78">
        <f t="shared" si="59"/>
        <v>4.5787545787545791E-2</v>
      </c>
      <c r="BP387" s="78">
        <f t="shared" si="60"/>
        <v>4.9450549450549455E-2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124.99999999999999</v>
      </c>
      <c r="Y388" s="43">
        <f>IFERROR(Y381/H381,"0")+IFERROR(Y382/H382,"0")+IFERROR(Y383/H383,"0")+IFERROR(Y384/H384,"0")+IFERROR(Y385/H385,"0")+IFERROR(Y386/H386,"0")+IFERROR(Y387/H387,"0")</f>
        <v>126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0.64593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260</v>
      </c>
      <c r="Y389" s="43">
        <f>IFERROR(SUM(Y381:Y387),"0")</f>
        <v>261.90000000000003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350</v>
      </c>
      <c r="Y398" s="55">
        <f>IFERROR(IF(X398="",0,CEILING((X398/$H398),1)*$H398),"")</f>
        <v>352.8</v>
      </c>
      <c r="Z398" s="41">
        <f>IFERROR(IF(Y398=0,"",ROUNDUP(Y398/H398,0)*0.01898),"")</f>
        <v>0.79715999999999998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370.58333333333331</v>
      </c>
      <c r="BN398" s="78">
        <f>IFERROR(Y398*I398/H398,"0")</f>
        <v>373.548</v>
      </c>
      <c r="BO398" s="78">
        <f>IFERROR(1/J398*(X398/H398),"0")</f>
        <v>0.65104166666666663</v>
      </c>
      <c r="BP398" s="78">
        <f>IFERROR(1/J398*(Y398/H398),"0")</f>
        <v>0.65625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300</v>
      </c>
      <c r="Y399" s="55">
        <f>IFERROR(IF(X399="",0,CEILING((X399/$H399),1)*$H399),"")</f>
        <v>304.2</v>
      </c>
      <c r="Z399" s="41">
        <f>IFERROR(IF(Y399=0,"",ROUNDUP(Y399/H399,0)*0.01898),"")</f>
        <v>0.74021999999999999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319.00000000000006</v>
      </c>
      <c r="BN399" s="78">
        <f>IFERROR(Y399*I399/H399,"0")</f>
        <v>323.46600000000001</v>
      </c>
      <c r="BO399" s="78">
        <f>IFERROR(1/J399*(X399/H399),"0")</f>
        <v>0.60096153846153844</v>
      </c>
      <c r="BP399" s="78">
        <f>IFERROR(1/J399*(Y399/H399),"0")</f>
        <v>0.609375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100.80000000000001</v>
      </c>
      <c r="Z400" s="41">
        <f>IFERROR(IF(Y400=0,"",ROUNDUP(Y400/H400,0)*0.01898),"")</f>
        <v>0.22776000000000002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105.88095238095238</v>
      </c>
      <c r="BN400" s="78">
        <f>IFERROR(Y400*I400/H400,"0")</f>
        <v>106.72800000000001</v>
      </c>
      <c r="BO400" s="78">
        <f>IFERROR(1/J400*(X400/H400),"0")</f>
        <v>0.18601190476190477</v>
      </c>
      <c r="BP400" s="78">
        <f>IFERROR(1/J400*(Y400/H400),"0")</f>
        <v>0.1875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92.032967032967036</v>
      </c>
      <c r="Y401" s="43">
        <f>IFERROR(Y398/H398,"0")+IFERROR(Y399/H399,"0")+IFERROR(Y400/H400,"0")</f>
        <v>93</v>
      </c>
      <c r="Z401" s="43">
        <f>IFERROR(IF(Z398="",0,Z398),"0")+IFERROR(IF(Z399="",0,Z399),"0")+IFERROR(IF(Z400="",0,Z400),"0")</f>
        <v>1.7651399999999999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750</v>
      </c>
      <c r="Y402" s="43">
        <f>IFERROR(SUM(Y398:Y400),"0")</f>
        <v>757.8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102</v>
      </c>
      <c r="Y406" s="55">
        <f>IFERROR(IF(X406="",0,CEILING((X406/$H406),1)*$H406),"")</f>
        <v>102</v>
      </c>
      <c r="Z406" s="41">
        <f>IFERROR(IF(Y406=0,"",ROUNDUP(Y406/H406,0)*0.00651),"")</f>
        <v>0.26040000000000002</v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118.20000000000002</v>
      </c>
      <c r="BN406" s="78">
        <f>IFERROR(Y406*I406/H406,"0")</f>
        <v>118.20000000000002</v>
      </c>
      <c r="BO406" s="78">
        <f>IFERROR(1/J406*(X406/H406),"0")</f>
        <v>0.2197802197802198</v>
      </c>
      <c r="BP406" s="78">
        <f>IFERROR(1/J406*(Y406/H406),"0")</f>
        <v>0.2197802197802198</v>
      </c>
    </row>
    <row r="407" spans="1:68" ht="27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340</v>
      </c>
      <c r="Y407" s="55">
        <f>IFERROR(IF(X407="",0,CEILING((X407/$H407),1)*$H407),"")</f>
        <v>341.7</v>
      </c>
      <c r="Z407" s="41">
        <f>IFERROR(IF(Y407=0,"",ROUNDUP(Y407/H407,0)*0.00651),"")</f>
        <v>0.87234</v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384</v>
      </c>
      <c r="BN407" s="78">
        <f>IFERROR(Y407*I407/H407,"0")</f>
        <v>385.91999999999996</v>
      </c>
      <c r="BO407" s="78">
        <f>IFERROR(1/J407*(X407/H407),"0")</f>
        <v>0.73260073260073266</v>
      </c>
      <c r="BP407" s="78">
        <f>IFERROR(1/J407*(Y407/H407),"0")</f>
        <v>0.73626373626373631</v>
      </c>
    </row>
    <row r="408" spans="1:68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173.33333333333334</v>
      </c>
      <c r="Y408" s="43">
        <f>IFERROR(Y404/H404,"0")+IFERROR(Y405/H405,"0")+IFERROR(Y406/H406,"0")+IFERROR(Y407/H407,"0")</f>
        <v>174</v>
      </c>
      <c r="Z408" s="43">
        <f>IFERROR(IF(Z404="",0,Z404),"0")+IFERROR(IF(Z405="",0,Z405),"0")+IFERROR(IF(Z406="",0,Z406),"0")+IFERROR(IF(Z407="",0,Z407),"0")</f>
        <v>1.1327400000000001</v>
      </c>
      <c r="AA408" s="67"/>
      <c r="AB408" s="67"/>
      <c r="AC408" s="67"/>
    </row>
    <row r="409" spans="1:68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442</v>
      </c>
      <c r="Y409" s="43">
        <f>IFERROR(SUM(Y404:Y407),"0")</f>
        <v>443.7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910</v>
      </c>
      <c r="Y432" s="55">
        <f>IFERROR(IF(X432="",0,CEILING((X432/$H432),1)*$H432),"")</f>
        <v>911.40000000000009</v>
      </c>
      <c r="Z432" s="41">
        <f>IFERROR(IF(Y432=0,"",ROUNDUP(Y432/H432,0)*0.00651),"")</f>
        <v>2.8253400000000002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1019.1999999999998</v>
      </c>
      <c r="BN432" s="78">
        <f>IFERROR(Y432*I432/H432,"0")</f>
        <v>1020.7679999999999</v>
      </c>
      <c r="BO432" s="78">
        <f>IFERROR(1/J432*(X432/H432),"0")</f>
        <v>2.3809523809523809</v>
      </c>
      <c r="BP432" s="78">
        <f>IFERROR(1/J432*(Y432/H432),"0")</f>
        <v>2.3846153846153846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525</v>
      </c>
      <c r="Y433" s="55">
        <f>IFERROR(IF(X433="",0,CEILING((X433/$H433),1)*$H433),"")</f>
        <v>525</v>
      </c>
      <c r="Z433" s="41">
        <f>IFERROR(IF(Y433=0,"",ROUNDUP(Y433/H433,0)*0.00651),"")</f>
        <v>1.6274999999999999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585</v>
      </c>
      <c r="BN433" s="78">
        <f>IFERROR(Y433*I433/H433,"0")</f>
        <v>585</v>
      </c>
      <c r="BO433" s="78">
        <f>IFERROR(1/J433*(X433/H433),"0")</f>
        <v>1.3736263736263736</v>
      </c>
      <c r="BP433" s="78">
        <f>IFERROR(1/J433*(Y433/H433),"0")</f>
        <v>1.3736263736263736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683.33333333333326</v>
      </c>
      <c r="Y434" s="43">
        <f>IFERROR(Y431/H431,"0")+IFERROR(Y432/H432,"0")+IFERROR(Y433/H433,"0")</f>
        <v>684</v>
      </c>
      <c r="Z434" s="43">
        <f>IFERROR(IF(Z431="",0,Z431),"0")+IFERROR(IF(Z432="",0,Z432),"0")+IFERROR(IF(Z433="",0,Z433),"0")</f>
        <v>4.4528400000000001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1435</v>
      </c>
      <c r="Y435" s="43">
        <f>IFERROR(SUM(Y431:Y433),"0")</f>
        <v>1436.4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1100</v>
      </c>
      <c r="Y441" s="55">
        <f t="shared" si="61"/>
        <v>1110</v>
      </c>
      <c r="Z441" s="41">
        <f>IFERROR(IF(Y441=0,"",ROUNDUP(Y441/H441,0)*0.02175),"")</f>
        <v>1.6094999999999999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1134.4666666666667</v>
      </c>
      <c r="BN441" s="78">
        <f t="shared" si="63"/>
        <v>1144.78</v>
      </c>
      <c r="BO441" s="78">
        <f t="shared" si="64"/>
        <v>1.5277777777777777</v>
      </c>
      <c r="BP441" s="78">
        <f t="shared" si="65"/>
        <v>1.5416666666666665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1550</v>
      </c>
      <c r="Y442" s="55">
        <f t="shared" si="61"/>
        <v>1560</v>
      </c>
      <c r="Z442" s="41">
        <f>IFERROR(IF(Y442=0,"",ROUNDUP(Y442/H442,0)*0.02175),"")</f>
        <v>2.262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1598.5666666666666</v>
      </c>
      <c r="BN442" s="78">
        <f t="shared" si="63"/>
        <v>1608.88</v>
      </c>
      <c r="BO442" s="78">
        <f t="shared" si="64"/>
        <v>2.1527777777777777</v>
      </c>
      <c r="BP442" s="78">
        <f t="shared" si="65"/>
        <v>2.1666666666666665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15</v>
      </c>
      <c r="Y446" s="55">
        <f t="shared" si="61"/>
        <v>15</v>
      </c>
      <c r="Z446" s="41">
        <f>IFERROR(IF(Y446=0,"",ROUNDUP(Y446/H446,0)*0.00902),"")</f>
        <v>2.7060000000000001E-2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15.570000000000002</v>
      </c>
      <c r="BN446" s="78">
        <f t="shared" si="63"/>
        <v>15.570000000000002</v>
      </c>
      <c r="BO446" s="78">
        <f t="shared" si="64"/>
        <v>2.2727272727272728E-2</v>
      </c>
      <c r="BP446" s="78">
        <f t="shared" si="65"/>
        <v>2.2727272727272728E-2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213</v>
      </c>
      <c r="Y447" s="43">
        <f>IFERROR(Y439/H439,"0")+IFERROR(Y440/H440,"0")+IFERROR(Y441/H441,"0")+IFERROR(Y442/H442,"0")+IFERROR(Y443/H443,"0")+IFERROR(Y444/H444,"0")+IFERROR(Y445/H445,"0")+IFERROR(Y446/H446,"0")</f>
        <v>215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4.6380599999999994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3165</v>
      </c>
      <c r="Y448" s="43">
        <f>IFERROR(SUM(Y439:Y446),"0")</f>
        <v>3195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700</v>
      </c>
      <c r="Y450" s="55">
        <f>IFERROR(IF(X450="",0,CEILING((X450/$H450),1)*$H450),"")</f>
        <v>705</v>
      </c>
      <c r="Z450" s="41">
        <f>IFERROR(IF(Y450=0,"",ROUNDUP(Y450/H450,0)*0.02175),"")</f>
        <v>1.0222499999999999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721.93333333333328</v>
      </c>
      <c r="BN450" s="78">
        <f>IFERROR(Y450*I450/H450,"0")</f>
        <v>727.09</v>
      </c>
      <c r="BO450" s="78">
        <f>IFERROR(1/J450*(X450/H450),"0")</f>
        <v>0.9722222222222221</v>
      </c>
      <c r="BP450" s="78">
        <f>IFERROR(1/J450*(Y450/H450),"0")</f>
        <v>0.97916666666666663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180</v>
      </c>
      <c r="Y451" s="55">
        <f>IFERROR(IF(X451="",0,CEILING((X451/$H451),1)*$H451),"")</f>
        <v>180</v>
      </c>
      <c r="Z451" s="41">
        <f>IFERROR(IF(Y451=0,"",ROUNDUP(Y451/H451,0)*0.02175),"")</f>
        <v>0.26100000000000001</v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185.64</v>
      </c>
      <c r="BN451" s="78">
        <f>IFERROR(Y451*I451/H451,"0")</f>
        <v>185.64</v>
      </c>
      <c r="BO451" s="78">
        <f>IFERROR(1/J451*(X451/H451),"0")</f>
        <v>0.25</v>
      </c>
      <c r="BP451" s="78">
        <f>IFERROR(1/J451*(Y451/H451),"0")</f>
        <v>0.25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58.666666666666664</v>
      </c>
      <c r="Y453" s="43">
        <f>IFERROR(Y450/H450,"0")+IFERROR(Y451/H451,"0")+IFERROR(Y452/H452,"0")</f>
        <v>59</v>
      </c>
      <c r="Z453" s="43">
        <f>IFERROR(IF(Z450="",0,Z450),"0")+IFERROR(IF(Z451="",0,Z451),"0")+IFERROR(IF(Z452="",0,Z452),"0")</f>
        <v>1.2832499999999998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880</v>
      </c>
      <c r="Y454" s="43">
        <f>IFERROR(SUM(Y450:Y452),"0")</f>
        <v>885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100</v>
      </c>
      <c r="Y456" s="55">
        <f>IFERROR(IF(X456="",0,CEILING((X456/$H456),1)*$H456),"")</f>
        <v>108</v>
      </c>
      <c r="Z456" s="41">
        <f>IFERROR(IF(Y456=0,"",ROUNDUP(Y456/H456,0)*0.01898),"")</f>
        <v>0.22776000000000002</v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105.55555555555556</v>
      </c>
      <c r="BN456" s="78">
        <f>IFERROR(Y456*I456/H456,"0")</f>
        <v>114</v>
      </c>
      <c r="BO456" s="78">
        <f>IFERROR(1/J456*(X456/H456),"0")</f>
        <v>0.1736111111111111</v>
      </c>
      <c r="BP456" s="78">
        <f>IFERROR(1/J456*(Y456/H456),"0")</f>
        <v>0.1875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11.111111111111111</v>
      </c>
      <c r="Y459" s="43">
        <f>IFERROR(Y456/H456,"0")+IFERROR(Y457/H457,"0")+IFERROR(Y458/H458,"0")</f>
        <v>12</v>
      </c>
      <c r="Z459" s="43">
        <f>IFERROR(IF(Z456="",0,Z456),"0")+IFERROR(IF(Z457="",0,Z457),"0")+IFERROR(IF(Z458="",0,Z458),"0")</f>
        <v>0.22776000000000002</v>
      </c>
      <c r="AA459" s="67"/>
      <c r="AB459" s="67"/>
      <c r="AC459" s="67"/>
    </row>
    <row r="460" spans="1:68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100</v>
      </c>
      <c r="Y460" s="43">
        <f>IFERROR(SUM(Y456:Y458),"0")</f>
        <v>108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100</v>
      </c>
      <c r="Y462" s="55">
        <f>IFERROR(IF(X462="",0,CEILING((X462/$H462),1)*$H462),"")</f>
        <v>100.80000000000001</v>
      </c>
      <c r="Z462" s="41">
        <f>IFERROR(IF(Y462=0,"",ROUNDUP(Y462/H462,0)*0.01196),"")</f>
        <v>0.28704000000000002</v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109.9047619047619</v>
      </c>
      <c r="BN462" s="78">
        <f>IFERROR(Y462*I462/H462,"0")</f>
        <v>110.78399999999999</v>
      </c>
      <c r="BO462" s="78">
        <f>IFERROR(1/J462*(X462/H462),"0")</f>
        <v>0.22893772893772896</v>
      </c>
      <c r="BP462" s="78">
        <f>IFERROR(1/J462*(Y462/H462),"0")</f>
        <v>0.23076923076923078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23.80952380952381</v>
      </c>
      <c r="Y464" s="43">
        <f>IFERROR(Y462/H462,"0")+IFERROR(Y463/H463,"0")</f>
        <v>24</v>
      </c>
      <c r="Z464" s="43">
        <f>IFERROR(IF(Z462="",0,Z462),"0")+IFERROR(IF(Z463="",0,Z463),"0")</f>
        <v>0.28704000000000002</v>
      </c>
      <c r="AA464" s="67"/>
      <c r="AB464" s="67"/>
      <c r="AC464" s="67"/>
    </row>
    <row r="465" spans="1:68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100</v>
      </c>
      <c r="Y465" s="43">
        <f>IFERROR(SUM(Y462:Y463),"0")</f>
        <v>100.80000000000001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ref="Y511:Y518" si="71">IFERROR(IF(X511="",0,CEILING((X511/$H511),1)*$H511),"")</f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53.314393939393938</v>
      </c>
      <c r="BN511" s="78">
        <f t="shared" ref="BN511:BN518" si="73">IFERROR(Y511*I511/H511,"0")</f>
        <v>56.3</v>
      </c>
      <c r="BO511" s="78">
        <f t="shared" ref="BO511:BO518" si="74">IFERROR(1/J511*(X511/H511),"0")</f>
        <v>9.1054778554778545E-2</v>
      </c>
      <c r="BP511" s="78">
        <f t="shared" ref="BP511:BP518" si="75">IFERROR(1/J511*(Y511/H511),"0")</f>
        <v>9.6153846153846159E-2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200</v>
      </c>
      <c r="Y515" s="55">
        <f t="shared" si="71"/>
        <v>200.64000000000001</v>
      </c>
      <c r="Z515" s="41">
        <f>IFERROR(IF(Y515=0,"",ROUNDUP(Y515/H515,0)*0.01196),"")</f>
        <v>0.45448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213.25757575757575</v>
      </c>
      <c r="BN515" s="78">
        <f t="shared" si="73"/>
        <v>213.94</v>
      </c>
      <c r="BO515" s="78">
        <f t="shared" si="74"/>
        <v>0.36421911421911418</v>
      </c>
      <c r="BP515" s="78">
        <f t="shared" si="75"/>
        <v>0.36538461538461542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72</v>
      </c>
      <c r="Y517" s="55">
        <f t="shared" si="71"/>
        <v>72</v>
      </c>
      <c r="Z517" s="41">
        <f>IFERROR(IF(Y517=0,"",ROUNDUP(Y517/H517,0)*0.00902),"")</f>
        <v>0.1353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103.65</v>
      </c>
      <c r="BN517" s="78">
        <f t="shared" si="73"/>
        <v>103.65</v>
      </c>
      <c r="BO517" s="78">
        <f t="shared" si="74"/>
        <v>0.11363636363636365</v>
      </c>
      <c r="BP517" s="78">
        <f t="shared" si="75"/>
        <v>0.11363636363636365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180</v>
      </c>
      <c r="Y518" s="55">
        <f t="shared" si="71"/>
        <v>182.4</v>
      </c>
      <c r="Z518" s="41">
        <f>IFERROR(IF(Y518=0,"",ROUNDUP(Y518/H518,0)*0.00902),"")</f>
        <v>0.34276000000000001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259.125</v>
      </c>
      <c r="BN518" s="78">
        <f t="shared" si="73"/>
        <v>262.58000000000004</v>
      </c>
      <c r="BO518" s="78">
        <f t="shared" si="74"/>
        <v>0.28409090909090912</v>
      </c>
      <c r="BP518" s="78">
        <f t="shared" si="75"/>
        <v>0.2878787878787879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99.848484848484844</v>
      </c>
      <c r="Y519" s="43">
        <f>IFERROR(Y511/H511,"0")+IFERROR(Y512/H512,"0")+IFERROR(Y513/H513,"0")+IFERROR(Y514/H514,"0")+IFERROR(Y515/H515,"0")+IFERROR(Y516/H516,"0")+IFERROR(Y517/H517,"0")+IFERROR(Y518/H518,"0")</f>
        <v>101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1.0521400000000001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502</v>
      </c>
      <c r="Y520" s="43">
        <f>IFERROR(SUM(Y511:Y518),"0")</f>
        <v>507.84000000000003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200</v>
      </c>
      <c r="Y522" s="55">
        <f>IFERROR(IF(X522="",0,CEILING((X522/$H522),1)*$H522),"")</f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213.25757575757575</v>
      </c>
      <c r="BN522" s="78">
        <f>IFERROR(Y522*I522/H522,"0")</f>
        <v>213.94</v>
      </c>
      <c r="BO522" s="78">
        <f>IFERROR(1/J522*(X522/H522),"0")</f>
        <v>0.36421911421911418</v>
      </c>
      <c r="BP522" s="78">
        <f>IFERROR(1/J522*(Y522/H522),"0")</f>
        <v>0.36538461538461542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90</v>
      </c>
      <c r="Y524" s="55">
        <f>IFERROR(IF(X524="",0,CEILING((X524/$H524),1)*$H524),"")</f>
        <v>91.2</v>
      </c>
      <c r="Z524" s="41">
        <f>IFERROR(IF(Y524=0,"",ROUNDUP(Y524/H524,0)*0.00902),"")</f>
        <v>0.17138</v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129.5625</v>
      </c>
      <c r="BN524" s="78">
        <f>IFERROR(Y524*I524/H524,"0")</f>
        <v>131.29000000000002</v>
      </c>
      <c r="BO524" s="78">
        <f>IFERROR(1/J524*(X524/H524),"0")</f>
        <v>0.14204545454545456</v>
      </c>
      <c r="BP524" s="78">
        <f>IFERROR(1/J524*(Y524/H524),"0")</f>
        <v>0.14393939393939395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56.628787878787875</v>
      </c>
      <c r="Y525" s="43">
        <f>IFERROR(Y522/H522,"0")+IFERROR(Y523/H523,"0")+IFERROR(Y524/H524,"0")</f>
        <v>57</v>
      </c>
      <c r="Z525" s="43">
        <f>IFERROR(IF(Z522="",0,Z522),"0")+IFERROR(IF(Z523="",0,Z523),"0")+IFERROR(IF(Z524="",0,Z524),"0")</f>
        <v>0.62585999999999997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290</v>
      </c>
      <c r="Y526" s="43">
        <f>IFERROR(SUM(Y522:Y524),"0")</f>
        <v>291.84000000000003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30</v>
      </c>
      <c r="Y529" s="55">
        <f t="shared" si="76"/>
        <v>31.68</v>
      </c>
      <c r="Z529" s="41">
        <f>IFERROR(IF(Y529=0,"",ROUNDUP(Y529/H529,0)*0.01196),"")</f>
        <v>7.1760000000000004E-2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31.988636363636363</v>
      </c>
      <c r="BN529" s="78">
        <f t="shared" si="78"/>
        <v>33.779999999999994</v>
      </c>
      <c r="BO529" s="78">
        <f t="shared" si="79"/>
        <v>5.4632867132867136E-2</v>
      </c>
      <c r="BP529" s="78">
        <f t="shared" si="80"/>
        <v>5.7692307692307696E-2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100</v>
      </c>
      <c r="Y530" s="55">
        <f t="shared" si="76"/>
        <v>100.32000000000001</v>
      </c>
      <c r="Z530" s="41">
        <f>IFERROR(IF(Y530=0,"",ROUNDUP(Y530/H530,0)*0.01196),"")</f>
        <v>0.22724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106.62878787878788</v>
      </c>
      <c r="BN530" s="78">
        <f t="shared" si="78"/>
        <v>106.97</v>
      </c>
      <c r="BO530" s="78">
        <f t="shared" si="79"/>
        <v>0.18210955710955709</v>
      </c>
      <c r="BP530" s="78">
        <f t="shared" si="80"/>
        <v>0.18269230769230771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120</v>
      </c>
      <c r="Y531" s="55">
        <f t="shared" si="76"/>
        <v>120</v>
      </c>
      <c r="Z531" s="41">
        <f>IFERROR(IF(Y531=0,"",ROUNDUP(Y531/H531,0)*0.00902),"")</f>
        <v>0.22550000000000001</v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172.75000000000003</v>
      </c>
      <c r="BN531" s="78">
        <f t="shared" si="78"/>
        <v>172.75000000000003</v>
      </c>
      <c r="BO531" s="78">
        <f t="shared" si="79"/>
        <v>0.18939393939393939</v>
      </c>
      <c r="BP531" s="78">
        <f t="shared" si="80"/>
        <v>0.18939393939393939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90</v>
      </c>
      <c r="Y534" s="55">
        <f t="shared" si="76"/>
        <v>91.2</v>
      </c>
      <c r="Z534" s="41">
        <f>IFERROR(IF(Y534=0,"",ROUNDUP(Y534/H534,0)*0.00902),"")</f>
        <v>0.17138</v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125.0625</v>
      </c>
      <c r="BN534" s="78">
        <f t="shared" si="78"/>
        <v>126.73</v>
      </c>
      <c r="BO534" s="78">
        <f t="shared" si="79"/>
        <v>0.14204545454545456</v>
      </c>
      <c r="BP534" s="78">
        <f t="shared" si="80"/>
        <v>0.14393939393939395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68.371212121212125</v>
      </c>
      <c r="Y535" s="43">
        <f>IFERROR(Y528/H528,"0")+IFERROR(Y529/H529,"0")+IFERROR(Y530/H530,"0")+IFERROR(Y531/H531,"0")+IFERROR(Y532/H532,"0")+IFERROR(Y533/H533,"0")+IFERROR(Y534/H534,"0")</f>
        <v>69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0.69587999999999994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340</v>
      </c>
      <c r="Y536" s="43">
        <f>IFERROR(SUM(Y528:Y534),"0")</f>
        <v>343.2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120</v>
      </c>
      <c r="Y552" s="55">
        <f>IFERROR(IF(X552="",0,CEILING((X552/$H552),1)*$H552),"")</f>
        <v>126</v>
      </c>
      <c r="Z552" s="41">
        <f>IFERROR(IF(Y552=0,"",ROUNDUP(Y552/H552,0)*0.01898),"")</f>
        <v>0.26572000000000001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126.58666666666666</v>
      </c>
      <c r="BN552" s="78">
        <f>IFERROR(Y552*I552/H552,"0")</f>
        <v>132.916</v>
      </c>
      <c r="BO552" s="78">
        <f>IFERROR(1/J552*(X552/H552),"0")</f>
        <v>0.20833333333333334</v>
      </c>
      <c r="BP552" s="78">
        <f>IFERROR(1/J552*(Y552/H552),"0")</f>
        <v>0.21875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13.333333333333334</v>
      </c>
      <c r="Y553" s="43">
        <f>IFERROR(Y552/H552,"0")</f>
        <v>14</v>
      </c>
      <c r="Z553" s="43">
        <f>IFERROR(IF(Z552="",0,Z552),"0")</f>
        <v>0.26572000000000001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120</v>
      </c>
      <c r="Y554" s="43">
        <f>IFERROR(SUM(Y552:Y552),"0")</f>
        <v>126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17432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17609.28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18763.66898265338</v>
      </c>
      <c r="Y566" s="43">
        <f>IFERROR(SUM(BN22:BN562),"0")</f>
        <v>18953.662000000004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34</v>
      </c>
      <c r="Y567" s="44">
        <f>ROUNDUP(SUM(BP22:BP562),0)</f>
        <v>34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19613.66898265338</v>
      </c>
      <c r="Y568" s="43">
        <f>GrossWeightTotalR+PalletQtyTotalR*25</f>
        <v>19803.662000000004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4565.5766898528018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4602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39.663210000000014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7.2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440.4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730.80000000000007</v>
      </c>
      <c r="F575" s="52">
        <f>IFERROR(Y89*1,"0")+IFERROR(Y90*1,"0")+IFERROR(Y91*1,"0")+IFERROR(Y92*1,"0")+IFERROR(Y93*1,"0")+IFERROR(Y94*1,"0")+IFERROR(Y98*1,"0")+IFERROR(Y99*1,"0")+IFERROR(Y100*1,"0")+IFERROR(Y101*1,"0")</f>
        <v>1109.7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1431.1799999999998</v>
      </c>
      <c r="H575" s="52">
        <f>IFERROR(Y136*1,"0")+IFERROR(Y137*1,"0")+IFERROR(Y141*1,"0")+IFERROR(Y142*1,"0")+IFERROR(Y146*1,"0")+IFERROR(Y147*1,"0")</f>
        <v>112.32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2008.9199999999996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502.56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2077.5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199.01999999999998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242.39999999999998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257.39999999999998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1495.8</v>
      </c>
      <c r="V575" s="52">
        <f>IFERROR(Y424*1,"0")+IFERROR(Y425*1,"0")+IFERROR(Y426*1,"0")</f>
        <v>0</v>
      </c>
      <c r="W575" s="52">
        <f>IFERROR(Y431*1,"0")+IFERROR(Y432*1,"0")+IFERROR(Y433*1,"0")</f>
        <v>1436.4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4288.8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1142.8800000000001</v>
      </c>
      <c r="AC575" s="52">
        <f>IFERROR(Y540*1,"0")+IFERROR(Y544*1,"0")+IFERROR(Y548*1,"0")+IFERROR(Y552*1,"0")+IFERROR(Y556*1,"0")+IFERROR(Y557*1,"0")</f>
        <v>126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1,00"/>
        <filter val="1 100,00"/>
        <filter val="1 435,00"/>
        <filter val="1 500,00"/>
        <filter val="1 550,00"/>
        <filter val="1 974,00"/>
        <filter val="100,00"/>
        <filter val="102,00"/>
        <filter val="11,00"/>
        <filter val="11,11"/>
        <filter val="112,00"/>
        <filter val="12,50"/>
        <filter val="120,00"/>
        <filter val="125,00"/>
        <filter val="13,33"/>
        <filter val="131,48"/>
        <filter val="134,00"/>
        <filter val="140,00"/>
        <filter val="148,33"/>
        <filter val="15,00"/>
        <filter val="150,00"/>
        <filter val="16,00"/>
        <filter val="17 432,00"/>
        <filter val="173,33"/>
        <filter val="18 763,67"/>
        <filter val="18,00"/>
        <filter val="180,00"/>
        <filter val="19 613,67"/>
        <filter val="196,00"/>
        <filter val="198,15"/>
        <filter val="2,78"/>
        <filter val="20,00"/>
        <filter val="20,20"/>
        <filter val="200,00"/>
        <filter val="213,00"/>
        <filter val="22,03"/>
        <filter val="220,00"/>
        <filter val="23,81"/>
        <filter val="24,00"/>
        <filter val="240,00"/>
        <filter val="245,00"/>
        <filter val="250,00"/>
        <filter val="26,19"/>
        <filter val="260,00"/>
        <filter val="280,00"/>
        <filter val="290,00"/>
        <filter val="3 165,00"/>
        <filter val="3,33"/>
        <filter val="30,00"/>
        <filter val="300,00"/>
        <filter val="315,00"/>
        <filter val="32,05"/>
        <filter val="33,00"/>
        <filter val="33,33"/>
        <filter val="330,49"/>
        <filter val="34"/>
        <filter val="340,00"/>
        <filter val="35,00"/>
        <filter val="350,00"/>
        <filter val="36,00"/>
        <filter val="360,00"/>
        <filter val="362,00"/>
        <filter val="4 565,58"/>
        <filter val="4,00"/>
        <filter val="40,00"/>
        <filter val="405,00"/>
        <filter val="41,48"/>
        <filter val="41,67"/>
        <filter val="440,00"/>
        <filter val="442,00"/>
        <filter val="470,00"/>
        <filter val="477,97"/>
        <filter val="480,00"/>
        <filter val="485,00"/>
        <filter val="495,00"/>
        <filter val="5,56"/>
        <filter val="50,00"/>
        <filter val="500,00"/>
        <filter val="502,00"/>
        <filter val="525,00"/>
        <filter val="54,00"/>
        <filter val="56,63"/>
        <filter val="58,67"/>
        <filter val="6,00"/>
        <filter val="60,00"/>
        <filter val="615,00"/>
        <filter val="616,00"/>
        <filter val="68,37"/>
        <filter val="683,33"/>
        <filter val="7,00"/>
        <filter val="70,00"/>
        <filter val="700,00"/>
        <filter val="72,00"/>
        <filter val="750,00"/>
        <filter val="765,00"/>
        <filter val="8,00"/>
        <filter val="8,08"/>
        <filter val="80,00"/>
        <filter val="869,99"/>
        <filter val="87,96"/>
        <filter val="880,00"/>
        <filter val="90,00"/>
        <filter val="910,00"/>
        <filter val="92,03"/>
        <filter val="97,41"/>
        <filter val="97,78"/>
        <filter val="99,85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