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C1248FE-633D-4E5D-A8F0-678FBE753D5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P513" i="2"/>
  <c r="BO513" i="2"/>
  <c r="BM513" i="2"/>
  <c r="Y513" i="2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Y468" i="2" s="1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P453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Y451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Y396" i="2"/>
  <c r="Y399" i="2" s="1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Z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N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P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O158" i="2"/>
  <c r="BM158" i="2"/>
  <c r="Y158" i="2"/>
  <c r="BP158" i="2" s="1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Y136" i="2" s="1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Y112" i="2" s="1"/>
  <c r="P104" i="2"/>
  <c r="X101" i="2"/>
  <c r="X100" i="2"/>
  <c r="BO99" i="2"/>
  <c r="BM99" i="2"/>
  <c r="Y99" i="2"/>
  <c r="P99" i="2"/>
  <c r="BP98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P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Y82" i="2" s="1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Y33" i="2" s="1"/>
  <c r="P27" i="2"/>
  <c r="X25" i="2"/>
  <c r="X24" i="2"/>
  <c r="BO23" i="2"/>
  <c r="BM23" i="2"/>
  <c r="Y23" i="2"/>
  <c r="BN23" i="2" s="1"/>
  <c r="P23" i="2"/>
  <c r="BP22" i="2"/>
  <c r="BO22" i="2"/>
  <c r="BM22" i="2"/>
  <c r="Y22" i="2"/>
  <c r="P22" i="2"/>
  <c r="H10" i="2"/>
  <c r="A9" i="2"/>
  <c r="A10" i="2" s="1"/>
  <c r="D7" i="2"/>
  <c r="Q6" i="2"/>
  <c r="P2" i="2"/>
  <c r="Z48" i="2" l="1"/>
  <c r="Z436" i="2"/>
  <c r="BP436" i="2"/>
  <c r="Z404" i="2"/>
  <c r="Z199" i="2"/>
  <c r="Z205" i="2"/>
  <c r="Z206" i="2" s="1"/>
  <c r="Z261" i="2"/>
  <c r="Z262" i="2" s="1"/>
  <c r="Z31" i="2"/>
  <c r="BN31" i="2"/>
  <c r="BP38" i="2"/>
  <c r="BP80" i="2"/>
  <c r="BP173" i="2"/>
  <c r="Z221" i="2"/>
  <c r="Z240" i="2"/>
  <c r="BN240" i="2"/>
  <c r="Z241" i="2"/>
  <c r="Z326" i="2"/>
  <c r="BN326" i="2"/>
  <c r="Z327" i="2"/>
  <c r="BN327" i="2"/>
  <c r="Z328" i="2"/>
  <c r="Z486" i="2"/>
  <c r="BN486" i="2"/>
  <c r="Z532" i="2"/>
  <c r="BN41" i="2"/>
  <c r="Z28" i="2"/>
  <c r="BN28" i="2"/>
  <c r="BP50" i="2"/>
  <c r="Z77" i="2"/>
  <c r="BN77" i="2"/>
  <c r="BP77" i="2"/>
  <c r="Z86" i="2"/>
  <c r="BN86" i="2"/>
  <c r="Z105" i="2"/>
  <c r="BN106" i="2"/>
  <c r="Z107" i="2"/>
  <c r="BN107" i="2"/>
  <c r="BP115" i="2"/>
  <c r="BN118" i="2"/>
  <c r="Z127" i="2"/>
  <c r="Y148" i="2"/>
  <c r="BN145" i="2"/>
  <c r="BN159" i="2"/>
  <c r="Z161" i="2"/>
  <c r="BN161" i="2"/>
  <c r="Z185" i="2"/>
  <c r="BN185" i="2"/>
  <c r="Z191" i="2"/>
  <c r="BN191" i="2"/>
  <c r="BN218" i="2"/>
  <c r="Z219" i="2"/>
  <c r="Z230" i="2"/>
  <c r="Z233" i="2"/>
  <c r="BN233" i="2"/>
  <c r="Z242" i="2"/>
  <c r="Y252" i="2"/>
  <c r="BN250" i="2"/>
  <c r="Z251" i="2"/>
  <c r="BN292" i="2"/>
  <c r="Z295" i="2"/>
  <c r="BN298" i="2"/>
  <c r="BN313" i="2"/>
  <c r="Z318" i="2"/>
  <c r="Z319" i="2" s="1"/>
  <c r="BP333" i="2"/>
  <c r="BN336" i="2"/>
  <c r="Z337" i="2"/>
  <c r="BN343" i="2"/>
  <c r="Z349" i="2"/>
  <c r="BN351" i="2"/>
  <c r="Z353" i="2"/>
  <c r="BN372" i="2"/>
  <c r="Z374" i="2"/>
  <c r="BN374" i="2"/>
  <c r="BN384" i="2"/>
  <c r="BN392" i="2"/>
  <c r="Z396" i="2"/>
  <c r="BN416" i="2"/>
  <c r="Z440" i="2"/>
  <c r="Z442" i="2"/>
  <c r="BN442" i="2"/>
  <c r="BN455" i="2"/>
  <c r="Z466" i="2"/>
  <c r="BN466" i="2"/>
  <c r="Z474" i="2"/>
  <c r="BN474" i="2"/>
  <c r="Z476" i="2"/>
  <c r="BN503" i="2"/>
  <c r="BN516" i="2"/>
  <c r="Y179" i="2"/>
  <c r="BN187" i="2"/>
  <c r="BN194" i="2"/>
  <c r="BN266" i="2"/>
  <c r="BN382" i="2"/>
  <c r="BP396" i="2"/>
  <c r="BN410" i="2"/>
  <c r="BN443" i="2"/>
  <c r="BN454" i="2"/>
  <c r="BN460" i="2"/>
  <c r="Y462" i="2"/>
  <c r="BN502" i="2"/>
  <c r="BN510" i="2"/>
  <c r="BN515" i="2"/>
  <c r="BN530" i="2"/>
  <c r="Z415" i="2"/>
  <c r="Z93" i="2"/>
  <c r="BN93" i="2"/>
  <c r="Z521" i="2"/>
  <c r="BN521" i="2"/>
  <c r="Z293" i="2"/>
  <c r="BN293" i="2"/>
  <c r="Z363" i="2"/>
  <c r="Y366" i="2"/>
  <c r="Z104" i="2"/>
  <c r="Z512" i="2"/>
  <c r="BN512" i="2"/>
  <c r="Z397" i="2"/>
  <c r="BN397" i="2"/>
  <c r="Z277" i="2"/>
  <c r="Z465" i="2"/>
  <c r="Z467" i="2" s="1"/>
  <c r="BP465" i="2"/>
  <c r="Y467" i="2"/>
  <c r="BN429" i="2"/>
  <c r="Y432" i="2"/>
  <c r="BP422" i="2"/>
  <c r="Z417" i="2"/>
  <c r="BP389" i="2"/>
  <c r="Y394" i="2"/>
  <c r="BP379" i="2"/>
  <c r="Y387" i="2"/>
  <c r="BN365" i="2"/>
  <c r="Y299" i="2"/>
  <c r="X565" i="2"/>
  <c r="BN192" i="2"/>
  <c r="Z190" i="2"/>
  <c r="Z184" i="2"/>
  <c r="BN184" i="2"/>
  <c r="X568" i="2"/>
  <c r="Y100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Z406" i="2" s="1"/>
  <c r="BP404" i="2"/>
  <c r="BN415" i="2"/>
  <c r="Z416" i="2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Z304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354" i="2"/>
  <c r="Z32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456" i="2" s="1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38" i="2" s="1"/>
  <c r="Z344" i="2"/>
  <c r="Z345" i="2" s="1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4" i="2" s="1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86" i="2" l="1"/>
  <c r="Z174" i="2"/>
  <c r="Z120" i="2"/>
  <c r="Z444" i="2"/>
  <c r="Z147" i="2"/>
  <c r="Z142" i="2"/>
  <c r="Z418" i="2"/>
  <c r="Z431" i="2"/>
  <c r="Z399" i="2"/>
  <c r="X567" i="2"/>
  <c r="Z366" i="2"/>
  <c r="Z131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<sst xmlns="http://schemas.openxmlformats.org/spreadsheetml/2006/main" count="4366" uniqueCount="910">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</sst>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909</v>
      </c>
      <c r="I5" s="1013"/>
      <c r="J5" s="1013"/>
      <c r="K5" s="1013"/>
      <c r="L5" s="1013"/>
      <c r="M5" s="1013"/>
      <c r="N5" s="72"/>
      <c r="P5" s="27" t="s">
        <v>4</v>
      </c>
      <c r="Q5" s="1015">
        <v>46327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891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Воскресенье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1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8.3333333333333329E-2</v>
      </c>
      <c r="R8" s="993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5" t="str">
        <f>IF(AND($A$9="Тип доверенности/получателя при получении в адресе перегруза:",$D$9="Разовая доверенность"),"Введите ФИО","")</f>
        <v/>
      </c>
      <c r="I9" s="1035"/>
      <c r="J9" s="103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5"/>
      <c r="L9" s="1035"/>
      <c r="M9" s="1035"/>
      <c r="N9" s="70"/>
      <c r="P9" s="31" t="s">
        <v>15</v>
      </c>
      <c r="Q9" s="1036"/>
      <c r="R9" s="1036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30</v>
      </c>
      <c r="Y47" s="55">
        <f>IFERROR(IF(X47="",0,CEILING((X47/$H47),1)*$H47),"")</f>
        <v>32.400000000000006</v>
      </c>
      <c r="Z47" s="41">
        <f>IFERROR(IF(Y47=0,"",ROUNDUP(Y47/H47,0)*0.01898),"")</f>
        <v>5.6940000000000004E-2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31.138888888888889</v>
      </c>
      <c r="BN47" s="78">
        <f>IFERROR(Y47*I47/H47,"0")</f>
        <v>33.630000000000003</v>
      </c>
      <c r="BO47" s="78">
        <f>IFERROR(1/J47*(X47/H47),"0")</f>
        <v>4.3402777777777776E-2</v>
      </c>
      <c r="BP47" s="78">
        <f>IFERROR(1/J47*(Y47/H47),"0")</f>
        <v>4.6875000000000007E-2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2.7777777777777777</v>
      </c>
      <c r="Y51" s="43">
        <f>IFERROR(Y47/H47,"0")+IFERROR(Y48/H48,"0")+IFERROR(Y49/H49,"0")+IFERROR(Y50/H50,"0")</f>
        <v>3.0000000000000004</v>
      </c>
      <c r="Z51" s="43">
        <f>IFERROR(IF(Z47="",0,Z47),"0")+IFERROR(IF(Z48="",0,Z48),"0")+IFERROR(IF(Z49="",0,Z49),"0")+IFERROR(IF(Z50="",0,Z50),"0")</f>
        <v>5.6940000000000004E-2</v>
      </c>
      <c r="AA51" s="67"/>
      <c r="AB51" s="67"/>
      <c r="AC51" s="67"/>
    </row>
    <row r="52" spans="1:68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30</v>
      </c>
      <c r="Y52" s="43">
        <f>IFERROR(SUM(Y47:Y50),"0")</f>
        <v>32.400000000000006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100</v>
      </c>
      <c r="Y56" s="55">
        <f t="shared" si="0"/>
        <v>108</v>
      </c>
      <c r="Z56" s="41">
        <f>IFERROR(IF(Y56=0,"",ROUNDUP(Y56/H56,0)*0.01898),"")</f>
        <v>0.1898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103.79629629629629</v>
      </c>
      <c r="BN56" s="78">
        <f t="shared" si="2"/>
        <v>112.1</v>
      </c>
      <c r="BO56" s="78">
        <f t="shared" si="3"/>
        <v>0.14467592592592593</v>
      </c>
      <c r="BP56" s="78">
        <f t="shared" si="4"/>
        <v>0.15625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45</v>
      </c>
      <c r="Y60" s="55">
        <f t="shared" si="0"/>
        <v>45</v>
      </c>
      <c r="Z60" s="41">
        <f>IFERROR(IF(Y60=0,"",ROUNDUP(Y60/H60,0)*0.00902),"")</f>
        <v>9.0200000000000002E-2</v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46.900000000000006</v>
      </c>
      <c r="BN60" s="78">
        <f t="shared" si="2"/>
        <v>46.900000000000006</v>
      </c>
      <c r="BO60" s="78">
        <f t="shared" si="3"/>
        <v>7.575757575757576E-2</v>
      </c>
      <c r="BP60" s="78">
        <f t="shared" si="4"/>
        <v>7.575757575757576E-2</v>
      </c>
    </row>
    <row r="61" spans="1:68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19.25925925925926</v>
      </c>
      <c r="Y61" s="43">
        <f>IFERROR(Y55/H55,"0")+IFERROR(Y56/H56,"0")+IFERROR(Y57/H57,"0")+IFERROR(Y58/H58,"0")+IFERROR(Y59/H59,"0")+IFERROR(Y60/H60,"0")</f>
        <v>20</v>
      </c>
      <c r="Z61" s="43">
        <f>IFERROR(IF(Z55="",0,Z55),"0")+IFERROR(IF(Z56="",0,Z56),"0")+IFERROR(IF(Z57="",0,Z57),"0")+IFERROR(IF(Z58="",0,Z58),"0")+IFERROR(IF(Z59="",0,Z59),"0")+IFERROR(IF(Z60="",0,Z60),"0")</f>
        <v>0.28000000000000003</v>
      </c>
      <c r="AA61" s="67"/>
      <c r="AB61" s="67"/>
      <c r="AC61" s="67"/>
    </row>
    <row r="62" spans="1:68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145</v>
      </c>
      <c r="Y62" s="43">
        <f>IFERROR(SUM(Y55:Y60),"0")</f>
        <v>153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30</v>
      </c>
      <c r="Y64" s="55">
        <f>IFERROR(IF(X64="",0,CEILING((X64/$H64),1)*$H64),"")</f>
        <v>32.400000000000006</v>
      </c>
      <c r="Z64" s="41">
        <f>IFERROR(IF(Y64=0,"",ROUNDUP(Y64/H64,0)*0.01898),"")</f>
        <v>5.6940000000000004E-2</v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31.138888888888889</v>
      </c>
      <c r="BN64" s="78">
        <f>IFERROR(Y64*I64/H64,"0")</f>
        <v>33.630000000000003</v>
      </c>
      <c r="BO64" s="78">
        <f>IFERROR(1/J64*(X64/H64),"0")</f>
        <v>4.3402777777777776E-2</v>
      </c>
      <c r="BP64" s="78">
        <f>IFERROR(1/J64*(Y64/H64),"0")</f>
        <v>4.6875000000000007E-2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2.7777777777777777</v>
      </c>
      <c r="Y68" s="43">
        <f>IFERROR(Y64/H64,"0")+IFERROR(Y65/H65,"0")+IFERROR(Y66/H66,"0")+IFERROR(Y67/H67,"0")</f>
        <v>3.0000000000000004</v>
      </c>
      <c r="Z68" s="43">
        <f>IFERROR(IF(Z64="",0,Z64),"0")+IFERROR(IF(Z65="",0,Z65),"0")+IFERROR(IF(Z66="",0,Z66),"0")+IFERROR(IF(Z67="",0,Z67),"0")</f>
        <v>5.6940000000000004E-2</v>
      </c>
      <c r="AA68" s="67"/>
      <c r="AB68" s="67"/>
      <c r="AC68" s="67"/>
    </row>
    <row r="69" spans="1:68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30</v>
      </c>
      <c r="Y69" s="43">
        <f>IFERROR(SUM(Y64:Y67),"0")</f>
        <v>32.400000000000006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20</v>
      </c>
      <c r="Y85" s="55">
        <f>IFERROR(IF(X85="",0,CEILING((X85/$H85),1)*$H85),"")</f>
        <v>21.6</v>
      </c>
      <c r="Z85" s="41">
        <f>IFERROR(IF(Y85=0,"",ROUNDUP(Y85/H85,0)*0.01898),"")</f>
        <v>3.7960000000000001E-2</v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20.75925925925926</v>
      </c>
      <c r="BN85" s="78">
        <f>IFERROR(Y85*I85/H85,"0")</f>
        <v>22.42</v>
      </c>
      <c r="BO85" s="78">
        <f>IFERROR(1/J85*(X85/H85),"0")</f>
        <v>2.8935185185185182E-2</v>
      </c>
      <c r="BP85" s="78">
        <f>IFERROR(1/J85*(Y85/H85),"0")</f>
        <v>3.125E-2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22.5</v>
      </c>
      <c r="Y89" s="55">
        <f>IFERROR(IF(X89="",0,CEILING((X89/$H89),1)*$H89),"")</f>
        <v>22.5</v>
      </c>
      <c r="Z89" s="41">
        <f>IFERROR(IF(Y89=0,"",ROUNDUP(Y89/H89,0)*0.00902),"")</f>
        <v>4.5100000000000001E-2</v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23.450000000000003</v>
      </c>
      <c r="BN89" s="78">
        <f>IFERROR(Y89*I89/H89,"0")</f>
        <v>23.450000000000003</v>
      </c>
      <c r="BO89" s="78">
        <f>IFERROR(1/J89*(X89/H89),"0")</f>
        <v>3.787878787878788E-2</v>
      </c>
      <c r="BP89" s="78">
        <f>IFERROR(1/J89*(Y89/H89),"0")</f>
        <v>3.787878787878788E-2</v>
      </c>
    </row>
    <row r="90" spans="1:68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6.8518518518518512</v>
      </c>
      <c r="Y90" s="43">
        <f>IFERROR(Y85/H85,"0")+IFERROR(Y86/H86,"0")+IFERROR(Y87/H87,"0")+IFERROR(Y88/H88,"0")+IFERROR(Y89/H89,"0")</f>
        <v>7</v>
      </c>
      <c r="Z90" s="43">
        <f>IFERROR(IF(Z85="",0,Z85),"0")+IFERROR(IF(Z86="",0,Z86),"0")+IFERROR(IF(Z87="",0,Z87),"0")+IFERROR(IF(Z88="",0,Z88),"0")+IFERROR(IF(Z89="",0,Z89),"0")</f>
        <v>8.3059999999999995E-2</v>
      </c>
      <c r="AA90" s="67"/>
      <c r="AB90" s="67"/>
      <c r="AC90" s="67"/>
    </row>
    <row r="91" spans="1:68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42.5</v>
      </c>
      <c r="Y91" s="43">
        <f>IFERROR(SUM(Y85:Y89),"0")</f>
        <v>44.1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15</v>
      </c>
      <c r="Y93" s="55">
        <f t="shared" ref="Y93:Y99" si="5">IFERROR(IF(X93="",0,CEILING((X93/$H93),1)*$H93),"")</f>
        <v>16.2</v>
      </c>
      <c r="Z93" s="41">
        <f>IFERROR(IF(Y93=0,"",ROUNDUP(Y93/H93,0)*0.01898),"")</f>
        <v>3.7960000000000001E-2</v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15.914814814814815</v>
      </c>
      <c r="BN93" s="78">
        <f t="shared" ref="BN93:BN99" si="7">IFERROR(Y93*I93/H93,"0")</f>
        <v>17.187999999999999</v>
      </c>
      <c r="BO93" s="78">
        <f t="shared" ref="BO93:BO99" si="8">IFERROR(1/J93*(X93/H93),"0")</f>
        <v>2.8935185185185185E-2</v>
      </c>
      <c r="BP93" s="78">
        <f t="shared" ref="BP93:BP99" si="9">IFERROR(1/J93*(Y93/H93),"0")</f>
        <v>3.125E-2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/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1.8518518518518519</v>
      </c>
      <c r="Y100" s="43">
        <f>IFERROR(Y93/H93,"0")+IFERROR(Y94/H94,"0")+IFERROR(Y95/H95,"0")+IFERROR(Y96/H96,"0")+IFERROR(Y97/H97,"0")+IFERROR(Y98/H98,"0")+IFERROR(Y99/H99,"0")</f>
        <v>2</v>
      </c>
      <c r="Z100" s="43">
        <f>IFERROR(IF(Z93="",0,Z93),"0")+IFERROR(IF(Z94="",0,Z94),"0")+IFERROR(IF(Z95="",0,Z95),"0")+IFERROR(IF(Z96="",0,Z96),"0")+IFERROR(IF(Z97="",0,Z97),"0")+IFERROR(IF(Z98="",0,Z98),"0")+IFERROR(IF(Z99="",0,Z99),"0")</f>
        <v>3.7960000000000001E-2</v>
      </c>
      <c r="AA100" s="67"/>
      <c r="AB100" s="67"/>
      <c r="AC100" s="67"/>
    </row>
    <row r="101" spans="1:68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15</v>
      </c>
      <c r="Y101" s="43">
        <f>IFERROR(SUM(Y93:Y99),"0")</f>
        <v>16.2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30</v>
      </c>
      <c r="Y104" s="55">
        <f t="shared" ref="Y104:Y111" si="10">IFERROR(IF(X104="",0,CEILING((X104/$H104),1)*$H104),"")</f>
        <v>32.400000000000006</v>
      </c>
      <c r="Z104" s="41">
        <f>IFERROR(IF(Y104=0,"",ROUNDUP(Y104/H104,0)*0.01898),"")</f>
        <v>5.6940000000000004E-2</v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31.138888888888889</v>
      </c>
      <c r="BN104" s="78">
        <f t="shared" ref="BN104:BN111" si="12">IFERROR(Y104*I104/H104,"0")</f>
        <v>33.630000000000003</v>
      </c>
      <c r="BO104" s="78">
        <f t="shared" ref="BO104:BO111" si="13">IFERROR(1/J104*(X104/H104),"0")</f>
        <v>4.3402777777777776E-2</v>
      </c>
      <c r="BP104" s="78">
        <f t="shared" ref="BP104:BP111" si="14">IFERROR(1/J104*(Y104/H104),"0")</f>
        <v>4.6875000000000007E-2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2.7777777777777777</v>
      </c>
      <c r="Y112" s="43">
        <f>IFERROR(Y104/H104,"0")+IFERROR(Y105/H105,"0")+IFERROR(Y106/H106,"0")+IFERROR(Y107/H107,"0")+IFERROR(Y108/H108,"0")+IFERROR(Y109/H109,"0")+IFERROR(Y110/H110,"0")+IFERROR(Y111/H111,"0")</f>
        <v>3.0000000000000004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5.6940000000000004E-2</v>
      </c>
      <c r="AA112" s="67"/>
      <c r="AB112" s="67"/>
      <c r="AC112" s="67"/>
    </row>
    <row r="113" spans="1:68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30</v>
      </c>
      <c r="Y113" s="43">
        <f>IFERROR(SUM(Y104:Y111),"0")</f>
        <v>32.400000000000006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/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100</v>
      </c>
      <c r="Y123" s="55">
        <f t="shared" ref="Y123:Y130" si="15">IFERROR(IF(X123="",0,CEILING((X123/$H123),1)*$H123),"")</f>
        <v>105.3</v>
      </c>
      <c r="Z123" s="41">
        <f>IFERROR(IF(Y123=0,"",ROUNDUP(Y123/H123,0)*0.01898),"")</f>
        <v>0.24674000000000001</v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106.0246913580247</v>
      </c>
      <c r="BN123" s="78">
        <f t="shared" ref="BN123:BN130" si="17">IFERROR(Y123*I123/H123,"0")</f>
        <v>111.64399999999999</v>
      </c>
      <c r="BO123" s="78">
        <f t="shared" ref="BO123:BO130" si="18">IFERROR(1/J123*(X123/H123),"0")</f>
        <v>0.19290123456790123</v>
      </c>
      <c r="BP123" s="78">
        <f t="shared" ref="BP123:BP130" si="19">IFERROR(1/J123*(Y123/H123),"0")</f>
        <v>0.203125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/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12.345679012345679</v>
      </c>
      <c r="Y131" s="43">
        <f>IFERROR(Y123/H123,"0")+IFERROR(Y124/H124,"0")+IFERROR(Y125/H125,"0")+IFERROR(Y126/H126,"0")+IFERROR(Y127/H127,"0")+IFERROR(Y128/H128,"0")+IFERROR(Y129/H129,"0")+IFERROR(Y130/H130,"0")</f>
        <v>13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0.24674000000000001</v>
      </c>
      <c r="AA131" s="67"/>
      <c r="AB131" s="67"/>
      <c r="AC131" s="67"/>
    </row>
    <row r="132" spans="1:68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100</v>
      </c>
      <c r="Y132" s="43">
        <f>IFERROR(SUM(Y123:Y130),"0")</f>
        <v>105.3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30</v>
      </c>
      <c r="Y182" s="55">
        <f t="shared" ref="Y182:Y195" si="27">IFERROR(IF(X182="",0,CEILING((X182/$H182),1)*$H182),"")</f>
        <v>31.5</v>
      </c>
      <c r="Z182" s="41">
        <f t="shared" ref="Z182:Z187" si="28">IFERROR(IF(Y182=0,"",ROUNDUP(Y182/H182,0)*0.00902),"")</f>
        <v>8.1180000000000002E-2</v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31.62857142857143</v>
      </c>
      <c r="BN182" s="78">
        <f t="shared" ref="BN182:BN195" si="30">IFERROR(Y182*I182/H182,"0")</f>
        <v>33.21</v>
      </c>
      <c r="BO182" s="78">
        <f t="shared" ref="BO182:BO195" si="31">IFERROR(1/J182*(X182/H182),"0")</f>
        <v>6.4935064935064929E-2</v>
      </c>
      <c r="BP182" s="78">
        <f t="shared" ref="BP182:BP195" si="32">IFERROR(1/J182*(Y182/H182),"0")</f>
        <v>6.8181818181818177E-2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50</v>
      </c>
      <c r="Y184" s="55">
        <f t="shared" si="27"/>
        <v>52.5</v>
      </c>
      <c r="Z184" s="41">
        <f t="shared" si="28"/>
        <v>0.1353</v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52.714285714285715</v>
      </c>
      <c r="BN184" s="78">
        <f t="shared" si="30"/>
        <v>55.35</v>
      </c>
      <c r="BO184" s="78">
        <f t="shared" si="31"/>
        <v>0.10822510822510824</v>
      </c>
      <c r="BP184" s="78">
        <f t="shared" si="32"/>
        <v>0.11363636363636365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50</v>
      </c>
      <c r="Y186" s="55">
        <f t="shared" si="27"/>
        <v>52.5</v>
      </c>
      <c r="Z186" s="41">
        <f t="shared" si="28"/>
        <v>0.1353</v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52.714285714285715</v>
      </c>
      <c r="BN186" s="78">
        <f t="shared" si="30"/>
        <v>55.35</v>
      </c>
      <c r="BO186" s="78">
        <f t="shared" si="31"/>
        <v>0.10822510822510824</v>
      </c>
      <c r="BP186" s="78">
        <f t="shared" si="32"/>
        <v>0.11363636363636365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8.4</v>
      </c>
      <c r="Y190" s="55">
        <f t="shared" si="27"/>
        <v>8.4</v>
      </c>
      <c r="Z190" s="41">
        <f>IFERROR(IF(Y190=0,"",ROUNDUP(Y190/H190,0)*0.00502),"")</f>
        <v>2.5100000000000001E-2</v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8.9000000000000021</v>
      </c>
      <c r="BN190" s="78">
        <f t="shared" si="30"/>
        <v>8.9000000000000021</v>
      </c>
      <c r="BO190" s="78">
        <f t="shared" si="31"/>
        <v>2.1367521367521368E-2</v>
      </c>
      <c r="BP190" s="78">
        <f t="shared" si="32"/>
        <v>2.1367521367521368E-2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8.4</v>
      </c>
      <c r="Y192" s="55">
        <f t="shared" si="27"/>
        <v>8.4</v>
      </c>
      <c r="Z192" s="41">
        <f>IFERROR(IF(Y192=0,"",ROUNDUP(Y192/H192,0)*0.00502),"")</f>
        <v>2.5100000000000001E-2</v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8.9000000000000021</v>
      </c>
      <c r="BN192" s="78">
        <f t="shared" si="30"/>
        <v>8.9000000000000021</v>
      </c>
      <c r="BO192" s="78">
        <f t="shared" si="31"/>
        <v>2.1367521367521368E-2</v>
      </c>
      <c r="BP192" s="78">
        <f t="shared" si="32"/>
        <v>2.1367521367521368E-2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/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47.142857142857146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49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0.40198</v>
      </c>
      <c r="AA196" s="67"/>
      <c r="AB196" s="67"/>
      <c r="AC196" s="67"/>
    </row>
    <row r="197" spans="1:68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146.80000000000001</v>
      </c>
      <c r="Y197" s="43">
        <f>IFERROR(SUM(Y182:Y195),"0")</f>
        <v>153.30000000000001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/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/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/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80</v>
      </c>
      <c r="Y276" s="55">
        <f t="shared" ref="Y276:Y283" si="45">IFERROR(IF(X276="",0,CEILING((X276/$H276),1)*$H276),"")</f>
        <v>81</v>
      </c>
      <c r="Z276" s="41">
        <f>IFERROR(IF(Y276=0,"",ROUNDUP(Y276/H276,0)*0.00902),"")</f>
        <v>0.1353</v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82.81481481481481</v>
      </c>
      <c r="BN276" s="78">
        <f t="shared" ref="BN276:BN283" si="47">IFERROR(Y276*I276/H276,"0")</f>
        <v>83.85</v>
      </c>
      <c r="BO276" s="78">
        <f t="shared" ref="BO276:BO283" si="48">IFERROR(1/J276*(X276/H276),"0")</f>
        <v>0.11223344556677889</v>
      </c>
      <c r="BP276" s="78">
        <f t="shared" ref="BP276:BP283" si="49">IFERROR(1/J276*(Y276/H276),"0")</f>
        <v>0.11363636363636363</v>
      </c>
    </row>
    <row r="277" spans="1:68" ht="27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25</v>
      </c>
      <c r="Y277" s="55">
        <f t="shared" si="45"/>
        <v>27</v>
      </c>
      <c r="Z277" s="41">
        <f>IFERROR(IF(Y277=0,"",ROUNDUP(Y277/H277,0)*0.00902),"")</f>
        <v>4.5100000000000001E-2</v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25.879629629629626</v>
      </c>
      <c r="BN277" s="78">
        <f t="shared" si="47"/>
        <v>27.95</v>
      </c>
      <c r="BO277" s="78">
        <f t="shared" si="48"/>
        <v>3.5072951739618406E-2</v>
      </c>
      <c r="BP277" s="78">
        <f t="shared" si="49"/>
        <v>3.787878787878788E-2</v>
      </c>
    </row>
    <row r="278" spans="1:68" ht="27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30</v>
      </c>
      <c r="Y278" s="55">
        <f t="shared" si="45"/>
        <v>32.400000000000006</v>
      </c>
      <c r="Z278" s="41">
        <f>IFERROR(IF(Y278=0,"",ROUNDUP(Y278/H278,0)*0.00902),"")</f>
        <v>5.4120000000000001E-2</v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31.05555555555555</v>
      </c>
      <c r="BN278" s="78">
        <f t="shared" si="47"/>
        <v>33.54</v>
      </c>
      <c r="BO278" s="78">
        <f t="shared" si="48"/>
        <v>4.208754208754209E-2</v>
      </c>
      <c r="BP278" s="78">
        <f t="shared" si="49"/>
        <v>4.5454545454545463E-2</v>
      </c>
    </row>
    <row r="279" spans="1:68" ht="27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80</v>
      </c>
      <c r="Y279" s="55">
        <f t="shared" si="45"/>
        <v>81</v>
      </c>
      <c r="Z279" s="41">
        <f>IFERROR(IF(Y279=0,"",ROUNDUP(Y279/H279,0)*0.00902),"")</f>
        <v>0.1353</v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82.81481481481481</v>
      </c>
      <c r="BN279" s="78">
        <f t="shared" si="47"/>
        <v>83.85</v>
      </c>
      <c r="BO279" s="78">
        <f t="shared" si="48"/>
        <v>0.11223344556677889</v>
      </c>
      <c r="BP279" s="78">
        <f t="shared" si="49"/>
        <v>0.11363636363636363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39.81481481481481</v>
      </c>
      <c r="Y284" s="43">
        <f>IFERROR(Y276/H276,"0")+IFERROR(Y277/H277,"0")+IFERROR(Y278/H278,"0")+IFERROR(Y279/H279,"0")+IFERROR(Y280/H280,"0")+IFERROR(Y281/H281,"0")+IFERROR(Y282/H282,"0")+IFERROR(Y283/H283,"0")</f>
        <v>41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0.36982000000000004</v>
      </c>
      <c r="AA284" s="67"/>
      <c r="AB284" s="67"/>
      <c r="AC284" s="67"/>
    </row>
    <row r="285" spans="1:68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215</v>
      </c>
      <c r="Y285" s="43">
        <f>IFERROR(SUM(Y276:Y283),"0")</f>
        <v>221.4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/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15</v>
      </c>
      <c r="Y288" s="55">
        <f t="shared" si="50"/>
        <v>16.2</v>
      </c>
      <c r="Z288" s="41">
        <f>IFERROR(IF(Y288=0,"",ROUNDUP(Y288/H288,0)*0.01898),"")</f>
        <v>3.7960000000000001E-2</v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15.881481481481485</v>
      </c>
      <c r="BN288" s="78">
        <f t="shared" si="52"/>
        <v>17.152000000000001</v>
      </c>
      <c r="BO288" s="78">
        <f t="shared" si="53"/>
        <v>2.8935185185185185E-2</v>
      </c>
      <c r="BP288" s="78">
        <f t="shared" si="54"/>
        <v>3.125E-2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/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/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1.8518518518518519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2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3.7960000000000001E-2</v>
      </c>
      <c r="AA299" s="67"/>
      <c r="AB299" s="67"/>
      <c r="AC299" s="67"/>
    </row>
    <row r="300" spans="1:68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15</v>
      </c>
      <c r="Y300" s="43">
        <f>IFERROR(SUM(Y287:Y298),"0")</f>
        <v>16.2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/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10</v>
      </c>
      <c r="Y334" s="55">
        <f>IFERROR(IF(X334="",0,CEILING((X334/$H334),1)*$H334),"")</f>
        <v>10.8</v>
      </c>
      <c r="Z334" s="41">
        <f>IFERROR(IF(Y334=0,"",ROUNDUP(Y334/H334,0)*0.01898),"")</f>
        <v>1.898E-2</v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10.37962962962963</v>
      </c>
      <c r="BN334" s="78">
        <f>IFERROR(Y334*I334/H334,"0")</f>
        <v>11.21</v>
      </c>
      <c r="BO334" s="78">
        <f>IFERROR(1/J334*(X334/H334),"0")</f>
        <v>1.4467592592592591E-2</v>
      </c>
      <c r="BP334" s="78">
        <f>IFERROR(1/J334*(Y334/H334),"0")</f>
        <v>1.5625E-2</v>
      </c>
    </row>
    <row r="335" spans="1:68" ht="27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50</v>
      </c>
      <c r="Y335" s="55">
        <f>IFERROR(IF(X335="",0,CEILING((X335/$H335),1)*$H335),"")</f>
        <v>54</v>
      </c>
      <c r="Z335" s="41">
        <f>IFERROR(IF(Y335=0,"",ROUNDUP(Y335/H335,0)*0.01898),"")</f>
        <v>9.4899999999999998E-2</v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51.898148148148145</v>
      </c>
      <c r="BN335" s="78">
        <f>IFERROR(Y335*I335/H335,"0")</f>
        <v>56.05</v>
      </c>
      <c r="BO335" s="78">
        <f>IFERROR(1/J335*(X335/H335),"0")</f>
        <v>7.2337962962962965E-2</v>
      </c>
      <c r="BP335" s="78">
        <f>IFERROR(1/J335*(Y335/H335),"0")</f>
        <v>7.8125E-2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5.5555555555555554</v>
      </c>
      <c r="Y338" s="43">
        <f>IFERROR(Y333/H333,"0")+IFERROR(Y334/H334,"0")+IFERROR(Y335/H335,"0")+IFERROR(Y336/H336,"0")+IFERROR(Y337/H337,"0")</f>
        <v>6</v>
      </c>
      <c r="Z338" s="43">
        <f>IFERROR(IF(Z333="",0,Z333),"0")+IFERROR(IF(Z334="",0,Z334),"0")+IFERROR(IF(Z335="",0,Z335),"0")+IFERROR(IF(Z336="",0,Z336),"0")+IFERROR(IF(Z337="",0,Z337),"0")</f>
        <v>0.11388</v>
      </c>
      <c r="AA338" s="67"/>
      <c r="AB338" s="67"/>
      <c r="AC338" s="67"/>
    </row>
    <row r="339" spans="1:68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60</v>
      </c>
      <c r="Y339" s="43">
        <f>IFERROR(SUM(Y333:Y337),"0")</f>
        <v>64.8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/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23</v>
      </c>
      <c r="Y364" s="55">
        <f>IFERROR(IF(X364="",0,CEILING((X364/$H364),1)*$H364),"")</f>
        <v>23.4</v>
      </c>
      <c r="Z364" s="41">
        <f>IFERROR(IF(Y364=0,"",ROUNDUP(Y364/H364,0)*0.01898),"")</f>
        <v>5.6940000000000004E-2</v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24.208974358974363</v>
      </c>
      <c r="BN364" s="78">
        <f>IFERROR(Y364*I364/H364,"0")</f>
        <v>24.630000000000003</v>
      </c>
      <c r="BO364" s="78">
        <f>IFERROR(1/J364*(X364/H364),"0")</f>
        <v>4.6073717948717952E-2</v>
      </c>
      <c r="BP364" s="78">
        <f>IFERROR(1/J364*(Y364/H364),"0")</f>
        <v>4.6875E-2</v>
      </c>
    </row>
    <row r="365" spans="1:68" ht="27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15</v>
      </c>
      <c r="Y365" s="55">
        <f>IFERROR(IF(X365="",0,CEILING((X365/$H365),1)*$H365),"")</f>
        <v>15.6</v>
      </c>
      <c r="Z365" s="41">
        <f>IFERROR(IF(Y365=0,"",ROUNDUP(Y365/H365,0)*0.01898),"")</f>
        <v>3.7960000000000001E-2</v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15.78846153846154</v>
      </c>
      <c r="BN365" s="78">
        <f>IFERROR(Y365*I365/H365,"0")</f>
        <v>16.420000000000002</v>
      </c>
      <c r="BO365" s="78">
        <f>IFERROR(1/J365*(X365/H365),"0")</f>
        <v>3.0048076923076924E-2</v>
      </c>
      <c r="BP365" s="78">
        <f>IFERROR(1/J365*(Y365/H365),"0")</f>
        <v>3.125E-2</v>
      </c>
    </row>
    <row r="366" spans="1:68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4.8717948717948723</v>
      </c>
      <c r="Y366" s="43">
        <f>IFERROR(Y363/H363,"0")+IFERROR(Y364/H364,"0")+IFERROR(Y365/H365,"0")</f>
        <v>5</v>
      </c>
      <c r="Z366" s="43">
        <f>IFERROR(IF(Z363="",0,Z363),"0")+IFERROR(IF(Z364="",0,Z364),"0")+IFERROR(IF(Z365="",0,Z365),"0")</f>
        <v>9.4900000000000012E-2</v>
      </c>
      <c r="AA366" s="67"/>
      <c r="AB366" s="67"/>
      <c r="AC366" s="67"/>
    </row>
    <row r="367" spans="1:68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38</v>
      </c>
      <c r="Y367" s="43">
        <f>IFERROR(SUM(Y363:Y365),"0")</f>
        <v>39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40</v>
      </c>
      <c r="Y379" s="55">
        <f t="shared" ref="Y379:Y385" si="65">IFERROR(IF(X379="",0,CEILING((X379/$H379),1)*$H379),"")</f>
        <v>42</v>
      </c>
      <c r="Z379" s="41">
        <f>IFERROR(IF(Y379=0,"",ROUNDUP(Y379/H379,0)*0.00902),"")</f>
        <v>9.0200000000000002E-2</v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42.38095238095238</v>
      </c>
      <c r="BN379" s="78">
        <f t="shared" ref="BN379:BN385" si="67">IFERROR(Y379*I379/H379,"0")</f>
        <v>44.5</v>
      </c>
      <c r="BO379" s="78">
        <f t="shared" ref="BO379:BO385" si="68">IFERROR(1/J379*(X379/H379),"0")</f>
        <v>7.2150072150072145E-2</v>
      </c>
      <c r="BP379" s="78">
        <f t="shared" ref="BP379:BP385" si="69">IFERROR(1/J379*(Y379/H379),"0")</f>
        <v>7.575757575757576E-2</v>
      </c>
    </row>
    <row r="380" spans="1:68" ht="27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40</v>
      </c>
      <c r="Y380" s="55">
        <f t="shared" si="65"/>
        <v>42</v>
      </c>
      <c r="Z380" s="41">
        <f>IFERROR(IF(Y380=0,"",ROUNDUP(Y380/H380,0)*0.00902),"")</f>
        <v>9.0200000000000002E-2</v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42.38095238095238</v>
      </c>
      <c r="BN380" s="78">
        <f t="shared" si="67"/>
        <v>44.5</v>
      </c>
      <c r="BO380" s="78">
        <f t="shared" si="68"/>
        <v>7.2150072150072145E-2</v>
      </c>
      <c r="BP380" s="78">
        <f t="shared" si="69"/>
        <v>7.575757575757576E-2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19.047619047619047</v>
      </c>
      <c r="Y386" s="43">
        <f>IFERROR(Y379/H379,"0")+IFERROR(Y380/H380,"0")+IFERROR(Y381/H381,"0")+IFERROR(Y382/H382,"0")+IFERROR(Y383/H383,"0")+IFERROR(Y384/H384,"0")+IFERROR(Y385/H385,"0")</f>
        <v>20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0.1804</v>
      </c>
      <c r="AA386" s="67"/>
      <c r="AB386" s="67"/>
      <c r="AC386" s="67"/>
    </row>
    <row r="387" spans="1:68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80</v>
      </c>
      <c r="Y387" s="43">
        <f>IFERROR(SUM(Y379:Y385),"0")</f>
        <v>84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60</v>
      </c>
      <c r="Y397" s="55">
        <f>IFERROR(IF(X397="",0,CEILING((X397/$H397),1)*$H397),"")</f>
        <v>62.4</v>
      </c>
      <c r="Z397" s="41">
        <f>IFERROR(IF(Y397=0,"",ROUNDUP(Y397/H397,0)*0.01898),"")</f>
        <v>0.15184</v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63.800000000000004</v>
      </c>
      <c r="BN397" s="78">
        <f>IFERROR(Y397*I397/H397,"0")</f>
        <v>66.352000000000004</v>
      </c>
      <c r="BO397" s="78">
        <f>IFERROR(1/J397*(X397/H397),"0")</f>
        <v>0.1201923076923077</v>
      </c>
      <c r="BP397" s="78">
        <f>IFERROR(1/J397*(Y397/H397),"0")</f>
        <v>0.125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7.6923076923076925</v>
      </c>
      <c r="Y399" s="43">
        <f>IFERROR(Y396/H396,"0")+IFERROR(Y397/H397,"0")+IFERROR(Y398/H398,"0")</f>
        <v>8</v>
      </c>
      <c r="Z399" s="43">
        <f>IFERROR(IF(Z396="",0,Z396),"0")+IFERROR(IF(Z397="",0,Z397),"0")+IFERROR(IF(Z398="",0,Z398),"0")</f>
        <v>0.15184</v>
      </c>
      <c r="AA399" s="67"/>
      <c r="AB399" s="67"/>
      <c r="AC399" s="67"/>
    </row>
    <row r="400" spans="1:68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60</v>
      </c>
      <c r="Y400" s="43">
        <f>IFERROR(SUM(Y396:Y398),"0")</f>
        <v>62.4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/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3</v>
      </c>
      <c r="Y415" s="55">
        <f>IFERROR(IF(X415="",0,CEILING((X415/$H415),1)*$H415),"")</f>
        <v>3</v>
      </c>
      <c r="Z415" s="41">
        <f>IFERROR(IF(Y415=0,"",ROUNDUP(Y415/H415,0)*0.0045),"")</f>
        <v>4.4999999999999997E-3</v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3.22</v>
      </c>
      <c r="BN415" s="78">
        <f>IFERROR(Y415*I415/H415,"0")</f>
        <v>3.22</v>
      </c>
      <c r="BO415" s="78">
        <f>IFERROR(1/J415*(X415/H415),"0")</f>
        <v>4.464285714285714E-3</v>
      </c>
      <c r="BP415" s="78">
        <f>IFERROR(1/J415*(Y415/H415),"0")</f>
        <v>4.464285714285714E-3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3</v>
      </c>
      <c r="Y417" s="55">
        <f>IFERROR(IF(X417="",0,CEILING((X417/$H417),1)*$H417),"")</f>
        <v>3</v>
      </c>
      <c r="Z417" s="41">
        <f>IFERROR(IF(Y417=0,"",ROUNDUP(Y417/H417,0)*0.0045),"")</f>
        <v>4.4999999999999997E-3</v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3.22</v>
      </c>
      <c r="BN417" s="78">
        <f>IFERROR(Y417*I417/H417,"0")</f>
        <v>3.22</v>
      </c>
      <c r="BO417" s="78">
        <f>IFERROR(1/J417*(X417/H417),"0")</f>
        <v>4.464285714285714E-3</v>
      </c>
      <c r="BP417" s="78">
        <f>IFERROR(1/J417*(Y417/H417),"0")</f>
        <v>4.464285714285714E-3</v>
      </c>
    </row>
    <row r="418" spans="1:68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2</v>
      </c>
      <c r="Y418" s="43">
        <f>IFERROR(Y415/H415,"0")+IFERROR(Y416/H416,"0")+IFERROR(Y417/H417,"0")</f>
        <v>2</v>
      </c>
      <c r="Z418" s="43">
        <f>IFERROR(IF(Z415="",0,Z415),"0")+IFERROR(IF(Z416="",0,Z416),"0")+IFERROR(IF(Z417="",0,Z417),"0")</f>
        <v>8.9999999999999993E-3</v>
      </c>
      <c r="AA418" s="67"/>
      <c r="AB418" s="67"/>
      <c r="AC418" s="67"/>
    </row>
    <row r="419" spans="1:68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6</v>
      </c>
      <c r="Y419" s="43">
        <f>IFERROR(SUM(Y415:Y417),"0")</f>
        <v>6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/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/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21</v>
      </c>
      <c r="Y429" s="55">
        <f>IFERROR(IF(X429="",0,CEILING((X429/$H429),1)*$H429),"")</f>
        <v>21</v>
      </c>
      <c r="Z429" s="41">
        <f>IFERROR(IF(Y429=0,"",ROUNDUP(Y429/H429,0)*0.00651),"")</f>
        <v>6.5100000000000005E-2</v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23.519999999999996</v>
      </c>
      <c r="BN429" s="78">
        <f>IFERROR(Y429*I429/H429,"0")</f>
        <v>23.519999999999996</v>
      </c>
      <c r="BO429" s="78">
        <f>IFERROR(1/J429*(X429/H429),"0")</f>
        <v>5.4945054945054951E-2</v>
      </c>
      <c r="BP429" s="78">
        <f>IFERROR(1/J429*(Y429/H429),"0")</f>
        <v>5.4945054945054951E-2</v>
      </c>
    </row>
    <row r="430" spans="1:68" ht="27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6.3</v>
      </c>
      <c r="Y430" s="55">
        <f>IFERROR(IF(X430="",0,CEILING((X430/$H430),1)*$H430),"")</f>
        <v>6.3000000000000007</v>
      </c>
      <c r="Z430" s="41">
        <f>IFERROR(IF(Y430=0,"",ROUNDUP(Y430/H430,0)*0.00651),"")</f>
        <v>1.9529999999999999E-2</v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7.02</v>
      </c>
      <c r="BN430" s="78">
        <f>IFERROR(Y430*I430/H430,"0")</f>
        <v>7.0200000000000005</v>
      </c>
      <c r="BO430" s="78">
        <f>IFERROR(1/J430*(X430/H430),"0")</f>
        <v>1.6483516483516484E-2</v>
      </c>
      <c r="BP430" s="78">
        <f>IFERROR(1/J430*(Y430/H430),"0")</f>
        <v>1.6483516483516484E-2</v>
      </c>
    </row>
    <row r="431" spans="1:68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13</v>
      </c>
      <c r="Y431" s="43">
        <f>IFERROR(Y428/H428,"0")+IFERROR(Y429/H429,"0")+IFERROR(Y430/H430,"0")</f>
        <v>13</v>
      </c>
      <c r="Z431" s="43">
        <f>IFERROR(IF(Z428="",0,Z428),"0")+IFERROR(IF(Z429="",0,Z429),"0")+IFERROR(IF(Z430="",0,Z430),"0")</f>
        <v>8.4630000000000011E-2</v>
      </c>
      <c r="AA431" s="67"/>
      <c r="AB431" s="67"/>
      <c r="AC431" s="67"/>
    </row>
    <row r="432" spans="1:68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27.3</v>
      </c>
      <c r="Y432" s="43">
        <f>IFERROR(SUM(Y428:Y430),"0")</f>
        <v>27.3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100</v>
      </c>
      <c r="Y437" s="55">
        <f t="shared" si="70"/>
        <v>105</v>
      </c>
      <c r="Z437" s="41">
        <f>IFERROR(IF(Y437=0,"",ROUNDUP(Y437/H437,0)*0.02175),"")</f>
        <v>0.15225</v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103.13333333333334</v>
      </c>
      <c r="BN437" s="78">
        <f t="shared" si="72"/>
        <v>108.29</v>
      </c>
      <c r="BO437" s="78">
        <f t="shared" si="73"/>
        <v>0.1388888888888889</v>
      </c>
      <c r="BP437" s="78">
        <f t="shared" si="74"/>
        <v>0.14583333333333331</v>
      </c>
    </row>
    <row r="438" spans="1:68" ht="27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100</v>
      </c>
      <c r="Y438" s="55">
        <f t="shared" si="70"/>
        <v>105</v>
      </c>
      <c r="Z438" s="41">
        <f>IFERROR(IF(Y438=0,"",ROUNDUP(Y438/H438,0)*0.02175),"")</f>
        <v>0.15225</v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103.13333333333334</v>
      </c>
      <c r="BN438" s="78">
        <f t="shared" si="72"/>
        <v>108.29</v>
      </c>
      <c r="BO438" s="78">
        <f t="shared" si="73"/>
        <v>0.1388888888888889</v>
      </c>
      <c r="BP438" s="78">
        <f t="shared" si="74"/>
        <v>0.14583333333333331</v>
      </c>
    </row>
    <row r="439" spans="1:68" ht="27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300</v>
      </c>
      <c r="Y439" s="55">
        <f t="shared" si="70"/>
        <v>300</v>
      </c>
      <c r="Z439" s="41">
        <f>IFERROR(IF(Y439=0,"",ROUNDUP(Y439/H439,0)*0.02175),"")</f>
        <v>0.43499999999999994</v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309.39999999999998</v>
      </c>
      <c r="BN439" s="78">
        <f t="shared" si="72"/>
        <v>309.39999999999998</v>
      </c>
      <c r="BO439" s="78">
        <f t="shared" si="73"/>
        <v>0.41666666666666663</v>
      </c>
      <c r="BP439" s="78">
        <f t="shared" si="74"/>
        <v>0.41666666666666663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33.333333333333336</v>
      </c>
      <c r="Y444" s="43">
        <f>IFERROR(Y436/H436,"0")+IFERROR(Y437/H437,"0")+IFERROR(Y438/H438,"0")+IFERROR(Y439/H439,"0")+IFERROR(Y440/H440,"0")+IFERROR(Y441/H441,"0")+IFERROR(Y442/H442,"0")+IFERROR(Y443/H443,"0")</f>
        <v>34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0.73949999999999994</v>
      </c>
      <c r="AA444" s="67"/>
      <c r="AB444" s="67"/>
      <c r="AC444" s="67"/>
    </row>
    <row r="445" spans="1:68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500</v>
      </c>
      <c r="Y445" s="43">
        <f>IFERROR(SUM(Y436:Y443),"0")</f>
        <v>510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200</v>
      </c>
      <c r="Y447" s="55">
        <f>IFERROR(IF(X447="",0,CEILING((X447/$H447),1)*$H447),"")</f>
        <v>210</v>
      </c>
      <c r="Z447" s="41">
        <f>IFERROR(IF(Y447=0,"",ROUNDUP(Y447/H447,0)*0.02175),"")</f>
        <v>0.30449999999999999</v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206.26666666666668</v>
      </c>
      <c r="BN447" s="78">
        <f>IFERROR(Y447*I447/H447,"0")</f>
        <v>216.58</v>
      </c>
      <c r="BO447" s="78">
        <f>IFERROR(1/J447*(X447/H447),"0")</f>
        <v>0.27777777777777779</v>
      </c>
      <c r="BP447" s="78">
        <f>IFERROR(1/J447*(Y447/H447),"0")</f>
        <v>0.29166666666666663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/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13.333333333333334</v>
      </c>
      <c r="Y450" s="43">
        <f>IFERROR(Y447/H447,"0")+IFERROR(Y448/H448,"0")+IFERROR(Y449/H449,"0")</f>
        <v>14</v>
      </c>
      <c r="Z450" s="43">
        <f>IFERROR(IF(Z447="",0,Z447),"0")+IFERROR(IF(Z448="",0,Z448),"0")+IFERROR(IF(Z449="",0,Z449),"0")</f>
        <v>0.30449999999999999</v>
      </c>
      <c r="AA450" s="67"/>
      <c r="AB450" s="67"/>
      <c r="AC450" s="67"/>
    </row>
    <row r="451" spans="1:68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200</v>
      </c>
      <c r="Y451" s="43">
        <f>IFERROR(SUM(Y447:Y449),"0")</f>
        <v>210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/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10</v>
      </c>
      <c r="Y482" s="55">
        <f t="shared" ref="Y482:Y487" si="75">IFERROR(IF(X482="",0,CEILING((X482/$H482),1)*$H482),"")</f>
        <v>10.8</v>
      </c>
      <c r="Z482" s="41">
        <f>IFERROR(IF(Y482=0,"",ROUNDUP(Y482/H482,0)*0.00902),"")</f>
        <v>1.804E-2</v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10.351851851851851</v>
      </c>
      <c r="BN482" s="78">
        <f t="shared" ref="BN482:BN487" si="77">IFERROR(Y482*I482/H482,"0")</f>
        <v>11.18</v>
      </c>
      <c r="BO482" s="78">
        <f t="shared" ref="BO482:BO487" si="78">IFERROR(1/J482*(X482/H482),"0")</f>
        <v>1.4029180695847361E-2</v>
      </c>
      <c r="BP482" s="78">
        <f t="shared" ref="BP482:BP487" si="79">IFERROR(1/J482*(Y482/H482),"0")</f>
        <v>1.5151515151515152E-2</v>
      </c>
    </row>
    <row r="483" spans="1:68" ht="27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10</v>
      </c>
      <c r="Y483" s="55">
        <f t="shared" si="75"/>
        <v>10.8</v>
      </c>
      <c r="Z483" s="41">
        <f>IFERROR(IF(Y483=0,"",ROUNDUP(Y483/H483,0)*0.00902),"")</f>
        <v>1.804E-2</v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10.351851851851851</v>
      </c>
      <c r="BN483" s="78">
        <f t="shared" si="77"/>
        <v>11.18</v>
      </c>
      <c r="BO483" s="78">
        <f t="shared" si="78"/>
        <v>1.4029180695847361E-2</v>
      </c>
      <c r="BP483" s="78">
        <f t="shared" si="79"/>
        <v>1.5151515151515152E-2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3.7037037037037033</v>
      </c>
      <c r="Y488" s="43">
        <f>IFERROR(Y482/H482,"0")+IFERROR(Y483/H483,"0")+IFERROR(Y484/H484,"0")+IFERROR(Y485/H485,"0")+IFERROR(Y486/H486,"0")+IFERROR(Y487/H487,"0")</f>
        <v>4</v>
      </c>
      <c r="Z488" s="43">
        <f>IFERROR(IF(Z482="",0,Z482),"0")+IFERROR(IF(Z483="",0,Z483),"0")+IFERROR(IF(Z484="",0,Z484),"0")+IFERROR(IF(Z485="",0,Z485),"0")+IFERROR(IF(Z486="",0,Z486),"0")+IFERROR(IF(Z487="",0,Z487),"0")</f>
        <v>3.6080000000000001E-2</v>
      </c>
      <c r="AA488" s="67"/>
      <c r="AB488" s="67"/>
      <c r="AC488" s="67"/>
    </row>
    <row r="489" spans="1:68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20</v>
      </c>
      <c r="Y489" s="43">
        <f>IFERROR(SUM(Y482:Y487),"0")</f>
        <v>21.6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10</v>
      </c>
      <c r="Y501" s="55">
        <f>IFERROR(IF(X501="",0,CEILING((X501/$H501),1)*$H501),"")</f>
        <v>10.8</v>
      </c>
      <c r="Z501" s="41">
        <f>IFERROR(IF(Y501=0,"",ROUNDUP(Y501/H501,0)*0.00902),"")</f>
        <v>1.804E-2</v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10.351851851851851</v>
      </c>
      <c r="BN501" s="78">
        <f>IFERROR(Y501*I501/H501,"0")</f>
        <v>11.18</v>
      </c>
      <c r="BO501" s="78">
        <f>IFERROR(1/J501*(X501/H501),"0")</f>
        <v>1.4029180695847361E-2</v>
      </c>
      <c r="BP501" s="78">
        <f>IFERROR(1/J501*(Y501/H501),"0")</f>
        <v>1.5151515151515152E-2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1.8518518518518516</v>
      </c>
      <c r="Y504" s="43">
        <f>IFERROR(Y501/H501,"0")+IFERROR(Y502/H502,"0")+IFERROR(Y503/H503,"0")</f>
        <v>2</v>
      </c>
      <c r="Z504" s="43">
        <f>IFERROR(IF(Z501="",0,Z501),"0")+IFERROR(IF(Z502="",0,Z502),"0")+IFERROR(IF(Z503="",0,Z503),"0")</f>
        <v>1.804E-2</v>
      </c>
      <c r="AA504" s="67"/>
      <c r="AB504" s="67"/>
      <c r="AC504" s="67"/>
    </row>
    <row r="505" spans="1:68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10</v>
      </c>
      <c r="Y505" s="43">
        <f>IFERROR(SUM(Y501:Y503),"0")</f>
        <v>10.8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30</v>
      </c>
      <c r="Y509" s="55">
        <f t="shared" ref="Y509:Y517" si="80">IFERROR(IF(X509="",0,CEILING((X509/$H509),1)*$H509),"")</f>
        <v>31.68</v>
      </c>
      <c r="Z509" s="41">
        <f t="shared" ref="Z509:Z514" si="81">IFERROR(IF(Y509=0,"",ROUNDUP(Y509/H509,0)*0.01196),"")</f>
        <v>7.1760000000000004E-2</v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31.988636363636363</v>
      </c>
      <c r="BN509" s="78">
        <f t="shared" ref="BN509:BN517" si="83">IFERROR(Y509*I509/H509,"0")</f>
        <v>33.779999999999994</v>
      </c>
      <c r="BO509" s="78">
        <f t="shared" ref="BO509:BO517" si="84">IFERROR(1/J509*(X509/H509),"0")</f>
        <v>5.4632867132867136E-2</v>
      </c>
      <c r="BP509" s="78">
        <f t="shared" ref="BP509:BP517" si="85">IFERROR(1/J509*(Y509/H509),"0")</f>
        <v>5.7692307692307696E-2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5</v>
      </c>
      <c r="Y511" s="55">
        <f t="shared" si="80"/>
        <v>5.28</v>
      </c>
      <c r="Z511" s="41">
        <f t="shared" si="81"/>
        <v>1.196E-2</v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5.3314393939393936</v>
      </c>
      <c r="BN511" s="78">
        <f t="shared" si="83"/>
        <v>5.63</v>
      </c>
      <c r="BO511" s="78">
        <f t="shared" si="84"/>
        <v>9.1054778554778559E-3</v>
      </c>
      <c r="BP511" s="78">
        <f t="shared" si="85"/>
        <v>9.6153846153846159E-3</v>
      </c>
    </row>
    <row r="512" spans="1:68" ht="27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150</v>
      </c>
      <c r="Y512" s="55">
        <f t="shared" si="80"/>
        <v>153.12</v>
      </c>
      <c r="Z512" s="41">
        <f t="shared" si="81"/>
        <v>0.34683999999999998</v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159.94318181818181</v>
      </c>
      <c r="BN512" s="78">
        <f t="shared" si="83"/>
        <v>163.26999999999998</v>
      </c>
      <c r="BO512" s="78">
        <f t="shared" si="84"/>
        <v>0.27316433566433568</v>
      </c>
      <c r="BP512" s="78">
        <f t="shared" si="85"/>
        <v>0.27884615384615385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/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35.037878787878782</v>
      </c>
      <c r="Y518" s="43">
        <f>IFERROR(Y509/H509,"0")+IFERROR(Y510/H510,"0")+IFERROR(Y511/H511,"0")+IFERROR(Y512/H512,"0")+IFERROR(Y513/H513,"0")+IFERROR(Y514/H514,"0")+IFERROR(Y515/H515,"0")+IFERROR(Y516/H516,"0")+IFERROR(Y517/H517,"0")</f>
        <v>36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0.43056</v>
      </c>
      <c r="AA518" s="67"/>
      <c r="AB518" s="67"/>
      <c r="AC518" s="67"/>
    </row>
    <row r="519" spans="1:68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185</v>
      </c>
      <c r="Y519" s="43">
        <f>IFERROR(SUM(Y509:Y517),"0")</f>
        <v>190.08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50</v>
      </c>
      <c r="Y521" s="55">
        <f>IFERROR(IF(X521="",0,CEILING((X521/$H521),1)*$H521),"")</f>
        <v>52.800000000000004</v>
      </c>
      <c r="Z521" s="41">
        <f>IFERROR(IF(Y521=0,"",ROUNDUP(Y521/H521,0)*0.01196),"")</f>
        <v>0.1196</v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53.314393939393938</v>
      </c>
      <c r="BN521" s="78">
        <f>IFERROR(Y521*I521/H521,"0")</f>
        <v>56.3</v>
      </c>
      <c r="BO521" s="78">
        <f>IFERROR(1/J521*(X521/H521),"0")</f>
        <v>9.1054778554778545E-2</v>
      </c>
      <c r="BP521" s="78">
        <f>IFERROR(1/J521*(Y521/H521),"0")</f>
        <v>9.6153846153846159E-2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9.4696969696969688</v>
      </c>
      <c r="Y524" s="43">
        <f>IFERROR(Y521/H521,"0")+IFERROR(Y522/H522,"0")+IFERROR(Y523/H523,"0")</f>
        <v>10</v>
      </c>
      <c r="Z524" s="43">
        <f>IFERROR(IF(Z521="",0,Z521),"0")+IFERROR(IF(Z522="",0,Z522),"0")+IFERROR(IF(Z523="",0,Z523),"0")</f>
        <v>0.1196</v>
      </c>
      <c r="AA524" s="67"/>
      <c r="AB524" s="67"/>
      <c r="AC524" s="67"/>
    </row>
    <row r="525" spans="1:68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50</v>
      </c>
      <c r="Y525" s="43">
        <f>IFERROR(SUM(Y521:Y523),"0")</f>
        <v>52.800000000000004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30</v>
      </c>
      <c r="Y527" s="55">
        <f t="shared" ref="Y527:Y533" si="86">IFERROR(IF(X527="",0,CEILING((X527/$H527),1)*$H527),"")</f>
        <v>31.68</v>
      </c>
      <c r="Z527" s="41">
        <f>IFERROR(IF(Y527=0,"",ROUNDUP(Y527/H527,0)*0.01196),"")</f>
        <v>7.1760000000000004E-2</v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31.988636363636363</v>
      </c>
      <c r="BN527" s="78">
        <f t="shared" ref="BN527:BN533" si="88">IFERROR(Y527*I527/H527,"0")</f>
        <v>33.779999999999994</v>
      </c>
      <c r="BO527" s="78">
        <f t="shared" ref="BO527:BO533" si="89">IFERROR(1/J527*(X527/H527),"0")</f>
        <v>5.4632867132867136E-2</v>
      </c>
      <c r="BP527" s="78">
        <f t="shared" ref="BP527:BP533" si="90">IFERROR(1/J527*(Y527/H527),"0")</f>
        <v>5.7692307692307696E-2</v>
      </c>
    </row>
    <row r="528" spans="1:68" ht="27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30</v>
      </c>
      <c r="Y528" s="55">
        <f t="shared" si="86"/>
        <v>31.68</v>
      </c>
      <c r="Z528" s="41">
        <f>IFERROR(IF(Y528=0,"",ROUNDUP(Y528/H528,0)*0.01196),"")</f>
        <v>7.1760000000000004E-2</v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31.988636363636363</v>
      </c>
      <c r="BN528" s="78">
        <f t="shared" si="88"/>
        <v>33.779999999999994</v>
      </c>
      <c r="BO528" s="78">
        <f t="shared" si="89"/>
        <v>5.4632867132867136E-2</v>
      </c>
      <c r="BP528" s="78">
        <f t="shared" si="90"/>
        <v>5.7692307692307696E-2</v>
      </c>
    </row>
    <row r="529" spans="1:68" ht="27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50</v>
      </c>
      <c r="Y529" s="55">
        <f t="shared" si="86"/>
        <v>52.800000000000004</v>
      </c>
      <c r="Z529" s="41">
        <f>IFERROR(IF(Y529=0,"",ROUNDUP(Y529/H529,0)*0.01196),"")</f>
        <v>0.1196</v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53.314393939393938</v>
      </c>
      <c r="BN529" s="78">
        <f t="shared" si="88"/>
        <v>56.3</v>
      </c>
      <c r="BO529" s="78">
        <f t="shared" si="89"/>
        <v>9.1054778554778545E-2</v>
      </c>
      <c r="BP529" s="78">
        <f t="shared" si="90"/>
        <v>9.6153846153846159E-2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20.833333333333332</v>
      </c>
      <c r="Y534" s="43">
        <f>IFERROR(Y527/H527,"0")+IFERROR(Y528/H528,"0")+IFERROR(Y529/H529,"0")+IFERROR(Y530/H530,"0")+IFERROR(Y531/H531,"0")+IFERROR(Y532/H532,"0")+IFERROR(Y533/H533,"0")</f>
        <v>22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0.26312000000000002</v>
      </c>
      <c r="AA534" s="67"/>
      <c r="AB534" s="67"/>
      <c r="AC534" s="67"/>
    </row>
    <row r="535" spans="1:68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110</v>
      </c>
      <c r="Y535" s="43">
        <f>IFERROR(SUM(Y527:Y533),"0")</f>
        <v>116.16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10</v>
      </c>
      <c r="Y539" s="55">
        <f>IFERROR(IF(X539="",0,CEILING((X539/$H539),1)*$H539),"")</f>
        <v>12</v>
      </c>
      <c r="Z539" s="41">
        <f>IFERROR(IF(Y539=0,"",ROUNDUP(Y539/H539,0)*0.01898),"")</f>
        <v>1.898E-2</v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10.341666666666667</v>
      </c>
      <c r="BN539" s="78">
        <f>IFERROR(Y539*I539/H539,"0")</f>
        <v>12.410000000000002</v>
      </c>
      <c r="BO539" s="78">
        <f>IFERROR(1/J539*(X539/H539),"0")</f>
        <v>1.3020833333333334E-2</v>
      </c>
      <c r="BP539" s="78">
        <f>IFERROR(1/J539*(Y539/H539),"0")</f>
        <v>1.5625E-2</v>
      </c>
    </row>
    <row r="540" spans="1:68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0.83333333333333337</v>
      </c>
      <c r="Y540" s="43">
        <f>IFERROR(Y539/H539,"0")</f>
        <v>1</v>
      </c>
      <c r="Z540" s="43">
        <f>IFERROR(IF(Z539="",0,Z539),"0")</f>
        <v>1.898E-2</v>
      </c>
      <c r="AA540" s="67"/>
      <c r="AB540" s="67"/>
      <c r="AC540" s="67"/>
    </row>
    <row r="541" spans="1:68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10</v>
      </c>
      <c r="Y541" s="43">
        <f>IFERROR(SUM(Y539:Y539),"0")</f>
        <v>12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50</v>
      </c>
      <c r="Y551" s="55">
        <f>IFERROR(IF(X551="",0,CEILING((X551/$H551),1)*$H551),"")</f>
        <v>54</v>
      </c>
      <c r="Z551" s="41">
        <f>IFERROR(IF(Y551=0,"",ROUNDUP(Y551/H551,0)*0.01898),"")</f>
        <v>0.11388000000000001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52.74444444444444</v>
      </c>
      <c r="BN551" s="78">
        <f>IFERROR(Y551*I551/H551,"0")</f>
        <v>56.963999999999992</v>
      </c>
      <c r="BO551" s="78">
        <f>IFERROR(1/J551*(X551/H551),"0")</f>
        <v>8.6805555555555552E-2</v>
      </c>
      <c r="BP551" s="78">
        <f>IFERROR(1/J551*(Y551/H551),"0")</f>
        <v>9.375E-2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5.5555555555555554</v>
      </c>
      <c r="Y552" s="43">
        <f>IFERROR(Y551/H551,"0")</f>
        <v>6</v>
      </c>
      <c r="Z552" s="43">
        <f>IFERROR(IF(Z551="",0,Z551),"0")</f>
        <v>0.11388000000000001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50</v>
      </c>
      <c r="Y553" s="43">
        <f>IFERROR(SUM(Y551:Y551),"0")</f>
        <v>54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2175.6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2267.64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2275.3266041674387</v>
      </c>
      <c r="Y565" s="43">
        <f>IFERROR(SUM(BN22:BN561),"0")</f>
        <v>2371.6000000000008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4</v>
      </c>
      <c r="Y566" s="44">
        <f>ROUNDUP(SUM(BP22:BP561),0)</f>
        <v>4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2375.3266041674387</v>
      </c>
      <c r="Y567" s="43">
        <f>GrossWeightTotalR+PalletQtyTotalR*25</f>
        <v>2471.6000000000008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313.5707964874631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326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4.3072500000000007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32.400000000000006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185.4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60.3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137.69999999999999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153.30000000000001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237.6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64.8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39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152.4</v>
      </c>
      <c r="U574" s="52">
        <f>IFERROR(Y422*1,"0")+IFERROR(Y423*1,"0")</f>
        <v>0</v>
      </c>
      <c r="V574" s="52">
        <f>IFERROR(Y428*1,"0")+IFERROR(Y429*1,"0")+IFERROR(Y430*1,"0")</f>
        <v>27.3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720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21.6</v>
      </c>
      <c r="Z574" s="52">
        <f>IFERROR(Y497*1,"0")+IFERROR(Y501*1,"0")+IFERROR(Y502*1,"0")+IFERROR(Y503*1,"0")</f>
        <v>10.8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359.04</v>
      </c>
      <c r="AB574" s="52">
        <f>IFERROR(Y539*1,"0")+IFERROR(Y543*1,"0")+IFERROR(Y547*1,"0")+IFERROR(Y551*1,"0")+IFERROR(Y555*1,"0")+IFERROR(Y556*1,"0")</f>
        <v>66</v>
      </c>
      <c r="AC574" s="52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,85"/>
        <filter val="10,00"/>
        <filter val="100,00"/>
        <filter val="110,00"/>
        <filter val="12,35"/>
        <filter val="13,00"/>
        <filter val="13,33"/>
        <filter val="145,00"/>
        <filter val="146,80"/>
        <filter val="15,00"/>
        <filter val="150,00"/>
        <filter val="185,00"/>
        <filter val="19,05"/>
        <filter val="19,26"/>
        <filter val="2 175,60"/>
        <filter val="2 275,33"/>
        <filter val="2 375,33"/>
        <filter val="2,00"/>
        <filter val="2,78"/>
        <filter val="20,00"/>
        <filter val="20,83"/>
        <filter val="200,00"/>
        <filter val="21,00"/>
        <filter val="215,00"/>
        <filter val="22,50"/>
        <filter val="23,00"/>
        <filter val="25,00"/>
        <filter val="27,30"/>
        <filter val="3,00"/>
        <filter val="3,70"/>
        <filter val="30,00"/>
        <filter val="300,00"/>
        <filter val="313,57"/>
        <filter val="33,33"/>
        <filter val="35,04"/>
        <filter val="38,00"/>
        <filter val="39,81"/>
        <filter val="4"/>
        <filter val="4,87"/>
        <filter val="40,00"/>
        <filter val="42,50"/>
        <filter val="45,00"/>
        <filter val="47,14"/>
        <filter val="5,00"/>
        <filter val="5,56"/>
        <filter val="50,00"/>
        <filter val="500,00"/>
        <filter val="6,00"/>
        <filter val="6,30"/>
        <filter val="6,85"/>
        <filter val="60,00"/>
        <filter val="7,69"/>
        <filter val="8,40"/>
        <filter val="80,00"/>
        <filter val="9,47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9" spans="2:8" x14ac:dyDescent="0.2">
      <c r="B9" s="53" t="s">
        <v>897</v>
      </c>
      <c r="C9" s="53" t="s">
        <v>892</v>
      </c>
      <c r="D9" s="53" t="s">
        <v>46</v>
      </c>
      <c r="E9" s="53" t="s">
        <v>46</v>
      </c>
    </row>
    <row r="11" spans="2:8" x14ac:dyDescent="0.2">
      <c r="B11" s="53" t="s">
        <v>897</v>
      </c>
      <c r="C11" s="53" t="s">
        <v>895</v>
      </c>
      <c r="D11" s="53" t="s">
        <v>46</v>
      </c>
      <c r="E11" s="53" t="s">
        <v>46</v>
      </c>
    </row>
    <row r="13" spans="2:8" x14ac:dyDescent="0.2">
      <c r="B13" s="53" t="s">
        <v>898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899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900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901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908</v>
      </c>
      <c r="C23" s="53" t="s">
        <v>46</v>
      </c>
      <c r="D23" s="53" t="s">
        <v>46</v>
      </c>
      <c r="E23" s="53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2026-10-29T13:06:30Z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