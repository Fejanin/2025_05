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832DF9E-E26D-4008-B45B-0DCD2FEDA0F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P526" i="2"/>
  <c r="BO526" i="2"/>
  <c r="BM526" i="2"/>
  <c r="Y526" i="2"/>
  <c r="Z526" i="2" s="1"/>
  <c r="P526" i="2"/>
  <c r="BO525" i="2"/>
  <c r="BM525" i="2"/>
  <c r="Y525" i="2"/>
  <c r="P525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Y504" i="2" s="1"/>
  <c r="P500" i="2"/>
  <c r="Y498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Y492" i="2" s="1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Z466" i="2" s="1"/>
  <c r="P466" i="2"/>
  <c r="BO465" i="2"/>
  <c r="BM465" i="2"/>
  <c r="Z465" i="2"/>
  <c r="Y465" i="2"/>
  <c r="P465" i="2"/>
  <c r="X462" i="2"/>
  <c r="X461" i="2"/>
  <c r="BO460" i="2"/>
  <c r="BM460" i="2"/>
  <c r="Y460" i="2"/>
  <c r="BN460" i="2" s="1"/>
  <c r="P460" i="2"/>
  <c r="BO459" i="2"/>
  <c r="BM459" i="2"/>
  <c r="Y459" i="2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Y421" i="2"/>
  <c r="Z421" i="2" s="1"/>
  <c r="P421" i="2"/>
  <c r="BO420" i="2"/>
  <c r="BM420" i="2"/>
  <c r="Y420" i="2"/>
  <c r="P420" i="2"/>
  <c r="X417" i="2"/>
  <c r="X416" i="2"/>
  <c r="BO415" i="2"/>
  <c r="BM415" i="2"/>
  <c r="Y415" i="2"/>
  <c r="BN415" i="2" s="1"/>
  <c r="P415" i="2"/>
  <c r="BO414" i="2"/>
  <c r="BM414" i="2"/>
  <c r="Y414" i="2"/>
  <c r="P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BN394" i="2" s="1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N387" i="2" s="1"/>
  <c r="P387" i="2"/>
  <c r="X385" i="2"/>
  <c r="X384" i="2"/>
  <c r="BP383" i="2"/>
  <c r="BO383" i="2"/>
  <c r="BN383" i="2"/>
  <c r="BM383" i="2"/>
  <c r="Z383" i="2"/>
  <c r="Y383" i="2"/>
  <c r="P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BN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Z360" i="2" s="1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S572" i="2" s="1"/>
  <c r="P351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BP338" i="2" s="1"/>
  <c r="P338" i="2"/>
  <c r="BO337" i="2"/>
  <c r="BM337" i="2"/>
  <c r="Y337" i="2"/>
  <c r="BN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X327" i="2"/>
  <c r="X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N293" i="2" s="1"/>
  <c r="P293" i="2"/>
  <c r="BO292" i="2"/>
  <c r="BM292" i="2"/>
  <c r="Y292" i="2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BN263" i="2" s="1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Z260" i="2"/>
  <c r="Y260" i="2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N251" i="2" s="1"/>
  <c r="BO250" i="2"/>
  <c r="BM250" i="2"/>
  <c r="Y250" i="2"/>
  <c r="BP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N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P199" i="2"/>
  <c r="BO199" i="2"/>
  <c r="BM199" i="2"/>
  <c r="Y199" i="2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N185" i="2" s="1"/>
  <c r="P185" i="2"/>
  <c r="BO184" i="2"/>
  <c r="BM184" i="2"/>
  <c r="Y184" i="2"/>
  <c r="P184" i="2"/>
  <c r="X182" i="2"/>
  <c r="X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M160" i="2"/>
  <c r="Y160" i="2"/>
  <c r="Z160" i="2" s="1"/>
  <c r="P160" i="2"/>
  <c r="BO159" i="2"/>
  <c r="BM159" i="2"/>
  <c r="Y159" i="2"/>
  <c r="P159" i="2"/>
  <c r="BO158" i="2"/>
  <c r="BM158" i="2"/>
  <c r="Y158" i="2"/>
  <c r="BN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BO146" i="2"/>
  <c r="BM146" i="2"/>
  <c r="Y146" i="2"/>
  <c r="P146" i="2"/>
  <c r="X143" i="2"/>
  <c r="X142" i="2"/>
  <c r="BO141" i="2"/>
  <c r="BM141" i="2"/>
  <c r="Y141" i="2"/>
  <c r="Z141" i="2" s="1"/>
  <c r="P141" i="2"/>
  <c r="BO140" i="2"/>
  <c r="BM140" i="2"/>
  <c r="Y140" i="2"/>
  <c r="Y143" i="2" s="1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X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BN119" i="2" s="1"/>
  <c r="P119" i="2"/>
  <c r="BO118" i="2"/>
  <c r="BM118" i="2"/>
  <c r="Y118" i="2"/>
  <c r="Z118" i="2" s="1"/>
  <c r="P118" i="2"/>
  <c r="X116" i="2"/>
  <c r="X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P104" i="2"/>
  <c r="BO104" i="2"/>
  <c r="BM104" i="2"/>
  <c r="Y104" i="2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Z75" i="2" s="1"/>
  <c r="P73" i="2"/>
  <c r="X71" i="2"/>
  <c r="X70" i="2"/>
  <c r="BO69" i="2"/>
  <c r="BM69" i="2"/>
  <c r="Y69" i="2"/>
  <c r="Z69" i="2" s="1"/>
  <c r="P69" i="2"/>
  <c r="BO68" i="2"/>
  <c r="BM68" i="2"/>
  <c r="Y68" i="2"/>
  <c r="P68" i="2"/>
  <c r="BO67" i="2"/>
  <c r="BM67" i="2"/>
  <c r="Y67" i="2"/>
  <c r="BN67" i="2" s="1"/>
  <c r="P67" i="2"/>
  <c r="BO66" i="2"/>
  <c r="BM66" i="2"/>
  <c r="Y66" i="2"/>
  <c r="BP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P67" i="2" l="1"/>
  <c r="BN69" i="2"/>
  <c r="BN113" i="2"/>
  <c r="BN193" i="2"/>
  <c r="Y257" i="2"/>
  <c r="BP293" i="2"/>
  <c r="BN295" i="2"/>
  <c r="BN355" i="2"/>
  <c r="Y357" i="2"/>
  <c r="BN362" i="2"/>
  <c r="BN510" i="2"/>
  <c r="BN545" i="2"/>
  <c r="BN48" i="2"/>
  <c r="Z56" i="2"/>
  <c r="BN59" i="2"/>
  <c r="Z67" i="2"/>
  <c r="BN141" i="2"/>
  <c r="Z203" i="2"/>
  <c r="BN203" i="2"/>
  <c r="BN204" i="2"/>
  <c r="BP220" i="2"/>
  <c r="BN255" i="2"/>
  <c r="Z271" i="2"/>
  <c r="Z293" i="2"/>
  <c r="BN302" i="2"/>
  <c r="Z382" i="2"/>
  <c r="Z394" i="2"/>
  <c r="BN407" i="2"/>
  <c r="Z415" i="2"/>
  <c r="Z455" i="2"/>
  <c r="BN549" i="2"/>
  <c r="Z361" i="2"/>
  <c r="BN429" i="2"/>
  <c r="BN521" i="2"/>
  <c r="BN106" i="2"/>
  <c r="BP394" i="2"/>
  <c r="BN527" i="2"/>
  <c r="Z120" i="2"/>
  <c r="Y122" i="2"/>
  <c r="BP541" i="2"/>
  <c r="BN531" i="2"/>
  <c r="BN509" i="2"/>
  <c r="Z491" i="2"/>
  <c r="Z492" i="2" s="1"/>
  <c r="BN485" i="2"/>
  <c r="BN484" i="2"/>
  <c r="Y467" i="2"/>
  <c r="BN466" i="2"/>
  <c r="BP455" i="2"/>
  <c r="Z448" i="2"/>
  <c r="BN443" i="2"/>
  <c r="BN441" i="2"/>
  <c r="Z439" i="2"/>
  <c r="Z429" i="2"/>
  <c r="BP415" i="2"/>
  <c r="Z413" i="2"/>
  <c r="BN400" i="2"/>
  <c r="BP387" i="2"/>
  <c r="Z387" i="2"/>
  <c r="BP382" i="2"/>
  <c r="Z381" i="2"/>
  <c r="BP380" i="2"/>
  <c r="Z380" i="2"/>
  <c r="BP379" i="2"/>
  <c r="BP373" i="2"/>
  <c r="Z373" i="2"/>
  <c r="Z371" i="2"/>
  <c r="Z368" i="2"/>
  <c r="BP367" i="2"/>
  <c r="Z367" i="2"/>
  <c r="Z362" i="2"/>
  <c r="T572" i="2"/>
  <c r="BP361" i="2"/>
  <c r="BP351" i="2"/>
  <c r="Z351" i="2"/>
  <c r="Z352" i="2" s="1"/>
  <c r="BN338" i="2"/>
  <c r="Z338" i="2"/>
  <c r="BP337" i="2"/>
  <c r="Z337" i="2"/>
  <c r="Y334" i="2"/>
  <c r="BN331" i="2"/>
  <c r="Z325" i="2"/>
  <c r="BP325" i="2"/>
  <c r="BN310" i="2"/>
  <c r="Z302" i="2"/>
  <c r="Z303" i="2" s="1"/>
  <c r="BP302" i="2"/>
  <c r="BN287" i="2"/>
  <c r="BP282" i="2"/>
  <c r="Z282" i="2"/>
  <c r="BN276" i="2"/>
  <c r="Z273" i="2"/>
  <c r="BP273" i="2"/>
  <c r="BP272" i="2"/>
  <c r="Z272" i="2"/>
  <c r="BP271" i="2"/>
  <c r="BN264" i="2"/>
  <c r="BP263" i="2"/>
  <c r="Z263" i="2"/>
  <c r="Z262" i="2"/>
  <c r="BP262" i="2"/>
  <c r="BN256" i="2"/>
  <c r="BP251" i="2"/>
  <c r="Z251" i="2"/>
  <c r="Z234" i="2"/>
  <c r="BP234" i="2"/>
  <c r="Z232" i="2"/>
  <c r="BN225" i="2"/>
  <c r="BN224" i="2"/>
  <c r="Z224" i="2"/>
  <c r="Z223" i="2"/>
  <c r="BP223" i="2"/>
  <c r="BP221" i="2"/>
  <c r="Z221" i="2"/>
  <c r="Z218" i="2"/>
  <c r="BP217" i="2"/>
  <c r="Z216" i="2"/>
  <c r="BP216" i="2"/>
  <c r="Y211" i="2"/>
  <c r="BP202" i="2"/>
  <c r="Z202" i="2"/>
  <c r="Z201" i="2"/>
  <c r="BP200" i="2"/>
  <c r="Z200" i="2"/>
  <c r="BP185" i="2"/>
  <c r="Y187" i="2"/>
  <c r="BP180" i="2"/>
  <c r="Z180" i="2"/>
  <c r="Z177" i="2"/>
  <c r="BN160" i="2"/>
  <c r="Z158" i="2"/>
  <c r="BP158" i="2"/>
  <c r="BP149" i="2"/>
  <c r="BN148" i="2"/>
  <c r="Z147" i="2"/>
  <c r="BP147" i="2"/>
  <c r="BN118" i="2"/>
  <c r="Y109" i="2"/>
  <c r="BN103" i="2"/>
  <c r="Z90" i="2"/>
  <c r="Z80" i="2"/>
  <c r="Y82" i="2"/>
  <c r="Y71" i="2"/>
  <c r="BN62" i="2"/>
  <c r="BP57" i="2"/>
  <c r="Z57" i="2"/>
  <c r="BP55" i="2"/>
  <c r="Z55" i="2"/>
  <c r="BN39" i="2"/>
  <c r="Z23" i="2"/>
  <c r="BP22" i="2"/>
  <c r="Z22" i="2"/>
  <c r="BP24" i="2"/>
  <c r="BP37" i="2"/>
  <c r="BP49" i="2"/>
  <c r="BP74" i="2"/>
  <c r="BN79" i="2"/>
  <c r="BP121" i="2"/>
  <c r="Z121" i="2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Z122" i="2" s="1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Z142" i="2" s="1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BP340" i="2"/>
  <c r="Y347" i="2"/>
  <c r="U572" i="2"/>
  <c r="Y375" i="2"/>
  <c r="Y410" i="2"/>
  <c r="Y425" i="2"/>
  <c r="Y444" i="2"/>
  <c r="BP483" i="2"/>
  <c r="BP491" i="2"/>
  <c r="Z135" i="2"/>
  <c r="Z137" i="2" s="1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416" i="2"/>
  <c r="Z467" i="2"/>
  <c r="Z68" i="2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81" i="2" s="1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Z397" i="2" s="1"/>
  <c r="BN408" i="2"/>
  <c r="BP421" i="2"/>
  <c r="Z437" i="2"/>
  <c r="Z447" i="2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75" i="2"/>
  <c r="Z185" i="2"/>
  <c r="Z186" i="2" s="1"/>
  <c r="Y190" i="2"/>
  <c r="Z199" i="2"/>
  <c r="Z210" i="2"/>
  <c r="Z211" i="2" s="1"/>
  <c r="Z220" i="2"/>
  <c r="Z230" i="2"/>
  <c r="Z235" i="2" s="1"/>
  <c r="Z240" i="2"/>
  <c r="Z241" i="2" s="1"/>
  <c r="Y245" i="2"/>
  <c r="BP260" i="2"/>
  <c r="BN278" i="2"/>
  <c r="Y289" i="2"/>
  <c r="BN311" i="2"/>
  <c r="Y314" i="2"/>
  <c r="BN322" i="2"/>
  <c r="Z344" i="2"/>
  <c r="Z347" i="2" s="1"/>
  <c r="BP360" i="2"/>
  <c r="Z369" i="2"/>
  <c r="Z379" i="2"/>
  <c r="Z384" i="2" s="1"/>
  <c r="Z389" i="2"/>
  <c r="BN401" i="2"/>
  <c r="Y404" i="2"/>
  <c r="Z422" i="2"/>
  <c r="Z428" i="2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Z431" i="2" l="1"/>
  <c r="Z391" i="2"/>
  <c r="Z374" i="2"/>
  <c r="Z167" i="2"/>
  <c r="Z450" i="2"/>
  <c r="Z27" i="2"/>
  <c r="Z341" i="2"/>
  <c r="Z363" i="2"/>
  <c r="Z70" i="2"/>
  <c r="Z488" i="2"/>
  <c r="Z424" i="2"/>
  <c r="Z410" i="2"/>
  <c r="Z252" i="2"/>
  <c r="Z181" i="2"/>
  <c r="Z91" i="2"/>
  <c r="Y563" i="2"/>
  <c r="Z283" i="2"/>
  <c r="Z444" i="2"/>
  <c r="Y562" i="2"/>
  <c r="Z51" i="2"/>
  <c r="Z162" i="2"/>
  <c r="Z477" i="2"/>
  <c r="Y564" i="2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Y565" i="2" l="1"/>
  <c r="Z567" i="2"/>
</calcChain>
</file>

<file path=xl/sharedStrings.xml><?xml version="1.0" encoding="utf-8"?>
<sst xmlns="http://schemas.openxmlformats.org/spreadsheetml/2006/main" count="4250" uniqueCount="899">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</sst>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898</v>
      </c>
      <c r="I5" s="649"/>
      <c r="J5" s="649"/>
      <c r="K5" s="649"/>
      <c r="L5" s="649"/>
      <c r="M5" s="649"/>
      <c r="N5" s="72"/>
      <c r="P5" s="27" t="s">
        <v>4</v>
      </c>
      <c r="Q5" s="651">
        <v>46327</v>
      </c>
      <c r="R5" s="651"/>
      <c r="T5" s="652" t="s">
        <v>3</v>
      </c>
      <c r="U5" s="653"/>
      <c r="V5" s="654" t="s">
        <v>879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880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Воскресенье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8.3333333333333329E-2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715">
        <v>4680115885912</v>
      </c>
      <c r="E22" s="715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715">
        <v>4607091388237</v>
      </c>
      <c r="E23" s="715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715">
        <v>4680115887350</v>
      </c>
      <c r="E24" s="715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717"/>
      <c r="R24" s="717"/>
      <c r="S24" s="717"/>
      <c r="T24" s="718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715">
        <v>4680115885905</v>
      </c>
      <c r="E25" s="715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7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717"/>
      <c r="R25" s="717"/>
      <c r="S25" s="717"/>
      <c r="T25" s="718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715">
        <v>4680115887619</v>
      </c>
      <c r="E26" s="715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726"/>
      <c r="B27" s="726"/>
      <c r="C27" s="726"/>
      <c r="D27" s="726"/>
      <c r="E27" s="726"/>
      <c r="F27" s="726"/>
      <c r="G27" s="726"/>
      <c r="H27" s="726"/>
      <c r="I27" s="726"/>
      <c r="J27" s="726"/>
      <c r="K27" s="726"/>
      <c r="L27" s="726"/>
      <c r="M27" s="726"/>
      <c r="N27" s="726"/>
      <c r="O27" s="727"/>
      <c r="P27" s="723" t="s">
        <v>40</v>
      </c>
      <c r="Q27" s="724"/>
      <c r="R27" s="724"/>
      <c r="S27" s="724"/>
      <c r="T27" s="724"/>
      <c r="U27" s="724"/>
      <c r="V27" s="72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726"/>
      <c r="B28" s="726"/>
      <c r="C28" s="726"/>
      <c r="D28" s="726"/>
      <c r="E28" s="726"/>
      <c r="F28" s="726"/>
      <c r="G28" s="726"/>
      <c r="H28" s="726"/>
      <c r="I28" s="726"/>
      <c r="J28" s="726"/>
      <c r="K28" s="726"/>
      <c r="L28" s="726"/>
      <c r="M28" s="726"/>
      <c r="N28" s="726"/>
      <c r="O28" s="727"/>
      <c r="P28" s="723" t="s">
        <v>40</v>
      </c>
      <c r="Q28" s="724"/>
      <c r="R28" s="724"/>
      <c r="S28" s="724"/>
      <c r="T28" s="724"/>
      <c r="U28" s="724"/>
      <c r="V28" s="72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714" t="s">
        <v>95</v>
      </c>
      <c r="B29" s="714"/>
      <c r="C29" s="714"/>
      <c r="D29" s="714"/>
      <c r="E29" s="714"/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4"/>
      <c r="U29" s="714"/>
      <c r="V29" s="714"/>
      <c r="W29" s="714"/>
      <c r="X29" s="714"/>
      <c r="Y29" s="714"/>
      <c r="Z29" s="714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715">
        <v>4680115889262</v>
      </c>
      <c r="E30" s="715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715">
        <v>4680115889040</v>
      </c>
      <c r="E31" s="715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106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77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715">
        <v>4680115889590</v>
      </c>
      <c r="E39" s="71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122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123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124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50</v>
      </c>
      <c r="Y47" s="55">
        <f>IFERROR(IF(X47="",0,CEILING((X47/$H47),1)*$H47),"")</f>
        <v>54</v>
      </c>
      <c r="Z47" s="41">
        <f>IFERROR(IF(Y47=0,"",ROUNDUP(Y47/H47,0)*0.01898),"")</f>
        <v>9.4899999999999998E-2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51.898148148148145</v>
      </c>
      <c r="BN47" s="78">
        <f>IFERROR(Y47*I47/H47,"0")</f>
        <v>56.05</v>
      </c>
      <c r="BO47" s="78">
        <f>IFERROR(1/J47*(X47/H47),"0")</f>
        <v>7.2337962962962965E-2</v>
      </c>
      <c r="BP47" s="78">
        <f>IFERROR(1/J47*(Y47/H47),"0")</f>
        <v>7.8125E-2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60</v>
      </c>
      <c r="Y49" s="55">
        <f>IFERROR(IF(X49="",0,CEILING((X49/$H49),1)*$H49),"")</f>
        <v>60</v>
      </c>
      <c r="Z49" s="41">
        <f>IFERROR(IF(Y49=0,"",ROUNDUP(Y49/H49,0)*0.00902),"")</f>
        <v>0.1353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62.850000000000009</v>
      </c>
      <c r="BN49" s="78">
        <f>IFERROR(Y49*I49/H49,"0")</f>
        <v>62.850000000000009</v>
      </c>
      <c r="BO49" s="78">
        <f>IFERROR(1/J49*(X49/H49),"0")</f>
        <v>0.11363636363636365</v>
      </c>
      <c r="BP49" s="78">
        <f>IFERROR(1/J49*(Y49/H49),"0")</f>
        <v>0.11363636363636365</v>
      </c>
    </row>
    <row r="50" spans="1:68" ht="27" customHeight="1" x14ac:dyDescent="0.25">
      <c r="A50" s="63" t="s">
        <v>138</v>
      </c>
      <c r="B50" s="63" t="s">
        <v>139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518</v>
      </c>
      <c r="Y50" s="55">
        <f>IFERROR(IF(X50="",0,CEILING((X50/$H50),1)*$H50),"")</f>
        <v>518</v>
      </c>
      <c r="Z50" s="41">
        <f>IFERROR(IF(Y50=0,"",ROUNDUP(Y50/H50,0)*0.00902),"")</f>
        <v>1.2627999999999999</v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544.6</v>
      </c>
      <c r="BN50" s="78">
        <f>IFERROR(Y50*I50/H50,"0")</f>
        <v>544.6</v>
      </c>
      <c r="BO50" s="78">
        <f>IFERROR(1/J50*(X50/H50),"0")</f>
        <v>1.0606060606060606</v>
      </c>
      <c r="BP50" s="78">
        <f>IFERROR(1/J50*(Y50/H50),"0")</f>
        <v>1.0606060606060606</v>
      </c>
    </row>
    <row r="51" spans="1:68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2" t="s">
        <v>39</v>
      </c>
      <c r="X51" s="43">
        <f>IFERROR(X47/H47,"0")+IFERROR(X48/H48,"0")+IFERROR(X49/H49,"0")+IFERROR(X50/H50,"0")</f>
        <v>159.62962962962962</v>
      </c>
      <c r="Y51" s="43">
        <f>IFERROR(Y47/H47,"0")+IFERROR(Y48/H48,"0")+IFERROR(Y49/H49,"0")+IFERROR(Y50/H50,"0")</f>
        <v>160</v>
      </c>
      <c r="Z51" s="43">
        <f>IFERROR(IF(Z47="",0,Z47),"0")+IFERROR(IF(Z48="",0,Z48),"0")+IFERROR(IF(Z49="",0,Z49),"0")+IFERROR(IF(Z50="",0,Z50),"0")</f>
        <v>1.4929999999999999</v>
      </c>
      <c r="AA51" s="67"/>
      <c r="AB51" s="67"/>
      <c r="AC51" s="67"/>
    </row>
    <row r="52" spans="1:68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2" t="s">
        <v>0</v>
      </c>
      <c r="X52" s="43">
        <f>IFERROR(SUM(X47:X50),"0")</f>
        <v>628</v>
      </c>
      <c r="Y52" s="43">
        <f>IFERROR(SUM(Y47:Y50),"0")</f>
        <v>632</v>
      </c>
      <c r="Z52" s="42"/>
      <c r="AA52" s="67"/>
      <c r="AB52" s="67"/>
      <c r="AC52" s="67"/>
    </row>
    <row r="53" spans="1:68" ht="16.5" hidden="1" customHeight="1" x14ac:dyDescent="0.25">
      <c r="A53" s="713" t="s">
        <v>140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124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144</v>
      </c>
      <c r="B56" s="63" t="s">
        <v>145</v>
      </c>
      <c r="C56" s="36">
        <v>4301011816</v>
      </c>
      <c r="D56" s="715">
        <v>4680115881426</v>
      </c>
      <c r="E56" s="71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715">
        <v>4680115881525</v>
      </c>
      <c r="E59" s="71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270</v>
      </c>
      <c r="Y62" s="55">
        <f t="shared" si="0"/>
        <v>270</v>
      </c>
      <c r="Z62" s="41">
        <f>IFERROR(IF(Y62=0,"",ROUNDUP(Y62/H62,0)*0.00902),"")</f>
        <v>0.54120000000000001</v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281.40000000000003</v>
      </c>
      <c r="BN62" s="78">
        <f t="shared" si="2"/>
        <v>281.40000000000003</v>
      </c>
      <c r="BO62" s="78">
        <f t="shared" si="3"/>
        <v>0.45454545454545459</v>
      </c>
      <c r="BP62" s="78">
        <f t="shared" si="4"/>
        <v>0.45454545454545459</v>
      </c>
    </row>
    <row r="63" spans="1:68" x14ac:dyDescent="0.2">
      <c r="A63" s="726"/>
      <c r="B63" s="726"/>
      <c r="C63" s="726"/>
      <c r="D63" s="726"/>
      <c r="E63" s="726"/>
      <c r="F63" s="726"/>
      <c r="G63" s="726"/>
      <c r="H63" s="726"/>
      <c r="I63" s="726"/>
      <c r="J63" s="726"/>
      <c r="K63" s="726"/>
      <c r="L63" s="726"/>
      <c r="M63" s="726"/>
      <c r="N63" s="726"/>
      <c r="O63" s="727"/>
      <c r="P63" s="723" t="s">
        <v>40</v>
      </c>
      <c r="Q63" s="724"/>
      <c r="R63" s="724"/>
      <c r="S63" s="724"/>
      <c r="T63" s="724"/>
      <c r="U63" s="724"/>
      <c r="V63" s="72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60</v>
      </c>
      <c r="Y63" s="43">
        <f>IFERROR(Y55/H55,"0")+IFERROR(Y56/H56,"0")+IFERROR(Y57/H57,"0")+IFERROR(Y58/H58,"0")+IFERROR(Y59/H59,"0")+IFERROR(Y60/H60,"0")+IFERROR(Y61/H61,"0")+IFERROR(Y62/H62,"0")</f>
        <v>60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0.54120000000000001</v>
      </c>
      <c r="AA63" s="67"/>
      <c r="AB63" s="67"/>
      <c r="AC63" s="67"/>
    </row>
    <row r="64" spans="1:68" x14ac:dyDescent="0.2">
      <c r="A64" s="726"/>
      <c r="B64" s="726"/>
      <c r="C64" s="726"/>
      <c r="D64" s="726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7"/>
      <c r="P64" s="723" t="s">
        <v>40</v>
      </c>
      <c r="Q64" s="724"/>
      <c r="R64" s="724"/>
      <c r="S64" s="724"/>
      <c r="T64" s="724"/>
      <c r="U64" s="724"/>
      <c r="V64" s="725"/>
      <c r="W64" s="42" t="s">
        <v>0</v>
      </c>
      <c r="X64" s="43">
        <f>IFERROR(SUM(X55:X62),"0")</f>
        <v>270</v>
      </c>
      <c r="Y64" s="43">
        <f>IFERROR(SUM(Y55:Y62),"0")</f>
        <v>270</v>
      </c>
      <c r="Z64" s="42"/>
      <c r="AA64" s="67"/>
      <c r="AB64" s="67"/>
      <c r="AC64" s="67"/>
    </row>
    <row r="65" spans="1:68" ht="14.25" hidden="1" customHeight="1" x14ac:dyDescent="0.25">
      <c r="A65" s="714" t="s">
        <v>161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120</v>
      </c>
      <c r="Y66" s="55">
        <f>IFERROR(IF(X66="",0,CEILING((X66/$H66),1)*$H66),"")</f>
        <v>129.60000000000002</v>
      </c>
      <c r="Z66" s="41">
        <f>IFERROR(IF(Y66=0,"",ROUNDUP(Y66/H66,0)*0.01898),"")</f>
        <v>0.22776000000000002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124.55555555555556</v>
      </c>
      <c r="BN66" s="78">
        <f>IFERROR(Y66*I66/H66,"0")</f>
        <v>134.52000000000001</v>
      </c>
      <c r="BO66" s="78">
        <f>IFERROR(1/J66*(X66/H66),"0")</f>
        <v>0.1736111111111111</v>
      </c>
      <c r="BP66" s="78">
        <f>IFERROR(1/J66*(Y66/H66),"0")</f>
        <v>0.18750000000000003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748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54</v>
      </c>
      <c r="Y69" s="55">
        <f>IFERROR(IF(X69="",0,CEILING((X69/$H69),1)*$H69),"")</f>
        <v>54</v>
      </c>
      <c r="Z69" s="41">
        <f>IFERROR(IF(Y69=0,"",ROUNDUP(Y69/H69,0)*0.00651),"")</f>
        <v>0.13020000000000001</v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57.599999999999987</v>
      </c>
      <c r="BN69" s="78">
        <f>IFERROR(Y69*I69/H69,"0")</f>
        <v>57.599999999999987</v>
      </c>
      <c r="BO69" s="78">
        <f>IFERROR(1/J69*(X69/H69),"0")</f>
        <v>0.1098901098901099</v>
      </c>
      <c r="BP69" s="78">
        <f>IFERROR(1/J69*(Y69/H69),"0")</f>
        <v>0.1098901098901099</v>
      </c>
    </row>
    <row r="70" spans="1:68" x14ac:dyDescent="0.2">
      <c r="A70" s="726"/>
      <c r="B70" s="726"/>
      <c r="C70" s="726"/>
      <c r="D70" s="726"/>
      <c r="E70" s="726"/>
      <c r="F70" s="726"/>
      <c r="G70" s="726"/>
      <c r="H70" s="726"/>
      <c r="I70" s="726"/>
      <c r="J70" s="726"/>
      <c r="K70" s="726"/>
      <c r="L70" s="726"/>
      <c r="M70" s="726"/>
      <c r="N70" s="726"/>
      <c r="O70" s="727"/>
      <c r="P70" s="723" t="s">
        <v>40</v>
      </c>
      <c r="Q70" s="724"/>
      <c r="R70" s="724"/>
      <c r="S70" s="724"/>
      <c r="T70" s="724"/>
      <c r="U70" s="724"/>
      <c r="V70" s="725"/>
      <c r="W70" s="42" t="s">
        <v>39</v>
      </c>
      <c r="X70" s="43">
        <f>IFERROR(X66/H66,"0")+IFERROR(X67/H67,"0")+IFERROR(X68/H68,"0")+IFERROR(X69/H69,"0")</f>
        <v>31.111111111111111</v>
      </c>
      <c r="Y70" s="43">
        <f>IFERROR(Y66/H66,"0")+IFERROR(Y67/H67,"0")+IFERROR(Y68/H68,"0")+IFERROR(Y69/H69,"0")</f>
        <v>32</v>
      </c>
      <c r="Z70" s="43">
        <f>IFERROR(IF(Z66="",0,Z66),"0")+IFERROR(IF(Z67="",0,Z67),"0")+IFERROR(IF(Z68="",0,Z68),"0")+IFERROR(IF(Z69="",0,Z69),"0")</f>
        <v>0.35796000000000006</v>
      </c>
      <c r="AA70" s="67"/>
      <c r="AB70" s="67"/>
      <c r="AC70" s="67"/>
    </row>
    <row r="71" spans="1:68" x14ac:dyDescent="0.2">
      <c r="A71" s="726"/>
      <c r="B71" s="726"/>
      <c r="C71" s="726"/>
      <c r="D71" s="726"/>
      <c r="E71" s="726"/>
      <c r="F71" s="726"/>
      <c r="G71" s="726"/>
      <c r="H71" s="726"/>
      <c r="I71" s="726"/>
      <c r="J71" s="726"/>
      <c r="K71" s="726"/>
      <c r="L71" s="726"/>
      <c r="M71" s="726"/>
      <c r="N71" s="726"/>
      <c r="O71" s="727"/>
      <c r="P71" s="723" t="s">
        <v>40</v>
      </c>
      <c r="Q71" s="724"/>
      <c r="R71" s="724"/>
      <c r="S71" s="724"/>
      <c r="T71" s="724"/>
      <c r="U71" s="724"/>
      <c r="V71" s="725"/>
      <c r="W71" s="42" t="s">
        <v>0</v>
      </c>
      <c r="X71" s="43">
        <f>IFERROR(SUM(X66:X69),"0")</f>
        <v>174</v>
      </c>
      <c r="Y71" s="43">
        <f>IFERROR(SUM(Y66:Y69),"0")</f>
        <v>183.60000000000002</v>
      </c>
      <c r="Z71" s="42"/>
      <c r="AA71" s="67"/>
      <c r="AB71" s="67"/>
      <c r="AC71" s="67"/>
    </row>
    <row r="72" spans="1:68" ht="14.25" hidden="1" customHeight="1" x14ac:dyDescent="0.25">
      <c r="A72" s="714" t="s">
        <v>77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6"/>
      <c r="B75" s="726"/>
      <c r="C75" s="726"/>
      <c r="D75" s="726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7"/>
      <c r="P75" s="723" t="s">
        <v>40</v>
      </c>
      <c r="Q75" s="724"/>
      <c r="R75" s="724"/>
      <c r="S75" s="724"/>
      <c r="T75" s="724"/>
      <c r="U75" s="724"/>
      <c r="V75" s="72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6"/>
      <c r="B76" s="726"/>
      <c r="C76" s="726"/>
      <c r="D76" s="726"/>
      <c r="E76" s="726"/>
      <c r="F76" s="726"/>
      <c r="G76" s="726"/>
      <c r="H76" s="726"/>
      <c r="I76" s="726"/>
      <c r="J76" s="726"/>
      <c r="K76" s="726"/>
      <c r="L76" s="726"/>
      <c r="M76" s="726"/>
      <c r="N76" s="726"/>
      <c r="O76" s="727"/>
      <c r="P76" s="723" t="s">
        <v>40</v>
      </c>
      <c r="Q76" s="724"/>
      <c r="R76" s="724"/>
      <c r="S76" s="724"/>
      <c r="T76" s="724"/>
      <c r="U76" s="724"/>
      <c r="V76" s="72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179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715">
        <v>4680115881532</v>
      </c>
      <c r="E79" s="715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715">
        <v>4680115881464</v>
      </c>
      <c r="E80" s="71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7"/>
      <c r="R80" s="717"/>
      <c r="S80" s="717"/>
      <c r="T80" s="71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6"/>
      <c r="B81" s="726"/>
      <c r="C81" s="726"/>
      <c r="D81" s="726"/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7"/>
      <c r="P81" s="723" t="s">
        <v>40</v>
      </c>
      <c r="Q81" s="724"/>
      <c r="R81" s="724"/>
      <c r="S81" s="724"/>
      <c r="T81" s="724"/>
      <c r="U81" s="724"/>
      <c r="V81" s="72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6"/>
      <c r="B82" s="726"/>
      <c r="C82" s="726"/>
      <c r="D82" s="726"/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7"/>
      <c r="P82" s="723" t="s">
        <v>40</v>
      </c>
      <c r="Q82" s="724"/>
      <c r="R82" s="724"/>
      <c r="S82" s="724"/>
      <c r="T82" s="724"/>
      <c r="U82" s="724"/>
      <c r="V82" s="72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3" t="s">
        <v>187</v>
      </c>
      <c r="B83" s="713"/>
      <c r="C83" s="713"/>
      <c r="D83" s="713"/>
      <c r="E83" s="713"/>
      <c r="F83" s="713"/>
      <c r="G83" s="713"/>
      <c r="H83" s="713"/>
      <c r="I83" s="713"/>
      <c r="J83" s="713"/>
      <c r="K83" s="713"/>
      <c r="L83" s="713"/>
      <c r="M83" s="713"/>
      <c r="N83" s="713"/>
      <c r="O83" s="713"/>
      <c r="P83" s="713"/>
      <c r="Q83" s="713"/>
      <c r="R83" s="713"/>
      <c r="S83" s="713"/>
      <c r="T83" s="713"/>
      <c r="U83" s="713"/>
      <c r="V83" s="713"/>
      <c r="W83" s="713"/>
      <c r="X83" s="713"/>
      <c r="Y83" s="713"/>
      <c r="Z83" s="713"/>
      <c r="AA83" s="65"/>
      <c r="AB83" s="65"/>
      <c r="AC83" s="79"/>
    </row>
    <row r="84" spans="1:68" ht="14.25" hidden="1" customHeight="1" x14ac:dyDescent="0.25">
      <c r="A84" s="714" t="s">
        <v>124</v>
      </c>
      <c r="B84" s="714"/>
      <c r="C84" s="714"/>
      <c r="D84" s="714"/>
      <c r="E84" s="714"/>
      <c r="F84" s="714"/>
      <c r="G84" s="714"/>
      <c r="H84" s="714"/>
      <c r="I84" s="714"/>
      <c r="J84" s="714"/>
      <c r="K84" s="714"/>
      <c r="L84" s="714"/>
      <c r="M84" s="714"/>
      <c r="N84" s="714"/>
      <c r="O84" s="714"/>
      <c r="P84" s="714"/>
      <c r="Q84" s="714"/>
      <c r="R84" s="714"/>
      <c r="S84" s="714"/>
      <c r="T84" s="714"/>
      <c r="U84" s="714"/>
      <c r="V84" s="714"/>
      <c r="W84" s="714"/>
      <c r="X84" s="714"/>
      <c r="Y84" s="714"/>
      <c r="Z84" s="714"/>
      <c r="AA84" s="66"/>
      <c r="AB84" s="66"/>
      <c r="AC84" s="80"/>
    </row>
    <row r="85" spans="1:68" ht="27" hidden="1" customHeight="1" x14ac:dyDescent="0.25">
      <c r="A85" s="63" t="s">
        <v>188</v>
      </c>
      <c r="B85" s="63" t="s">
        <v>189</v>
      </c>
      <c r="C85" s="36">
        <v>4301011468</v>
      </c>
      <c r="D85" s="715">
        <v>4680115881327</v>
      </c>
      <c r="E85" s="71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715">
        <v>4680115881327</v>
      </c>
      <c r="E86" s="71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715">
        <v>4680115887732</v>
      </c>
      <c r="E87" s="71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715">
        <v>4680115881518</v>
      </c>
      <c r="E88" s="71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7"/>
      <c r="R88" s="717"/>
      <c r="S88" s="717"/>
      <c r="T88" s="718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715">
        <v>4680115881518</v>
      </c>
      <c r="E89" s="715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715">
        <v>4680115881303</v>
      </c>
      <c r="E90" s="715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270</v>
      </c>
      <c r="Y90" s="55">
        <f t="shared" si="5"/>
        <v>270</v>
      </c>
      <c r="Z90" s="41">
        <f>IFERROR(IF(Y90=0,"",ROUNDUP(Y90/H90,0)*0.00902),"")</f>
        <v>0.54120000000000001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281.40000000000003</v>
      </c>
      <c r="BN90" s="78">
        <f t="shared" si="7"/>
        <v>281.40000000000003</v>
      </c>
      <c r="BO90" s="78">
        <f t="shared" si="8"/>
        <v>0.45454545454545459</v>
      </c>
      <c r="BP90" s="78">
        <f t="shared" si="9"/>
        <v>0.45454545454545459</v>
      </c>
    </row>
    <row r="91" spans="1:68" x14ac:dyDescent="0.2">
      <c r="A91" s="726"/>
      <c r="B91" s="726"/>
      <c r="C91" s="726"/>
      <c r="D91" s="726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7"/>
      <c r="P91" s="723" t="s">
        <v>40</v>
      </c>
      <c r="Q91" s="724"/>
      <c r="R91" s="724"/>
      <c r="S91" s="724"/>
      <c r="T91" s="724"/>
      <c r="U91" s="724"/>
      <c r="V91" s="725"/>
      <c r="W91" s="42" t="s">
        <v>39</v>
      </c>
      <c r="X91" s="43">
        <f>IFERROR(X85/H85,"0")+IFERROR(X86/H86,"0")+IFERROR(X87/H87,"0")+IFERROR(X88/H88,"0")+IFERROR(X89/H89,"0")+IFERROR(X90/H90,"0")</f>
        <v>60</v>
      </c>
      <c r="Y91" s="43">
        <f>IFERROR(Y85/H85,"0")+IFERROR(Y86/H86,"0")+IFERROR(Y87/H87,"0")+IFERROR(Y88/H88,"0")+IFERROR(Y89/H89,"0")+IFERROR(Y90/H90,"0")</f>
        <v>60</v>
      </c>
      <c r="Z91" s="43">
        <f>IFERROR(IF(Z85="",0,Z85),"0")+IFERROR(IF(Z86="",0,Z86),"0")+IFERROR(IF(Z87="",0,Z87),"0")+IFERROR(IF(Z88="",0,Z88),"0")+IFERROR(IF(Z89="",0,Z89),"0")+IFERROR(IF(Z90="",0,Z90),"0")</f>
        <v>0.54120000000000001</v>
      </c>
      <c r="AA91" s="67"/>
      <c r="AB91" s="67"/>
      <c r="AC91" s="67"/>
    </row>
    <row r="92" spans="1:68" x14ac:dyDescent="0.2">
      <c r="A92" s="726"/>
      <c r="B92" s="726"/>
      <c r="C92" s="726"/>
      <c r="D92" s="726"/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7"/>
      <c r="P92" s="723" t="s">
        <v>40</v>
      </c>
      <c r="Q92" s="724"/>
      <c r="R92" s="724"/>
      <c r="S92" s="724"/>
      <c r="T92" s="724"/>
      <c r="U92" s="724"/>
      <c r="V92" s="725"/>
      <c r="W92" s="42" t="s">
        <v>0</v>
      </c>
      <c r="X92" s="43">
        <f>IFERROR(SUM(X85:X90),"0")</f>
        <v>270</v>
      </c>
      <c r="Y92" s="43">
        <f>IFERROR(SUM(Y85:Y90),"0")</f>
        <v>270</v>
      </c>
      <c r="Z92" s="42"/>
      <c r="AA92" s="67"/>
      <c r="AB92" s="67"/>
      <c r="AC92" s="67"/>
    </row>
    <row r="93" spans="1:68" ht="14.25" hidden="1" customHeight="1" x14ac:dyDescent="0.25">
      <c r="A93" s="714" t="s">
        <v>77</v>
      </c>
      <c r="B93" s="714"/>
      <c r="C93" s="714"/>
      <c r="D93" s="714"/>
      <c r="E93" s="714"/>
      <c r="F93" s="714"/>
      <c r="G93" s="714"/>
      <c r="H93" s="714"/>
      <c r="I93" s="714"/>
      <c r="J93" s="714"/>
      <c r="K93" s="714"/>
      <c r="L93" s="714"/>
      <c r="M93" s="714"/>
      <c r="N93" s="714"/>
      <c r="O93" s="714"/>
      <c r="P93" s="714"/>
      <c r="Q93" s="714"/>
      <c r="R93" s="714"/>
      <c r="S93" s="714"/>
      <c r="T93" s="714"/>
      <c r="U93" s="714"/>
      <c r="V93" s="714"/>
      <c r="W93" s="714"/>
      <c r="X93" s="714"/>
      <c r="Y93" s="714"/>
      <c r="Z93" s="714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715">
        <v>4607091386967</v>
      </c>
      <c r="E94" s="71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180</v>
      </c>
      <c r="Y94" s="55">
        <f>IFERROR(IF(X94="",0,CEILING((X94/$H94),1)*$H94),"")</f>
        <v>186.29999999999998</v>
      </c>
      <c r="Z94" s="41">
        <f>IFERROR(IF(Y94=0,"",ROUNDUP(Y94/H94,0)*0.01898),"")</f>
        <v>0.43653999999999998</v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190.97777777777776</v>
      </c>
      <c r="BN94" s="78">
        <f>IFERROR(Y94*I94/H94,"0")</f>
        <v>197.66199999999998</v>
      </c>
      <c r="BO94" s="78">
        <f>IFERROR(1/J94*(X94/H94),"0")</f>
        <v>0.34722222222222221</v>
      </c>
      <c r="BP94" s="78">
        <f>IFERROR(1/J94*(Y94/H94),"0")</f>
        <v>0.359375</v>
      </c>
    </row>
    <row r="95" spans="1:68" ht="27" customHeight="1" x14ac:dyDescent="0.25">
      <c r="A95" s="63" t="s">
        <v>203</v>
      </c>
      <c r="B95" s="63" t="s">
        <v>204</v>
      </c>
      <c r="C95" s="36">
        <v>4301052090</v>
      </c>
      <c r="D95" s="715">
        <v>4680115884953</v>
      </c>
      <c r="E95" s="71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7"/>
      <c r="R95" s="717"/>
      <c r="S95" s="717"/>
      <c r="T95" s="718"/>
      <c r="U95" s="39" t="s">
        <v>46</v>
      </c>
      <c r="V95" s="39" t="s">
        <v>46</v>
      </c>
      <c r="W95" s="40" t="s">
        <v>0</v>
      </c>
      <c r="X95" s="58">
        <v>355</v>
      </c>
      <c r="Y95" s="55">
        <f>IFERROR(IF(X95="",0,CEILING((X95/$H95),1)*$H95),"")</f>
        <v>355.20000000000005</v>
      </c>
      <c r="Z95" s="41">
        <f>IFERROR(IF(Y95=0,"",ROUNDUP(Y95/H95,0)*0.00651),"")</f>
        <v>1.0416000000000001</v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395.29729729729723</v>
      </c>
      <c r="BN95" s="78">
        <f>IFERROR(Y95*I95/H95,"0")</f>
        <v>395.52000000000004</v>
      </c>
      <c r="BO95" s="78">
        <f>IFERROR(1/J95*(X95/H95),"0")</f>
        <v>0.8786258786258786</v>
      </c>
      <c r="BP95" s="78">
        <f>IFERROR(1/J95*(Y95/H95),"0")</f>
        <v>0.87912087912087922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715">
        <v>4607091385731</v>
      </c>
      <c r="E96" s="71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7"/>
      <c r="R96" s="717"/>
      <c r="S96" s="717"/>
      <c r="T96" s="718"/>
      <c r="U96" s="39" t="s">
        <v>46</v>
      </c>
      <c r="V96" s="39" t="s">
        <v>46</v>
      </c>
      <c r="W96" s="40" t="s">
        <v>0</v>
      </c>
      <c r="X96" s="58">
        <v>315</v>
      </c>
      <c r="Y96" s="55">
        <f>IFERROR(IF(X96="",0,CEILING((X96/$H96),1)*$H96),"")</f>
        <v>315.90000000000003</v>
      </c>
      <c r="Z96" s="41">
        <f>IFERROR(IF(Y96=0,"",ROUNDUP(Y96/H96,0)*0.00651),"")</f>
        <v>0.76167000000000007</v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344.4</v>
      </c>
      <c r="BN96" s="78">
        <f>IFERROR(Y96*I96/H96,"0")</f>
        <v>345.38400000000001</v>
      </c>
      <c r="BO96" s="78">
        <f>IFERROR(1/J96*(X96/H96),"0")</f>
        <v>0.64102564102564097</v>
      </c>
      <c r="BP96" s="78">
        <f>IFERROR(1/J96*(Y96/H96),"0")</f>
        <v>0.6428571428571429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715">
        <v>4680115880894</v>
      </c>
      <c r="E97" s="715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7"/>
      <c r="R97" s="717"/>
      <c r="S97" s="717"/>
      <c r="T97" s="71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6"/>
      <c r="B98" s="726"/>
      <c r="C98" s="726"/>
      <c r="D98" s="726"/>
      <c r="E98" s="726"/>
      <c r="F98" s="726"/>
      <c r="G98" s="726"/>
      <c r="H98" s="726"/>
      <c r="I98" s="726"/>
      <c r="J98" s="726"/>
      <c r="K98" s="726"/>
      <c r="L98" s="726"/>
      <c r="M98" s="726"/>
      <c r="N98" s="726"/>
      <c r="O98" s="727"/>
      <c r="P98" s="723" t="s">
        <v>40</v>
      </c>
      <c r="Q98" s="724"/>
      <c r="R98" s="724"/>
      <c r="S98" s="724"/>
      <c r="T98" s="724"/>
      <c r="U98" s="724"/>
      <c r="V98" s="725"/>
      <c r="W98" s="42" t="s">
        <v>39</v>
      </c>
      <c r="X98" s="43">
        <f>IFERROR(X94/H94,"0")+IFERROR(X95/H95,"0")+IFERROR(X96/H96,"0")+IFERROR(X97/H97,"0")</f>
        <v>298.79879879879877</v>
      </c>
      <c r="Y98" s="43">
        <f>IFERROR(Y94/H94,"0")+IFERROR(Y95/H95,"0")+IFERROR(Y96/H96,"0")+IFERROR(Y97/H97,"0")</f>
        <v>300</v>
      </c>
      <c r="Z98" s="43">
        <f>IFERROR(IF(Z94="",0,Z94),"0")+IFERROR(IF(Z95="",0,Z95),"0")+IFERROR(IF(Z96="",0,Z96),"0")+IFERROR(IF(Z97="",0,Z97),"0")</f>
        <v>2.2398100000000003</v>
      </c>
      <c r="AA98" s="67"/>
      <c r="AB98" s="67"/>
      <c r="AC98" s="67"/>
    </row>
    <row r="99" spans="1:68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2" t="s">
        <v>0</v>
      </c>
      <c r="X99" s="43">
        <f>IFERROR(SUM(X94:X97),"0")</f>
        <v>850</v>
      </c>
      <c r="Y99" s="43">
        <f>IFERROR(SUM(Y94:Y97),"0")</f>
        <v>857.40000000000009</v>
      </c>
      <c r="Z99" s="42"/>
      <c r="AA99" s="67"/>
      <c r="AB99" s="67"/>
      <c r="AC99" s="67"/>
    </row>
    <row r="100" spans="1:68" ht="16.5" hidden="1" customHeight="1" x14ac:dyDescent="0.25">
      <c r="A100" s="713" t="s">
        <v>211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5"/>
      <c r="AB100" s="65"/>
      <c r="AC100" s="79"/>
    </row>
    <row r="101" spans="1:68" ht="14.25" hidden="1" customHeight="1" x14ac:dyDescent="0.25">
      <c r="A101" s="714" t="s">
        <v>124</v>
      </c>
      <c r="B101" s="714"/>
      <c r="C101" s="714"/>
      <c r="D101" s="714"/>
      <c r="E101" s="714"/>
      <c r="F101" s="714"/>
      <c r="G101" s="714"/>
      <c r="H101" s="714"/>
      <c r="I101" s="714"/>
      <c r="J101" s="714"/>
      <c r="K101" s="714"/>
      <c r="L101" s="714"/>
      <c r="M101" s="714"/>
      <c r="N101" s="714"/>
      <c r="O101" s="714"/>
      <c r="P101" s="714"/>
      <c r="Q101" s="714"/>
      <c r="R101" s="714"/>
      <c r="S101" s="714"/>
      <c r="T101" s="714"/>
      <c r="U101" s="714"/>
      <c r="V101" s="714"/>
      <c r="W101" s="714"/>
      <c r="X101" s="714"/>
      <c r="Y101" s="714"/>
      <c r="Z101" s="714"/>
      <c r="AA101" s="66"/>
      <c r="AB101" s="66"/>
      <c r="AC101" s="80"/>
    </row>
    <row r="102" spans="1:68" ht="37.5" hidden="1" customHeight="1" x14ac:dyDescent="0.25">
      <c r="A102" s="63" t="s">
        <v>212</v>
      </c>
      <c r="B102" s="63" t="s">
        <v>213</v>
      </c>
      <c r="C102" s="36">
        <v>4301011514</v>
      </c>
      <c r="D102" s="715">
        <v>4680115882133</v>
      </c>
      <c r="E102" s="715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0</v>
      </c>
      <c r="BN102" s="78">
        <f t="shared" ref="BN102:BN108" si="12">IFERROR(Y102*I102/H102,"0")</f>
        <v>0</v>
      </c>
      <c r="BO102" s="78">
        <f t="shared" ref="BO102:BO108" si="13">IFERROR(1/J102*(X102/H102),"0")</f>
        <v>0</v>
      </c>
      <c r="BP102" s="78">
        <f t="shared" ref="BP102:BP108" si="14">IFERROR(1/J102*(Y102/H102),"0")</f>
        <v>0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715">
        <v>4680115882133</v>
      </c>
      <c r="E103" s="71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715">
        <v>4680115887718</v>
      </c>
      <c r="E104" s="715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715">
        <v>4680115880269</v>
      </c>
      <c r="E105" s="715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715">
        <v>4680115880429</v>
      </c>
      <c r="E106" s="715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270</v>
      </c>
      <c r="Y106" s="55">
        <f t="shared" si="10"/>
        <v>270</v>
      </c>
      <c r="Z106" s="41">
        <f>IFERROR(IF(Y106=0,"",ROUNDUP(Y106/H106,0)*0.00902),"")</f>
        <v>0.54120000000000001</v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281.40000000000003</v>
      </c>
      <c r="BN106" s="78">
        <f t="shared" si="12"/>
        <v>281.40000000000003</v>
      </c>
      <c r="BO106" s="78">
        <f t="shared" si="13"/>
        <v>0.45454545454545459</v>
      </c>
      <c r="BP106" s="78">
        <f t="shared" si="14"/>
        <v>0.45454545454545459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715">
        <v>4680115881457</v>
      </c>
      <c r="E107" s="715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715">
        <v>4680115889477</v>
      </c>
      <c r="E108" s="715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726"/>
      <c r="B109" s="726"/>
      <c r="C109" s="726"/>
      <c r="D109" s="726"/>
      <c r="E109" s="726"/>
      <c r="F109" s="726"/>
      <c r="G109" s="726"/>
      <c r="H109" s="726"/>
      <c r="I109" s="726"/>
      <c r="J109" s="726"/>
      <c r="K109" s="726"/>
      <c r="L109" s="726"/>
      <c r="M109" s="726"/>
      <c r="N109" s="726"/>
      <c r="O109" s="727"/>
      <c r="P109" s="723" t="s">
        <v>40</v>
      </c>
      <c r="Q109" s="724"/>
      <c r="R109" s="724"/>
      <c r="S109" s="724"/>
      <c r="T109" s="724"/>
      <c r="U109" s="724"/>
      <c r="V109" s="725"/>
      <c r="W109" s="42" t="s">
        <v>39</v>
      </c>
      <c r="X109" s="43">
        <f>IFERROR(X102/H102,"0")+IFERROR(X103/H103,"0")+IFERROR(X104/H104,"0")+IFERROR(X105/H105,"0")+IFERROR(X106/H106,"0")+IFERROR(X107/H107,"0")+IFERROR(X108/H108,"0")</f>
        <v>60</v>
      </c>
      <c r="Y109" s="43">
        <f>IFERROR(Y102/H102,"0")+IFERROR(Y103/H103,"0")+IFERROR(Y104/H104,"0")+IFERROR(Y105/H105,"0")+IFERROR(Y106/H106,"0")+IFERROR(Y107/H107,"0")+IFERROR(Y108/H108,"0")</f>
        <v>60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0.54120000000000001</v>
      </c>
      <c r="AA109" s="67"/>
      <c r="AB109" s="67"/>
      <c r="AC109" s="67"/>
    </row>
    <row r="110" spans="1:68" x14ac:dyDescent="0.2">
      <c r="A110" s="726"/>
      <c r="B110" s="726"/>
      <c r="C110" s="726"/>
      <c r="D110" s="726"/>
      <c r="E110" s="726"/>
      <c r="F110" s="726"/>
      <c r="G110" s="726"/>
      <c r="H110" s="726"/>
      <c r="I110" s="726"/>
      <c r="J110" s="726"/>
      <c r="K110" s="726"/>
      <c r="L110" s="726"/>
      <c r="M110" s="726"/>
      <c r="N110" s="726"/>
      <c r="O110" s="727"/>
      <c r="P110" s="723" t="s">
        <v>40</v>
      </c>
      <c r="Q110" s="724"/>
      <c r="R110" s="724"/>
      <c r="S110" s="724"/>
      <c r="T110" s="724"/>
      <c r="U110" s="724"/>
      <c r="V110" s="725"/>
      <c r="W110" s="42" t="s">
        <v>0</v>
      </c>
      <c r="X110" s="43">
        <f>IFERROR(SUM(X102:X108),"0")</f>
        <v>270</v>
      </c>
      <c r="Y110" s="43">
        <f>IFERROR(SUM(Y102:Y108),"0")</f>
        <v>270</v>
      </c>
      <c r="Z110" s="42"/>
      <c r="AA110" s="67"/>
      <c r="AB110" s="67"/>
      <c r="AC110" s="67"/>
    </row>
    <row r="111" spans="1:68" ht="14.25" hidden="1" customHeight="1" x14ac:dyDescent="0.25">
      <c r="A111" s="714" t="s">
        <v>161</v>
      </c>
      <c r="B111" s="714"/>
      <c r="C111" s="714"/>
      <c r="D111" s="714"/>
      <c r="E111" s="714"/>
      <c r="F111" s="714"/>
      <c r="G111" s="714"/>
      <c r="H111" s="714"/>
      <c r="I111" s="714"/>
      <c r="J111" s="714"/>
      <c r="K111" s="714"/>
      <c r="L111" s="714"/>
      <c r="M111" s="714"/>
      <c r="N111" s="714"/>
      <c r="O111" s="714"/>
      <c r="P111" s="714"/>
      <c r="Q111" s="714"/>
      <c r="R111" s="714"/>
      <c r="S111" s="714"/>
      <c r="T111" s="714"/>
      <c r="U111" s="714"/>
      <c r="V111" s="714"/>
      <c r="W111" s="714"/>
      <c r="X111" s="714"/>
      <c r="Y111" s="714"/>
      <c r="Z111" s="714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715">
        <v>4680115881488</v>
      </c>
      <c r="E112" s="715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715">
        <v>4680115882775</v>
      </c>
      <c r="E113" s="715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77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715">
        <v>4680115880658</v>
      </c>
      <c r="E114" s="715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717"/>
      <c r="R114" s="717"/>
      <c r="S114" s="717"/>
      <c r="T114" s="71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726"/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7"/>
      <c r="P115" s="723" t="s">
        <v>40</v>
      </c>
      <c r="Q115" s="724"/>
      <c r="R115" s="724"/>
      <c r="S115" s="724"/>
      <c r="T115" s="724"/>
      <c r="U115" s="724"/>
      <c r="V115" s="72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726"/>
      <c r="B116" s="726"/>
      <c r="C116" s="726"/>
      <c r="D116" s="726"/>
      <c r="E116" s="726"/>
      <c r="F116" s="726"/>
      <c r="G116" s="726"/>
      <c r="H116" s="726"/>
      <c r="I116" s="726"/>
      <c r="J116" s="726"/>
      <c r="K116" s="726"/>
      <c r="L116" s="726"/>
      <c r="M116" s="726"/>
      <c r="N116" s="726"/>
      <c r="O116" s="727"/>
      <c r="P116" s="723" t="s">
        <v>40</v>
      </c>
      <c r="Q116" s="724"/>
      <c r="R116" s="724"/>
      <c r="S116" s="724"/>
      <c r="T116" s="724"/>
      <c r="U116" s="724"/>
      <c r="V116" s="72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714" t="s">
        <v>77</v>
      </c>
      <c r="B117" s="714"/>
      <c r="C117" s="714"/>
      <c r="D117" s="714"/>
      <c r="E117" s="714"/>
      <c r="F117" s="714"/>
      <c r="G117" s="714"/>
      <c r="H117" s="714"/>
      <c r="I117" s="714"/>
      <c r="J117" s="714"/>
      <c r="K117" s="714"/>
      <c r="L117" s="714"/>
      <c r="M117" s="714"/>
      <c r="N117" s="714"/>
      <c r="O117" s="714"/>
      <c r="P117" s="714"/>
      <c r="Q117" s="714"/>
      <c r="R117" s="714"/>
      <c r="S117" s="714"/>
      <c r="T117" s="714"/>
      <c r="U117" s="714"/>
      <c r="V117" s="714"/>
      <c r="W117" s="714"/>
      <c r="X117" s="714"/>
      <c r="Y117" s="714"/>
      <c r="Z117" s="714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715">
        <v>4607091385168</v>
      </c>
      <c r="E118" s="715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100</v>
      </c>
      <c r="Y118" s="55">
        <f>IFERROR(IF(X118="",0,CEILING((X118/$H118),1)*$H118),"")</f>
        <v>105.3</v>
      </c>
      <c r="Z118" s="41">
        <f>IFERROR(IF(Y118=0,"",ROUNDUP(Y118/H118,0)*0.01898),"")</f>
        <v>0.24674000000000001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106.0246913580247</v>
      </c>
      <c r="BN118" s="78">
        <f>IFERROR(Y118*I118/H118,"0")</f>
        <v>111.64399999999999</v>
      </c>
      <c r="BO118" s="78">
        <f>IFERROR(1/J118*(X118/H118),"0")</f>
        <v>0.19290123456790123</v>
      </c>
      <c r="BP118" s="78">
        <f>IFERROR(1/J118*(Y118/H118),"0")</f>
        <v>0.203125</v>
      </c>
    </row>
    <row r="119" spans="1:68" ht="27" customHeight="1" x14ac:dyDescent="0.25">
      <c r="A119" s="63" t="s">
        <v>240</v>
      </c>
      <c r="B119" s="63" t="s">
        <v>241</v>
      </c>
      <c r="C119" s="36">
        <v>4301052087</v>
      </c>
      <c r="D119" s="715">
        <v>4607091383256</v>
      </c>
      <c r="E119" s="715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7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317</v>
      </c>
      <c r="Y119" s="55">
        <f>IFERROR(IF(X119="",0,CEILING((X119/$H119),1)*$H119),"")</f>
        <v>318.77999999999997</v>
      </c>
      <c r="Z119" s="41">
        <f>IFERROR(IF(Y119=0,"",ROUNDUP(Y119/H119,0)*0.00651),"")</f>
        <v>1.0481100000000001</v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356.38484848484848</v>
      </c>
      <c r="BN119" s="78">
        <f>IFERROR(Y119*I119/H119,"0")</f>
        <v>358.38599999999997</v>
      </c>
      <c r="BO119" s="78">
        <f>IFERROR(1/J119*(X119/H119),"0")</f>
        <v>0.87967587967587979</v>
      </c>
      <c r="BP119" s="78">
        <f>IFERROR(1/J119*(Y119/H119),"0")</f>
        <v>0.88461538461538469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715">
        <v>4607091385748</v>
      </c>
      <c r="E120" s="715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7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180</v>
      </c>
      <c r="Y120" s="55">
        <f>IFERROR(IF(X120="",0,CEILING((X120/$H120),1)*$H120),"")</f>
        <v>180.9</v>
      </c>
      <c r="Z120" s="41">
        <f>IFERROR(IF(Y120=0,"",ROUNDUP(Y120/H120,0)*0.00651),"")</f>
        <v>0.43617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196.79999999999998</v>
      </c>
      <c r="BN120" s="78">
        <f>IFERROR(Y120*I120/H120,"0")</f>
        <v>197.78399999999999</v>
      </c>
      <c r="BO120" s="78">
        <f>IFERROR(1/J120*(X120/H120),"0")</f>
        <v>0.36630036630036628</v>
      </c>
      <c r="BP120" s="78">
        <f>IFERROR(1/J120*(Y120/H120),"0")</f>
        <v>0.36813186813186816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715">
        <v>4680115884533</v>
      </c>
      <c r="E121" s="715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7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717"/>
      <c r="R121" s="717"/>
      <c r="S121" s="717"/>
      <c r="T121" s="71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726"/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7"/>
      <c r="P122" s="723" t="s">
        <v>40</v>
      </c>
      <c r="Q122" s="724"/>
      <c r="R122" s="724"/>
      <c r="S122" s="724"/>
      <c r="T122" s="724"/>
      <c r="U122" s="724"/>
      <c r="V122" s="725"/>
      <c r="W122" s="42" t="s">
        <v>39</v>
      </c>
      <c r="X122" s="43">
        <f>IFERROR(X118/H118,"0")+IFERROR(X119/H119,"0")+IFERROR(X120/H120,"0")+IFERROR(X121/H121,"0")</f>
        <v>239.11335578002243</v>
      </c>
      <c r="Y122" s="43">
        <f>IFERROR(Y118/H118,"0")+IFERROR(Y119/H119,"0")+IFERROR(Y120/H120,"0")+IFERROR(Y121/H121,"0")</f>
        <v>241</v>
      </c>
      <c r="Z122" s="43">
        <f>IFERROR(IF(Z118="",0,Z118),"0")+IFERROR(IF(Z119="",0,Z119),"0")+IFERROR(IF(Z120="",0,Z120),"0")+IFERROR(IF(Z121="",0,Z121),"0")</f>
        <v>1.73102</v>
      </c>
      <c r="AA122" s="67"/>
      <c r="AB122" s="67"/>
      <c r="AC122" s="67"/>
    </row>
    <row r="123" spans="1:68" x14ac:dyDescent="0.2">
      <c r="A123" s="726"/>
      <c r="B123" s="726"/>
      <c r="C123" s="726"/>
      <c r="D123" s="726"/>
      <c r="E123" s="726"/>
      <c r="F123" s="726"/>
      <c r="G123" s="726"/>
      <c r="H123" s="726"/>
      <c r="I123" s="726"/>
      <c r="J123" s="726"/>
      <c r="K123" s="726"/>
      <c r="L123" s="726"/>
      <c r="M123" s="726"/>
      <c r="N123" s="726"/>
      <c r="O123" s="727"/>
      <c r="P123" s="723" t="s">
        <v>40</v>
      </c>
      <c r="Q123" s="724"/>
      <c r="R123" s="724"/>
      <c r="S123" s="724"/>
      <c r="T123" s="724"/>
      <c r="U123" s="724"/>
      <c r="V123" s="725"/>
      <c r="W123" s="42" t="s">
        <v>0</v>
      </c>
      <c r="X123" s="43">
        <f>IFERROR(SUM(X118:X121),"0")</f>
        <v>597</v>
      </c>
      <c r="Y123" s="43">
        <f>IFERROR(SUM(Y118:Y121),"0")</f>
        <v>604.98</v>
      </c>
      <c r="Z123" s="42"/>
      <c r="AA123" s="67"/>
      <c r="AB123" s="67"/>
      <c r="AC123" s="67"/>
    </row>
    <row r="124" spans="1:68" ht="14.25" hidden="1" customHeight="1" x14ac:dyDescent="0.25">
      <c r="A124" s="714" t="s">
        <v>179</v>
      </c>
      <c r="B124" s="714"/>
      <c r="C124" s="714"/>
      <c r="D124" s="714"/>
      <c r="E124" s="714"/>
      <c r="F124" s="714"/>
      <c r="G124" s="714"/>
      <c r="H124" s="714"/>
      <c r="I124" s="714"/>
      <c r="J124" s="714"/>
      <c r="K124" s="714"/>
      <c r="L124" s="714"/>
      <c r="M124" s="714"/>
      <c r="N124" s="714"/>
      <c r="O124" s="714"/>
      <c r="P124" s="714"/>
      <c r="Q124" s="714"/>
      <c r="R124" s="714"/>
      <c r="S124" s="714"/>
      <c r="T124" s="714"/>
      <c r="U124" s="714"/>
      <c r="V124" s="714"/>
      <c r="W124" s="714"/>
      <c r="X124" s="714"/>
      <c r="Y124" s="714"/>
      <c r="Z124" s="714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715">
        <v>4680115880238</v>
      </c>
      <c r="E125" s="715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78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726"/>
      <c r="B126" s="726"/>
      <c r="C126" s="726"/>
      <c r="D126" s="726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7"/>
      <c r="P126" s="723" t="s">
        <v>40</v>
      </c>
      <c r="Q126" s="724"/>
      <c r="R126" s="724"/>
      <c r="S126" s="724"/>
      <c r="T126" s="724"/>
      <c r="U126" s="724"/>
      <c r="V126" s="72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726"/>
      <c r="B127" s="726"/>
      <c r="C127" s="726"/>
      <c r="D127" s="726"/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7"/>
      <c r="P127" s="723" t="s">
        <v>40</v>
      </c>
      <c r="Q127" s="724"/>
      <c r="R127" s="724"/>
      <c r="S127" s="724"/>
      <c r="T127" s="724"/>
      <c r="U127" s="724"/>
      <c r="V127" s="72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713" t="s">
        <v>250</v>
      </c>
      <c r="B128" s="713"/>
      <c r="C128" s="713"/>
      <c r="D128" s="713"/>
      <c r="E128" s="713"/>
      <c r="F128" s="713"/>
      <c r="G128" s="713"/>
      <c r="H128" s="713"/>
      <c r="I128" s="713"/>
      <c r="J128" s="713"/>
      <c r="K128" s="713"/>
      <c r="L128" s="713"/>
      <c r="M128" s="713"/>
      <c r="N128" s="713"/>
      <c r="O128" s="713"/>
      <c r="P128" s="713"/>
      <c r="Q128" s="713"/>
      <c r="R128" s="713"/>
      <c r="S128" s="713"/>
      <c r="T128" s="713"/>
      <c r="U128" s="713"/>
      <c r="V128" s="713"/>
      <c r="W128" s="713"/>
      <c r="X128" s="713"/>
      <c r="Y128" s="713"/>
      <c r="Z128" s="713"/>
      <c r="AA128" s="65"/>
      <c r="AB128" s="65"/>
      <c r="AC128" s="79"/>
    </row>
    <row r="129" spans="1:68" ht="14.25" hidden="1" customHeight="1" x14ac:dyDescent="0.25">
      <c r="A129" s="714" t="s">
        <v>124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251</v>
      </c>
      <c r="B131" s="63" t="s">
        <v>255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60</v>
      </c>
      <c r="Y131" s="55">
        <f>IFERROR(IF(X131="",0,CEILING((X131/$H131),1)*$H131),"")</f>
        <v>60.800000000000004</v>
      </c>
      <c r="Z131" s="41">
        <f>IFERROR(IF(Y131=0,"",ROUNDUP(Y131/H131,0)*0.00651),"")</f>
        <v>0.12369000000000001</v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63.374999999999993</v>
      </c>
      <c r="BN131" s="78">
        <f>IFERROR(Y131*I131/H131,"0")</f>
        <v>64.22</v>
      </c>
      <c r="BO131" s="78">
        <f>IFERROR(1/J131*(X131/H131),"0")</f>
        <v>0.10302197802197803</v>
      </c>
      <c r="BP131" s="78">
        <f>IFERROR(1/J131*(Y131/H131),"0")</f>
        <v>0.1043956043956044</v>
      </c>
    </row>
    <row r="132" spans="1:68" x14ac:dyDescent="0.2">
      <c r="A132" s="726"/>
      <c r="B132" s="726"/>
      <c r="C132" s="726"/>
      <c r="D132" s="726"/>
      <c r="E132" s="726"/>
      <c r="F132" s="726"/>
      <c r="G132" s="726"/>
      <c r="H132" s="726"/>
      <c r="I132" s="726"/>
      <c r="J132" s="726"/>
      <c r="K132" s="726"/>
      <c r="L132" s="726"/>
      <c r="M132" s="726"/>
      <c r="N132" s="726"/>
      <c r="O132" s="727"/>
      <c r="P132" s="723" t="s">
        <v>40</v>
      </c>
      <c r="Q132" s="724"/>
      <c r="R132" s="724"/>
      <c r="S132" s="724"/>
      <c r="T132" s="724"/>
      <c r="U132" s="724"/>
      <c r="V132" s="725"/>
      <c r="W132" s="42" t="s">
        <v>39</v>
      </c>
      <c r="X132" s="43">
        <f>IFERROR(X130/H130,"0")+IFERROR(X131/H131,"0")</f>
        <v>18.75</v>
      </c>
      <c r="Y132" s="43">
        <f>IFERROR(Y130/H130,"0")+IFERROR(Y131/H131,"0")</f>
        <v>19</v>
      </c>
      <c r="Z132" s="43">
        <f>IFERROR(IF(Z130="",0,Z130),"0")+IFERROR(IF(Z131="",0,Z131),"0")</f>
        <v>0.12369000000000001</v>
      </c>
      <c r="AA132" s="67"/>
      <c r="AB132" s="67"/>
      <c r="AC132" s="67"/>
    </row>
    <row r="133" spans="1:68" x14ac:dyDescent="0.2">
      <c r="A133" s="726"/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7"/>
      <c r="P133" s="723" t="s">
        <v>40</v>
      </c>
      <c r="Q133" s="724"/>
      <c r="R133" s="724"/>
      <c r="S133" s="724"/>
      <c r="T133" s="724"/>
      <c r="U133" s="724"/>
      <c r="V133" s="725"/>
      <c r="W133" s="42" t="s">
        <v>0</v>
      </c>
      <c r="X133" s="43">
        <f>IFERROR(SUM(X130:X131),"0")</f>
        <v>60</v>
      </c>
      <c r="Y133" s="43">
        <f>IFERROR(SUM(Y130:Y131),"0")</f>
        <v>60.800000000000004</v>
      </c>
      <c r="Z133" s="42"/>
      <c r="AA133" s="67"/>
      <c r="AB133" s="67"/>
      <c r="AC133" s="67"/>
    </row>
    <row r="134" spans="1:68" ht="14.25" hidden="1" customHeight="1" x14ac:dyDescent="0.25">
      <c r="A134" s="714" t="s">
        <v>256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4301031234</v>
      </c>
      <c r="D135" s="715">
        <v>4680115883444</v>
      </c>
      <c r="E135" s="715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35</v>
      </c>
      <c r="Y135" s="55">
        <f>IFERROR(IF(X135="",0,CEILING((X135/$H135),1)*$H135),"")</f>
        <v>36.4</v>
      </c>
      <c r="Z135" s="41">
        <f>IFERROR(IF(Y135=0,"",ROUNDUP(Y135/H135,0)*0.00651),"")</f>
        <v>8.4629999999999997E-2</v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38.35</v>
      </c>
      <c r="BN135" s="78">
        <f>IFERROR(Y135*I135/H135,"0")</f>
        <v>39.884</v>
      </c>
      <c r="BO135" s="78">
        <f>IFERROR(1/J135*(X135/H135),"0")</f>
        <v>6.8681318681318687E-2</v>
      </c>
      <c r="BP135" s="78">
        <f>IFERROR(1/J135*(Y135/H135),"0")</f>
        <v>7.1428571428571438E-2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7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726"/>
      <c r="B137" s="726"/>
      <c r="C137" s="726"/>
      <c r="D137" s="726"/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7"/>
      <c r="P137" s="723" t="s">
        <v>40</v>
      </c>
      <c r="Q137" s="724"/>
      <c r="R137" s="724"/>
      <c r="S137" s="724"/>
      <c r="T137" s="724"/>
      <c r="U137" s="724"/>
      <c r="V137" s="725"/>
      <c r="W137" s="42" t="s">
        <v>39</v>
      </c>
      <c r="X137" s="43">
        <f>IFERROR(X135/H135,"0")+IFERROR(X136/H136,"0")</f>
        <v>12.5</v>
      </c>
      <c r="Y137" s="43">
        <f>IFERROR(Y135/H135,"0")+IFERROR(Y136/H136,"0")</f>
        <v>13</v>
      </c>
      <c r="Z137" s="43">
        <f>IFERROR(IF(Z135="",0,Z135),"0")+IFERROR(IF(Z136="",0,Z136),"0")</f>
        <v>8.4629999999999997E-2</v>
      </c>
      <c r="AA137" s="67"/>
      <c r="AB137" s="67"/>
      <c r="AC137" s="67"/>
    </row>
    <row r="138" spans="1:68" x14ac:dyDescent="0.2">
      <c r="A138" s="726"/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7"/>
      <c r="P138" s="723" t="s">
        <v>40</v>
      </c>
      <c r="Q138" s="724"/>
      <c r="R138" s="724"/>
      <c r="S138" s="724"/>
      <c r="T138" s="724"/>
      <c r="U138" s="724"/>
      <c r="V138" s="725"/>
      <c r="W138" s="42" t="s">
        <v>0</v>
      </c>
      <c r="X138" s="43">
        <f>IFERROR(SUM(X135:X136),"0")</f>
        <v>35</v>
      </c>
      <c r="Y138" s="43">
        <f>IFERROR(SUM(Y135:Y136),"0")</f>
        <v>36.4</v>
      </c>
      <c r="Z138" s="42"/>
      <c r="AA138" s="67"/>
      <c r="AB138" s="67"/>
      <c r="AC138" s="67"/>
    </row>
    <row r="139" spans="1:68" ht="14.25" hidden="1" customHeight="1" x14ac:dyDescent="0.25">
      <c r="A139" s="714" t="s">
        <v>77</v>
      </c>
      <c r="B139" s="714"/>
      <c r="C139" s="714"/>
      <c r="D139" s="714"/>
      <c r="E139" s="714"/>
      <c r="F139" s="714"/>
      <c r="G139" s="714"/>
      <c r="H139" s="714"/>
      <c r="I139" s="714"/>
      <c r="J139" s="714"/>
      <c r="K139" s="714"/>
      <c r="L139" s="714"/>
      <c r="M139" s="714"/>
      <c r="N139" s="714"/>
      <c r="O139" s="714"/>
      <c r="P139" s="714"/>
      <c r="Q139" s="714"/>
      <c r="R139" s="714"/>
      <c r="S139" s="714"/>
      <c r="T139" s="714"/>
      <c r="U139" s="714"/>
      <c r="V139" s="714"/>
      <c r="W139" s="714"/>
      <c r="X139" s="714"/>
      <c r="Y139" s="714"/>
      <c r="Z139" s="714"/>
      <c r="AA139" s="66"/>
      <c r="AB139" s="66"/>
      <c r="AC139" s="80"/>
    </row>
    <row r="140" spans="1:68" ht="16.5" customHeight="1" x14ac:dyDescent="0.25">
      <c r="A140" s="63" t="s">
        <v>261</v>
      </c>
      <c r="B140" s="63" t="s">
        <v>262</v>
      </c>
      <c r="C140" s="36">
        <v>4301051476</v>
      </c>
      <c r="D140" s="715">
        <v>4680115882584</v>
      </c>
      <c r="E140" s="715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7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717"/>
      <c r="R140" s="717"/>
      <c r="S140" s="717"/>
      <c r="T140" s="718"/>
      <c r="U140" s="39" t="s">
        <v>46</v>
      </c>
      <c r="V140" s="39" t="s">
        <v>46</v>
      </c>
      <c r="W140" s="40" t="s">
        <v>0</v>
      </c>
      <c r="X140" s="58">
        <v>66</v>
      </c>
      <c r="Y140" s="55">
        <f>IFERROR(IF(X140="",0,CEILING((X140/$H140),1)*$H140),"")</f>
        <v>66</v>
      </c>
      <c r="Z140" s="41">
        <f>IFERROR(IF(Y140=0,"",ROUNDUP(Y140/H140,0)*0.00651),"")</f>
        <v>0.16275000000000001</v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72.699999999999989</v>
      </c>
      <c r="BN140" s="78">
        <f>IFERROR(Y140*I140/H140,"0")</f>
        <v>72.699999999999989</v>
      </c>
      <c r="BO140" s="78">
        <f>IFERROR(1/J140*(X140/H140),"0")</f>
        <v>0.13736263736263737</v>
      </c>
      <c r="BP140" s="78">
        <f>IFERROR(1/J140*(Y140/H140),"0")</f>
        <v>0.13736263736263737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715">
        <v>4680115882584</v>
      </c>
      <c r="E141" s="715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7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6"/>
      <c r="B142" s="726"/>
      <c r="C142" s="726"/>
      <c r="D142" s="726"/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7"/>
      <c r="P142" s="723" t="s">
        <v>40</v>
      </c>
      <c r="Q142" s="724"/>
      <c r="R142" s="724"/>
      <c r="S142" s="724"/>
      <c r="T142" s="724"/>
      <c r="U142" s="724"/>
      <c r="V142" s="725"/>
      <c r="W142" s="42" t="s">
        <v>39</v>
      </c>
      <c r="X142" s="43">
        <f>IFERROR(X140/H140,"0")+IFERROR(X141/H141,"0")</f>
        <v>25</v>
      </c>
      <c r="Y142" s="43">
        <f>IFERROR(Y140/H140,"0")+IFERROR(Y141/H141,"0")</f>
        <v>25</v>
      </c>
      <c r="Z142" s="43">
        <f>IFERROR(IF(Z140="",0,Z140),"0")+IFERROR(IF(Z141="",0,Z141),"0")</f>
        <v>0.16275000000000001</v>
      </c>
      <c r="AA142" s="67"/>
      <c r="AB142" s="67"/>
      <c r="AC142" s="67"/>
    </row>
    <row r="143" spans="1:68" x14ac:dyDescent="0.2">
      <c r="A143" s="726"/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7"/>
      <c r="P143" s="723" t="s">
        <v>40</v>
      </c>
      <c r="Q143" s="724"/>
      <c r="R143" s="724"/>
      <c r="S143" s="724"/>
      <c r="T143" s="724"/>
      <c r="U143" s="724"/>
      <c r="V143" s="725"/>
      <c r="W143" s="42" t="s">
        <v>0</v>
      </c>
      <c r="X143" s="43">
        <f>IFERROR(SUM(X140:X141),"0")</f>
        <v>66</v>
      </c>
      <c r="Y143" s="43">
        <f>IFERROR(SUM(Y140:Y141),"0")</f>
        <v>66</v>
      </c>
      <c r="Z143" s="42"/>
      <c r="AA143" s="67"/>
      <c r="AB143" s="67"/>
      <c r="AC143" s="67"/>
    </row>
    <row r="144" spans="1:68" ht="16.5" hidden="1" customHeight="1" x14ac:dyDescent="0.25">
      <c r="A144" s="713" t="s">
        <v>264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5"/>
      <c r="AB144" s="65"/>
      <c r="AC144" s="79"/>
    </row>
    <row r="145" spans="1:68" ht="14.25" hidden="1" customHeight="1" x14ac:dyDescent="0.25">
      <c r="A145" s="714" t="s">
        <v>77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715">
        <v>4680115888203</v>
      </c>
      <c r="E146" s="715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7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715">
        <v>4680115888180</v>
      </c>
      <c r="E147" s="715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7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715">
        <v>4680115888197</v>
      </c>
      <c r="E148" s="715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717"/>
      <c r="R148" s="717"/>
      <c r="S148" s="717"/>
      <c r="T148" s="71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715">
        <v>4680115888210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79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26"/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7"/>
      <c r="P150" s="723" t="s">
        <v>40</v>
      </c>
      <c r="Q150" s="724"/>
      <c r="R150" s="724"/>
      <c r="S150" s="724"/>
      <c r="T150" s="724"/>
      <c r="U150" s="724"/>
      <c r="V150" s="72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26"/>
      <c r="B151" s="726"/>
      <c r="C151" s="726"/>
      <c r="D151" s="726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7"/>
      <c r="P151" s="723" t="s">
        <v>40</v>
      </c>
      <c r="Q151" s="724"/>
      <c r="R151" s="724"/>
      <c r="S151" s="724"/>
      <c r="T151" s="724"/>
      <c r="U151" s="724"/>
      <c r="V151" s="72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714" t="s">
        <v>95</v>
      </c>
      <c r="B152" s="714"/>
      <c r="C152" s="714"/>
      <c r="D152" s="714"/>
      <c r="E152" s="714"/>
      <c r="F152" s="714"/>
      <c r="G152" s="714"/>
      <c r="H152" s="714"/>
      <c r="I152" s="714"/>
      <c r="J152" s="714"/>
      <c r="K152" s="714"/>
      <c r="L152" s="714"/>
      <c r="M152" s="714"/>
      <c r="N152" s="714"/>
      <c r="O152" s="714"/>
      <c r="P152" s="714"/>
      <c r="Q152" s="714"/>
      <c r="R152" s="714"/>
      <c r="S152" s="714"/>
      <c r="T152" s="714"/>
      <c r="U152" s="714"/>
      <c r="V152" s="714"/>
      <c r="W152" s="714"/>
      <c r="X152" s="714"/>
      <c r="Y152" s="714"/>
      <c r="Z152" s="714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715">
        <v>4680115889132</v>
      </c>
      <c r="E153" s="715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79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726"/>
      <c r="B154" s="726"/>
      <c r="C154" s="726"/>
      <c r="D154" s="726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7"/>
      <c r="P154" s="723" t="s">
        <v>40</v>
      </c>
      <c r="Q154" s="724"/>
      <c r="R154" s="724"/>
      <c r="S154" s="724"/>
      <c r="T154" s="724"/>
      <c r="U154" s="724"/>
      <c r="V154" s="72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726"/>
      <c r="B155" s="726"/>
      <c r="C155" s="726"/>
      <c r="D155" s="726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7"/>
      <c r="P155" s="723" t="s">
        <v>40</v>
      </c>
      <c r="Q155" s="724"/>
      <c r="R155" s="724"/>
      <c r="S155" s="724"/>
      <c r="T155" s="724"/>
      <c r="U155" s="724"/>
      <c r="V155" s="72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713" t="s">
        <v>122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5"/>
      <c r="AB156" s="65"/>
      <c r="AC156" s="79"/>
    </row>
    <row r="157" spans="1:68" ht="14.25" hidden="1" customHeight="1" x14ac:dyDescent="0.25">
      <c r="A157" s="714" t="s">
        <v>124</v>
      </c>
      <c r="B157" s="714"/>
      <c r="C157" s="714"/>
      <c r="D157" s="714"/>
      <c r="E157" s="714"/>
      <c r="F157" s="714"/>
      <c r="G157" s="714"/>
      <c r="H157" s="714"/>
      <c r="I157" s="714"/>
      <c r="J157" s="714"/>
      <c r="K157" s="714"/>
      <c r="L157" s="714"/>
      <c r="M157" s="714"/>
      <c r="N157" s="714"/>
      <c r="O157" s="714"/>
      <c r="P157" s="714"/>
      <c r="Q157" s="714"/>
      <c r="R157" s="714"/>
      <c r="S157" s="714"/>
      <c r="T157" s="714"/>
      <c r="U157" s="714"/>
      <c r="V157" s="714"/>
      <c r="W157" s="714"/>
      <c r="X157" s="714"/>
      <c r="Y157" s="714"/>
      <c r="Z157" s="714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715">
        <v>4680115887374</v>
      </c>
      <c r="E158" s="715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7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717"/>
      <c r="R158" s="717"/>
      <c r="S158" s="717"/>
      <c r="T158" s="718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715">
        <v>4607091384604</v>
      </c>
      <c r="E159" s="715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715">
        <v>4607091384604</v>
      </c>
      <c r="E160" s="715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79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717"/>
      <c r="R160" s="717"/>
      <c r="S160" s="717"/>
      <c r="T160" s="718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715">
        <v>4680115888876</v>
      </c>
      <c r="E161" s="715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717"/>
      <c r="R161" s="717"/>
      <c r="S161" s="717"/>
      <c r="T161" s="718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26"/>
      <c r="B162" s="726"/>
      <c r="C162" s="726"/>
      <c r="D162" s="726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7"/>
      <c r="P162" s="723" t="s">
        <v>40</v>
      </c>
      <c r="Q162" s="724"/>
      <c r="R162" s="724"/>
      <c r="S162" s="724"/>
      <c r="T162" s="724"/>
      <c r="U162" s="724"/>
      <c r="V162" s="72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726"/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7"/>
      <c r="P163" s="723" t="s">
        <v>40</v>
      </c>
      <c r="Q163" s="724"/>
      <c r="R163" s="724"/>
      <c r="S163" s="724"/>
      <c r="T163" s="724"/>
      <c r="U163" s="724"/>
      <c r="V163" s="72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714" t="s">
        <v>161</v>
      </c>
      <c r="B164" s="714"/>
      <c r="C164" s="714"/>
      <c r="D164" s="714"/>
      <c r="E164" s="714"/>
      <c r="F164" s="714"/>
      <c r="G164" s="714"/>
      <c r="H164" s="714"/>
      <c r="I164" s="714"/>
      <c r="J164" s="714"/>
      <c r="K164" s="714"/>
      <c r="L164" s="714"/>
      <c r="M164" s="714"/>
      <c r="N164" s="714"/>
      <c r="O164" s="714"/>
      <c r="P164" s="714"/>
      <c r="Q164" s="714"/>
      <c r="R164" s="714"/>
      <c r="S164" s="714"/>
      <c r="T164" s="714"/>
      <c r="U164" s="714"/>
      <c r="V164" s="714"/>
      <c r="W164" s="714"/>
      <c r="X164" s="714"/>
      <c r="Y164" s="714"/>
      <c r="Z164" s="714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715">
        <v>4680115887695</v>
      </c>
      <c r="E165" s="715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715">
        <v>4680115889491</v>
      </c>
      <c r="E166" s="715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6"/>
      <c r="B167" s="726"/>
      <c r="C167" s="726"/>
      <c r="D167" s="726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7"/>
      <c r="P167" s="723" t="s">
        <v>40</v>
      </c>
      <c r="Q167" s="724"/>
      <c r="R167" s="724"/>
      <c r="S167" s="724"/>
      <c r="T167" s="724"/>
      <c r="U167" s="724"/>
      <c r="V167" s="72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726"/>
      <c r="B168" s="726"/>
      <c r="C168" s="726"/>
      <c r="D168" s="726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7"/>
      <c r="P168" s="723" t="s">
        <v>40</v>
      </c>
      <c r="Q168" s="724"/>
      <c r="R168" s="724"/>
      <c r="S168" s="724"/>
      <c r="T168" s="724"/>
      <c r="U168" s="724"/>
      <c r="V168" s="72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256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715">
        <v>4680115889613</v>
      </c>
      <c r="E170" s="715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798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4301031496</v>
      </c>
      <c r="D171" s="715">
        <v>4680115887428</v>
      </c>
      <c r="E171" s="715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280</v>
      </c>
      <c r="Y171" s="55">
        <f t="shared" si="15"/>
        <v>280</v>
      </c>
      <c r="Z171" s="41">
        <f>IFERROR(IF(Y171=0,"",ROUNDUP(Y171/H171,0)*0.00902),"")</f>
        <v>0.72160000000000002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295.2</v>
      </c>
      <c r="BN171" s="78">
        <f t="shared" si="17"/>
        <v>295.2</v>
      </c>
      <c r="BO171" s="78">
        <f t="shared" si="18"/>
        <v>0.60606060606060608</v>
      </c>
      <c r="BP171" s="78">
        <f t="shared" si="19"/>
        <v>0.60606060606060608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715">
        <v>4680115889170</v>
      </c>
      <c r="E172" s="715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4301031522</v>
      </c>
      <c r="D173" s="715">
        <v>4680115887398</v>
      </c>
      <c r="E173" s="715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717"/>
      <c r="R173" s="717"/>
      <c r="S173" s="717"/>
      <c r="T173" s="718"/>
      <c r="U173" s="39" t="s">
        <v>46</v>
      </c>
      <c r="V173" s="39" t="s">
        <v>46</v>
      </c>
      <c r="W173" s="40" t="s">
        <v>0</v>
      </c>
      <c r="X173" s="58">
        <v>200</v>
      </c>
      <c r="Y173" s="55">
        <f t="shared" si="15"/>
        <v>203</v>
      </c>
      <c r="Z173" s="41">
        <f>IFERROR(IF(Y173=0,"",ROUNDUP(Y173/H173,0)*0.00902),"")</f>
        <v>0.52316000000000007</v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210.85714285714286</v>
      </c>
      <c r="BN173" s="78">
        <f t="shared" si="17"/>
        <v>214.01999999999998</v>
      </c>
      <c r="BO173" s="78">
        <f t="shared" si="18"/>
        <v>0.43290043290043295</v>
      </c>
      <c r="BP173" s="78">
        <f t="shared" si="19"/>
        <v>0.43939393939393939</v>
      </c>
    </row>
    <row r="174" spans="1:68" ht="27" customHeight="1" x14ac:dyDescent="0.25">
      <c r="A174" s="63" t="s">
        <v>308</v>
      </c>
      <c r="B174" s="63" t="s">
        <v>309</v>
      </c>
      <c r="C174" s="36">
        <v>4301031520</v>
      </c>
      <c r="D174" s="715">
        <v>4680115887336</v>
      </c>
      <c r="E174" s="715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717"/>
      <c r="R174" s="717"/>
      <c r="S174" s="717"/>
      <c r="T174" s="718"/>
      <c r="U174" s="39" t="s">
        <v>46</v>
      </c>
      <c r="V174" s="39" t="s">
        <v>46</v>
      </c>
      <c r="W174" s="40" t="s">
        <v>0</v>
      </c>
      <c r="X174" s="58">
        <v>220</v>
      </c>
      <c r="Y174" s="55">
        <f t="shared" si="15"/>
        <v>220.5</v>
      </c>
      <c r="Z174" s="41">
        <f>IFERROR(IF(Y174=0,"",ROUNDUP(Y174/H174,0)*0.00902),"")</f>
        <v>0.56825999999999999</v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231.94285714285712</v>
      </c>
      <c r="BN174" s="78">
        <f t="shared" si="17"/>
        <v>232.47</v>
      </c>
      <c r="BO174" s="78">
        <f t="shared" si="18"/>
        <v>0.47619047619047616</v>
      </c>
      <c r="BP174" s="78">
        <f t="shared" si="19"/>
        <v>0.47727272727272729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715">
        <v>4680115887787</v>
      </c>
      <c r="E175" s="715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314</v>
      </c>
      <c r="B176" s="63" t="s">
        <v>315</v>
      </c>
      <c r="C176" s="36">
        <v>4301031448</v>
      </c>
      <c r="D176" s="715">
        <v>4680115887503</v>
      </c>
      <c r="E176" s="71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42</v>
      </c>
      <c r="Y176" s="55">
        <f t="shared" si="15"/>
        <v>42</v>
      </c>
      <c r="Z176" s="41">
        <f>IFERROR(IF(Y176=0,"",ROUNDUP(Y176/H176,0)*0.00502),"")</f>
        <v>0.1255</v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44.500000000000007</v>
      </c>
      <c r="BN176" s="78">
        <f t="shared" si="17"/>
        <v>44.500000000000007</v>
      </c>
      <c r="BO176" s="78">
        <f t="shared" si="18"/>
        <v>0.10683760683760685</v>
      </c>
      <c r="BP176" s="78">
        <f t="shared" si="19"/>
        <v>0.10683760683760685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715">
        <v>4680115887763</v>
      </c>
      <c r="E177" s="715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4301031521</v>
      </c>
      <c r="D178" s="715">
        <v>4680115887480</v>
      </c>
      <c r="E178" s="715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42</v>
      </c>
      <c r="Y178" s="55">
        <f t="shared" si="15"/>
        <v>42</v>
      </c>
      <c r="Z178" s="41">
        <f>IFERROR(IF(Y178=0,"",ROUNDUP(Y178/H178,0)*0.00502),"")</f>
        <v>0.1255</v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44.500000000000007</v>
      </c>
      <c r="BN178" s="78">
        <f t="shared" si="17"/>
        <v>44.500000000000007</v>
      </c>
      <c r="BO178" s="78">
        <f t="shared" si="18"/>
        <v>0.10683760683760685</v>
      </c>
      <c r="BP178" s="78">
        <f t="shared" si="19"/>
        <v>0.10683760683760685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715">
        <v>4680115888067</v>
      </c>
      <c r="E179" s="715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324</v>
      </c>
      <c r="B180" s="63" t="s">
        <v>325</v>
      </c>
      <c r="C180" s="36">
        <v>4301031519</v>
      </c>
      <c r="D180" s="715">
        <v>4680115887435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67</v>
      </c>
      <c r="Y180" s="55">
        <f t="shared" si="15"/>
        <v>67.2</v>
      </c>
      <c r="Z180" s="41">
        <f>IFERROR(IF(Y180=0,"",ROUNDUP(Y180/H180,0)*0.00502),"")</f>
        <v>0.20080000000000001</v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70.988095238095241</v>
      </c>
      <c r="BN180" s="78">
        <f t="shared" si="17"/>
        <v>71.200000000000017</v>
      </c>
      <c r="BO180" s="78">
        <f t="shared" si="18"/>
        <v>0.17043142043142046</v>
      </c>
      <c r="BP180" s="78">
        <f t="shared" si="19"/>
        <v>0.17094017094017094</v>
      </c>
    </row>
    <row r="181" spans="1:68" x14ac:dyDescent="0.2">
      <c r="A181" s="726"/>
      <c r="B181" s="726"/>
      <c r="C181" s="726"/>
      <c r="D181" s="726"/>
      <c r="E181" s="726"/>
      <c r="F181" s="726"/>
      <c r="G181" s="726"/>
      <c r="H181" s="726"/>
      <c r="I181" s="726"/>
      <c r="J181" s="726"/>
      <c r="K181" s="726"/>
      <c r="L181" s="726"/>
      <c r="M181" s="726"/>
      <c r="N181" s="726"/>
      <c r="O181" s="727"/>
      <c r="P181" s="723" t="s">
        <v>40</v>
      </c>
      <c r="Q181" s="724"/>
      <c r="R181" s="724"/>
      <c r="S181" s="724"/>
      <c r="T181" s="724"/>
      <c r="U181" s="724"/>
      <c r="V181" s="72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289.88095238095241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291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2.2648200000000003</v>
      </c>
      <c r="AA181" s="67"/>
      <c r="AB181" s="67"/>
      <c r="AC181" s="67"/>
    </row>
    <row r="182" spans="1:68" x14ac:dyDescent="0.2">
      <c r="A182" s="726"/>
      <c r="B182" s="726"/>
      <c r="C182" s="726"/>
      <c r="D182" s="726"/>
      <c r="E182" s="726"/>
      <c r="F182" s="726"/>
      <c r="G182" s="726"/>
      <c r="H182" s="726"/>
      <c r="I182" s="726"/>
      <c r="J182" s="726"/>
      <c r="K182" s="726"/>
      <c r="L182" s="726"/>
      <c r="M182" s="726"/>
      <c r="N182" s="726"/>
      <c r="O182" s="727"/>
      <c r="P182" s="723" t="s">
        <v>40</v>
      </c>
      <c r="Q182" s="724"/>
      <c r="R182" s="724"/>
      <c r="S182" s="724"/>
      <c r="T182" s="724"/>
      <c r="U182" s="724"/>
      <c r="V182" s="725"/>
      <c r="W182" s="42" t="s">
        <v>0</v>
      </c>
      <c r="X182" s="43">
        <f>IFERROR(SUM(X170:X180),"0")</f>
        <v>851</v>
      </c>
      <c r="Y182" s="43">
        <f>IFERROR(SUM(Y170:Y180),"0")</f>
        <v>854.7</v>
      </c>
      <c r="Z182" s="42"/>
      <c r="AA182" s="67"/>
      <c r="AB182" s="67"/>
      <c r="AC182" s="67"/>
    </row>
    <row r="183" spans="1:68" ht="14.25" hidden="1" customHeight="1" x14ac:dyDescent="0.25">
      <c r="A183" s="714" t="s">
        <v>77</v>
      </c>
      <c r="B183" s="714"/>
      <c r="C183" s="714"/>
      <c r="D183" s="714"/>
      <c r="E183" s="714"/>
      <c r="F183" s="714"/>
      <c r="G183" s="714"/>
      <c r="H183" s="714"/>
      <c r="I183" s="714"/>
      <c r="J183" s="714"/>
      <c r="K183" s="714"/>
      <c r="L183" s="714"/>
      <c r="M183" s="714"/>
      <c r="N183" s="714"/>
      <c r="O183" s="714"/>
      <c r="P183" s="714"/>
      <c r="Q183" s="714"/>
      <c r="R183" s="714"/>
      <c r="S183" s="714"/>
      <c r="T183" s="714"/>
      <c r="U183" s="714"/>
      <c r="V183" s="714"/>
      <c r="W183" s="714"/>
      <c r="X183" s="714"/>
      <c r="Y183" s="714"/>
      <c r="Z183" s="714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715">
        <v>4680115888395</v>
      </c>
      <c r="E184" s="715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715">
        <v>4680115888371</v>
      </c>
      <c r="E185" s="715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26"/>
      <c r="B186" s="726"/>
      <c r="C186" s="726"/>
      <c r="D186" s="726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7"/>
      <c r="P186" s="723" t="s">
        <v>40</v>
      </c>
      <c r="Q186" s="724"/>
      <c r="R186" s="724"/>
      <c r="S186" s="724"/>
      <c r="T186" s="724"/>
      <c r="U186" s="724"/>
      <c r="V186" s="72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26"/>
      <c r="B187" s="726"/>
      <c r="C187" s="726"/>
      <c r="D187" s="726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7"/>
      <c r="P187" s="723" t="s">
        <v>40</v>
      </c>
      <c r="Q187" s="724"/>
      <c r="R187" s="724"/>
      <c r="S187" s="724"/>
      <c r="T187" s="724"/>
      <c r="U187" s="724"/>
      <c r="V187" s="72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95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715">
        <v>4680115889026</v>
      </c>
      <c r="E189" s="715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6"/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7"/>
      <c r="P190" s="723" t="s">
        <v>40</v>
      </c>
      <c r="Q190" s="724"/>
      <c r="R190" s="724"/>
      <c r="S190" s="724"/>
      <c r="T190" s="724"/>
      <c r="U190" s="724"/>
      <c r="V190" s="72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26"/>
      <c r="B191" s="726"/>
      <c r="C191" s="726"/>
      <c r="D191" s="726"/>
      <c r="E191" s="726"/>
      <c r="F191" s="726"/>
      <c r="G191" s="726"/>
      <c r="H191" s="726"/>
      <c r="I191" s="726"/>
      <c r="J191" s="726"/>
      <c r="K191" s="726"/>
      <c r="L191" s="726"/>
      <c r="M191" s="726"/>
      <c r="N191" s="726"/>
      <c r="O191" s="727"/>
      <c r="P191" s="723" t="s">
        <v>40</v>
      </c>
      <c r="Q191" s="724"/>
      <c r="R191" s="724"/>
      <c r="S191" s="724"/>
      <c r="T191" s="724"/>
      <c r="U191" s="724"/>
      <c r="V191" s="72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4" t="s">
        <v>336</v>
      </c>
      <c r="B192" s="714"/>
      <c r="C192" s="714"/>
      <c r="D192" s="714"/>
      <c r="E192" s="714"/>
      <c r="F192" s="714"/>
      <c r="G192" s="714"/>
      <c r="H192" s="714"/>
      <c r="I192" s="714"/>
      <c r="J192" s="714"/>
      <c r="K192" s="714"/>
      <c r="L192" s="714"/>
      <c r="M192" s="714"/>
      <c r="N192" s="714"/>
      <c r="O192" s="714"/>
      <c r="P192" s="714"/>
      <c r="Q192" s="714"/>
      <c r="R192" s="714"/>
      <c r="S192" s="714"/>
      <c r="T192" s="714"/>
      <c r="U192" s="714"/>
      <c r="V192" s="714"/>
      <c r="W192" s="714"/>
      <c r="X192" s="714"/>
      <c r="Y192" s="714"/>
      <c r="Z192" s="714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715">
        <v>4680115889033</v>
      </c>
      <c r="E193" s="715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717"/>
      <c r="R193" s="717"/>
      <c r="S193" s="717"/>
      <c r="T193" s="718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6"/>
      <c r="B194" s="726"/>
      <c r="C194" s="726"/>
      <c r="D194" s="726"/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7"/>
      <c r="P194" s="723" t="s">
        <v>40</v>
      </c>
      <c r="Q194" s="724"/>
      <c r="R194" s="724"/>
      <c r="S194" s="724"/>
      <c r="T194" s="724"/>
      <c r="U194" s="724"/>
      <c r="V194" s="72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6"/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7"/>
      <c r="P195" s="723" t="s">
        <v>40</v>
      </c>
      <c r="Q195" s="724"/>
      <c r="R195" s="724"/>
      <c r="S195" s="724"/>
      <c r="T195" s="724"/>
      <c r="U195" s="724"/>
      <c r="V195" s="72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712" t="s">
        <v>340</v>
      </c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2"/>
      <c r="P196" s="712"/>
      <c r="Q196" s="712"/>
      <c r="R196" s="712"/>
      <c r="S196" s="712"/>
      <c r="T196" s="712"/>
      <c r="U196" s="712"/>
      <c r="V196" s="712"/>
      <c r="W196" s="712"/>
      <c r="X196" s="712"/>
      <c r="Y196" s="712"/>
      <c r="Z196" s="712"/>
      <c r="AA196" s="54"/>
      <c r="AB196" s="54"/>
      <c r="AC196" s="54"/>
    </row>
    <row r="197" spans="1:68" ht="16.5" hidden="1" customHeight="1" x14ac:dyDescent="0.25">
      <c r="A197" s="713" t="s">
        <v>341</v>
      </c>
      <c r="B197" s="713"/>
      <c r="C197" s="713"/>
      <c r="D197" s="713"/>
      <c r="E197" s="713"/>
      <c r="F197" s="713"/>
      <c r="G197" s="713"/>
      <c r="H197" s="713"/>
      <c r="I197" s="713"/>
      <c r="J197" s="713"/>
      <c r="K197" s="713"/>
      <c r="L197" s="713"/>
      <c r="M197" s="713"/>
      <c r="N197" s="713"/>
      <c r="O197" s="713"/>
      <c r="P197" s="713"/>
      <c r="Q197" s="713"/>
      <c r="R197" s="713"/>
      <c r="S197" s="713"/>
      <c r="T197" s="713"/>
      <c r="U197" s="713"/>
      <c r="V197" s="713"/>
      <c r="W197" s="713"/>
      <c r="X197" s="713"/>
      <c r="Y197" s="713"/>
      <c r="Z197" s="713"/>
      <c r="AA197" s="65"/>
      <c r="AB197" s="65"/>
      <c r="AC197" s="79"/>
    </row>
    <row r="198" spans="1:68" ht="14.25" hidden="1" customHeight="1" x14ac:dyDescent="0.25">
      <c r="A198" s="714" t="s">
        <v>124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715">
        <v>4607091383423</v>
      </c>
      <c r="E199" s="715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715">
        <v>4680115888760</v>
      </c>
      <c r="E200" s="715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715">
        <v>4680115888807</v>
      </c>
      <c r="E201" s="715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717"/>
      <c r="R201" s="717"/>
      <c r="S201" s="717"/>
      <c r="T201" s="718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715">
        <v>4680115888852</v>
      </c>
      <c r="E202" s="715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717"/>
      <c r="R202" s="717"/>
      <c r="S202" s="717"/>
      <c r="T202" s="718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715">
        <v>4680115886957</v>
      </c>
      <c r="E203" s="715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717"/>
      <c r="R203" s="717"/>
      <c r="S203" s="717"/>
      <c r="T203" s="718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715">
        <v>4680115885660</v>
      </c>
      <c r="E204" s="715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717"/>
      <c r="R204" s="717"/>
      <c r="S204" s="717"/>
      <c r="T204" s="718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715">
        <v>4680115886773</v>
      </c>
      <c r="E205" s="715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26"/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7"/>
      <c r="P206" s="723" t="s">
        <v>40</v>
      </c>
      <c r="Q206" s="724"/>
      <c r="R206" s="724"/>
      <c r="S206" s="724"/>
      <c r="T206" s="724"/>
      <c r="U206" s="724"/>
      <c r="V206" s="72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26"/>
      <c r="B207" s="726"/>
      <c r="C207" s="726"/>
      <c r="D207" s="726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7"/>
      <c r="P207" s="723" t="s">
        <v>40</v>
      </c>
      <c r="Q207" s="724"/>
      <c r="R207" s="724"/>
      <c r="S207" s="724"/>
      <c r="T207" s="724"/>
      <c r="U207" s="724"/>
      <c r="V207" s="72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713" t="s">
        <v>362</v>
      </c>
      <c r="B208" s="713"/>
      <c r="C208" s="713"/>
      <c r="D208" s="713"/>
      <c r="E208" s="713"/>
      <c r="F208" s="713"/>
      <c r="G208" s="713"/>
      <c r="H208" s="713"/>
      <c r="I208" s="713"/>
      <c r="J208" s="713"/>
      <c r="K208" s="713"/>
      <c r="L208" s="713"/>
      <c r="M208" s="713"/>
      <c r="N208" s="713"/>
      <c r="O208" s="713"/>
      <c r="P208" s="713"/>
      <c r="Q208" s="713"/>
      <c r="R208" s="713"/>
      <c r="S208" s="713"/>
      <c r="T208" s="713"/>
      <c r="U208" s="713"/>
      <c r="V208" s="713"/>
      <c r="W208" s="713"/>
      <c r="X208" s="713"/>
      <c r="Y208" s="713"/>
      <c r="Z208" s="713"/>
      <c r="AA208" s="65"/>
      <c r="AB208" s="65"/>
      <c r="AC208" s="79"/>
    </row>
    <row r="209" spans="1:68" ht="14.25" hidden="1" customHeight="1" x14ac:dyDescent="0.25">
      <c r="A209" s="714" t="s">
        <v>161</v>
      </c>
      <c r="B209" s="714"/>
      <c r="C209" s="714"/>
      <c r="D209" s="714"/>
      <c r="E209" s="714"/>
      <c r="F209" s="714"/>
      <c r="G209" s="714"/>
      <c r="H209" s="714"/>
      <c r="I209" s="714"/>
      <c r="J209" s="714"/>
      <c r="K209" s="714"/>
      <c r="L209" s="714"/>
      <c r="M209" s="714"/>
      <c r="N209" s="714"/>
      <c r="O209" s="714"/>
      <c r="P209" s="714"/>
      <c r="Q209" s="714"/>
      <c r="R209" s="714"/>
      <c r="S209" s="714"/>
      <c r="T209" s="714"/>
      <c r="U209" s="714"/>
      <c r="V209" s="714"/>
      <c r="W209" s="714"/>
      <c r="X209" s="714"/>
      <c r="Y209" s="714"/>
      <c r="Z209" s="714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715">
        <v>4680115886223</v>
      </c>
      <c r="E210" s="715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26"/>
      <c r="B211" s="726"/>
      <c r="C211" s="726"/>
      <c r="D211" s="726"/>
      <c r="E211" s="726"/>
      <c r="F211" s="726"/>
      <c r="G211" s="726"/>
      <c r="H211" s="726"/>
      <c r="I211" s="726"/>
      <c r="J211" s="726"/>
      <c r="K211" s="726"/>
      <c r="L211" s="726"/>
      <c r="M211" s="726"/>
      <c r="N211" s="726"/>
      <c r="O211" s="727"/>
      <c r="P211" s="723" t="s">
        <v>40</v>
      </c>
      <c r="Q211" s="724"/>
      <c r="R211" s="724"/>
      <c r="S211" s="724"/>
      <c r="T211" s="724"/>
      <c r="U211" s="724"/>
      <c r="V211" s="72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26"/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7"/>
      <c r="P212" s="723" t="s">
        <v>40</v>
      </c>
      <c r="Q212" s="724"/>
      <c r="R212" s="724"/>
      <c r="S212" s="724"/>
      <c r="T212" s="724"/>
      <c r="U212" s="724"/>
      <c r="V212" s="72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714" t="s">
        <v>256</v>
      </c>
      <c r="B213" s="714"/>
      <c r="C213" s="714"/>
      <c r="D213" s="714"/>
      <c r="E213" s="714"/>
      <c r="F213" s="714"/>
      <c r="G213" s="714"/>
      <c r="H213" s="714"/>
      <c r="I213" s="714"/>
      <c r="J213" s="714"/>
      <c r="K213" s="714"/>
      <c r="L213" s="714"/>
      <c r="M213" s="714"/>
      <c r="N213" s="714"/>
      <c r="O213" s="714"/>
      <c r="P213" s="714"/>
      <c r="Q213" s="714"/>
      <c r="R213" s="714"/>
      <c r="S213" s="714"/>
      <c r="T213" s="714"/>
      <c r="U213" s="714"/>
      <c r="V213" s="714"/>
      <c r="W213" s="714"/>
      <c r="X213" s="714"/>
      <c r="Y213" s="714"/>
      <c r="Z213" s="714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715">
        <v>4680115880993</v>
      </c>
      <c r="E214" s="715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717"/>
      <c r="R214" s="717"/>
      <c r="S214" s="717"/>
      <c r="T214" s="71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715">
        <v>4680115881761</v>
      </c>
      <c r="E215" s="715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717"/>
      <c r="R215" s="717"/>
      <c r="S215" s="717"/>
      <c r="T215" s="71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715">
        <v>4680115881563</v>
      </c>
      <c r="E216" s="715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2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100</v>
      </c>
      <c r="Y216" s="55">
        <f t="shared" si="26"/>
        <v>100.80000000000001</v>
      </c>
      <c r="Z216" s="41">
        <f>IFERROR(IF(Y216=0,"",ROUNDUP(Y216/H216,0)*0.00902),"")</f>
        <v>0.21648000000000001</v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104.5238095238095</v>
      </c>
      <c r="BN216" s="78">
        <f t="shared" si="28"/>
        <v>105.36</v>
      </c>
      <c r="BO216" s="78">
        <f t="shared" si="29"/>
        <v>0.18037518037518038</v>
      </c>
      <c r="BP216" s="78">
        <f t="shared" si="30"/>
        <v>0.18181818181818182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715">
        <v>4680115887565</v>
      </c>
      <c r="E217" s="715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4301031199</v>
      </c>
      <c r="D218" s="715">
        <v>4680115880986</v>
      </c>
      <c r="E218" s="715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717"/>
      <c r="R218" s="717"/>
      <c r="S218" s="717"/>
      <c r="T218" s="718"/>
      <c r="U218" s="39" t="s">
        <v>46</v>
      </c>
      <c r="V218" s="39" t="s">
        <v>46</v>
      </c>
      <c r="W218" s="40" t="s">
        <v>0</v>
      </c>
      <c r="X218" s="58">
        <v>52</v>
      </c>
      <c r="Y218" s="55">
        <f t="shared" si="26"/>
        <v>52.5</v>
      </c>
      <c r="Z218" s="41">
        <f>IFERROR(IF(Y218=0,"",ROUNDUP(Y218/H218,0)*0.00502),"")</f>
        <v>0.1255</v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55.219047619047615</v>
      </c>
      <c r="BN218" s="78">
        <f t="shared" si="28"/>
        <v>55.75</v>
      </c>
      <c r="BO218" s="78">
        <f t="shared" si="29"/>
        <v>0.10582010582010581</v>
      </c>
      <c r="BP218" s="78">
        <f t="shared" si="30"/>
        <v>0.10683760683760685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715">
        <v>4680115887213</v>
      </c>
      <c r="E219" s="715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717"/>
      <c r="R219" s="717"/>
      <c r="S219" s="717"/>
      <c r="T219" s="718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4301031205</v>
      </c>
      <c r="D220" s="715">
        <v>4680115881785</v>
      </c>
      <c r="E220" s="715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35</v>
      </c>
      <c r="Y220" s="55">
        <f t="shared" si="26"/>
        <v>35.700000000000003</v>
      </c>
      <c r="Z220" s="41">
        <f>IFERROR(IF(Y220=0,"",ROUNDUP(Y220/H220,0)*0.00502),"")</f>
        <v>8.5339999999999999E-2</v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37.166666666666664</v>
      </c>
      <c r="BN220" s="78">
        <f t="shared" si="28"/>
        <v>37.910000000000004</v>
      </c>
      <c r="BO220" s="78">
        <f t="shared" si="29"/>
        <v>7.1225071225071226E-2</v>
      </c>
      <c r="BP220" s="78">
        <f t="shared" si="30"/>
        <v>7.2649572649572655E-2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715">
        <v>4680115888432</v>
      </c>
      <c r="E221" s="715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715">
        <v>4680115886537</v>
      </c>
      <c r="E222" s="715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2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715">
        <v>4680115887596</v>
      </c>
      <c r="E223" s="715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715">
        <v>4680115881679</v>
      </c>
      <c r="E224" s="715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715">
        <v>4680115880191</v>
      </c>
      <c r="E225" s="715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3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715">
        <v>4680115883963</v>
      </c>
      <c r="E226" s="715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26"/>
      <c r="B227" s="726"/>
      <c r="C227" s="726"/>
      <c r="D227" s="726"/>
      <c r="E227" s="726"/>
      <c r="F227" s="726"/>
      <c r="G227" s="726"/>
      <c r="H227" s="726"/>
      <c r="I227" s="726"/>
      <c r="J227" s="726"/>
      <c r="K227" s="726"/>
      <c r="L227" s="726"/>
      <c r="M227" s="726"/>
      <c r="N227" s="726"/>
      <c r="O227" s="727"/>
      <c r="P227" s="723" t="s">
        <v>40</v>
      </c>
      <c r="Q227" s="724"/>
      <c r="R227" s="724"/>
      <c r="S227" s="724"/>
      <c r="T227" s="724"/>
      <c r="U227" s="724"/>
      <c r="V227" s="72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65.238095238095241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66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0.42732000000000003</v>
      </c>
      <c r="AA227" s="67"/>
      <c r="AB227" s="67"/>
      <c r="AC227" s="67"/>
    </row>
    <row r="228" spans="1:68" x14ac:dyDescent="0.2">
      <c r="A228" s="726"/>
      <c r="B228" s="726"/>
      <c r="C228" s="726"/>
      <c r="D228" s="726"/>
      <c r="E228" s="726"/>
      <c r="F228" s="726"/>
      <c r="G228" s="726"/>
      <c r="H228" s="726"/>
      <c r="I228" s="726"/>
      <c r="J228" s="726"/>
      <c r="K228" s="726"/>
      <c r="L228" s="726"/>
      <c r="M228" s="726"/>
      <c r="N228" s="726"/>
      <c r="O228" s="727"/>
      <c r="P228" s="723" t="s">
        <v>40</v>
      </c>
      <c r="Q228" s="724"/>
      <c r="R228" s="724"/>
      <c r="S228" s="724"/>
      <c r="T228" s="724"/>
      <c r="U228" s="724"/>
      <c r="V228" s="725"/>
      <c r="W228" s="42" t="s">
        <v>0</v>
      </c>
      <c r="X228" s="43">
        <f>IFERROR(SUM(X214:X226),"0")</f>
        <v>187</v>
      </c>
      <c r="Y228" s="43">
        <f>IFERROR(SUM(Y214:Y226),"0")</f>
        <v>189</v>
      </c>
      <c r="Z228" s="42"/>
      <c r="AA228" s="67"/>
      <c r="AB228" s="67"/>
      <c r="AC228" s="67"/>
    </row>
    <row r="229" spans="1:68" ht="14.25" hidden="1" customHeight="1" x14ac:dyDescent="0.25">
      <c r="A229" s="714" t="s">
        <v>77</v>
      </c>
      <c r="B229" s="714"/>
      <c r="C229" s="714"/>
      <c r="D229" s="714"/>
      <c r="E229" s="714"/>
      <c r="F229" s="714"/>
      <c r="G229" s="714"/>
      <c r="H229" s="714"/>
      <c r="I229" s="714"/>
      <c r="J229" s="714"/>
      <c r="K229" s="714"/>
      <c r="L229" s="714"/>
      <c r="M229" s="714"/>
      <c r="N229" s="714"/>
      <c r="O229" s="714"/>
      <c r="P229" s="714"/>
      <c r="Q229" s="714"/>
      <c r="R229" s="714"/>
      <c r="S229" s="714"/>
      <c r="T229" s="714"/>
      <c r="U229" s="714"/>
      <c r="V229" s="714"/>
      <c r="W229" s="714"/>
      <c r="X229" s="714"/>
      <c r="Y229" s="714"/>
      <c r="Z229" s="714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715">
        <v>4680115888692</v>
      </c>
      <c r="E230" s="715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715">
        <v>4680115888722</v>
      </c>
      <c r="E231" s="715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715">
        <v>4680115888951</v>
      </c>
      <c r="E232" s="715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715">
        <v>4680115888975</v>
      </c>
      <c r="E233" s="715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715">
        <v>4680115888982</v>
      </c>
      <c r="E234" s="715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26"/>
      <c r="B235" s="726"/>
      <c r="C235" s="726"/>
      <c r="D235" s="726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7"/>
      <c r="P235" s="723" t="s">
        <v>40</v>
      </c>
      <c r="Q235" s="724"/>
      <c r="R235" s="724"/>
      <c r="S235" s="724"/>
      <c r="T235" s="724"/>
      <c r="U235" s="724"/>
      <c r="V235" s="72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6"/>
      <c r="B236" s="726"/>
      <c r="C236" s="726"/>
      <c r="D236" s="726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7"/>
      <c r="P236" s="723" t="s">
        <v>40</v>
      </c>
      <c r="Q236" s="724"/>
      <c r="R236" s="724"/>
      <c r="S236" s="724"/>
      <c r="T236" s="724"/>
      <c r="U236" s="724"/>
      <c r="V236" s="72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95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715">
        <v>4680115886780</v>
      </c>
      <c r="E238" s="715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715">
        <v>4680115886742</v>
      </c>
      <c r="E239" s="715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715">
        <v>4680115886766</v>
      </c>
      <c r="E240" s="715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6"/>
      <c r="B241" s="726"/>
      <c r="C241" s="726"/>
      <c r="D241" s="726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7"/>
      <c r="P241" s="723" t="s">
        <v>40</v>
      </c>
      <c r="Q241" s="724"/>
      <c r="R241" s="724"/>
      <c r="S241" s="724"/>
      <c r="T241" s="724"/>
      <c r="U241" s="724"/>
      <c r="V241" s="72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6"/>
      <c r="B242" s="726"/>
      <c r="C242" s="726"/>
      <c r="D242" s="726"/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7"/>
      <c r="P242" s="723" t="s">
        <v>40</v>
      </c>
      <c r="Q242" s="724"/>
      <c r="R242" s="724"/>
      <c r="S242" s="724"/>
      <c r="T242" s="724"/>
      <c r="U242" s="724"/>
      <c r="V242" s="72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422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715">
        <v>4680115886797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26"/>
      <c r="B245" s="726"/>
      <c r="C245" s="726"/>
      <c r="D245" s="726"/>
      <c r="E245" s="726"/>
      <c r="F245" s="726"/>
      <c r="G245" s="726"/>
      <c r="H245" s="726"/>
      <c r="I245" s="726"/>
      <c r="J245" s="726"/>
      <c r="K245" s="726"/>
      <c r="L245" s="726"/>
      <c r="M245" s="726"/>
      <c r="N245" s="726"/>
      <c r="O245" s="727"/>
      <c r="P245" s="723" t="s">
        <v>40</v>
      </c>
      <c r="Q245" s="724"/>
      <c r="R245" s="724"/>
      <c r="S245" s="724"/>
      <c r="T245" s="724"/>
      <c r="U245" s="724"/>
      <c r="V245" s="72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26"/>
      <c r="B246" s="726"/>
      <c r="C246" s="726"/>
      <c r="D246" s="726"/>
      <c r="E246" s="726"/>
      <c r="F246" s="726"/>
      <c r="G246" s="726"/>
      <c r="H246" s="726"/>
      <c r="I246" s="726"/>
      <c r="J246" s="726"/>
      <c r="K246" s="726"/>
      <c r="L246" s="726"/>
      <c r="M246" s="726"/>
      <c r="N246" s="726"/>
      <c r="O246" s="727"/>
      <c r="P246" s="723" t="s">
        <v>40</v>
      </c>
      <c r="Q246" s="724"/>
      <c r="R246" s="724"/>
      <c r="S246" s="724"/>
      <c r="T246" s="724"/>
      <c r="U246" s="724"/>
      <c r="V246" s="72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713" t="s">
        <v>425</v>
      </c>
      <c r="B247" s="713"/>
      <c r="C247" s="713"/>
      <c r="D247" s="713"/>
      <c r="E247" s="713"/>
      <c r="F247" s="713"/>
      <c r="G247" s="713"/>
      <c r="H247" s="713"/>
      <c r="I247" s="713"/>
      <c r="J247" s="713"/>
      <c r="K247" s="713"/>
      <c r="L247" s="713"/>
      <c r="M247" s="713"/>
      <c r="N247" s="713"/>
      <c r="O247" s="713"/>
      <c r="P247" s="713"/>
      <c r="Q247" s="713"/>
      <c r="R247" s="713"/>
      <c r="S247" s="713"/>
      <c r="T247" s="713"/>
      <c r="U247" s="713"/>
      <c r="V247" s="713"/>
      <c r="W247" s="713"/>
      <c r="X247" s="713"/>
      <c r="Y247" s="713"/>
      <c r="Z247" s="713"/>
      <c r="AA247" s="65"/>
      <c r="AB247" s="65"/>
      <c r="AC247" s="79"/>
    </row>
    <row r="248" spans="1:68" ht="14.25" hidden="1" customHeight="1" x14ac:dyDescent="0.25">
      <c r="A248" s="714" t="s">
        <v>124</v>
      </c>
      <c r="B248" s="714"/>
      <c r="C248" s="714"/>
      <c r="D248" s="714"/>
      <c r="E248" s="714"/>
      <c r="F248" s="714"/>
      <c r="G248" s="714"/>
      <c r="H248" s="714"/>
      <c r="I248" s="714"/>
      <c r="J248" s="714"/>
      <c r="K248" s="714"/>
      <c r="L248" s="714"/>
      <c r="M248" s="714"/>
      <c r="N248" s="714"/>
      <c r="O248" s="714"/>
      <c r="P248" s="714"/>
      <c r="Q248" s="714"/>
      <c r="R248" s="714"/>
      <c r="S248" s="714"/>
      <c r="T248" s="714"/>
      <c r="U248" s="714"/>
      <c r="V248" s="714"/>
      <c r="W248" s="714"/>
      <c r="X248" s="714"/>
      <c r="Y248" s="714"/>
      <c r="Z248" s="714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715">
        <v>4680115881402</v>
      </c>
      <c r="E249" s="715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717"/>
      <c r="R249" s="717"/>
      <c r="S249" s="717"/>
      <c r="T249" s="718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715">
        <v>4680115881396</v>
      </c>
      <c r="E250" s="715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715">
        <v>4680115889903</v>
      </c>
      <c r="E251" s="715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45" t="s">
        <v>432</v>
      </c>
      <c r="Q251" s="717"/>
      <c r="R251" s="717"/>
      <c r="S251" s="717"/>
      <c r="T251" s="71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6"/>
      <c r="B252" s="726"/>
      <c r="C252" s="726"/>
      <c r="D252" s="726"/>
      <c r="E252" s="726"/>
      <c r="F252" s="726"/>
      <c r="G252" s="726"/>
      <c r="H252" s="726"/>
      <c r="I252" s="726"/>
      <c r="J252" s="726"/>
      <c r="K252" s="726"/>
      <c r="L252" s="726"/>
      <c r="M252" s="726"/>
      <c r="N252" s="726"/>
      <c r="O252" s="727"/>
      <c r="P252" s="723" t="s">
        <v>40</v>
      </c>
      <c r="Q252" s="724"/>
      <c r="R252" s="724"/>
      <c r="S252" s="724"/>
      <c r="T252" s="724"/>
      <c r="U252" s="724"/>
      <c r="V252" s="72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26"/>
      <c r="B253" s="726"/>
      <c r="C253" s="726"/>
      <c r="D253" s="726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7"/>
      <c r="P253" s="723" t="s">
        <v>40</v>
      </c>
      <c r="Q253" s="724"/>
      <c r="R253" s="724"/>
      <c r="S253" s="724"/>
      <c r="T253" s="724"/>
      <c r="U253" s="724"/>
      <c r="V253" s="72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14" t="s">
        <v>161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715">
        <v>4680115882935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715">
        <v>4680115880764</v>
      </c>
      <c r="E256" s="715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6"/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7"/>
      <c r="P257" s="723" t="s">
        <v>40</v>
      </c>
      <c r="Q257" s="724"/>
      <c r="R257" s="724"/>
      <c r="S257" s="724"/>
      <c r="T257" s="724"/>
      <c r="U257" s="724"/>
      <c r="V257" s="72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256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715">
        <v>4680115882683</v>
      </c>
      <c r="E260" s="715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200</v>
      </c>
      <c r="Y260" s="55">
        <f t="shared" ref="Y260:Y267" si="31">IFERROR(IF(X260="",0,CEILING((X260/$H260),1)*$H260),"")</f>
        <v>205.20000000000002</v>
      </c>
      <c r="Z260" s="41">
        <f>IFERROR(IF(Y260=0,"",ROUNDUP(Y260/H260,0)*0.00902),"")</f>
        <v>0.34276000000000001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207.03703703703701</v>
      </c>
      <c r="BN260" s="78">
        <f t="shared" ref="BN260:BN267" si="33">IFERROR(Y260*I260/H260,"0")</f>
        <v>212.42</v>
      </c>
      <c r="BO260" s="78">
        <f t="shared" ref="BO260:BO267" si="34">IFERROR(1/J260*(X260/H260),"0")</f>
        <v>0.28058361391694725</v>
      </c>
      <c r="BP260" s="78">
        <f t="shared" ref="BP260:BP267" si="35">IFERROR(1/J260*(Y260/H260),"0")</f>
        <v>0.2878787878787879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4301031230</v>
      </c>
      <c r="D261" s="715">
        <v>4680115882690</v>
      </c>
      <c r="E261" s="715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4301031220</v>
      </c>
      <c r="D262" s="715">
        <v>4680115882669</v>
      </c>
      <c r="E262" s="715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715">
        <v>4680115882676</v>
      </c>
      <c r="E263" s="715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60</v>
      </c>
      <c r="Y263" s="55">
        <f t="shared" si="31"/>
        <v>64.800000000000011</v>
      </c>
      <c r="Z263" s="41">
        <f>IFERROR(IF(Y263=0,"",ROUNDUP(Y263/H263,0)*0.00902),"")</f>
        <v>0.10824</v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62.1111111111111</v>
      </c>
      <c r="BN263" s="78">
        <f t="shared" si="33"/>
        <v>67.08</v>
      </c>
      <c r="BO263" s="78">
        <f t="shared" si="34"/>
        <v>8.4175084175084181E-2</v>
      </c>
      <c r="BP263" s="78">
        <f t="shared" si="35"/>
        <v>9.0909090909090925E-2</v>
      </c>
    </row>
    <row r="264" spans="1:68" ht="27" customHeight="1" x14ac:dyDescent="0.25">
      <c r="A264" s="63" t="s">
        <v>451</v>
      </c>
      <c r="B264" s="63" t="s">
        <v>452</v>
      </c>
      <c r="C264" s="36">
        <v>4301031223</v>
      </c>
      <c r="D264" s="715">
        <v>4680115884014</v>
      </c>
      <c r="E264" s="715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717"/>
      <c r="R264" s="717"/>
      <c r="S264" s="717"/>
      <c r="T264" s="718"/>
      <c r="U264" s="39" t="s">
        <v>46</v>
      </c>
      <c r="V264" s="39" t="s">
        <v>46</v>
      </c>
      <c r="W264" s="40" t="s">
        <v>0</v>
      </c>
      <c r="X264" s="58">
        <v>54</v>
      </c>
      <c r="Y264" s="55">
        <f t="shared" si="31"/>
        <v>54</v>
      </c>
      <c r="Z264" s="41">
        <f>IFERROR(IF(Y264=0,"",ROUNDUP(Y264/H264,0)*0.00502),"")</f>
        <v>0.15060000000000001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57.9</v>
      </c>
      <c r="BN264" s="78">
        <f t="shared" si="33"/>
        <v>57.9</v>
      </c>
      <c r="BO264" s="78">
        <f t="shared" si="34"/>
        <v>0.12820512820512822</v>
      </c>
      <c r="BP264" s="78">
        <f t="shared" si="35"/>
        <v>0.12820512820512822</v>
      </c>
    </row>
    <row r="265" spans="1:68" ht="27" customHeight="1" x14ac:dyDescent="0.25">
      <c r="A265" s="63" t="s">
        <v>453</v>
      </c>
      <c r="B265" s="63" t="s">
        <v>454</v>
      </c>
      <c r="C265" s="36">
        <v>4301031222</v>
      </c>
      <c r="D265" s="715">
        <v>4680115884007</v>
      </c>
      <c r="E265" s="715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24</v>
      </c>
      <c r="Y265" s="55">
        <f t="shared" si="31"/>
        <v>25.2</v>
      </c>
      <c r="Z265" s="41">
        <f>IFERROR(IF(Y265=0,"",ROUNDUP(Y265/H265,0)*0.00502),"")</f>
        <v>7.0280000000000009E-2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25.333333333333329</v>
      </c>
      <c r="BN265" s="78">
        <f t="shared" si="33"/>
        <v>26.599999999999998</v>
      </c>
      <c r="BO265" s="78">
        <f t="shared" si="34"/>
        <v>5.6980056980056981E-2</v>
      </c>
      <c r="BP265" s="78">
        <f t="shared" si="35"/>
        <v>5.9829059829059839E-2</v>
      </c>
    </row>
    <row r="266" spans="1:68" ht="27" customHeight="1" x14ac:dyDescent="0.25">
      <c r="A266" s="63" t="s">
        <v>455</v>
      </c>
      <c r="B266" s="63" t="s">
        <v>456</v>
      </c>
      <c r="C266" s="36">
        <v>4301031229</v>
      </c>
      <c r="D266" s="715">
        <v>4680115884038</v>
      </c>
      <c r="E266" s="715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45</v>
      </c>
      <c r="Y266" s="55">
        <f t="shared" si="31"/>
        <v>45</v>
      </c>
      <c r="Z266" s="41">
        <f>IFERROR(IF(Y266=0,"",ROUNDUP(Y266/H266,0)*0.00502),"")</f>
        <v>0.1255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47.5</v>
      </c>
      <c r="BN266" s="78">
        <f t="shared" si="33"/>
        <v>47.5</v>
      </c>
      <c r="BO266" s="78">
        <f t="shared" si="34"/>
        <v>0.10683760683760685</v>
      </c>
      <c r="BP266" s="78">
        <f t="shared" si="35"/>
        <v>0.10683760683760685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715">
        <v>4680115884021</v>
      </c>
      <c r="E267" s="715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726"/>
      <c r="B268" s="726"/>
      <c r="C268" s="726"/>
      <c r="D268" s="726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7"/>
      <c r="P268" s="723" t="s">
        <v>40</v>
      </c>
      <c r="Q268" s="724"/>
      <c r="R268" s="724"/>
      <c r="S268" s="724"/>
      <c r="T268" s="724"/>
      <c r="U268" s="724"/>
      <c r="V268" s="72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116.48148148148148</v>
      </c>
      <c r="Y268" s="43">
        <f>IFERROR(Y260/H260,"0")+IFERROR(Y261/H261,"0")+IFERROR(Y262/H262,"0")+IFERROR(Y263/H263,"0")+IFERROR(Y264/H264,"0")+IFERROR(Y265/H265,"0")+IFERROR(Y266/H266,"0")+IFERROR(Y267/H267,"0")</f>
        <v>119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0.79737999999999998</v>
      </c>
      <c r="AA268" s="67"/>
      <c r="AB268" s="67"/>
      <c r="AC268" s="67"/>
    </row>
    <row r="269" spans="1:68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2" t="s">
        <v>0</v>
      </c>
      <c r="X269" s="43">
        <f>IFERROR(SUM(X260:X267),"0")</f>
        <v>383</v>
      </c>
      <c r="Y269" s="43">
        <f>IFERROR(SUM(Y260:Y267),"0")</f>
        <v>394.2</v>
      </c>
      <c r="Z269" s="42"/>
      <c r="AA269" s="67"/>
      <c r="AB269" s="67"/>
      <c r="AC269" s="67"/>
    </row>
    <row r="270" spans="1:68" ht="14.25" hidden="1" customHeight="1" x14ac:dyDescent="0.25">
      <c r="A270" s="714" t="s">
        <v>77</v>
      </c>
      <c r="B270" s="714"/>
      <c r="C270" s="714"/>
      <c r="D270" s="714"/>
      <c r="E270" s="714"/>
      <c r="F270" s="714"/>
      <c r="G270" s="714"/>
      <c r="H270" s="714"/>
      <c r="I270" s="714"/>
      <c r="J270" s="714"/>
      <c r="K270" s="714"/>
      <c r="L270" s="714"/>
      <c r="M270" s="714"/>
      <c r="N270" s="714"/>
      <c r="O270" s="714"/>
      <c r="P270" s="714"/>
      <c r="Q270" s="714"/>
      <c r="R270" s="714"/>
      <c r="S270" s="714"/>
      <c r="T270" s="714"/>
      <c r="U270" s="714"/>
      <c r="V270" s="714"/>
      <c r="W270" s="714"/>
      <c r="X270" s="714"/>
      <c r="Y270" s="714"/>
      <c r="Z270" s="714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715">
        <v>4680115889873</v>
      </c>
      <c r="E271" s="715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56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715">
        <v>4680115881594</v>
      </c>
      <c r="E272" s="715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4301051411</v>
      </c>
      <c r="D273" s="715">
        <v>4680115881617</v>
      </c>
      <c r="E273" s="715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50</v>
      </c>
      <c r="Y273" s="55">
        <f t="shared" si="36"/>
        <v>56.699999999999996</v>
      </c>
      <c r="Z273" s="41">
        <f>IFERROR(IF(Y273=0,"",ROUNDUP(Y273/H273,0)*0.01898),"")</f>
        <v>0.13286000000000001</v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52.938271604938272</v>
      </c>
      <c r="BN273" s="78">
        <f t="shared" si="38"/>
        <v>60.031999999999996</v>
      </c>
      <c r="BO273" s="78">
        <f t="shared" si="39"/>
        <v>9.6450617283950615E-2</v>
      </c>
      <c r="BP273" s="78">
        <f t="shared" si="40"/>
        <v>0.109375</v>
      </c>
    </row>
    <row r="274" spans="1:68" ht="27" customHeight="1" x14ac:dyDescent="0.25">
      <c r="A274" s="63" t="s">
        <v>468</v>
      </c>
      <c r="B274" s="63" t="s">
        <v>469</v>
      </c>
      <c r="C274" s="36">
        <v>4301051656</v>
      </c>
      <c r="D274" s="715">
        <v>4680115880573</v>
      </c>
      <c r="E274" s="715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150</v>
      </c>
      <c r="Y274" s="55">
        <f t="shared" si="36"/>
        <v>156.6</v>
      </c>
      <c r="Z274" s="41">
        <f>IFERROR(IF(Y274=0,"",ROUNDUP(Y274/H274,0)*0.01898),"")</f>
        <v>0.34164</v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158.51724137931038</v>
      </c>
      <c r="BN274" s="78">
        <f t="shared" si="38"/>
        <v>165.49200000000002</v>
      </c>
      <c r="BO274" s="78">
        <f t="shared" si="39"/>
        <v>0.26939655172413796</v>
      </c>
      <c r="BP274" s="78">
        <f t="shared" si="40"/>
        <v>0.28125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715">
        <v>4680115882195</v>
      </c>
      <c r="E275" s="715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717"/>
      <c r="R275" s="717"/>
      <c r="S275" s="717"/>
      <c r="T275" s="718"/>
      <c r="U275" s="39" t="s">
        <v>46</v>
      </c>
      <c r="V275" s="39" t="s">
        <v>46</v>
      </c>
      <c r="W275" s="40" t="s">
        <v>0</v>
      </c>
      <c r="X275" s="58">
        <v>160</v>
      </c>
      <c r="Y275" s="55">
        <f t="shared" si="36"/>
        <v>160.79999999999998</v>
      </c>
      <c r="Z275" s="41">
        <f>IFERROR(IF(Y275=0,"",ROUNDUP(Y275/H275,0)*0.00651),"")</f>
        <v>0.43617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178</v>
      </c>
      <c r="BN275" s="78">
        <f t="shared" si="38"/>
        <v>178.89</v>
      </c>
      <c r="BO275" s="78">
        <f t="shared" si="39"/>
        <v>0.36630036630036633</v>
      </c>
      <c r="BP275" s="78">
        <f t="shared" si="40"/>
        <v>0.36813186813186816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715">
        <v>4680115882607</v>
      </c>
      <c r="E276" s="715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717"/>
      <c r="R276" s="717"/>
      <c r="S276" s="717"/>
      <c r="T276" s="71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715">
        <v>4680115880092</v>
      </c>
      <c r="E277" s="715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200</v>
      </c>
      <c r="Y277" s="55">
        <f t="shared" si="36"/>
        <v>201.6</v>
      </c>
      <c r="Z277" s="41">
        <f>IFERROR(IF(Y277=0,"",ROUNDUP(Y277/H277,0)*0.00651),"")</f>
        <v>0.54683999999999999</v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221</v>
      </c>
      <c r="BN277" s="78">
        <f t="shared" si="38"/>
        <v>222.768</v>
      </c>
      <c r="BO277" s="78">
        <f t="shared" si="39"/>
        <v>0.45787545787545797</v>
      </c>
      <c r="BP277" s="78">
        <f t="shared" si="40"/>
        <v>0.46153846153846156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715">
        <v>4680115889064</v>
      </c>
      <c r="E278" s="715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715">
        <v>4680115880221</v>
      </c>
      <c r="E279" s="715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715">
        <v>4680115880504</v>
      </c>
      <c r="E280" s="71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40</v>
      </c>
      <c r="Y280" s="55">
        <f t="shared" si="36"/>
        <v>40.799999999999997</v>
      </c>
      <c r="Z280" s="41">
        <f>IFERROR(IF(Y280=0,"",ROUNDUP(Y280/H280,0)*0.00651),"")</f>
        <v>0.11067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44.20000000000001</v>
      </c>
      <c r="BN280" s="78">
        <f t="shared" si="38"/>
        <v>45.084000000000003</v>
      </c>
      <c r="BO280" s="78">
        <f t="shared" si="39"/>
        <v>9.1575091575091583E-2</v>
      </c>
      <c r="BP280" s="78">
        <f t="shared" si="40"/>
        <v>9.3406593406593408E-2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715">
        <v>4680115882164</v>
      </c>
      <c r="E281" s="715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40</v>
      </c>
      <c r="Y281" s="55">
        <f t="shared" si="36"/>
        <v>40.799999999999997</v>
      </c>
      <c r="Z281" s="41">
        <f>IFERROR(IF(Y281=0,"",ROUNDUP(Y281/H281,0)*0.00651),"")</f>
        <v>0.11067</v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44.3</v>
      </c>
      <c r="BN281" s="78">
        <f t="shared" si="38"/>
        <v>45.185999999999993</v>
      </c>
      <c r="BO281" s="78">
        <f t="shared" si="39"/>
        <v>9.1575091575091583E-2</v>
      </c>
      <c r="BP281" s="78">
        <f t="shared" si="40"/>
        <v>9.3406593406593408E-2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715">
        <v>4680115888340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726"/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7"/>
      <c r="P283" s="723" t="s">
        <v>40</v>
      </c>
      <c r="Q283" s="724"/>
      <c r="R283" s="724"/>
      <c r="S283" s="724"/>
      <c r="T283" s="724"/>
      <c r="U283" s="724"/>
      <c r="V283" s="72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206.747552149851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210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1.6788500000000002</v>
      </c>
      <c r="AA283" s="67"/>
      <c r="AB283" s="67"/>
      <c r="AC283" s="67"/>
    </row>
    <row r="284" spans="1:68" x14ac:dyDescent="0.2">
      <c r="A284" s="726"/>
      <c r="B284" s="726"/>
      <c r="C284" s="726"/>
      <c r="D284" s="726"/>
      <c r="E284" s="726"/>
      <c r="F284" s="726"/>
      <c r="G284" s="726"/>
      <c r="H284" s="726"/>
      <c r="I284" s="726"/>
      <c r="J284" s="726"/>
      <c r="K284" s="726"/>
      <c r="L284" s="726"/>
      <c r="M284" s="726"/>
      <c r="N284" s="726"/>
      <c r="O284" s="727"/>
      <c r="P284" s="723" t="s">
        <v>40</v>
      </c>
      <c r="Q284" s="724"/>
      <c r="R284" s="724"/>
      <c r="S284" s="724"/>
      <c r="T284" s="724"/>
      <c r="U284" s="724"/>
      <c r="V284" s="725"/>
      <c r="W284" s="42" t="s">
        <v>0</v>
      </c>
      <c r="X284" s="43">
        <f>IFERROR(SUM(X271:X282),"0")</f>
        <v>640</v>
      </c>
      <c r="Y284" s="43">
        <f>IFERROR(SUM(Y271:Y282),"0")</f>
        <v>657.29999999999984</v>
      </c>
      <c r="Z284" s="42"/>
      <c r="AA284" s="67"/>
      <c r="AB284" s="67"/>
      <c r="AC284" s="67"/>
    </row>
    <row r="285" spans="1:68" ht="14.25" hidden="1" customHeight="1" x14ac:dyDescent="0.25">
      <c r="A285" s="714" t="s">
        <v>179</v>
      </c>
      <c r="B285" s="714"/>
      <c r="C285" s="714"/>
      <c r="D285" s="714"/>
      <c r="E285" s="714"/>
      <c r="F285" s="714"/>
      <c r="G285" s="714"/>
      <c r="H285" s="714"/>
      <c r="I285" s="714"/>
      <c r="J285" s="714"/>
      <c r="K285" s="714"/>
      <c r="L285" s="714"/>
      <c r="M285" s="714"/>
      <c r="N285" s="714"/>
      <c r="O285" s="714"/>
      <c r="P285" s="714"/>
      <c r="Q285" s="714"/>
      <c r="R285" s="714"/>
      <c r="S285" s="714"/>
      <c r="T285" s="714"/>
      <c r="U285" s="714"/>
      <c r="V285" s="714"/>
      <c r="W285" s="714"/>
      <c r="X285" s="714"/>
      <c r="Y285" s="714"/>
      <c r="Z285" s="714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715">
        <v>4680115880818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493</v>
      </c>
      <c r="B287" s="63" t="s">
        <v>494</v>
      </c>
      <c r="C287" s="36">
        <v>4301060389</v>
      </c>
      <c r="D287" s="715">
        <v>4680115880801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20</v>
      </c>
      <c r="Y287" s="55">
        <f>IFERROR(IF(X287="",0,CEILING((X287/$H287),1)*$H287),"")</f>
        <v>21.599999999999998</v>
      </c>
      <c r="Z287" s="41">
        <f>IFERROR(IF(Y287=0,"",ROUNDUP(Y287/H287,0)*0.00651),"")</f>
        <v>5.8590000000000003E-2</v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22.100000000000005</v>
      </c>
      <c r="BN287" s="78">
        <f>IFERROR(Y287*I287/H287,"0")</f>
        <v>23.868000000000002</v>
      </c>
      <c r="BO287" s="78">
        <f>IFERROR(1/J287*(X287/H287),"0")</f>
        <v>4.5787545787545791E-2</v>
      </c>
      <c r="BP287" s="78">
        <f>IFERROR(1/J287*(Y287/H287),"0")</f>
        <v>4.9450549450549455E-2</v>
      </c>
    </row>
    <row r="288" spans="1:68" x14ac:dyDescent="0.2">
      <c r="A288" s="726"/>
      <c r="B288" s="726"/>
      <c r="C288" s="726"/>
      <c r="D288" s="726"/>
      <c r="E288" s="726"/>
      <c r="F288" s="726"/>
      <c r="G288" s="726"/>
      <c r="H288" s="726"/>
      <c r="I288" s="726"/>
      <c r="J288" s="726"/>
      <c r="K288" s="726"/>
      <c r="L288" s="726"/>
      <c r="M288" s="726"/>
      <c r="N288" s="726"/>
      <c r="O288" s="727"/>
      <c r="P288" s="723" t="s">
        <v>40</v>
      </c>
      <c r="Q288" s="724"/>
      <c r="R288" s="724"/>
      <c r="S288" s="724"/>
      <c r="T288" s="724"/>
      <c r="U288" s="724"/>
      <c r="V288" s="725"/>
      <c r="W288" s="42" t="s">
        <v>39</v>
      </c>
      <c r="X288" s="43">
        <f>IFERROR(X286/H286,"0")+IFERROR(X287/H287,"0")</f>
        <v>8.3333333333333339</v>
      </c>
      <c r="Y288" s="43">
        <f>IFERROR(Y286/H286,"0")+IFERROR(Y287/H287,"0")</f>
        <v>9</v>
      </c>
      <c r="Z288" s="43">
        <f>IFERROR(IF(Z286="",0,Z286),"0")+IFERROR(IF(Z287="",0,Z287),"0")</f>
        <v>5.8590000000000003E-2</v>
      </c>
      <c r="AA288" s="67"/>
      <c r="AB288" s="67"/>
      <c r="AC288" s="67"/>
    </row>
    <row r="289" spans="1:68" x14ac:dyDescent="0.2">
      <c r="A289" s="726"/>
      <c r="B289" s="726"/>
      <c r="C289" s="726"/>
      <c r="D289" s="726"/>
      <c r="E289" s="726"/>
      <c r="F289" s="726"/>
      <c r="G289" s="726"/>
      <c r="H289" s="726"/>
      <c r="I289" s="726"/>
      <c r="J289" s="726"/>
      <c r="K289" s="726"/>
      <c r="L289" s="726"/>
      <c r="M289" s="726"/>
      <c r="N289" s="726"/>
      <c r="O289" s="727"/>
      <c r="P289" s="723" t="s">
        <v>40</v>
      </c>
      <c r="Q289" s="724"/>
      <c r="R289" s="724"/>
      <c r="S289" s="724"/>
      <c r="T289" s="724"/>
      <c r="U289" s="724"/>
      <c r="V289" s="725"/>
      <c r="W289" s="42" t="s">
        <v>0</v>
      </c>
      <c r="X289" s="43">
        <f>IFERROR(SUM(X286:X287),"0")</f>
        <v>20</v>
      </c>
      <c r="Y289" s="43">
        <f>IFERROR(SUM(Y286:Y287),"0")</f>
        <v>21.599999999999998</v>
      </c>
      <c r="Z289" s="42"/>
      <c r="AA289" s="67"/>
      <c r="AB289" s="67"/>
      <c r="AC289" s="67"/>
    </row>
    <row r="290" spans="1:68" ht="16.5" hidden="1" customHeight="1" x14ac:dyDescent="0.25">
      <c r="A290" s="713" t="s">
        <v>496</v>
      </c>
      <c r="B290" s="713"/>
      <c r="C290" s="713"/>
      <c r="D290" s="713"/>
      <c r="E290" s="713"/>
      <c r="F290" s="713"/>
      <c r="G290" s="713"/>
      <c r="H290" s="713"/>
      <c r="I290" s="713"/>
      <c r="J290" s="713"/>
      <c r="K290" s="713"/>
      <c r="L290" s="713"/>
      <c r="M290" s="713"/>
      <c r="N290" s="713"/>
      <c r="O290" s="713"/>
      <c r="P290" s="713"/>
      <c r="Q290" s="713"/>
      <c r="R290" s="713"/>
      <c r="S290" s="713"/>
      <c r="T290" s="713"/>
      <c r="U290" s="713"/>
      <c r="V290" s="713"/>
      <c r="W290" s="713"/>
      <c r="X290" s="713"/>
      <c r="Y290" s="713"/>
      <c r="Z290" s="713"/>
      <c r="AA290" s="65"/>
      <c r="AB290" s="65"/>
      <c r="AC290" s="79"/>
    </row>
    <row r="291" spans="1:68" ht="14.25" hidden="1" customHeight="1" x14ac:dyDescent="0.25">
      <c r="A291" s="714" t="s">
        <v>124</v>
      </c>
      <c r="B291" s="714"/>
      <c r="C291" s="714"/>
      <c r="D291" s="714"/>
      <c r="E291" s="714"/>
      <c r="F291" s="714"/>
      <c r="G291" s="714"/>
      <c r="H291" s="714"/>
      <c r="I291" s="714"/>
      <c r="J291" s="714"/>
      <c r="K291" s="714"/>
      <c r="L291" s="714"/>
      <c r="M291" s="714"/>
      <c r="N291" s="714"/>
      <c r="O291" s="714"/>
      <c r="P291" s="714"/>
      <c r="Q291" s="714"/>
      <c r="R291" s="714"/>
      <c r="S291" s="714"/>
      <c r="T291" s="714"/>
      <c r="U291" s="714"/>
      <c r="V291" s="714"/>
      <c r="W291" s="714"/>
      <c r="X291" s="714"/>
      <c r="Y291" s="714"/>
      <c r="Z291" s="714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715">
        <v>4680115884137</v>
      </c>
      <c r="E292" s="715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715">
        <v>4680115884236</v>
      </c>
      <c r="E293" s="715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715">
        <v>4680115884175</v>
      </c>
      <c r="E294" s="715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715">
        <v>4680115884144</v>
      </c>
      <c r="E295" s="715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717"/>
      <c r="R295" s="717"/>
      <c r="S295" s="717"/>
      <c r="T295" s="718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715">
        <v>4680115886551</v>
      </c>
      <c r="E296" s="715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717"/>
      <c r="R296" s="717"/>
      <c r="S296" s="717"/>
      <c r="T296" s="718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715">
        <v>4680115887282</v>
      </c>
      <c r="E297" s="715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715">
        <v>4680115884205</v>
      </c>
      <c r="E298" s="715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726"/>
      <c r="B299" s="726"/>
      <c r="C299" s="726"/>
      <c r="D299" s="726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7"/>
      <c r="P299" s="723" t="s">
        <v>40</v>
      </c>
      <c r="Q299" s="724"/>
      <c r="R299" s="724"/>
      <c r="S299" s="724"/>
      <c r="T299" s="724"/>
      <c r="U299" s="724"/>
      <c r="V299" s="72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14" t="s">
        <v>161</v>
      </c>
      <c r="B301" s="714"/>
      <c r="C301" s="714"/>
      <c r="D301" s="714"/>
      <c r="E301" s="714"/>
      <c r="F301" s="714"/>
      <c r="G301" s="714"/>
      <c r="H301" s="714"/>
      <c r="I301" s="714"/>
      <c r="J301" s="714"/>
      <c r="K301" s="714"/>
      <c r="L301" s="714"/>
      <c r="M301" s="714"/>
      <c r="N301" s="714"/>
      <c r="O301" s="714"/>
      <c r="P301" s="714"/>
      <c r="Q301" s="714"/>
      <c r="R301" s="714"/>
      <c r="S301" s="714"/>
      <c r="T301" s="714"/>
      <c r="U301" s="714"/>
      <c r="V301" s="714"/>
      <c r="W301" s="714"/>
      <c r="X301" s="714"/>
      <c r="Y301" s="714"/>
      <c r="Z301" s="714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715">
        <v>4680115885981</v>
      </c>
      <c r="E302" s="715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726"/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7"/>
      <c r="P303" s="723" t="s">
        <v>40</v>
      </c>
      <c r="Q303" s="724"/>
      <c r="R303" s="724"/>
      <c r="S303" s="724"/>
      <c r="T303" s="724"/>
      <c r="U303" s="724"/>
      <c r="V303" s="72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726"/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7"/>
      <c r="P304" s="723" t="s">
        <v>40</v>
      </c>
      <c r="Q304" s="724"/>
      <c r="R304" s="724"/>
      <c r="S304" s="724"/>
      <c r="T304" s="724"/>
      <c r="U304" s="724"/>
      <c r="V304" s="72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714" t="s">
        <v>518</v>
      </c>
      <c r="B305" s="714"/>
      <c r="C305" s="714"/>
      <c r="D305" s="714"/>
      <c r="E305" s="714"/>
      <c r="F305" s="714"/>
      <c r="G305" s="714"/>
      <c r="H305" s="714"/>
      <c r="I305" s="714"/>
      <c r="J305" s="714"/>
      <c r="K305" s="714"/>
      <c r="L305" s="714"/>
      <c r="M305" s="714"/>
      <c r="N305" s="714"/>
      <c r="O305" s="714"/>
      <c r="P305" s="714"/>
      <c r="Q305" s="714"/>
      <c r="R305" s="714"/>
      <c r="S305" s="714"/>
      <c r="T305" s="714"/>
      <c r="U305" s="714"/>
      <c r="V305" s="714"/>
      <c r="W305" s="714"/>
      <c r="X305" s="714"/>
      <c r="Y305" s="714"/>
      <c r="Z305" s="714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715">
        <v>4680115886803</v>
      </c>
      <c r="E306" s="715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717"/>
      <c r="R306" s="717"/>
      <c r="S306" s="717"/>
      <c r="T306" s="718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726"/>
      <c r="B307" s="726"/>
      <c r="C307" s="726"/>
      <c r="D307" s="726"/>
      <c r="E307" s="726"/>
      <c r="F307" s="726"/>
      <c r="G307" s="726"/>
      <c r="H307" s="726"/>
      <c r="I307" s="726"/>
      <c r="J307" s="726"/>
      <c r="K307" s="726"/>
      <c r="L307" s="726"/>
      <c r="M307" s="726"/>
      <c r="N307" s="726"/>
      <c r="O307" s="727"/>
      <c r="P307" s="723" t="s">
        <v>40</v>
      </c>
      <c r="Q307" s="724"/>
      <c r="R307" s="724"/>
      <c r="S307" s="724"/>
      <c r="T307" s="724"/>
      <c r="U307" s="724"/>
      <c r="V307" s="72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726"/>
      <c r="B308" s="726"/>
      <c r="C308" s="726"/>
      <c r="D308" s="726"/>
      <c r="E308" s="726"/>
      <c r="F308" s="726"/>
      <c r="G308" s="726"/>
      <c r="H308" s="726"/>
      <c r="I308" s="726"/>
      <c r="J308" s="726"/>
      <c r="K308" s="726"/>
      <c r="L308" s="726"/>
      <c r="M308" s="726"/>
      <c r="N308" s="726"/>
      <c r="O308" s="727"/>
      <c r="P308" s="723" t="s">
        <v>40</v>
      </c>
      <c r="Q308" s="724"/>
      <c r="R308" s="724"/>
      <c r="S308" s="724"/>
      <c r="T308" s="724"/>
      <c r="U308" s="724"/>
      <c r="V308" s="72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714" t="s">
        <v>336</v>
      </c>
      <c r="B309" s="714"/>
      <c r="C309" s="714"/>
      <c r="D309" s="714"/>
      <c r="E309" s="714"/>
      <c r="F309" s="714"/>
      <c r="G309" s="714"/>
      <c r="H309" s="714"/>
      <c r="I309" s="714"/>
      <c r="J309" s="714"/>
      <c r="K309" s="714"/>
      <c r="L309" s="714"/>
      <c r="M309" s="714"/>
      <c r="N309" s="714"/>
      <c r="O309" s="714"/>
      <c r="P309" s="714"/>
      <c r="Q309" s="714"/>
      <c r="R309" s="714"/>
      <c r="S309" s="714"/>
      <c r="T309" s="714"/>
      <c r="U309" s="714"/>
      <c r="V309" s="714"/>
      <c r="W309" s="714"/>
      <c r="X309" s="714"/>
      <c r="Y309" s="714"/>
      <c r="Z309" s="714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715">
        <v>4680115886681</v>
      </c>
      <c r="E310" s="715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8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717"/>
      <c r="R310" s="717"/>
      <c r="S310" s="717"/>
      <c r="T310" s="718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715">
        <v>4680115886735</v>
      </c>
      <c r="E311" s="715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8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715">
        <v>4680115886728</v>
      </c>
      <c r="E312" s="715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8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717"/>
      <c r="R312" s="717"/>
      <c r="S312" s="717"/>
      <c r="T312" s="718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715">
        <v>4680115886711</v>
      </c>
      <c r="E313" s="715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8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6"/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7"/>
      <c r="P314" s="723" t="s">
        <v>40</v>
      </c>
      <c r="Q314" s="724"/>
      <c r="R314" s="724"/>
      <c r="S314" s="724"/>
      <c r="T314" s="724"/>
      <c r="U314" s="724"/>
      <c r="V314" s="72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713" t="s">
        <v>531</v>
      </c>
      <c r="B316" s="713"/>
      <c r="C316" s="713"/>
      <c r="D316" s="713"/>
      <c r="E316" s="713"/>
      <c r="F316" s="713"/>
      <c r="G316" s="713"/>
      <c r="H316" s="713"/>
      <c r="I316" s="713"/>
      <c r="J316" s="713"/>
      <c r="K316" s="713"/>
      <c r="L316" s="713"/>
      <c r="M316" s="713"/>
      <c r="N316" s="713"/>
      <c r="O316" s="713"/>
      <c r="P316" s="713"/>
      <c r="Q316" s="713"/>
      <c r="R316" s="713"/>
      <c r="S316" s="713"/>
      <c r="T316" s="713"/>
      <c r="U316" s="713"/>
      <c r="V316" s="713"/>
      <c r="W316" s="713"/>
      <c r="X316" s="713"/>
      <c r="Y316" s="713"/>
      <c r="Z316" s="713"/>
      <c r="AA316" s="65"/>
      <c r="AB316" s="65"/>
      <c r="AC316" s="79"/>
    </row>
    <row r="317" spans="1:68" ht="14.25" hidden="1" customHeight="1" x14ac:dyDescent="0.25">
      <c r="A317" s="714" t="s">
        <v>124</v>
      </c>
      <c r="B317" s="714"/>
      <c r="C317" s="714"/>
      <c r="D317" s="714"/>
      <c r="E317" s="714"/>
      <c r="F317" s="714"/>
      <c r="G317" s="714"/>
      <c r="H317" s="714"/>
      <c r="I317" s="714"/>
      <c r="J317" s="714"/>
      <c r="K317" s="714"/>
      <c r="L317" s="714"/>
      <c r="M317" s="714"/>
      <c r="N317" s="714"/>
      <c r="O317" s="714"/>
      <c r="P317" s="714"/>
      <c r="Q317" s="714"/>
      <c r="R317" s="714"/>
      <c r="S317" s="714"/>
      <c r="T317" s="714"/>
      <c r="U317" s="714"/>
      <c r="V317" s="714"/>
      <c r="W317" s="714"/>
      <c r="X317" s="714"/>
      <c r="Y317" s="714"/>
      <c r="Z317" s="714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715">
        <v>4680115889507</v>
      </c>
      <c r="E318" s="715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715">
        <v>4680115885837</v>
      </c>
      <c r="E319" s="715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8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715">
        <v>4680115887077</v>
      </c>
      <c r="E320" s="715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885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717"/>
      <c r="R320" s="717"/>
      <c r="S320" s="717"/>
      <c r="T320" s="718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715">
        <v>4680115889637</v>
      </c>
      <c r="E321" s="715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88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717"/>
      <c r="R321" s="717"/>
      <c r="S321" s="717"/>
      <c r="T321" s="718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715">
        <v>4680115887237</v>
      </c>
      <c r="E322" s="715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88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717"/>
      <c r="R322" s="717"/>
      <c r="S322" s="717"/>
      <c r="T322" s="718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715">
        <v>4680115885806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88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715">
        <v>4680115885844</v>
      </c>
      <c r="E324" s="715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715">
        <v>4680115885820</v>
      </c>
      <c r="E325" s="715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726"/>
      <c r="B326" s="726"/>
      <c r="C326" s="726"/>
      <c r="D326" s="726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7"/>
      <c r="P326" s="723" t="s">
        <v>40</v>
      </c>
      <c r="Q326" s="724"/>
      <c r="R326" s="724"/>
      <c r="S326" s="724"/>
      <c r="T326" s="724"/>
      <c r="U326" s="724"/>
      <c r="V326" s="72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726"/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7"/>
      <c r="P327" s="723" t="s">
        <v>40</v>
      </c>
      <c r="Q327" s="724"/>
      <c r="R327" s="724"/>
      <c r="S327" s="724"/>
      <c r="T327" s="724"/>
      <c r="U327" s="724"/>
      <c r="V327" s="72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713" t="s">
        <v>556</v>
      </c>
      <c r="B328" s="713"/>
      <c r="C328" s="713"/>
      <c r="D328" s="713"/>
      <c r="E328" s="713"/>
      <c r="F328" s="713"/>
      <c r="G328" s="713"/>
      <c r="H328" s="713"/>
      <c r="I328" s="713"/>
      <c r="J328" s="713"/>
      <c r="K328" s="713"/>
      <c r="L328" s="713"/>
      <c r="M328" s="713"/>
      <c r="N328" s="713"/>
      <c r="O328" s="713"/>
      <c r="P328" s="713"/>
      <c r="Q328" s="713"/>
      <c r="R328" s="713"/>
      <c r="S328" s="713"/>
      <c r="T328" s="713"/>
      <c r="U328" s="713"/>
      <c r="V328" s="713"/>
      <c r="W328" s="713"/>
      <c r="X328" s="713"/>
      <c r="Y328" s="713"/>
      <c r="Z328" s="713"/>
      <c r="AA328" s="65"/>
      <c r="AB328" s="65"/>
      <c r="AC328" s="79"/>
    </row>
    <row r="329" spans="1:68" ht="14.25" hidden="1" customHeight="1" x14ac:dyDescent="0.25">
      <c r="A329" s="714" t="s">
        <v>77</v>
      </c>
      <c r="B329" s="714"/>
      <c r="C329" s="714"/>
      <c r="D329" s="714"/>
      <c r="E329" s="714"/>
      <c r="F329" s="714"/>
      <c r="G329" s="714"/>
      <c r="H329" s="714"/>
      <c r="I329" s="714"/>
      <c r="J329" s="714"/>
      <c r="K329" s="714"/>
      <c r="L329" s="714"/>
      <c r="M329" s="714"/>
      <c r="N329" s="714"/>
      <c r="O329" s="714"/>
      <c r="P329" s="714"/>
      <c r="Q329" s="714"/>
      <c r="R329" s="714"/>
      <c r="S329" s="714"/>
      <c r="T329" s="714"/>
      <c r="U329" s="714"/>
      <c r="V329" s="714"/>
      <c r="W329" s="714"/>
      <c r="X329" s="714"/>
      <c r="Y329" s="714"/>
      <c r="Z329" s="714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715">
        <v>4680115886186</v>
      </c>
      <c r="E330" s="715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89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717"/>
      <c r="R330" s="717"/>
      <c r="S330" s="717"/>
      <c r="T330" s="71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560</v>
      </c>
      <c r="B331" s="63" t="s">
        <v>561</v>
      </c>
      <c r="C331" s="36">
        <v>4301051795</v>
      </c>
      <c r="D331" s="715">
        <v>4680115881228</v>
      </c>
      <c r="E331" s="715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89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717"/>
      <c r="R331" s="717"/>
      <c r="S331" s="717"/>
      <c r="T331" s="718"/>
      <c r="U331" s="39" t="s">
        <v>46</v>
      </c>
      <c r="V331" s="39" t="s">
        <v>46</v>
      </c>
      <c r="W331" s="40" t="s">
        <v>0</v>
      </c>
      <c r="X331" s="58">
        <v>80</v>
      </c>
      <c r="Y331" s="55">
        <f>IFERROR(IF(X331="",0,CEILING((X331/$H331),1)*$H331),"")</f>
        <v>81.599999999999994</v>
      </c>
      <c r="Z331" s="41">
        <f>IFERROR(IF(Y331=0,"",ROUNDUP(Y331/H331,0)*0.00651),"")</f>
        <v>0.22134000000000001</v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88.40000000000002</v>
      </c>
      <c r="BN331" s="78">
        <f>IFERROR(Y331*I331/H331,"0")</f>
        <v>90.168000000000006</v>
      </c>
      <c r="BO331" s="78">
        <f>IFERROR(1/J331*(X331/H331),"0")</f>
        <v>0.18315018315018317</v>
      </c>
      <c r="BP331" s="78">
        <f>IFERROR(1/J331*(Y331/H331),"0")</f>
        <v>0.18681318681318682</v>
      </c>
    </row>
    <row r="332" spans="1:68" ht="27" customHeight="1" x14ac:dyDescent="0.25">
      <c r="A332" s="63" t="s">
        <v>563</v>
      </c>
      <c r="B332" s="63" t="s">
        <v>564</v>
      </c>
      <c r="C332" s="36">
        <v>4301051388</v>
      </c>
      <c r="D332" s="715">
        <v>4680115881211</v>
      </c>
      <c r="E332" s="715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717"/>
      <c r="R332" s="717"/>
      <c r="S332" s="717"/>
      <c r="T332" s="718"/>
      <c r="U332" s="39" t="s">
        <v>46</v>
      </c>
      <c r="V332" s="39" t="s">
        <v>46</v>
      </c>
      <c r="W332" s="40" t="s">
        <v>0</v>
      </c>
      <c r="X332" s="58">
        <v>100</v>
      </c>
      <c r="Y332" s="55">
        <f>IFERROR(IF(X332="",0,CEILING((X332/$H332),1)*$H332),"")</f>
        <v>100.8</v>
      </c>
      <c r="Z332" s="41">
        <f>IFERROR(IF(Y332=0,"",ROUNDUP(Y332/H332,0)*0.00651),"")</f>
        <v>0.27342</v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107.5</v>
      </c>
      <c r="BN332" s="78">
        <f>IFERROR(Y332*I332/H332,"0")</f>
        <v>108.36000000000001</v>
      </c>
      <c r="BO332" s="78">
        <f>IFERROR(1/J332*(X332/H332),"0")</f>
        <v>0.22893772893772898</v>
      </c>
      <c r="BP332" s="78">
        <f>IFERROR(1/J332*(Y332/H332),"0")</f>
        <v>0.23076923076923078</v>
      </c>
    </row>
    <row r="333" spans="1:68" x14ac:dyDescent="0.2">
      <c r="A333" s="726"/>
      <c r="B333" s="726"/>
      <c r="C333" s="726"/>
      <c r="D333" s="726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7"/>
      <c r="P333" s="723" t="s">
        <v>40</v>
      </c>
      <c r="Q333" s="724"/>
      <c r="R333" s="724"/>
      <c r="S333" s="724"/>
      <c r="T333" s="724"/>
      <c r="U333" s="724"/>
      <c r="V333" s="725"/>
      <c r="W333" s="42" t="s">
        <v>39</v>
      </c>
      <c r="X333" s="43">
        <f>IFERROR(X330/H330,"0")+IFERROR(X331/H331,"0")+IFERROR(X332/H332,"0")</f>
        <v>75</v>
      </c>
      <c r="Y333" s="43">
        <f>IFERROR(Y330/H330,"0")+IFERROR(Y331/H331,"0")+IFERROR(Y332/H332,"0")</f>
        <v>76</v>
      </c>
      <c r="Z333" s="43">
        <f>IFERROR(IF(Z330="",0,Z330),"0")+IFERROR(IF(Z331="",0,Z331),"0")+IFERROR(IF(Z332="",0,Z332),"0")</f>
        <v>0.49475999999999998</v>
      </c>
      <c r="AA333" s="67"/>
      <c r="AB333" s="67"/>
      <c r="AC333" s="67"/>
    </row>
    <row r="334" spans="1:68" x14ac:dyDescent="0.2">
      <c r="A334" s="726"/>
      <c r="B334" s="726"/>
      <c r="C334" s="726"/>
      <c r="D334" s="726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7"/>
      <c r="P334" s="723" t="s">
        <v>40</v>
      </c>
      <c r="Q334" s="724"/>
      <c r="R334" s="724"/>
      <c r="S334" s="724"/>
      <c r="T334" s="724"/>
      <c r="U334" s="724"/>
      <c r="V334" s="725"/>
      <c r="W334" s="42" t="s">
        <v>0</v>
      </c>
      <c r="X334" s="43">
        <f>IFERROR(SUM(X330:X332),"0")</f>
        <v>180</v>
      </c>
      <c r="Y334" s="43">
        <f>IFERROR(SUM(Y330:Y332),"0")</f>
        <v>182.39999999999998</v>
      </c>
      <c r="Z334" s="42"/>
      <c r="AA334" s="67"/>
      <c r="AB334" s="67"/>
      <c r="AC334" s="67"/>
    </row>
    <row r="335" spans="1:68" ht="16.5" hidden="1" customHeight="1" x14ac:dyDescent="0.25">
      <c r="A335" s="713" t="s">
        <v>565</v>
      </c>
      <c r="B335" s="713"/>
      <c r="C335" s="713"/>
      <c r="D335" s="713"/>
      <c r="E335" s="713"/>
      <c r="F335" s="713"/>
      <c r="G335" s="713"/>
      <c r="H335" s="713"/>
      <c r="I335" s="713"/>
      <c r="J335" s="713"/>
      <c r="K335" s="713"/>
      <c r="L335" s="713"/>
      <c r="M335" s="713"/>
      <c r="N335" s="713"/>
      <c r="O335" s="713"/>
      <c r="P335" s="713"/>
      <c r="Q335" s="713"/>
      <c r="R335" s="713"/>
      <c r="S335" s="713"/>
      <c r="T335" s="713"/>
      <c r="U335" s="713"/>
      <c r="V335" s="713"/>
      <c r="W335" s="713"/>
      <c r="X335" s="713"/>
      <c r="Y335" s="713"/>
      <c r="Z335" s="713"/>
      <c r="AA335" s="65"/>
      <c r="AB335" s="65"/>
      <c r="AC335" s="79"/>
    </row>
    <row r="336" spans="1:68" ht="14.25" hidden="1" customHeight="1" x14ac:dyDescent="0.25">
      <c r="A336" s="714" t="s">
        <v>256</v>
      </c>
      <c r="B336" s="714"/>
      <c r="C336" s="714"/>
      <c r="D336" s="714"/>
      <c r="E336" s="714"/>
      <c r="F336" s="714"/>
      <c r="G336" s="714"/>
      <c r="H336" s="714"/>
      <c r="I336" s="714"/>
      <c r="J336" s="714"/>
      <c r="K336" s="714"/>
      <c r="L336" s="714"/>
      <c r="M336" s="714"/>
      <c r="N336" s="714"/>
      <c r="O336" s="714"/>
      <c r="P336" s="714"/>
      <c r="Q336" s="714"/>
      <c r="R336" s="714"/>
      <c r="S336" s="714"/>
      <c r="T336" s="714"/>
      <c r="U336" s="714"/>
      <c r="V336" s="714"/>
      <c r="W336" s="714"/>
      <c r="X336" s="714"/>
      <c r="Y336" s="714"/>
      <c r="Z336" s="714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715">
        <v>4680115888319</v>
      </c>
      <c r="E337" s="715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717"/>
      <c r="R337" s="717"/>
      <c r="S337" s="717"/>
      <c r="T337" s="71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715">
        <v>4680115884700</v>
      </c>
      <c r="E338" s="715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89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717"/>
      <c r="R338" s="717"/>
      <c r="S338" s="717"/>
      <c r="T338" s="71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715">
        <v>4680115880344</v>
      </c>
      <c r="E339" s="715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89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717"/>
      <c r="R339" s="717"/>
      <c r="S339" s="717"/>
      <c r="T339" s="71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715">
        <v>4680115886919</v>
      </c>
      <c r="E340" s="71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26"/>
      <c r="B341" s="726"/>
      <c r="C341" s="726"/>
      <c r="D341" s="726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7"/>
      <c r="P341" s="723" t="s">
        <v>40</v>
      </c>
      <c r="Q341" s="724"/>
      <c r="R341" s="724"/>
      <c r="S341" s="724"/>
      <c r="T341" s="724"/>
      <c r="U341" s="724"/>
      <c r="V341" s="72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26"/>
      <c r="B342" s="726"/>
      <c r="C342" s="726"/>
      <c r="D342" s="726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7"/>
      <c r="P342" s="723" t="s">
        <v>40</v>
      </c>
      <c r="Q342" s="724"/>
      <c r="R342" s="724"/>
      <c r="S342" s="724"/>
      <c r="T342" s="724"/>
      <c r="U342" s="724"/>
      <c r="V342" s="72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714" t="s">
        <v>77</v>
      </c>
      <c r="B343" s="714"/>
      <c r="C343" s="714"/>
      <c r="D343" s="714"/>
      <c r="E343" s="714"/>
      <c r="F343" s="714"/>
      <c r="G343" s="714"/>
      <c r="H343" s="714"/>
      <c r="I343" s="714"/>
      <c r="J343" s="714"/>
      <c r="K343" s="714"/>
      <c r="L343" s="714"/>
      <c r="M343" s="714"/>
      <c r="N343" s="714"/>
      <c r="O343" s="714"/>
      <c r="P343" s="714"/>
      <c r="Q343" s="714"/>
      <c r="R343" s="714"/>
      <c r="S343" s="714"/>
      <c r="T343" s="714"/>
      <c r="U343" s="714"/>
      <c r="V343" s="714"/>
      <c r="W343" s="714"/>
      <c r="X343" s="714"/>
      <c r="Y343" s="714"/>
      <c r="Z343" s="714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715">
        <v>4680115884618</v>
      </c>
      <c r="E344" s="715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8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715">
        <v>4680115887114</v>
      </c>
      <c r="E345" s="715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89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717"/>
      <c r="R345" s="717"/>
      <c r="S345" s="717"/>
      <c r="T345" s="71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715">
        <v>4680115887466</v>
      </c>
      <c r="E346" s="715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90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717"/>
      <c r="R346" s="717"/>
      <c r="S346" s="717"/>
      <c r="T346" s="71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6"/>
      <c r="B347" s="726"/>
      <c r="C347" s="726"/>
      <c r="D347" s="726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7"/>
      <c r="P347" s="723" t="s">
        <v>40</v>
      </c>
      <c r="Q347" s="724"/>
      <c r="R347" s="724"/>
      <c r="S347" s="724"/>
      <c r="T347" s="724"/>
      <c r="U347" s="724"/>
      <c r="V347" s="72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6"/>
      <c r="B348" s="726"/>
      <c r="C348" s="726"/>
      <c r="D348" s="726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7"/>
      <c r="P348" s="723" t="s">
        <v>40</v>
      </c>
      <c r="Q348" s="724"/>
      <c r="R348" s="724"/>
      <c r="S348" s="724"/>
      <c r="T348" s="724"/>
      <c r="U348" s="724"/>
      <c r="V348" s="72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713" t="s">
        <v>587</v>
      </c>
      <c r="B349" s="713"/>
      <c r="C349" s="713"/>
      <c r="D349" s="713"/>
      <c r="E349" s="713"/>
      <c r="F349" s="713"/>
      <c r="G349" s="713"/>
      <c r="H349" s="713"/>
      <c r="I349" s="713"/>
      <c r="J349" s="713"/>
      <c r="K349" s="713"/>
      <c r="L349" s="713"/>
      <c r="M349" s="713"/>
      <c r="N349" s="713"/>
      <c r="O349" s="713"/>
      <c r="P349" s="713"/>
      <c r="Q349" s="713"/>
      <c r="R349" s="713"/>
      <c r="S349" s="713"/>
      <c r="T349" s="713"/>
      <c r="U349" s="713"/>
      <c r="V349" s="713"/>
      <c r="W349" s="713"/>
      <c r="X349" s="713"/>
      <c r="Y349" s="713"/>
      <c r="Z349" s="713"/>
      <c r="AA349" s="65"/>
      <c r="AB349" s="65"/>
      <c r="AC349" s="79"/>
    </row>
    <row r="350" spans="1:68" ht="14.25" hidden="1" customHeight="1" x14ac:dyDescent="0.25">
      <c r="A350" s="714" t="s">
        <v>256</v>
      </c>
      <c r="B350" s="714"/>
      <c r="C350" s="714"/>
      <c r="D350" s="714"/>
      <c r="E350" s="714"/>
      <c r="F350" s="714"/>
      <c r="G350" s="714"/>
      <c r="H350" s="714"/>
      <c r="I350" s="714"/>
      <c r="J350" s="714"/>
      <c r="K350" s="714"/>
      <c r="L350" s="714"/>
      <c r="M350" s="714"/>
      <c r="N350" s="714"/>
      <c r="O350" s="714"/>
      <c r="P350" s="714"/>
      <c r="Q350" s="714"/>
      <c r="R350" s="714"/>
      <c r="S350" s="714"/>
      <c r="T350" s="714"/>
      <c r="U350" s="714"/>
      <c r="V350" s="714"/>
      <c r="W350" s="714"/>
      <c r="X350" s="714"/>
      <c r="Y350" s="714"/>
      <c r="Z350" s="714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715">
        <v>4680115886001</v>
      </c>
      <c r="E351" s="715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90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717"/>
      <c r="R351" s="717"/>
      <c r="S351" s="717"/>
      <c r="T351" s="71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6"/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7"/>
      <c r="P352" s="723" t="s">
        <v>40</v>
      </c>
      <c r="Q352" s="724"/>
      <c r="R352" s="724"/>
      <c r="S352" s="724"/>
      <c r="T352" s="724"/>
      <c r="U352" s="724"/>
      <c r="V352" s="72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726"/>
      <c r="B353" s="726"/>
      <c r="C353" s="726"/>
      <c r="D353" s="726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7"/>
      <c r="P353" s="723" t="s">
        <v>40</v>
      </c>
      <c r="Q353" s="724"/>
      <c r="R353" s="724"/>
      <c r="S353" s="724"/>
      <c r="T353" s="724"/>
      <c r="U353" s="724"/>
      <c r="V353" s="72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715">
        <v>4680115886087</v>
      </c>
      <c r="E355" s="715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6"/>
      <c r="B356" s="726"/>
      <c r="C356" s="726"/>
      <c r="D356" s="726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7"/>
      <c r="P356" s="723" t="s">
        <v>40</v>
      </c>
      <c r="Q356" s="724"/>
      <c r="R356" s="724"/>
      <c r="S356" s="724"/>
      <c r="T356" s="724"/>
      <c r="U356" s="724"/>
      <c r="V356" s="72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6"/>
      <c r="B357" s="726"/>
      <c r="C357" s="726"/>
      <c r="D357" s="726"/>
      <c r="E357" s="726"/>
      <c r="F357" s="726"/>
      <c r="G357" s="726"/>
      <c r="H357" s="726"/>
      <c r="I357" s="726"/>
      <c r="J357" s="726"/>
      <c r="K357" s="726"/>
      <c r="L357" s="726"/>
      <c r="M357" s="726"/>
      <c r="N357" s="726"/>
      <c r="O357" s="727"/>
      <c r="P357" s="723" t="s">
        <v>40</v>
      </c>
      <c r="Q357" s="724"/>
      <c r="R357" s="724"/>
      <c r="S357" s="724"/>
      <c r="T357" s="724"/>
      <c r="U357" s="724"/>
      <c r="V357" s="72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713" t="s">
        <v>594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5"/>
      <c r="AB358" s="65"/>
      <c r="AC358" s="79"/>
    </row>
    <row r="359" spans="1:68" ht="14.25" hidden="1" customHeight="1" x14ac:dyDescent="0.25">
      <c r="A359" s="714" t="s">
        <v>124</v>
      </c>
      <c r="B359" s="714"/>
      <c r="C359" s="714"/>
      <c r="D359" s="714"/>
      <c r="E359" s="714"/>
      <c r="F359" s="714"/>
      <c r="G359" s="714"/>
      <c r="H359" s="714"/>
      <c r="I359" s="714"/>
      <c r="J359" s="714"/>
      <c r="K359" s="714"/>
      <c r="L359" s="714"/>
      <c r="M359" s="714"/>
      <c r="N359" s="714"/>
      <c r="O359" s="714"/>
      <c r="P359" s="714"/>
      <c r="Q359" s="714"/>
      <c r="R359" s="714"/>
      <c r="S359" s="714"/>
      <c r="T359" s="714"/>
      <c r="U359" s="714"/>
      <c r="V359" s="714"/>
      <c r="W359" s="714"/>
      <c r="X359" s="714"/>
      <c r="Y359" s="714"/>
      <c r="Z359" s="714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715">
        <v>4680115887947</v>
      </c>
      <c r="E360" s="71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90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717"/>
      <c r="R360" s="717"/>
      <c r="S360" s="717"/>
      <c r="T360" s="718"/>
      <c r="U360" s="39" t="s">
        <v>46</v>
      </c>
      <c r="V360" s="39" t="s">
        <v>46</v>
      </c>
      <c r="W360" s="40" t="s">
        <v>0</v>
      </c>
      <c r="X360" s="58">
        <v>150</v>
      </c>
      <c r="Y360" s="55">
        <f>IFERROR(IF(X360="",0,CEILING((X360/$H360),1)*$H360),"")</f>
        <v>156</v>
      </c>
      <c r="Z360" s="41">
        <f>IFERROR(IF(Y360=0,"",ROUNDUP(Y360/H360,0)*0.01898),"")</f>
        <v>0.37959999999999999</v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157.88461538461542</v>
      </c>
      <c r="BN360" s="78">
        <f>IFERROR(Y360*I360/H360,"0")</f>
        <v>164.20000000000005</v>
      </c>
      <c r="BO360" s="78">
        <f>IFERROR(1/J360*(X360/H360),"0")</f>
        <v>0.30048076923076922</v>
      </c>
      <c r="BP360" s="78">
        <f>IFERROR(1/J360*(Y360/H360),"0")</f>
        <v>0.3125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715">
        <v>4680115887978</v>
      </c>
      <c r="E361" s="71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90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150</v>
      </c>
      <c r="Y361" s="55">
        <f>IFERROR(IF(X361="",0,CEILING((X361/$H361),1)*$H361),"")</f>
        <v>156</v>
      </c>
      <c r="Z361" s="41">
        <f>IFERROR(IF(Y361=0,"",ROUNDUP(Y361/H361,0)*0.01898),"")</f>
        <v>0.37959999999999999</v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157.88461538461542</v>
      </c>
      <c r="BN361" s="78">
        <f>IFERROR(Y361*I361/H361,"0")</f>
        <v>164.20000000000005</v>
      </c>
      <c r="BO361" s="78">
        <f>IFERROR(1/J361*(X361/H361),"0")</f>
        <v>0.30048076923076922</v>
      </c>
      <c r="BP361" s="78">
        <f>IFERROR(1/J361*(Y361/H361),"0")</f>
        <v>0.3125</v>
      </c>
    </row>
    <row r="362" spans="1:68" ht="27" customHeight="1" x14ac:dyDescent="0.25">
      <c r="A362" s="63" t="s">
        <v>600</v>
      </c>
      <c r="B362" s="63" t="s">
        <v>601</v>
      </c>
      <c r="C362" s="36">
        <v>4301012327</v>
      </c>
      <c r="D362" s="715">
        <v>4680115887992</v>
      </c>
      <c r="E362" s="715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90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50</v>
      </c>
      <c r="Y362" s="55">
        <f>IFERROR(IF(X362="",0,CEILING((X362/$H362),1)*$H362),"")</f>
        <v>54.6</v>
      </c>
      <c r="Z362" s="41">
        <f>IFERROR(IF(Y362=0,"",ROUNDUP(Y362/H362,0)*0.01898),"")</f>
        <v>0.13286000000000001</v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52.628205128205138</v>
      </c>
      <c r="BN362" s="78">
        <f>IFERROR(Y362*I362/H362,"0")</f>
        <v>57.470000000000013</v>
      </c>
      <c r="BO362" s="78">
        <f>IFERROR(1/J362*(X362/H362),"0")</f>
        <v>0.10016025641025642</v>
      </c>
      <c r="BP362" s="78">
        <f>IFERROR(1/J362*(Y362/H362),"0")</f>
        <v>0.109375</v>
      </c>
    </row>
    <row r="363" spans="1:68" x14ac:dyDescent="0.2">
      <c r="A363" s="726"/>
      <c r="B363" s="726"/>
      <c r="C363" s="726"/>
      <c r="D363" s="726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7"/>
      <c r="P363" s="723" t="s">
        <v>40</v>
      </c>
      <c r="Q363" s="724"/>
      <c r="R363" s="724"/>
      <c r="S363" s="724"/>
      <c r="T363" s="724"/>
      <c r="U363" s="724"/>
      <c r="V363" s="725"/>
      <c r="W363" s="42" t="s">
        <v>39</v>
      </c>
      <c r="X363" s="43">
        <f>IFERROR(X360/H360,"0")+IFERROR(X361/H361,"0")+IFERROR(X362/H362,"0")</f>
        <v>44.871794871794869</v>
      </c>
      <c r="Y363" s="43">
        <f>IFERROR(Y360/H360,"0")+IFERROR(Y361/H361,"0")+IFERROR(Y362/H362,"0")</f>
        <v>47</v>
      </c>
      <c r="Z363" s="43">
        <f>IFERROR(IF(Z360="",0,Z360),"0")+IFERROR(IF(Z361="",0,Z361),"0")+IFERROR(IF(Z362="",0,Z362),"0")</f>
        <v>0.89205999999999996</v>
      </c>
      <c r="AA363" s="67"/>
      <c r="AB363" s="67"/>
      <c r="AC363" s="67"/>
    </row>
    <row r="364" spans="1:68" x14ac:dyDescent="0.2">
      <c r="A364" s="726"/>
      <c r="B364" s="726"/>
      <c r="C364" s="726"/>
      <c r="D364" s="726"/>
      <c r="E364" s="726"/>
      <c r="F364" s="726"/>
      <c r="G364" s="726"/>
      <c r="H364" s="726"/>
      <c r="I364" s="726"/>
      <c r="J364" s="726"/>
      <c r="K364" s="726"/>
      <c r="L364" s="726"/>
      <c r="M364" s="726"/>
      <c r="N364" s="726"/>
      <c r="O364" s="727"/>
      <c r="P364" s="723" t="s">
        <v>40</v>
      </c>
      <c r="Q364" s="724"/>
      <c r="R364" s="724"/>
      <c r="S364" s="724"/>
      <c r="T364" s="724"/>
      <c r="U364" s="724"/>
      <c r="V364" s="725"/>
      <c r="W364" s="42" t="s">
        <v>0</v>
      </c>
      <c r="X364" s="43">
        <f>IFERROR(SUM(X360:X362),"0")</f>
        <v>350</v>
      </c>
      <c r="Y364" s="43">
        <f>IFERROR(SUM(Y360:Y362),"0")</f>
        <v>366.6</v>
      </c>
      <c r="Z364" s="42"/>
      <c r="AA364" s="67"/>
      <c r="AB364" s="67"/>
      <c r="AC364" s="67"/>
    </row>
    <row r="365" spans="1:68" ht="16.5" hidden="1" customHeight="1" x14ac:dyDescent="0.25">
      <c r="A365" s="713" t="s">
        <v>603</v>
      </c>
      <c r="B365" s="713"/>
      <c r="C365" s="713"/>
      <c r="D365" s="713"/>
      <c r="E365" s="713"/>
      <c r="F365" s="713"/>
      <c r="G365" s="713"/>
      <c r="H365" s="713"/>
      <c r="I365" s="713"/>
      <c r="J365" s="713"/>
      <c r="K365" s="713"/>
      <c r="L365" s="713"/>
      <c r="M365" s="713"/>
      <c r="N365" s="713"/>
      <c r="O365" s="713"/>
      <c r="P365" s="713"/>
      <c r="Q365" s="713"/>
      <c r="R365" s="713"/>
      <c r="S365" s="713"/>
      <c r="T365" s="713"/>
      <c r="U365" s="713"/>
      <c r="V365" s="713"/>
      <c r="W365" s="713"/>
      <c r="X365" s="713"/>
      <c r="Y365" s="713"/>
      <c r="Z365" s="713"/>
      <c r="AA365" s="65"/>
      <c r="AB365" s="65"/>
      <c r="AC365" s="79"/>
    </row>
    <row r="366" spans="1:68" ht="14.25" hidden="1" customHeight="1" x14ac:dyDescent="0.25">
      <c r="A366" s="714" t="s">
        <v>124</v>
      </c>
      <c r="B366" s="714"/>
      <c r="C366" s="714"/>
      <c r="D366" s="714"/>
      <c r="E366" s="714"/>
      <c r="F366" s="714"/>
      <c r="G366" s="714"/>
      <c r="H366" s="714"/>
      <c r="I366" s="714"/>
      <c r="J366" s="714"/>
      <c r="K366" s="714"/>
      <c r="L366" s="714"/>
      <c r="M366" s="714"/>
      <c r="N366" s="714"/>
      <c r="O366" s="714"/>
      <c r="P366" s="714"/>
      <c r="Q366" s="714"/>
      <c r="R366" s="714"/>
      <c r="S366" s="714"/>
      <c r="T366" s="714"/>
      <c r="U366" s="714"/>
      <c r="V366" s="714"/>
      <c r="W366" s="714"/>
      <c r="X366" s="714"/>
      <c r="Y366" s="714"/>
      <c r="Z366" s="714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15">
        <v>4680115889293</v>
      </c>
      <c r="E367" s="71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90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17"/>
      <c r="R367" s="717"/>
      <c r="S367" s="717"/>
      <c r="T367" s="71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15">
        <v>4680115887190</v>
      </c>
      <c r="E368" s="71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90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17"/>
      <c r="R368" s="717"/>
      <c r="S368" s="717"/>
      <c r="T368" s="71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715">
        <v>4680115889880</v>
      </c>
      <c r="E369" s="71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90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717"/>
      <c r="R369" s="717"/>
      <c r="S369" s="717"/>
      <c r="T369" s="71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715">
        <v>4680115887138</v>
      </c>
      <c r="E370" s="715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715">
        <v>4680115885554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715">
        <v>4680115887220</v>
      </c>
      <c r="E372" s="715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715">
        <v>4680115885608</v>
      </c>
      <c r="E373" s="715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726"/>
      <c r="B374" s="726"/>
      <c r="C374" s="726"/>
      <c r="D374" s="726"/>
      <c r="E374" s="726"/>
      <c r="F374" s="726"/>
      <c r="G374" s="726"/>
      <c r="H374" s="726"/>
      <c r="I374" s="726"/>
      <c r="J374" s="726"/>
      <c r="K374" s="726"/>
      <c r="L374" s="726"/>
      <c r="M374" s="726"/>
      <c r="N374" s="726"/>
      <c r="O374" s="727"/>
      <c r="P374" s="723" t="s">
        <v>40</v>
      </c>
      <c r="Q374" s="724"/>
      <c r="R374" s="724"/>
      <c r="S374" s="724"/>
      <c r="T374" s="724"/>
      <c r="U374" s="724"/>
      <c r="V374" s="72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726"/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7"/>
      <c r="P375" s="723" t="s">
        <v>40</v>
      </c>
      <c r="Q375" s="724"/>
      <c r="R375" s="724"/>
      <c r="S375" s="724"/>
      <c r="T375" s="724"/>
      <c r="U375" s="724"/>
      <c r="V375" s="72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714" t="s">
        <v>256</v>
      </c>
      <c r="B376" s="714"/>
      <c r="C376" s="714"/>
      <c r="D376" s="714"/>
      <c r="E376" s="714"/>
      <c r="F376" s="714"/>
      <c r="G376" s="714"/>
      <c r="H376" s="714"/>
      <c r="I376" s="714"/>
      <c r="J376" s="714"/>
      <c r="K376" s="714"/>
      <c r="L376" s="714"/>
      <c r="M376" s="714"/>
      <c r="N376" s="714"/>
      <c r="O376" s="714"/>
      <c r="P376" s="714"/>
      <c r="Q376" s="714"/>
      <c r="R376" s="714"/>
      <c r="S376" s="714"/>
      <c r="T376" s="714"/>
      <c r="U376" s="714"/>
      <c r="V376" s="714"/>
      <c r="W376" s="714"/>
      <c r="X376" s="714"/>
      <c r="Y376" s="714"/>
      <c r="Z376" s="714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715">
        <v>4607091387193</v>
      </c>
      <c r="E377" s="715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715">
        <v>4607091387230</v>
      </c>
      <c r="E378" s="715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717"/>
      <c r="R378" s="717"/>
      <c r="S378" s="717"/>
      <c r="T378" s="71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715">
        <v>4607091387292</v>
      </c>
      <c r="E379" s="715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717"/>
      <c r="R379" s="717"/>
      <c r="S379" s="717"/>
      <c r="T379" s="71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715">
        <v>4607091387285</v>
      </c>
      <c r="E380" s="715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4301031305</v>
      </c>
      <c r="D381" s="715">
        <v>4607091389845</v>
      </c>
      <c r="E381" s="715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158</v>
      </c>
      <c r="Y381" s="55">
        <f t="shared" si="57"/>
        <v>159.6</v>
      </c>
      <c r="Z381" s="41">
        <f>IFERROR(IF(Y381=0,"",ROUNDUP(Y381/H381,0)*0.00502),"")</f>
        <v>0.38152000000000003</v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165.52380952380952</v>
      </c>
      <c r="BN381" s="78">
        <f t="shared" si="59"/>
        <v>167.2</v>
      </c>
      <c r="BO381" s="78">
        <f t="shared" si="60"/>
        <v>0.32153032153032157</v>
      </c>
      <c r="BP381" s="78">
        <f t="shared" si="61"/>
        <v>0.3247863247863248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715">
        <v>4680115887442</v>
      </c>
      <c r="E382" s="715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715">
        <v>4607091383836</v>
      </c>
      <c r="E383" s="715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726"/>
      <c r="B384" s="726"/>
      <c r="C384" s="726"/>
      <c r="D384" s="726"/>
      <c r="E384" s="726"/>
      <c r="F384" s="726"/>
      <c r="G384" s="726"/>
      <c r="H384" s="726"/>
      <c r="I384" s="726"/>
      <c r="J384" s="726"/>
      <c r="K384" s="726"/>
      <c r="L384" s="726"/>
      <c r="M384" s="726"/>
      <c r="N384" s="726"/>
      <c r="O384" s="727"/>
      <c r="P384" s="723" t="s">
        <v>40</v>
      </c>
      <c r="Q384" s="724"/>
      <c r="R384" s="724"/>
      <c r="S384" s="724"/>
      <c r="T384" s="724"/>
      <c r="U384" s="724"/>
      <c r="V384" s="725"/>
      <c r="W384" s="42" t="s">
        <v>39</v>
      </c>
      <c r="X384" s="43">
        <f>IFERROR(X377/H377,"0")+IFERROR(X378/H378,"0")+IFERROR(X379/H379,"0")+IFERROR(X380/H380,"0")+IFERROR(X381/H381,"0")+IFERROR(X382/H382,"0")+IFERROR(X383/H383,"0")</f>
        <v>75.238095238095241</v>
      </c>
      <c r="Y384" s="43">
        <f>IFERROR(Y377/H377,"0")+IFERROR(Y378/H378,"0")+IFERROR(Y379/H379,"0")+IFERROR(Y380/H380,"0")+IFERROR(Y381/H381,"0")+IFERROR(Y382/H382,"0")+IFERROR(Y383/H383,"0")</f>
        <v>76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0.38152000000000003</v>
      </c>
      <c r="AA384" s="67"/>
      <c r="AB384" s="67"/>
      <c r="AC384" s="67"/>
    </row>
    <row r="385" spans="1:68" x14ac:dyDescent="0.2">
      <c r="A385" s="726"/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7"/>
      <c r="P385" s="723" t="s">
        <v>40</v>
      </c>
      <c r="Q385" s="724"/>
      <c r="R385" s="724"/>
      <c r="S385" s="724"/>
      <c r="T385" s="724"/>
      <c r="U385" s="724"/>
      <c r="V385" s="725"/>
      <c r="W385" s="42" t="s">
        <v>0</v>
      </c>
      <c r="X385" s="43">
        <f>IFERROR(SUM(X377:X383),"0")</f>
        <v>158</v>
      </c>
      <c r="Y385" s="43">
        <f>IFERROR(SUM(Y377:Y383),"0")</f>
        <v>159.6</v>
      </c>
      <c r="Z385" s="42"/>
      <c r="AA385" s="67"/>
      <c r="AB385" s="67"/>
      <c r="AC385" s="67"/>
    </row>
    <row r="386" spans="1:68" ht="14.25" hidden="1" customHeight="1" x14ac:dyDescent="0.25">
      <c r="A386" s="714" t="s">
        <v>77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715">
        <v>4607091387766</v>
      </c>
      <c r="E387" s="715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715">
        <v>4607091387957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715">
        <v>4607091387964</v>
      </c>
      <c r="E389" s="715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715">
        <v>4680115884588</v>
      </c>
      <c r="E390" s="715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717"/>
      <c r="R390" s="717"/>
      <c r="S390" s="717"/>
      <c r="T390" s="718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26"/>
      <c r="B391" s="726"/>
      <c r="C391" s="726"/>
      <c r="D391" s="726"/>
      <c r="E391" s="726"/>
      <c r="F391" s="726"/>
      <c r="G391" s="726"/>
      <c r="H391" s="726"/>
      <c r="I391" s="726"/>
      <c r="J391" s="726"/>
      <c r="K391" s="726"/>
      <c r="L391" s="726"/>
      <c r="M391" s="726"/>
      <c r="N391" s="726"/>
      <c r="O391" s="727"/>
      <c r="P391" s="723" t="s">
        <v>40</v>
      </c>
      <c r="Q391" s="724"/>
      <c r="R391" s="724"/>
      <c r="S391" s="724"/>
      <c r="T391" s="724"/>
      <c r="U391" s="724"/>
      <c r="V391" s="72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26"/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7"/>
      <c r="P392" s="723" t="s">
        <v>40</v>
      </c>
      <c r="Q392" s="724"/>
      <c r="R392" s="724"/>
      <c r="S392" s="724"/>
      <c r="T392" s="724"/>
      <c r="U392" s="724"/>
      <c r="V392" s="72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14" t="s">
        <v>179</v>
      </c>
      <c r="B393" s="714"/>
      <c r="C393" s="714"/>
      <c r="D393" s="714"/>
      <c r="E393" s="714"/>
      <c r="F393" s="714"/>
      <c r="G393" s="714"/>
      <c r="H393" s="714"/>
      <c r="I393" s="714"/>
      <c r="J393" s="714"/>
      <c r="K393" s="714"/>
      <c r="L393" s="714"/>
      <c r="M393" s="714"/>
      <c r="N393" s="714"/>
      <c r="O393" s="714"/>
      <c r="P393" s="714"/>
      <c r="Q393" s="714"/>
      <c r="R393" s="714"/>
      <c r="S393" s="714"/>
      <c r="T393" s="714"/>
      <c r="U393" s="714"/>
      <c r="V393" s="714"/>
      <c r="W393" s="714"/>
      <c r="X393" s="714"/>
      <c r="Y393" s="714"/>
      <c r="Z393" s="714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715">
        <v>4607091380880</v>
      </c>
      <c r="E394" s="71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240</v>
      </c>
      <c r="Y394" s="55">
        <f>IFERROR(IF(X394="",0,CEILING((X394/$H394),1)*$H394),"")</f>
        <v>243.60000000000002</v>
      </c>
      <c r="Z394" s="41">
        <f>IFERROR(IF(Y394=0,"",ROUNDUP(Y394/H394,0)*0.01898),"")</f>
        <v>0.55042000000000002</v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254.1142857142857</v>
      </c>
      <c r="BN394" s="78">
        <f>IFERROR(Y394*I394/H394,"0")</f>
        <v>257.92600000000004</v>
      </c>
      <c r="BO394" s="78">
        <f>IFERROR(1/J394*(X394/H394),"0")</f>
        <v>0.4464285714285714</v>
      </c>
      <c r="BP394" s="78">
        <f>IFERROR(1/J394*(Y394/H394),"0")</f>
        <v>0.453125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715">
        <v>4607091384482</v>
      </c>
      <c r="E395" s="715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230</v>
      </c>
      <c r="Y395" s="55">
        <f>IFERROR(IF(X395="",0,CEILING((X395/$H395),1)*$H395),"")</f>
        <v>234</v>
      </c>
      <c r="Z395" s="41">
        <f>IFERROR(IF(Y395=0,"",ROUNDUP(Y395/H395,0)*0.01898),"")</f>
        <v>0.56940000000000002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244.56666666666669</v>
      </c>
      <c r="BN395" s="78">
        <f>IFERROR(Y395*I395/H395,"0")</f>
        <v>248.82000000000002</v>
      </c>
      <c r="BO395" s="78">
        <f>IFERROR(1/J395*(X395/H395),"0")</f>
        <v>0.46073717948717952</v>
      </c>
      <c r="BP395" s="78">
        <f>IFERROR(1/J395*(Y395/H395),"0")</f>
        <v>0.46875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715">
        <v>4607091380897</v>
      </c>
      <c r="E396" s="715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40</v>
      </c>
      <c r="Y396" s="55">
        <f>IFERROR(IF(X396="",0,CEILING((X396/$H396),1)*$H396),"")</f>
        <v>42</v>
      </c>
      <c r="Z396" s="41">
        <f>IFERROR(IF(Y396=0,"",ROUNDUP(Y396/H396,0)*0.01898),"")</f>
        <v>9.4899999999999998E-2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42.352380952380948</v>
      </c>
      <c r="BN396" s="78">
        <f>IFERROR(Y396*I396/H396,"0")</f>
        <v>44.47</v>
      </c>
      <c r="BO396" s="78">
        <f>IFERROR(1/J396*(X396/H396),"0")</f>
        <v>7.4404761904761904E-2</v>
      </c>
      <c r="BP396" s="78">
        <f>IFERROR(1/J396*(Y396/H396),"0")</f>
        <v>7.8125E-2</v>
      </c>
    </row>
    <row r="397" spans="1:68" x14ac:dyDescent="0.2">
      <c r="A397" s="726"/>
      <c r="B397" s="726"/>
      <c r="C397" s="726"/>
      <c r="D397" s="726"/>
      <c r="E397" s="726"/>
      <c r="F397" s="726"/>
      <c r="G397" s="726"/>
      <c r="H397" s="726"/>
      <c r="I397" s="726"/>
      <c r="J397" s="726"/>
      <c r="K397" s="726"/>
      <c r="L397" s="726"/>
      <c r="M397" s="726"/>
      <c r="N397" s="726"/>
      <c r="O397" s="727"/>
      <c r="P397" s="723" t="s">
        <v>40</v>
      </c>
      <c r="Q397" s="724"/>
      <c r="R397" s="724"/>
      <c r="S397" s="724"/>
      <c r="T397" s="724"/>
      <c r="U397" s="724"/>
      <c r="V397" s="725"/>
      <c r="W397" s="42" t="s">
        <v>39</v>
      </c>
      <c r="X397" s="43">
        <f>IFERROR(X394/H394,"0")+IFERROR(X395/H395,"0")+IFERROR(X396/H396,"0")</f>
        <v>62.820512820512818</v>
      </c>
      <c r="Y397" s="43">
        <f>IFERROR(Y394/H394,"0")+IFERROR(Y395/H395,"0")+IFERROR(Y396/H396,"0")</f>
        <v>64</v>
      </c>
      <c r="Z397" s="43">
        <f>IFERROR(IF(Z394="",0,Z394),"0")+IFERROR(IF(Z395="",0,Z395),"0")+IFERROR(IF(Z396="",0,Z396),"0")</f>
        <v>1.21472</v>
      </c>
      <c r="AA397" s="67"/>
      <c r="AB397" s="67"/>
      <c r="AC397" s="67"/>
    </row>
    <row r="398" spans="1:68" x14ac:dyDescent="0.2">
      <c r="A398" s="726"/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7"/>
      <c r="P398" s="723" t="s">
        <v>40</v>
      </c>
      <c r="Q398" s="724"/>
      <c r="R398" s="724"/>
      <c r="S398" s="724"/>
      <c r="T398" s="724"/>
      <c r="U398" s="724"/>
      <c r="V398" s="725"/>
      <c r="W398" s="42" t="s">
        <v>0</v>
      </c>
      <c r="X398" s="43">
        <f>IFERROR(SUM(X394:X396),"0")</f>
        <v>510</v>
      </c>
      <c r="Y398" s="43">
        <f>IFERROR(SUM(Y394:Y396),"0")</f>
        <v>519.6</v>
      </c>
      <c r="Z398" s="42"/>
      <c r="AA398" s="67"/>
      <c r="AB398" s="67"/>
      <c r="AC398" s="67"/>
    </row>
    <row r="399" spans="1:68" ht="14.25" hidden="1" customHeight="1" x14ac:dyDescent="0.25">
      <c r="A399" s="714" t="s">
        <v>95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715">
        <v>4607091388381</v>
      </c>
      <c r="E400" s="715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715">
        <v>4607091388374</v>
      </c>
      <c r="E401" s="715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715">
        <v>4607091383102</v>
      </c>
      <c r="E402" s="715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715">
        <v>4607091388404</v>
      </c>
      <c r="E403" s="715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717"/>
      <c r="R403" s="717"/>
      <c r="S403" s="717"/>
      <c r="T403" s="718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26"/>
      <c r="B404" s="726"/>
      <c r="C404" s="726"/>
      <c r="D404" s="726"/>
      <c r="E404" s="726"/>
      <c r="F404" s="726"/>
      <c r="G404" s="726"/>
      <c r="H404" s="726"/>
      <c r="I404" s="726"/>
      <c r="J404" s="726"/>
      <c r="K404" s="726"/>
      <c r="L404" s="726"/>
      <c r="M404" s="726"/>
      <c r="N404" s="726"/>
      <c r="O404" s="727"/>
      <c r="P404" s="723" t="s">
        <v>40</v>
      </c>
      <c r="Q404" s="724"/>
      <c r="R404" s="724"/>
      <c r="S404" s="724"/>
      <c r="T404" s="724"/>
      <c r="U404" s="724"/>
      <c r="V404" s="72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26"/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7"/>
      <c r="P405" s="723" t="s">
        <v>40</v>
      </c>
      <c r="Q405" s="724"/>
      <c r="R405" s="724"/>
      <c r="S405" s="724"/>
      <c r="T405" s="724"/>
      <c r="U405" s="724"/>
      <c r="V405" s="72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14" t="s">
        <v>671</v>
      </c>
      <c r="B406" s="714"/>
      <c r="C406" s="714"/>
      <c r="D406" s="714"/>
      <c r="E406" s="714"/>
      <c r="F406" s="714"/>
      <c r="G406" s="714"/>
      <c r="H406" s="714"/>
      <c r="I406" s="714"/>
      <c r="J406" s="714"/>
      <c r="K406" s="714"/>
      <c r="L406" s="714"/>
      <c r="M406" s="714"/>
      <c r="N406" s="714"/>
      <c r="O406" s="714"/>
      <c r="P406" s="714"/>
      <c r="Q406" s="714"/>
      <c r="R406" s="714"/>
      <c r="S406" s="714"/>
      <c r="T406" s="714"/>
      <c r="U406" s="714"/>
      <c r="V406" s="714"/>
      <c r="W406" s="714"/>
      <c r="X406" s="714"/>
      <c r="Y406" s="714"/>
      <c r="Z406" s="714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715">
        <v>4680115881808</v>
      </c>
      <c r="E407" s="71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715">
        <v>4680115881822</v>
      </c>
      <c r="E408" s="715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715">
        <v>4680115880016</v>
      </c>
      <c r="E409" s="715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717"/>
      <c r="R409" s="717"/>
      <c r="S409" s="717"/>
      <c r="T409" s="718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26"/>
      <c r="B410" s="726"/>
      <c r="C410" s="726"/>
      <c r="D410" s="726"/>
      <c r="E410" s="726"/>
      <c r="F410" s="726"/>
      <c r="G410" s="726"/>
      <c r="H410" s="726"/>
      <c r="I410" s="726"/>
      <c r="J410" s="726"/>
      <c r="K410" s="726"/>
      <c r="L410" s="726"/>
      <c r="M410" s="726"/>
      <c r="N410" s="726"/>
      <c r="O410" s="727"/>
      <c r="P410" s="723" t="s">
        <v>40</v>
      </c>
      <c r="Q410" s="724"/>
      <c r="R410" s="724"/>
      <c r="S410" s="724"/>
      <c r="T410" s="724"/>
      <c r="U410" s="724"/>
      <c r="V410" s="72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26"/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7"/>
      <c r="P411" s="723" t="s">
        <v>40</v>
      </c>
      <c r="Q411" s="724"/>
      <c r="R411" s="724"/>
      <c r="S411" s="724"/>
      <c r="T411" s="724"/>
      <c r="U411" s="724"/>
      <c r="V411" s="72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714" t="s">
        <v>680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715">
        <v>4680115888678</v>
      </c>
      <c r="E413" s="71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715">
        <v>4680115888654</v>
      </c>
      <c r="E414" s="715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715">
        <v>4680115888753</v>
      </c>
      <c r="E415" s="715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717"/>
      <c r="R415" s="717"/>
      <c r="S415" s="717"/>
      <c r="T415" s="718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726"/>
      <c r="B416" s="726"/>
      <c r="C416" s="726"/>
      <c r="D416" s="726"/>
      <c r="E416" s="726"/>
      <c r="F416" s="726"/>
      <c r="G416" s="726"/>
      <c r="H416" s="726"/>
      <c r="I416" s="726"/>
      <c r="J416" s="726"/>
      <c r="K416" s="726"/>
      <c r="L416" s="726"/>
      <c r="M416" s="726"/>
      <c r="N416" s="726"/>
      <c r="O416" s="727"/>
      <c r="P416" s="723" t="s">
        <v>40</v>
      </c>
      <c r="Q416" s="724"/>
      <c r="R416" s="724"/>
      <c r="S416" s="724"/>
      <c r="T416" s="724"/>
      <c r="U416" s="724"/>
      <c r="V416" s="72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726"/>
      <c r="B417" s="726"/>
      <c r="C417" s="726"/>
      <c r="D417" s="726"/>
      <c r="E417" s="726"/>
      <c r="F417" s="726"/>
      <c r="G417" s="726"/>
      <c r="H417" s="726"/>
      <c r="I417" s="726"/>
      <c r="J417" s="726"/>
      <c r="K417" s="726"/>
      <c r="L417" s="726"/>
      <c r="M417" s="726"/>
      <c r="N417" s="726"/>
      <c r="O417" s="727"/>
      <c r="P417" s="723" t="s">
        <v>40</v>
      </c>
      <c r="Q417" s="724"/>
      <c r="R417" s="724"/>
      <c r="S417" s="724"/>
      <c r="T417" s="724"/>
      <c r="U417" s="724"/>
      <c r="V417" s="72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713" t="s">
        <v>689</v>
      </c>
      <c r="B418" s="713"/>
      <c r="C418" s="713"/>
      <c r="D418" s="713"/>
      <c r="E418" s="713"/>
      <c r="F418" s="713"/>
      <c r="G418" s="713"/>
      <c r="H418" s="713"/>
      <c r="I418" s="713"/>
      <c r="J418" s="713"/>
      <c r="K418" s="713"/>
      <c r="L418" s="713"/>
      <c r="M418" s="713"/>
      <c r="N418" s="713"/>
      <c r="O418" s="713"/>
      <c r="P418" s="713"/>
      <c r="Q418" s="713"/>
      <c r="R418" s="713"/>
      <c r="S418" s="713"/>
      <c r="T418" s="713"/>
      <c r="U418" s="713"/>
      <c r="V418" s="713"/>
      <c r="W418" s="713"/>
      <c r="X418" s="713"/>
      <c r="Y418" s="713"/>
      <c r="Z418" s="713"/>
      <c r="AA418" s="65"/>
      <c r="AB418" s="65"/>
      <c r="AC418" s="79"/>
    </row>
    <row r="419" spans="1:68" ht="14.25" hidden="1" customHeight="1" x14ac:dyDescent="0.25">
      <c r="A419" s="714" t="s">
        <v>77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715">
        <v>4660663720026</v>
      </c>
      <c r="E420" s="715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93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715">
        <v>4680115889422</v>
      </c>
      <c r="E421" s="715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93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715">
        <v>4680115889972</v>
      </c>
      <c r="E422" s="715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93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717"/>
      <c r="R422" s="717"/>
      <c r="S422" s="717"/>
      <c r="T422" s="718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715">
        <v>4660663720163</v>
      </c>
      <c r="E423" s="715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940" t="s">
        <v>700</v>
      </c>
      <c r="Q423" s="717"/>
      <c r="R423" s="717"/>
      <c r="S423" s="717"/>
      <c r="T423" s="718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26"/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7"/>
      <c r="P424" s="723" t="s">
        <v>40</v>
      </c>
      <c r="Q424" s="724"/>
      <c r="R424" s="724"/>
      <c r="S424" s="724"/>
      <c r="T424" s="724"/>
      <c r="U424" s="724"/>
      <c r="V424" s="72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26"/>
      <c r="B425" s="726"/>
      <c r="C425" s="726"/>
      <c r="D425" s="726"/>
      <c r="E425" s="726"/>
      <c r="F425" s="726"/>
      <c r="G425" s="726"/>
      <c r="H425" s="726"/>
      <c r="I425" s="726"/>
      <c r="J425" s="726"/>
      <c r="K425" s="726"/>
      <c r="L425" s="726"/>
      <c r="M425" s="726"/>
      <c r="N425" s="726"/>
      <c r="O425" s="727"/>
      <c r="P425" s="723" t="s">
        <v>40</v>
      </c>
      <c r="Q425" s="724"/>
      <c r="R425" s="724"/>
      <c r="S425" s="724"/>
      <c r="T425" s="724"/>
      <c r="U425" s="724"/>
      <c r="V425" s="72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13" t="s">
        <v>702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65"/>
      <c r="AB426" s="65"/>
      <c r="AC426" s="79"/>
    </row>
    <row r="427" spans="1:68" ht="14.25" hidden="1" customHeight="1" x14ac:dyDescent="0.25">
      <c r="A427" s="714" t="s">
        <v>77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715">
        <v>4607091387919</v>
      </c>
      <c r="E428" s="715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715">
        <v>4680115883604</v>
      </c>
      <c r="E429" s="715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490</v>
      </c>
      <c r="Y429" s="55">
        <f>IFERROR(IF(X429="",0,CEILING((X429/$H429),1)*$H429),"")</f>
        <v>491.40000000000003</v>
      </c>
      <c r="Z429" s="41">
        <f>IFERROR(IF(Y429=0,"",ROUNDUP(Y429/H429,0)*0.00651),"")</f>
        <v>1.5233400000000001</v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548.79999999999995</v>
      </c>
      <c r="BN429" s="78">
        <f>IFERROR(Y429*I429/H429,"0")</f>
        <v>550.36799999999994</v>
      </c>
      <c r="BO429" s="78">
        <f>IFERROR(1/J429*(X429/H429),"0")</f>
        <v>1.2820512820512819</v>
      </c>
      <c r="BP429" s="78">
        <f>IFERROR(1/J429*(Y429/H429),"0")</f>
        <v>1.2857142857142858</v>
      </c>
    </row>
    <row r="430" spans="1:68" ht="27" customHeight="1" x14ac:dyDescent="0.25">
      <c r="A430" s="63" t="s">
        <v>709</v>
      </c>
      <c r="B430" s="63" t="s">
        <v>710</v>
      </c>
      <c r="C430" s="36">
        <v>4301051864</v>
      </c>
      <c r="D430" s="715">
        <v>4680115883567</v>
      </c>
      <c r="E430" s="715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525</v>
      </c>
      <c r="Y430" s="55">
        <f>IFERROR(IF(X430="",0,CEILING((X430/$H430),1)*$H430),"")</f>
        <v>525</v>
      </c>
      <c r="Z430" s="41">
        <f>IFERROR(IF(Y430=0,"",ROUNDUP(Y430/H430,0)*0.00651),"")</f>
        <v>1.6274999999999999</v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585</v>
      </c>
      <c r="BN430" s="78">
        <f>IFERROR(Y430*I430/H430,"0")</f>
        <v>585</v>
      </c>
      <c r="BO430" s="78">
        <f>IFERROR(1/J430*(X430/H430),"0")</f>
        <v>1.3736263736263736</v>
      </c>
      <c r="BP430" s="78">
        <f>IFERROR(1/J430*(Y430/H430),"0")</f>
        <v>1.3736263736263736</v>
      </c>
    </row>
    <row r="431" spans="1:68" x14ac:dyDescent="0.2">
      <c r="A431" s="726"/>
      <c r="B431" s="726"/>
      <c r="C431" s="726"/>
      <c r="D431" s="726"/>
      <c r="E431" s="726"/>
      <c r="F431" s="726"/>
      <c r="G431" s="726"/>
      <c r="H431" s="726"/>
      <c r="I431" s="726"/>
      <c r="J431" s="726"/>
      <c r="K431" s="726"/>
      <c r="L431" s="726"/>
      <c r="M431" s="726"/>
      <c r="N431" s="726"/>
      <c r="O431" s="727"/>
      <c r="P431" s="723" t="s">
        <v>40</v>
      </c>
      <c r="Q431" s="724"/>
      <c r="R431" s="724"/>
      <c r="S431" s="724"/>
      <c r="T431" s="724"/>
      <c r="U431" s="724"/>
      <c r="V431" s="725"/>
      <c r="W431" s="42" t="s">
        <v>39</v>
      </c>
      <c r="X431" s="43">
        <f>IFERROR(X428/H428,"0")+IFERROR(X429/H429,"0")+IFERROR(X430/H430,"0")</f>
        <v>483.33333333333331</v>
      </c>
      <c r="Y431" s="43">
        <f>IFERROR(Y428/H428,"0")+IFERROR(Y429/H429,"0")+IFERROR(Y430/H430,"0")</f>
        <v>484</v>
      </c>
      <c r="Z431" s="43">
        <f>IFERROR(IF(Z428="",0,Z428),"0")+IFERROR(IF(Z429="",0,Z429),"0")+IFERROR(IF(Z430="",0,Z430),"0")</f>
        <v>3.1508400000000001</v>
      </c>
      <c r="AA431" s="67"/>
      <c r="AB431" s="67"/>
      <c r="AC431" s="67"/>
    </row>
    <row r="432" spans="1:68" x14ac:dyDescent="0.2">
      <c r="A432" s="726"/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7"/>
      <c r="P432" s="723" t="s">
        <v>40</v>
      </c>
      <c r="Q432" s="724"/>
      <c r="R432" s="724"/>
      <c r="S432" s="724"/>
      <c r="T432" s="724"/>
      <c r="U432" s="724"/>
      <c r="V432" s="725"/>
      <c r="W432" s="42" t="s">
        <v>0</v>
      </c>
      <c r="X432" s="43">
        <f>IFERROR(SUM(X428:X430),"0")</f>
        <v>1015</v>
      </c>
      <c r="Y432" s="43">
        <f>IFERROR(SUM(Y428:Y430),"0")</f>
        <v>1016.4000000000001</v>
      </c>
      <c r="Z432" s="42"/>
      <c r="AA432" s="67"/>
      <c r="AB432" s="67"/>
      <c r="AC432" s="67"/>
    </row>
    <row r="433" spans="1:68" ht="27.75" hidden="1" customHeight="1" x14ac:dyDescent="0.2">
      <c r="A433" s="712" t="s">
        <v>712</v>
      </c>
      <c r="B433" s="712"/>
      <c r="C433" s="712"/>
      <c r="D433" s="712"/>
      <c r="E433" s="712"/>
      <c r="F433" s="712"/>
      <c r="G433" s="712"/>
      <c r="H433" s="712"/>
      <c r="I433" s="712"/>
      <c r="J433" s="712"/>
      <c r="K433" s="712"/>
      <c r="L433" s="712"/>
      <c r="M433" s="712"/>
      <c r="N433" s="712"/>
      <c r="O433" s="712"/>
      <c r="P433" s="712"/>
      <c r="Q433" s="712"/>
      <c r="R433" s="712"/>
      <c r="S433" s="712"/>
      <c r="T433" s="712"/>
      <c r="U433" s="712"/>
      <c r="V433" s="712"/>
      <c r="W433" s="712"/>
      <c r="X433" s="712"/>
      <c r="Y433" s="712"/>
      <c r="Z433" s="712"/>
      <c r="AA433" s="54"/>
      <c r="AB433" s="54"/>
      <c r="AC433" s="54"/>
    </row>
    <row r="434" spans="1:68" ht="16.5" hidden="1" customHeight="1" x14ac:dyDescent="0.25">
      <c r="A434" s="713" t="s">
        <v>713</v>
      </c>
      <c r="B434" s="713"/>
      <c r="C434" s="713"/>
      <c r="D434" s="713"/>
      <c r="E434" s="713"/>
      <c r="F434" s="713"/>
      <c r="G434" s="713"/>
      <c r="H434" s="713"/>
      <c r="I434" s="713"/>
      <c r="J434" s="713"/>
      <c r="K434" s="713"/>
      <c r="L434" s="713"/>
      <c r="M434" s="713"/>
      <c r="N434" s="713"/>
      <c r="O434" s="713"/>
      <c r="P434" s="713"/>
      <c r="Q434" s="713"/>
      <c r="R434" s="713"/>
      <c r="S434" s="713"/>
      <c r="T434" s="713"/>
      <c r="U434" s="713"/>
      <c r="V434" s="713"/>
      <c r="W434" s="713"/>
      <c r="X434" s="713"/>
      <c r="Y434" s="713"/>
      <c r="Z434" s="713"/>
      <c r="AA434" s="65"/>
      <c r="AB434" s="65"/>
      <c r="AC434" s="79"/>
    </row>
    <row r="435" spans="1:68" ht="14.25" hidden="1" customHeight="1" x14ac:dyDescent="0.25">
      <c r="A435" s="714" t="s">
        <v>124</v>
      </c>
      <c r="B435" s="714"/>
      <c r="C435" s="714"/>
      <c r="D435" s="714"/>
      <c r="E435" s="714"/>
      <c r="F435" s="714"/>
      <c r="G435" s="714"/>
      <c r="H435" s="714"/>
      <c r="I435" s="714"/>
      <c r="J435" s="714"/>
      <c r="K435" s="714"/>
      <c r="L435" s="714"/>
      <c r="M435" s="714"/>
      <c r="N435" s="714"/>
      <c r="O435" s="714"/>
      <c r="P435" s="714"/>
      <c r="Q435" s="714"/>
      <c r="R435" s="714"/>
      <c r="S435" s="714"/>
      <c r="T435" s="714"/>
      <c r="U435" s="714"/>
      <c r="V435" s="714"/>
      <c r="W435" s="714"/>
      <c r="X435" s="714"/>
      <c r="Y435" s="714"/>
      <c r="Z435" s="714"/>
      <c r="AA435" s="66"/>
      <c r="AB435" s="66"/>
      <c r="AC435" s="80"/>
    </row>
    <row r="436" spans="1:68" ht="27" customHeight="1" x14ac:dyDescent="0.25">
      <c r="A436" s="63" t="s">
        <v>714</v>
      </c>
      <c r="B436" s="63" t="s">
        <v>715</v>
      </c>
      <c r="C436" s="36">
        <v>4301012332</v>
      </c>
      <c r="D436" s="715">
        <v>4680115888401</v>
      </c>
      <c r="E436" s="71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17"/>
      <c r="R436" s="717"/>
      <c r="S436" s="717"/>
      <c r="T436" s="718"/>
      <c r="U436" s="39" t="s">
        <v>46</v>
      </c>
      <c r="V436" s="39" t="s">
        <v>46</v>
      </c>
      <c r="W436" s="40" t="s">
        <v>0</v>
      </c>
      <c r="X436" s="58">
        <v>120</v>
      </c>
      <c r="Y436" s="55">
        <f t="shared" ref="Y436:Y443" si="62">IFERROR(IF(X436="",0,CEILING((X436/$H436),1)*$H436),"")</f>
        <v>120</v>
      </c>
      <c r="Z436" s="41">
        <f>IFERROR(IF(Y436=0,"",ROUNDUP(Y436/H436,0)*0.02175),"")</f>
        <v>0.17399999999999999</v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123.76</v>
      </c>
      <c r="BN436" s="78">
        <f t="shared" ref="BN436:BN443" si="64">IFERROR(Y436*I436/H436,"0")</f>
        <v>123.76</v>
      </c>
      <c r="BO436" s="78">
        <f t="shared" ref="BO436:BO443" si="65">IFERROR(1/J436*(X436/H436),"0")</f>
        <v>0.16666666666666666</v>
      </c>
      <c r="BP436" s="78">
        <f t="shared" ref="BP436:BP443" si="66">IFERROR(1/J436*(Y436/H436),"0")</f>
        <v>0.16666666666666666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715">
        <v>4680115884847</v>
      </c>
      <c r="E437" s="71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17"/>
      <c r="R437" s="717"/>
      <c r="S437" s="717"/>
      <c r="T437" s="718"/>
      <c r="U437" s="39" t="s">
        <v>46</v>
      </c>
      <c r="V437" s="39" t="s">
        <v>46</v>
      </c>
      <c r="W437" s="40" t="s">
        <v>0</v>
      </c>
      <c r="X437" s="58">
        <v>2200</v>
      </c>
      <c r="Y437" s="55">
        <f t="shared" si="62"/>
        <v>2205</v>
      </c>
      <c r="Z437" s="41">
        <f>IFERROR(IF(Y437=0,"",ROUNDUP(Y437/H437,0)*0.02175),"")</f>
        <v>3.1972499999999999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2268.9333333333334</v>
      </c>
      <c r="BN437" s="78">
        <f t="shared" si="64"/>
        <v>2274.0899999999997</v>
      </c>
      <c r="BO437" s="78">
        <f t="shared" si="65"/>
        <v>3.0555555555555554</v>
      </c>
      <c r="BP437" s="78">
        <f t="shared" si="66"/>
        <v>3.0625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715">
        <v>4680115884854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1100</v>
      </c>
      <c r="Y438" s="55">
        <f t="shared" si="62"/>
        <v>1110</v>
      </c>
      <c r="Z438" s="41">
        <f>IFERROR(IF(Y438=0,"",ROUNDUP(Y438/H438,0)*0.02175),"")</f>
        <v>1.6094999999999999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1134.4666666666667</v>
      </c>
      <c r="BN438" s="78">
        <f t="shared" si="64"/>
        <v>1144.78</v>
      </c>
      <c r="BO438" s="78">
        <f t="shared" si="65"/>
        <v>1.5277777777777777</v>
      </c>
      <c r="BP438" s="78">
        <f t="shared" si="66"/>
        <v>1.5416666666666665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715">
        <v>4680115884830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1900</v>
      </c>
      <c r="Y439" s="55">
        <f t="shared" si="62"/>
        <v>1905</v>
      </c>
      <c r="Z439" s="41">
        <f>IFERROR(IF(Y439=0,"",ROUNDUP(Y439/H439,0)*0.02175),"")</f>
        <v>2.7622499999999999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1959.5333333333333</v>
      </c>
      <c r="BN439" s="78">
        <f t="shared" si="64"/>
        <v>1964.69</v>
      </c>
      <c r="BO439" s="78">
        <f t="shared" si="65"/>
        <v>2.6388888888888888</v>
      </c>
      <c r="BP439" s="78">
        <f t="shared" si="66"/>
        <v>2.645833333333333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715">
        <v>4680115889231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200</v>
      </c>
      <c r="Y440" s="55">
        <f t="shared" si="62"/>
        <v>210</v>
      </c>
      <c r="Z440" s="41">
        <f>IFERROR(IF(Y440=0,"",ROUNDUP(Y440/H440,0)*0.02175),"")</f>
        <v>0.30449999999999999</v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206.26666666666668</v>
      </c>
      <c r="BN440" s="78">
        <f t="shared" si="64"/>
        <v>216.58</v>
      </c>
      <c r="BO440" s="78">
        <f t="shared" si="65"/>
        <v>0.27777777777777779</v>
      </c>
      <c r="BP440" s="78">
        <f t="shared" si="66"/>
        <v>0.29166666666666663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715">
        <v>4680115882638</v>
      </c>
      <c r="E441" s="715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715">
        <v>4680115884922</v>
      </c>
      <c r="E442" s="715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715">
        <v>4680115884861</v>
      </c>
      <c r="E443" s="715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726"/>
      <c r="B444" s="726"/>
      <c r="C444" s="726"/>
      <c r="D444" s="726"/>
      <c r="E444" s="726"/>
      <c r="F444" s="726"/>
      <c r="G444" s="726"/>
      <c r="H444" s="726"/>
      <c r="I444" s="726"/>
      <c r="J444" s="726"/>
      <c r="K444" s="726"/>
      <c r="L444" s="726"/>
      <c r="M444" s="726"/>
      <c r="N444" s="726"/>
      <c r="O444" s="727"/>
      <c r="P444" s="723" t="s">
        <v>40</v>
      </c>
      <c r="Q444" s="724"/>
      <c r="R444" s="724"/>
      <c r="S444" s="724"/>
      <c r="T444" s="724"/>
      <c r="U444" s="724"/>
      <c r="V444" s="72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368</v>
      </c>
      <c r="Y444" s="43">
        <f>IFERROR(Y436/H436,"0")+IFERROR(Y437/H437,"0")+IFERROR(Y438/H438,"0")+IFERROR(Y439/H439,"0")+IFERROR(Y440/H440,"0")+IFERROR(Y441/H441,"0")+IFERROR(Y442/H442,"0")+IFERROR(Y443/H443,"0")</f>
        <v>370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8.0474999999999994</v>
      </c>
      <c r="AA444" s="67"/>
      <c r="AB444" s="67"/>
      <c r="AC444" s="67"/>
    </row>
    <row r="445" spans="1:68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2" t="s">
        <v>0</v>
      </c>
      <c r="X445" s="43">
        <f>IFERROR(SUM(X436:X443),"0")</f>
        <v>5520</v>
      </c>
      <c r="Y445" s="43">
        <f>IFERROR(SUM(Y436:Y443),"0")</f>
        <v>5550</v>
      </c>
      <c r="Z445" s="42"/>
      <c r="AA445" s="67"/>
      <c r="AB445" s="67"/>
      <c r="AC445" s="67"/>
    </row>
    <row r="446" spans="1:68" ht="14.25" hidden="1" customHeight="1" x14ac:dyDescent="0.25">
      <c r="A446" s="714" t="s">
        <v>161</v>
      </c>
      <c r="B446" s="714"/>
      <c r="C446" s="714"/>
      <c r="D446" s="714"/>
      <c r="E446" s="714"/>
      <c r="F446" s="714"/>
      <c r="G446" s="714"/>
      <c r="H446" s="714"/>
      <c r="I446" s="714"/>
      <c r="J446" s="714"/>
      <c r="K446" s="714"/>
      <c r="L446" s="714"/>
      <c r="M446" s="714"/>
      <c r="N446" s="714"/>
      <c r="O446" s="714"/>
      <c r="P446" s="714"/>
      <c r="Q446" s="714"/>
      <c r="R446" s="714"/>
      <c r="S446" s="714"/>
      <c r="T446" s="714"/>
      <c r="U446" s="714"/>
      <c r="V446" s="714"/>
      <c r="W446" s="714"/>
      <c r="X446" s="714"/>
      <c r="Y446" s="714"/>
      <c r="Z446" s="714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715">
        <v>4607091383980</v>
      </c>
      <c r="E447" s="715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17"/>
      <c r="R447" s="717"/>
      <c r="S447" s="717"/>
      <c r="T447" s="718"/>
      <c r="U447" s="39" t="s">
        <v>46</v>
      </c>
      <c r="V447" s="39" t="s">
        <v>46</v>
      </c>
      <c r="W447" s="40" t="s">
        <v>0</v>
      </c>
      <c r="X447" s="58">
        <v>1000</v>
      </c>
      <c r="Y447" s="55">
        <f>IFERROR(IF(X447="",0,CEILING((X447/$H447),1)*$H447),"")</f>
        <v>1005</v>
      </c>
      <c r="Z447" s="41">
        <f>IFERROR(IF(Y447=0,"",ROUNDUP(Y447/H447,0)*0.02175),"")</f>
        <v>1.4572499999999999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1031.3333333333333</v>
      </c>
      <c r="BN447" s="78">
        <f>IFERROR(Y447*I447/H447,"0")</f>
        <v>1036.49</v>
      </c>
      <c r="BO447" s="78">
        <f>IFERROR(1/J447*(X447/H447),"0")</f>
        <v>1.3888888888888888</v>
      </c>
      <c r="BP447" s="78">
        <f>IFERROR(1/J447*(Y447/H447),"0")</f>
        <v>1.3958333333333333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715">
        <v>4680115888425</v>
      </c>
      <c r="E448" s="715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17"/>
      <c r="R448" s="717"/>
      <c r="S448" s="717"/>
      <c r="T448" s="718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715">
        <v>4607091384178</v>
      </c>
      <c r="E449" s="715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17"/>
      <c r="R449" s="717"/>
      <c r="S449" s="717"/>
      <c r="T449" s="71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26"/>
      <c r="B450" s="726"/>
      <c r="C450" s="726"/>
      <c r="D450" s="726"/>
      <c r="E450" s="726"/>
      <c r="F450" s="726"/>
      <c r="G450" s="726"/>
      <c r="H450" s="726"/>
      <c r="I450" s="726"/>
      <c r="J450" s="726"/>
      <c r="K450" s="726"/>
      <c r="L450" s="726"/>
      <c r="M450" s="726"/>
      <c r="N450" s="726"/>
      <c r="O450" s="727"/>
      <c r="P450" s="723" t="s">
        <v>40</v>
      </c>
      <c r="Q450" s="724"/>
      <c r="R450" s="724"/>
      <c r="S450" s="724"/>
      <c r="T450" s="724"/>
      <c r="U450" s="724"/>
      <c r="V450" s="725"/>
      <c r="W450" s="42" t="s">
        <v>39</v>
      </c>
      <c r="X450" s="43">
        <f>IFERROR(X447/H447,"0")+IFERROR(X448/H448,"0")+IFERROR(X449/H449,"0")</f>
        <v>66.666666666666671</v>
      </c>
      <c r="Y450" s="43">
        <f>IFERROR(Y447/H447,"0")+IFERROR(Y448/H448,"0")+IFERROR(Y449/H449,"0")</f>
        <v>67</v>
      </c>
      <c r="Z450" s="43">
        <f>IFERROR(IF(Z447="",0,Z447),"0")+IFERROR(IF(Z448="",0,Z448),"0")+IFERROR(IF(Z449="",0,Z449),"0")</f>
        <v>1.4572499999999999</v>
      </c>
      <c r="AA450" s="67"/>
      <c r="AB450" s="67"/>
      <c r="AC450" s="67"/>
    </row>
    <row r="451" spans="1:68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2" t="s">
        <v>0</v>
      </c>
      <c r="X451" s="43">
        <f>IFERROR(SUM(X447:X449),"0")</f>
        <v>1000</v>
      </c>
      <c r="Y451" s="43">
        <f>IFERROR(SUM(Y447:Y449),"0")</f>
        <v>1005</v>
      </c>
      <c r="Z451" s="42"/>
      <c r="AA451" s="67"/>
      <c r="AB451" s="67"/>
      <c r="AC451" s="67"/>
    </row>
    <row r="452" spans="1:68" ht="14.25" hidden="1" customHeight="1" x14ac:dyDescent="0.25">
      <c r="A452" s="714" t="s">
        <v>77</v>
      </c>
      <c r="B452" s="714"/>
      <c r="C452" s="714"/>
      <c r="D452" s="714"/>
      <c r="E452" s="714"/>
      <c r="F452" s="714"/>
      <c r="G452" s="714"/>
      <c r="H452" s="714"/>
      <c r="I452" s="714"/>
      <c r="J452" s="714"/>
      <c r="K452" s="714"/>
      <c r="L452" s="714"/>
      <c r="M452" s="714"/>
      <c r="N452" s="714"/>
      <c r="O452" s="714"/>
      <c r="P452" s="714"/>
      <c r="Q452" s="714"/>
      <c r="R452" s="714"/>
      <c r="S452" s="714"/>
      <c r="T452" s="714"/>
      <c r="U452" s="714"/>
      <c r="V452" s="714"/>
      <c r="W452" s="714"/>
      <c r="X452" s="714"/>
      <c r="Y452" s="714"/>
      <c r="Z452" s="714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715">
        <v>4607091383928</v>
      </c>
      <c r="E453" s="715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17"/>
      <c r="R453" s="717"/>
      <c r="S453" s="717"/>
      <c r="T453" s="718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750</v>
      </c>
      <c r="B454" s="63" t="s">
        <v>751</v>
      </c>
      <c r="C454" s="36">
        <v>4301051897</v>
      </c>
      <c r="D454" s="715">
        <v>4607091384260</v>
      </c>
      <c r="E454" s="715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17"/>
      <c r="R454" s="717"/>
      <c r="S454" s="717"/>
      <c r="T454" s="718"/>
      <c r="U454" s="39" t="s">
        <v>46</v>
      </c>
      <c r="V454" s="39" t="s">
        <v>46</v>
      </c>
      <c r="W454" s="40" t="s">
        <v>0</v>
      </c>
      <c r="X454" s="58">
        <v>20</v>
      </c>
      <c r="Y454" s="55">
        <f>IFERROR(IF(X454="",0,CEILING((X454/$H454),1)*$H454),"")</f>
        <v>27</v>
      </c>
      <c r="Z454" s="41">
        <f>IFERROR(IF(Y454=0,"",ROUNDUP(Y454/H454,0)*0.01898),"")</f>
        <v>5.6940000000000004E-2</v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21.097777777777779</v>
      </c>
      <c r="BN454" s="78">
        <f>IFERROR(Y454*I454/H454,"0")</f>
        <v>28.481999999999996</v>
      </c>
      <c r="BO454" s="78">
        <f>IFERROR(1/J454*(X454/H454),"0")</f>
        <v>3.4722222222222224E-2</v>
      </c>
      <c r="BP454" s="78">
        <f>IFERROR(1/J454*(Y454/H454),"0")</f>
        <v>4.6875E-2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715">
        <v>4680115889538</v>
      </c>
      <c r="E455" s="715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17"/>
      <c r="R455" s="717"/>
      <c r="S455" s="717"/>
      <c r="T455" s="71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2" t="s">
        <v>39</v>
      </c>
      <c r="X456" s="43">
        <f>IFERROR(X453/H453,"0")+IFERROR(X454/H454,"0")+IFERROR(X455/H455,"0")</f>
        <v>2.2222222222222223</v>
      </c>
      <c r="Y456" s="43">
        <f>IFERROR(Y453/H453,"0")+IFERROR(Y454/H454,"0")+IFERROR(Y455/H455,"0")</f>
        <v>3</v>
      </c>
      <c r="Z456" s="43">
        <f>IFERROR(IF(Z453="",0,Z453),"0")+IFERROR(IF(Z454="",0,Z454),"0")+IFERROR(IF(Z455="",0,Z455),"0")</f>
        <v>5.6940000000000004E-2</v>
      </c>
      <c r="AA456" s="67"/>
      <c r="AB456" s="67"/>
      <c r="AC456" s="67"/>
    </row>
    <row r="457" spans="1:68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2" t="s">
        <v>0</v>
      </c>
      <c r="X457" s="43">
        <f>IFERROR(SUM(X453:X455),"0")</f>
        <v>20</v>
      </c>
      <c r="Y457" s="43">
        <f>IFERROR(SUM(Y453:Y455),"0")</f>
        <v>27</v>
      </c>
      <c r="Z457" s="42"/>
      <c r="AA457" s="67"/>
      <c r="AB457" s="67"/>
      <c r="AC457" s="67"/>
    </row>
    <row r="458" spans="1:68" ht="14.25" hidden="1" customHeight="1" x14ac:dyDescent="0.25">
      <c r="A458" s="714" t="s">
        <v>179</v>
      </c>
      <c r="B458" s="714"/>
      <c r="C458" s="714"/>
      <c r="D458" s="714"/>
      <c r="E458" s="714"/>
      <c r="F458" s="714"/>
      <c r="G458" s="714"/>
      <c r="H458" s="714"/>
      <c r="I458" s="714"/>
      <c r="J458" s="714"/>
      <c r="K458" s="714"/>
      <c r="L458" s="714"/>
      <c r="M458" s="714"/>
      <c r="N458" s="714"/>
      <c r="O458" s="714"/>
      <c r="P458" s="714"/>
      <c r="Q458" s="714"/>
      <c r="R458" s="714"/>
      <c r="S458" s="714"/>
      <c r="T458" s="714"/>
      <c r="U458" s="714"/>
      <c r="V458" s="714"/>
      <c r="W458" s="714"/>
      <c r="X458" s="714"/>
      <c r="Y458" s="714"/>
      <c r="Z458" s="714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715">
        <v>4680115889545</v>
      </c>
      <c r="E459" s="715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17"/>
      <c r="R459" s="717"/>
      <c r="S459" s="717"/>
      <c r="T459" s="71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715">
        <v>4607091384673</v>
      </c>
      <c r="E460" s="715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17"/>
      <c r="R460" s="717"/>
      <c r="S460" s="717"/>
      <c r="T460" s="71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6"/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7"/>
      <c r="P461" s="723" t="s">
        <v>40</v>
      </c>
      <c r="Q461" s="724"/>
      <c r="R461" s="724"/>
      <c r="S461" s="724"/>
      <c r="T461" s="724"/>
      <c r="U461" s="724"/>
      <c r="V461" s="72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13" t="s">
        <v>762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5"/>
      <c r="AB463" s="65"/>
      <c r="AC463" s="79"/>
    </row>
    <row r="464" spans="1:68" ht="14.25" hidden="1" customHeight="1" x14ac:dyDescent="0.25">
      <c r="A464" s="714" t="s">
        <v>124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715">
        <v>4680115884885</v>
      </c>
      <c r="E465" s="715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715">
        <v>4680115884908</v>
      </c>
      <c r="E466" s="715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26"/>
      <c r="B468" s="726"/>
      <c r="C468" s="726"/>
      <c r="D468" s="726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7"/>
      <c r="P468" s="723" t="s">
        <v>40</v>
      </c>
      <c r="Q468" s="724"/>
      <c r="R468" s="724"/>
      <c r="S468" s="724"/>
      <c r="T468" s="724"/>
      <c r="U468" s="724"/>
      <c r="V468" s="72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14" t="s">
        <v>256</v>
      </c>
      <c r="B469" s="714"/>
      <c r="C469" s="714"/>
      <c r="D469" s="714"/>
      <c r="E469" s="714"/>
      <c r="F469" s="714"/>
      <c r="G469" s="714"/>
      <c r="H469" s="714"/>
      <c r="I469" s="714"/>
      <c r="J469" s="714"/>
      <c r="K469" s="714"/>
      <c r="L469" s="714"/>
      <c r="M469" s="714"/>
      <c r="N469" s="714"/>
      <c r="O469" s="714"/>
      <c r="P469" s="714"/>
      <c r="Q469" s="714"/>
      <c r="R469" s="714"/>
      <c r="S469" s="714"/>
      <c r="T469" s="714"/>
      <c r="U469" s="714"/>
      <c r="V469" s="714"/>
      <c r="W469" s="714"/>
      <c r="X469" s="714"/>
      <c r="Y469" s="714"/>
      <c r="Z469" s="714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715">
        <v>4607091384802</v>
      </c>
      <c r="E470" s="715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17"/>
      <c r="R470" s="717"/>
      <c r="S470" s="717"/>
      <c r="T470" s="71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26"/>
      <c r="B471" s="726"/>
      <c r="C471" s="726"/>
      <c r="D471" s="726"/>
      <c r="E471" s="726"/>
      <c r="F471" s="726"/>
      <c r="G471" s="726"/>
      <c r="H471" s="726"/>
      <c r="I471" s="726"/>
      <c r="J471" s="726"/>
      <c r="K471" s="726"/>
      <c r="L471" s="726"/>
      <c r="M471" s="726"/>
      <c r="N471" s="726"/>
      <c r="O471" s="727"/>
      <c r="P471" s="723" t="s">
        <v>40</v>
      </c>
      <c r="Q471" s="724"/>
      <c r="R471" s="724"/>
      <c r="S471" s="724"/>
      <c r="T471" s="724"/>
      <c r="U471" s="724"/>
      <c r="V471" s="72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14" t="s">
        <v>77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715">
        <v>4607091384246</v>
      </c>
      <c r="E474" s="715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20</v>
      </c>
      <c r="Y474" s="55">
        <f>IFERROR(IF(X474="",0,CEILING((X474/$H474),1)*$H474),"")</f>
        <v>27</v>
      </c>
      <c r="Z474" s="41">
        <f>IFERROR(IF(Y474=0,"",ROUNDUP(Y474/H474,0)*0.01898),"")</f>
        <v>5.6940000000000004E-2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21.097777777777779</v>
      </c>
      <c r="BN474" s="78">
        <f>IFERROR(Y474*I474/H474,"0")</f>
        <v>28.481999999999996</v>
      </c>
      <c r="BO474" s="78">
        <f>IFERROR(1/J474*(X474/H474),"0")</f>
        <v>3.4722222222222224E-2</v>
      </c>
      <c r="BP474" s="78">
        <f>IFERROR(1/J474*(Y474/H474),"0")</f>
        <v>4.6875E-2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715">
        <v>4607091384253</v>
      </c>
      <c r="E475" s="715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715">
        <v>4607091384253</v>
      </c>
      <c r="E476" s="715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26"/>
      <c r="B477" s="726"/>
      <c r="C477" s="726"/>
      <c r="D477" s="726"/>
      <c r="E477" s="726"/>
      <c r="F477" s="726"/>
      <c r="G477" s="726"/>
      <c r="H477" s="726"/>
      <c r="I477" s="726"/>
      <c r="J477" s="726"/>
      <c r="K477" s="726"/>
      <c r="L477" s="726"/>
      <c r="M477" s="726"/>
      <c r="N477" s="726"/>
      <c r="O477" s="727"/>
      <c r="P477" s="723" t="s">
        <v>40</v>
      </c>
      <c r="Q477" s="724"/>
      <c r="R477" s="724"/>
      <c r="S477" s="724"/>
      <c r="T477" s="724"/>
      <c r="U477" s="724"/>
      <c r="V477" s="725"/>
      <c r="W477" s="42" t="s">
        <v>39</v>
      </c>
      <c r="X477" s="43">
        <f>IFERROR(X474/H474,"0")+IFERROR(X475/H475,"0")+IFERROR(X476/H476,"0")</f>
        <v>2.2222222222222223</v>
      </c>
      <c r="Y477" s="43">
        <f>IFERROR(Y474/H474,"0")+IFERROR(Y475/H475,"0")+IFERROR(Y476/H476,"0")</f>
        <v>3</v>
      </c>
      <c r="Z477" s="43">
        <f>IFERROR(IF(Z474="",0,Z474),"0")+IFERROR(IF(Z475="",0,Z475),"0")+IFERROR(IF(Z476="",0,Z476),"0")</f>
        <v>5.6940000000000004E-2</v>
      </c>
      <c r="AA477" s="67"/>
      <c r="AB477" s="67"/>
      <c r="AC477" s="67"/>
    </row>
    <row r="478" spans="1:68" x14ac:dyDescent="0.2">
      <c r="A478" s="726"/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7"/>
      <c r="P478" s="723" t="s">
        <v>40</v>
      </c>
      <c r="Q478" s="724"/>
      <c r="R478" s="724"/>
      <c r="S478" s="724"/>
      <c r="T478" s="724"/>
      <c r="U478" s="724"/>
      <c r="V478" s="725"/>
      <c r="W478" s="42" t="s">
        <v>0</v>
      </c>
      <c r="X478" s="43">
        <f>IFERROR(SUM(X474:X476),"0")</f>
        <v>20</v>
      </c>
      <c r="Y478" s="43">
        <f>IFERROR(SUM(Y474:Y476),"0")</f>
        <v>27</v>
      </c>
      <c r="Z478" s="42"/>
      <c r="AA478" s="67"/>
      <c r="AB478" s="67"/>
      <c r="AC478" s="67"/>
    </row>
    <row r="479" spans="1:68" ht="27.75" hidden="1" customHeight="1" x14ac:dyDescent="0.2">
      <c r="A479" s="712" t="s">
        <v>778</v>
      </c>
      <c r="B479" s="712"/>
      <c r="C479" s="712"/>
      <c r="D479" s="712"/>
      <c r="E479" s="712"/>
      <c r="F479" s="712"/>
      <c r="G479" s="712"/>
      <c r="H479" s="712"/>
      <c r="I479" s="712"/>
      <c r="J479" s="712"/>
      <c r="K479" s="712"/>
      <c r="L479" s="712"/>
      <c r="M479" s="712"/>
      <c r="N479" s="712"/>
      <c r="O479" s="712"/>
      <c r="P479" s="712"/>
      <c r="Q479" s="712"/>
      <c r="R479" s="712"/>
      <c r="S479" s="712"/>
      <c r="T479" s="712"/>
      <c r="U479" s="712"/>
      <c r="V479" s="712"/>
      <c r="W479" s="712"/>
      <c r="X479" s="712"/>
      <c r="Y479" s="712"/>
      <c r="Z479" s="712"/>
      <c r="AA479" s="54"/>
      <c r="AB479" s="54"/>
      <c r="AC479" s="54"/>
    </row>
    <row r="480" spans="1:68" ht="16.5" hidden="1" customHeight="1" x14ac:dyDescent="0.25">
      <c r="A480" s="713" t="s">
        <v>779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5"/>
      <c r="AB480" s="65"/>
      <c r="AC480" s="79"/>
    </row>
    <row r="481" spans="1:68" ht="14.25" hidden="1" customHeight="1" x14ac:dyDescent="0.25">
      <c r="A481" s="714" t="s">
        <v>256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715">
        <v>4680115886100</v>
      </c>
      <c r="E482" s="715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715">
        <v>4680115886124</v>
      </c>
      <c r="E483" s="715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715">
        <v>4607091384338</v>
      </c>
      <c r="E484" s="715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17"/>
      <c r="R484" s="717"/>
      <c r="S484" s="717"/>
      <c r="T484" s="718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715">
        <v>4680115883161</v>
      </c>
      <c r="E485" s="715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715">
        <v>4607091389531</v>
      </c>
      <c r="E486" s="715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715">
        <v>4607091384345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hidden="1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4" t="s">
        <v>77</v>
      </c>
      <c r="B490" s="714"/>
      <c r="C490" s="714"/>
      <c r="D490" s="714"/>
      <c r="E490" s="714"/>
      <c r="F490" s="714"/>
      <c r="G490" s="714"/>
      <c r="H490" s="714"/>
      <c r="I490" s="714"/>
      <c r="J490" s="714"/>
      <c r="K490" s="714"/>
      <c r="L490" s="714"/>
      <c r="M490" s="714"/>
      <c r="N490" s="714"/>
      <c r="O490" s="714"/>
      <c r="P490" s="714"/>
      <c r="Q490" s="714"/>
      <c r="R490" s="714"/>
      <c r="S490" s="714"/>
      <c r="T490" s="714"/>
      <c r="U490" s="714"/>
      <c r="V490" s="714"/>
      <c r="W490" s="714"/>
      <c r="X490" s="714"/>
      <c r="Y490" s="714"/>
      <c r="Z490" s="714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715">
        <v>4607091384352</v>
      </c>
      <c r="E491" s="715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17"/>
      <c r="R491" s="717"/>
      <c r="S491" s="717"/>
      <c r="T491" s="71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726"/>
      <c r="B492" s="726"/>
      <c r="C492" s="726"/>
      <c r="D492" s="726"/>
      <c r="E492" s="726"/>
      <c r="F492" s="726"/>
      <c r="G492" s="726"/>
      <c r="H492" s="726"/>
      <c r="I492" s="726"/>
      <c r="J492" s="726"/>
      <c r="K492" s="726"/>
      <c r="L492" s="726"/>
      <c r="M492" s="726"/>
      <c r="N492" s="726"/>
      <c r="O492" s="727"/>
      <c r="P492" s="723" t="s">
        <v>40</v>
      </c>
      <c r="Q492" s="724"/>
      <c r="R492" s="724"/>
      <c r="S492" s="724"/>
      <c r="T492" s="724"/>
      <c r="U492" s="724"/>
      <c r="V492" s="72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713" t="s">
        <v>799</v>
      </c>
      <c r="B494" s="713"/>
      <c r="C494" s="713"/>
      <c r="D494" s="713"/>
      <c r="E494" s="713"/>
      <c r="F494" s="713"/>
      <c r="G494" s="713"/>
      <c r="H494" s="713"/>
      <c r="I494" s="713"/>
      <c r="J494" s="713"/>
      <c r="K494" s="713"/>
      <c r="L494" s="713"/>
      <c r="M494" s="713"/>
      <c r="N494" s="713"/>
      <c r="O494" s="713"/>
      <c r="P494" s="713"/>
      <c r="Q494" s="713"/>
      <c r="R494" s="713"/>
      <c r="S494" s="713"/>
      <c r="T494" s="713"/>
      <c r="U494" s="713"/>
      <c r="V494" s="713"/>
      <c r="W494" s="713"/>
      <c r="X494" s="713"/>
      <c r="Y494" s="713"/>
      <c r="Z494" s="713"/>
      <c r="AA494" s="65"/>
      <c r="AB494" s="65"/>
      <c r="AC494" s="79"/>
    </row>
    <row r="495" spans="1:68" ht="14.25" hidden="1" customHeight="1" x14ac:dyDescent="0.25">
      <c r="A495" s="714" t="s">
        <v>161</v>
      </c>
      <c r="B495" s="714"/>
      <c r="C495" s="714"/>
      <c r="D495" s="714"/>
      <c r="E495" s="714"/>
      <c r="F495" s="714"/>
      <c r="G495" s="714"/>
      <c r="H495" s="714"/>
      <c r="I495" s="714"/>
      <c r="J495" s="714"/>
      <c r="K495" s="714"/>
      <c r="L495" s="714"/>
      <c r="M495" s="714"/>
      <c r="N495" s="714"/>
      <c r="O495" s="714"/>
      <c r="P495" s="714"/>
      <c r="Q495" s="714"/>
      <c r="R495" s="714"/>
      <c r="S495" s="714"/>
      <c r="T495" s="714"/>
      <c r="U495" s="714"/>
      <c r="V495" s="714"/>
      <c r="W495" s="714"/>
      <c r="X495" s="714"/>
      <c r="Y495" s="714"/>
      <c r="Z495" s="714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715">
        <v>4680115885240</v>
      </c>
      <c r="E496" s="715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717"/>
      <c r="R496" s="717"/>
      <c r="S496" s="717"/>
      <c r="T496" s="718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26"/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7"/>
      <c r="P497" s="723" t="s">
        <v>40</v>
      </c>
      <c r="Q497" s="724"/>
      <c r="R497" s="724"/>
      <c r="S497" s="724"/>
      <c r="T497" s="724"/>
      <c r="U497" s="724"/>
      <c r="V497" s="72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726"/>
      <c r="B498" s="726"/>
      <c r="C498" s="726"/>
      <c r="D498" s="726"/>
      <c r="E498" s="726"/>
      <c r="F498" s="726"/>
      <c r="G498" s="726"/>
      <c r="H498" s="726"/>
      <c r="I498" s="726"/>
      <c r="J498" s="726"/>
      <c r="K498" s="726"/>
      <c r="L498" s="726"/>
      <c r="M498" s="726"/>
      <c r="N498" s="726"/>
      <c r="O498" s="727"/>
      <c r="P498" s="723" t="s">
        <v>40</v>
      </c>
      <c r="Q498" s="724"/>
      <c r="R498" s="724"/>
      <c r="S498" s="724"/>
      <c r="T498" s="724"/>
      <c r="U498" s="724"/>
      <c r="V498" s="72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714" t="s">
        <v>256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715">
        <v>4680115886094</v>
      </c>
      <c r="E500" s="715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715">
        <v>4680115880771</v>
      </c>
      <c r="E501" s="715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715">
        <v>4607091389500</v>
      </c>
      <c r="E502" s="715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726"/>
      <c r="B503" s="726"/>
      <c r="C503" s="726"/>
      <c r="D503" s="726"/>
      <c r="E503" s="726"/>
      <c r="F503" s="726"/>
      <c r="G503" s="726"/>
      <c r="H503" s="726"/>
      <c r="I503" s="726"/>
      <c r="J503" s="726"/>
      <c r="K503" s="726"/>
      <c r="L503" s="726"/>
      <c r="M503" s="726"/>
      <c r="N503" s="726"/>
      <c r="O503" s="727"/>
      <c r="P503" s="723" t="s">
        <v>40</v>
      </c>
      <c r="Q503" s="724"/>
      <c r="R503" s="724"/>
      <c r="S503" s="724"/>
      <c r="T503" s="724"/>
      <c r="U503" s="724"/>
      <c r="V503" s="72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726"/>
      <c r="B504" s="726"/>
      <c r="C504" s="726"/>
      <c r="D504" s="726"/>
      <c r="E504" s="726"/>
      <c r="F504" s="726"/>
      <c r="G504" s="726"/>
      <c r="H504" s="726"/>
      <c r="I504" s="726"/>
      <c r="J504" s="726"/>
      <c r="K504" s="726"/>
      <c r="L504" s="726"/>
      <c r="M504" s="726"/>
      <c r="N504" s="726"/>
      <c r="O504" s="727"/>
      <c r="P504" s="723" t="s">
        <v>40</v>
      </c>
      <c r="Q504" s="724"/>
      <c r="R504" s="724"/>
      <c r="S504" s="724"/>
      <c r="T504" s="724"/>
      <c r="U504" s="724"/>
      <c r="V504" s="72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712" t="s">
        <v>811</v>
      </c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2"/>
      <c r="P505" s="712"/>
      <c r="Q505" s="712"/>
      <c r="R505" s="712"/>
      <c r="S505" s="712"/>
      <c r="T505" s="712"/>
      <c r="U505" s="712"/>
      <c r="V505" s="712"/>
      <c r="W505" s="712"/>
      <c r="X505" s="712"/>
      <c r="Y505" s="712"/>
      <c r="Z505" s="712"/>
      <c r="AA505" s="54"/>
      <c r="AB505" s="54"/>
      <c r="AC505" s="54"/>
    </row>
    <row r="506" spans="1:68" ht="16.5" hidden="1" customHeight="1" x14ac:dyDescent="0.25">
      <c r="A506" s="713" t="s">
        <v>811</v>
      </c>
      <c r="B506" s="713"/>
      <c r="C506" s="713"/>
      <c r="D506" s="713"/>
      <c r="E506" s="713"/>
      <c r="F506" s="713"/>
      <c r="G506" s="713"/>
      <c r="H506" s="713"/>
      <c r="I506" s="713"/>
      <c r="J506" s="713"/>
      <c r="K506" s="713"/>
      <c r="L506" s="713"/>
      <c r="M506" s="713"/>
      <c r="N506" s="713"/>
      <c r="O506" s="713"/>
      <c r="P506" s="713"/>
      <c r="Q506" s="713"/>
      <c r="R506" s="713"/>
      <c r="S506" s="713"/>
      <c r="T506" s="713"/>
      <c r="U506" s="713"/>
      <c r="V506" s="713"/>
      <c r="W506" s="713"/>
      <c r="X506" s="713"/>
      <c r="Y506" s="713"/>
      <c r="Z506" s="713"/>
      <c r="AA506" s="65"/>
      <c r="AB506" s="65"/>
      <c r="AC506" s="79"/>
    </row>
    <row r="507" spans="1:68" ht="14.25" hidden="1" customHeight="1" x14ac:dyDescent="0.25">
      <c r="A507" s="714" t="s">
        <v>124</v>
      </c>
      <c r="B507" s="714"/>
      <c r="C507" s="714"/>
      <c r="D507" s="714"/>
      <c r="E507" s="714"/>
      <c r="F507" s="714"/>
      <c r="G507" s="714"/>
      <c r="H507" s="714"/>
      <c r="I507" s="714"/>
      <c r="J507" s="714"/>
      <c r="K507" s="714"/>
      <c r="L507" s="714"/>
      <c r="M507" s="714"/>
      <c r="N507" s="714"/>
      <c r="O507" s="714"/>
      <c r="P507" s="714"/>
      <c r="Q507" s="714"/>
      <c r="R507" s="714"/>
      <c r="S507" s="714"/>
      <c r="T507" s="714"/>
      <c r="U507" s="714"/>
      <c r="V507" s="714"/>
      <c r="W507" s="714"/>
      <c r="X507" s="714"/>
      <c r="Y507" s="714"/>
      <c r="Z507" s="714"/>
      <c r="AA507" s="66"/>
      <c r="AB507" s="66"/>
      <c r="AC507" s="80"/>
    </row>
    <row r="508" spans="1:68" ht="27" customHeight="1" x14ac:dyDescent="0.25">
      <c r="A508" s="63" t="s">
        <v>812</v>
      </c>
      <c r="B508" s="63" t="s">
        <v>813</v>
      </c>
      <c r="C508" s="36">
        <v>4301011769</v>
      </c>
      <c r="D508" s="715">
        <v>4607091389067</v>
      </c>
      <c r="E508" s="71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40</v>
      </c>
      <c r="Y508" s="55">
        <f t="shared" ref="Y508:Y515" si="72">IFERROR(IF(X508="",0,CEILING((X508/$H508),1)*$H508),"")</f>
        <v>42.24</v>
      </c>
      <c r="Z508" s="41">
        <f>IFERROR(IF(Y508=0,"",ROUNDUP(Y508/H508,0)*0.01196),"")</f>
        <v>9.5680000000000001E-2</v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42.651515151515149</v>
      </c>
      <c r="BN508" s="78">
        <f t="shared" ref="BN508:BN515" si="74">IFERROR(Y508*I508/H508,"0")</f>
        <v>45.04</v>
      </c>
      <c r="BO508" s="78">
        <f t="shared" ref="BO508:BO515" si="75">IFERROR(1/J508*(X508/H508),"0")</f>
        <v>7.2843822843822847E-2</v>
      </c>
      <c r="BP508" s="78">
        <f t="shared" ref="BP508:BP515" si="76">IFERROR(1/J508*(Y508/H508),"0")</f>
        <v>7.6923076923076927E-2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715">
        <v>4680115889576</v>
      </c>
      <c r="E509" s="71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717"/>
      <c r="R509" s="717"/>
      <c r="S509" s="717"/>
      <c r="T509" s="71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715">
        <v>4680115885271</v>
      </c>
      <c r="E510" s="71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717"/>
      <c r="R510" s="717"/>
      <c r="S510" s="717"/>
      <c r="T510" s="71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4301011369</v>
      </c>
      <c r="D511" s="715">
        <v>4680115885226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715">
        <v>4607091389104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170</v>
      </c>
      <c r="Y512" s="55">
        <f t="shared" si="72"/>
        <v>174.24</v>
      </c>
      <c r="Z512" s="41">
        <f>IFERROR(IF(Y512=0,"",ROUNDUP(Y512/H512,0)*0.01196),"")</f>
        <v>0.39468000000000003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181.26893939393938</v>
      </c>
      <c r="BN512" s="78">
        <f t="shared" si="74"/>
        <v>185.79</v>
      </c>
      <c r="BO512" s="78">
        <f t="shared" si="75"/>
        <v>0.3095862470862471</v>
      </c>
      <c r="BP512" s="78">
        <f t="shared" si="76"/>
        <v>0.31730769230769235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715">
        <v>4680115886391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4301012048</v>
      </c>
      <c r="D514" s="715">
        <v>4680115880603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42</v>
      </c>
      <c r="Y514" s="55">
        <f t="shared" si="72"/>
        <v>43.199999999999996</v>
      </c>
      <c r="Z514" s="41">
        <f>IFERROR(IF(Y514=0,"",ROUNDUP(Y514/H514,0)*0.00902),"")</f>
        <v>8.1180000000000002E-2</v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60.462500000000006</v>
      </c>
      <c r="BN514" s="78">
        <f t="shared" si="74"/>
        <v>62.190000000000005</v>
      </c>
      <c r="BO514" s="78">
        <f t="shared" si="75"/>
        <v>6.6287878787878785E-2</v>
      </c>
      <c r="BP514" s="78">
        <f t="shared" si="76"/>
        <v>6.8181818181818177E-2</v>
      </c>
    </row>
    <row r="515" spans="1:68" ht="27" customHeight="1" x14ac:dyDescent="0.25">
      <c r="A515" s="63" t="s">
        <v>830</v>
      </c>
      <c r="B515" s="63" t="s">
        <v>831</v>
      </c>
      <c r="C515" s="36">
        <v>4301012034</v>
      </c>
      <c r="D515" s="715">
        <v>4607091389982</v>
      </c>
      <c r="E515" s="715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150</v>
      </c>
      <c r="Y515" s="55">
        <f t="shared" si="72"/>
        <v>153.6</v>
      </c>
      <c r="Z515" s="41">
        <f>IFERROR(IF(Y515=0,"",ROUNDUP(Y515/H515,0)*0.00902),"")</f>
        <v>0.28864000000000001</v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215.9375</v>
      </c>
      <c r="BN515" s="78">
        <f t="shared" si="74"/>
        <v>221.12</v>
      </c>
      <c r="BO515" s="78">
        <f t="shared" si="75"/>
        <v>0.23674242424242425</v>
      </c>
      <c r="BP515" s="78">
        <f t="shared" si="76"/>
        <v>0.24242424242424243</v>
      </c>
    </row>
    <row r="516" spans="1:68" x14ac:dyDescent="0.2">
      <c r="A516" s="726"/>
      <c r="B516" s="726"/>
      <c r="C516" s="726"/>
      <c r="D516" s="726"/>
      <c r="E516" s="726"/>
      <c r="F516" s="726"/>
      <c r="G516" s="726"/>
      <c r="H516" s="726"/>
      <c r="I516" s="726"/>
      <c r="J516" s="726"/>
      <c r="K516" s="726"/>
      <c r="L516" s="726"/>
      <c r="M516" s="726"/>
      <c r="N516" s="726"/>
      <c r="O516" s="727"/>
      <c r="P516" s="723" t="s">
        <v>40</v>
      </c>
      <c r="Q516" s="724"/>
      <c r="R516" s="724"/>
      <c r="S516" s="724"/>
      <c r="T516" s="724"/>
      <c r="U516" s="724"/>
      <c r="V516" s="72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79.77272727272728</v>
      </c>
      <c r="Y516" s="43">
        <f>IFERROR(Y508/H508,"0")+IFERROR(Y509/H509,"0")+IFERROR(Y510/H510,"0")+IFERROR(Y511/H511,"0")+IFERROR(Y512/H512,"0")+IFERROR(Y513/H513,"0")+IFERROR(Y514/H514,"0")+IFERROR(Y515/H515,"0")</f>
        <v>82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0.86018000000000006</v>
      </c>
      <c r="AA516" s="67"/>
      <c r="AB516" s="67"/>
      <c r="AC516" s="67"/>
    </row>
    <row r="517" spans="1:68" x14ac:dyDescent="0.2">
      <c r="A517" s="726"/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7"/>
      <c r="P517" s="723" t="s">
        <v>40</v>
      </c>
      <c r="Q517" s="724"/>
      <c r="R517" s="724"/>
      <c r="S517" s="724"/>
      <c r="T517" s="724"/>
      <c r="U517" s="724"/>
      <c r="V517" s="725"/>
      <c r="W517" s="42" t="s">
        <v>0</v>
      </c>
      <c r="X517" s="43">
        <f>IFERROR(SUM(X508:X515),"0")</f>
        <v>402</v>
      </c>
      <c r="Y517" s="43">
        <f>IFERROR(SUM(Y508:Y515),"0")</f>
        <v>413.28</v>
      </c>
      <c r="Z517" s="42"/>
      <c r="AA517" s="67"/>
      <c r="AB517" s="67"/>
      <c r="AC517" s="67"/>
    </row>
    <row r="518" spans="1:68" ht="14.25" hidden="1" customHeight="1" x14ac:dyDescent="0.25">
      <c r="A518" s="714" t="s">
        <v>161</v>
      </c>
      <c r="B518" s="714"/>
      <c r="C518" s="714"/>
      <c r="D518" s="714"/>
      <c r="E518" s="714"/>
      <c r="F518" s="714"/>
      <c r="G518" s="714"/>
      <c r="H518" s="714"/>
      <c r="I518" s="714"/>
      <c r="J518" s="714"/>
      <c r="K518" s="714"/>
      <c r="L518" s="714"/>
      <c r="M518" s="714"/>
      <c r="N518" s="714"/>
      <c r="O518" s="714"/>
      <c r="P518" s="714"/>
      <c r="Q518" s="714"/>
      <c r="R518" s="714"/>
      <c r="S518" s="714"/>
      <c r="T518" s="714"/>
      <c r="U518" s="714"/>
      <c r="V518" s="714"/>
      <c r="W518" s="714"/>
      <c r="X518" s="714"/>
      <c r="Y518" s="714"/>
      <c r="Z518" s="714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715">
        <v>4607091388930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300</v>
      </c>
      <c r="Y519" s="55">
        <f>IFERROR(IF(X519="",0,CEILING((X519/$H519),1)*$H519),"")</f>
        <v>300.96000000000004</v>
      </c>
      <c r="Z519" s="41">
        <f>IFERROR(IF(Y519=0,"",ROUNDUP(Y519/H519,0)*0.01196),"")</f>
        <v>0.68171999999999999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319.88636363636363</v>
      </c>
      <c r="BN519" s="78">
        <f>IFERROR(Y519*I519/H519,"0")</f>
        <v>320.91000000000003</v>
      </c>
      <c r="BO519" s="78">
        <f>IFERROR(1/J519*(X519/H519),"0")</f>
        <v>0.54632867132867136</v>
      </c>
      <c r="BP519" s="78">
        <f>IFERROR(1/J519*(Y519/H519),"0")</f>
        <v>0.54807692307692313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715">
        <v>4680115886407</v>
      </c>
      <c r="E520" s="715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customHeight="1" x14ac:dyDescent="0.25">
      <c r="A521" s="63" t="s">
        <v>837</v>
      </c>
      <c r="B521" s="63" t="s">
        <v>838</v>
      </c>
      <c r="C521" s="36">
        <v>4301020385</v>
      </c>
      <c r="D521" s="715">
        <v>4680115880054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60</v>
      </c>
      <c r="Y521" s="55">
        <f>IFERROR(IF(X521="",0,CEILING((X521/$H521),1)*$H521),"")</f>
        <v>62.4</v>
      </c>
      <c r="Z521" s="41">
        <f>IFERROR(IF(Y521=0,"",ROUNDUP(Y521/H521,0)*0.00902),"")</f>
        <v>0.11726</v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86.375000000000014</v>
      </c>
      <c r="BN521" s="78">
        <f>IFERROR(Y521*I521/H521,"0")</f>
        <v>89.830000000000013</v>
      </c>
      <c r="BO521" s="78">
        <f>IFERROR(1/J521*(X521/H521),"0")</f>
        <v>9.4696969696969696E-2</v>
      </c>
      <c r="BP521" s="78">
        <f>IFERROR(1/J521*(Y521/H521),"0")</f>
        <v>9.8484848484848481E-2</v>
      </c>
    </row>
    <row r="522" spans="1:68" x14ac:dyDescent="0.2">
      <c r="A522" s="726"/>
      <c r="B522" s="726"/>
      <c r="C522" s="726"/>
      <c r="D522" s="726"/>
      <c r="E522" s="726"/>
      <c r="F522" s="726"/>
      <c r="G522" s="726"/>
      <c r="H522" s="726"/>
      <c r="I522" s="726"/>
      <c r="J522" s="726"/>
      <c r="K522" s="726"/>
      <c r="L522" s="726"/>
      <c r="M522" s="726"/>
      <c r="N522" s="726"/>
      <c r="O522" s="727"/>
      <c r="P522" s="723" t="s">
        <v>40</v>
      </c>
      <c r="Q522" s="724"/>
      <c r="R522" s="724"/>
      <c r="S522" s="724"/>
      <c r="T522" s="724"/>
      <c r="U522" s="724"/>
      <c r="V522" s="725"/>
      <c r="W522" s="42" t="s">
        <v>39</v>
      </c>
      <c r="X522" s="43">
        <f>IFERROR(X519/H519,"0")+IFERROR(X520/H520,"0")+IFERROR(X521/H521,"0")</f>
        <v>69.318181818181813</v>
      </c>
      <c r="Y522" s="43">
        <f>IFERROR(Y519/H519,"0")+IFERROR(Y520/H520,"0")+IFERROR(Y521/H521,"0")</f>
        <v>70</v>
      </c>
      <c r="Z522" s="43">
        <f>IFERROR(IF(Z519="",0,Z519),"0")+IFERROR(IF(Z520="",0,Z520),"0")+IFERROR(IF(Z521="",0,Z521),"0")</f>
        <v>0.79898000000000002</v>
      </c>
      <c r="AA522" s="67"/>
      <c r="AB522" s="67"/>
      <c r="AC522" s="67"/>
    </row>
    <row r="523" spans="1:68" x14ac:dyDescent="0.2">
      <c r="A523" s="726"/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7"/>
      <c r="P523" s="723" t="s">
        <v>40</v>
      </c>
      <c r="Q523" s="724"/>
      <c r="R523" s="724"/>
      <c r="S523" s="724"/>
      <c r="T523" s="724"/>
      <c r="U523" s="724"/>
      <c r="V523" s="725"/>
      <c r="W523" s="42" t="s">
        <v>0</v>
      </c>
      <c r="X523" s="43">
        <f>IFERROR(SUM(X519:X521),"0")</f>
        <v>360</v>
      </c>
      <c r="Y523" s="43">
        <f>IFERROR(SUM(Y519:Y521),"0")</f>
        <v>363.36</v>
      </c>
      <c r="Z523" s="42"/>
      <c r="AA523" s="67"/>
      <c r="AB523" s="67"/>
      <c r="AC523" s="67"/>
    </row>
    <row r="524" spans="1:68" ht="14.25" hidden="1" customHeight="1" x14ac:dyDescent="0.25">
      <c r="A524" s="714" t="s">
        <v>256</v>
      </c>
      <c r="B524" s="714"/>
      <c r="C524" s="714"/>
      <c r="D524" s="714"/>
      <c r="E524" s="714"/>
      <c r="F524" s="714"/>
      <c r="G524" s="714"/>
      <c r="H524" s="714"/>
      <c r="I524" s="714"/>
      <c r="J524" s="714"/>
      <c r="K524" s="714"/>
      <c r="L524" s="714"/>
      <c r="M524" s="714"/>
      <c r="N524" s="714"/>
      <c r="O524" s="714"/>
      <c r="P524" s="714"/>
      <c r="Q524" s="714"/>
      <c r="R524" s="714"/>
      <c r="S524" s="714"/>
      <c r="T524" s="714"/>
      <c r="U524" s="714"/>
      <c r="V524" s="714"/>
      <c r="W524" s="714"/>
      <c r="X524" s="714"/>
      <c r="Y524" s="714"/>
      <c r="Z524" s="714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715">
        <v>4680115883116</v>
      </c>
      <c r="E525" s="71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717"/>
      <c r="R525" s="717"/>
      <c r="S525" s="717"/>
      <c r="T525" s="718"/>
      <c r="U525" s="39" t="s">
        <v>46</v>
      </c>
      <c r="V525" s="39" t="s">
        <v>46</v>
      </c>
      <c r="W525" s="40" t="s">
        <v>0</v>
      </c>
      <c r="X525" s="58">
        <v>60</v>
      </c>
      <c r="Y525" s="55">
        <f t="shared" ref="Y525:Y531" si="77">IFERROR(IF(X525="",0,CEILING((X525/$H525),1)*$H525),"")</f>
        <v>63.36</v>
      </c>
      <c r="Z525" s="41">
        <f>IFERROR(IF(Y525=0,"",ROUNDUP(Y525/H525,0)*0.01196),"")</f>
        <v>0.14352000000000001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63.977272727272727</v>
      </c>
      <c r="BN525" s="78">
        <f t="shared" ref="BN525:BN531" si="79">IFERROR(Y525*I525/H525,"0")</f>
        <v>67.559999999999988</v>
      </c>
      <c r="BO525" s="78">
        <f t="shared" ref="BO525:BO531" si="80">IFERROR(1/J525*(X525/H525),"0")</f>
        <v>0.10926573426573427</v>
      </c>
      <c r="BP525" s="78">
        <f t="shared" ref="BP525:BP531" si="81">IFERROR(1/J525*(Y525/H525),"0")</f>
        <v>0.11538461538461539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715">
        <v>4680115883093</v>
      </c>
      <c r="E526" s="715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717"/>
      <c r="R526" s="717"/>
      <c r="S526" s="717"/>
      <c r="T526" s="71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715">
        <v>4680115883109</v>
      </c>
      <c r="E527" s="715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717"/>
      <c r="R527" s="717"/>
      <c r="S527" s="717"/>
      <c r="T527" s="718"/>
      <c r="U527" s="39" t="s">
        <v>46</v>
      </c>
      <c r="V527" s="39" t="s">
        <v>46</v>
      </c>
      <c r="W527" s="40" t="s">
        <v>0</v>
      </c>
      <c r="X527" s="58">
        <v>110</v>
      </c>
      <c r="Y527" s="55">
        <f t="shared" si="77"/>
        <v>110.88000000000001</v>
      </c>
      <c r="Z527" s="41">
        <f>IFERROR(IF(Y527=0,"",ROUNDUP(Y527/H527,0)*0.01196),"")</f>
        <v>0.25115999999999999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117.29166666666666</v>
      </c>
      <c r="BN527" s="78">
        <f t="shared" si="79"/>
        <v>118.23</v>
      </c>
      <c r="BO527" s="78">
        <f t="shared" si="80"/>
        <v>0.20032051282051283</v>
      </c>
      <c r="BP527" s="78">
        <f t="shared" si="81"/>
        <v>0.20192307692307693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715">
        <v>4680115882072</v>
      </c>
      <c r="E528" s="715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715">
        <v>4680115882102</v>
      </c>
      <c r="E529" s="715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715">
        <v>4680115882102</v>
      </c>
      <c r="E530" s="715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customHeight="1" x14ac:dyDescent="0.25">
      <c r="A531" s="63" t="s">
        <v>853</v>
      </c>
      <c r="B531" s="63" t="s">
        <v>854</v>
      </c>
      <c r="C531" s="36">
        <v>4301031417</v>
      </c>
      <c r="D531" s="715">
        <v>4680115882096</v>
      </c>
      <c r="E531" s="715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72</v>
      </c>
      <c r="Y531" s="55">
        <f t="shared" si="77"/>
        <v>72</v>
      </c>
      <c r="Z531" s="41">
        <f>IFERROR(IF(Y531=0,"",ROUNDUP(Y531/H531,0)*0.00902),"")</f>
        <v>0.1353</v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100.05000000000001</v>
      </c>
      <c r="BN531" s="78">
        <f t="shared" si="79"/>
        <v>100.05000000000001</v>
      </c>
      <c r="BO531" s="78">
        <f t="shared" si="80"/>
        <v>0.11363636363636365</v>
      </c>
      <c r="BP531" s="78">
        <f t="shared" si="81"/>
        <v>0.11363636363636365</v>
      </c>
    </row>
    <row r="532" spans="1:68" x14ac:dyDescent="0.2">
      <c r="A532" s="726"/>
      <c r="B532" s="726"/>
      <c r="C532" s="726"/>
      <c r="D532" s="726"/>
      <c r="E532" s="726"/>
      <c r="F532" s="726"/>
      <c r="G532" s="726"/>
      <c r="H532" s="726"/>
      <c r="I532" s="726"/>
      <c r="J532" s="726"/>
      <c r="K532" s="726"/>
      <c r="L532" s="726"/>
      <c r="M532" s="726"/>
      <c r="N532" s="726"/>
      <c r="O532" s="727"/>
      <c r="P532" s="723" t="s">
        <v>40</v>
      </c>
      <c r="Q532" s="724"/>
      <c r="R532" s="724"/>
      <c r="S532" s="724"/>
      <c r="T532" s="724"/>
      <c r="U532" s="724"/>
      <c r="V532" s="725"/>
      <c r="W532" s="42" t="s">
        <v>39</v>
      </c>
      <c r="X532" s="43">
        <f>IFERROR(X525/H525,"0")+IFERROR(X526/H526,"0")+IFERROR(X527/H527,"0")+IFERROR(X528/H528,"0")+IFERROR(X529/H529,"0")+IFERROR(X530/H530,"0")+IFERROR(X531/H531,"0")</f>
        <v>47.196969696969695</v>
      </c>
      <c r="Y532" s="43">
        <f>IFERROR(Y525/H525,"0")+IFERROR(Y526/H526,"0")+IFERROR(Y527/H527,"0")+IFERROR(Y528/H528,"0")+IFERROR(Y529/H529,"0")+IFERROR(Y530/H530,"0")+IFERROR(Y531/H531,"0")</f>
        <v>48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0.52998000000000001</v>
      </c>
      <c r="AA532" s="67"/>
      <c r="AB532" s="67"/>
      <c r="AC532" s="67"/>
    </row>
    <row r="533" spans="1:68" x14ac:dyDescent="0.2">
      <c r="A533" s="726"/>
      <c r="B533" s="726"/>
      <c r="C533" s="726"/>
      <c r="D533" s="726"/>
      <c r="E533" s="726"/>
      <c r="F533" s="726"/>
      <c r="G533" s="726"/>
      <c r="H533" s="726"/>
      <c r="I533" s="726"/>
      <c r="J533" s="726"/>
      <c r="K533" s="726"/>
      <c r="L533" s="726"/>
      <c r="M533" s="726"/>
      <c r="N533" s="726"/>
      <c r="O533" s="727"/>
      <c r="P533" s="723" t="s">
        <v>40</v>
      </c>
      <c r="Q533" s="724"/>
      <c r="R533" s="724"/>
      <c r="S533" s="724"/>
      <c r="T533" s="724"/>
      <c r="U533" s="724"/>
      <c r="V533" s="725"/>
      <c r="W533" s="42" t="s">
        <v>0</v>
      </c>
      <c r="X533" s="43">
        <f>IFERROR(SUM(X525:X531),"0")</f>
        <v>242</v>
      </c>
      <c r="Y533" s="43">
        <f>IFERROR(SUM(Y525:Y531),"0")</f>
        <v>246.24</v>
      </c>
      <c r="Z533" s="42"/>
      <c r="AA533" s="67"/>
      <c r="AB533" s="67"/>
      <c r="AC533" s="67"/>
    </row>
    <row r="534" spans="1:68" ht="27.75" hidden="1" customHeight="1" x14ac:dyDescent="0.2">
      <c r="A534" s="712" t="s">
        <v>855</v>
      </c>
      <c r="B534" s="712"/>
      <c r="C534" s="712"/>
      <c r="D534" s="712"/>
      <c r="E534" s="712"/>
      <c r="F534" s="712"/>
      <c r="G534" s="712"/>
      <c r="H534" s="712"/>
      <c r="I534" s="712"/>
      <c r="J534" s="712"/>
      <c r="K534" s="712"/>
      <c r="L534" s="712"/>
      <c r="M534" s="712"/>
      <c r="N534" s="712"/>
      <c r="O534" s="712"/>
      <c r="P534" s="712"/>
      <c r="Q534" s="712"/>
      <c r="R534" s="712"/>
      <c r="S534" s="712"/>
      <c r="T534" s="712"/>
      <c r="U534" s="712"/>
      <c r="V534" s="712"/>
      <c r="W534" s="712"/>
      <c r="X534" s="712"/>
      <c r="Y534" s="712"/>
      <c r="Z534" s="712"/>
      <c r="AA534" s="54"/>
      <c r="AB534" s="54"/>
      <c r="AC534" s="54"/>
    </row>
    <row r="535" spans="1:68" ht="16.5" hidden="1" customHeight="1" x14ac:dyDescent="0.25">
      <c r="A535" s="713" t="s">
        <v>855</v>
      </c>
      <c r="B535" s="713"/>
      <c r="C535" s="713"/>
      <c r="D535" s="713"/>
      <c r="E535" s="713"/>
      <c r="F535" s="713"/>
      <c r="G535" s="713"/>
      <c r="H535" s="713"/>
      <c r="I535" s="713"/>
      <c r="J535" s="713"/>
      <c r="K535" s="713"/>
      <c r="L535" s="713"/>
      <c r="M535" s="713"/>
      <c r="N535" s="713"/>
      <c r="O535" s="713"/>
      <c r="P535" s="713"/>
      <c r="Q535" s="713"/>
      <c r="R535" s="713"/>
      <c r="S535" s="713"/>
      <c r="T535" s="713"/>
      <c r="U535" s="713"/>
      <c r="V535" s="713"/>
      <c r="W535" s="713"/>
      <c r="X535" s="713"/>
      <c r="Y535" s="713"/>
      <c r="Z535" s="713"/>
      <c r="AA535" s="65"/>
      <c r="AB535" s="65"/>
      <c r="AC535" s="79"/>
    </row>
    <row r="536" spans="1:68" ht="14.25" hidden="1" customHeight="1" x14ac:dyDescent="0.25">
      <c r="A536" s="714" t="s">
        <v>124</v>
      </c>
      <c r="B536" s="714"/>
      <c r="C536" s="714"/>
      <c r="D536" s="714"/>
      <c r="E536" s="714"/>
      <c r="F536" s="714"/>
      <c r="G536" s="714"/>
      <c r="H536" s="714"/>
      <c r="I536" s="714"/>
      <c r="J536" s="714"/>
      <c r="K536" s="714"/>
      <c r="L536" s="714"/>
      <c r="M536" s="714"/>
      <c r="N536" s="714"/>
      <c r="O536" s="714"/>
      <c r="P536" s="714"/>
      <c r="Q536" s="714"/>
      <c r="R536" s="714"/>
      <c r="S536" s="714"/>
      <c r="T536" s="714"/>
      <c r="U536" s="714"/>
      <c r="V536" s="714"/>
      <c r="W536" s="714"/>
      <c r="X536" s="714"/>
      <c r="Y536" s="714"/>
      <c r="Z536" s="714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715">
        <v>4680115889736</v>
      </c>
      <c r="E537" s="715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717"/>
      <c r="R537" s="717"/>
      <c r="S537" s="717"/>
      <c r="T537" s="71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6"/>
      <c r="B538" s="726"/>
      <c r="C538" s="726"/>
      <c r="D538" s="726"/>
      <c r="E538" s="726"/>
      <c r="F538" s="726"/>
      <c r="G538" s="726"/>
      <c r="H538" s="726"/>
      <c r="I538" s="726"/>
      <c r="J538" s="726"/>
      <c r="K538" s="726"/>
      <c r="L538" s="726"/>
      <c r="M538" s="726"/>
      <c r="N538" s="726"/>
      <c r="O538" s="727"/>
      <c r="P538" s="723" t="s">
        <v>40</v>
      </c>
      <c r="Q538" s="724"/>
      <c r="R538" s="724"/>
      <c r="S538" s="724"/>
      <c r="T538" s="724"/>
      <c r="U538" s="724"/>
      <c r="V538" s="72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4" t="s">
        <v>161</v>
      </c>
      <c r="B540" s="714"/>
      <c r="C540" s="714"/>
      <c r="D540" s="714"/>
      <c r="E540" s="714"/>
      <c r="F540" s="714"/>
      <c r="G540" s="714"/>
      <c r="H540" s="714"/>
      <c r="I540" s="714"/>
      <c r="J540" s="714"/>
      <c r="K540" s="714"/>
      <c r="L540" s="714"/>
      <c r="M540" s="714"/>
      <c r="N540" s="714"/>
      <c r="O540" s="714"/>
      <c r="P540" s="714"/>
      <c r="Q540" s="714"/>
      <c r="R540" s="714"/>
      <c r="S540" s="714"/>
      <c r="T540" s="714"/>
      <c r="U540" s="714"/>
      <c r="V540" s="714"/>
      <c r="W540" s="714"/>
      <c r="X540" s="714"/>
      <c r="Y540" s="714"/>
      <c r="Z540" s="714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715">
        <v>4680115889781</v>
      </c>
      <c r="E541" s="715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717"/>
      <c r="R541" s="717"/>
      <c r="S541" s="717"/>
      <c r="T541" s="71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6"/>
      <c r="B542" s="726"/>
      <c r="C542" s="726"/>
      <c r="D542" s="726"/>
      <c r="E542" s="726"/>
      <c r="F542" s="726"/>
      <c r="G542" s="726"/>
      <c r="H542" s="726"/>
      <c r="I542" s="726"/>
      <c r="J542" s="726"/>
      <c r="K542" s="726"/>
      <c r="L542" s="726"/>
      <c r="M542" s="726"/>
      <c r="N542" s="726"/>
      <c r="O542" s="727"/>
      <c r="P542" s="723" t="s">
        <v>40</v>
      </c>
      <c r="Q542" s="724"/>
      <c r="R542" s="724"/>
      <c r="S542" s="724"/>
      <c r="T542" s="724"/>
      <c r="U542" s="724"/>
      <c r="V542" s="72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4" t="s">
        <v>256</v>
      </c>
      <c r="B544" s="714"/>
      <c r="C544" s="714"/>
      <c r="D544" s="714"/>
      <c r="E544" s="714"/>
      <c r="F544" s="714"/>
      <c r="G544" s="714"/>
      <c r="H544" s="714"/>
      <c r="I544" s="714"/>
      <c r="J544" s="714"/>
      <c r="K544" s="714"/>
      <c r="L544" s="714"/>
      <c r="M544" s="714"/>
      <c r="N544" s="714"/>
      <c r="O544" s="714"/>
      <c r="P544" s="714"/>
      <c r="Q544" s="714"/>
      <c r="R544" s="714"/>
      <c r="S544" s="714"/>
      <c r="T544" s="714"/>
      <c r="U544" s="714"/>
      <c r="V544" s="714"/>
      <c r="W544" s="714"/>
      <c r="X544" s="714"/>
      <c r="Y544" s="714"/>
      <c r="Z544" s="714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715">
        <v>4680115889774</v>
      </c>
      <c r="E545" s="715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717"/>
      <c r="R545" s="717"/>
      <c r="S545" s="717"/>
      <c r="T545" s="71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26"/>
      <c r="B546" s="726"/>
      <c r="C546" s="726"/>
      <c r="D546" s="726"/>
      <c r="E546" s="726"/>
      <c r="F546" s="726"/>
      <c r="G546" s="726"/>
      <c r="H546" s="726"/>
      <c r="I546" s="726"/>
      <c r="J546" s="726"/>
      <c r="K546" s="726"/>
      <c r="L546" s="726"/>
      <c r="M546" s="726"/>
      <c r="N546" s="726"/>
      <c r="O546" s="727"/>
      <c r="P546" s="723" t="s">
        <v>40</v>
      </c>
      <c r="Q546" s="724"/>
      <c r="R546" s="724"/>
      <c r="S546" s="724"/>
      <c r="T546" s="724"/>
      <c r="U546" s="724"/>
      <c r="V546" s="72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714" t="s">
        <v>77</v>
      </c>
      <c r="B548" s="714"/>
      <c r="C548" s="714"/>
      <c r="D548" s="714"/>
      <c r="E548" s="714"/>
      <c r="F548" s="714"/>
      <c r="G548" s="714"/>
      <c r="H548" s="714"/>
      <c r="I548" s="714"/>
      <c r="J548" s="714"/>
      <c r="K548" s="714"/>
      <c r="L548" s="714"/>
      <c r="M548" s="714"/>
      <c r="N548" s="714"/>
      <c r="O548" s="714"/>
      <c r="P548" s="714"/>
      <c r="Q548" s="714"/>
      <c r="R548" s="714"/>
      <c r="S548" s="714"/>
      <c r="T548" s="714"/>
      <c r="U548" s="714"/>
      <c r="V548" s="714"/>
      <c r="W548" s="714"/>
      <c r="X548" s="714"/>
      <c r="Y548" s="714"/>
      <c r="Z548" s="714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715">
        <v>4680115889811</v>
      </c>
      <c r="E549" s="715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998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717"/>
      <c r="R549" s="717"/>
      <c r="S549" s="717"/>
      <c r="T549" s="718"/>
      <c r="U549" s="39" t="s">
        <v>46</v>
      </c>
      <c r="V549" s="39" t="s">
        <v>46</v>
      </c>
      <c r="W549" s="40" t="s">
        <v>0</v>
      </c>
      <c r="X549" s="58">
        <v>400</v>
      </c>
      <c r="Y549" s="55">
        <f>IFERROR(IF(X549="",0,CEILING((X549/$H549),1)*$H549),"")</f>
        <v>405</v>
      </c>
      <c r="Z549" s="41">
        <f>IFERROR(IF(Y549=0,"",ROUNDUP(Y549/H549,0)*0.01898),"")</f>
        <v>0.85409999999999997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421.95555555555552</v>
      </c>
      <c r="BN549" s="78">
        <f>IFERROR(Y549*I549/H549,"0")</f>
        <v>427.22999999999996</v>
      </c>
      <c r="BO549" s="78">
        <f>IFERROR(1/J549*(X549/H549),"0")</f>
        <v>0.69444444444444442</v>
      </c>
      <c r="BP549" s="78">
        <f>IFERROR(1/J549*(Y549/H549),"0")</f>
        <v>0.703125</v>
      </c>
    </row>
    <row r="550" spans="1:68" x14ac:dyDescent="0.2">
      <c r="A550" s="726"/>
      <c r="B550" s="726"/>
      <c r="C550" s="726"/>
      <c r="D550" s="726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7"/>
      <c r="P550" s="723" t="s">
        <v>40</v>
      </c>
      <c r="Q550" s="724"/>
      <c r="R550" s="724"/>
      <c r="S550" s="724"/>
      <c r="T550" s="724"/>
      <c r="U550" s="724"/>
      <c r="V550" s="725"/>
      <c r="W550" s="42" t="s">
        <v>39</v>
      </c>
      <c r="X550" s="43">
        <f>IFERROR(X549/H549,"0")</f>
        <v>44.444444444444443</v>
      </c>
      <c r="Y550" s="43">
        <f>IFERROR(Y549/H549,"0")</f>
        <v>45</v>
      </c>
      <c r="Z550" s="43">
        <f>IFERROR(IF(Z549="",0,Z549),"0")</f>
        <v>0.85409999999999997</v>
      </c>
      <c r="AA550" s="67"/>
      <c r="AB550" s="67"/>
      <c r="AC550" s="67"/>
    </row>
    <row r="551" spans="1:68" x14ac:dyDescent="0.2">
      <c r="A551" s="726"/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7"/>
      <c r="P551" s="723" t="s">
        <v>40</v>
      </c>
      <c r="Q551" s="724"/>
      <c r="R551" s="724"/>
      <c r="S551" s="724"/>
      <c r="T551" s="724"/>
      <c r="U551" s="724"/>
      <c r="V551" s="725"/>
      <c r="W551" s="42" t="s">
        <v>0</v>
      </c>
      <c r="X551" s="43">
        <f>IFERROR(SUM(X549:X549),"0")</f>
        <v>400</v>
      </c>
      <c r="Y551" s="43">
        <f>IFERROR(SUM(Y549:Y549),"0")</f>
        <v>405</v>
      </c>
      <c r="Z551" s="42"/>
      <c r="AA551" s="67"/>
      <c r="AB551" s="67"/>
      <c r="AC551" s="67"/>
    </row>
    <row r="552" spans="1:68" ht="14.25" hidden="1" customHeight="1" x14ac:dyDescent="0.25">
      <c r="A552" s="714" t="s">
        <v>179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715">
        <v>4680115889804</v>
      </c>
      <c r="E553" s="715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999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717"/>
      <c r="R553" s="717"/>
      <c r="S553" s="717"/>
      <c r="T553" s="718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715">
        <v>4680115889828</v>
      </c>
      <c r="E554" s="715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100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717"/>
      <c r="R554" s="717"/>
      <c r="S554" s="717"/>
      <c r="T554" s="718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726"/>
      <c r="B555" s="726"/>
      <c r="C555" s="726"/>
      <c r="D555" s="726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7"/>
      <c r="P555" s="723" t="s">
        <v>40</v>
      </c>
      <c r="Q555" s="724"/>
      <c r="R555" s="724"/>
      <c r="S555" s="724"/>
      <c r="T555" s="724"/>
      <c r="U555" s="724"/>
      <c r="V555" s="72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726"/>
      <c r="B556" s="726"/>
      <c r="C556" s="726"/>
      <c r="D556" s="726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727"/>
      <c r="P556" s="723" t="s">
        <v>40</v>
      </c>
      <c r="Q556" s="724"/>
      <c r="R556" s="724"/>
      <c r="S556" s="724"/>
      <c r="T556" s="724"/>
      <c r="U556" s="724"/>
      <c r="V556" s="72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713" t="s">
        <v>873</v>
      </c>
      <c r="B557" s="713"/>
      <c r="C557" s="713"/>
      <c r="D557" s="713"/>
      <c r="E557" s="713"/>
      <c r="F557" s="713"/>
      <c r="G557" s="713"/>
      <c r="H557" s="713"/>
      <c r="I557" s="713"/>
      <c r="J557" s="713"/>
      <c r="K557" s="713"/>
      <c r="L557" s="713"/>
      <c r="M557" s="713"/>
      <c r="N557" s="713"/>
      <c r="O557" s="713"/>
      <c r="P557" s="713"/>
      <c r="Q557" s="713"/>
      <c r="R557" s="713"/>
      <c r="S557" s="713"/>
      <c r="T557" s="713"/>
      <c r="U557" s="713"/>
      <c r="V557" s="713"/>
      <c r="W557" s="713"/>
      <c r="X557" s="713"/>
      <c r="Y557" s="713"/>
      <c r="Z557" s="713"/>
      <c r="AA557" s="65"/>
      <c r="AB557" s="65"/>
      <c r="AC557" s="79"/>
    </row>
    <row r="558" spans="1:68" ht="14.25" hidden="1" customHeight="1" x14ac:dyDescent="0.25">
      <c r="A558" s="714" t="s">
        <v>161</v>
      </c>
      <c r="B558" s="714"/>
      <c r="C558" s="714"/>
      <c r="D558" s="714"/>
      <c r="E558" s="714"/>
      <c r="F558" s="714"/>
      <c r="G558" s="714"/>
      <c r="H558" s="714"/>
      <c r="I558" s="714"/>
      <c r="J558" s="714"/>
      <c r="K558" s="714"/>
      <c r="L558" s="714"/>
      <c r="M558" s="714"/>
      <c r="N558" s="714"/>
      <c r="O558" s="714"/>
      <c r="P558" s="714"/>
      <c r="Q558" s="714"/>
      <c r="R558" s="714"/>
      <c r="S558" s="714"/>
      <c r="T558" s="714"/>
      <c r="U558" s="714"/>
      <c r="V558" s="714"/>
      <c r="W558" s="714"/>
      <c r="X558" s="714"/>
      <c r="Y558" s="714"/>
      <c r="Z558" s="714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715">
        <v>4680115889798</v>
      </c>
      <c r="E559" s="715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100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717"/>
      <c r="R559" s="717"/>
      <c r="S559" s="717"/>
      <c r="T559" s="718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727"/>
      <c r="P560" s="723" t="s">
        <v>40</v>
      </c>
      <c r="Q560" s="724"/>
      <c r="R560" s="724"/>
      <c r="S560" s="724"/>
      <c r="T560" s="724"/>
      <c r="U560" s="724"/>
      <c r="V560" s="72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727"/>
      <c r="P561" s="723" t="s">
        <v>40</v>
      </c>
      <c r="Q561" s="724"/>
      <c r="R561" s="724"/>
      <c r="S561" s="724"/>
      <c r="T561" s="724"/>
      <c r="U561" s="724"/>
      <c r="V561" s="72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05"/>
      <c r="P562" s="1002" t="s">
        <v>33</v>
      </c>
      <c r="Q562" s="1003"/>
      <c r="R562" s="1003"/>
      <c r="S562" s="1003"/>
      <c r="T562" s="1003"/>
      <c r="U562" s="1003"/>
      <c r="V562" s="1004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15478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15649.460000000003</v>
      </c>
      <c r="Z562" s="42"/>
      <c r="AA562" s="67"/>
      <c r="AB562" s="67"/>
      <c r="AC562" s="67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05"/>
      <c r="P563" s="1002" t="s">
        <v>34</v>
      </c>
      <c r="Q563" s="1003"/>
      <c r="R563" s="1003"/>
      <c r="S563" s="1003"/>
      <c r="T563" s="1003"/>
      <c r="U563" s="1003"/>
      <c r="V563" s="1004"/>
      <c r="W563" s="42" t="s">
        <v>0</v>
      </c>
      <c r="X563" s="43">
        <f>IFERROR(SUM(BM22:BM559),"0")</f>
        <v>16446.847712909781</v>
      </c>
      <c r="Y563" s="43">
        <f>IFERROR(SUM(BN22:BN559),"0")</f>
        <v>16630.22</v>
      </c>
      <c r="Z563" s="42"/>
      <c r="AA563" s="67"/>
      <c r="AB563" s="67"/>
      <c r="AC563" s="67"/>
    </row>
    <row r="564" spans="1:32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05"/>
      <c r="P564" s="1002" t="s">
        <v>35</v>
      </c>
      <c r="Q564" s="1003"/>
      <c r="R564" s="1003"/>
      <c r="S564" s="1003"/>
      <c r="T564" s="1003"/>
      <c r="U564" s="1003"/>
      <c r="V564" s="1004"/>
      <c r="W564" s="42" t="s">
        <v>20</v>
      </c>
      <c r="X564" s="44">
        <f>ROUNDUP(SUM(BO22:BO559),0)</f>
        <v>28</v>
      </c>
      <c r="Y564" s="44">
        <f>ROUNDUP(SUM(BP22:BP559),0)</f>
        <v>28</v>
      </c>
      <c r="Z564" s="42"/>
      <c r="AA564" s="67"/>
      <c r="AB564" s="67"/>
      <c r="AC564" s="67"/>
    </row>
    <row r="565" spans="1:32" x14ac:dyDescent="0.2">
      <c r="A565" s="726"/>
      <c r="B565" s="726"/>
      <c r="C565" s="726"/>
      <c r="D565" s="726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1005"/>
      <c r="P565" s="1002" t="s">
        <v>36</v>
      </c>
      <c r="Q565" s="1003"/>
      <c r="R565" s="1003"/>
      <c r="S565" s="1003"/>
      <c r="T565" s="1003"/>
      <c r="U565" s="1003"/>
      <c r="V565" s="1004"/>
      <c r="W565" s="42" t="s">
        <v>0</v>
      </c>
      <c r="X565" s="43">
        <f>GrossWeightTotal+PalletQtyTotal*25</f>
        <v>17146.847712909781</v>
      </c>
      <c r="Y565" s="43">
        <f>GrossWeightTotalR+PalletQtyTotalR*25</f>
        <v>17330.22</v>
      </c>
      <c r="Z565" s="42"/>
      <c r="AA565" s="67"/>
      <c r="AB565" s="67"/>
      <c r="AC565" s="67"/>
    </row>
    <row r="566" spans="1:32" x14ac:dyDescent="0.2">
      <c r="A566" s="726"/>
      <c r="B566" s="726"/>
      <c r="C566" s="726"/>
      <c r="D566" s="726"/>
      <c r="E566" s="726"/>
      <c r="F566" s="726"/>
      <c r="G566" s="726"/>
      <c r="H566" s="726"/>
      <c r="I566" s="726"/>
      <c r="J566" s="726"/>
      <c r="K566" s="726"/>
      <c r="L566" s="726"/>
      <c r="M566" s="726"/>
      <c r="N566" s="726"/>
      <c r="O566" s="1005"/>
      <c r="P566" s="1002" t="s">
        <v>37</v>
      </c>
      <c r="Q566" s="1003"/>
      <c r="R566" s="1003"/>
      <c r="S566" s="1003"/>
      <c r="T566" s="1003"/>
      <c r="U566" s="1003"/>
      <c r="V566" s="1004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3072.6914805104457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3100</v>
      </c>
      <c r="Z566" s="42"/>
      <c r="AA566" s="67"/>
      <c r="AB566" s="67"/>
      <c r="AC566" s="67"/>
    </row>
    <row r="567" spans="1:32" ht="14.25" hidden="1" x14ac:dyDescent="0.2">
      <c r="A567" s="726"/>
      <c r="B567" s="726"/>
      <c r="C567" s="726"/>
      <c r="D567" s="726"/>
      <c r="E567" s="726"/>
      <c r="F567" s="726"/>
      <c r="G567" s="726"/>
      <c r="H567" s="726"/>
      <c r="I567" s="726"/>
      <c r="J567" s="726"/>
      <c r="K567" s="726"/>
      <c r="L567" s="726"/>
      <c r="M567" s="726"/>
      <c r="N567" s="726"/>
      <c r="O567" s="1005"/>
      <c r="P567" s="1002" t="s">
        <v>38</v>
      </c>
      <c r="Q567" s="1003"/>
      <c r="R567" s="1003"/>
      <c r="S567" s="1003"/>
      <c r="T567" s="1003"/>
      <c r="U567" s="1003"/>
      <c r="V567" s="1004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31.839189999999999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1006" t="s">
        <v>122</v>
      </c>
      <c r="E569" s="1006" t="s">
        <v>122</v>
      </c>
      <c r="F569" s="1006" t="s">
        <v>122</v>
      </c>
      <c r="G569" s="1006" t="s">
        <v>122</v>
      </c>
      <c r="H569" s="1006" t="s">
        <v>122</v>
      </c>
      <c r="I569" s="1006" t="s">
        <v>122</v>
      </c>
      <c r="J569" s="1006" t="s">
        <v>122</v>
      </c>
      <c r="K569" s="1006" t="s">
        <v>340</v>
      </c>
      <c r="L569" s="1006" t="s">
        <v>340</v>
      </c>
      <c r="M569" s="1006" t="s">
        <v>340</v>
      </c>
      <c r="N569" s="1007"/>
      <c r="O569" s="1006" t="s">
        <v>340</v>
      </c>
      <c r="P569" s="1006" t="s">
        <v>340</v>
      </c>
      <c r="Q569" s="1006" t="s">
        <v>340</v>
      </c>
      <c r="R569" s="1006" t="s">
        <v>340</v>
      </c>
      <c r="S569" s="1006" t="s">
        <v>340</v>
      </c>
      <c r="T569" s="1006" t="s">
        <v>340</v>
      </c>
      <c r="U569" s="1006" t="s">
        <v>340</v>
      </c>
      <c r="V569" s="1006" t="s">
        <v>340</v>
      </c>
      <c r="W569" s="1006" t="s">
        <v>340</v>
      </c>
      <c r="X569" s="1006" t="s">
        <v>712</v>
      </c>
      <c r="Y569" s="1006" t="s">
        <v>712</v>
      </c>
      <c r="Z569" s="1006" t="s">
        <v>778</v>
      </c>
      <c r="AA569" s="1006" t="s">
        <v>778</v>
      </c>
      <c r="AB569" s="85" t="s">
        <v>811</v>
      </c>
      <c r="AC569" s="1006" t="s">
        <v>855</v>
      </c>
      <c r="AD569" s="1006" t="s">
        <v>855</v>
      </c>
      <c r="AF569" s="1"/>
    </row>
    <row r="570" spans="1:32" ht="14.25" customHeight="1" thickTop="1" x14ac:dyDescent="0.2">
      <c r="A570" s="1008" t="s">
        <v>10</v>
      </c>
      <c r="B570" s="1006" t="s">
        <v>76</v>
      </c>
      <c r="C570" s="1006" t="s">
        <v>106</v>
      </c>
      <c r="D570" s="1006" t="s">
        <v>123</v>
      </c>
      <c r="E570" s="1006" t="s">
        <v>140</v>
      </c>
      <c r="F570" s="1006" t="s">
        <v>187</v>
      </c>
      <c r="G570" s="1006" t="s">
        <v>211</v>
      </c>
      <c r="H570" s="1006" t="s">
        <v>250</v>
      </c>
      <c r="I570" s="1006" t="s">
        <v>264</v>
      </c>
      <c r="J570" s="1006" t="s">
        <v>122</v>
      </c>
      <c r="K570" s="1006" t="s">
        <v>341</v>
      </c>
      <c r="L570" s="1006" t="s">
        <v>362</v>
      </c>
      <c r="M570" s="1006" t="s">
        <v>425</v>
      </c>
      <c r="N570" s="1"/>
      <c r="O570" s="1006" t="s">
        <v>496</v>
      </c>
      <c r="P570" s="1006" t="s">
        <v>531</v>
      </c>
      <c r="Q570" s="1006" t="s">
        <v>556</v>
      </c>
      <c r="R570" s="1006" t="s">
        <v>565</v>
      </c>
      <c r="S570" s="1006" t="s">
        <v>587</v>
      </c>
      <c r="T570" s="1006" t="s">
        <v>594</v>
      </c>
      <c r="U570" s="1006" t="s">
        <v>603</v>
      </c>
      <c r="V570" s="1006" t="s">
        <v>689</v>
      </c>
      <c r="W570" s="1006" t="s">
        <v>702</v>
      </c>
      <c r="X570" s="1006" t="s">
        <v>713</v>
      </c>
      <c r="Y570" s="1006" t="s">
        <v>762</v>
      </c>
      <c r="Z570" s="1006" t="s">
        <v>779</v>
      </c>
      <c r="AA570" s="1006" t="s">
        <v>799</v>
      </c>
      <c r="AB570" s="1006" t="s">
        <v>811</v>
      </c>
      <c r="AC570" s="1006" t="s">
        <v>855</v>
      </c>
      <c r="AD570" s="1006" t="s">
        <v>873</v>
      </c>
      <c r="AF570" s="1"/>
    </row>
    <row r="571" spans="1:32" ht="13.5" thickBot="1" x14ac:dyDescent="0.25">
      <c r="A571" s="1009"/>
      <c r="B571" s="1006"/>
      <c r="C571" s="1006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"/>
      <c r="O571" s="1006"/>
      <c r="P571" s="1006"/>
      <c r="Q571" s="1006"/>
      <c r="R571" s="1006"/>
      <c r="S571" s="1006"/>
      <c r="T571" s="1006"/>
      <c r="U571" s="1006"/>
      <c r="V571" s="1006"/>
      <c r="W571" s="1006"/>
      <c r="X571" s="1006"/>
      <c r="Y571" s="1006"/>
      <c r="Z571" s="1006"/>
      <c r="AA571" s="1006"/>
      <c r="AB571" s="1006"/>
      <c r="AC571" s="1006"/>
      <c r="AD571" s="1006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632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453.6</v>
      </c>
      <c r="F572" s="52">
        <f>IFERROR(Y85*1,"0")+IFERROR(Y86*1,"0")+IFERROR(Y87*1,"0")+IFERROR(Y88*1,"0")+IFERROR(Y89*1,"0")+IFERROR(Y90*1,"0")+IFERROR(Y94*1,"0")+IFERROR(Y95*1,"0")+IFERROR(Y96*1,"0")+IFERROR(Y97*1,"0")</f>
        <v>1127.4000000000001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874.9799999999999</v>
      </c>
      <c r="H572" s="52">
        <f>IFERROR(Y130*1,"0")+IFERROR(Y131*1,"0")+IFERROR(Y135*1,"0")+IFERROR(Y136*1,"0")+IFERROR(Y140*1,"0")+IFERROR(Y141*1,"0")</f>
        <v>163.19999999999999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854.7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189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1073.0999999999999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182.39999999999998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366.6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679.2</v>
      </c>
      <c r="V572" s="52">
        <f>IFERROR(Y420*1,"0")+IFERROR(Y421*1,"0")+IFERROR(Y422*1,"0")+IFERROR(Y423*1,"0")</f>
        <v>0</v>
      </c>
      <c r="W572" s="52">
        <f>IFERROR(Y428*1,"0")+IFERROR(Y429*1,"0")+IFERROR(Y430*1,"0")</f>
        <v>1016.4000000000001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6582</v>
      </c>
      <c r="Y572" s="52">
        <f>IFERROR(Y465*1,"0")+IFERROR(Y466*1,"0")+IFERROR(Y470*1,"0")+IFERROR(Y474*1,"0")+IFERROR(Y475*1,"0")+IFERROR(Y476*1,"0")</f>
        <v>27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1022.88</v>
      </c>
      <c r="AC572" s="52">
        <f>IFERROR(Y537*1,"0")+IFERROR(Y541*1,"0")+IFERROR(Y545*1,"0")+IFERROR(Y549*1,"0")+IFERROR(Y553*1,"0")+IFERROR(Y554*1,"0")</f>
        <v>405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5,00"/>
        <filter val="1 100,00"/>
        <filter val="1 900,00"/>
        <filter val="100,00"/>
        <filter val="110,00"/>
        <filter val="116,48"/>
        <filter val="12,50"/>
        <filter val="120,00"/>
        <filter val="15 478,00"/>
        <filter val="150,00"/>
        <filter val="158,00"/>
        <filter val="159,63"/>
        <filter val="16 446,85"/>
        <filter val="160,00"/>
        <filter val="17 146,85"/>
        <filter val="170,00"/>
        <filter val="174,00"/>
        <filter val="18,75"/>
        <filter val="180,00"/>
        <filter val="187,00"/>
        <filter val="2 200,00"/>
        <filter val="2,22"/>
        <filter val="20,00"/>
        <filter val="200,00"/>
        <filter val="206,75"/>
        <filter val="220,00"/>
        <filter val="230,00"/>
        <filter val="239,11"/>
        <filter val="24,00"/>
        <filter val="240,00"/>
        <filter val="242,00"/>
        <filter val="25,00"/>
        <filter val="270,00"/>
        <filter val="28"/>
        <filter val="280,00"/>
        <filter val="289,88"/>
        <filter val="298,80"/>
        <filter val="3 072,69"/>
        <filter val="300,00"/>
        <filter val="31,11"/>
        <filter val="315,00"/>
        <filter val="317,00"/>
        <filter val="35,00"/>
        <filter val="350,00"/>
        <filter val="355,00"/>
        <filter val="360,00"/>
        <filter val="368,00"/>
        <filter val="383,00"/>
        <filter val="40,00"/>
        <filter val="400,00"/>
        <filter val="402,00"/>
        <filter val="42,00"/>
        <filter val="44,44"/>
        <filter val="44,87"/>
        <filter val="45,00"/>
        <filter val="47,20"/>
        <filter val="483,33"/>
        <filter val="490,00"/>
        <filter val="5 520,00"/>
        <filter val="50,00"/>
        <filter val="510,00"/>
        <filter val="518,00"/>
        <filter val="52,00"/>
        <filter val="525,00"/>
        <filter val="54,00"/>
        <filter val="597,00"/>
        <filter val="60,00"/>
        <filter val="62,82"/>
        <filter val="628,00"/>
        <filter val="640,00"/>
        <filter val="65,24"/>
        <filter val="66,00"/>
        <filter val="66,67"/>
        <filter val="67,00"/>
        <filter val="69,32"/>
        <filter val="72,00"/>
        <filter val="75,00"/>
        <filter val="75,24"/>
        <filter val="79,77"/>
        <filter val="8,33"/>
        <filter val="80,00"/>
        <filter val="850,00"/>
        <filter val="851,00"/>
      </filters>
    </filterColumn>
    <filterColumn colId="29" showButton="0"/>
    <filterColumn colId="30" showButton="0"/>
  </autoFilter>
  <dataConsolidate/>
  <mergeCells count="1005"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2026-10-29T13:05:59Z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