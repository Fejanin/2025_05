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4C71DE-571F-4453-B1B6-1E4C40539A1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X550" i="1"/>
  <c r="BO549" i="1"/>
  <c r="BM549" i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X542" i="1"/>
  <c r="BO541" i="1"/>
  <c r="BM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O521" i="1"/>
  <c r="BN521" i="1"/>
  <c r="BM521" i="1"/>
  <c r="Y521" i="1"/>
  <c r="BP521" i="1" s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M484" i="1"/>
  <c r="Z484" i="1"/>
  <c r="Y484" i="1"/>
  <c r="BN484" i="1" s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X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O459" i="1"/>
  <c r="BN459" i="1"/>
  <c r="BM459" i="1"/>
  <c r="Y459" i="1"/>
  <c r="BP459" i="1" s="1"/>
  <c r="P459" i="1"/>
  <c r="X457" i="1"/>
  <c r="X456" i="1"/>
  <c r="BO455" i="1"/>
  <c r="BM455" i="1"/>
  <c r="Y455" i="1"/>
  <c r="BN455" i="1" s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M449" i="1"/>
  <c r="Z449" i="1"/>
  <c r="Y449" i="1"/>
  <c r="BN449" i="1" s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M439" i="1"/>
  <c r="Z439" i="1"/>
  <c r="Y439" i="1"/>
  <c r="BN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O415" i="1"/>
  <c r="BN415" i="1"/>
  <c r="BM415" i="1"/>
  <c r="Y415" i="1"/>
  <c r="BP415" i="1" s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BN409" i="1" s="1"/>
  <c r="P409" i="1"/>
  <c r="BO408" i="1"/>
  <c r="BM408" i="1"/>
  <c r="Y408" i="1"/>
  <c r="P408" i="1"/>
  <c r="BO407" i="1"/>
  <c r="BM407" i="1"/>
  <c r="Y407" i="1"/>
  <c r="P407" i="1"/>
  <c r="X405" i="1"/>
  <c r="X404" i="1"/>
  <c r="BP403" i="1"/>
  <c r="BO403" i="1"/>
  <c r="BM403" i="1"/>
  <c r="Z403" i="1"/>
  <c r="Y403" i="1"/>
  <c r="BN403" i="1" s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X385" i="1"/>
  <c r="X384" i="1"/>
  <c r="BO383" i="1"/>
  <c r="BM383" i="1"/>
  <c r="Y383" i="1"/>
  <c r="P383" i="1"/>
  <c r="BO382" i="1"/>
  <c r="BM382" i="1"/>
  <c r="Y382" i="1"/>
  <c r="P382" i="1"/>
  <c r="BO381" i="1"/>
  <c r="BM381" i="1"/>
  <c r="Y381" i="1"/>
  <c r="BN381" i="1" s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N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X364" i="1"/>
  <c r="X363" i="1"/>
  <c r="BO362" i="1"/>
  <c r="BM362" i="1"/>
  <c r="Y362" i="1"/>
  <c r="BN362" i="1" s="1"/>
  <c r="P362" i="1"/>
  <c r="BO361" i="1"/>
  <c r="BM361" i="1"/>
  <c r="Y361" i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P346" i="1"/>
  <c r="BO346" i="1"/>
  <c r="BM346" i="1"/>
  <c r="Z346" i="1"/>
  <c r="Y346" i="1"/>
  <c r="BN346" i="1" s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O331" i="1"/>
  <c r="BN331" i="1"/>
  <c r="BM331" i="1"/>
  <c r="Y331" i="1"/>
  <c r="BP331" i="1" s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N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BO318" i="1"/>
  <c r="BN318" i="1"/>
  <c r="BM318" i="1"/>
  <c r="Y318" i="1"/>
  <c r="BP318" i="1" s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O311" i="1"/>
  <c r="BM311" i="1"/>
  <c r="Y311" i="1"/>
  <c r="BN311" i="1" s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M295" i="1"/>
  <c r="Z295" i="1"/>
  <c r="Y295" i="1"/>
  <c r="BN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4" i="1"/>
  <c r="X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M272" i="1"/>
  <c r="Z272" i="1"/>
  <c r="Y272" i="1"/>
  <c r="BN272" i="1" s="1"/>
  <c r="P272" i="1"/>
  <c r="BO271" i="1"/>
  <c r="BM271" i="1"/>
  <c r="Y271" i="1"/>
  <c r="P271" i="1"/>
  <c r="X269" i="1"/>
  <c r="X268" i="1"/>
  <c r="BO267" i="1"/>
  <c r="BM267" i="1"/>
  <c r="Z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N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Y268" i="1" s="1"/>
  <c r="P260" i="1"/>
  <c r="X258" i="1"/>
  <c r="X257" i="1"/>
  <c r="BO256" i="1"/>
  <c r="BM256" i="1"/>
  <c r="Y256" i="1"/>
  <c r="BP256" i="1" s="1"/>
  <c r="P256" i="1"/>
  <c r="BP255" i="1"/>
  <c r="BO255" i="1"/>
  <c r="BM255" i="1"/>
  <c r="Z255" i="1"/>
  <c r="Y255" i="1"/>
  <c r="BN255" i="1" s="1"/>
  <c r="P255" i="1"/>
  <c r="X253" i="1"/>
  <c r="X252" i="1"/>
  <c r="BO251" i="1"/>
  <c r="BM251" i="1"/>
  <c r="Y251" i="1"/>
  <c r="BP251" i="1" s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M239" i="1"/>
  <c r="Z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N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M215" i="1"/>
  <c r="Z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K572" i="1" s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P184" i="1"/>
  <c r="BO184" i="1"/>
  <c r="BM184" i="1"/>
  <c r="Z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M174" i="1"/>
  <c r="Z174" i="1"/>
  <c r="Y174" i="1"/>
  <c r="BN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BP166" i="1" s="1"/>
  <c r="P166" i="1"/>
  <c r="BO165" i="1"/>
  <c r="BM165" i="1"/>
  <c r="Y165" i="1"/>
  <c r="Y168" i="1" s="1"/>
  <c r="P165" i="1"/>
  <c r="X163" i="1"/>
  <c r="X162" i="1"/>
  <c r="BO161" i="1"/>
  <c r="BM161" i="1"/>
  <c r="Y161" i="1"/>
  <c r="BP161" i="1" s="1"/>
  <c r="P161" i="1"/>
  <c r="BO160" i="1"/>
  <c r="BN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X155" i="1"/>
  <c r="X154" i="1"/>
  <c r="BO153" i="1"/>
  <c r="BM153" i="1"/>
  <c r="Y153" i="1"/>
  <c r="Y155" i="1" s="1"/>
  <c r="P153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P146" i="1"/>
  <c r="X143" i="1"/>
  <c r="X142" i="1"/>
  <c r="BO141" i="1"/>
  <c r="BM141" i="1"/>
  <c r="Y141" i="1"/>
  <c r="BP141" i="1" s="1"/>
  <c r="P141" i="1"/>
  <c r="BO140" i="1"/>
  <c r="BN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7" i="1"/>
  <c r="X126" i="1"/>
  <c r="BO125" i="1"/>
  <c r="BM125" i="1"/>
  <c r="Y125" i="1"/>
  <c r="Y127" i="1" s="1"/>
  <c r="P125" i="1"/>
  <c r="X123" i="1"/>
  <c r="X122" i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M119" i="1"/>
  <c r="Z119" i="1"/>
  <c r="Y119" i="1"/>
  <c r="BN119" i="1" s="1"/>
  <c r="P119" i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N94" i="1" s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M88" i="1"/>
  <c r="Z88" i="1"/>
  <c r="Y88" i="1"/>
  <c r="BN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M69" i="1"/>
  <c r="Z69" i="1"/>
  <c r="Y69" i="1"/>
  <c r="BN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M57" i="1"/>
  <c r="Z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P24" i="1"/>
  <c r="BO24" i="1"/>
  <c r="BM24" i="1"/>
  <c r="Z24" i="1"/>
  <c r="Y24" i="1"/>
  <c r="BN24" i="1" s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125" i="1" l="1"/>
  <c r="Z126" i="1" s="1"/>
  <c r="Z30" i="1"/>
  <c r="BP30" i="1"/>
  <c r="Y115" i="1"/>
  <c r="Z263" i="1"/>
  <c r="Z311" i="1"/>
  <c r="BP311" i="1"/>
  <c r="Z322" i="1"/>
  <c r="BP322" i="1"/>
  <c r="Z362" i="1"/>
  <c r="BP362" i="1"/>
  <c r="Z371" i="1"/>
  <c r="BP371" i="1"/>
  <c r="Z381" i="1"/>
  <c r="BP381" i="1"/>
  <c r="Z409" i="1"/>
  <c r="BP409" i="1"/>
  <c r="Z455" i="1"/>
  <c r="BP455" i="1"/>
  <c r="Z470" i="1"/>
  <c r="Z471" i="1" s="1"/>
  <c r="BP470" i="1"/>
  <c r="Z501" i="1"/>
  <c r="BP501" i="1"/>
  <c r="Z515" i="1"/>
  <c r="BP515" i="1"/>
  <c r="Z541" i="1"/>
  <c r="Z542" i="1" s="1"/>
  <c r="BP541" i="1"/>
  <c r="Z549" i="1"/>
  <c r="Z550" i="1" s="1"/>
  <c r="BP549" i="1"/>
  <c r="Z40" i="1"/>
  <c r="Z103" i="1"/>
  <c r="Z140" i="1"/>
  <c r="I572" i="1"/>
  <c r="Z160" i="1"/>
  <c r="Z223" i="1"/>
  <c r="M572" i="1"/>
  <c r="BN267" i="1"/>
  <c r="Z280" i="1"/>
  <c r="Z318" i="1"/>
  <c r="Z331" i="1"/>
  <c r="Z367" i="1"/>
  <c r="Z377" i="1"/>
  <c r="Z387" i="1"/>
  <c r="Z415" i="1"/>
  <c r="Z459" i="1"/>
  <c r="Z511" i="1"/>
  <c r="Z521" i="1"/>
  <c r="Z529" i="1"/>
  <c r="C572" i="1"/>
  <c r="Z94" i="1"/>
  <c r="BP94" i="1"/>
  <c r="Z107" i="1"/>
  <c r="BP107" i="1"/>
  <c r="BP125" i="1"/>
  <c r="Z170" i="1"/>
  <c r="BP170" i="1"/>
  <c r="Z202" i="1"/>
  <c r="BP202" i="1"/>
  <c r="BP263" i="1"/>
  <c r="F572" i="1"/>
  <c r="BN125" i="1"/>
  <c r="Y126" i="1"/>
  <c r="BN470" i="1"/>
  <c r="Y471" i="1"/>
  <c r="BN541" i="1"/>
  <c r="Y542" i="1"/>
  <c r="BN549" i="1"/>
  <c r="Y550" i="1"/>
  <c r="BP338" i="1"/>
  <c r="BN338" i="1"/>
  <c r="Z338" i="1"/>
  <c r="S572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3" i="1"/>
  <c r="BN373" i="1"/>
  <c r="Z373" i="1"/>
  <c r="BP383" i="1"/>
  <c r="BN383" i="1"/>
  <c r="Z383" i="1"/>
  <c r="BP401" i="1"/>
  <c r="BN401" i="1"/>
  <c r="Z401" i="1"/>
  <c r="Y417" i="1"/>
  <c r="BP413" i="1"/>
  <c r="BN413" i="1"/>
  <c r="Z413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2" i="1"/>
  <c r="BN22" i="1"/>
  <c r="Z26" i="1"/>
  <c r="BN26" i="1"/>
  <c r="X562" i="1"/>
  <c r="Y32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Y81" i="1"/>
  <c r="Z86" i="1"/>
  <c r="BN86" i="1"/>
  <c r="Z90" i="1"/>
  <c r="BN90" i="1"/>
  <c r="Y98" i="1"/>
  <c r="Z96" i="1"/>
  <c r="BN96" i="1"/>
  <c r="G572" i="1"/>
  <c r="Z105" i="1"/>
  <c r="BN105" i="1"/>
  <c r="Z113" i="1"/>
  <c r="BN113" i="1"/>
  <c r="Y123" i="1"/>
  <c r="Z121" i="1"/>
  <c r="BN121" i="1"/>
  <c r="Y132" i="1"/>
  <c r="Z136" i="1"/>
  <c r="BN136" i="1"/>
  <c r="Y142" i="1"/>
  <c r="Z147" i="1"/>
  <c r="BN147" i="1"/>
  <c r="Z153" i="1"/>
  <c r="Z154" i="1" s="1"/>
  <c r="BN153" i="1"/>
  <c r="BP153" i="1"/>
  <c r="Y154" i="1"/>
  <c r="Z158" i="1"/>
  <c r="BN158" i="1"/>
  <c r="Z166" i="1"/>
  <c r="BN166" i="1"/>
  <c r="Y182" i="1"/>
  <c r="Z172" i="1"/>
  <c r="BN172" i="1"/>
  <c r="Z176" i="1"/>
  <c r="BN176" i="1"/>
  <c r="Z180" i="1"/>
  <c r="BN180" i="1"/>
  <c r="Y186" i="1"/>
  <c r="Z200" i="1"/>
  <c r="BN200" i="1"/>
  <c r="Z204" i="1"/>
  <c r="BN204" i="1"/>
  <c r="L572" i="1"/>
  <c r="Y227" i="1"/>
  <c r="Z217" i="1"/>
  <c r="BN217" i="1"/>
  <c r="Z221" i="1"/>
  <c r="BN221" i="1"/>
  <c r="Z225" i="1"/>
  <c r="BN225" i="1"/>
  <c r="Y235" i="1"/>
  <c r="Z233" i="1"/>
  <c r="BN233" i="1"/>
  <c r="Y241" i="1"/>
  <c r="Z250" i="1"/>
  <c r="BN250" i="1"/>
  <c r="Z251" i="1"/>
  <c r="BN251" i="1"/>
  <c r="Y257" i="1"/>
  <c r="Z261" i="1"/>
  <c r="BN261" i="1"/>
  <c r="Z265" i="1"/>
  <c r="BN265" i="1"/>
  <c r="Z274" i="1"/>
  <c r="BN274" i="1"/>
  <c r="Z278" i="1"/>
  <c r="BN278" i="1"/>
  <c r="Z282" i="1"/>
  <c r="BN282" i="1"/>
  <c r="Y288" i="1"/>
  <c r="Z293" i="1"/>
  <c r="BN293" i="1"/>
  <c r="Z297" i="1"/>
  <c r="BN297" i="1"/>
  <c r="Z313" i="1"/>
  <c r="BN313" i="1"/>
  <c r="Z320" i="1"/>
  <c r="BN320" i="1"/>
  <c r="Z324" i="1"/>
  <c r="BN324" i="1"/>
  <c r="BP344" i="1"/>
  <c r="BN344" i="1"/>
  <c r="Z344" i="1"/>
  <c r="Y363" i="1"/>
  <c r="BP369" i="1"/>
  <c r="BN369" i="1"/>
  <c r="Z369" i="1"/>
  <c r="BP379" i="1"/>
  <c r="BN379" i="1"/>
  <c r="Z379" i="1"/>
  <c r="BP389" i="1"/>
  <c r="BN389" i="1"/>
  <c r="Z389" i="1"/>
  <c r="BP407" i="1"/>
  <c r="BN407" i="1"/>
  <c r="Z407" i="1"/>
  <c r="Y416" i="1"/>
  <c r="BP437" i="1"/>
  <c r="BN437" i="1"/>
  <c r="Z437" i="1"/>
  <c r="BP447" i="1"/>
  <c r="BN447" i="1"/>
  <c r="Z447" i="1"/>
  <c r="Y456" i="1"/>
  <c r="Y572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385" i="1"/>
  <c r="Y478" i="1"/>
  <c r="Y477" i="1"/>
  <c r="Y555" i="1"/>
  <c r="AC572" i="1"/>
  <c r="F9" i="1"/>
  <c r="J9" i="1"/>
  <c r="F10" i="1"/>
  <c r="Y27" i="1"/>
  <c r="Y33" i="1"/>
  <c r="Y43" i="1"/>
  <c r="Y51" i="1"/>
  <c r="Y64" i="1"/>
  <c r="Y70" i="1"/>
  <c r="Y76" i="1"/>
  <c r="Y82" i="1"/>
  <c r="Y91" i="1"/>
  <c r="Y99" i="1"/>
  <c r="Y110" i="1"/>
  <c r="Y116" i="1"/>
  <c r="Y122" i="1"/>
  <c r="Y133" i="1"/>
  <c r="Y137" i="1"/>
  <c r="Y143" i="1"/>
  <c r="Y150" i="1"/>
  <c r="Y163" i="1"/>
  <c r="Y167" i="1"/>
  <c r="Y181" i="1"/>
  <c r="Y187" i="1"/>
  <c r="Y191" i="1"/>
  <c r="Y195" i="1"/>
  <c r="Y207" i="1"/>
  <c r="Y212" i="1"/>
  <c r="Y228" i="1"/>
  <c r="Y236" i="1"/>
  <c r="Y242" i="1"/>
  <c r="Y246" i="1"/>
  <c r="Y252" i="1"/>
  <c r="Y258" i="1"/>
  <c r="BP273" i="1"/>
  <c r="BN273" i="1"/>
  <c r="Z273" i="1"/>
  <c r="BP277" i="1"/>
  <c r="BN277" i="1"/>
  <c r="Z277" i="1"/>
  <c r="BP281" i="1"/>
  <c r="BN281" i="1"/>
  <c r="Z281" i="1"/>
  <c r="BP294" i="1"/>
  <c r="BN294" i="1"/>
  <c r="Z294" i="1"/>
  <c r="BP298" i="1"/>
  <c r="BN298" i="1"/>
  <c r="Z298" i="1"/>
  <c r="Y300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Y314" i="1"/>
  <c r="BP319" i="1"/>
  <c r="BN319" i="1"/>
  <c r="Z319" i="1"/>
  <c r="BP323" i="1"/>
  <c r="BN323" i="1"/>
  <c r="Z323" i="1"/>
  <c r="BP332" i="1"/>
  <c r="BN332" i="1"/>
  <c r="Z332" i="1"/>
  <c r="Y334" i="1"/>
  <c r="R572" i="1"/>
  <c r="Y342" i="1"/>
  <c r="BP337" i="1"/>
  <c r="BN337" i="1"/>
  <c r="Z337" i="1"/>
  <c r="Y341" i="1"/>
  <c r="BP345" i="1"/>
  <c r="BN345" i="1"/>
  <c r="Z345" i="1"/>
  <c r="Z347" i="1" s="1"/>
  <c r="BP368" i="1"/>
  <c r="BN368" i="1"/>
  <c r="Z368" i="1"/>
  <c r="BP372" i="1"/>
  <c r="BN372" i="1"/>
  <c r="Z372" i="1"/>
  <c r="BP380" i="1"/>
  <c r="BN380" i="1"/>
  <c r="Z380" i="1"/>
  <c r="Y384" i="1"/>
  <c r="BP388" i="1"/>
  <c r="BN388" i="1"/>
  <c r="Z388" i="1"/>
  <c r="BP396" i="1"/>
  <c r="BN396" i="1"/>
  <c r="Z396" i="1"/>
  <c r="Y398" i="1"/>
  <c r="Y405" i="1"/>
  <c r="BP400" i="1"/>
  <c r="BN400" i="1"/>
  <c r="Z400" i="1"/>
  <c r="Y404" i="1"/>
  <c r="BP408" i="1"/>
  <c r="BN408" i="1"/>
  <c r="Z408" i="1"/>
  <c r="Z410" i="1" s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Z450" i="1" s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H572" i="1"/>
  <c r="H9" i="1"/>
  <c r="B572" i="1"/>
  <c r="X563" i="1"/>
  <c r="X564" i="1"/>
  <c r="Z23" i="1"/>
  <c r="BN23" i="1"/>
  <c r="Z25" i="1"/>
  <c r="BN25" i="1"/>
  <c r="X566" i="1"/>
  <c r="Y28" i="1"/>
  <c r="Z31" i="1"/>
  <c r="Z32" i="1" s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BN78" i="1"/>
  <c r="BP78" i="1"/>
  <c r="Z80" i="1"/>
  <c r="BN80" i="1"/>
  <c r="Z85" i="1"/>
  <c r="BN85" i="1"/>
  <c r="BP85" i="1"/>
  <c r="Z87" i="1"/>
  <c r="BN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20" i="1"/>
  <c r="BN120" i="1"/>
  <c r="Z131" i="1"/>
  <c r="Z132" i="1" s="1"/>
  <c r="BN131" i="1"/>
  <c r="Z135" i="1"/>
  <c r="Z137" i="1" s="1"/>
  <c r="BN135" i="1"/>
  <c r="BP135" i="1"/>
  <c r="Z141" i="1"/>
  <c r="Z142" i="1" s="1"/>
  <c r="BN141" i="1"/>
  <c r="Z146" i="1"/>
  <c r="BN146" i="1"/>
  <c r="BP146" i="1"/>
  <c r="Z148" i="1"/>
  <c r="BN148" i="1"/>
  <c r="Y151" i="1"/>
  <c r="J572" i="1"/>
  <c r="Z159" i="1"/>
  <c r="BN159" i="1"/>
  <c r="Z161" i="1"/>
  <c r="BN161" i="1"/>
  <c r="Y162" i="1"/>
  <c r="Z165" i="1"/>
  <c r="BN165" i="1"/>
  <c r="BP165" i="1"/>
  <c r="Z171" i="1"/>
  <c r="BN171" i="1"/>
  <c r="Z173" i="1"/>
  <c r="BN173" i="1"/>
  <c r="Z175" i="1"/>
  <c r="BN175" i="1"/>
  <c r="Z177" i="1"/>
  <c r="BN177" i="1"/>
  <c r="Z179" i="1"/>
  <c r="BN179" i="1"/>
  <c r="Z185" i="1"/>
  <c r="Z186" i="1" s="1"/>
  <c r="BN185" i="1"/>
  <c r="Z189" i="1"/>
  <c r="Z190" i="1" s="1"/>
  <c r="BN189" i="1"/>
  <c r="BP189" i="1"/>
  <c r="Z193" i="1"/>
  <c r="Z194" i="1" s="1"/>
  <c r="BN193" i="1"/>
  <c r="BP193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BN238" i="1"/>
  <c r="BP238" i="1"/>
  <c r="Z240" i="1"/>
  <c r="BN240" i="1"/>
  <c r="Z244" i="1"/>
  <c r="Z245" i="1" s="1"/>
  <c r="BN244" i="1"/>
  <c r="BP244" i="1"/>
  <c r="Z249" i="1"/>
  <c r="Z252" i="1" s="1"/>
  <c r="BN249" i="1"/>
  <c r="BP249" i="1"/>
  <c r="Y253" i="1"/>
  <c r="Z256" i="1"/>
  <c r="Z257" i="1" s="1"/>
  <c r="BN256" i="1"/>
  <c r="Z260" i="1"/>
  <c r="Z268" i="1" s="1"/>
  <c r="BN260" i="1"/>
  <c r="BP260" i="1"/>
  <c r="Z262" i="1"/>
  <c r="BN262" i="1"/>
  <c r="Z264" i="1"/>
  <c r="BN264" i="1"/>
  <c r="Z266" i="1"/>
  <c r="BN266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Z288" i="1" s="1"/>
  <c r="Y289" i="1"/>
  <c r="O572" i="1"/>
  <c r="Y299" i="1"/>
  <c r="BP292" i="1"/>
  <c r="BN292" i="1"/>
  <c r="Z292" i="1"/>
  <c r="BP296" i="1"/>
  <c r="BN296" i="1"/>
  <c r="Z296" i="1"/>
  <c r="BP312" i="1"/>
  <c r="BN312" i="1"/>
  <c r="Z312" i="1"/>
  <c r="BP321" i="1"/>
  <c r="BN321" i="1"/>
  <c r="Z321" i="1"/>
  <c r="BP325" i="1"/>
  <c r="BN325" i="1"/>
  <c r="Z325" i="1"/>
  <c r="Y327" i="1"/>
  <c r="Y333" i="1"/>
  <c r="BP330" i="1"/>
  <c r="BN330" i="1"/>
  <c r="Z330" i="1"/>
  <c r="Z333" i="1" s="1"/>
  <c r="BP339" i="1"/>
  <c r="BN339" i="1"/>
  <c r="Z339" i="1"/>
  <c r="Y348" i="1"/>
  <c r="Y347" i="1"/>
  <c r="Z363" i="1"/>
  <c r="BP361" i="1"/>
  <c r="BN361" i="1"/>
  <c r="Z361" i="1"/>
  <c r="U572" i="1"/>
  <c r="BP370" i="1"/>
  <c r="BN370" i="1"/>
  <c r="Z370" i="1"/>
  <c r="Y374" i="1"/>
  <c r="BP378" i="1"/>
  <c r="BN378" i="1"/>
  <c r="Z378" i="1"/>
  <c r="BP382" i="1"/>
  <c r="BN382" i="1"/>
  <c r="Z382" i="1"/>
  <c r="Y391" i="1"/>
  <c r="BP390" i="1"/>
  <c r="BN390" i="1"/>
  <c r="Z390" i="1"/>
  <c r="Y392" i="1"/>
  <c r="Y397" i="1"/>
  <c r="BP394" i="1"/>
  <c r="BN394" i="1"/>
  <c r="Z394" i="1"/>
  <c r="BP402" i="1"/>
  <c r="BN402" i="1"/>
  <c r="Z402" i="1"/>
  <c r="Y411" i="1"/>
  <c r="Y410" i="1"/>
  <c r="BP414" i="1"/>
  <c r="BN414" i="1"/>
  <c r="Z414" i="1"/>
  <c r="Z416" i="1" s="1"/>
  <c r="BP460" i="1"/>
  <c r="BN460" i="1"/>
  <c r="Z460" i="1"/>
  <c r="Z461" i="1" s="1"/>
  <c r="Y462" i="1"/>
  <c r="Y468" i="1"/>
  <c r="BP465" i="1"/>
  <c r="BN465" i="1"/>
  <c r="Z465" i="1"/>
  <c r="Z467" i="1" s="1"/>
  <c r="Y467" i="1"/>
  <c r="Q572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BP454" i="1"/>
  <c r="BN454" i="1"/>
  <c r="Z454" i="1"/>
  <c r="Z456" i="1" s="1"/>
  <c r="Y461" i="1"/>
  <c r="BP475" i="1"/>
  <c r="BN475" i="1"/>
  <c r="Z475" i="1"/>
  <c r="Z477" i="1" s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Z522" i="1" s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241" i="1" l="1"/>
  <c r="Z206" i="1"/>
  <c r="Z109" i="1"/>
  <c r="Z91" i="1"/>
  <c r="Z70" i="1"/>
  <c r="Z51" i="1"/>
  <c r="Z42" i="1"/>
  <c r="Z181" i="1"/>
  <c r="Z162" i="1"/>
  <c r="Z98" i="1"/>
  <c r="Y564" i="1"/>
  <c r="Z27" i="1"/>
  <c r="Z488" i="1"/>
  <c r="Z326" i="1"/>
  <c r="Z532" i="1"/>
  <c r="Z424" i="1"/>
  <c r="Z397" i="1"/>
  <c r="Z384" i="1"/>
  <c r="Z167" i="1"/>
  <c r="Z63" i="1"/>
  <c r="Y563" i="1"/>
  <c r="Y565" i="1" s="1"/>
  <c r="Z391" i="1"/>
  <c r="Z374" i="1"/>
  <c r="X565" i="1"/>
  <c r="Z444" i="1"/>
  <c r="Z341" i="1"/>
  <c r="Z314" i="1"/>
  <c r="Y566" i="1"/>
  <c r="Z516" i="1"/>
  <c r="Z299" i="1"/>
  <c r="Z283" i="1"/>
  <c r="Z235" i="1"/>
  <c r="Z150" i="1"/>
  <c r="Z122" i="1"/>
  <c r="Z81" i="1"/>
  <c r="Y562" i="1"/>
  <c r="Z503" i="1"/>
  <c r="Z404" i="1"/>
  <c r="Z567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<sst xmlns="http://schemas.openxmlformats.org/spreadsheetml/2006/main" count="2533" uniqueCount="915">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</sst>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46328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885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3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0.45833333333333331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3</v>
      </c>
      <c r="Y25" s="636">
        <f>IFERROR(IF(X25="",0,CEILING((X25/$H25),1)*$H25),"")</f>
        <v>3.6</v>
      </c>
      <c r="Z25" s="36">
        <f>IFERROR(IF(Y25=0,"",ROUNDUP(Y25/H25,0)*0.00651),"")</f>
        <v>1.302E-2</v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5.3000000000000007</v>
      </c>
      <c r="BN25" s="64">
        <f>IFERROR(Y25*I25/H25,"0")</f>
        <v>6.36</v>
      </c>
      <c r="BO25" s="64">
        <f>IFERROR(1/J25*(X25/H25),"0")</f>
        <v>9.1575091575091579E-3</v>
      </c>
      <c r="BP25" s="64">
        <f>IFERROR(1/J25*(Y25/H25),"0")</f>
        <v>1.098901098901099E-2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1.6666666666666665</v>
      </c>
      <c r="Y27" s="637">
        <f>IFERROR(Y22/H22,"0")+IFERROR(Y23/H23,"0")+IFERROR(Y24/H24,"0")+IFERROR(Y25/H25,"0")+IFERROR(Y26/H26,"0")</f>
        <v>2</v>
      </c>
      <c r="Z27" s="637">
        <f>IFERROR(IF(Z22="",0,Z22),"0")+IFERROR(IF(Z23="",0,Z23),"0")+IFERROR(IF(Z24="",0,Z24),"0")+IFERROR(IF(Z25="",0,Z25),"0")+IFERROR(IF(Z26="",0,Z26),"0")</f>
        <v>1.302E-2</v>
      </c>
      <c r="AA27" s="638"/>
      <c r="AB27" s="638"/>
      <c r="AC27" s="638"/>
    </row>
    <row r="28" spans="1:68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3</v>
      </c>
      <c r="Y28" s="637">
        <f>IFERROR(SUM(Y22:Y26),"0")</f>
        <v>3.6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640</v>
      </c>
      <c r="Y47" s="636">
        <f>IFERROR(IF(X47="",0,CEILING((X47/$H47),1)*$H47),"")</f>
        <v>648</v>
      </c>
      <c r="Z47" s="36">
        <f>IFERROR(IF(Y47=0,"",ROUNDUP(Y47/H47,0)*0.01898),"")</f>
        <v>1.1388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664.2962962962963</v>
      </c>
      <c r="BN47" s="64">
        <f>IFERROR(Y47*I47/H47,"0")</f>
        <v>672.6</v>
      </c>
      <c r="BO47" s="64">
        <f>IFERROR(1/J47*(X47/H47),"0")</f>
        <v>0.92592592592592582</v>
      </c>
      <c r="BP47" s="64">
        <f>IFERROR(1/J47*(Y47/H47),"0")</f>
        <v>0.93749999999999989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45</v>
      </c>
      <c r="Y50" s="636">
        <f>IFERROR(IF(X50="",0,CEILING((X50/$H50),1)*$H50),"")</f>
        <v>48.1</v>
      </c>
      <c r="Z50" s="36">
        <f>IFERROR(IF(Y50=0,"",ROUNDUP(Y50/H50,0)*0.00902),"")</f>
        <v>0.11726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47.310810810810814</v>
      </c>
      <c r="BN50" s="64">
        <f>IFERROR(Y50*I50/H50,"0")</f>
        <v>50.57</v>
      </c>
      <c r="BO50" s="64">
        <f>IFERROR(1/J50*(X50/H50),"0")</f>
        <v>9.2137592137592136E-2</v>
      </c>
      <c r="BP50" s="64">
        <f>IFERROR(1/J50*(Y50/H50),"0")</f>
        <v>9.8484848484848481E-2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71.421421421421414</v>
      </c>
      <c r="Y51" s="637">
        <f>IFERROR(Y47/H47,"0")+IFERROR(Y48/H48,"0")+IFERROR(Y49/H49,"0")+IFERROR(Y50/H50,"0")</f>
        <v>73</v>
      </c>
      <c r="Z51" s="637">
        <f>IFERROR(IF(Z47="",0,Z47),"0")+IFERROR(IF(Z48="",0,Z48),"0")+IFERROR(IF(Z49="",0,Z49),"0")+IFERROR(IF(Z50="",0,Z50),"0")</f>
        <v>1.25606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685</v>
      </c>
      <c r="Y52" s="637">
        <f>IFERROR(SUM(Y47:Y50),"0")</f>
        <v>696.1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492</v>
      </c>
      <c r="Y56" s="636">
        <f t="shared" si="0"/>
        <v>496.8</v>
      </c>
      <c r="Z56" s="36">
        <f>IFERROR(IF(Y56=0,"",ROUNDUP(Y56/H56,0)*0.01898),"")</f>
        <v>0.87307999999999997</v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510.67777777777781</v>
      </c>
      <c r="BN56" s="64">
        <f t="shared" si="2"/>
        <v>515.66</v>
      </c>
      <c r="BO56" s="64">
        <f t="shared" si="3"/>
        <v>0.71180555555555547</v>
      </c>
      <c r="BP56" s="64">
        <f t="shared" si="4"/>
        <v>0.71875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6</v>
      </c>
      <c r="Y59" s="636">
        <f t="shared" si="0"/>
        <v>8</v>
      </c>
      <c r="Z59" s="36">
        <f>IFERROR(IF(Y59=0,"",ROUNDUP(Y59/H59,0)*0.00902),"")</f>
        <v>1.804E-2</v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6.2850000000000001</v>
      </c>
      <c r="BN59" s="64">
        <f t="shared" si="2"/>
        <v>8.3800000000000008</v>
      </c>
      <c r="BO59" s="64">
        <f t="shared" si="3"/>
        <v>1.1363636363636364E-2</v>
      </c>
      <c r="BP59" s="64">
        <f t="shared" si="4"/>
        <v>1.5151515151515152E-2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54</v>
      </c>
      <c r="Y62" s="636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56.28</v>
      </c>
      <c r="BN62" s="64">
        <f t="shared" si="2"/>
        <v>56.28</v>
      </c>
      <c r="BO62" s="64">
        <f t="shared" si="3"/>
        <v>9.0909090909090912E-2</v>
      </c>
      <c r="BP62" s="64">
        <f t="shared" si="4"/>
        <v>9.0909090909090912E-2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59.05555555555555</v>
      </c>
      <c r="Y63" s="637">
        <f>IFERROR(Y55/H55,"0")+IFERROR(Y56/H56,"0")+IFERROR(Y57/H57,"0")+IFERROR(Y58/H58,"0")+IFERROR(Y59/H59,"0")+IFERROR(Y60/H60,"0")+IFERROR(Y61/H61,"0")+IFERROR(Y62/H62,"0")</f>
        <v>60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0.99935999999999992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552</v>
      </c>
      <c r="Y64" s="637">
        <f>IFERROR(SUM(Y55:Y62),"0")</f>
        <v>558.79999999999995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hidden="1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15</v>
      </c>
      <c r="Y73" s="636">
        <f>IFERROR(IF(X73="",0,CEILING((X73/$H73),1)*$H73),"")</f>
        <v>16.2</v>
      </c>
      <c r="Z73" s="36">
        <f>IFERROR(IF(Y73=0,"",ROUNDUP(Y73/H73,0)*0.00651),"")</f>
        <v>5.8590000000000003E-2</v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17.049999999999997</v>
      </c>
      <c r="BN73" s="64">
        <f>IFERROR(Y73*I73/H73,"0")</f>
        <v>18.413999999999998</v>
      </c>
      <c r="BO73" s="64">
        <f>IFERROR(1/J73*(X73/H73),"0")</f>
        <v>4.5787545787545791E-2</v>
      </c>
      <c r="BP73" s="64">
        <f>IFERROR(1/J73*(Y73/H73),"0")</f>
        <v>4.9450549450549455E-2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8.3333333333333339</v>
      </c>
      <c r="Y75" s="637">
        <f>IFERROR(Y73/H73,"0")+IFERROR(Y74/H74,"0")</f>
        <v>9</v>
      </c>
      <c r="Z75" s="637">
        <f>IFERROR(IF(Z73="",0,Z73),"0")+IFERROR(IF(Z74="",0,Z74),"0")</f>
        <v>5.8590000000000003E-2</v>
      </c>
      <c r="AA75" s="638"/>
      <c r="AB75" s="638"/>
      <c r="AC75" s="638"/>
    </row>
    <row r="76" spans="1:68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15</v>
      </c>
      <c r="Y76" s="637">
        <f>IFERROR(SUM(Y73:Y74),"0")</f>
        <v>16.2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129</v>
      </c>
      <c r="Y85" s="636">
        <f t="shared" ref="Y85:Y90" si="5"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133.89722222222224</v>
      </c>
      <c r="BN85" s="64">
        <f t="shared" ref="BN85:BN90" si="7">IFERROR(Y85*I85/H85,"0")</f>
        <v>134.52000000000001</v>
      </c>
      <c r="BO85" s="64">
        <f t="shared" ref="BO85:BO90" si="8">IFERROR(1/J85*(X85/H85),"0")</f>
        <v>0.18663194444444442</v>
      </c>
      <c r="BP85" s="64">
        <f t="shared" ref="BP85:BP90" si="9">IFERROR(1/J85*(Y85/H85),"0")</f>
        <v>0.18750000000000003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26</v>
      </c>
      <c r="Y87" s="636">
        <f t="shared" si="5"/>
        <v>27.200000000000003</v>
      </c>
      <c r="Z87" s="36">
        <f>IFERROR(IF(Y87=0,"",ROUNDUP(Y87/H87,0)*0.00726),"")</f>
        <v>0.1452</v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29.441176470588232</v>
      </c>
      <c r="BN87" s="64">
        <f t="shared" si="7"/>
        <v>30.8</v>
      </c>
      <c r="BO87" s="64">
        <f t="shared" si="8"/>
        <v>9.9571078431372542E-2</v>
      </c>
      <c r="BP87" s="64">
        <f t="shared" si="9"/>
        <v>0.10416666666666666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31</v>
      </c>
      <c r="Y90" s="636">
        <f t="shared" si="5"/>
        <v>31.5</v>
      </c>
      <c r="Z90" s="36">
        <f>IFERROR(IF(Y90=0,"",ROUNDUP(Y90/H90,0)*0.00902),"")</f>
        <v>6.3140000000000002E-2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32.308888888888895</v>
      </c>
      <c r="BN90" s="64">
        <f t="shared" si="7"/>
        <v>32.830000000000005</v>
      </c>
      <c r="BO90" s="64">
        <f t="shared" si="8"/>
        <v>5.2188552188552194E-2</v>
      </c>
      <c r="BP90" s="64">
        <f t="shared" si="9"/>
        <v>5.3030303030303032E-2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37.950980392156865</v>
      </c>
      <c r="Y91" s="637">
        <f>IFERROR(Y85/H85,"0")+IFERROR(Y86/H86,"0")+IFERROR(Y87/H87,"0")+IFERROR(Y88/H88,"0")+IFERROR(Y89/H89,"0")+IFERROR(Y90/H90,"0")</f>
        <v>39</v>
      </c>
      <c r="Z91" s="637">
        <f>IFERROR(IF(Z85="",0,Z85),"0")+IFERROR(IF(Z86="",0,Z86),"0")+IFERROR(IF(Z87="",0,Z87),"0")+IFERROR(IF(Z88="",0,Z88),"0")+IFERROR(IF(Z89="",0,Z89),"0")+IFERROR(IF(Z90="",0,Z90),"0")</f>
        <v>0.43610000000000004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186</v>
      </c>
      <c r="Y92" s="637">
        <f>IFERROR(SUM(Y85:Y90),"0")</f>
        <v>188.3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461</v>
      </c>
      <c r="Y94" s="636">
        <f>IFERROR(IF(X94="",0,CEILING((X94/$H94),1)*$H94),"")</f>
        <v>461.7</v>
      </c>
      <c r="Z94" s="36">
        <f>IFERROR(IF(Y94=0,"",ROUNDUP(Y94/H94,0)*0.01898),"")</f>
        <v>1.08186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489.11530864197533</v>
      </c>
      <c r="BN94" s="64">
        <f>IFERROR(Y94*I94/H94,"0")</f>
        <v>489.85799999999995</v>
      </c>
      <c r="BO94" s="64">
        <f>IFERROR(1/J94*(X94/H94),"0")</f>
        <v>0.88927469135802473</v>
      </c>
      <c r="BP94" s="64">
        <f>IFERROR(1/J94*(Y94/H94),"0")</f>
        <v>0.890625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466</v>
      </c>
      <c r="Y96" s="636">
        <f>IFERROR(IF(X96="",0,CEILING((X96/$H96),1)*$H96),"")</f>
        <v>467.1</v>
      </c>
      <c r="Z96" s="36">
        <f>IFERROR(IF(Y96=0,"",ROUNDUP(Y96/H96,0)*0.00651),"")</f>
        <v>1.1262300000000001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509.49333333333334</v>
      </c>
      <c r="BN96" s="64">
        <f>IFERROR(Y96*I96/H96,"0")</f>
        <v>510.69599999999997</v>
      </c>
      <c r="BO96" s="64">
        <f>IFERROR(1/J96*(X96/H96),"0")</f>
        <v>0.94831094831094831</v>
      </c>
      <c r="BP96" s="64">
        <f>IFERROR(1/J96*(Y96/H96),"0")</f>
        <v>0.95054945054945061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229.50617283950618</v>
      </c>
      <c r="Y98" s="637">
        <f>IFERROR(Y94/H94,"0")+IFERROR(Y95/H95,"0")+IFERROR(Y96/H96,"0")+IFERROR(Y97/H97,"0")</f>
        <v>230</v>
      </c>
      <c r="Z98" s="637">
        <f>IFERROR(IF(Z94="",0,Z94),"0")+IFERROR(IF(Z95="",0,Z95),"0")+IFERROR(IF(Z96="",0,Z96),"0")+IFERROR(IF(Z97="",0,Z97),"0")</f>
        <v>2.2080900000000003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927</v>
      </c>
      <c r="Y99" s="637">
        <f>IFERROR(SUM(Y94:Y97),"0")</f>
        <v>928.8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91</v>
      </c>
      <c r="Y102" s="636">
        <f t="shared" ref="Y102:Y108" si="10">IFERROR(IF(X102="",0,CEILING((X102/$H102),1)*$H102),"")</f>
        <v>97.2</v>
      </c>
      <c r="Z102" s="36">
        <f>IFERROR(IF(Y102=0,"",ROUNDUP(Y102/H102,0)*0.01898),"")</f>
        <v>0.17082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94.454629629629636</v>
      </c>
      <c r="BN102" s="64">
        <f t="shared" ref="BN102:BN108" si="12">IFERROR(Y102*I102/H102,"0")</f>
        <v>100.89</v>
      </c>
      <c r="BO102" s="64">
        <f t="shared" ref="BO102:BO108" si="13">IFERROR(1/J102*(X102/H102),"0")</f>
        <v>0.13165509259259259</v>
      </c>
      <c r="BP102" s="64">
        <f t="shared" ref="BP102:BP108" si="14">IFERROR(1/J102*(Y102/H102),"0")</f>
        <v>0.140625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17</v>
      </c>
      <c r="Y104" s="636">
        <f t="shared" si="10"/>
        <v>17.16</v>
      </c>
      <c r="Z104" s="36">
        <f>IFERROR(IF(Y104=0,"",ROUNDUP(Y104/H104,0)*0.00726),"")</f>
        <v>0.18876000000000001</v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21.275757575757574</v>
      </c>
      <c r="BN104" s="64">
        <f t="shared" si="12"/>
        <v>21.475999999999996</v>
      </c>
      <c r="BO104" s="64">
        <f t="shared" si="13"/>
        <v>0.13415404040404039</v>
      </c>
      <c r="BP104" s="64">
        <f t="shared" si="14"/>
        <v>0.13541666666666666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181</v>
      </c>
      <c r="Y106" s="636">
        <f t="shared" si="10"/>
        <v>184.5</v>
      </c>
      <c r="Z106" s="36">
        <f>IFERROR(IF(Y106=0,"",ROUNDUP(Y106/H106,0)*0.00902),"")</f>
        <v>0.36982000000000004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188.64222222222224</v>
      </c>
      <c r="BN106" s="64">
        <f t="shared" si="12"/>
        <v>192.29000000000002</v>
      </c>
      <c r="BO106" s="64">
        <f t="shared" si="13"/>
        <v>0.30471380471380471</v>
      </c>
      <c r="BP106" s="64">
        <f t="shared" si="14"/>
        <v>0.31060606060606061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74.405723905723903</v>
      </c>
      <c r="Y109" s="637">
        <f>IFERROR(Y102/H102,"0")+IFERROR(Y103/H103,"0")+IFERROR(Y104/H104,"0")+IFERROR(Y105/H105,"0")+IFERROR(Y106/H106,"0")+IFERROR(Y107/H107,"0")+IFERROR(Y108/H108,"0")</f>
        <v>76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0.72940000000000005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289</v>
      </c>
      <c r="Y110" s="637">
        <f>IFERROR(SUM(Y102:Y108),"0")</f>
        <v>298.86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107</v>
      </c>
      <c r="Y112" s="636">
        <f>IFERROR(IF(X112="",0,CEILING((X112/$H112),1)*$H112),"")</f>
        <v>108</v>
      </c>
      <c r="Z112" s="36">
        <f>IFERROR(IF(Y112=0,"",ROUNDUP(Y112/H112,0)*0.01898),"")</f>
        <v>0.1898</v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111.06203703703703</v>
      </c>
      <c r="BN112" s="64">
        <f>IFERROR(Y112*I112/H112,"0")</f>
        <v>112.1</v>
      </c>
      <c r="BO112" s="64">
        <f>IFERROR(1/J112*(X112/H112),"0")</f>
        <v>0.15480324074074073</v>
      </c>
      <c r="BP112" s="64">
        <f>IFERROR(1/J112*(Y112/H112),"0")</f>
        <v>0.15625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26</v>
      </c>
      <c r="Y114" s="636">
        <f>IFERROR(IF(X114="",0,CEILING((X114/$H114),1)*$H114),"")</f>
        <v>26.4</v>
      </c>
      <c r="Z114" s="36">
        <f>IFERROR(IF(Y114=0,"",ROUNDUP(Y114/H114,0)*0.00651),"")</f>
        <v>7.1610000000000007E-2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27.95</v>
      </c>
      <c r="BN114" s="64">
        <f>IFERROR(Y114*I114/H114,"0")</f>
        <v>28.38</v>
      </c>
      <c r="BO114" s="64">
        <f>IFERROR(1/J114*(X114/H114),"0")</f>
        <v>5.9523809523809534E-2</v>
      </c>
      <c r="BP114" s="64">
        <f>IFERROR(1/J114*(Y114/H114),"0")</f>
        <v>6.0439560439560447E-2</v>
      </c>
    </row>
    <row r="115" spans="1:68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20.74074074074074</v>
      </c>
      <c r="Y115" s="637">
        <f>IFERROR(Y112/H112,"0")+IFERROR(Y113/H113,"0")+IFERROR(Y114/H114,"0")</f>
        <v>21</v>
      </c>
      <c r="Z115" s="637">
        <f>IFERROR(IF(Z112="",0,Z112),"0")+IFERROR(IF(Z113="",0,Z113),"0")+IFERROR(IF(Z114="",0,Z114),"0")</f>
        <v>0.26141000000000003</v>
      </c>
      <c r="AA115" s="638"/>
      <c r="AB115" s="638"/>
      <c r="AC115" s="638"/>
    </row>
    <row r="116" spans="1:68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133</v>
      </c>
      <c r="Y116" s="637">
        <f>IFERROR(SUM(Y112:Y114),"0")</f>
        <v>134.4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461</v>
      </c>
      <c r="Y118" s="636">
        <f>IFERROR(IF(X118="",0,CEILING((X118/$H118),1)*$H118),"")</f>
        <v>461.7</v>
      </c>
      <c r="Z118" s="36">
        <f>IFERROR(IF(Y118=0,"",ROUNDUP(Y118/H118,0)*0.01898),"")</f>
        <v>1.08186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488.77382716049379</v>
      </c>
      <c r="BN118" s="64">
        <f>IFERROR(Y118*I118/H118,"0")</f>
        <v>489.51599999999996</v>
      </c>
      <c r="BO118" s="64">
        <f>IFERROR(1/J118*(X118/H118),"0")</f>
        <v>0.88927469135802473</v>
      </c>
      <c r="BP118" s="64">
        <f>IFERROR(1/J118*(Y118/H118),"0")</f>
        <v>0.890625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292</v>
      </c>
      <c r="Y120" s="636">
        <f>IFERROR(IF(X120="",0,CEILING((X120/$H120),1)*$H120),"")</f>
        <v>294.3</v>
      </c>
      <c r="Z120" s="36">
        <f>IFERROR(IF(Y120=0,"",ROUNDUP(Y120/H120,0)*0.00651),"")</f>
        <v>0.70959000000000005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319.25333333333333</v>
      </c>
      <c r="BN120" s="64">
        <f>IFERROR(Y120*I120/H120,"0")</f>
        <v>321.76799999999997</v>
      </c>
      <c r="BO120" s="64">
        <f>IFERROR(1/J120*(X120/H120),"0")</f>
        <v>0.59422059422059426</v>
      </c>
      <c r="BP120" s="64">
        <f>IFERROR(1/J120*(Y120/H120),"0")</f>
        <v>0.59890109890109899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165.06172839506172</v>
      </c>
      <c r="Y122" s="637">
        <f>IFERROR(Y118/H118,"0")+IFERROR(Y119/H119,"0")+IFERROR(Y120/H120,"0")+IFERROR(Y121/H121,"0")</f>
        <v>166</v>
      </c>
      <c r="Z122" s="637">
        <f>IFERROR(IF(Z118="",0,Z118),"0")+IFERROR(IF(Z119="",0,Z119),"0")+IFERROR(IF(Z120="",0,Z120),"0")+IFERROR(IF(Z121="",0,Z121),"0")</f>
        <v>1.7914500000000002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753</v>
      </c>
      <c r="Y123" s="637">
        <f>IFERROR(SUM(Y118:Y121),"0")</f>
        <v>756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120</v>
      </c>
      <c r="Y125" s="636">
        <f>IFERROR(IF(X125="",0,CEILING((X125/$H125),1)*$H125),"")</f>
        <v>120.78</v>
      </c>
      <c r="Z125" s="36">
        <f>IFERROR(IF(Y125=0,"",ROUNDUP(Y125/H125,0)*0.00651),"")</f>
        <v>0.39711000000000002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135.63636363636363</v>
      </c>
      <c r="BN125" s="64">
        <f>IFERROR(Y125*I125/H125,"0")</f>
        <v>136.518</v>
      </c>
      <c r="BO125" s="64">
        <f>IFERROR(1/J125*(X125/H125),"0")</f>
        <v>0.33300033300033305</v>
      </c>
      <c r="BP125" s="64">
        <f>IFERROR(1/J125*(Y125/H125),"0")</f>
        <v>0.3351648351648352</v>
      </c>
    </row>
    <row r="126" spans="1:68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60.606060606060609</v>
      </c>
      <c r="Y126" s="637">
        <f>IFERROR(Y125/H125,"0")</f>
        <v>61</v>
      </c>
      <c r="Z126" s="637">
        <f>IFERROR(IF(Z125="",0,Z125),"0")</f>
        <v>0.39711000000000002</v>
      </c>
      <c r="AA126" s="638"/>
      <c r="AB126" s="638"/>
      <c r="AC126" s="638"/>
    </row>
    <row r="127" spans="1:68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120</v>
      </c>
      <c r="Y127" s="637">
        <f>IFERROR(SUM(Y125:Y125),"0")</f>
        <v>120.78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20</v>
      </c>
      <c r="Y130" s="636">
        <f>IFERROR(IF(X130="",0,CEILING((X130/$H130),1)*$H130),"")</f>
        <v>22.400000000000002</v>
      </c>
      <c r="Z130" s="36">
        <f>IFERROR(IF(Y130=0,"",ROUNDUP(Y130/H130,0)*0.00651),"")</f>
        <v>4.5569999999999999E-2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21.124999999999996</v>
      </c>
      <c r="BN130" s="64">
        <f>IFERROR(Y130*I130/H130,"0")</f>
        <v>23.66</v>
      </c>
      <c r="BO130" s="64">
        <f>IFERROR(1/J130*(X130/H130),"0")</f>
        <v>3.4340659340659344E-2</v>
      </c>
      <c r="BP130" s="64">
        <f>IFERROR(1/J130*(Y130/H130),"0")</f>
        <v>3.8461538461538464E-2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6.25</v>
      </c>
      <c r="Y132" s="637">
        <f>IFERROR(Y130/H130,"0")+IFERROR(Y131/H131,"0")</f>
        <v>7</v>
      </c>
      <c r="Z132" s="637">
        <f>IFERROR(IF(Z130="",0,Z130),"0")+IFERROR(IF(Z131="",0,Z131),"0")</f>
        <v>4.5569999999999999E-2</v>
      </c>
      <c r="AA132" s="638"/>
      <c r="AB132" s="638"/>
      <c r="AC132" s="638"/>
    </row>
    <row r="133" spans="1:68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20</v>
      </c>
      <c r="Y133" s="637">
        <f>IFERROR(SUM(Y130:Y131),"0")</f>
        <v>22.400000000000002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7</v>
      </c>
      <c r="Y135" s="636">
        <f>IFERROR(IF(X135="",0,CEILING((X135/$H135),1)*$H135),"")</f>
        <v>8.3999999999999986</v>
      </c>
      <c r="Z135" s="36">
        <f>IFERROR(IF(Y135=0,"",ROUNDUP(Y135/H135,0)*0.00651),"")</f>
        <v>1.9529999999999999E-2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7.67</v>
      </c>
      <c r="BN135" s="64">
        <f>IFERROR(Y135*I135/H135,"0")</f>
        <v>9.2039999999999988</v>
      </c>
      <c r="BO135" s="64">
        <f>IFERROR(1/J135*(X135/H135),"0")</f>
        <v>1.3736263736263738E-2</v>
      </c>
      <c r="BP135" s="64">
        <f>IFERROR(1/J135*(Y135/H135),"0")</f>
        <v>1.6483516483516484E-2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2.5</v>
      </c>
      <c r="Y137" s="637">
        <f>IFERROR(Y135/H135,"0")+IFERROR(Y136/H136,"0")</f>
        <v>2.9999999999999996</v>
      </c>
      <c r="Z137" s="637">
        <f>IFERROR(IF(Z135="",0,Z135),"0")+IFERROR(IF(Z136="",0,Z136),"0")</f>
        <v>1.9529999999999999E-2</v>
      </c>
      <c r="AA137" s="638"/>
      <c r="AB137" s="638"/>
      <c r="AC137" s="638"/>
    </row>
    <row r="138" spans="1:68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7</v>
      </c>
      <c r="Y138" s="637">
        <f>IFERROR(SUM(Y135:Y136),"0")</f>
        <v>8.3999999999999986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15</v>
      </c>
      <c r="Y171" s="636">
        <f t="shared" si="15"/>
        <v>17.5</v>
      </c>
      <c r="Z171" s="36">
        <f>IFERROR(IF(Y171=0,"",ROUNDUP(Y171/H171,0)*0.00902),"")</f>
        <v>4.5100000000000001E-2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15.814285714285715</v>
      </c>
      <c r="BN171" s="64">
        <f t="shared" si="17"/>
        <v>18.45</v>
      </c>
      <c r="BO171" s="64">
        <f t="shared" si="18"/>
        <v>3.2467532467532464E-2</v>
      </c>
      <c r="BP171" s="64">
        <f t="shared" si="19"/>
        <v>3.787878787878788E-2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144</v>
      </c>
      <c r="Y174" s="636">
        <f t="shared" si="15"/>
        <v>147</v>
      </c>
      <c r="Z174" s="36">
        <f>IFERROR(IF(Y174=0,"",ROUNDUP(Y174/H174,0)*0.00902),"")</f>
        <v>0.37884000000000001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151.81714285714287</v>
      </c>
      <c r="BN174" s="64">
        <f t="shared" si="17"/>
        <v>154.97999999999999</v>
      </c>
      <c r="BO174" s="64">
        <f t="shared" si="18"/>
        <v>0.31168831168831174</v>
      </c>
      <c r="BP174" s="64">
        <f t="shared" si="19"/>
        <v>0.31818181818181818</v>
      </c>
    </row>
    <row r="175" spans="1:68" ht="16.5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18</v>
      </c>
      <c r="Y175" s="636">
        <f t="shared" si="15"/>
        <v>18</v>
      </c>
      <c r="Z175" s="36">
        <f>IFERROR(IF(Y175=0,"",ROUNDUP(Y175/H175,0)*0.00726),"")</f>
        <v>0.1452</v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22.2</v>
      </c>
      <c r="BN175" s="64">
        <f t="shared" si="17"/>
        <v>22.2</v>
      </c>
      <c r="BO175" s="64">
        <f t="shared" si="18"/>
        <v>0.10416666666666666</v>
      </c>
      <c r="BP175" s="64">
        <f t="shared" si="19"/>
        <v>0.10416666666666666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73</v>
      </c>
      <c r="Y176" s="636">
        <f t="shared" si="15"/>
        <v>73.92</v>
      </c>
      <c r="Z176" s="36">
        <f>IFERROR(IF(Y176=0,"",ROUNDUP(Y176/H176,0)*0.00502),"")</f>
        <v>0.22088000000000002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77.345238095238102</v>
      </c>
      <c r="BN176" s="64">
        <f t="shared" si="17"/>
        <v>78.320000000000007</v>
      </c>
      <c r="BO176" s="64">
        <f t="shared" si="18"/>
        <v>0.18569393569393572</v>
      </c>
      <c r="BP176" s="64">
        <f t="shared" si="19"/>
        <v>0.18803418803418806</v>
      </c>
    </row>
    <row r="177" spans="1:68" ht="27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9</v>
      </c>
      <c r="Y177" s="636">
        <f t="shared" si="15"/>
        <v>9</v>
      </c>
      <c r="Z177" s="36">
        <f>IFERROR(IF(Y177=0,"",ROUNDUP(Y177/H177,0)*0.00417),"")</f>
        <v>4.1700000000000001E-2</v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11.1</v>
      </c>
      <c r="BN177" s="64">
        <f t="shared" si="17"/>
        <v>11.1</v>
      </c>
      <c r="BO177" s="64">
        <f t="shared" si="18"/>
        <v>3.2051282051282048E-2</v>
      </c>
      <c r="BP177" s="64">
        <f t="shared" si="19"/>
        <v>3.2051282051282048E-2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5</v>
      </c>
      <c r="Y179" s="636">
        <f t="shared" si="15"/>
        <v>5.4</v>
      </c>
      <c r="Z179" s="36">
        <f>IFERROR(IF(Y179=0,"",ROUNDUP(Y179/H179,0)*0.00417),"")</f>
        <v>2.5020000000000001E-2</v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5.5555555555555554</v>
      </c>
      <c r="BN179" s="64">
        <f t="shared" si="17"/>
        <v>6</v>
      </c>
      <c r="BO179" s="64">
        <f t="shared" si="18"/>
        <v>1.7806267806267807E-2</v>
      </c>
      <c r="BP179" s="64">
        <f t="shared" si="19"/>
        <v>1.9230769230769232E-2</v>
      </c>
    </row>
    <row r="180" spans="1:68" ht="27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105</v>
      </c>
      <c r="Y180" s="636">
        <f t="shared" si="15"/>
        <v>105.83999999999999</v>
      </c>
      <c r="Z180" s="36">
        <f>IFERROR(IF(Y180=0,"",ROUNDUP(Y180/H180,0)*0.00502),"")</f>
        <v>0.31625999999999999</v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111.25000000000001</v>
      </c>
      <c r="BN180" s="64">
        <f t="shared" si="17"/>
        <v>112.14</v>
      </c>
      <c r="BO180" s="64">
        <f t="shared" si="18"/>
        <v>0.26709401709401714</v>
      </c>
      <c r="BP180" s="64">
        <f t="shared" si="19"/>
        <v>0.26923076923076922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186.93650793650795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190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1.173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369</v>
      </c>
      <c r="Y182" s="637">
        <f>IFERROR(SUM(Y170:Y180),"0")</f>
        <v>376.65999999999997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14</v>
      </c>
      <c r="Y216" s="636">
        <f t="shared" si="26"/>
        <v>16.8</v>
      </c>
      <c r="Z216" s="36">
        <f>IFERROR(IF(Y216=0,"",ROUNDUP(Y216/H216,0)*0.00902),"")</f>
        <v>3.6080000000000001E-2</v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14.633333333333331</v>
      </c>
      <c r="BN216" s="64">
        <f t="shared" si="28"/>
        <v>17.559999999999999</v>
      </c>
      <c r="BO216" s="64">
        <f t="shared" si="29"/>
        <v>2.5252525252525252E-2</v>
      </c>
      <c r="BP216" s="64">
        <f t="shared" si="30"/>
        <v>3.0303030303030304E-2</v>
      </c>
    </row>
    <row r="217" spans="1:68" ht="37.5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10</v>
      </c>
      <c r="Y217" s="636">
        <f t="shared" si="26"/>
        <v>10.4</v>
      </c>
      <c r="Z217" s="36">
        <f>IFERROR(IF(Y217=0,"",ROUNDUP(Y217/H217,0)*0.00556),"")</f>
        <v>7.2279999999999997E-2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11.625</v>
      </c>
      <c r="BN217" s="64">
        <f t="shared" si="28"/>
        <v>12.09</v>
      </c>
      <c r="BO217" s="64">
        <f t="shared" si="29"/>
        <v>5.3418803418803423E-2</v>
      </c>
      <c r="BP217" s="64">
        <f t="shared" si="30"/>
        <v>5.5555555555555559E-2</v>
      </c>
    </row>
    <row r="218" spans="1:68" ht="27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14</v>
      </c>
      <c r="Y218" s="636">
        <f t="shared" si="26"/>
        <v>14.700000000000001</v>
      </c>
      <c r="Z218" s="36">
        <f>IFERROR(IF(Y218=0,"",ROUNDUP(Y218/H218,0)*0.00502),"")</f>
        <v>3.5140000000000005E-2</v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14.866666666666665</v>
      </c>
      <c r="BN218" s="64">
        <f t="shared" si="28"/>
        <v>15.61</v>
      </c>
      <c r="BO218" s="64">
        <f t="shared" si="29"/>
        <v>2.8490028490028491E-2</v>
      </c>
      <c r="BP218" s="64">
        <f t="shared" si="30"/>
        <v>2.9914529914529919E-2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5</v>
      </c>
      <c r="Y222" s="636">
        <f t="shared" si="26"/>
        <v>5.4</v>
      </c>
      <c r="Z222" s="36">
        <f>IFERROR(IF(Y222=0,"",ROUNDUP(Y222/H222,0)*0.00502),"")</f>
        <v>1.506E-2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5.3611111111111116</v>
      </c>
      <c r="BN222" s="64">
        <f t="shared" si="28"/>
        <v>5.79</v>
      </c>
      <c r="BO222" s="64">
        <f t="shared" si="29"/>
        <v>1.1870845204178538E-2</v>
      </c>
      <c r="BP222" s="64">
        <f t="shared" si="30"/>
        <v>1.2820512820512822E-2</v>
      </c>
    </row>
    <row r="223" spans="1:68" ht="27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2</v>
      </c>
      <c r="Y223" s="636">
        <f t="shared" si="26"/>
        <v>2.4000000000000004</v>
      </c>
      <c r="Z223" s="36">
        <f>IFERROR(IF(Y223=0,"",ROUNDUP(Y223/H223,0)*0.00417),"")</f>
        <v>1.251E-2</v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2.5249999999999999</v>
      </c>
      <c r="BN223" s="64">
        <f t="shared" si="28"/>
        <v>3.0300000000000002</v>
      </c>
      <c r="BO223" s="64">
        <f t="shared" si="29"/>
        <v>8.0128205128205121E-3</v>
      </c>
      <c r="BP223" s="64">
        <f t="shared" si="30"/>
        <v>9.6153846153846159E-3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131</v>
      </c>
      <c r="Y224" s="636">
        <f t="shared" si="26"/>
        <v>132.30000000000001</v>
      </c>
      <c r="Z224" s="36">
        <f>IFERROR(IF(Y224=0,"",ROUNDUP(Y224/H224,0)*0.00502),"")</f>
        <v>0.31625999999999999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137.23809523809524</v>
      </c>
      <c r="BN224" s="64">
        <f t="shared" si="28"/>
        <v>138.60000000000002</v>
      </c>
      <c r="BO224" s="64">
        <f t="shared" si="29"/>
        <v>0.2665852665852666</v>
      </c>
      <c r="BP224" s="64">
        <f t="shared" si="30"/>
        <v>0.26923076923076927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90.158730158730151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93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0.48732999999999999</v>
      </c>
      <c r="AA227" s="638"/>
      <c r="AB227" s="638"/>
      <c r="AC227" s="638"/>
    </row>
    <row r="228" spans="1:68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176</v>
      </c>
      <c r="Y228" s="637">
        <f>IFERROR(SUM(Y214:Y226),"0")</f>
        <v>182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11</v>
      </c>
      <c r="Y239" s="636">
        <f>IFERROR(IF(X239="",0,CEILING((X239/$H239),1)*$H239),"")</f>
        <v>11.34</v>
      </c>
      <c r="Z239" s="36">
        <f>IFERROR(IF(Y239=0,"",ROUNDUP(Y239/H239,0)*0.0059),"")</f>
        <v>5.3100000000000001E-2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12.658730158730158</v>
      </c>
      <c r="BN239" s="64">
        <f>IFERROR(Y239*I239/H239,"0")</f>
        <v>13.049999999999999</v>
      </c>
      <c r="BO239" s="64">
        <f>IFERROR(1/J239*(X239/H239),"0")</f>
        <v>4.0417401528512635E-2</v>
      </c>
      <c r="BP239" s="64">
        <f>IFERROR(1/J239*(Y239/H239),"0")</f>
        <v>4.1666666666666664E-2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11</v>
      </c>
      <c r="Y240" s="636">
        <f>IFERROR(IF(X240="",0,CEILING((X240/$H240),1)*$H240),"")</f>
        <v>11.34</v>
      </c>
      <c r="Z240" s="36">
        <f>IFERROR(IF(Y240=0,"",ROUNDUP(Y240/H240,0)*0.0059),"")</f>
        <v>5.3100000000000001E-2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12.658730158730158</v>
      </c>
      <c r="BN240" s="64">
        <f>IFERROR(Y240*I240/H240,"0")</f>
        <v>13.049999999999999</v>
      </c>
      <c r="BO240" s="64">
        <f>IFERROR(1/J240*(X240/H240),"0")</f>
        <v>4.0417401528512635E-2</v>
      </c>
      <c r="BP240" s="64">
        <f>IFERROR(1/J240*(Y240/H240),"0")</f>
        <v>4.1666666666666664E-2</v>
      </c>
    </row>
    <row r="241" spans="1:68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17.460317460317459</v>
      </c>
      <c r="Y241" s="637">
        <f>IFERROR(Y238/H238,"0")+IFERROR(Y239/H239,"0")+IFERROR(Y240/H240,"0")</f>
        <v>18</v>
      </c>
      <c r="Z241" s="637">
        <f>IFERROR(IF(Z238="",0,Z238),"0")+IFERROR(IF(Z239="",0,Z239),"0")+IFERROR(IF(Z240="",0,Z240),"0")</f>
        <v>0.1062</v>
      </c>
      <c r="AA241" s="638"/>
      <c r="AB241" s="638"/>
      <c r="AC241" s="638"/>
    </row>
    <row r="242" spans="1:68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22</v>
      </c>
      <c r="Y242" s="637">
        <f>IFERROR(SUM(Y238:Y240),"0")</f>
        <v>22.68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4</v>
      </c>
      <c r="Y244" s="63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3.1746031746031744</v>
      </c>
      <c r="Y245" s="637">
        <f>IFERROR(Y244/H244,"0")</f>
        <v>4</v>
      </c>
      <c r="Z245" s="637">
        <f>IFERROR(IF(Z244="",0,Z244),"0")</f>
        <v>2.3599999999999999E-2</v>
      </c>
      <c r="AA245" s="638"/>
      <c r="AB245" s="638"/>
      <c r="AC245" s="638"/>
    </row>
    <row r="246" spans="1:68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4</v>
      </c>
      <c r="Y246" s="637">
        <f>IFERROR(SUM(Y244:Y244),"0")</f>
        <v>5.04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6</v>
      </c>
      <c r="Y265" s="636">
        <f t="shared" si="31"/>
        <v>7.2</v>
      </c>
      <c r="Z265" s="36">
        <f>IFERROR(IF(Y265=0,"",ROUNDUP(Y265/H265,0)*0.00502),"")</f>
        <v>2.0080000000000001E-2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6.3333333333333321</v>
      </c>
      <c r="BN265" s="64">
        <f t="shared" si="33"/>
        <v>7.6</v>
      </c>
      <c r="BO265" s="64">
        <f t="shared" si="34"/>
        <v>1.4245014245014245E-2</v>
      </c>
      <c r="BP265" s="64">
        <f t="shared" si="35"/>
        <v>1.7094017094017096E-2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35</v>
      </c>
      <c r="Y267" s="636">
        <f t="shared" si="31"/>
        <v>36</v>
      </c>
      <c r="Z267" s="36">
        <f>IFERROR(IF(Y267=0,"",ROUNDUP(Y267/H267,0)*0.00502),"")</f>
        <v>0.1004</v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36.944444444444443</v>
      </c>
      <c r="BN267" s="64">
        <f t="shared" si="33"/>
        <v>37.999999999999993</v>
      </c>
      <c r="BO267" s="64">
        <f t="shared" si="34"/>
        <v>8.3095916429249767E-2</v>
      </c>
      <c r="BP267" s="64">
        <f t="shared" si="35"/>
        <v>8.5470085470085472E-2</v>
      </c>
    </row>
    <row r="268" spans="1:68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22.777777777777775</v>
      </c>
      <c r="Y268" s="637">
        <f>IFERROR(Y260/H260,"0")+IFERROR(Y261/H261,"0")+IFERROR(Y262/H262,"0")+IFERROR(Y263/H263,"0")+IFERROR(Y264/H264,"0")+IFERROR(Y265/H265,"0")+IFERROR(Y266/H266,"0")+IFERROR(Y267/H267,"0")</f>
        <v>24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0.12048</v>
      </c>
      <c r="AA268" s="638"/>
      <c r="AB268" s="638"/>
      <c r="AC268" s="638"/>
    </row>
    <row r="269" spans="1:68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41</v>
      </c>
      <c r="Y269" s="637">
        <f>IFERROR(SUM(Y260:Y267),"0")</f>
        <v>43.2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288</v>
      </c>
      <c r="Y273" s="636">
        <f t="shared" si="36"/>
        <v>291.59999999999997</v>
      </c>
      <c r="Z273" s="36">
        <f>IFERROR(IF(Y273=0,"",ROUNDUP(Y273/H273,0)*0.01898),"")</f>
        <v>0.68328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304.92444444444448</v>
      </c>
      <c r="BN273" s="64">
        <f t="shared" si="38"/>
        <v>308.73599999999999</v>
      </c>
      <c r="BO273" s="64">
        <f t="shared" si="39"/>
        <v>0.55555555555555558</v>
      </c>
      <c r="BP273" s="64">
        <f t="shared" si="40"/>
        <v>0.5625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29</v>
      </c>
      <c r="Y275" s="636">
        <f t="shared" si="36"/>
        <v>31.2</v>
      </c>
      <c r="Z275" s="36">
        <f>IFERROR(IF(Y275=0,"",ROUNDUP(Y275/H275,0)*0.00651),"")</f>
        <v>8.4629999999999997E-2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32.262499999999996</v>
      </c>
      <c r="BN275" s="64">
        <f t="shared" si="38"/>
        <v>34.71</v>
      </c>
      <c r="BO275" s="64">
        <f t="shared" si="39"/>
        <v>6.6391941391941406E-2</v>
      </c>
      <c r="BP275" s="64">
        <f t="shared" si="40"/>
        <v>7.1428571428571438E-2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333</v>
      </c>
      <c r="Y277" s="636">
        <f t="shared" si="36"/>
        <v>333.59999999999997</v>
      </c>
      <c r="Z277" s="36">
        <f>IFERROR(IF(Y277=0,"",ROUNDUP(Y277/H277,0)*0.00651),"")</f>
        <v>0.90488999999999997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367.96500000000003</v>
      </c>
      <c r="BN277" s="64">
        <f t="shared" si="38"/>
        <v>368.62799999999999</v>
      </c>
      <c r="BO277" s="64">
        <f t="shared" si="39"/>
        <v>0.76236263736263743</v>
      </c>
      <c r="BP277" s="64">
        <f t="shared" si="40"/>
        <v>0.7637362637362638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119</v>
      </c>
      <c r="Y279" s="636">
        <f t="shared" si="36"/>
        <v>120</v>
      </c>
      <c r="Z279" s="36">
        <f>IFERROR(IF(Y279=0,"",ROUNDUP(Y279/H279,0)*0.00651),"")</f>
        <v>0.32550000000000001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131.495</v>
      </c>
      <c r="BN279" s="64">
        <f t="shared" si="38"/>
        <v>132.60000000000002</v>
      </c>
      <c r="BO279" s="64">
        <f t="shared" si="39"/>
        <v>0.27243589743589747</v>
      </c>
      <c r="BP279" s="64">
        <f t="shared" si="40"/>
        <v>0.27472527472527475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52</v>
      </c>
      <c r="Y280" s="636">
        <f t="shared" si="36"/>
        <v>52.8</v>
      </c>
      <c r="Z280" s="36">
        <f>IFERROR(IF(Y280=0,"",ROUNDUP(Y280/H280,0)*0.00651),"")</f>
        <v>0.14322000000000001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57.46</v>
      </c>
      <c r="BN280" s="64">
        <f t="shared" si="38"/>
        <v>58.344000000000001</v>
      </c>
      <c r="BO280" s="64">
        <f t="shared" si="39"/>
        <v>0.11904761904761907</v>
      </c>
      <c r="BP280" s="64">
        <f t="shared" si="40"/>
        <v>0.12087912087912089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69</v>
      </c>
      <c r="Y281" s="636">
        <f t="shared" si="36"/>
        <v>69.599999999999994</v>
      </c>
      <c r="Z281" s="36">
        <f>IFERROR(IF(Y281=0,"",ROUNDUP(Y281/H281,0)*0.00651),"")</f>
        <v>0.18879000000000001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76.417500000000004</v>
      </c>
      <c r="BN281" s="64">
        <f t="shared" si="38"/>
        <v>77.081999999999994</v>
      </c>
      <c r="BO281" s="64">
        <f t="shared" si="39"/>
        <v>0.15796703296703299</v>
      </c>
      <c r="BP281" s="64">
        <f t="shared" si="40"/>
        <v>0.15934065934065936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286.38888888888891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289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2.3303099999999999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890</v>
      </c>
      <c r="Y284" s="637">
        <f>IFERROR(SUM(Y271:Y282),"0")</f>
        <v>898.79999999999984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8</v>
      </c>
      <c r="Y298" s="636">
        <f t="shared" si="41"/>
        <v>8</v>
      </c>
      <c r="Z298" s="36">
        <f>IFERROR(IF(Y298=0,"",ROUNDUP(Y298/H298,0)*0.00902),"")</f>
        <v>1.804E-2</v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8.3800000000000008</v>
      </c>
      <c r="BN298" s="64">
        <f t="shared" si="43"/>
        <v>8.3800000000000008</v>
      </c>
      <c r="BO298" s="64">
        <f t="shared" si="44"/>
        <v>1.5151515151515152E-2</v>
      </c>
      <c r="BP298" s="64">
        <f t="shared" si="45"/>
        <v>1.5151515151515152E-2</v>
      </c>
    </row>
    <row r="299" spans="1:68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2</v>
      </c>
      <c r="Y299" s="637">
        <f>IFERROR(Y292/H292,"0")+IFERROR(Y293/H293,"0")+IFERROR(Y294/H294,"0")+IFERROR(Y295/H295,"0")+IFERROR(Y296/H296,"0")+IFERROR(Y297/H297,"0")+IFERROR(Y298/H298,"0")</f>
        <v>2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1.804E-2</v>
      </c>
      <c r="AA299" s="638"/>
      <c r="AB299" s="638"/>
      <c r="AC299" s="638"/>
    </row>
    <row r="300" spans="1:68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8</v>
      </c>
      <c r="Y300" s="637">
        <f>IFERROR(SUM(Y292:Y298),"0")</f>
        <v>8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5</v>
      </c>
      <c r="Y306" s="636">
        <f>IFERROR(IF(X306="",0,CEILING((X306/$H306),1)*$H306),"")</f>
        <v>5.4</v>
      </c>
      <c r="Z306" s="36">
        <f>IFERROR(IF(Y306=0,"",ROUNDUP(Y306/H306,0)*0.0059),"")</f>
        <v>1.77E-2</v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5.4861111111111107</v>
      </c>
      <c r="BN306" s="64">
        <f>IFERROR(Y306*I306/H306,"0")</f>
        <v>5.9250000000000007</v>
      </c>
      <c r="BO306" s="64">
        <f>IFERROR(1/J306*(X306/H306),"0")</f>
        <v>1.2860082304526748E-2</v>
      </c>
      <c r="BP306" s="64">
        <f>IFERROR(1/J306*(Y306/H306),"0")</f>
        <v>1.3888888888888888E-2</v>
      </c>
    </row>
    <row r="307" spans="1:68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2.7777777777777777</v>
      </c>
      <c r="Y307" s="637">
        <f>IFERROR(Y306/H306,"0")</f>
        <v>3</v>
      </c>
      <c r="Z307" s="637">
        <f>IFERROR(IF(Z306="",0,Z306),"0")</f>
        <v>1.77E-2</v>
      </c>
      <c r="AA307" s="638"/>
      <c r="AB307" s="638"/>
      <c r="AC307" s="638"/>
    </row>
    <row r="308" spans="1:68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5</v>
      </c>
      <c r="Y308" s="637">
        <f>IFERROR(SUM(Y306:Y306),"0")</f>
        <v>5.4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134</v>
      </c>
      <c r="Y331" s="636">
        <f>IFERROR(IF(X331="",0,CEILING((X331/$H331),1)*$H331),"")</f>
        <v>134.4</v>
      </c>
      <c r="Z331" s="36">
        <f>IFERROR(IF(Y331=0,"",ROUNDUP(Y331/H331,0)*0.00651),"")</f>
        <v>0.36456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148.07</v>
      </c>
      <c r="BN331" s="64">
        <f>IFERROR(Y331*I331/H331,"0")</f>
        <v>148.51200000000003</v>
      </c>
      <c r="BO331" s="64">
        <f>IFERROR(1/J331*(X331/H331),"0")</f>
        <v>0.3067765567765568</v>
      </c>
      <c r="BP331" s="64">
        <f>IFERROR(1/J331*(Y331/H331),"0")</f>
        <v>0.30769230769230776</v>
      </c>
    </row>
    <row r="332" spans="1:68" ht="27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51</v>
      </c>
      <c r="Y332" s="636">
        <f>IFERROR(IF(X332="",0,CEILING((X332/$H332),1)*$H332),"")</f>
        <v>52.8</v>
      </c>
      <c r="Z332" s="36">
        <f>IFERROR(IF(Y332=0,"",ROUNDUP(Y332/H332,0)*0.00651),"")</f>
        <v>0.14322000000000001</v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54.82500000000001</v>
      </c>
      <c r="BN332" s="64">
        <f>IFERROR(Y332*I332/H332,"0")</f>
        <v>56.76</v>
      </c>
      <c r="BO332" s="64">
        <f>IFERROR(1/J332*(X332/H332),"0")</f>
        <v>0.11675824175824177</v>
      </c>
      <c r="BP332" s="64">
        <f>IFERROR(1/J332*(Y332/H332),"0")</f>
        <v>0.12087912087912089</v>
      </c>
    </row>
    <row r="333" spans="1:68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77.083333333333343</v>
      </c>
      <c r="Y333" s="637">
        <f>IFERROR(Y330/H330,"0")+IFERROR(Y331/H331,"0")+IFERROR(Y332/H332,"0")</f>
        <v>78</v>
      </c>
      <c r="Z333" s="637">
        <f>IFERROR(IF(Z330="",0,Z330),"0")+IFERROR(IF(Z331="",0,Z331),"0")+IFERROR(IF(Z332="",0,Z332),"0")</f>
        <v>0.50778000000000001</v>
      </c>
      <c r="AA333" s="638"/>
      <c r="AB333" s="638"/>
      <c r="AC333" s="638"/>
    </row>
    <row r="334" spans="1:68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185</v>
      </c>
      <c r="Y334" s="637">
        <f>IFERROR(SUM(Y330:Y332),"0")</f>
        <v>187.2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21</v>
      </c>
      <c r="Y360" s="636">
        <f>IFERROR(IF(X360="",0,CEILING((X360/$H360),1)*$H360),"")</f>
        <v>23.4</v>
      </c>
      <c r="Z360" s="36">
        <f>IFERROR(IF(Y360=0,"",ROUNDUP(Y360/H360,0)*0.01898),"")</f>
        <v>5.6940000000000004E-2</v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22.103846153846156</v>
      </c>
      <c r="BN360" s="64">
        <f>IFERROR(Y360*I360/H360,"0")</f>
        <v>24.630000000000003</v>
      </c>
      <c r="BO360" s="64">
        <f>IFERROR(1/J360*(X360/H360),"0")</f>
        <v>4.2067307692307696E-2</v>
      </c>
      <c r="BP360" s="64">
        <f>IFERROR(1/J360*(Y360/H360),"0")</f>
        <v>4.6875E-2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89</v>
      </c>
      <c r="Y361" s="636">
        <f>IFERROR(IF(X361="",0,CEILING((X361/$H361),1)*$H361),"")</f>
        <v>93.6</v>
      </c>
      <c r="Z361" s="36">
        <f>IFERROR(IF(Y361=0,"",ROUNDUP(Y361/H361,0)*0.01898),"")</f>
        <v>0.22776000000000002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93.678205128205136</v>
      </c>
      <c r="BN361" s="64">
        <f>IFERROR(Y361*I361/H361,"0")</f>
        <v>98.52000000000001</v>
      </c>
      <c r="BO361" s="64">
        <f>IFERROR(1/J361*(X361/H361),"0")</f>
        <v>0.17828525641025642</v>
      </c>
      <c r="BP361" s="64">
        <f>IFERROR(1/J361*(Y361/H361),"0")</f>
        <v>0.1875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14.102564102564102</v>
      </c>
      <c r="Y363" s="637">
        <f>IFERROR(Y360/H360,"0")+IFERROR(Y361/H361,"0")+IFERROR(Y362/H362,"0")</f>
        <v>15</v>
      </c>
      <c r="Z363" s="637">
        <f>IFERROR(IF(Z360="",0,Z360),"0")+IFERROR(IF(Z361="",0,Z361),"0")+IFERROR(IF(Z362="",0,Z362),"0")</f>
        <v>0.28470000000000001</v>
      </c>
      <c r="AA363" s="638"/>
      <c r="AB363" s="638"/>
      <c r="AC363" s="638"/>
    </row>
    <row r="364" spans="1:68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110</v>
      </c>
      <c r="Y364" s="637">
        <f>IFERROR(SUM(Y360:Y362),"0")</f>
        <v>117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31</v>
      </c>
      <c r="Y371" s="636">
        <f t="shared" si="52"/>
        <v>32.400000000000006</v>
      </c>
      <c r="Z371" s="36">
        <f>IFERROR(IF(Y371=0,"",ROUNDUP(Y371/H371,0)*0.01898),"")</f>
        <v>5.6940000000000004E-2</v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32.176851851851858</v>
      </c>
      <c r="BN371" s="64">
        <f t="shared" si="54"/>
        <v>33.630000000000003</v>
      </c>
      <c r="BO371" s="64">
        <f t="shared" si="55"/>
        <v>4.4849537037037035E-2</v>
      </c>
      <c r="BP371" s="64">
        <f t="shared" si="56"/>
        <v>4.6875000000000007E-2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2.8703703703703702</v>
      </c>
      <c r="Y374" s="637">
        <f>IFERROR(Y367/H367,"0")+IFERROR(Y368/H368,"0")+IFERROR(Y369/H369,"0")+IFERROR(Y370/H370,"0")+IFERROR(Y371/H371,"0")+IFERROR(Y372/H372,"0")+IFERROR(Y373/H373,"0")</f>
        <v>3.0000000000000004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5.6940000000000004E-2</v>
      </c>
      <c r="AA374" s="638"/>
      <c r="AB374" s="638"/>
      <c r="AC374" s="638"/>
    </row>
    <row r="375" spans="1:68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31</v>
      </c>
      <c r="Y375" s="637">
        <f>IFERROR(SUM(Y367:Y373),"0")</f>
        <v>32.400000000000006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11</v>
      </c>
      <c r="Y378" s="636">
        <f t="shared" si="57"/>
        <v>12.600000000000001</v>
      </c>
      <c r="Z378" s="36">
        <f>IFERROR(IF(Y378=0,"",ROUNDUP(Y378/H378,0)*0.00902),"")</f>
        <v>2.7060000000000001E-2</v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11.654761904761905</v>
      </c>
      <c r="BN378" s="64">
        <f t="shared" si="59"/>
        <v>13.350000000000001</v>
      </c>
      <c r="BO378" s="64">
        <f t="shared" si="60"/>
        <v>1.9841269841269844E-2</v>
      </c>
      <c r="BP378" s="64">
        <f t="shared" si="61"/>
        <v>2.2727272727272728E-2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7</v>
      </c>
      <c r="Y383" s="636">
        <f t="shared" si="57"/>
        <v>7.2</v>
      </c>
      <c r="Z383" s="36">
        <f>IFERROR(IF(Y383=0,"",ROUNDUP(Y383/H383,0)*0.00651),"")</f>
        <v>2.6040000000000001E-2</v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7.8866666666666667</v>
      </c>
      <c r="BN383" s="64">
        <f t="shared" si="59"/>
        <v>8.1120000000000001</v>
      </c>
      <c r="BO383" s="64">
        <f t="shared" si="60"/>
        <v>2.1367521367521368E-2</v>
      </c>
      <c r="BP383" s="64">
        <f t="shared" si="61"/>
        <v>2.197802197802198E-2</v>
      </c>
    </row>
    <row r="384" spans="1:68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6.5079365079365079</v>
      </c>
      <c r="Y384" s="637">
        <f>IFERROR(Y377/H377,"0")+IFERROR(Y378/H378,"0")+IFERROR(Y379/H379,"0")+IFERROR(Y380/H380,"0")+IFERROR(Y381/H381,"0")+IFERROR(Y382/H382,"0")+IFERROR(Y383/H383,"0")</f>
        <v>7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5.3100000000000001E-2</v>
      </c>
      <c r="AA384" s="638"/>
      <c r="AB384" s="638"/>
      <c r="AC384" s="638"/>
    </row>
    <row r="385" spans="1:68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18</v>
      </c>
      <c r="Y385" s="637">
        <f>IFERROR(SUM(Y377:Y383),"0")</f>
        <v>19.8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622</v>
      </c>
      <c r="Y395" s="636">
        <f>IFERROR(IF(X395="",0,CEILING((X395/$H395),1)*$H395),"")</f>
        <v>624</v>
      </c>
      <c r="Z395" s="36">
        <f>IFERROR(IF(Y395=0,"",ROUNDUP(Y395/H395,0)*0.01898),"")</f>
        <v>1.5184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661.39333333333343</v>
      </c>
      <c r="BN395" s="64">
        <f>IFERROR(Y395*I395/H395,"0")</f>
        <v>663.52</v>
      </c>
      <c r="BO395" s="64">
        <f>IFERROR(1/J395*(X395/H395),"0")</f>
        <v>1.2459935897435899</v>
      </c>
      <c r="BP395" s="64">
        <f>IFERROR(1/J395*(Y395/H395),"0")</f>
        <v>1.25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79.743589743589752</v>
      </c>
      <c r="Y397" s="637">
        <f>IFERROR(Y394/H394,"0")+IFERROR(Y395/H395,"0")+IFERROR(Y396/H396,"0")</f>
        <v>80</v>
      </c>
      <c r="Z397" s="637">
        <f>IFERROR(IF(Z394="",0,Z394),"0")+IFERROR(IF(Z395="",0,Z395),"0")+IFERROR(IF(Z396="",0,Z396),"0")</f>
        <v>1.5184</v>
      </c>
      <c r="AA397" s="638"/>
      <c r="AB397" s="638"/>
      <c r="AC397" s="638"/>
    </row>
    <row r="398" spans="1:68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622</v>
      </c>
      <c r="Y398" s="637">
        <f>IFERROR(SUM(Y394:Y396),"0")</f>
        <v>624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15</v>
      </c>
      <c r="Y407" s="636">
        <f>IFERROR(IF(X407="",0,CEILING((X407/$H407),1)*$H407),"")</f>
        <v>16</v>
      </c>
      <c r="Z407" s="36">
        <f>IFERROR(IF(Y407=0,"",ROUNDUP(Y407/H407,0)*0.00474),"")</f>
        <v>3.7920000000000002E-2</v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16.8</v>
      </c>
      <c r="BN407" s="64">
        <f>IFERROR(Y407*I407/H407,"0")</f>
        <v>17.920000000000002</v>
      </c>
      <c r="BO407" s="64">
        <f>IFERROR(1/J407*(X407/H407),"0")</f>
        <v>3.1512605042016806E-2</v>
      </c>
      <c r="BP407" s="64">
        <f>IFERROR(1/J407*(Y407/H407),"0")</f>
        <v>3.3613445378151259E-2</v>
      </c>
    </row>
    <row r="408" spans="1:68" ht="27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13</v>
      </c>
      <c r="Y408" s="636">
        <f>IFERROR(IF(X408="",0,CEILING((X408/$H408),1)*$H408),"")</f>
        <v>14</v>
      </c>
      <c r="Z408" s="36">
        <f>IFERROR(IF(Y408=0,"",ROUNDUP(Y408/H408,0)*0.00474),"")</f>
        <v>3.3180000000000001E-2</v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14.560000000000002</v>
      </c>
      <c r="BN408" s="64">
        <f>IFERROR(Y408*I408/H408,"0")</f>
        <v>15.680000000000001</v>
      </c>
      <c r="BO408" s="64">
        <f>IFERROR(1/J408*(X408/H408),"0")</f>
        <v>2.7310924369747899E-2</v>
      </c>
      <c r="BP408" s="64">
        <f>IFERROR(1/J408*(Y408/H408),"0")</f>
        <v>2.9411764705882353E-2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10</v>
      </c>
      <c r="Y409" s="636">
        <f>IFERROR(IF(X409="",0,CEILING((X409/$H409),1)*$H409),"")</f>
        <v>10</v>
      </c>
      <c r="Z409" s="36">
        <f>IFERROR(IF(Y409=0,"",ROUNDUP(Y409/H409,0)*0.00474),"")</f>
        <v>2.3700000000000002E-2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11.200000000000001</v>
      </c>
      <c r="BN409" s="64">
        <f>IFERROR(Y409*I409/H409,"0")</f>
        <v>11.200000000000001</v>
      </c>
      <c r="BO409" s="64">
        <f>IFERROR(1/J409*(X409/H409),"0")</f>
        <v>2.1008403361344536E-2</v>
      </c>
      <c r="BP409" s="64">
        <f>IFERROR(1/J409*(Y409/H409),"0")</f>
        <v>2.1008403361344536E-2</v>
      </c>
    </row>
    <row r="410" spans="1:68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19</v>
      </c>
      <c r="Y410" s="637">
        <f>IFERROR(Y407/H407,"0")+IFERROR(Y408/H408,"0")+IFERROR(Y409/H409,"0")</f>
        <v>20</v>
      </c>
      <c r="Z410" s="637">
        <f>IFERROR(IF(Z407="",0,Z407),"0")+IFERROR(IF(Z408="",0,Z408),"0")+IFERROR(IF(Z409="",0,Z409),"0")</f>
        <v>9.4799999999999995E-2</v>
      </c>
      <c r="AA410" s="638"/>
      <c r="AB410" s="638"/>
      <c r="AC410" s="638"/>
    </row>
    <row r="411" spans="1:68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38</v>
      </c>
      <c r="Y411" s="637">
        <f>IFERROR(SUM(Y407:Y409),"0")</f>
        <v>40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28</v>
      </c>
      <c r="Y429" s="636">
        <f>IFERROR(IF(X429="",0,CEILING((X429/$H429),1)*$H429),"")</f>
        <v>29.400000000000002</v>
      </c>
      <c r="Z429" s="36">
        <f>IFERROR(IF(Y429=0,"",ROUNDUP(Y429/H429,0)*0.00651),"")</f>
        <v>9.1139999999999999E-2</v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31.359999999999996</v>
      </c>
      <c r="BN429" s="64">
        <f>IFERROR(Y429*I429/H429,"0")</f>
        <v>32.927999999999997</v>
      </c>
      <c r="BO429" s="64">
        <f>IFERROR(1/J429*(X429/H429),"0")</f>
        <v>7.3260073260073263E-2</v>
      </c>
      <c r="BP429" s="64">
        <f>IFERROR(1/J429*(Y429/H429),"0")</f>
        <v>7.6923076923076927E-2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13.333333333333332</v>
      </c>
      <c r="Y431" s="637">
        <f>IFERROR(Y428/H428,"0")+IFERROR(Y429/H429,"0")+IFERROR(Y430/H430,"0")</f>
        <v>14</v>
      </c>
      <c r="Z431" s="637">
        <f>IFERROR(IF(Z428="",0,Z428),"0")+IFERROR(IF(Z429="",0,Z429),"0")+IFERROR(IF(Z430="",0,Z430),"0")</f>
        <v>9.1139999999999999E-2</v>
      </c>
      <c r="AA431" s="638"/>
      <c r="AB431" s="638"/>
      <c r="AC431" s="638"/>
    </row>
    <row r="432" spans="1:68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28</v>
      </c>
      <c r="Y432" s="637">
        <f>IFERROR(SUM(Y428:Y430),"0")</f>
        <v>29.400000000000002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18</v>
      </c>
      <c r="Y436" s="636">
        <f t="shared" ref="Y436:Y443" si="62">IFERROR(IF(X436="",0,CEILING((X436/$H436),1)*$H436),"")</f>
        <v>30</v>
      </c>
      <c r="Z436" s="36">
        <f>IFERROR(IF(Y436=0,"",ROUNDUP(Y436/H436,0)*0.02175),"")</f>
        <v>4.3499999999999997E-2</v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18.564000000000004</v>
      </c>
      <c r="BN436" s="64">
        <f t="shared" ref="BN436:BN443" si="64">IFERROR(Y436*I436/H436,"0")</f>
        <v>30.94</v>
      </c>
      <c r="BO436" s="64">
        <f t="shared" ref="BO436:BO443" si="65">IFERROR(1/J436*(X436/H436),"0")</f>
        <v>2.4999999999999998E-2</v>
      </c>
      <c r="BP436" s="64">
        <f t="shared" ref="BP436:BP443" si="66">IFERROR(1/J436*(Y436/H436),"0")</f>
        <v>4.1666666666666664E-2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1667</v>
      </c>
      <c r="Y437" s="636">
        <f t="shared" si="62"/>
        <v>1680</v>
      </c>
      <c r="Z437" s="36">
        <f>IFERROR(IF(Y437=0,"",ROUNDUP(Y437/H437,0)*0.02175),"")</f>
        <v>2.4359999999999999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1719.2326666666668</v>
      </c>
      <c r="BN437" s="64">
        <f t="shared" si="64"/>
        <v>1732.64</v>
      </c>
      <c r="BO437" s="64">
        <f t="shared" si="65"/>
        <v>2.3152777777777778</v>
      </c>
      <c r="BP437" s="64">
        <f t="shared" si="66"/>
        <v>2.333333333333333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784</v>
      </c>
      <c r="Y438" s="636">
        <f t="shared" si="62"/>
        <v>795</v>
      </c>
      <c r="Z438" s="36">
        <f>IFERROR(IF(Y438=0,"",ROUNDUP(Y438/H438,0)*0.02175),"")</f>
        <v>1.1527499999999999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808.56533333333346</v>
      </c>
      <c r="BN438" s="64">
        <f t="shared" si="64"/>
        <v>819.91</v>
      </c>
      <c r="BO438" s="64">
        <f t="shared" si="65"/>
        <v>1.0888888888888888</v>
      </c>
      <c r="BP438" s="64">
        <f t="shared" si="66"/>
        <v>1.1041666666666665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415</v>
      </c>
      <c r="Y439" s="636">
        <f t="shared" si="62"/>
        <v>420</v>
      </c>
      <c r="Z439" s="36">
        <f>IFERROR(IF(Y439=0,"",ROUNDUP(Y439/H439,0)*0.02175),"")</f>
        <v>0.60899999999999999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428.00333333333333</v>
      </c>
      <c r="BN439" s="64">
        <f t="shared" si="64"/>
        <v>433.16</v>
      </c>
      <c r="BO439" s="64">
        <f t="shared" si="65"/>
        <v>0.57638888888888884</v>
      </c>
      <c r="BP439" s="64">
        <f t="shared" si="66"/>
        <v>0.58333333333333326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8</v>
      </c>
      <c r="Y440" s="636">
        <f t="shared" si="62"/>
        <v>15</v>
      </c>
      <c r="Z440" s="36">
        <f>IFERROR(IF(Y440=0,"",ROUNDUP(Y440/H440,0)*0.02175),"")</f>
        <v>2.1749999999999999E-2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8.2506666666666675</v>
      </c>
      <c r="BN440" s="64">
        <f t="shared" si="64"/>
        <v>15.47</v>
      </c>
      <c r="BO440" s="64">
        <f t="shared" si="65"/>
        <v>1.111111111111111E-2</v>
      </c>
      <c r="BP440" s="64">
        <f t="shared" si="66"/>
        <v>2.0833333333333332E-2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192.8</v>
      </c>
      <c r="Y444" s="637">
        <f>IFERROR(Y436/H436,"0")+IFERROR(Y437/H437,"0")+IFERROR(Y438/H438,"0")+IFERROR(Y439/H439,"0")+IFERROR(Y440/H440,"0")+IFERROR(Y441/H441,"0")+IFERROR(Y442/H442,"0")+IFERROR(Y443/H443,"0")</f>
        <v>196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4.2629999999999999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2892</v>
      </c>
      <c r="Y445" s="637">
        <f>IFERROR(SUM(Y436:Y443),"0")</f>
        <v>2940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767</v>
      </c>
      <c r="Y447" s="636">
        <f>IFERROR(IF(X447="",0,CEILING((X447/$H447),1)*$H447),"")</f>
        <v>780</v>
      </c>
      <c r="Z447" s="36">
        <f>IFERROR(IF(Y447=0,"",ROUNDUP(Y447/H447,0)*0.02175),"")</f>
        <v>1.131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791.03266666666661</v>
      </c>
      <c r="BN447" s="64">
        <f>IFERROR(Y447*I447/H447,"0")</f>
        <v>804.44</v>
      </c>
      <c r="BO447" s="64">
        <f>IFERROR(1/J447*(X447/H447),"0")</f>
        <v>1.0652777777777778</v>
      </c>
      <c r="BP447" s="64">
        <f>IFERROR(1/J447*(Y447/H447),"0")</f>
        <v>1.0833333333333333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51.133333333333333</v>
      </c>
      <c r="Y450" s="637">
        <f>IFERROR(Y447/H447,"0")+IFERROR(Y448/H448,"0")+IFERROR(Y449/H449,"0")</f>
        <v>52</v>
      </c>
      <c r="Z450" s="637">
        <f>IFERROR(IF(Z447="",0,Z447),"0")+IFERROR(IF(Z448="",0,Z448),"0")+IFERROR(IF(Z449="",0,Z449),"0")</f>
        <v>1.131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767</v>
      </c>
      <c r="Y451" s="637">
        <f>IFERROR(SUM(Y447:Y449),"0")</f>
        <v>780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1154</v>
      </c>
      <c r="Y474" s="636">
        <f>IFERROR(IF(X474="",0,CEILING((X474/$H474),1)*$H474),"")</f>
        <v>1161</v>
      </c>
      <c r="Z474" s="36">
        <f>IFERROR(IF(Y474=0,"",ROUNDUP(Y474/H474,0)*0.01898),"")</f>
        <v>2.44842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1217.3417777777777</v>
      </c>
      <c r="BN474" s="64">
        <f>IFERROR(Y474*I474/H474,"0")</f>
        <v>1224.7259999999999</v>
      </c>
      <c r="BO474" s="64">
        <f>IFERROR(1/J474*(X474/H474),"0")</f>
        <v>2.0034722222222223</v>
      </c>
      <c r="BP474" s="64">
        <f>IFERROR(1/J474*(Y474/H474),"0")</f>
        <v>2.015625</v>
      </c>
    </row>
    <row r="475" spans="1:68" ht="27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51</v>
      </c>
      <c r="Y475" s="636">
        <f>IFERROR(IF(X475="",0,CEILING((X475/$H475),1)*$H475),"")</f>
        <v>52.8</v>
      </c>
      <c r="Z475" s="36">
        <f>IFERROR(IF(Y475=0,"",ROUNDUP(Y475/H475,0)*0.00651),"")</f>
        <v>0.14322000000000001</v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56.610000000000007</v>
      </c>
      <c r="BN475" s="64">
        <f>IFERROR(Y475*I475/H475,"0")</f>
        <v>58.608000000000004</v>
      </c>
      <c r="BO475" s="64">
        <f>IFERROR(1/J475*(X475/H475),"0")</f>
        <v>0.11675824175824177</v>
      </c>
      <c r="BP475" s="64">
        <f>IFERROR(1/J475*(Y475/H475),"0")</f>
        <v>0.12087912087912089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149.47222222222223</v>
      </c>
      <c r="Y477" s="637">
        <f>IFERROR(Y474/H474,"0")+IFERROR(Y475/H475,"0")+IFERROR(Y476/H476,"0")</f>
        <v>151</v>
      </c>
      <c r="Z477" s="637">
        <f>IFERROR(IF(Z474="",0,Z474),"0")+IFERROR(IF(Z475="",0,Z475),"0")+IFERROR(IF(Z476="",0,Z476),"0")</f>
        <v>2.5916399999999999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1205</v>
      </c>
      <c r="Y478" s="637">
        <f>IFERROR(SUM(Y474:Y476),"0")</f>
        <v>1213.8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114</v>
      </c>
      <c r="Y508" s="636">
        <f t="shared" ref="Y508:Y515" si="72">IFERROR(IF(X508="",0,CEILING((X508/$H508),1)*$H508),"")</f>
        <v>116.16000000000001</v>
      </c>
      <c r="Z508" s="36">
        <f>IFERROR(IF(Y508=0,"",ROUNDUP(Y508/H508,0)*0.01196),"")</f>
        <v>0.26312000000000002</v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121.55681818181816</v>
      </c>
      <c r="BN508" s="64">
        <f t="shared" ref="BN508:BN515" si="74">IFERROR(Y508*I508/H508,"0")</f>
        <v>123.86</v>
      </c>
      <c r="BO508" s="64">
        <f t="shared" ref="BO508:BO515" si="75">IFERROR(1/J508*(X508/H508),"0")</f>
        <v>0.2076048951048951</v>
      </c>
      <c r="BP508" s="64">
        <f t="shared" ref="BP508:BP515" si="76">IFERROR(1/J508*(Y508/H508),"0")</f>
        <v>0.21153846153846156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1421</v>
      </c>
      <c r="Y511" s="636">
        <f t="shared" si="72"/>
        <v>1425.6000000000001</v>
      </c>
      <c r="Z511" s="36">
        <f>IFERROR(IF(Y511=0,"",ROUNDUP(Y511/H511,0)*0.01196),"")</f>
        <v>3.2292000000000001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1515.1950757575755</v>
      </c>
      <c r="BN511" s="64">
        <f t="shared" si="74"/>
        <v>1520.1000000000001</v>
      </c>
      <c r="BO511" s="64">
        <f t="shared" si="75"/>
        <v>2.5877768065268065</v>
      </c>
      <c r="BP511" s="64">
        <f t="shared" si="76"/>
        <v>2.5961538461538463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2015</v>
      </c>
      <c r="Y512" s="636">
        <f t="shared" si="72"/>
        <v>2016.96</v>
      </c>
      <c r="Z512" s="36">
        <f>IFERROR(IF(Y512=0,"",ROUNDUP(Y512/H512,0)*0.01196),"")</f>
        <v>4.5687199999999999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2148.5700757575755</v>
      </c>
      <c r="BN512" s="64">
        <f t="shared" si="74"/>
        <v>2150.66</v>
      </c>
      <c r="BO512" s="64">
        <f t="shared" si="75"/>
        <v>3.6695075757575761</v>
      </c>
      <c r="BP512" s="64">
        <f t="shared" si="76"/>
        <v>3.6730769230769234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299</v>
      </c>
      <c r="Y514" s="636">
        <f t="shared" si="72"/>
        <v>302.39999999999998</v>
      </c>
      <c r="Z514" s="36">
        <f>IFERROR(IF(Y514=0,"",ROUNDUP(Y514/H514,0)*0.00902),"")</f>
        <v>0.56825999999999999</v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430.4354166666667</v>
      </c>
      <c r="BN514" s="64">
        <f t="shared" si="74"/>
        <v>435.33</v>
      </c>
      <c r="BO514" s="64">
        <f t="shared" si="75"/>
        <v>0.47190656565656569</v>
      </c>
      <c r="BP514" s="64">
        <f t="shared" si="76"/>
        <v>0.47727272727272729</v>
      </c>
    </row>
    <row r="515" spans="1:68" ht="27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108</v>
      </c>
      <c r="Y515" s="636">
        <f t="shared" si="72"/>
        <v>110.39999999999999</v>
      </c>
      <c r="Z515" s="36">
        <f>IFERROR(IF(Y515=0,"",ROUNDUP(Y515/H515,0)*0.00902),"")</f>
        <v>0.20746000000000001</v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155.47499999999999</v>
      </c>
      <c r="BN515" s="64">
        <f t="shared" si="74"/>
        <v>158.92999999999998</v>
      </c>
      <c r="BO515" s="64">
        <f t="shared" si="75"/>
        <v>0.17045454545454547</v>
      </c>
      <c r="BP515" s="64">
        <f t="shared" si="76"/>
        <v>0.17424242424242425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757.14015151515139</v>
      </c>
      <c r="Y516" s="637">
        <f>IFERROR(Y508/H508,"0")+IFERROR(Y509/H509,"0")+IFERROR(Y510/H510,"0")+IFERROR(Y511/H511,"0")+IFERROR(Y512/H512,"0")+IFERROR(Y513/H513,"0")+IFERROR(Y514/H514,"0")+IFERROR(Y515/H515,"0")</f>
        <v>760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8.8367599999999999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3957</v>
      </c>
      <c r="Y517" s="637">
        <f>IFERROR(SUM(Y508:Y515),"0")</f>
        <v>3971.5200000000004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637</v>
      </c>
      <c r="Y519" s="636">
        <f>IFERROR(IF(X519="",0,CEILING((X519/$H519),1)*$H519),"")</f>
        <v>638.88</v>
      </c>
      <c r="Z519" s="36">
        <f>IFERROR(IF(Y519=0,"",ROUNDUP(Y519/H519,0)*0.01196),"")</f>
        <v>1.44716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679.22537878787875</v>
      </c>
      <c r="BN519" s="64">
        <f>IFERROR(Y519*I519/H519,"0")</f>
        <v>681.23</v>
      </c>
      <c r="BO519" s="64">
        <f>IFERROR(1/J519*(X519/H519),"0")</f>
        <v>1.1600378787878789</v>
      </c>
      <c r="BP519" s="64">
        <f>IFERROR(1/J519*(Y519/H519),"0")</f>
        <v>1.1634615384615385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120.64393939393939</v>
      </c>
      <c r="Y522" s="637">
        <f>IFERROR(Y519/H519,"0")+IFERROR(Y520/H520,"0")+IFERROR(Y521/H521,"0")</f>
        <v>121</v>
      </c>
      <c r="Z522" s="637">
        <f>IFERROR(IF(Z519="",0,Z519),"0")+IFERROR(IF(Z520="",0,Z520),"0")+IFERROR(IF(Z521="",0,Z521),"0")</f>
        <v>1.44716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637</v>
      </c>
      <c r="Y523" s="637">
        <f>IFERROR(SUM(Y519:Y521),"0")</f>
        <v>638.88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277</v>
      </c>
      <c r="Y525" s="636">
        <f t="shared" ref="Y525:Y531" si="77">IFERROR(IF(X525="",0,CEILING((X525/$H525),1)*$H525),"")</f>
        <v>279.84000000000003</v>
      </c>
      <c r="Z525" s="36">
        <f>IFERROR(IF(Y525=0,"",ROUNDUP(Y525/H525,0)*0.01196),"")</f>
        <v>0.63388</v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295.36174242424244</v>
      </c>
      <c r="BN525" s="64">
        <f t="shared" ref="BN525:BN531" si="79">IFERROR(Y525*I525/H525,"0")</f>
        <v>298.39000000000004</v>
      </c>
      <c r="BO525" s="64">
        <f t="shared" ref="BO525:BO531" si="80">IFERROR(1/J525*(X525/H525),"0")</f>
        <v>0.50444347319347316</v>
      </c>
      <c r="BP525" s="64">
        <f t="shared" ref="BP525:BP531" si="81">IFERROR(1/J525*(Y525/H525),"0")</f>
        <v>0.50961538461538469</v>
      </c>
    </row>
    <row r="526" spans="1:68" ht="27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67</v>
      </c>
      <c r="Y526" s="636">
        <f t="shared" si="77"/>
        <v>68.64</v>
      </c>
      <c r="Z526" s="36">
        <f>IFERROR(IF(Y526=0,"",ROUNDUP(Y526/H526,0)*0.01196),"")</f>
        <v>0.15548000000000001</v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71.441287878787875</v>
      </c>
      <c r="BN526" s="64">
        <f t="shared" si="79"/>
        <v>73.19</v>
      </c>
      <c r="BO526" s="64">
        <f t="shared" si="80"/>
        <v>0.12201340326340326</v>
      </c>
      <c r="BP526" s="64">
        <f t="shared" si="81"/>
        <v>0.125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576</v>
      </c>
      <c r="Y527" s="636">
        <f t="shared" si="77"/>
        <v>580.80000000000007</v>
      </c>
      <c r="Z527" s="36">
        <f>IFERROR(IF(Y527=0,"",ROUNDUP(Y527/H527,0)*0.01196),"")</f>
        <v>1.3156000000000001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614.18181818181813</v>
      </c>
      <c r="BN527" s="64">
        <f t="shared" si="79"/>
        <v>619.30000000000007</v>
      </c>
      <c r="BO527" s="64">
        <f t="shared" si="80"/>
        <v>1.048951048951049</v>
      </c>
      <c r="BP527" s="64">
        <f t="shared" si="81"/>
        <v>1.0576923076923079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174.24242424242425</v>
      </c>
      <c r="Y532" s="637">
        <f>IFERROR(Y525/H525,"0")+IFERROR(Y526/H526,"0")+IFERROR(Y527/H527,"0")+IFERROR(Y528/H528,"0")+IFERROR(Y529/H529,"0")+IFERROR(Y530/H530,"0")+IFERROR(Y531/H531,"0")</f>
        <v>176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2.1049600000000002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920</v>
      </c>
      <c r="Y533" s="637">
        <f>IFERROR(SUM(Y525:Y531),"0")</f>
        <v>929.28000000000009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16615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16797.7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17740.971104981607</v>
      </c>
      <c r="Y563" s="637">
        <f>IFERROR(SUM(BN22:BN559),"0")</f>
        <v>17936.191000000003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30</v>
      </c>
      <c r="Y564" s="38">
        <f>ROUNDUP(SUM(BP22:BP559),0)</f>
        <v>30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18490.971104981607</v>
      </c>
      <c r="Y565" s="637">
        <f>GrossWeightTotalR+PalletQtyTotalR*25</f>
        <v>18686.191000000003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3007.2461851290282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3043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35.473729999999996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3.6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696.1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575</v>
      </c>
      <c r="F572" s="46">
        <f>IFERROR(Y85*1,"0")+IFERROR(Y86*1,"0")+IFERROR(Y87*1,"0")+IFERROR(Y88*1,"0")+IFERROR(Y89*1,"0")+IFERROR(Y90*1,"0")+IFERROR(Y94*1,"0")+IFERROR(Y95*1,"0")+IFERROR(Y96*1,"0")+IFERROR(Y97*1,"0")</f>
        <v>1117.0999999999999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1310.04</v>
      </c>
      <c r="H572" s="46">
        <f>IFERROR(Y130*1,"0")+IFERROR(Y131*1,"0")+IFERROR(Y135*1,"0")+IFERROR(Y136*1,"0")+IFERROR(Y140*1,"0")+IFERROR(Y141*1,"0")</f>
        <v>30.8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376.65999999999997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209.72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941.99999999999989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13.4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187.2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117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716.2</v>
      </c>
      <c r="V572" s="46">
        <f>IFERROR(Y420*1,"0")+IFERROR(Y421*1,"0")+IFERROR(Y422*1,"0")+IFERROR(Y423*1,"0")</f>
        <v>0</v>
      </c>
      <c r="W572" s="46">
        <f>IFERROR(Y428*1,"0")+IFERROR(Y429*1,"0")+IFERROR(Y430*1,"0")</f>
        <v>29.400000000000002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3720</v>
      </c>
      <c r="Y572" s="46">
        <f>IFERROR(Y465*1,"0")+IFERROR(Y466*1,"0")+IFERROR(Y470*1,"0")+IFERROR(Y474*1,"0")+IFERROR(Y475*1,"0")+IFERROR(Y476*1,"0")</f>
        <v>1213.8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5539.6800000000012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4,00"/>
        <filter val="1 205,00"/>
        <filter val="1 421,00"/>
        <filter val="1 667,00"/>
        <filter val="1,67"/>
        <filter val="10,00"/>
        <filter val="105,00"/>
        <filter val="107,00"/>
        <filter val="108,00"/>
        <filter val="11,00"/>
        <filter val="110,00"/>
        <filter val="114,00"/>
        <filter val="119,00"/>
        <filter val="120,00"/>
        <filter val="120,64"/>
        <filter val="129,00"/>
        <filter val="13,00"/>
        <filter val="13,33"/>
        <filter val="131,00"/>
        <filter val="133,00"/>
        <filter val="134,00"/>
        <filter val="14,00"/>
        <filter val="14,10"/>
        <filter val="144,00"/>
        <filter val="149,47"/>
        <filter val="15,00"/>
        <filter val="16 615,00"/>
        <filter val="165,06"/>
        <filter val="17 740,97"/>
        <filter val="17,00"/>
        <filter val="17,46"/>
        <filter val="174,24"/>
        <filter val="176,00"/>
        <filter val="18 490,97"/>
        <filter val="18,00"/>
        <filter val="181,00"/>
        <filter val="185,00"/>
        <filter val="186,00"/>
        <filter val="186,94"/>
        <filter val="19,00"/>
        <filter val="192,80"/>
        <filter val="2 015,00"/>
        <filter val="2 892,00"/>
        <filter val="2,00"/>
        <filter val="2,50"/>
        <filter val="2,78"/>
        <filter val="2,87"/>
        <filter val="20,00"/>
        <filter val="20,74"/>
        <filter val="21,00"/>
        <filter val="22,00"/>
        <filter val="22,78"/>
        <filter val="229,51"/>
        <filter val="26,00"/>
        <filter val="277,00"/>
        <filter val="28,00"/>
        <filter val="286,39"/>
        <filter val="288,00"/>
        <filter val="289,00"/>
        <filter val="29,00"/>
        <filter val="292,00"/>
        <filter val="299,00"/>
        <filter val="3 007,25"/>
        <filter val="3 957,00"/>
        <filter val="3,00"/>
        <filter val="3,17"/>
        <filter val="30"/>
        <filter val="31,00"/>
        <filter val="333,00"/>
        <filter val="35,00"/>
        <filter val="369,00"/>
        <filter val="37,95"/>
        <filter val="38,00"/>
        <filter val="4,00"/>
        <filter val="41,00"/>
        <filter val="415,00"/>
        <filter val="45,00"/>
        <filter val="461,00"/>
        <filter val="466,00"/>
        <filter val="492,00"/>
        <filter val="5,00"/>
        <filter val="51,00"/>
        <filter val="51,13"/>
        <filter val="52,00"/>
        <filter val="54,00"/>
        <filter val="552,00"/>
        <filter val="576,00"/>
        <filter val="59,06"/>
        <filter val="6,00"/>
        <filter val="6,25"/>
        <filter val="6,51"/>
        <filter val="60,61"/>
        <filter val="622,00"/>
        <filter val="637,00"/>
        <filter val="640,00"/>
        <filter val="67,00"/>
        <filter val="685,00"/>
        <filter val="69,00"/>
        <filter val="7,00"/>
        <filter val="71,42"/>
        <filter val="73,00"/>
        <filter val="74,41"/>
        <filter val="753,00"/>
        <filter val="757,14"/>
        <filter val="767,00"/>
        <filter val="77,08"/>
        <filter val="784,00"/>
        <filter val="79,74"/>
        <filter val="8,00"/>
        <filter val="8,33"/>
        <filter val="89,00"/>
        <filter val="890,00"/>
        <filter val="9,00"/>
        <filter val="90,16"/>
        <filter val="91,00"/>
        <filter val="920,00"/>
        <filter val="927,00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