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C3639BF-5D91-46E8-B6F1-ABAF2A95BA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M553" i="1"/>
  <c r="Y553" i="1"/>
  <c r="BP553" i="1" s="1"/>
  <c r="P553" i="1"/>
  <c r="X551" i="1"/>
  <c r="X550" i="1"/>
  <c r="BO549" i="1"/>
  <c r="BM549" i="1"/>
  <c r="Y549" i="1"/>
  <c r="Y551" i="1" s="1"/>
  <c r="P549" i="1"/>
  <c r="X547" i="1"/>
  <c r="X546" i="1"/>
  <c r="BO545" i="1"/>
  <c r="BM545" i="1"/>
  <c r="Y545" i="1"/>
  <c r="Y547" i="1" s="1"/>
  <c r="P545" i="1"/>
  <c r="X543" i="1"/>
  <c r="X542" i="1"/>
  <c r="BO541" i="1"/>
  <c r="BM541" i="1"/>
  <c r="Y541" i="1"/>
  <c r="Y543" i="1" s="1"/>
  <c r="P541" i="1"/>
  <c r="X539" i="1"/>
  <c r="X538" i="1"/>
  <c r="BO537" i="1"/>
  <c r="BM537" i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BP525" i="1" s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O474" i="1"/>
  <c r="BM474" i="1"/>
  <c r="Y474" i="1"/>
  <c r="BP474" i="1" s="1"/>
  <c r="P474" i="1"/>
  <c r="X472" i="1"/>
  <c r="X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O459" i="1"/>
  <c r="BN459" i="1"/>
  <c r="BM459" i="1"/>
  <c r="Y459" i="1"/>
  <c r="BP459" i="1" s="1"/>
  <c r="P459" i="1"/>
  <c r="X457" i="1"/>
  <c r="X456" i="1"/>
  <c r="BO455" i="1"/>
  <c r="BM455" i="1"/>
  <c r="Y455" i="1"/>
  <c r="BN455" i="1" s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M449" i="1"/>
  <c r="Z449" i="1"/>
  <c r="Y449" i="1"/>
  <c r="BN449" i="1" s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N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O429" i="1"/>
  <c r="BN429" i="1"/>
  <c r="BM429" i="1"/>
  <c r="Y429" i="1"/>
  <c r="BP429" i="1" s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O421" i="1"/>
  <c r="BN421" i="1"/>
  <c r="BM421" i="1"/>
  <c r="Y421" i="1"/>
  <c r="BP421" i="1" s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N413" i="1"/>
  <c r="BM413" i="1"/>
  <c r="Y413" i="1"/>
  <c r="BP413" i="1" s="1"/>
  <c r="P413" i="1"/>
  <c r="X411" i="1"/>
  <c r="X410" i="1"/>
  <c r="BP409" i="1"/>
  <c r="BO409" i="1"/>
  <c r="BM409" i="1"/>
  <c r="Z409" i="1"/>
  <c r="Y409" i="1"/>
  <c r="BN409" i="1" s="1"/>
  <c r="P409" i="1"/>
  <c r="BO408" i="1"/>
  <c r="BM408" i="1"/>
  <c r="Y408" i="1"/>
  <c r="P408" i="1"/>
  <c r="BO407" i="1"/>
  <c r="BM407" i="1"/>
  <c r="Y407" i="1"/>
  <c r="Y410" i="1" s="1"/>
  <c r="P407" i="1"/>
  <c r="X405" i="1"/>
  <c r="X404" i="1"/>
  <c r="BO403" i="1"/>
  <c r="BN403" i="1"/>
  <c r="BM403" i="1"/>
  <c r="Y403" i="1"/>
  <c r="BP403" i="1" s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O395" i="1"/>
  <c r="BN395" i="1"/>
  <c r="BM395" i="1"/>
  <c r="Y395" i="1"/>
  <c r="BP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BN387" i="1" s="1"/>
  <c r="P387" i="1"/>
  <c r="X385" i="1"/>
  <c r="X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N377" i="1" s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BN367" i="1" s="1"/>
  <c r="P367" i="1"/>
  <c r="X364" i="1"/>
  <c r="X363" i="1"/>
  <c r="BO362" i="1"/>
  <c r="BM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X357" i="1"/>
  <c r="Y356" i="1"/>
  <c r="X356" i="1"/>
  <c r="BO355" i="1"/>
  <c r="BN355" i="1"/>
  <c r="BM355" i="1"/>
  <c r="Y355" i="1"/>
  <c r="Y357" i="1" s="1"/>
  <c r="P355" i="1"/>
  <c r="X353" i="1"/>
  <c r="Y352" i="1"/>
  <c r="X352" i="1"/>
  <c r="BP351" i="1"/>
  <c r="BO351" i="1"/>
  <c r="BN351" i="1"/>
  <c r="BM351" i="1"/>
  <c r="Z351" i="1"/>
  <c r="Z352" i="1" s="1"/>
  <c r="Y351" i="1"/>
  <c r="P351" i="1"/>
  <c r="X348" i="1"/>
  <c r="Y347" i="1"/>
  <c r="X347" i="1"/>
  <c r="BO346" i="1"/>
  <c r="BN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X342" i="1"/>
  <c r="X341" i="1"/>
  <c r="BO340" i="1"/>
  <c r="BM340" i="1"/>
  <c r="Y340" i="1"/>
  <c r="BN340" i="1" s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5" i="1"/>
  <c r="X314" i="1"/>
  <c r="BO313" i="1"/>
  <c r="BN313" i="1"/>
  <c r="BM313" i="1"/>
  <c r="Z313" i="1"/>
  <c r="Y313" i="1"/>
  <c r="BP313" i="1" s="1"/>
  <c r="P313" i="1"/>
  <c r="BO312" i="1"/>
  <c r="BM312" i="1"/>
  <c r="Y312" i="1"/>
  <c r="P312" i="1"/>
  <c r="BO311" i="1"/>
  <c r="BM311" i="1"/>
  <c r="Y311" i="1"/>
  <c r="BP311" i="1" s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N297" i="1"/>
  <c r="BM297" i="1"/>
  <c r="Y297" i="1"/>
  <c r="BP297" i="1" s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X289" i="1"/>
  <c r="X288" i="1"/>
  <c r="BO287" i="1"/>
  <c r="BM287" i="1"/>
  <c r="Y287" i="1"/>
  <c r="P287" i="1"/>
  <c r="BO286" i="1"/>
  <c r="BM286" i="1"/>
  <c r="Y286" i="1"/>
  <c r="BP286" i="1" s="1"/>
  <c r="P286" i="1"/>
  <c r="X284" i="1"/>
  <c r="X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N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9" i="1"/>
  <c r="X268" i="1"/>
  <c r="BO267" i="1"/>
  <c r="BM267" i="1"/>
  <c r="Y267" i="1"/>
  <c r="P267" i="1"/>
  <c r="BO266" i="1"/>
  <c r="BN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X258" i="1"/>
  <c r="X257" i="1"/>
  <c r="BO256" i="1"/>
  <c r="BN256" i="1"/>
  <c r="BM256" i="1"/>
  <c r="Y256" i="1"/>
  <c r="BP256" i="1" s="1"/>
  <c r="P256" i="1"/>
  <c r="BO255" i="1"/>
  <c r="BM255" i="1"/>
  <c r="Y255" i="1"/>
  <c r="Y257" i="1" s="1"/>
  <c r="P255" i="1"/>
  <c r="X253" i="1"/>
  <c r="X252" i="1"/>
  <c r="BO251" i="1"/>
  <c r="BM251" i="1"/>
  <c r="Y251" i="1"/>
  <c r="BO250" i="1"/>
  <c r="BM250" i="1"/>
  <c r="Y250" i="1"/>
  <c r="P250" i="1"/>
  <c r="BO249" i="1"/>
  <c r="BN249" i="1"/>
  <c r="BM249" i="1"/>
  <c r="Y249" i="1"/>
  <c r="BP249" i="1" s="1"/>
  <c r="P249" i="1"/>
  <c r="X246" i="1"/>
  <c r="X245" i="1"/>
  <c r="BP244" i="1"/>
  <c r="BO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Y241" i="1" s="1"/>
  <c r="P239" i="1"/>
  <c r="BO238" i="1"/>
  <c r="BN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X228" i="1"/>
  <c r="X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N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P214" i="1"/>
  <c r="BO214" i="1"/>
  <c r="BM214" i="1"/>
  <c r="Z214" i="1"/>
  <c r="Y214" i="1"/>
  <c r="BN214" i="1" s="1"/>
  <c r="P214" i="1"/>
  <c r="X212" i="1"/>
  <c r="Y211" i="1"/>
  <c r="X211" i="1"/>
  <c r="BO210" i="1"/>
  <c r="BN210" i="1"/>
  <c r="BM210" i="1"/>
  <c r="Y210" i="1"/>
  <c r="BP210" i="1" s="1"/>
  <c r="P210" i="1"/>
  <c r="X207" i="1"/>
  <c r="X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N203" i="1" s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N199" i="1"/>
  <c r="BM199" i="1"/>
  <c r="Y199" i="1"/>
  <c r="BP199" i="1" s="1"/>
  <c r="P199" i="1"/>
  <c r="X195" i="1"/>
  <c r="X194" i="1"/>
  <c r="BP193" i="1"/>
  <c r="BO193" i="1"/>
  <c r="BM193" i="1"/>
  <c r="Z193" i="1"/>
  <c r="Z194" i="1" s="1"/>
  <c r="Y193" i="1"/>
  <c r="Y195" i="1" s="1"/>
  <c r="P193" i="1"/>
  <c r="X191" i="1"/>
  <c r="Y190" i="1"/>
  <c r="X190" i="1"/>
  <c r="BO189" i="1"/>
  <c r="BN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M175" i="1"/>
  <c r="Z175" i="1"/>
  <c r="Y175" i="1"/>
  <c r="BN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N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X163" i="1"/>
  <c r="X162" i="1"/>
  <c r="BO161" i="1"/>
  <c r="BN161" i="1"/>
  <c r="BM161" i="1"/>
  <c r="Y161" i="1"/>
  <c r="BP161" i="1" s="1"/>
  <c r="P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P158" i="1"/>
  <c r="X155" i="1"/>
  <c r="X154" i="1"/>
  <c r="BO153" i="1"/>
  <c r="BM153" i="1"/>
  <c r="Y153" i="1"/>
  <c r="P153" i="1"/>
  <c r="X151" i="1"/>
  <c r="X150" i="1"/>
  <c r="BO149" i="1"/>
  <c r="BM149" i="1"/>
  <c r="Y149" i="1"/>
  <c r="P149" i="1"/>
  <c r="BO148" i="1"/>
  <c r="BN148" i="1"/>
  <c r="BM148" i="1"/>
  <c r="Y148" i="1"/>
  <c r="BP148" i="1" s="1"/>
  <c r="P148" i="1"/>
  <c r="BO147" i="1"/>
  <c r="BM147" i="1"/>
  <c r="Y147" i="1"/>
  <c r="P147" i="1"/>
  <c r="BO146" i="1"/>
  <c r="BM146" i="1"/>
  <c r="Y146" i="1"/>
  <c r="BP146" i="1" s="1"/>
  <c r="P146" i="1"/>
  <c r="X143" i="1"/>
  <c r="X142" i="1"/>
  <c r="BO141" i="1"/>
  <c r="BN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N131" i="1"/>
  <c r="BM131" i="1"/>
  <c r="Y131" i="1"/>
  <c r="BP131" i="1" s="1"/>
  <c r="P131" i="1"/>
  <c r="BO130" i="1"/>
  <c r="BM130" i="1"/>
  <c r="Y130" i="1"/>
  <c r="P130" i="1"/>
  <c r="X127" i="1"/>
  <c r="X126" i="1"/>
  <c r="BO125" i="1"/>
  <c r="BM125" i="1"/>
  <c r="Y125" i="1"/>
  <c r="Y126" i="1" s="1"/>
  <c r="P125" i="1"/>
  <c r="X123" i="1"/>
  <c r="X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N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N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N95" i="1"/>
  <c r="BM95" i="1"/>
  <c r="Y95" i="1"/>
  <c r="BP95" i="1" s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N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M80" i="1"/>
  <c r="Z80" i="1"/>
  <c r="Y80" i="1"/>
  <c r="BN80" i="1" s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N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N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N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M39" i="1"/>
  <c r="Z39" i="1"/>
  <c r="Y39" i="1"/>
  <c r="BN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N31" i="1"/>
  <c r="BM31" i="1"/>
  <c r="Y31" i="1"/>
  <c r="BP31" i="1" s="1"/>
  <c r="P31" i="1"/>
  <c r="BO30" i="1"/>
  <c r="BM30" i="1"/>
  <c r="Y30" i="1"/>
  <c r="Y33" i="1" s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O24" i="1"/>
  <c r="BM24" i="1"/>
  <c r="Y24" i="1"/>
  <c r="BP24" i="1" s="1"/>
  <c r="P24" i="1"/>
  <c r="BO23" i="1"/>
  <c r="BN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47" i="1" l="1"/>
  <c r="BP47" i="1"/>
  <c r="Z60" i="1"/>
  <c r="BP60" i="1"/>
  <c r="Z87" i="1"/>
  <c r="BP87" i="1"/>
  <c r="Z171" i="1"/>
  <c r="BP171" i="1"/>
  <c r="Z203" i="1"/>
  <c r="BP203" i="1"/>
  <c r="Z226" i="1"/>
  <c r="BP226" i="1"/>
  <c r="Z282" i="1"/>
  <c r="BP282" i="1"/>
  <c r="Z340" i="1"/>
  <c r="BP340" i="1"/>
  <c r="Z367" i="1"/>
  <c r="BP367" i="1"/>
  <c r="Z377" i="1"/>
  <c r="BP377" i="1"/>
  <c r="Z387" i="1"/>
  <c r="BP387" i="1"/>
  <c r="Z455" i="1"/>
  <c r="BP455" i="1"/>
  <c r="Z470" i="1"/>
  <c r="Z471" i="1" s="1"/>
  <c r="BP470" i="1"/>
  <c r="BN474" i="1"/>
  <c r="Z501" i="1"/>
  <c r="BP501" i="1"/>
  <c r="Z515" i="1"/>
  <c r="BP515" i="1"/>
  <c r="BN525" i="1"/>
  <c r="BN537" i="1"/>
  <c r="Y538" i="1"/>
  <c r="Z541" i="1"/>
  <c r="Z542" i="1" s="1"/>
  <c r="BP541" i="1"/>
  <c r="BN545" i="1"/>
  <c r="Y546" i="1"/>
  <c r="Z549" i="1"/>
  <c r="Z550" i="1" s="1"/>
  <c r="BP549" i="1"/>
  <c r="BN553" i="1"/>
  <c r="X563" i="1"/>
  <c r="Z23" i="1"/>
  <c r="Z56" i="1"/>
  <c r="Z66" i="1"/>
  <c r="Z95" i="1"/>
  <c r="Z106" i="1"/>
  <c r="Z141" i="1"/>
  <c r="Z161" i="1"/>
  <c r="Z189" i="1"/>
  <c r="Z190" i="1" s="1"/>
  <c r="BP189" i="1"/>
  <c r="BN193" i="1"/>
  <c r="Y194" i="1"/>
  <c r="Z199" i="1"/>
  <c r="Z210" i="1"/>
  <c r="Z211" i="1" s="1"/>
  <c r="Z222" i="1"/>
  <c r="Z232" i="1"/>
  <c r="BN244" i="1"/>
  <c r="Y245" i="1"/>
  <c r="Z249" i="1"/>
  <c r="Z256" i="1"/>
  <c r="Z266" i="1"/>
  <c r="Z278" i="1"/>
  <c r="Z346" i="1"/>
  <c r="Z355" i="1"/>
  <c r="Z356" i="1" s="1"/>
  <c r="BP355" i="1"/>
  <c r="Z395" i="1"/>
  <c r="Z413" i="1"/>
  <c r="Z459" i="1"/>
  <c r="X566" i="1"/>
  <c r="Z31" i="1"/>
  <c r="Z112" i="1"/>
  <c r="Z131" i="1"/>
  <c r="Z148" i="1"/>
  <c r="Z238" i="1"/>
  <c r="Z262" i="1"/>
  <c r="Z274" i="1"/>
  <c r="Z297" i="1"/>
  <c r="Z322" i="1"/>
  <c r="S572" i="1"/>
  <c r="Z403" i="1"/>
  <c r="Z421" i="1"/>
  <c r="Z429" i="1"/>
  <c r="Z443" i="1"/>
  <c r="BN470" i="1"/>
  <c r="Y471" i="1"/>
  <c r="Z474" i="1"/>
  <c r="Z525" i="1"/>
  <c r="Z537" i="1"/>
  <c r="Z538" i="1" s="1"/>
  <c r="BP537" i="1"/>
  <c r="BN541" i="1"/>
  <c r="Y542" i="1"/>
  <c r="Z545" i="1"/>
  <c r="Z546" i="1" s="1"/>
  <c r="BP545" i="1"/>
  <c r="BN549" i="1"/>
  <c r="Y550" i="1"/>
  <c r="Z553" i="1"/>
  <c r="BP320" i="1"/>
  <c r="BN320" i="1"/>
  <c r="Z320" i="1"/>
  <c r="BP338" i="1"/>
  <c r="BN338" i="1"/>
  <c r="Z338" i="1"/>
  <c r="BP362" i="1"/>
  <c r="BN362" i="1"/>
  <c r="Z362" i="1"/>
  <c r="BP373" i="1"/>
  <c r="BN373" i="1"/>
  <c r="Z373" i="1"/>
  <c r="BP383" i="1"/>
  <c r="BN383" i="1"/>
  <c r="Z383" i="1"/>
  <c r="BP401" i="1"/>
  <c r="BN401" i="1"/>
  <c r="Z401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B572" i="1"/>
  <c r="X564" i="1"/>
  <c r="X565" i="1" s="1"/>
  <c r="Z25" i="1"/>
  <c r="BN25" i="1"/>
  <c r="Z37" i="1"/>
  <c r="BN37" i="1"/>
  <c r="Z41" i="1"/>
  <c r="BN41" i="1"/>
  <c r="Z49" i="1"/>
  <c r="BN49" i="1"/>
  <c r="E572" i="1"/>
  <c r="Z58" i="1"/>
  <c r="BN58" i="1"/>
  <c r="Z62" i="1"/>
  <c r="BN62" i="1"/>
  <c r="Y70" i="1"/>
  <c r="Z68" i="1"/>
  <c r="BN68" i="1"/>
  <c r="Z78" i="1"/>
  <c r="BN78" i="1"/>
  <c r="BP78" i="1"/>
  <c r="Z85" i="1"/>
  <c r="BN85" i="1"/>
  <c r="Z89" i="1"/>
  <c r="BN89" i="1"/>
  <c r="Y99" i="1"/>
  <c r="Z97" i="1"/>
  <c r="BN97" i="1"/>
  <c r="Z104" i="1"/>
  <c r="BN104" i="1"/>
  <c r="Z108" i="1"/>
  <c r="BN108" i="1"/>
  <c r="Y116" i="1"/>
  <c r="Z114" i="1"/>
  <c r="BN114" i="1"/>
  <c r="Y122" i="1"/>
  <c r="Z120" i="1"/>
  <c r="BN120" i="1"/>
  <c r="H572" i="1"/>
  <c r="Z135" i="1"/>
  <c r="BN135" i="1"/>
  <c r="BP135" i="1"/>
  <c r="Z146" i="1"/>
  <c r="BN146" i="1"/>
  <c r="Z159" i="1"/>
  <c r="BN159" i="1"/>
  <c r="Z165" i="1"/>
  <c r="BN165" i="1"/>
  <c r="Z173" i="1"/>
  <c r="BN173" i="1"/>
  <c r="Z177" i="1"/>
  <c r="BN177" i="1"/>
  <c r="Z185" i="1"/>
  <c r="BN185" i="1"/>
  <c r="Z201" i="1"/>
  <c r="BN201" i="1"/>
  <c r="Z205" i="1"/>
  <c r="BN205" i="1"/>
  <c r="Z216" i="1"/>
  <c r="BN216" i="1"/>
  <c r="Z220" i="1"/>
  <c r="BN220" i="1"/>
  <c r="Z224" i="1"/>
  <c r="BN224" i="1"/>
  <c r="Z230" i="1"/>
  <c r="BN230" i="1"/>
  <c r="Z234" i="1"/>
  <c r="BN234" i="1"/>
  <c r="Z240" i="1"/>
  <c r="BN240" i="1"/>
  <c r="Z260" i="1"/>
  <c r="BN260" i="1"/>
  <c r="Z264" i="1"/>
  <c r="BN264" i="1"/>
  <c r="Z272" i="1"/>
  <c r="BN272" i="1"/>
  <c r="Z276" i="1"/>
  <c r="BN276" i="1"/>
  <c r="Z280" i="1"/>
  <c r="BN280" i="1"/>
  <c r="Z286" i="1"/>
  <c r="BN286" i="1"/>
  <c r="Z295" i="1"/>
  <c r="BN295" i="1"/>
  <c r="Z311" i="1"/>
  <c r="BN311" i="1"/>
  <c r="BP324" i="1"/>
  <c r="BN324" i="1"/>
  <c r="Z324" i="1"/>
  <c r="Y348" i="1"/>
  <c r="BP344" i="1"/>
  <c r="BN344" i="1"/>
  <c r="Z344" i="1"/>
  <c r="BP369" i="1"/>
  <c r="BN369" i="1"/>
  <c r="Z369" i="1"/>
  <c r="BP379" i="1"/>
  <c r="BN379" i="1"/>
  <c r="Z379" i="1"/>
  <c r="BP389" i="1"/>
  <c r="BN389" i="1"/>
  <c r="Z389" i="1"/>
  <c r="Y411" i="1"/>
  <c r="BP407" i="1"/>
  <c r="BN407" i="1"/>
  <c r="Z407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U572" i="1"/>
  <c r="Y391" i="1"/>
  <c r="Y478" i="1"/>
  <c r="Y477" i="1"/>
  <c r="Y555" i="1"/>
  <c r="AC572" i="1"/>
  <c r="BP174" i="1"/>
  <c r="BN174" i="1"/>
  <c r="Z174" i="1"/>
  <c r="BP178" i="1"/>
  <c r="BN178" i="1"/>
  <c r="Z178" i="1"/>
  <c r="BP200" i="1"/>
  <c r="BN200" i="1"/>
  <c r="Z200" i="1"/>
  <c r="BP204" i="1"/>
  <c r="BN204" i="1"/>
  <c r="Z204" i="1"/>
  <c r="Y228" i="1"/>
  <c r="BP217" i="1"/>
  <c r="BN217" i="1"/>
  <c r="Z217" i="1"/>
  <c r="BP221" i="1"/>
  <c r="BN221" i="1"/>
  <c r="Z221" i="1"/>
  <c r="BP225" i="1"/>
  <c r="BN225" i="1"/>
  <c r="Z225" i="1"/>
  <c r="Y236" i="1"/>
  <c r="BP233" i="1"/>
  <c r="BN233" i="1"/>
  <c r="Z233" i="1"/>
  <c r="Y242" i="1"/>
  <c r="BP250" i="1"/>
  <c r="BN250" i="1"/>
  <c r="Z250" i="1"/>
  <c r="BP261" i="1"/>
  <c r="BN261" i="1"/>
  <c r="Z261" i="1"/>
  <c r="BP265" i="1"/>
  <c r="BN265" i="1"/>
  <c r="Z265" i="1"/>
  <c r="BP321" i="1"/>
  <c r="BN321" i="1"/>
  <c r="Z321" i="1"/>
  <c r="BP325" i="1"/>
  <c r="BN325" i="1"/>
  <c r="Z325" i="1"/>
  <c r="Y327" i="1"/>
  <c r="Y333" i="1"/>
  <c r="BP330" i="1"/>
  <c r="BN330" i="1"/>
  <c r="Z330" i="1"/>
  <c r="Y334" i="1"/>
  <c r="BP339" i="1"/>
  <c r="BN339" i="1"/>
  <c r="Z339" i="1"/>
  <c r="BP370" i="1"/>
  <c r="BN370" i="1"/>
  <c r="Z370" i="1"/>
  <c r="Y374" i="1"/>
  <c r="BP378" i="1"/>
  <c r="BN378" i="1"/>
  <c r="Z378" i="1"/>
  <c r="Y384" i="1"/>
  <c r="BP382" i="1"/>
  <c r="BN382" i="1"/>
  <c r="Z382" i="1"/>
  <c r="BP414" i="1"/>
  <c r="BN414" i="1"/>
  <c r="Z414" i="1"/>
  <c r="Z416" i="1" s="1"/>
  <c r="Y416" i="1"/>
  <c r="BP460" i="1"/>
  <c r="BN460" i="1"/>
  <c r="Z460" i="1"/>
  <c r="Z461" i="1" s="1"/>
  <c r="Y462" i="1"/>
  <c r="Y468" i="1"/>
  <c r="BP465" i="1"/>
  <c r="BN465" i="1"/>
  <c r="Z465" i="1"/>
  <c r="Z467" i="1" s="1"/>
  <c r="Y467" i="1"/>
  <c r="Y572" i="1"/>
  <c r="Q572" i="1"/>
  <c r="H9" i="1"/>
  <c r="A10" i="1"/>
  <c r="Y28" i="1"/>
  <c r="Y32" i="1"/>
  <c r="Y42" i="1"/>
  <c r="Y52" i="1"/>
  <c r="Y63" i="1"/>
  <c r="Y71" i="1"/>
  <c r="Y75" i="1"/>
  <c r="Y81" i="1"/>
  <c r="Y92" i="1"/>
  <c r="Y98" i="1"/>
  <c r="Y109" i="1"/>
  <c r="Y115" i="1"/>
  <c r="Y123" i="1"/>
  <c r="Y127" i="1"/>
  <c r="Y132" i="1"/>
  <c r="Y138" i="1"/>
  <c r="Y142" i="1"/>
  <c r="BP147" i="1"/>
  <c r="BN147" i="1"/>
  <c r="BP149" i="1"/>
  <c r="BN149" i="1"/>
  <c r="Z149" i="1"/>
  <c r="Y151" i="1"/>
  <c r="Y154" i="1"/>
  <c r="BP153" i="1"/>
  <c r="BN153" i="1"/>
  <c r="Z153" i="1"/>
  <c r="Z154" i="1" s="1"/>
  <c r="Y155" i="1"/>
  <c r="J572" i="1"/>
  <c r="Y163" i="1"/>
  <c r="BP158" i="1"/>
  <c r="BN158" i="1"/>
  <c r="Z158" i="1"/>
  <c r="Y162" i="1"/>
  <c r="BP166" i="1"/>
  <c r="BN166" i="1"/>
  <c r="Z166" i="1"/>
  <c r="Z167" i="1" s="1"/>
  <c r="Y168" i="1"/>
  <c r="Y181" i="1"/>
  <c r="BP170" i="1"/>
  <c r="BN170" i="1"/>
  <c r="Z170" i="1"/>
  <c r="F9" i="1"/>
  <c r="J9" i="1"/>
  <c r="Z22" i="1"/>
  <c r="BN22" i="1"/>
  <c r="BP22" i="1"/>
  <c r="Z24" i="1"/>
  <c r="BN24" i="1"/>
  <c r="Z26" i="1"/>
  <c r="BN26" i="1"/>
  <c r="Y27" i="1"/>
  <c r="X562" i="1"/>
  <c r="Z30" i="1"/>
  <c r="Z32" i="1" s="1"/>
  <c r="BN30" i="1"/>
  <c r="BP30" i="1"/>
  <c r="C572" i="1"/>
  <c r="Z38" i="1"/>
  <c r="Z42" i="1" s="1"/>
  <c r="BN38" i="1"/>
  <c r="Z40" i="1"/>
  <c r="BN40" i="1"/>
  <c r="Y43" i="1"/>
  <c r="D572" i="1"/>
  <c r="Z48" i="1"/>
  <c r="BN48" i="1"/>
  <c r="Z50" i="1"/>
  <c r="BN50" i="1"/>
  <c r="Y51" i="1"/>
  <c r="Z55" i="1"/>
  <c r="Z63" i="1" s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BN79" i="1"/>
  <c r="F572" i="1"/>
  <c r="Z86" i="1"/>
  <c r="BN86" i="1"/>
  <c r="Z88" i="1"/>
  <c r="BN88" i="1"/>
  <c r="Z90" i="1"/>
  <c r="BN90" i="1"/>
  <c r="Y91" i="1"/>
  <c r="Z94" i="1"/>
  <c r="BN94" i="1"/>
  <c r="BP94" i="1"/>
  <c r="Z96" i="1"/>
  <c r="BN96" i="1"/>
  <c r="G572" i="1"/>
  <c r="Z103" i="1"/>
  <c r="BN103" i="1"/>
  <c r="Z105" i="1"/>
  <c r="BN105" i="1"/>
  <c r="Z107" i="1"/>
  <c r="BN107" i="1"/>
  <c r="Y110" i="1"/>
  <c r="Z113" i="1"/>
  <c r="Z115" i="1" s="1"/>
  <c r="BN113" i="1"/>
  <c r="Z119" i="1"/>
  <c r="BN119" i="1"/>
  <c r="Z121" i="1"/>
  <c r="BN121" i="1"/>
  <c r="Z125" i="1"/>
  <c r="Z126" i="1" s="1"/>
  <c r="BN125" i="1"/>
  <c r="BP125" i="1"/>
  <c r="Z130" i="1"/>
  <c r="Z132" i="1" s="1"/>
  <c r="BN130" i="1"/>
  <c r="BP130" i="1"/>
  <c r="Y133" i="1"/>
  <c r="Z136" i="1"/>
  <c r="Z137" i="1" s="1"/>
  <c r="BN136" i="1"/>
  <c r="Z140" i="1"/>
  <c r="Z142" i="1" s="1"/>
  <c r="BN140" i="1"/>
  <c r="BP140" i="1"/>
  <c r="I572" i="1"/>
  <c r="Y150" i="1"/>
  <c r="Z147" i="1"/>
  <c r="Z150" i="1" s="1"/>
  <c r="BP160" i="1"/>
  <c r="BN160" i="1"/>
  <c r="Z160" i="1"/>
  <c r="Y167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6" i="1" s="1"/>
  <c r="BP202" i="1"/>
  <c r="BN202" i="1"/>
  <c r="Z202" i="1"/>
  <c r="Y206" i="1"/>
  <c r="BP215" i="1"/>
  <c r="BN215" i="1"/>
  <c r="Z215" i="1"/>
  <c r="BP219" i="1"/>
  <c r="BN219" i="1"/>
  <c r="Z219" i="1"/>
  <c r="BP223" i="1"/>
  <c r="BN223" i="1"/>
  <c r="Z223" i="1"/>
  <c r="Y227" i="1"/>
  <c r="BP231" i="1"/>
  <c r="BN231" i="1"/>
  <c r="Z231" i="1"/>
  <c r="Y235" i="1"/>
  <c r="BP239" i="1"/>
  <c r="BN239" i="1"/>
  <c r="Z239" i="1"/>
  <c r="Z241" i="1" s="1"/>
  <c r="BP251" i="1"/>
  <c r="BN251" i="1"/>
  <c r="Z251" i="1"/>
  <c r="Y253" i="1"/>
  <c r="Y258" i="1"/>
  <c r="BP255" i="1"/>
  <c r="BN255" i="1"/>
  <c r="Z255" i="1"/>
  <c r="Z257" i="1" s="1"/>
  <c r="BP263" i="1"/>
  <c r="BN263" i="1"/>
  <c r="Z263" i="1"/>
  <c r="BP267" i="1"/>
  <c r="BN267" i="1"/>
  <c r="Z267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Y289" i="1"/>
  <c r="O572" i="1"/>
  <c r="Y299" i="1"/>
  <c r="BP292" i="1"/>
  <c r="BN292" i="1"/>
  <c r="Z292" i="1"/>
  <c r="Y300" i="1"/>
  <c r="BP296" i="1"/>
  <c r="BN296" i="1"/>
  <c r="Z296" i="1"/>
  <c r="BP312" i="1"/>
  <c r="BN312" i="1"/>
  <c r="Z312" i="1"/>
  <c r="BP361" i="1"/>
  <c r="BN361" i="1"/>
  <c r="Z361" i="1"/>
  <c r="Y363" i="1"/>
  <c r="BP390" i="1"/>
  <c r="BN390" i="1"/>
  <c r="Z390" i="1"/>
  <c r="Y392" i="1"/>
  <c r="Y397" i="1"/>
  <c r="BP394" i="1"/>
  <c r="BN394" i="1"/>
  <c r="Z394" i="1"/>
  <c r="Y398" i="1"/>
  <c r="BP402" i="1"/>
  <c r="BN402" i="1"/>
  <c r="Z402" i="1"/>
  <c r="K572" i="1"/>
  <c r="Y207" i="1"/>
  <c r="L572" i="1"/>
  <c r="Y212" i="1"/>
  <c r="M572" i="1"/>
  <c r="Y252" i="1"/>
  <c r="Y268" i="1"/>
  <c r="BP273" i="1"/>
  <c r="BN273" i="1"/>
  <c r="Z273" i="1"/>
  <c r="BP277" i="1"/>
  <c r="BN277" i="1"/>
  <c r="Z277" i="1"/>
  <c r="BP281" i="1"/>
  <c r="BN281" i="1"/>
  <c r="Z281" i="1"/>
  <c r="Y288" i="1"/>
  <c r="BP294" i="1"/>
  <c r="BN294" i="1"/>
  <c r="Z294" i="1"/>
  <c r="BP298" i="1"/>
  <c r="BN298" i="1"/>
  <c r="Z298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Y314" i="1"/>
  <c r="BP319" i="1"/>
  <c r="BN319" i="1"/>
  <c r="Z319" i="1"/>
  <c r="BP323" i="1"/>
  <c r="BN323" i="1"/>
  <c r="Z323" i="1"/>
  <c r="BP332" i="1"/>
  <c r="BN332" i="1"/>
  <c r="Z332" i="1"/>
  <c r="R572" i="1"/>
  <c r="Y342" i="1"/>
  <c r="BP337" i="1"/>
  <c r="BN337" i="1"/>
  <c r="Z337" i="1"/>
  <c r="Z341" i="1" s="1"/>
  <c r="Y341" i="1"/>
  <c r="Z347" i="1"/>
  <c r="BP345" i="1"/>
  <c r="BN345" i="1"/>
  <c r="Z345" i="1"/>
  <c r="BP368" i="1"/>
  <c r="BN368" i="1"/>
  <c r="Z368" i="1"/>
  <c r="BP372" i="1"/>
  <c r="BN372" i="1"/>
  <c r="Z372" i="1"/>
  <c r="Y385" i="1"/>
  <c r="BP380" i="1"/>
  <c r="BN380" i="1"/>
  <c r="Z380" i="1"/>
  <c r="BP388" i="1"/>
  <c r="BN388" i="1"/>
  <c r="Z388" i="1"/>
  <c r="BP396" i="1"/>
  <c r="BN396" i="1"/>
  <c r="Z396" i="1"/>
  <c r="Y405" i="1"/>
  <c r="BP400" i="1"/>
  <c r="BN400" i="1"/>
  <c r="Z400" i="1"/>
  <c r="Y404" i="1"/>
  <c r="BP408" i="1"/>
  <c r="BN408" i="1"/>
  <c r="Z408" i="1"/>
  <c r="Z410" i="1" s="1"/>
  <c r="Y417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Z450" i="1" s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Z456" i="1"/>
  <c r="BP454" i="1"/>
  <c r="BN454" i="1"/>
  <c r="Z454" i="1"/>
  <c r="Y461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Y533" i="1"/>
  <c r="BP528" i="1"/>
  <c r="BN528" i="1"/>
  <c r="Z528" i="1"/>
  <c r="Z532" i="1" s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27" i="1" l="1"/>
  <c r="Z162" i="1"/>
  <c r="Z516" i="1"/>
  <c r="Z288" i="1"/>
  <c r="Z235" i="1"/>
  <c r="Z488" i="1"/>
  <c r="Z122" i="1"/>
  <c r="Z91" i="1"/>
  <c r="Z70" i="1"/>
  <c r="Z522" i="1"/>
  <c r="Z477" i="1"/>
  <c r="Z404" i="1"/>
  <c r="Z384" i="1"/>
  <c r="Z374" i="1"/>
  <c r="Z363" i="1"/>
  <c r="Z227" i="1"/>
  <c r="Z109" i="1"/>
  <c r="Z81" i="1"/>
  <c r="Z51" i="1"/>
  <c r="Z252" i="1"/>
  <c r="Z206" i="1"/>
  <c r="Z444" i="1"/>
  <c r="Y564" i="1"/>
  <c r="Y562" i="1"/>
  <c r="Z424" i="1"/>
  <c r="Z503" i="1"/>
  <c r="Z391" i="1"/>
  <c r="Z326" i="1"/>
  <c r="Z314" i="1"/>
  <c r="Z397" i="1"/>
  <c r="Z299" i="1"/>
  <c r="Z283" i="1"/>
  <c r="Z98" i="1"/>
  <c r="Y566" i="1"/>
  <c r="Y563" i="1"/>
  <c r="Z181" i="1"/>
  <c r="Z333" i="1"/>
  <c r="Z268" i="1"/>
  <c r="Z567" i="1" l="1"/>
  <c r="Y565" i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<sst xmlns="http://schemas.openxmlformats.org/spreadsheetml/2006/main" count="2533" uniqueCount="915">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</sst>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46328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888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4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0.5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1121</v>
      </c>
      <c r="Y47" s="636">
        <f>IFERROR(IF(X47="",0,CEILING((X47/$H47),1)*$H47),"")</f>
        <v>1123.2</v>
      </c>
      <c r="Z47" s="36">
        <f>IFERROR(IF(Y47=0,"",ROUNDUP(Y47/H47,0)*0.01898),"")</f>
        <v>1.9739200000000001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1163.5564814814816</v>
      </c>
      <c r="BN47" s="64">
        <f>IFERROR(Y47*I47/H47,"0")</f>
        <v>1165.8400000000001</v>
      </c>
      <c r="BO47" s="64">
        <f>IFERROR(1/J47*(X47/H47),"0")</f>
        <v>1.6218171296296295</v>
      </c>
      <c r="BP47" s="64">
        <f>IFERROR(1/J47*(Y47/H47),"0")</f>
        <v>1.625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73</v>
      </c>
      <c r="Y50" s="636">
        <f>IFERROR(IF(X50="",0,CEILING((X50/$H50),1)*$H50),"")</f>
        <v>74</v>
      </c>
      <c r="Z50" s="36">
        <f>IFERROR(IF(Y50=0,"",ROUNDUP(Y50/H50,0)*0.00902),"")</f>
        <v>0.1804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76.748648648648654</v>
      </c>
      <c r="BN50" s="64">
        <f>IFERROR(Y50*I50/H50,"0")</f>
        <v>77.8</v>
      </c>
      <c r="BO50" s="64">
        <f>IFERROR(1/J50*(X50/H50),"0")</f>
        <v>0.14946764946764948</v>
      </c>
      <c r="BP50" s="64">
        <f>IFERROR(1/J50*(Y50/H50),"0")</f>
        <v>0.15151515151515152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123.52602602602602</v>
      </c>
      <c r="Y51" s="637">
        <f>IFERROR(Y47/H47,"0")+IFERROR(Y48/H48,"0")+IFERROR(Y49/H49,"0")+IFERROR(Y50/H50,"0")</f>
        <v>124</v>
      </c>
      <c r="Z51" s="637">
        <f>IFERROR(IF(Z47="",0,Z47),"0")+IFERROR(IF(Z48="",0,Z48),"0")+IFERROR(IF(Z49="",0,Z49),"0")+IFERROR(IF(Z50="",0,Z50),"0")</f>
        <v>2.1543200000000002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1194</v>
      </c>
      <c r="Y52" s="637">
        <f>IFERROR(SUM(Y47:Y50),"0")</f>
        <v>1197.2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197</v>
      </c>
      <c r="Y55" s="636">
        <f t="shared" ref="Y55:Y62" si="0">IFERROR(IF(X55="",0,CEILING((X55/$H55),1)*$H55),"")</f>
        <v>201.6</v>
      </c>
      <c r="Z55" s="36">
        <f>IFERROR(IF(Y55=0,"",ROUNDUP(Y55/H55,0)*0.01898),"")</f>
        <v>0.34164</v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204.21160714285716</v>
      </c>
      <c r="BN55" s="64">
        <f t="shared" ref="BN55:BN62" si="2">IFERROR(Y55*I55/H55,"0")</f>
        <v>208.98000000000002</v>
      </c>
      <c r="BO55" s="64">
        <f t="shared" ref="BO55:BO62" si="3">IFERROR(1/J55*(X55/H55),"0")</f>
        <v>0.2748325892857143</v>
      </c>
      <c r="BP55" s="64">
        <f t="shared" ref="BP55:BP62" si="4">IFERROR(1/J55*(Y55/H55),"0")</f>
        <v>0.28125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20</v>
      </c>
      <c r="Y59" s="636">
        <f t="shared" si="0"/>
        <v>20</v>
      </c>
      <c r="Z59" s="36">
        <f>IFERROR(IF(Y59=0,"",ROUNDUP(Y59/H59,0)*0.00902),"")</f>
        <v>4.5100000000000001E-2</v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20.950000000000003</v>
      </c>
      <c r="BN59" s="64">
        <f t="shared" si="2"/>
        <v>20.950000000000003</v>
      </c>
      <c r="BO59" s="64">
        <f t="shared" si="3"/>
        <v>3.787878787878788E-2</v>
      </c>
      <c r="BP59" s="64">
        <f t="shared" si="4"/>
        <v>3.787878787878788E-2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23</v>
      </c>
      <c r="Y62" s="636">
        <f t="shared" si="0"/>
        <v>27</v>
      </c>
      <c r="Z62" s="36">
        <f>IFERROR(IF(Y62=0,"",ROUNDUP(Y62/H62,0)*0.00902),"")</f>
        <v>5.4120000000000001E-2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23.971111111111114</v>
      </c>
      <c r="BN62" s="64">
        <f t="shared" si="2"/>
        <v>28.14</v>
      </c>
      <c r="BO62" s="64">
        <f t="shared" si="3"/>
        <v>3.8720538720538718E-2</v>
      </c>
      <c r="BP62" s="64">
        <f t="shared" si="4"/>
        <v>4.5454545454545456E-2</v>
      </c>
    </row>
    <row r="63" spans="1:68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27.700396825396826</v>
      </c>
      <c r="Y63" s="637">
        <f>IFERROR(Y55/H55,"0")+IFERROR(Y56/H56,"0")+IFERROR(Y57/H57,"0")+IFERROR(Y58/H58,"0")+IFERROR(Y59/H59,"0")+IFERROR(Y60/H60,"0")+IFERROR(Y61/H61,"0")+IFERROR(Y62/H62,"0")</f>
        <v>29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0.44085999999999997</v>
      </c>
      <c r="AA63" s="638"/>
      <c r="AB63" s="638"/>
      <c r="AC63" s="638"/>
    </row>
    <row r="64" spans="1:68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240</v>
      </c>
      <c r="Y64" s="637">
        <f>IFERROR(SUM(Y55:Y62),"0")</f>
        <v>248.6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227</v>
      </c>
      <c r="Y66" s="636">
        <f>IFERROR(IF(X66="",0,CEILING((X66/$H66),1)*$H66),"")</f>
        <v>237.60000000000002</v>
      </c>
      <c r="Z66" s="36">
        <f>IFERROR(IF(Y66=0,"",ROUNDUP(Y66/H66,0)*0.01898),"")</f>
        <v>0.41755999999999999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235.61759259259259</v>
      </c>
      <c r="BN66" s="64">
        <f>IFERROR(Y66*I66/H66,"0")</f>
        <v>246.62000000000003</v>
      </c>
      <c r="BO66" s="64">
        <f>IFERROR(1/J66*(X66/H66),"0")</f>
        <v>0.3284143518518518</v>
      </c>
      <c r="BP66" s="64">
        <f>IFERROR(1/J66*(Y66/H66),"0")</f>
        <v>0.34375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21.018518518518515</v>
      </c>
      <c r="Y70" s="637">
        <f>IFERROR(Y66/H66,"0")+IFERROR(Y67/H67,"0")+IFERROR(Y68/H68,"0")+IFERROR(Y69/H69,"0")</f>
        <v>22</v>
      </c>
      <c r="Z70" s="637">
        <f>IFERROR(IF(Z66="",0,Z66),"0")+IFERROR(IF(Z67="",0,Z67),"0")+IFERROR(IF(Z68="",0,Z68),"0")+IFERROR(IF(Z69="",0,Z69),"0")</f>
        <v>0.41755999999999999</v>
      </c>
      <c r="AA70" s="638"/>
      <c r="AB70" s="638"/>
      <c r="AC70" s="638"/>
    </row>
    <row r="71" spans="1:68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227</v>
      </c>
      <c r="Y71" s="637">
        <f>IFERROR(SUM(Y66:Y69),"0")</f>
        <v>237.60000000000002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243</v>
      </c>
      <c r="Y85" s="636">
        <f t="shared" ref="Y85:Y90" si="5"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252.22499999999999</v>
      </c>
      <c r="BN85" s="64">
        <f t="shared" ref="BN85:BN90" si="7">IFERROR(Y85*I85/H85,"0")</f>
        <v>257.83</v>
      </c>
      <c r="BO85" s="64">
        <f t="shared" ref="BO85:BO90" si="8">IFERROR(1/J85*(X85/H85),"0")</f>
        <v>0.3515625</v>
      </c>
      <c r="BP85" s="64">
        <f t="shared" ref="BP85:BP90" si="9">IFERROR(1/J85*(Y85/H85),"0")</f>
        <v>0.359375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110</v>
      </c>
      <c r="Y90" s="636">
        <f t="shared" si="5"/>
        <v>112.5</v>
      </c>
      <c r="Z90" s="36">
        <f>IFERROR(IF(Y90=0,"",ROUNDUP(Y90/H90,0)*0.00902),"")</f>
        <v>0.22550000000000001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114.64444444444446</v>
      </c>
      <c r="BN90" s="64">
        <f t="shared" si="7"/>
        <v>117.25</v>
      </c>
      <c r="BO90" s="64">
        <f t="shared" si="8"/>
        <v>0.18518518518518517</v>
      </c>
      <c r="BP90" s="64">
        <f t="shared" si="9"/>
        <v>0.18939393939393939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46.944444444444443</v>
      </c>
      <c r="Y91" s="637">
        <f>IFERROR(Y85/H85,"0")+IFERROR(Y86/H86,"0")+IFERROR(Y87/H87,"0")+IFERROR(Y88/H88,"0")+IFERROR(Y89/H89,"0")+IFERROR(Y90/H90,"0")</f>
        <v>48</v>
      </c>
      <c r="Z91" s="637">
        <f>IFERROR(IF(Z85="",0,Z85),"0")+IFERROR(IF(Z86="",0,Z86),"0")+IFERROR(IF(Z87="",0,Z87),"0")+IFERROR(IF(Z88="",0,Z88),"0")+IFERROR(IF(Z89="",0,Z89),"0")+IFERROR(IF(Z90="",0,Z90),"0")</f>
        <v>0.66203999999999996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353</v>
      </c>
      <c r="Y92" s="637">
        <f>IFERROR(SUM(Y85:Y90),"0")</f>
        <v>360.9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307</v>
      </c>
      <c r="Y94" s="636">
        <f>IFERROR(IF(X94="",0,CEILING((X94/$H94),1)*$H94),"")</f>
        <v>307.8</v>
      </c>
      <c r="Z94" s="36">
        <f>IFERROR(IF(Y94=0,"",ROUNDUP(Y94/H94,0)*0.01898),"")</f>
        <v>0.72123999999999999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325.72320987654319</v>
      </c>
      <c r="BN94" s="64">
        <f>IFERROR(Y94*I94/H94,"0")</f>
        <v>326.572</v>
      </c>
      <c r="BO94" s="64">
        <f>IFERROR(1/J94*(X94/H94),"0")</f>
        <v>0.59220679012345678</v>
      </c>
      <c r="BP94" s="64">
        <f>IFERROR(1/J94*(Y94/H94),"0")</f>
        <v>0.59375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39</v>
      </c>
      <c r="Y96" s="636">
        <f>IFERROR(IF(X96="",0,CEILING((X96/$H96),1)*$H96),"")</f>
        <v>40.5</v>
      </c>
      <c r="Z96" s="36">
        <f>IFERROR(IF(Y96=0,"",ROUNDUP(Y96/H96,0)*0.00651),"")</f>
        <v>9.7650000000000001E-2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42.64</v>
      </c>
      <c r="BN96" s="64">
        <f>IFERROR(Y96*I96/H96,"0")</f>
        <v>44.279999999999994</v>
      </c>
      <c r="BO96" s="64">
        <f>IFERROR(1/J96*(X96/H96),"0")</f>
        <v>7.9365079365079361E-2</v>
      </c>
      <c r="BP96" s="64">
        <f>IFERROR(1/J96*(Y96/H96),"0")</f>
        <v>8.2417582417582416E-2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52.345679012345677</v>
      </c>
      <c r="Y98" s="637">
        <f>IFERROR(Y94/H94,"0")+IFERROR(Y95/H95,"0")+IFERROR(Y96/H96,"0")+IFERROR(Y97/H97,"0")</f>
        <v>53</v>
      </c>
      <c r="Z98" s="637">
        <f>IFERROR(IF(Z94="",0,Z94),"0")+IFERROR(IF(Z95="",0,Z95),"0")+IFERROR(IF(Z96="",0,Z96),"0")+IFERROR(IF(Z97="",0,Z97),"0")</f>
        <v>0.81889000000000001</v>
      </c>
      <c r="AA98" s="638"/>
      <c r="AB98" s="638"/>
      <c r="AC98" s="638"/>
    </row>
    <row r="99" spans="1:68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346</v>
      </c>
      <c r="Y99" s="637">
        <f>IFERROR(SUM(Y94:Y97),"0")</f>
        <v>348.3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369</v>
      </c>
      <c r="Y102" s="636">
        <f t="shared" ref="Y102:Y108" si="10">IFERROR(IF(X102="",0,CEILING((X102/$H102),1)*$H102),"")</f>
        <v>378</v>
      </c>
      <c r="Z102" s="36">
        <f>IFERROR(IF(Y102=0,"",ROUNDUP(Y102/H102,0)*0.01898),"")</f>
        <v>0.6643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383.00833333333338</v>
      </c>
      <c r="BN102" s="64">
        <f t="shared" ref="BN102:BN108" si="12">IFERROR(Y102*I102/H102,"0")</f>
        <v>392.34999999999997</v>
      </c>
      <c r="BO102" s="64">
        <f t="shared" ref="BO102:BO108" si="13">IFERROR(1/J102*(X102/H102),"0")</f>
        <v>0.53385416666666663</v>
      </c>
      <c r="BP102" s="64">
        <f t="shared" ref="BP102:BP108" si="14">IFERROR(1/J102*(Y102/H102),"0")</f>
        <v>0.546875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103</v>
      </c>
      <c r="Y106" s="636">
        <f t="shared" si="10"/>
        <v>103.5</v>
      </c>
      <c r="Z106" s="36">
        <f>IFERROR(IF(Y106=0,"",ROUNDUP(Y106/H106,0)*0.00902),"")</f>
        <v>0.20746000000000001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107.34888888888889</v>
      </c>
      <c r="BN106" s="64">
        <f t="shared" si="12"/>
        <v>107.87</v>
      </c>
      <c r="BO106" s="64">
        <f t="shared" si="13"/>
        <v>0.17340067340067342</v>
      </c>
      <c r="BP106" s="64">
        <f t="shared" si="14"/>
        <v>0.17424242424242425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57.055555555555557</v>
      </c>
      <c r="Y109" s="637">
        <f>IFERROR(Y102/H102,"0")+IFERROR(Y103/H103,"0")+IFERROR(Y104/H104,"0")+IFERROR(Y105/H105,"0")+IFERROR(Y106/H106,"0")+IFERROR(Y107/H107,"0")+IFERROR(Y108/H108,"0")</f>
        <v>58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0.87175999999999998</v>
      </c>
      <c r="AA109" s="638"/>
      <c r="AB109" s="638"/>
      <c r="AC109" s="638"/>
    </row>
    <row r="110" spans="1:68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472</v>
      </c>
      <c r="Y110" s="637">
        <f>IFERROR(SUM(Y102:Y108),"0")</f>
        <v>481.5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25</v>
      </c>
      <c r="Y112" s="636">
        <f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25.949074074074073</v>
      </c>
      <c r="BN112" s="64">
        <f>IFERROR(Y112*I112/H112,"0")</f>
        <v>33.630000000000003</v>
      </c>
      <c r="BO112" s="64">
        <f>IFERROR(1/J112*(X112/H112),"0")</f>
        <v>3.6168981481481483E-2</v>
      </c>
      <c r="BP112" s="64">
        <f>IFERROR(1/J112*(Y112/H112),"0")</f>
        <v>4.6875000000000007E-2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45</v>
      </c>
      <c r="Y114" s="636">
        <f>IFERROR(IF(X114="",0,CEILING((X114/$H114),1)*$H114),"")</f>
        <v>45.6</v>
      </c>
      <c r="Z114" s="36">
        <f>IFERROR(IF(Y114=0,"",ROUNDUP(Y114/H114,0)*0.00651),"")</f>
        <v>0.12369000000000001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48.375000000000007</v>
      </c>
      <c r="BN114" s="64">
        <f>IFERROR(Y114*I114/H114,"0")</f>
        <v>49.02</v>
      </c>
      <c r="BO114" s="64">
        <f>IFERROR(1/J114*(X114/H114),"0")</f>
        <v>0.10302197802197803</v>
      </c>
      <c r="BP114" s="64">
        <f>IFERROR(1/J114*(Y114/H114),"0")</f>
        <v>0.1043956043956044</v>
      </c>
    </row>
    <row r="115" spans="1:68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21.064814814814817</v>
      </c>
      <c r="Y115" s="637">
        <f>IFERROR(Y112/H112,"0")+IFERROR(Y113/H113,"0")+IFERROR(Y114/H114,"0")</f>
        <v>22</v>
      </c>
      <c r="Z115" s="637">
        <f>IFERROR(IF(Z112="",0,Z112),"0")+IFERROR(IF(Z113="",0,Z113),"0")+IFERROR(IF(Z114="",0,Z114),"0")</f>
        <v>0.18063000000000001</v>
      </c>
      <c r="AA115" s="638"/>
      <c r="AB115" s="638"/>
      <c r="AC115" s="638"/>
    </row>
    <row r="116" spans="1:68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70</v>
      </c>
      <c r="Y116" s="637">
        <f>IFERROR(SUM(Y112:Y114),"0")</f>
        <v>78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435</v>
      </c>
      <c r="Y118" s="636">
        <f>IFERROR(IF(X118="",0,CEILING((X118/$H118),1)*$H118),"")</f>
        <v>437.4</v>
      </c>
      <c r="Z118" s="36">
        <f>IFERROR(IF(Y118=0,"",ROUNDUP(Y118/H118,0)*0.01898),"")</f>
        <v>1.0249200000000001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461.2074074074074</v>
      </c>
      <c r="BN118" s="64">
        <f>IFERROR(Y118*I118/H118,"0")</f>
        <v>463.75199999999995</v>
      </c>
      <c r="BO118" s="64">
        <f>IFERROR(1/J118*(X118/H118),"0")</f>
        <v>0.83912037037037046</v>
      </c>
      <c r="BP118" s="64">
        <f>IFERROR(1/J118*(Y118/H118),"0")</f>
        <v>0.84375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121</v>
      </c>
      <c r="Y120" s="636">
        <f>IFERROR(IF(X120="",0,CEILING((X120/$H120),1)*$H120),"")</f>
        <v>121.50000000000001</v>
      </c>
      <c r="Z120" s="36">
        <f>IFERROR(IF(Y120=0,"",ROUNDUP(Y120/H120,0)*0.00651),"")</f>
        <v>0.29294999999999999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132.29333333333332</v>
      </c>
      <c r="BN120" s="64">
        <f>IFERROR(Y120*I120/H120,"0")</f>
        <v>132.84</v>
      </c>
      <c r="BO120" s="64">
        <f>IFERROR(1/J120*(X120/H120),"0")</f>
        <v>0.24623524623524623</v>
      </c>
      <c r="BP120" s="64">
        <f>IFERROR(1/J120*(Y120/H120),"0")</f>
        <v>0.24725274725274726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98.518518518518519</v>
      </c>
      <c r="Y122" s="637">
        <f>IFERROR(Y118/H118,"0")+IFERROR(Y119/H119,"0")+IFERROR(Y120/H120,"0")+IFERROR(Y121/H121,"0")</f>
        <v>99</v>
      </c>
      <c r="Z122" s="637">
        <f>IFERROR(IF(Z118="",0,Z118),"0")+IFERROR(IF(Z119="",0,Z119),"0")+IFERROR(IF(Z120="",0,Z120),"0")+IFERROR(IF(Z121="",0,Z121),"0")</f>
        <v>1.3178700000000001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556</v>
      </c>
      <c r="Y123" s="637">
        <f>IFERROR(SUM(Y118:Y121),"0")</f>
        <v>558.9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21</v>
      </c>
      <c r="Y130" s="636">
        <f>IFERROR(IF(X130="",0,CEILING((X130/$H130),1)*$H130),"")</f>
        <v>22.400000000000002</v>
      </c>
      <c r="Z130" s="36">
        <f>IFERROR(IF(Y130=0,"",ROUNDUP(Y130/H130,0)*0.00651),"")</f>
        <v>4.5569999999999999E-2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22.181249999999999</v>
      </c>
      <c r="BN130" s="64">
        <f>IFERROR(Y130*I130/H130,"0")</f>
        <v>23.66</v>
      </c>
      <c r="BO130" s="64">
        <f>IFERROR(1/J130*(X130/H130),"0")</f>
        <v>3.6057692307692311E-2</v>
      </c>
      <c r="BP130" s="64">
        <f>IFERROR(1/J130*(Y130/H130),"0")</f>
        <v>3.8461538461538464E-2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6.5625</v>
      </c>
      <c r="Y132" s="637">
        <f>IFERROR(Y130/H130,"0")+IFERROR(Y131/H131,"0")</f>
        <v>7</v>
      </c>
      <c r="Z132" s="637">
        <f>IFERROR(IF(Z130="",0,Z130),"0")+IFERROR(IF(Z131="",0,Z131),"0")</f>
        <v>4.5569999999999999E-2</v>
      </c>
      <c r="AA132" s="638"/>
      <c r="AB132" s="638"/>
      <c r="AC132" s="638"/>
    </row>
    <row r="133" spans="1:68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21</v>
      </c>
      <c r="Y133" s="637">
        <f>IFERROR(SUM(Y130:Y131),"0")</f>
        <v>22.400000000000002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18</v>
      </c>
      <c r="Y135" s="636">
        <f>IFERROR(IF(X135="",0,CEILING((X135/$H135),1)*$H135),"")</f>
        <v>19.599999999999998</v>
      </c>
      <c r="Z135" s="36">
        <f>IFERROR(IF(Y135=0,"",ROUNDUP(Y135/H135,0)*0.00651),"")</f>
        <v>4.5569999999999999E-2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19.722857142857144</v>
      </c>
      <c r="BN135" s="64">
        <f>IFERROR(Y135*I135/H135,"0")</f>
        <v>21.475999999999999</v>
      </c>
      <c r="BO135" s="64">
        <f>IFERROR(1/J135*(X135/H135),"0")</f>
        <v>3.5321821036106753E-2</v>
      </c>
      <c r="BP135" s="64">
        <f>IFERROR(1/J135*(Y135/H135),"0")</f>
        <v>3.8461538461538464E-2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6.4285714285714288</v>
      </c>
      <c r="Y137" s="637">
        <f>IFERROR(Y135/H135,"0")+IFERROR(Y136/H136,"0")</f>
        <v>7</v>
      </c>
      <c r="Z137" s="637">
        <f>IFERROR(IF(Z135="",0,Z135),"0")+IFERROR(IF(Z136="",0,Z136),"0")</f>
        <v>4.5569999999999999E-2</v>
      </c>
      <c r="AA137" s="638"/>
      <c r="AB137" s="638"/>
      <c r="AC137" s="638"/>
    </row>
    <row r="138" spans="1:68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18</v>
      </c>
      <c r="Y138" s="637">
        <f>IFERROR(SUM(Y135:Y136),"0")</f>
        <v>19.599999999999998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51</v>
      </c>
      <c r="Y140" s="636">
        <f>IFERROR(IF(X140="",0,CEILING((X140/$H140),1)*$H140),"")</f>
        <v>52.800000000000004</v>
      </c>
      <c r="Z140" s="36">
        <f>IFERROR(IF(Y140=0,"",ROUNDUP(Y140/H140,0)*0.00651),"")</f>
        <v>0.13020000000000001</v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56.177272727272722</v>
      </c>
      <c r="BN140" s="64">
        <f>IFERROR(Y140*I140/H140,"0")</f>
        <v>58.160000000000004</v>
      </c>
      <c r="BO140" s="64">
        <f>IFERROR(1/J140*(X140/H140),"0")</f>
        <v>0.10614385614385614</v>
      </c>
      <c r="BP140" s="64">
        <f>IFERROR(1/J140*(Y140/H140),"0")</f>
        <v>0.1098901098901099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19.318181818181817</v>
      </c>
      <c r="Y142" s="637">
        <f>IFERROR(Y140/H140,"0")+IFERROR(Y141/H141,"0")</f>
        <v>20</v>
      </c>
      <c r="Z142" s="637">
        <f>IFERROR(IF(Z140="",0,Z140),"0")+IFERROR(IF(Z141="",0,Z141),"0")</f>
        <v>0.13020000000000001</v>
      </c>
      <c r="AA142" s="638"/>
      <c r="AB142" s="638"/>
      <c r="AC142" s="638"/>
    </row>
    <row r="143" spans="1:68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51</v>
      </c>
      <c r="Y143" s="637">
        <f>IFERROR(SUM(Y140:Y141),"0")</f>
        <v>52.800000000000004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195</v>
      </c>
      <c r="Y171" s="636">
        <f t="shared" si="15"/>
        <v>196</v>
      </c>
      <c r="Z171" s="36">
        <f>IFERROR(IF(Y171=0,"",ROUNDUP(Y171/H171,0)*0.00902),"")</f>
        <v>0.50512000000000001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205.58571428571426</v>
      </c>
      <c r="BN171" s="64">
        <f t="shared" si="17"/>
        <v>206.64000000000001</v>
      </c>
      <c r="BO171" s="64">
        <f t="shared" si="18"/>
        <v>0.42207792207792211</v>
      </c>
      <c r="BP171" s="64">
        <f t="shared" si="19"/>
        <v>0.42424242424242425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108</v>
      </c>
      <c r="Y173" s="636">
        <f t="shared" si="15"/>
        <v>108.5</v>
      </c>
      <c r="Z173" s="36">
        <f>IFERROR(IF(Y173=0,"",ROUNDUP(Y173/H173,0)*0.00902),"")</f>
        <v>0.27961999999999998</v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113.86285714285714</v>
      </c>
      <c r="BN173" s="64">
        <f t="shared" si="17"/>
        <v>114.39</v>
      </c>
      <c r="BO173" s="64">
        <f t="shared" si="18"/>
        <v>0.23376623376623379</v>
      </c>
      <c r="BP173" s="64">
        <f t="shared" si="19"/>
        <v>0.23484848484848486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324</v>
      </c>
      <c r="Y174" s="636">
        <f t="shared" si="15"/>
        <v>325.5</v>
      </c>
      <c r="Z174" s="36">
        <f>IFERROR(IF(Y174=0,"",ROUNDUP(Y174/H174,0)*0.00902),"")</f>
        <v>0.83886000000000005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341.58857142857141</v>
      </c>
      <c r="BN174" s="64">
        <f t="shared" si="17"/>
        <v>343.17</v>
      </c>
      <c r="BO174" s="64">
        <f t="shared" si="18"/>
        <v>0.70129870129870131</v>
      </c>
      <c r="BP174" s="64">
        <f t="shared" si="19"/>
        <v>0.70454545454545459</v>
      </c>
    </row>
    <row r="175" spans="1:68" ht="16.5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2</v>
      </c>
      <c r="Y175" s="636">
        <f t="shared" si="15"/>
        <v>2.7</v>
      </c>
      <c r="Z175" s="36">
        <f>IFERROR(IF(Y175=0,"",ROUNDUP(Y175/H175,0)*0.00726),"")</f>
        <v>2.1780000000000001E-2</v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2.4666666666666668</v>
      </c>
      <c r="BN175" s="64">
        <f t="shared" si="17"/>
        <v>3.33</v>
      </c>
      <c r="BO175" s="64">
        <f t="shared" si="18"/>
        <v>1.1574074074074073E-2</v>
      </c>
      <c r="BP175" s="64">
        <f t="shared" si="19"/>
        <v>1.5625E-2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70</v>
      </c>
      <c r="Y176" s="636">
        <f t="shared" si="15"/>
        <v>70.56</v>
      </c>
      <c r="Z176" s="36">
        <f>IFERROR(IF(Y176=0,"",ROUNDUP(Y176/H176,0)*0.00502),"")</f>
        <v>0.21084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74.166666666666671</v>
      </c>
      <c r="BN176" s="64">
        <f t="shared" si="17"/>
        <v>74.760000000000005</v>
      </c>
      <c r="BO176" s="64">
        <f t="shared" si="18"/>
        <v>0.17806267806267811</v>
      </c>
      <c r="BP176" s="64">
        <f t="shared" si="19"/>
        <v>0.17948717948717952</v>
      </c>
    </row>
    <row r="177" spans="1:68" ht="27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4</v>
      </c>
      <c r="Y177" s="636">
        <f t="shared" si="15"/>
        <v>4.5</v>
      </c>
      <c r="Z177" s="36">
        <f>IFERROR(IF(Y177=0,"",ROUNDUP(Y177/H177,0)*0.00417),"")</f>
        <v>2.085E-2</v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4.9333333333333336</v>
      </c>
      <c r="BN177" s="64">
        <f t="shared" si="17"/>
        <v>5.55</v>
      </c>
      <c r="BO177" s="64">
        <f t="shared" si="18"/>
        <v>1.4245014245014245E-2</v>
      </c>
      <c r="BP177" s="64">
        <f t="shared" si="19"/>
        <v>1.6025641025641024E-2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79</v>
      </c>
      <c r="Y180" s="636">
        <f t="shared" si="15"/>
        <v>80.64</v>
      </c>
      <c r="Z180" s="36">
        <f>IFERROR(IF(Y180=0,"",ROUNDUP(Y180/H180,0)*0.00502),"")</f>
        <v>0.24096000000000001</v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83.702380952380963</v>
      </c>
      <c r="BN180" s="64">
        <f t="shared" si="17"/>
        <v>85.44</v>
      </c>
      <c r="BO180" s="64">
        <f t="shared" si="18"/>
        <v>0.20095645095645098</v>
      </c>
      <c r="BP180" s="64">
        <f t="shared" si="19"/>
        <v>0.20512820512820515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274.5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278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2.1180300000000001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782</v>
      </c>
      <c r="Y182" s="637">
        <f>IFERROR(SUM(Y170:Y180),"0")</f>
        <v>788.4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16</v>
      </c>
      <c r="Y217" s="636">
        <f t="shared" si="26"/>
        <v>16</v>
      </c>
      <c r="Z217" s="36">
        <f>IFERROR(IF(Y217=0,"",ROUNDUP(Y217/H217,0)*0.00556),"")</f>
        <v>0.11119999999999999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18.600000000000001</v>
      </c>
      <c r="BN217" s="64">
        <f t="shared" si="28"/>
        <v>18.600000000000001</v>
      </c>
      <c r="BO217" s="64">
        <f t="shared" si="29"/>
        <v>8.5470085470085472E-2</v>
      </c>
      <c r="BP217" s="64">
        <f t="shared" si="30"/>
        <v>8.5470085470085472E-2</v>
      </c>
    </row>
    <row r="218" spans="1:68" ht="27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102</v>
      </c>
      <c r="Y218" s="636">
        <f t="shared" si="26"/>
        <v>102.9</v>
      </c>
      <c r="Z218" s="36">
        <f>IFERROR(IF(Y218=0,"",ROUNDUP(Y218/H218,0)*0.00502),"")</f>
        <v>0.24598</v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108.31428571428572</v>
      </c>
      <c r="BN218" s="64">
        <f t="shared" si="28"/>
        <v>109.27</v>
      </c>
      <c r="BO218" s="64">
        <f t="shared" si="29"/>
        <v>0.20757020757020758</v>
      </c>
      <c r="BP218" s="64">
        <f t="shared" si="30"/>
        <v>0.20940170940170943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50</v>
      </c>
      <c r="Y222" s="636">
        <f t="shared" si="26"/>
        <v>50.4</v>
      </c>
      <c r="Z222" s="36">
        <f>IFERROR(IF(Y222=0,"",ROUNDUP(Y222/H222,0)*0.00502),"")</f>
        <v>0.14056000000000002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53.611111111111107</v>
      </c>
      <c r="BN222" s="64">
        <f t="shared" si="28"/>
        <v>54.039999999999992</v>
      </c>
      <c r="BO222" s="64">
        <f t="shared" si="29"/>
        <v>0.11870845204178539</v>
      </c>
      <c r="BP222" s="64">
        <f t="shared" si="30"/>
        <v>0.11965811965811968</v>
      </c>
    </row>
    <row r="223" spans="1:68" ht="27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15</v>
      </c>
      <c r="Y223" s="636">
        <f t="shared" si="26"/>
        <v>15.200000000000001</v>
      </c>
      <c r="Z223" s="36">
        <f>IFERROR(IF(Y223=0,"",ROUNDUP(Y223/H223,0)*0.00417),"")</f>
        <v>7.9229999999999995E-2</v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18.9375</v>
      </c>
      <c r="BN223" s="64">
        <f t="shared" si="28"/>
        <v>19.190000000000001</v>
      </c>
      <c r="BO223" s="64">
        <f t="shared" si="29"/>
        <v>6.0096153846153841E-2</v>
      </c>
      <c r="BP223" s="64">
        <f t="shared" si="30"/>
        <v>6.0897435897435896E-2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252</v>
      </c>
      <c r="Y224" s="636">
        <f t="shared" si="26"/>
        <v>252</v>
      </c>
      <c r="Z224" s="36">
        <f>IFERROR(IF(Y224=0,"",ROUNDUP(Y224/H224,0)*0.00502),"")</f>
        <v>0.60240000000000005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264.00000000000006</v>
      </c>
      <c r="BN224" s="64">
        <f t="shared" si="28"/>
        <v>264.00000000000006</v>
      </c>
      <c r="BO224" s="64">
        <f t="shared" si="29"/>
        <v>0.51282051282051289</v>
      </c>
      <c r="BP224" s="64">
        <f t="shared" si="30"/>
        <v>0.51282051282051289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235.09920634920636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236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1.17937</v>
      </c>
      <c r="AA227" s="638"/>
      <c r="AB227" s="638"/>
      <c r="AC227" s="638"/>
    </row>
    <row r="228" spans="1:68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435</v>
      </c>
      <c r="Y228" s="637">
        <f>IFERROR(SUM(Y214:Y226),"0")</f>
        <v>436.5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7</v>
      </c>
      <c r="Y240" s="636">
        <f>IFERROR(IF(X240="",0,CEILING((X240/$H240),1)*$H240),"")</f>
        <v>7.5600000000000005</v>
      </c>
      <c r="Z240" s="36">
        <f>IFERROR(IF(Y240=0,"",ROUNDUP(Y240/H240,0)*0.0059),"")</f>
        <v>3.5400000000000001E-2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8.0555555555555554</v>
      </c>
      <c r="BN240" s="64">
        <f>IFERROR(Y240*I240/H240,"0")</f>
        <v>8.6999999999999993</v>
      </c>
      <c r="BO240" s="64">
        <f>IFERROR(1/J240*(X240/H240),"0")</f>
        <v>2.5720164609053495E-2</v>
      </c>
      <c r="BP240" s="64">
        <f>IFERROR(1/J240*(Y240/H240),"0")</f>
        <v>2.7777777777777776E-2</v>
      </c>
    </row>
    <row r="241" spans="1:68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5.5555555555555554</v>
      </c>
      <c r="Y241" s="637">
        <f>IFERROR(Y238/H238,"0")+IFERROR(Y239/H239,"0")+IFERROR(Y240/H240,"0")</f>
        <v>6</v>
      </c>
      <c r="Z241" s="637">
        <f>IFERROR(IF(Z238="",0,Z238),"0")+IFERROR(IF(Z239="",0,Z239),"0")+IFERROR(IF(Z240="",0,Z240),"0")</f>
        <v>3.5400000000000001E-2</v>
      </c>
      <c r="AA241" s="638"/>
      <c r="AB241" s="638"/>
      <c r="AC241" s="638"/>
    </row>
    <row r="242" spans="1:68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7</v>
      </c>
      <c r="Y242" s="637">
        <f>IFERROR(SUM(Y238:Y240),"0")</f>
        <v>7.5600000000000005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4</v>
      </c>
      <c r="Y244" s="63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3.1746031746031744</v>
      </c>
      <c r="Y245" s="637">
        <f>IFERROR(Y244/H244,"0")</f>
        <v>4</v>
      </c>
      <c r="Z245" s="637">
        <f>IFERROR(IF(Z244="",0,Z244),"0")</f>
        <v>2.3599999999999999E-2</v>
      </c>
      <c r="AA245" s="638"/>
      <c r="AB245" s="638"/>
      <c r="AC245" s="638"/>
    </row>
    <row r="246" spans="1:68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4</v>
      </c>
      <c r="Y246" s="637">
        <f>IFERROR(SUM(Y244:Y244),"0")</f>
        <v>5.04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86</v>
      </c>
      <c r="Y261" s="636">
        <f t="shared" si="31"/>
        <v>86.4</v>
      </c>
      <c r="Z261" s="36">
        <f>IFERROR(IF(Y261=0,"",ROUNDUP(Y261/H261,0)*0.00902),"")</f>
        <v>0.14432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89.025925925925918</v>
      </c>
      <c r="BN261" s="64">
        <f t="shared" si="33"/>
        <v>89.44</v>
      </c>
      <c r="BO261" s="64">
        <f t="shared" si="34"/>
        <v>0.12065095398428732</v>
      </c>
      <c r="BP261" s="64">
        <f t="shared" si="35"/>
        <v>0.12121212121212122</v>
      </c>
    </row>
    <row r="262" spans="1:68" ht="27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398</v>
      </c>
      <c r="Y262" s="636">
        <f t="shared" si="31"/>
        <v>399.6</v>
      </c>
      <c r="Z262" s="36">
        <f>IFERROR(IF(Y262=0,"",ROUNDUP(Y262/H262,0)*0.00902),"")</f>
        <v>0.66748000000000007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412.00370370370371</v>
      </c>
      <c r="BN262" s="64">
        <f t="shared" si="33"/>
        <v>413.65999999999997</v>
      </c>
      <c r="BO262" s="64">
        <f t="shared" si="34"/>
        <v>0.55836139169472498</v>
      </c>
      <c r="BP262" s="64">
        <f t="shared" si="35"/>
        <v>0.56060606060606066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215</v>
      </c>
      <c r="Y263" s="636">
        <f t="shared" si="31"/>
        <v>216</v>
      </c>
      <c r="Z263" s="36">
        <f>IFERROR(IF(Y263=0,"",ROUNDUP(Y263/H263,0)*0.00902),"")</f>
        <v>0.36080000000000001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222.56481481481478</v>
      </c>
      <c r="BN263" s="64">
        <f t="shared" si="33"/>
        <v>223.6</v>
      </c>
      <c r="BO263" s="64">
        <f t="shared" si="34"/>
        <v>0.30162738496071828</v>
      </c>
      <c r="BP263" s="64">
        <f t="shared" si="35"/>
        <v>0.30303030303030304</v>
      </c>
    </row>
    <row r="264" spans="1:68" ht="27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9</v>
      </c>
      <c r="Y264" s="636">
        <f t="shared" si="31"/>
        <v>9</v>
      </c>
      <c r="Z264" s="36">
        <f>IFERROR(IF(Y264=0,"",ROUNDUP(Y264/H264,0)*0.00502),"")</f>
        <v>2.5100000000000001E-2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9.65</v>
      </c>
      <c r="BN264" s="64">
        <f t="shared" si="33"/>
        <v>9.65</v>
      </c>
      <c r="BO264" s="64">
        <f t="shared" si="34"/>
        <v>2.1367521367521368E-2</v>
      </c>
      <c r="BP264" s="64">
        <f t="shared" si="35"/>
        <v>2.1367521367521368E-2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67</v>
      </c>
      <c r="Y265" s="636">
        <f t="shared" si="31"/>
        <v>68.400000000000006</v>
      </c>
      <c r="Z265" s="36">
        <f>IFERROR(IF(Y265=0,"",ROUNDUP(Y265/H265,0)*0.00502),"")</f>
        <v>0.19076000000000001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70.722222222222214</v>
      </c>
      <c r="BN265" s="64">
        <f t="shared" si="33"/>
        <v>72.2</v>
      </c>
      <c r="BO265" s="64">
        <f t="shared" si="34"/>
        <v>0.15906932573599242</v>
      </c>
      <c r="BP265" s="64">
        <f t="shared" si="35"/>
        <v>0.1623931623931624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28</v>
      </c>
      <c r="Y267" s="636">
        <f t="shared" si="31"/>
        <v>28.8</v>
      </c>
      <c r="Z267" s="36">
        <f>IFERROR(IF(Y267=0,"",ROUNDUP(Y267/H267,0)*0.00502),"")</f>
        <v>8.0320000000000003E-2</v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29.555555555555554</v>
      </c>
      <c r="BN267" s="64">
        <f t="shared" si="33"/>
        <v>30.4</v>
      </c>
      <c r="BO267" s="64">
        <f t="shared" si="34"/>
        <v>6.6476733143399816E-2</v>
      </c>
      <c r="BP267" s="64">
        <f t="shared" si="35"/>
        <v>6.8376068376068383E-2</v>
      </c>
    </row>
    <row r="268" spans="1:68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187.2222222222222</v>
      </c>
      <c r="Y268" s="637">
        <f>IFERROR(Y260/H260,"0")+IFERROR(Y261/H261,"0")+IFERROR(Y262/H262,"0")+IFERROR(Y263/H263,"0")+IFERROR(Y264/H264,"0")+IFERROR(Y265/H265,"0")+IFERROR(Y266/H266,"0")+IFERROR(Y267/H267,"0")</f>
        <v>189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1.46878</v>
      </c>
      <c r="AA268" s="638"/>
      <c r="AB268" s="638"/>
      <c r="AC268" s="638"/>
    </row>
    <row r="269" spans="1:68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803</v>
      </c>
      <c r="Y269" s="637">
        <f>IFERROR(SUM(Y260:Y267),"0")</f>
        <v>808.19999999999993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51</v>
      </c>
      <c r="Y272" s="636">
        <f t="shared" si="36"/>
        <v>56.699999999999996</v>
      </c>
      <c r="Z272" s="36">
        <f>IFERROR(IF(Y272=0,"",ROUNDUP(Y272/H272,0)*0.01898),"")</f>
        <v>0.13286000000000001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54.110370370370369</v>
      </c>
      <c r="BN272" s="64">
        <f t="shared" si="38"/>
        <v>60.157999999999994</v>
      </c>
      <c r="BO272" s="64">
        <f t="shared" si="39"/>
        <v>9.8379629629629636E-2</v>
      </c>
      <c r="BP272" s="64">
        <f t="shared" si="40"/>
        <v>0.109375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98</v>
      </c>
      <c r="Y274" s="636">
        <f t="shared" si="36"/>
        <v>104.39999999999999</v>
      </c>
      <c r="Z274" s="36">
        <f>IFERROR(IF(Y274=0,"",ROUNDUP(Y274/H274,0)*0.01898),"")</f>
        <v>0.22776000000000002</v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103.56459770114944</v>
      </c>
      <c r="BN274" s="64">
        <f t="shared" si="38"/>
        <v>110.32800000000002</v>
      </c>
      <c r="BO274" s="64">
        <f t="shared" si="39"/>
        <v>0.1760057471264368</v>
      </c>
      <c r="BP274" s="64">
        <f t="shared" si="40"/>
        <v>0.1875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151</v>
      </c>
      <c r="Y275" s="636">
        <f t="shared" si="36"/>
        <v>151.19999999999999</v>
      </c>
      <c r="Z275" s="36">
        <f>IFERROR(IF(Y275=0,"",ROUNDUP(Y275/H275,0)*0.00651),"")</f>
        <v>0.41012999999999999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167.98750000000001</v>
      </c>
      <c r="BN275" s="64">
        <f t="shared" si="38"/>
        <v>168.20999999999998</v>
      </c>
      <c r="BO275" s="64">
        <f t="shared" si="39"/>
        <v>0.34569597069597074</v>
      </c>
      <c r="BP275" s="64">
        <f t="shared" si="40"/>
        <v>0.3461538461538462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872</v>
      </c>
      <c r="Y277" s="636">
        <f t="shared" si="36"/>
        <v>873.6</v>
      </c>
      <c r="Z277" s="36">
        <f>IFERROR(IF(Y277=0,"",ROUNDUP(Y277/H277,0)*0.00651),"")</f>
        <v>2.36964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963.56000000000017</v>
      </c>
      <c r="BN277" s="64">
        <f t="shared" si="38"/>
        <v>965.32800000000009</v>
      </c>
      <c r="BO277" s="64">
        <f t="shared" si="39"/>
        <v>1.9963369963369968</v>
      </c>
      <c r="BP277" s="64">
        <f t="shared" si="40"/>
        <v>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226</v>
      </c>
      <c r="Y279" s="636">
        <f t="shared" si="36"/>
        <v>228</v>
      </c>
      <c r="Z279" s="36">
        <f>IFERROR(IF(Y279=0,"",ROUNDUP(Y279/H279,0)*0.00651),"")</f>
        <v>0.61845000000000006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249.73</v>
      </c>
      <c r="BN279" s="64">
        <f t="shared" si="38"/>
        <v>251.94000000000003</v>
      </c>
      <c r="BO279" s="64">
        <f t="shared" si="39"/>
        <v>0.51739926739926745</v>
      </c>
      <c r="BP279" s="64">
        <f t="shared" si="40"/>
        <v>0.52197802197802201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88</v>
      </c>
      <c r="Y280" s="636">
        <f t="shared" si="36"/>
        <v>88.8</v>
      </c>
      <c r="Z280" s="36">
        <f>IFERROR(IF(Y280=0,"",ROUNDUP(Y280/H280,0)*0.00651),"")</f>
        <v>0.24087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97.240000000000009</v>
      </c>
      <c r="BN280" s="64">
        <f t="shared" si="38"/>
        <v>98.124000000000009</v>
      </c>
      <c r="BO280" s="64">
        <f t="shared" si="39"/>
        <v>0.2014652014652015</v>
      </c>
      <c r="BP280" s="64">
        <f t="shared" si="40"/>
        <v>0.20329670329670332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91</v>
      </c>
      <c r="Y281" s="636">
        <f t="shared" si="36"/>
        <v>91.2</v>
      </c>
      <c r="Z281" s="36">
        <f>IFERROR(IF(Y281=0,"",ROUNDUP(Y281/H281,0)*0.00651),"")</f>
        <v>0.24738000000000002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100.7825</v>
      </c>
      <c r="BN281" s="64">
        <f t="shared" si="38"/>
        <v>101.004</v>
      </c>
      <c r="BO281" s="64">
        <f t="shared" si="39"/>
        <v>0.20833333333333337</v>
      </c>
      <c r="BP281" s="64">
        <f t="shared" si="40"/>
        <v>0.2087912087912088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612.56066411238817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616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4.24709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1577</v>
      </c>
      <c r="Y284" s="637">
        <f>IFERROR(SUM(Y271:Y282),"0")</f>
        <v>1593.9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95</v>
      </c>
      <c r="Y292" s="636">
        <f t="shared" ref="Y292:Y298" si="41">IFERROR(IF(X292="",0,CEILING((X292/$H292),1)*$H292),"")</f>
        <v>104.39999999999999</v>
      </c>
      <c r="Z292" s="36">
        <f>IFERROR(IF(Y292=0,"",ROUNDUP(Y292/H292,0)*0.01898),"")</f>
        <v>0.17082</v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98.357758620689665</v>
      </c>
      <c r="BN292" s="64">
        <f t="shared" ref="BN292:BN298" si="43">IFERROR(Y292*I292/H292,"0")</f>
        <v>108.08999999999999</v>
      </c>
      <c r="BO292" s="64">
        <f t="shared" ref="BO292:BO298" si="44">IFERROR(1/J292*(X292/H292),"0")</f>
        <v>0.12796336206896552</v>
      </c>
      <c r="BP292" s="64">
        <f t="shared" ref="BP292:BP298" si="45">IFERROR(1/J292*(Y292/H292),"0")</f>
        <v>0.140625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8.1896551724137936</v>
      </c>
      <c r="Y299" s="637">
        <f>IFERROR(Y292/H292,"0")+IFERROR(Y293/H293,"0")+IFERROR(Y294/H294,"0")+IFERROR(Y295/H295,"0")+IFERROR(Y296/H296,"0")+IFERROR(Y297/H297,"0")+IFERROR(Y298/H298,"0")</f>
        <v>9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0.17082</v>
      </c>
      <c r="AA299" s="638"/>
      <c r="AB299" s="638"/>
      <c r="AC299" s="638"/>
    </row>
    <row r="300" spans="1:68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95</v>
      </c>
      <c r="Y300" s="637">
        <f>IFERROR(SUM(Y292:Y298),"0")</f>
        <v>104.39999999999999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14</v>
      </c>
      <c r="Y306" s="636">
        <f>IFERROR(IF(X306="",0,CEILING((X306/$H306),1)*$H306),"")</f>
        <v>14.4</v>
      </c>
      <c r="Z306" s="36">
        <f>IFERROR(IF(Y306=0,"",ROUNDUP(Y306/H306,0)*0.0059),"")</f>
        <v>4.7199999999999999E-2</v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15.361111111111112</v>
      </c>
      <c r="BN306" s="64">
        <f>IFERROR(Y306*I306/H306,"0")</f>
        <v>15.8</v>
      </c>
      <c r="BO306" s="64">
        <f>IFERROR(1/J306*(X306/H306),"0")</f>
        <v>3.6008230452674893E-2</v>
      </c>
      <c r="BP306" s="64">
        <f>IFERROR(1/J306*(Y306/H306),"0")</f>
        <v>3.7037037037037035E-2</v>
      </c>
    </row>
    <row r="307" spans="1:68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7.7777777777777777</v>
      </c>
      <c r="Y307" s="637">
        <f>IFERROR(Y306/H306,"0")</f>
        <v>8</v>
      </c>
      <c r="Z307" s="637">
        <f>IFERROR(IF(Z306="",0,Z306),"0")</f>
        <v>4.7199999999999999E-2</v>
      </c>
      <c r="AA307" s="638"/>
      <c r="AB307" s="638"/>
      <c r="AC307" s="638"/>
    </row>
    <row r="308" spans="1:68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14</v>
      </c>
      <c r="Y308" s="637">
        <f>IFERROR(SUM(Y306:Y306),"0")</f>
        <v>14.4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0</v>
      </c>
      <c r="Y331" s="63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58</v>
      </c>
      <c r="Y332" s="636">
        <f>IFERROR(IF(X332="",0,CEILING((X332/$H332),1)*$H332),"")</f>
        <v>60</v>
      </c>
      <c r="Z332" s="36">
        <f>IFERROR(IF(Y332=0,"",ROUNDUP(Y332/H332,0)*0.00651),"")</f>
        <v>0.16275000000000001</v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62.350000000000009</v>
      </c>
      <c r="BN332" s="64">
        <f>IFERROR(Y332*I332/H332,"0")</f>
        <v>64.500000000000014</v>
      </c>
      <c r="BO332" s="64">
        <f>IFERROR(1/J332*(X332/H332),"0")</f>
        <v>0.13278388278388281</v>
      </c>
      <c r="BP332" s="64">
        <f>IFERROR(1/J332*(Y332/H332),"0")</f>
        <v>0.13736263736263737</v>
      </c>
    </row>
    <row r="333" spans="1:68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24.166666666666668</v>
      </c>
      <c r="Y333" s="637">
        <f>IFERROR(Y330/H330,"0")+IFERROR(Y331/H331,"0")+IFERROR(Y332/H332,"0")</f>
        <v>25</v>
      </c>
      <c r="Z333" s="637">
        <f>IFERROR(IF(Z330="",0,Z330),"0")+IFERROR(IF(Z331="",0,Z331),"0")+IFERROR(IF(Z332="",0,Z332),"0")</f>
        <v>0.16275000000000001</v>
      </c>
      <c r="AA333" s="638"/>
      <c r="AB333" s="638"/>
      <c r="AC333" s="638"/>
    </row>
    <row r="334" spans="1:68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58</v>
      </c>
      <c r="Y334" s="637">
        <f>IFERROR(SUM(Y330:Y332),"0")</f>
        <v>60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177</v>
      </c>
      <c r="Y360" s="636">
        <f>IFERROR(IF(X360="",0,CEILING((X360/$H360),1)*$H360),"")</f>
        <v>179.4</v>
      </c>
      <c r="Z360" s="36">
        <f>IFERROR(IF(Y360=0,"",ROUNDUP(Y360/H360,0)*0.01898),"")</f>
        <v>0.43653999999999998</v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186.30384615384617</v>
      </c>
      <c r="BN360" s="64">
        <f>IFERROR(Y360*I360/H360,"0")</f>
        <v>188.83000000000004</v>
      </c>
      <c r="BO360" s="64">
        <f>IFERROR(1/J360*(X360/H360),"0")</f>
        <v>0.35456730769230771</v>
      </c>
      <c r="BP360" s="64">
        <f>IFERROR(1/J360*(Y360/H360),"0")</f>
        <v>0.359375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225</v>
      </c>
      <c r="Y361" s="636">
        <f>IFERROR(IF(X361="",0,CEILING((X361/$H361),1)*$H361),"")</f>
        <v>226.2</v>
      </c>
      <c r="Z361" s="36">
        <f>IFERROR(IF(Y361=0,"",ROUNDUP(Y361/H361,0)*0.01898),"")</f>
        <v>0.55042000000000002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236.82692307692312</v>
      </c>
      <c r="BN361" s="64">
        <f>IFERROR(Y361*I361/H361,"0")</f>
        <v>238.09</v>
      </c>
      <c r="BO361" s="64">
        <f>IFERROR(1/J361*(X361/H361),"0")</f>
        <v>0.45072115384615385</v>
      </c>
      <c r="BP361" s="64">
        <f>IFERROR(1/J361*(Y361/H361),"0")</f>
        <v>0.453125</v>
      </c>
    </row>
    <row r="362" spans="1:68" ht="27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79</v>
      </c>
      <c r="Y362" s="636">
        <f>IFERROR(IF(X362="",0,CEILING((X362/$H362),1)*$H362),"")</f>
        <v>85.8</v>
      </c>
      <c r="Z362" s="36">
        <f>IFERROR(IF(Y362=0,"",ROUNDUP(Y362/H362,0)*0.01898),"")</f>
        <v>0.20877999999999999</v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83.152564102564114</v>
      </c>
      <c r="BN362" s="64">
        <f>IFERROR(Y362*I362/H362,"0")</f>
        <v>90.31</v>
      </c>
      <c r="BO362" s="64">
        <f>IFERROR(1/J362*(X362/H362),"0")</f>
        <v>0.15825320512820512</v>
      </c>
      <c r="BP362" s="64">
        <f>IFERROR(1/J362*(Y362/H362),"0")</f>
        <v>0.171875</v>
      </c>
    </row>
    <row r="363" spans="1:68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61.666666666666671</v>
      </c>
      <c r="Y363" s="637">
        <f>IFERROR(Y360/H360,"0")+IFERROR(Y361/H361,"0")+IFERROR(Y362/H362,"0")</f>
        <v>63</v>
      </c>
      <c r="Z363" s="637">
        <f>IFERROR(IF(Z360="",0,Z360),"0")+IFERROR(IF(Z361="",0,Z361),"0")+IFERROR(IF(Z362="",0,Z362),"0")</f>
        <v>1.19574</v>
      </c>
      <c r="AA363" s="638"/>
      <c r="AB363" s="638"/>
      <c r="AC363" s="638"/>
    </row>
    <row r="364" spans="1:68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481</v>
      </c>
      <c r="Y364" s="637">
        <f>IFERROR(SUM(Y360:Y362),"0")</f>
        <v>491.40000000000003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21</v>
      </c>
      <c r="Y378" s="636">
        <f t="shared" si="57"/>
        <v>21</v>
      </c>
      <c r="Z378" s="36">
        <f>IFERROR(IF(Y378=0,"",ROUNDUP(Y378/H378,0)*0.00902),"")</f>
        <v>4.5100000000000001E-2</v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22.25</v>
      </c>
      <c r="BN378" s="64">
        <f t="shared" si="59"/>
        <v>22.25</v>
      </c>
      <c r="BO378" s="64">
        <f t="shared" si="60"/>
        <v>3.787878787878788E-2</v>
      </c>
      <c r="BP378" s="64">
        <f t="shared" si="61"/>
        <v>3.787878787878788E-2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27</v>
      </c>
      <c r="Y383" s="636">
        <f t="shared" si="57"/>
        <v>27</v>
      </c>
      <c r="Z383" s="36">
        <f>IFERROR(IF(Y383=0,"",ROUNDUP(Y383/H383,0)*0.00651),"")</f>
        <v>9.7650000000000001E-2</v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30.419999999999998</v>
      </c>
      <c r="BN383" s="64">
        <f t="shared" si="59"/>
        <v>30.419999999999998</v>
      </c>
      <c r="BO383" s="64">
        <f t="shared" si="60"/>
        <v>8.241758241758243E-2</v>
      </c>
      <c r="BP383" s="64">
        <f t="shared" si="61"/>
        <v>8.241758241758243E-2</v>
      </c>
    </row>
    <row r="384" spans="1:68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20</v>
      </c>
      <c r="Y384" s="637">
        <f>IFERROR(Y377/H377,"0")+IFERROR(Y378/H378,"0")+IFERROR(Y379/H379,"0")+IFERROR(Y380/H380,"0")+IFERROR(Y381/H381,"0")+IFERROR(Y382/H382,"0")+IFERROR(Y383/H383,"0")</f>
        <v>20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0.14274999999999999</v>
      </c>
      <c r="AA384" s="638"/>
      <c r="AB384" s="638"/>
      <c r="AC384" s="638"/>
    </row>
    <row r="385" spans="1:68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48</v>
      </c>
      <c r="Y385" s="637">
        <f>IFERROR(SUM(Y377:Y383),"0")</f>
        <v>48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262</v>
      </c>
      <c r="Y394" s="636">
        <f>IFERROR(IF(X394="",0,CEILING((X394/$H394),1)*$H394),"")</f>
        <v>268.8</v>
      </c>
      <c r="Z394" s="36">
        <f>IFERROR(IF(Y394=0,"",ROUNDUP(Y394/H394,0)*0.01898),"")</f>
        <v>0.60736000000000001</v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277.40809523809526</v>
      </c>
      <c r="BN394" s="64">
        <f>IFERROR(Y394*I394/H394,"0")</f>
        <v>284.608</v>
      </c>
      <c r="BO394" s="64">
        <f>IFERROR(1/J394*(X394/H394),"0")</f>
        <v>0.48735119047619047</v>
      </c>
      <c r="BP394" s="64">
        <f>IFERROR(1/J394*(Y394/H394),"0")</f>
        <v>0.5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589</v>
      </c>
      <c r="Y395" s="636">
        <f>IFERROR(IF(X395="",0,CEILING((X395/$H395),1)*$H395),"")</f>
        <v>592.79999999999995</v>
      </c>
      <c r="Z395" s="36">
        <f>IFERROR(IF(Y395=0,"",ROUNDUP(Y395/H395,0)*0.01898),"")</f>
        <v>1.44248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626.3033333333334</v>
      </c>
      <c r="BN395" s="64">
        <f>IFERROR(Y395*I395/H395,"0")</f>
        <v>630.34399999999994</v>
      </c>
      <c r="BO395" s="64">
        <f>IFERROR(1/J395*(X395/H395),"0")</f>
        <v>1.1798878205128205</v>
      </c>
      <c r="BP395" s="64">
        <f>IFERROR(1/J395*(Y395/H395),"0")</f>
        <v>1.1875</v>
      </c>
    </row>
    <row r="396" spans="1:68" ht="27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106</v>
      </c>
      <c r="Y396" s="636">
        <f>IFERROR(IF(X396="",0,CEILING((X396/$H396),1)*$H396),"")</f>
        <v>109.2</v>
      </c>
      <c r="Z396" s="36">
        <f>IFERROR(IF(Y396=0,"",ROUNDUP(Y396/H396,0)*0.01898),"")</f>
        <v>0.24674000000000001</v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112.23380952380953</v>
      </c>
      <c r="BN396" s="64">
        <f>IFERROR(Y396*I396/H396,"0")</f>
        <v>115.622</v>
      </c>
      <c r="BO396" s="64">
        <f>IFERROR(1/J396*(X396/H396),"0")</f>
        <v>0.19717261904761904</v>
      </c>
      <c r="BP396" s="64">
        <f>IFERROR(1/J396*(Y396/H396),"0")</f>
        <v>0.203125</v>
      </c>
    </row>
    <row r="397" spans="1:68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119.32234432234432</v>
      </c>
      <c r="Y397" s="637">
        <f>IFERROR(Y394/H394,"0")+IFERROR(Y395/H395,"0")+IFERROR(Y396/H396,"0")</f>
        <v>121</v>
      </c>
      <c r="Z397" s="637">
        <f>IFERROR(IF(Z394="",0,Z394),"0")+IFERROR(IF(Z395="",0,Z395),"0")+IFERROR(IF(Z396="",0,Z396),"0")</f>
        <v>2.2965800000000001</v>
      </c>
      <c r="AA397" s="638"/>
      <c r="AB397" s="638"/>
      <c r="AC397" s="638"/>
    </row>
    <row r="398" spans="1:68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957</v>
      </c>
      <c r="Y398" s="637">
        <f>IFERROR(SUM(Y394:Y396),"0")</f>
        <v>970.8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1</v>
      </c>
      <c r="Y402" s="636">
        <f>IFERROR(IF(X402="",0,CEILING((X402/$H402),1)*$H402),"")</f>
        <v>2.5499999999999998</v>
      </c>
      <c r="Z402" s="36">
        <f>IFERROR(IF(Y402=0,"",ROUNDUP(Y402/H402,0)*0.00651),"")</f>
        <v>6.5100000000000002E-3</v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1.1588235294117648</v>
      </c>
      <c r="BN402" s="64">
        <f>IFERROR(Y402*I402/H402,"0")</f>
        <v>2.9550000000000001</v>
      </c>
      <c r="BO402" s="64">
        <f>IFERROR(1/J402*(X402/H402),"0")</f>
        <v>2.1547080370609788E-3</v>
      </c>
      <c r="BP402" s="64">
        <f>IFERROR(1/J402*(Y402/H402),"0")</f>
        <v>5.4945054945054949E-3</v>
      </c>
    </row>
    <row r="403" spans="1:68" ht="27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24</v>
      </c>
      <c r="Y403" s="636">
        <f>IFERROR(IF(X403="",0,CEILING((X403/$H403),1)*$H403),"")</f>
        <v>25.5</v>
      </c>
      <c r="Z403" s="36">
        <f>IFERROR(IF(Y403=0,"",ROUNDUP(Y403/H403,0)*0.00651),"")</f>
        <v>6.5100000000000005E-2</v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27.10588235294118</v>
      </c>
      <c r="BN403" s="64">
        <f>IFERROR(Y403*I403/H403,"0")</f>
        <v>28.8</v>
      </c>
      <c r="BO403" s="64">
        <f>IFERROR(1/J403*(X403/H403),"0")</f>
        <v>5.1712992889463481E-2</v>
      </c>
      <c r="BP403" s="64">
        <f>IFERROR(1/J403*(Y403/H403),"0")</f>
        <v>5.4945054945054951E-2</v>
      </c>
    </row>
    <row r="404" spans="1:68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9.8039215686274517</v>
      </c>
      <c r="Y404" s="637">
        <f>IFERROR(Y400/H400,"0")+IFERROR(Y401/H401,"0")+IFERROR(Y402/H402,"0")+IFERROR(Y403/H403,"0")</f>
        <v>11</v>
      </c>
      <c r="Z404" s="637">
        <f>IFERROR(IF(Z400="",0,Z400),"0")+IFERROR(IF(Z401="",0,Z401),"0")+IFERROR(IF(Z402="",0,Z402),"0")+IFERROR(IF(Z403="",0,Z403),"0")</f>
        <v>7.1610000000000007E-2</v>
      </c>
      <c r="AA404" s="638"/>
      <c r="AB404" s="638"/>
      <c r="AC404" s="638"/>
    </row>
    <row r="405" spans="1:68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25</v>
      </c>
      <c r="Y405" s="637">
        <f>IFERROR(SUM(Y400:Y403),"0")</f>
        <v>28.05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6</v>
      </c>
      <c r="Y407" s="636">
        <f>IFERROR(IF(X407="",0,CEILING((X407/$H407),1)*$H407),"")</f>
        <v>6</v>
      </c>
      <c r="Z407" s="36">
        <f>IFERROR(IF(Y407=0,"",ROUNDUP(Y407/H407,0)*0.00474),"")</f>
        <v>1.422E-2</v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6.7200000000000006</v>
      </c>
      <c r="BN407" s="64">
        <f>IFERROR(Y407*I407/H407,"0")</f>
        <v>6.7200000000000006</v>
      </c>
      <c r="BO407" s="64">
        <f>IFERROR(1/J407*(X407/H407),"0")</f>
        <v>1.2605042016806723E-2</v>
      </c>
      <c r="BP407" s="64">
        <f>IFERROR(1/J407*(Y407/H407),"0")</f>
        <v>1.2605042016806723E-2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11</v>
      </c>
      <c r="Y409" s="636">
        <f>IFERROR(IF(X409="",0,CEILING((X409/$H409),1)*$H409),"")</f>
        <v>12</v>
      </c>
      <c r="Z409" s="36">
        <f>IFERROR(IF(Y409=0,"",ROUNDUP(Y409/H409,0)*0.00474),"")</f>
        <v>2.844E-2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12.32</v>
      </c>
      <c r="BN409" s="64">
        <f>IFERROR(Y409*I409/H409,"0")</f>
        <v>13.440000000000001</v>
      </c>
      <c r="BO409" s="64">
        <f>IFERROR(1/J409*(X409/H409),"0")</f>
        <v>2.3109243697478989E-2</v>
      </c>
      <c r="BP409" s="64">
        <f>IFERROR(1/J409*(Y409/H409),"0")</f>
        <v>2.5210084033613446E-2</v>
      </c>
    </row>
    <row r="410" spans="1:68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8.5</v>
      </c>
      <c r="Y410" s="637">
        <f>IFERROR(Y407/H407,"0")+IFERROR(Y408/H408,"0")+IFERROR(Y409/H409,"0")</f>
        <v>9</v>
      </c>
      <c r="Z410" s="637">
        <f>IFERROR(IF(Z407="",0,Z407),"0")+IFERROR(IF(Z408="",0,Z408),"0")+IFERROR(IF(Z409="",0,Z409),"0")</f>
        <v>4.2660000000000003E-2</v>
      </c>
      <c r="AA410" s="638"/>
      <c r="AB410" s="638"/>
      <c r="AC410" s="638"/>
    </row>
    <row r="411" spans="1:68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17</v>
      </c>
      <c r="Y411" s="637">
        <f>IFERROR(SUM(Y407:Y409),"0")</f>
        <v>18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12</v>
      </c>
      <c r="Y429" s="636">
        <f>IFERROR(IF(X429="",0,CEILING((X429/$H429),1)*$H429),"")</f>
        <v>12.600000000000001</v>
      </c>
      <c r="Z429" s="36">
        <f>IFERROR(IF(Y429=0,"",ROUNDUP(Y429/H429,0)*0.00651),"")</f>
        <v>3.9059999999999997E-2</v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13.439999999999998</v>
      </c>
      <c r="BN429" s="64">
        <f>IFERROR(Y429*I429/H429,"0")</f>
        <v>14.112</v>
      </c>
      <c r="BO429" s="64">
        <f>IFERROR(1/J429*(X429/H429),"0")</f>
        <v>3.1397174254317116E-2</v>
      </c>
      <c r="BP429" s="64">
        <f>IFERROR(1/J429*(Y429/H429),"0")</f>
        <v>3.2967032967032968E-2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5.7142857142857144</v>
      </c>
      <c r="Y431" s="637">
        <f>IFERROR(Y428/H428,"0")+IFERROR(Y429/H429,"0")+IFERROR(Y430/H430,"0")</f>
        <v>6</v>
      </c>
      <c r="Z431" s="637">
        <f>IFERROR(IF(Z428="",0,Z428),"0")+IFERROR(IF(Z429="",0,Z429),"0")+IFERROR(IF(Z430="",0,Z430),"0")</f>
        <v>3.9059999999999997E-2</v>
      </c>
      <c r="AA431" s="638"/>
      <c r="AB431" s="638"/>
      <c r="AC431" s="638"/>
    </row>
    <row r="432" spans="1:68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12</v>
      </c>
      <c r="Y432" s="637">
        <f>IFERROR(SUM(Y428:Y430),"0")</f>
        <v>12.600000000000001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1310</v>
      </c>
      <c r="Y437" s="636">
        <f t="shared" si="62"/>
        <v>1320</v>
      </c>
      <c r="Z437" s="36">
        <f>IFERROR(IF(Y437=0,"",ROUNDUP(Y437/H437,0)*0.02175),"")</f>
        <v>1.9139999999999999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1351.0466666666666</v>
      </c>
      <c r="BN437" s="64">
        <f t="shared" si="64"/>
        <v>1361.3600000000001</v>
      </c>
      <c r="BO437" s="64">
        <f t="shared" si="65"/>
        <v>1.8194444444444442</v>
      </c>
      <c r="BP437" s="64">
        <f t="shared" si="66"/>
        <v>1.8333333333333333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1076</v>
      </c>
      <c r="Y438" s="636">
        <f t="shared" si="62"/>
        <v>1080</v>
      </c>
      <c r="Z438" s="36">
        <f>IFERROR(IF(Y438=0,"",ROUNDUP(Y438/H438,0)*0.02175),"")</f>
        <v>1.5659999999999998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1109.7146666666667</v>
      </c>
      <c r="BN438" s="64">
        <f t="shared" si="64"/>
        <v>1113.8400000000001</v>
      </c>
      <c r="BO438" s="64">
        <f t="shared" si="65"/>
        <v>1.4944444444444445</v>
      </c>
      <c r="BP438" s="64">
        <f t="shared" si="66"/>
        <v>1.5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378</v>
      </c>
      <c r="Y439" s="636">
        <f t="shared" si="62"/>
        <v>390</v>
      </c>
      <c r="Z439" s="36">
        <f>IFERROR(IF(Y439=0,"",ROUNDUP(Y439/H439,0)*0.02175),"")</f>
        <v>0.5655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389.84399999999999</v>
      </c>
      <c r="BN439" s="64">
        <f t="shared" si="64"/>
        <v>402.22</v>
      </c>
      <c r="BO439" s="64">
        <f t="shared" si="65"/>
        <v>0.52499999999999991</v>
      </c>
      <c r="BP439" s="64">
        <f t="shared" si="66"/>
        <v>0.54166666666666663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866</v>
      </c>
      <c r="Y440" s="636">
        <f t="shared" si="62"/>
        <v>870</v>
      </c>
      <c r="Z440" s="36">
        <f>IFERROR(IF(Y440=0,"",ROUNDUP(Y440/H440,0)*0.02175),"")</f>
        <v>1.2614999999999998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893.1346666666667</v>
      </c>
      <c r="BN440" s="64">
        <f t="shared" si="64"/>
        <v>897.2600000000001</v>
      </c>
      <c r="BO440" s="64">
        <f t="shared" si="65"/>
        <v>1.2027777777777777</v>
      </c>
      <c r="BP440" s="64">
        <f t="shared" si="66"/>
        <v>1.2083333333333333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242</v>
      </c>
      <c r="Y444" s="637">
        <f>IFERROR(Y436/H436,"0")+IFERROR(Y437/H437,"0")+IFERROR(Y438/H438,"0")+IFERROR(Y439/H439,"0")+IFERROR(Y440/H440,"0")+IFERROR(Y441/H441,"0")+IFERROR(Y442/H442,"0")+IFERROR(Y443/H443,"0")</f>
        <v>244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5.3069999999999995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3630</v>
      </c>
      <c r="Y445" s="637">
        <f>IFERROR(SUM(Y436:Y443),"0")</f>
        <v>3660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1337</v>
      </c>
      <c r="Y447" s="636">
        <f>IFERROR(IF(X447="",0,CEILING((X447/$H447),1)*$H447),"")</f>
        <v>1350</v>
      </c>
      <c r="Z447" s="36">
        <f>IFERROR(IF(Y447=0,"",ROUNDUP(Y447/H447,0)*0.02175),"")</f>
        <v>1.9574999999999998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1378.8926666666666</v>
      </c>
      <c r="BN447" s="64">
        <f>IFERROR(Y447*I447/H447,"0")</f>
        <v>1392.3</v>
      </c>
      <c r="BO447" s="64">
        <f>IFERROR(1/J447*(X447/H447),"0")</f>
        <v>1.8569444444444445</v>
      </c>
      <c r="BP447" s="64">
        <f>IFERROR(1/J447*(Y447/H447),"0")</f>
        <v>1.875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89.13333333333334</v>
      </c>
      <c r="Y450" s="637">
        <f>IFERROR(Y447/H447,"0")+IFERROR(Y448/H448,"0")+IFERROR(Y449/H449,"0")</f>
        <v>90</v>
      </c>
      <c r="Z450" s="637">
        <f>IFERROR(IF(Z447="",0,Z447),"0")+IFERROR(IF(Z448="",0,Z448),"0")+IFERROR(IF(Z449="",0,Z449),"0")</f>
        <v>1.9574999999999998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1337</v>
      </c>
      <c r="Y451" s="637">
        <f>IFERROR(SUM(Y447:Y449),"0")</f>
        <v>1350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215</v>
      </c>
      <c r="Y460" s="636">
        <f>IFERROR(IF(X460="",0,CEILING((X460/$H460),1)*$H460),"")</f>
        <v>216</v>
      </c>
      <c r="Z460" s="36">
        <f>IFERROR(IF(Y460=0,"",ROUNDUP(Y460/H460,0)*0.01898),"")</f>
        <v>0.45552000000000004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226.80111111111111</v>
      </c>
      <c r="BN460" s="64">
        <f>IFERROR(Y460*I460/H460,"0")</f>
        <v>227.85599999999997</v>
      </c>
      <c r="BO460" s="64">
        <f>IFERROR(1/J460*(X460/H460),"0")</f>
        <v>0.3732638888888889</v>
      </c>
      <c r="BP460" s="64">
        <f>IFERROR(1/J460*(Y460/H460),"0")</f>
        <v>0.375</v>
      </c>
    </row>
    <row r="461" spans="1:68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23.888888888888889</v>
      </c>
      <c r="Y461" s="637">
        <f>IFERROR(Y459/H459,"0")+IFERROR(Y460/H460,"0")</f>
        <v>24</v>
      </c>
      <c r="Z461" s="637">
        <f>IFERROR(IF(Z459="",0,Z459),"0")+IFERROR(IF(Z460="",0,Z460),"0")</f>
        <v>0.45552000000000004</v>
      </c>
      <c r="AA461" s="638"/>
      <c r="AB461" s="638"/>
      <c r="AC461" s="638"/>
    </row>
    <row r="462" spans="1:68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215</v>
      </c>
      <c r="Y462" s="637">
        <f>IFERROR(SUM(Y459:Y460),"0")</f>
        <v>216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821</v>
      </c>
      <c r="Y474" s="636">
        <f>IFERROR(IF(X474="",0,CEILING((X474/$H474),1)*$H474),"")</f>
        <v>828</v>
      </c>
      <c r="Z474" s="36">
        <f>IFERROR(IF(Y474=0,"",ROUNDUP(Y474/H474,0)*0.01898),"")</f>
        <v>1.7461599999999999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866.06377777777777</v>
      </c>
      <c r="BN474" s="64">
        <f>IFERROR(Y474*I474/H474,"0")</f>
        <v>873.44799999999998</v>
      </c>
      <c r="BO474" s="64">
        <f>IFERROR(1/J474*(X474/H474),"0")</f>
        <v>1.4253472222222223</v>
      </c>
      <c r="BP474" s="64">
        <f>IFERROR(1/J474*(Y474/H474),"0")</f>
        <v>1.4375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91.222222222222229</v>
      </c>
      <c r="Y477" s="637">
        <f>IFERROR(Y474/H474,"0")+IFERROR(Y475/H475,"0")+IFERROR(Y476/H476,"0")</f>
        <v>92</v>
      </c>
      <c r="Z477" s="637">
        <f>IFERROR(IF(Z474="",0,Z474),"0")+IFERROR(IF(Z475="",0,Z475),"0")+IFERROR(IF(Z476="",0,Z476),"0")</f>
        <v>1.7461599999999999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821</v>
      </c>
      <c r="Y478" s="637">
        <f>IFERROR(SUM(Y474:Y476),"0")</f>
        <v>828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104</v>
      </c>
      <c r="Y508" s="636">
        <f t="shared" ref="Y508:Y515" si="72">IFERROR(IF(X508="",0,CEILING((X508/$H508),1)*$H508),"")</f>
        <v>105.60000000000001</v>
      </c>
      <c r="Z508" s="36">
        <f>IFERROR(IF(Y508=0,"",ROUNDUP(Y508/H508,0)*0.01196),"")</f>
        <v>0.2392</v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110.89393939393939</v>
      </c>
      <c r="BN508" s="64">
        <f t="shared" ref="BN508:BN515" si="74">IFERROR(Y508*I508/H508,"0")</f>
        <v>112.6</v>
      </c>
      <c r="BO508" s="64">
        <f t="shared" ref="BO508:BO515" si="75">IFERROR(1/J508*(X508/H508),"0")</f>
        <v>0.18939393939393939</v>
      </c>
      <c r="BP508" s="64">
        <f t="shared" ref="BP508:BP515" si="76">IFERROR(1/J508*(Y508/H508),"0")</f>
        <v>0.19230769230769232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339</v>
      </c>
      <c r="Y511" s="636">
        <f t="shared" si="72"/>
        <v>343.2</v>
      </c>
      <c r="Z511" s="36">
        <f>IFERROR(IF(Y511=0,"",ROUNDUP(Y511/H511,0)*0.01196),"")</f>
        <v>0.77739999999999998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361.47159090909088</v>
      </c>
      <c r="BN511" s="64">
        <f t="shared" si="74"/>
        <v>365.95</v>
      </c>
      <c r="BO511" s="64">
        <f t="shared" si="75"/>
        <v>0.61735139860139865</v>
      </c>
      <c r="BP511" s="64">
        <f t="shared" si="76"/>
        <v>0.625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717</v>
      </c>
      <c r="Y512" s="636">
        <f t="shared" si="72"/>
        <v>718.08</v>
      </c>
      <c r="Z512" s="36">
        <f>IFERROR(IF(Y512=0,"",ROUNDUP(Y512/H512,0)*0.01196),"")</f>
        <v>1.62656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764.52840909090901</v>
      </c>
      <c r="BN512" s="64">
        <f t="shared" si="74"/>
        <v>765.68000000000006</v>
      </c>
      <c r="BO512" s="64">
        <f t="shared" si="75"/>
        <v>1.3057255244755244</v>
      </c>
      <c r="BP512" s="64">
        <f t="shared" si="76"/>
        <v>1.3076923076923077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219.69696969696969</v>
      </c>
      <c r="Y516" s="637">
        <f>IFERROR(Y508/H508,"0")+IFERROR(Y509/H509,"0")+IFERROR(Y510/H510,"0")+IFERROR(Y511/H511,"0")+IFERROR(Y512/H512,"0")+IFERROR(Y513/H513,"0")+IFERROR(Y514/H514,"0")+IFERROR(Y515/H515,"0")</f>
        <v>221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2.64316</v>
      </c>
      <c r="AA516" s="638"/>
      <c r="AB516" s="638"/>
      <c r="AC516" s="638"/>
    </row>
    <row r="517" spans="1:68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1160</v>
      </c>
      <c r="Y517" s="637">
        <f>IFERROR(SUM(Y508:Y515),"0")</f>
        <v>1166.8800000000001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506</v>
      </c>
      <c r="Y519" s="636">
        <f>IFERROR(IF(X519="",0,CEILING((X519/$H519),1)*$H519),"")</f>
        <v>506.88</v>
      </c>
      <c r="Z519" s="36">
        <f>IFERROR(IF(Y519=0,"",ROUNDUP(Y519/H519,0)*0.01196),"")</f>
        <v>1.1481600000000001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539.54166666666663</v>
      </c>
      <c r="BN519" s="64">
        <f>IFERROR(Y519*I519/H519,"0")</f>
        <v>540.4799999999999</v>
      </c>
      <c r="BO519" s="64">
        <f>IFERROR(1/J519*(X519/H519),"0")</f>
        <v>0.92147435897435903</v>
      </c>
      <c r="BP519" s="64">
        <f>IFERROR(1/J519*(Y519/H519),"0")</f>
        <v>0.92307692307692313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59</v>
      </c>
      <c r="Y521" s="636">
        <f>IFERROR(IF(X521="",0,CEILING((X521/$H521),1)*$H521),"")</f>
        <v>62.4</v>
      </c>
      <c r="Z521" s="36">
        <f>IFERROR(IF(Y521=0,"",ROUNDUP(Y521/H521,0)*0.00902),"")</f>
        <v>0.11726</v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84.935416666666669</v>
      </c>
      <c r="BN521" s="64">
        <f>IFERROR(Y521*I521/H521,"0")</f>
        <v>89.830000000000013</v>
      </c>
      <c r="BO521" s="64">
        <f>IFERROR(1/J521*(X521/H521),"0")</f>
        <v>9.3118686868686878E-2</v>
      </c>
      <c r="BP521" s="64">
        <f>IFERROR(1/J521*(Y521/H521),"0")</f>
        <v>9.8484848484848481E-2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108.125</v>
      </c>
      <c r="Y522" s="637">
        <f>IFERROR(Y519/H519,"0")+IFERROR(Y520/H520,"0")+IFERROR(Y521/H521,"0")</f>
        <v>109</v>
      </c>
      <c r="Z522" s="637">
        <f>IFERROR(IF(Z519="",0,Z519),"0")+IFERROR(IF(Z520="",0,Z520),"0")+IFERROR(IF(Z521="",0,Z521),"0")</f>
        <v>1.26542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565</v>
      </c>
      <c r="Y523" s="637">
        <f>IFERROR(SUM(Y519:Y521),"0")</f>
        <v>569.28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269</v>
      </c>
      <c r="Y526" s="636">
        <f t="shared" si="77"/>
        <v>269.28000000000003</v>
      </c>
      <c r="Z526" s="36">
        <f>IFERROR(IF(Y526=0,"",ROUNDUP(Y526/H526,0)*0.01196),"")</f>
        <v>0.60996000000000006</v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286.83143939393938</v>
      </c>
      <c r="BN526" s="64">
        <f t="shared" si="79"/>
        <v>287.13</v>
      </c>
      <c r="BO526" s="64">
        <f t="shared" si="80"/>
        <v>0.48987470862470861</v>
      </c>
      <c r="BP526" s="64">
        <f t="shared" si="81"/>
        <v>0.49038461538461542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245</v>
      </c>
      <c r="Y527" s="636">
        <f t="shared" si="77"/>
        <v>248.16000000000003</v>
      </c>
      <c r="Z527" s="36">
        <f>IFERROR(IF(Y527=0,"",ROUNDUP(Y527/H527,0)*0.01196),"")</f>
        <v>0.56211999999999995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261.24053030303025</v>
      </c>
      <c r="BN527" s="64">
        <f t="shared" si="79"/>
        <v>264.61</v>
      </c>
      <c r="BO527" s="64">
        <f t="shared" si="80"/>
        <v>0.44616841491841491</v>
      </c>
      <c r="BP527" s="64">
        <f t="shared" si="81"/>
        <v>0.45192307692307693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97.348484848484844</v>
      </c>
      <c r="Y532" s="637">
        <f>IFERROR(Y525/H525,"0")+IFERROR(Y526/H526,"0")+IFERROR(Y527/H527,"0")+IFERROR(Y528/H528,"0")+IFERROR(Y529/H529,"0")+IFERROR(Y530/H530,"0")+IFERROR(Y531/H531,"0")</f>
        <v>98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1.17208</v>
      </c>
      <c r="AA532" s="638"/>
      <c r="AB532" s="638"/>
      <c r="AC532" s="638"/>
    </row>
    <row r="533" spans="1:68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514</v>
      </c>
      <c r="Y533" s="637">
        <f>IFERROR(SUM(Y525:Y531),"0")</f>
        <v>517.44000000000005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17105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17300.649999999998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18026.129214981433</v>
      </c>
      <c r="Y563" s="637">
        <f>IFERROR(SUM(BN22:BN559),"0")</f>
        <v>18233.397000000001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30</v>
      </c>
      <c r="Y564" s="38">
        <f>ROUNDUP(SUM(BP22:BP559),0)</f>
        <v>30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18776.129214981433</v>
      </c>
      <c r="Y565" s="637">
        <f>GrossWeightTotalR+PalletQtyTotalR*25</f>
        <v>18983.397000000001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2935.1516752550306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2968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34.873549999999994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1197.2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486.20000000000005</v>
      </c>
      <c r="F572" s="46">
        <f>IFERROR(Y85*1,"0")+IFERROR(Y86*1,"0")+IFERROR(Y87*1,"0")+IFERROR(Y88*1,"0")+IFERROR(Y89*1,"0")+IFERROR(Y90*1,"0")+IFERROR(Y94*1,"0")+IFERROR(Y95*1,"0")+IFERROR(Y96*1,"0")+IFERROR(Y97*1,"0")</f>
        <v>709.2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1118.4000000000001</v>
      </c>
      <c r="H572" s="46">
        <f>IFERROR(Y130*1,"0")+IFERROR(Y131*1,"0")+IFERROR(Y135*1,"0")+IFERROR(Y136*1,"0")+IFERROR(Y140*1,"0")+IFERROR(Y141*1,"0")</f>
        <v>94.800000000000011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788.4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449.1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2402.1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118.8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60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491.40000000000003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1064.8499999999999</v>
      </c>
      <c r="V572" s="46">
        <f>IFERROR(Y420*1,"0")+IFERROR(Y421*1,"0")+IFERROR(Y422*1,"0")+IFERROR(Y423*1,"0")</f>
        <v>0</v>
      </c>
      <c r="W572" s="46">
        <f>IFERROR(Y428*1,"0")+IFERROR(Y429*1,"0")+IFERROR(Y430*1,"0")</f>
        <v>12.600000000000001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5226</v>
      </c>
      <c r="Y572" s="46">
        <f>IFERROR(Y465*1,"0")+IFERROR(Y466*1,"0")+IFERROR(Y470*1,"0")+IFERROR(Y474*1,"0")+IFERROR(Y475*1,"0")+IFERROR(Y476*1,"0")</f>
        <v>828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2253.6000000000004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6,00"/>
        <filter val="1 121,00"/>
        <filter val="1 160,00"/>
        <filter val="1 194,00"/>
        <filter val="1 310,00"/>
        <filter val="1 337,00"/>
        <filter val="1 577,00"/>
        <filter val="1,00"/>
        <filter val="102,00"/>
        <filter val="103,00"/>
        <filter val="104,00"/>
        <filter val="106,00"/>
        <filter val="108,00"/>
        <filter val="108,13"/>
        <filter val="11,00"/>
        <filter val="110,00"/>
        <filter val="119,32"/>
        <filter val="12,00"/>
        <filter val="121,00"/>
        <filter val="123,53"/>
        <filter val="14,00"/>
        <filter val="15,00"/>
        <filter val="151,00"/>
        <filter val="16,00"/>
        <filter val="17 105,00"/>
        <filter val="17,00"/>
        <filter val="177,00"/>
        <filter val="18 026,13"/>
        <filter val="18 776,13"/>
        <filter val="18,00"/>
        <filter val="187,22"/>
        <filter val="19,32"/>
        <filter val="195,00"/>
        <filter val="197,00"/>
        <filter val="2 935,15"/>
        <filter val="2,00"/>
        <filter val="20,00"/>
        <filter val="21,00"/>
        <filter val="21,02"/>
        <filter val="21,06"/>
        <filter val="215,00"/>
        <filter val="219,70"/>
        <filter val="225,00"/>
        <filter val="226,00"/>
        <filter val="227,00"/>
        <filter val="23,00"/>
        <filter val="23,89"/>
        <filter val="235,10"/>
        <filter val="24,00"/>
        <filter val="24,17"/>
        <filter val="240,00"/>
        <filter val="242,00"/>
        <filter val="243,00"/>
        <filter val="245,00"/>
        <filter val="25,00"/>
        <filter val="252,00"/>
        <filter val="262,00"/>
        <filter val="269,00"/>
        <filter val="27,00"/>
        <filter val="27,70"/>
        <filter val="274,50"/>
        <filter val="28,00"/>
        <filter val="3 630,00"/>
        <filter val="3,17"/>
        <filter val="30"/>
        <filter val="307,00"/>
        <filter val="324,00"/>
        <filter val="339,00"/>
        <filter val="346,00"/>
        <filter val="353,00"/>
        <filter val="369,00"/>
        <filter val="378,00"/>
        <filter val="39,00"/>
        <filter val="398,00"/>
        <filter val="4,00"/>
        <filter val="435,00"/>
        <filter val="45,00"/>
        <filter val="46,94"/>
        <filter val="472,00"/>
        <filter val="48,00"/>
        <filter val="481,00"/>
        <filter val="5,56"/>
        <filter val="5,71"/>
        <filter val="50,00"/>
        <filter val="506,00"/>
        <filter val="51,00"/>
        <filter val="514,00"/>
        <filter val="52,35"/>
        <filter val="556,00"/>
        <filter val="565,00"/>
        <filter val="57,06"/>
        <filter val="58,00"/>
        <filter val="589,00"/>
        <filter val="59,00"/>
        <filter val="6,00"/>
        <filter val="6,43"/>
        <filter val="6,56"/>
        <filter val="61,67"/>
        <filter val="612,56"/>
        <filter val="67,00"/>
        <filter val="7,00"/>
        <filter val="7,78"/>
        <filter val="70,00"/>
        <filter val="717,00"/>
        <filter val="73,00"/>
        <filter val="782,00"/>
        <filter val="79,00"/>
        <filter val="8,19"/>
        <filter val="8,50"/>
        <filter val="803,00"/>
        <filter val="821,00"/>
        <filter val="86,00"/>
        <filter val="866,00"/>
        <filter val="872,00"/>
        <filter val="88,00"/>
        <filter val="89,13"/>
        <filter val="9,00"/>
        <filter val="9,80"/>
        <filter val="91,00"/>
        <filter val="91,22"/>
        <filter val="95,00"/>
        <filter val="957,00"/>
        <filter val="97,35"/>
        <filter val="98,00"/>
        <filter val="98,52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