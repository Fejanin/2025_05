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1F64A8-C5E7-4425-81E3-CC8A4BDA0A3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M553" i="1"/>
  <c r="Y553" i="1"/>
  <c r="P553" i="1"/>
  <c r="X551" i="1"/>
  <c r="X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3" i="1"/>
  <c r="X532" i="1"/>
  <c r="BO531" i="1"/>
  <c r="BM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BO526" i="1"/>
  <c r="BM526" i="1"/>
  <c r="Y526" i="1"/>
  <c r="P526" i="1"/>
  <c r="BO525" i="1"/>
  <c r="BM525" i="1"/>
  <c r="Y525" i="1"/>
  <c r="P525" i="1"/>
  <c r="X523" i="1"/>
  <c r="X522" i="1"/>
  <c r="BO521" i="1"/>
  <c r="BM521" i="1"/>
  <c r="Y521" i="1"/>
  <c r="BN521" i="1" s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N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X478" i="1"/>
  <c r="X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Y477" i="1" s="1"/>
  <c r="P474" i="1"/>
  <c r="X472" i="1"/>
  <c r="X471" i="1"/>
  <c r="BO470" i="1"/>
  <c r="BM470" i="1"/>
  <c r="Y470" i="1"/>
  <c r="Y471" i="1" s="1"/>
  <c r="P470" i="1"/>
  <c r="X468" i="1"/>
  <c r="X467" i="1"/>
  <c r="BO466" i="1"/>
  <c r="BM466" i="1"/>
  <c r="Y466" i="1"/>
  <c r="BP466" i="1" s="1"/>
  <c r="P466" i="1"/>
  <c r="BO465" i="1"/>
  <c r="BN465" i="1"/>
  <c r="BM465" i="1"/>
  <c r="Y465" i="1"/>
  <c r="BP465" i="1" s="1"/>
  <c r="P465" i="1"/>
  <c r="X462" i="1"/>
  <c r="X461" i="1"/>
  <c r="BO460" i="1"/>
  <c r="BM460" i="1"/>
  <c r="Y460" i="1"/>
  <c r="P460" i="1"/>
  <c r="BO459" i="1"/>
  <c r="BM459" i="1"/>
  <c r="Y459" i="1"/>
  <c r="Y462" i="1" s="1"/>
  <c r="P459" i="1"/>
  <c r="X457" i="1"/>
  <c r="X456" i="1"/>
  <c r="BO455" i="1"/>
  <c r="BM455" i="1"/>
  <c r="Y455" i="1"/>
  <c r="BP455" i="1" s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X451" i="1"/>
  <c r="X450" i="1"/>
  <c r="BO449" i="1"/>
  <c r="BM449" i="1"/>
  <c r="Y449" i="1"/>
  <c r="BP449" i="1" s="1"/>
  <c r="P449" i="1"/>
  <c r="BO448" i="1"/>
  <c r="BM448" i="1"/>
  <c r="Y448" i="1"/>
  <c r="P448" i="1"/>
  <c r="BO447" i="1"/>
  <c r="BM447" i="1"/>
  <c r="Y447" i="1"/>
  <c r="Y450" i="1" s="1"/>
  <c r="P447" i="1"/>
  <c r="X445" i="1"/>
  <c r="X444" i="1"/>
  <c r="BO443" i="1"/>
  <c r="BM443" i="1"/>
  <c r="Y443" i="1"/>
  <c r="BP443" i="1" s="1"/>
  <c r="P443" i="1"/>
  <c r="BP442" i="1"/>
  <c r="BO442" i="1"/>
  <c r="BM442" i="1"/>
  <c r="Z442" i="1"/>
  <c r="Y442" i="1"/>
  <c r="BN442" i="1" s="1"/>
  <c r="P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BN438" i="1" s="1"/>
  <c r="P438" i="1"/>
  <c r="BO437" i="1"/>
  <c r="BM437" i="1"/>
  <c r="Y437" i="1"/>
  <c r="BP437" i="1" s="1"/>
  <c r="P437" i="1"/>
  <c r="BO436" i="1"/>
  <c r="BM436" i="1"/>
  <c r="Y436" i="1"/>
  <c r="P436" i="1"/>
  <c r="X432" i="1"/>
  <c r="X431" i="1"/>
  <c r="BP430" i="1"/>
  <c r="BO430" i="1"/>
  <c r="BM430" i="1"/>
  <c r="Z430" i="1"/>
  <c r="Y430" i="1"/>
  <c r="BN430" i="1" s="1"/>
  <c r="P430" i="1"/>
  <c r="BO429" i="1"/>
  <c r="BM429" i="1"/>
  <c r="Y429" i="1"/>
  <c r="BP429" i="1" s="1"/>
  <c r="P429" i="1"/>
  <c r="BO428" i="1"/>
  <c r="BM428" i="1"/>
  <c r="Y428" i="1"/>
  <c r="P428" i="1"/>
  <c r="X425" i="1"/>
  <c r="X424" i="1"/>
  <c r="BP423" i="1"/>
  <c r="BO423" i="1"/>
  <c r="BN423" i="1"/>
  <c r="BM423" i="1"/>
  <c r="Z423" i="1"/>
  <c r="Y423" i="1"/>
  <c r="BO422" i="1"/>
  <c r="BM422" i="1"/>
  <c r="Y422" i="1"/>
  <c r="BN422" i="1" s="1"/>
  <c r="P422" i="1"/>
  <c r="BO421" i="1"/>
  <c r="BM421" i="1"/>
  <c r="Y421" i="1"/>
  <c r="BP421" i="1" s="1"/>
  <c r="P421" i="1"/>
  <c r="BO420" i="1"/>
  <c r="BM420" i="1"/>
  <c r="Y420" i="1"/>
  <c r="P420" i="1"/>
  <c r="X417" i="1"/>
  <c r="X416" i="1"/>
  <c r="BP415" i="1"/>
  <c r="BO415" i="1"/>
  <c r="BM415" i="1"/>
  <c r="Z415" i="1"/>
  <c r="Y415" i="1"/>
  <c r="BN415" i="1" s="1"/>
  <c r="P415" i="1"/>
  <c r="BO414" i="1"/>
  <c r="BM414" i="1"/>
  <c r="Y414" i="1"/>
  <c r="BP414" i="1" s="1"/>
  <c r="P414" i="1"/>
  <c r="BO413" i="1"/>
  <c r="BM413" i="1"/>
  <c r="Y413" i="1"/>
  <c r="P413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N403" i="1"/>
  <c r="BM403" i="1"/>
  <c r="Y403" i="1"/>
  <c r="BP403" i="1" s="1"/>
  <c r="P403" i="1"/>
  <c r="BO402" i="1"/>
  <c r="BM402" i="1"/>
  <c r="Y402" i="1"/>
  <c r="BP402" i="1" s="1"/>
  <c r="P402" i="1"/>
  <c r="BO401" i="1"/>
  <c r="BM401" i="1"/>
  <c r="Y401" i="1"/>
  <c r="P401" i="1"/>
  <c r="BO400" i="1"/>
  <c r="BM400" i="1"/>
  <c r="Y400" i="1"/>
  <c r="Y405" i="1" s="1"/>
  <c r="P400" i="1"/>
  <c r="X398" i="1"/>
  <c r="X397" i="1"/>
  <c r="BO396" i="1"/>
  <c r="BM396" i="1"/>
  <c r="Y396" i="1"/>
  <c r="BP396" i="1" s="1"/>
  <c r="P396" i="1"/>
  <c r="BO395" i="1"/>
  <c r="BM395" i="1"/>
  <c r="Y395" i="1"/>
  <c r="BN395" i="1" s="1"/>
  <c r="P395" i="1"/>
  <c r="BO394" i="1"/>
  <c r="BM394" i="1"/>
  <c r="Y394" i="1"/>
  <c r="P394" i="1"/>
  <c r="X392" i="1"/>
  <c r="X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P387" i="1"/>
  <c r="BO387" i="1"/>
  <c r="BM387" i="1"/>
  <c r="Z387" i="1"/>
  <c r="Y387" i="1"/>
  <c r="BN387" i="1" s="1"/>
  <c r="P387" i="1"/>
  <c r="X385" i="1"/>
  <c r="X384" i="1"/>
  <c r="BO383" i="1"/>
  <c r="BM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P377" i="1"/>
  <c r="BO377" i="1"/>
  <c r="BM377" i="1"/>
  <c r="Z377" i="1"/>
  <c r="Y377" i="1"/>
  <c r="BN377" i="1" s="1"/>
  <c r="P377" i="1"/>
  <c r="X375" i="1"/>
  <c r="X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P367" i="1"/>
  <c r="X364" i="1"/>
  <c r="X363" i="1"/>
  <c r="BO362" i="1"/>
  <c r="BN362" i="1"/>
  <c r="BM362" i="1"/>
  <c r="Y362" i="1"/>
  <c r="BP362" i="1" s="1"/>
  <c r="P362" i="1"/>
  <c r="BO361" i="1"/>
  <c r="BM361" i="1"/>
  <c r="Y361" i="1"/>
  <c r="BP361" i="1" s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O346" i="1"/>
  <c r="BM346" i="1"/>
  <c r="Y346" i="1"/>
  <c r="BN346" i="1" s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M340" i="1"/>
  <c r="Z340" i="1"/>
  <c r="Y340" i="1"/>
  <c r="BN340" i="1" s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X327" i="1"/>
  <c r="X326" i="1"/>
  <c r="BO325" i="1"/>
  <c r="BM325" i="1"/>
  <c r="Y325" i="1"/>
  <c r="BP325" i="1" s="1"/>
  <c r="P325" i="1"/>
  <c r="BO324" i="1"/>
  <c r="BM324" i="1"/>
  <c r="Y324" i="1"/>
  <c r="P324" i="1"/>
  <c r="BO323" i="1"/>
  <c r="BM323" i="1"/>
  <c r="Y323" i="1"/>
  <c r="BP323" i="1" s="1"/>
  <c r="P323" i="1"/>
  <c r="BO322" i="1"/>
  <c r="BN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X315" i="1"/>
  <c r="X314" i="1"/>
  <c r="BO313" i="1"/>
  <c r="BM313" i="1"/>
  <c r="Y313" i="1"/>
  <c r="P313" i="1"/>
  <c r="BO312" i="1"/>
  <c r="BM312" i="1"/>
  <c r="Y312" i="1"/>
  <c r="BP312" i="1" s="1"/>
  <c r="P312" i="1"/>
  <c r="BO311" i="1"/>
  <c r="BN311" i="1"/>
  <c r="BM311" i="1"/>
  <c r="Y311" i="1"/>
  <c r="BP311" i="1" s="1"/>
  <c r="P311" i="1"/>
  <c r="BO310" i="1"/>
  <c r="BM310" i="1"/>
  <c r="Y310" i="1"/>
  <c r="P310" i="1"/>
  <c r="X308" i="1"/>
  <c r="X307" i="1"/>
  <c r="BO306" i="1"/>
  <c r="BM306" i="1"/>
  <c r="Y306" i="1"/>
  <c r="Y308" i="1" s="1"/>
  <c r="P306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BN295" i="1" s="1"/>
  <c r="P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O572" i="1" s="1"/>
  <c r="P292" i="1"/>
  <c r="X289" i="1"/>
  <c r="X288" i="1"/>
  <c r="BO287" i="1"/>
  <c r="BM287" i="1"/>
  <c r="Y287" i="1"/>
  <c r="P287" i="1"/>
  <c r="BP286" i="1"/>
  <c r="BO286" i="1"/>
  <c r="BM286" i="1"/>
  <c r="Z286" i="1"/>
  <c r="Y286" i="1"/>
  <c r="BN286" i="1" s="1"/>
  <c r="P286" i="1"/>
  <c r="X284" i="1"/>
  <c r="X283" i="1"/>
  <c r="BO282" i="1"/>
  <c r="BM282" i="1"/>
  <c r="Y282" i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P276" i="1"/>
  <c r="BO276" i="1"/>
  <c r="BM276" i="1"/>
  <c r="Z276" i="1"/>
  <c r="Y276" i="1"/>
  <c r="BN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M264" i="1"/>
  <c r="Z264" i="1"/>
  <c r="Y264" i="1"/>
  <c r="BN264" i="1" s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BN260" i="1" s="1"/>
  <c r="P260" i="1"/>
  <c r="X258" i="1"/>
  <c r="X257" i="1"/>
  <c r="BO256" i="1"/>
  <c r="BM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N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N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M216" i="1"/>
  <c r="Z216" i="1"/>
  <c r="Y216" i="1"/>
  <c r="BN216" i="1" s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N205" i="1" s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N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BN185" i="1" s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M177" i="1"/>
  <c r="Z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Y181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X163" i="1"/>
  <c r="X162" i="1"/>
  <c r="BO161" i="1"/>
  <c r="BM161" i="1"/>
  <c r="Y161" i="1"/>
  <c r="P161" i="1"/>
  <c r="BO160" i="1"/>
  <c r="BM160" i="1"/>
  <c r="Y160" i="1"/>
  <c r="BP160" i="1" s="1"/>
  <c r="P160" i="1"/>
  <c r="BO159" i="1"/>
  <c r="BN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Y154" i="1" s="1"/>
  <c r="P153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3" i="1"/>
  <c r="X142" i="1"/>
  <c r="BO141" i="1"/>
  <c r="BM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BN135" i="1" s="1"/>
  <c r="P135" i="1"/>
  <c r="X133" i="1"/>
  <c r="X132" i="1"/>
  <c r="BO131" i="1"/>
  <c r="BM131" i="1"/>
  <c r="Y131" i="1"/>
  <c r="P131" i="1"/>
  <c r="BO130" i="1"/>
  <c r="BM130" i="1"/>
  <c r="Y130" i="1"/>
  <c r="P130" i="1"/>
  <c r="X127" i="1"/>
  <c r="X126" i="1"/>
  <c r="BO125" i="1"/>
  <c r="BM125" i="1"/>
  <c r="Y125" i="1"/>
  <c r="Y126" i="1" s="1"/>
  <c r="P125" i="1"/>
  <c r="X123" i="1"/>
  <c r="X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P118" i="1"/>
  <c r="X116" i="1"/>
  <c r="X115" i="1"/>
  <c r="BO114" i="1"/>
  <c r="BN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X99" i="1"/>
  <c r="X98" i="1"/>
  <c r="BO97" i="1"/>
  <c r="BN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F572" i="1" s="1"/>
  <c r="P85" i="1"/>
  <c r="X82" i="1"/>
  <c r="X81" i="1"/>
  <c r="BO80" i="1"/>
  <c r="BM80" i="1"/>
  <c r="Y80" i="1"/>
  <c r="BP80" i="1" s="1"/>
  <c r="P80" i="1"/>
  <c r="BP79" i="1"/>
  <c r="BO79" i="1"/>
  <c r="BM79" i="1"/>
  <c r="Z79" i="1"/>
  <c r="Y79" i="1"/>
  <c r="BN79" i="1" s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M61" i="1"/>
  <c r="Z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P50" i="1"/>
  <c r="BO50" i="1"/>
  <c r="BM50" i="1"/>
  <c r="Z50" i="1"/>
  <c r="Y50" i="1"/>
  <c r="BN50" i="1" s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Z38" i="1" s="1"/>
  <c r="P38" i="1"/>
  <c r="BO37" i="1"/>
  <c r="BM37" i="1"/>
  <c r="Y37" i="1"/>
  <c r="C572" i="1" s="1"/>
  <c r="P37" i="1"/>
  <c r="X33" i="1"/>
  <c r="X32" i="1"/>
  <c r="BO31" i="1"/>
  <c r="BM31" i="1"/>
  <c r="Y31" i="1"/>
  <c r="P31" i="1"/>
  <c r="BO30" i="1"/>
  <c r="BM30" i="1"/>
  <c r="Y30" i="1"/>
  <c r="Y32" i="1" s="1"/>
  <c r="P30" i="1"/>
  <c r="X28" i="1"/>
  <c r="X27" i="1"/>
  <c r="BO26" i="1"/>
  <c r="BN26" i="1"/>
  <c r="BM26" i="1"/>
  <c r="Y26" i="1"/>
  <c r="BP26" i="1" s="1"/>
  <c r="P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Y27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X562" i="1" l="1"/>
  <c r="BP57" i="1"/>
  <c r="Z89" i="1"/>
  <c r="BP89" i="1"/>
  <c r="BP135" i="1"/>
  <c r="Z173" i="1"/>
  <c r="BP173" i="1"/>
  <c r="Z185" i="1"/>
  <c r="BP185" i="1"/>
  <c r="Z205" i="1"/>
  <c r="BP205" i="1"/>
  <c r="Z260" i="1"/>
  <c r="BP260" i="1"/>
  <c r="Z272" i="1"/>
  <c r="BP272" i="1"/>
  <c r="Z295" i="1"/>
  <c r="BP295" i="1"/>
  <c r="Z346" i="1"/>
  <c r="BP346" i="1"/>
  <c r="Z395" i="1"/>
  <c r="BP395" i="1"/>
  <c r="Z422" i="1"/>
  <c r="BP422" i="1"/>
  <c r="Z438" i="1"/>
  <c r="BP438" i="1"/>
  <c r="Z511" i="1"/>
  <c r="BP511" i="1"/>
  <c r="Z521" i="1"/>
  <c r="BP521" i="1"/>
  <c r="Z531" i="1"/>
  <c r="BP531" i="1"/>
  <c r="Z57" i="1"/>
  <c r="Z69" i="1"/>
  <c r="BP69" i="1"/>
  <c r="Z135" i="1"/>
  <c r="Z97" i="1"/>
  <c r="Z108" i="1"/>
  <c r="H572" i="1"/>
  <c r="Z201" i="1"/>
  <c r="Z224" i="1"/>
  <c r="Z234" i="1"/>
  <c r="Y289" i="1"/>
  <c r="Z311" i="1"/>
  <c r="Z322" i="1"/>
  <c r="Z362" i="1"/>
  <c r="Z403" i="1"/>
  <c r="Z465" i="1"/>
  <c r="Z527" i="1"/>
  <c r="Z26" i="1"/>
  <c r="Z40" i="1"/>
  <c r="Z104" i="1"/>
  <c r="Z114" i="1"/>
  <c r="Z159" i="1"/>
  <c r="BP55" i="1"/>
  <c r="BN55" i="1"/>
  <c r="Z55" i="1"/>
  <c r="BP67" i="1"/>
  <c r="BN67" i="1"/>
  <c r="Z67" i="1"/>
  <c r="BP86" i="1"/>
  <c r="BN86" i="1"/>
  <c r="Z86" i="1"/>
  <c r="Y109" i="1"/>
  <c r="BP102" i="1"/>
  <c r="BN102" i="1"/>
  <c r="Z102" i="1"/>
  <c r="Y116" i="1"/>
  <c r="BP112" i="1"/>
  <c r="BN112" i="1"/>
  <c r="Z112" i="1"/>
  <c r="BP131" i="1"/>
  <c r="BN131" i="1"/>
  <c r="Z131" i="1"/>
  <c r="BP148" i="1"/>
  <c r="BN148" i="1"/>
  <c r="Z148" i="1"/>
  <c r="BP171" i="1"/>
  <c r="BN171" i="1"/>
  <c r="Z171" i="1"/>
  <c r="BP179" i="1"/>
  <c r="BN179" i="1"/>
  <c r="Z179" i="1"/>
  <c r="BP203" i="1"/>
  <c r="BN203" i="1"/>
  <c r="Z203" i="1"/>
  <c r="BP218" i="1"/>
  <c r="BN218" i="1"/>
  <c r="Z218" i="1"/>
  <c r="BP226" i="1"/>
  <c r="BN226" i="1"/>
  <c r="Z226" i="1"/>
  <c r="Y242" i="1"/>
  <c r="BP238" i="1"/>
  <c r="BN238" i="1"/>
  <c r="Z238" i="1"/>
  <c r="BP256" i="1"/>
  <c r="BN256" i="1"/>
  <c r="Z256" i="1"/>
  <c r="BP266" i="1"/>
  <c r="BN266" i="1"/>
  <c r="Z266" i="1"/>
  <c r="BP278" i="1"/>
  <c r="BN278" i="1"/>
  <c r="Z278" i="1"/>
  <c r="BP293" i="1"/>
  <c r="BN293" i="1"/>
  <c r="Z293" i="1"/>
  <c r="BP313" i="1"/>
  <c r="BN313" i="1"/>
  <c r="Z313" i="1"/>
  <c r="BP324" i="1"/>
  <c r="BN324" i="1"/>
  <c r="Z324" i="1"/>
  <c r="BP344" i="1"/>
  <c r="BN344" i="1"/>
  <c r="Z344" i="1"/>
  <c r="U572" i="1"/>
  <c r="BP367" i="1"/>
  <c r="BN367" i="1"/>
  <c r="Z367" i="1"/>
  <c r="BP379" i="1"/>
  <c r="BN379" i="1"/>
  <c r="Z379" i="1"/>
  <c r="BP389" i="1"/>
  <c r="BN389" i="1"/>
  <c r="Z389" i="1"/>
  <c r="Y411" i="1"/>
  <c r="BP407" i="1"/>
  <c r="BN407" i="1"/>
  <c r="Z407" i="1"/>
  <c r="BP420" i="1"/>
  <c r="BN420" i="1"/>
  <c r="Z420" i="1"/>
  <c r="BP436" i="1"/>
  <c r="BN436" i="1"/>
  <c r="Z436" i="1"/>
  <c r="BP448" i="1"/>
  <c r="BN448" i="1"/>
  <c r="Z448" i="1"/>
  <c r="BP475" i="1"/>
  <c r="BN475" i="1"/>
  <c r="Z475" i="1"/>
  <c r="BP509" i="1"/>
  <c r="BN509" i="1"/>
  <c r="Z509" i="1"/>
  <c r="BP519" i="1"/>
  <c r="BN519" i="1"/>
  <c r="Z519" i="1"/>
  <c r="BP529" i="1"/>
  <c r="BN529" i="1"/>
  <c r="Z529" i="1"/>
  <c r="Z24" i="1"/>
  <c r="BN24" i="1"/>
  <c r="Z30" i="1"/>
  <c r="BN30" i="1"/>
  <c r="BP30" i="1"/>
  <c r="Y33" i="1"/>
  <c r="BP38" i="1"/>
  <c r="BN38" i="1"/>
  <c r="BP48" i="1"/>
  <c r="BN48" i="1"/>
  <c r="Z48" i="1"/>
  <c r="BP59" i="1"/>
  <c r="BN59" i="1"/>
  <c r="Z59" i="1"/>
  <c r="Y75" i="1"/>
  <c r="BP73" i="1"/>
  <c r="BN73" i="1"/>
  <c r="Z73" i="1"/>
  <c r="BP95" i="1"/>
  <c r="BN95" i="1"/>
  <c r="Z95" i="1"/>
  <c r="BP106" i="1"/>
  <c r="BN106" i="1"/>
  <c r="Z106" i="1"/>
  <c r="Y122" i="1"/>
  <c r="BP118" i="1"/>
  <c r="BN118" i="1"/>
  <c r="Z118" i="1"/>
  <c r="BP141" i="1"/>
  <c r="BN141" i="1"/>
  <c r="Z141" i="1"/>
  <c r="BP161" i="1"/>
  <c r="BN161" i="1"/>
  <c r="Z161" i="1"/>
  <c r="BP175" i="1"/>
  <c r="BN175" i="1"/>
  <c r="Z175" i="1"/>
  <c r="Y191" i="1"/>
  <c r="Y190" i="1"/>
  <c r="BP189" i="1"/>
  <c r="BN189" i="1"/>
  <c r="Z189" i="1"/>
  <c r="Z190" i="1" s="1"/>
  <c r="Y195" i="1"/>
  <c r="Y194" i="1"/>
  <c r="BP193" i="1"/>
  <c r="BN193" i="1"/>
  <c r="Z193" i="1"/>
  <c r="Z194" i="1" s="1"/>
  <c r="Y206" i="1"/>
  <c r="BP199" i="1"/>
  <c r="BN199" i="1"/>
  <c r="Z199" i="1"/>
  <c r="Y211" i="1"/>
  <c r="BP210" i="1"/>
  <c r="BN210" i="1"/>
  <c r="Z210" i="1"/>
  <c r="Z211" i="1" s="1"/>
  <c r="Y228" i="1"/>
  <c r="BP214" i="1"/>
  <c r="BN214" i="1"/>
  <c r="Z214" i="1"/>
  <c r="BP222" i="1"/>
  <c r="BN222" i="1"/>
  <c r="Z222" i="1"/>
  <c r="BP232" i="1"/>
  <c r="BN232" i="1"/>
  <c r="Z232" i="1"/>
  <c r="Y246" i="1"/>
  <c r="Y245" i="1"/>
  <c r="BP244" i="1"/>
  <c r="BN244" i="1"/>
  <c r="Z244" i="1"/>
  <c r="Z245" i="1" s="1"/>
  <c r="BP249" i="1"/>
  <c r="BN249" i="1"/>
  <c r="Z249" i="1"/>
  <c r="BP262" i="1"/>
  <c r="BN262" i="1"/>
  <c r="Z262" i="1"/>
  <c r="BP274" i="1"/>
  <c r="BN274" i="1"/>
  <c r="Z274" i="1"/>
  <c r="BP282" i="1"/>
  <c r="BN282" i="1"/>
  <c r="Z282" i="1"/>
  <c r="BP297" i="1"/>
  <c r="BN297" i="1"/>
  <c r="Z297" i="1"/>
  <c r="BP320" i="1"/>
  <c r="BN320" i="1"/>
  <c r="Z320" i="1"/>
  <c r="BP338" i="1"/>
  <c r="BN338" i="1"/>
  <c r="Z338" i="1"/>
  <c r="Y353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1" i="1"/>
  <c r="BN371" i="1"/>
  <c r="Z371" i="1"/>
  <c r="Y76" i="1"/>
  <c r="Y82" i="1"/>
  <c r="Y137" i="1"/>
  <c r="J572" i="1"/>
  <c r="Y167" i="1"/>
  <c r="Y236" i="1"/>
  <c r="Y269" i="1"/>
  <c r="Y288" i="1"/>
  <c r="Y314" i="1"/>
  <c r="Y347" i="1"/>
  <c r="BP373" i="1"/>
  <c r="BN373" i="1"/>
  <c r="Z373" i="1"/>
  <c r="BP383" i="1"/>
  <c r="BN383" i="1"/>
  <c r="Z383" i="1"/>
  <c r="BP401" i="1"/>
  <c r="BN401" i="1"/>
  <c r="Z401" i="1"/>
  <c r="Y417" i="1"/>
  <c r="BP413" i="1"/>
  <c r="BN413" i="1"/>
  <c r="Z413" i="1"/>
  <c r="Y432" i="1"/>
  <c r="BP428" i="1"/>
  <c r="BN428" i="1"/>
  <c r="Z428" i="1"/>
  <c r="BP440" i="1"/>
  <c r="BN440" i="1"/>
  <c r="Z440" i="1"/>
  <c r="BP460" i="1"/>
  <c r="BN460" i="1"/>
  <c r="Z460" i="1"/>
  <c r="BP485" i="1"/>
  <c r="BN485" i="1"/>
  <c r="Z485" i="1"/>
  <c r="BP513" i="1"/>
  <c r="BN513" i="1"/>
  <c r="Z513" i="1"/>
  <c r="Y533" i="1"/>
  <c r="BP525" i="1"/>
  <c r="BN525" i="1"/>
  <c r="Z525" i="1"/>
  <c r="Y539" i="1"/>
  <c r="Y538" i="1"/>
  <c r="BP537" i="1"/>
  <c r="BN537" i="1"/>
  <c r="Z537" i="1"/>
  <c r="Z538" i="1" s="1"/>
  <c r="Y543" i="1"/>
  <c r="Y542" i="1"/>
  <c r="BP541" i="1"/>
  <c r="BN541" i="1"/>
  <c r="Z541" i="1"/>
  <c r="Z542" i="1" s="1"/>
  <c r="Y547" i="1"/>
  <c r="Y546" i="1"/>
  <c r="BP545" i="1"/>
  <c r="BN545" i="1"/>
  <c r="Z545" i="1"/>
  <c r="Z546" i="1" s="1"/>
  <c r="Y551" i="1"/>
  <c r="Y550" i="1"/>
  <c r="BP549" i="1"/>
  <c r="BN549" i="1"/>
  <c r="Z549" i="1"/>
  <c r="Z550" i="1" s="1"/>
  <c r="Y555" i="1"/>
  <c r="BP553" i="1"/>
  <c r="BN553" i="1"/>
  <c r="Z553" i="1"/>
  <c r="Y385" i="1"/>
  <c r="Y391" i="1"/>
  <c r="Y397" i="1"/>
  <c r="Y456" i="1"/>
  <c r="Y572" i="1"/>
  <c r="AA572" i="1"/>
  <c r="H9" i="1"/>
  <c r="A10" i="1"/>
  <c r="B572" i="1"/>
  <c r="X563" i="1"/>
  <c r="X564" i="1"/>
  <c r="Z23" i="1"/>
  <c r="BN23" i="1"/>
  <c r="BP23" i="1"/>
  <c r="Z25" i="1"/>
  <c r="BN25" i="1"/>
  <c r="X566" i="1"/>
  <c r="Y28" i="1"/>
  <c r="Z31" i="1"/>
  <c r="Z32" i="1" s="1"/>
  <c r="BN31" i="1"/>
  <c r="BP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Y71" i="1"/>
  <c r="Z74" i="1"/>
  <c r="BN74" i="1"/>
  <c r="BP74" i="1"/>
  <c r="Z78" i="1"/>
  <c r="BN78" i="1"/>
  <c r="BP78" i="1"/>
  <c r="Z80" i="1"/>
  <c r="BN80" i="1"/>
  <c r="Y81" i="1"/>
  <c r="Z85" i="1"/>
  <c r="BN85" i="1"/>
  <c r="BP85" i="1"/>
  <c r="Z87" i="1"/>
  <c r="BN87" i="1"/>
  <c r="Y92" i="1"/>
  <c r="Y98" i="1"/>
  <c r="Y115" i="1"/>
  <c r="Y123" i="1"/>
  <c r="Y127" i="1"/>
  <c r="Y132" i="1"/>
  <c r="Y138" i="1"/>
  <c r="Y142" i="1"/>
  <c r="Y151" i="1"/>
  <c r="Y155" i="1"/>
  <c r="Y162" i="1"/>
  <c r="Y168" i="1"/>
  <c r="Y182" i="1"/>
  <c r="Y186" i="1"/>
  <c r="Y227" i="1"/>
  <c r="Y235" i="1"/>
  <c r="Y241" i="1"/>
  <c r="Y253" i="1"/>
  <c r="Y257" i="1"/>
  <c r="BP267" i="1"/>
  <c r="BN267" i="1"/>
  <c r="Z267" i="1"/>
  <c r="Y283" i="1"/>
  <c r="Y284" i="1"/>
  <c r="BP271" i="1"/>
  <c r="BN271" i="1"/>
  <c r="Z271" i="1"/>
  <c r="BP275" i="1"/>
  <c r="BN275" i="1"/>
  <c r="Z275" i="1"/>
  <c r="F9" i="1"/>
  <c r="J9" i="1"/>
  <c r="Y43" i="1"/>
  <c r="Y51" i="1"/>
  <c r="Y64" i="1"/>
  <c r="Z88" i="1"/>
  <c r="BN88" i="1"/>
  <c r="Z90" i="1"/>
  <c r="BN90" i="1"/>
  <c r="Y91" i="1"/>
  <c r="Z94" i="1"/>
  <c r="BN94" i="1"/>
  <c r="BP94" i="1"/>
  <c r="Z96" i="1"/>
  <c r="BN96" i="1"/>
  <c r="G572" i="1"/>
  <c r="Z103" i="1"/>
  <c r="BN103" i="1"/>
  <c r="Z105" i="1"/>
  <c r="BN105" i="1"/>
  <c r="Z107" i="1"/>
  <c r="BN107" i="1"/>
  <c r="Y110" i="1"/>
  <c r="Z113" i="1"/>
  <c r="Z115" i="1" s="1"/>
  <c r="BN113" i="1"/>
  <c r="Z119" i="1"/>
  <c r="BN119" i="1"/>
  <c r="Z121" i="1"/>
  <c r="BN121" i="1"/>
  <c r="Z125" i="1"/>
  <c r="Z126" i="1" s="1"/>
  <c r="BN125" i="1"/>
  <c r="BP125" i="1"/>
  <c r="Z130" i="1"/>
  <c r="Z132" i="1" s="1"/>
  <c r="BN130" i="1"/>
  <c r="BP130" i="1"/>
  <c r="Y133" i="1"/>
  <c r="Z136" i="1"/>
  <c r="Z137" i="1" s="1"/>
  <c r="BN136" i="1"/>
  <c r="Z140" i="1"/>
  <c r="Z142" i="1" s="1"/>
  <c r="BN140" i="1"/>
  <c r="BP140" i="1"/>
  <c r="I572" i="1"/>
  <c r="Z147" i="1"/>
  <c r="Z150" i="1" s="1"/>
  <c r="BN147" i="1"/>
  <c r="Z149" i="1"/>
  <c r="BN149" i="1"/>
  <c r="Y150" i="1"/>
  <c r="Z153" i="1"/>
  <c r="Z154" i="1" s="1"/>
  <c r="BN153" i="1"/>
  <c r="BP153" i="1"/>
  <c r="Z158" i="1"/>
  <c r="BN158" i="1"/>
  <c r="BP158" i="1"/>
  <c r="Z160" i="1"/>
  <c r="BN160" i="1"/>
  <c r="Y163" i="1"/>
  <c r="Z166" i="1"/>
  <c r="Z167" i="1" s="1"/>
  <c r="BN166" i="1"/>
  <c r="Z170" i="1"/>
  <c r="BN170" i="1"/>
  <c r="BP170" i="1"/>
  <c r="Z172" i="1"/>
  <c r="BN172" i="1"/>
  <c r="Z174" i="1"/>
  <c r="BN174" i="1"/>
  <c r="Z176" i="1"/>
  <c r="BN176" i="1"/>
  <c r="Z178" i="1"/>
  <c r="BN178" i="1"/>
  <c r="Z180" i="1"/>
  <c r="BN180" i="1"/>
  <c r="Z184" i="1"/>
  <c r="Z186" i="1" s="1"/>
  <c r="BN184" i="1"/>
  <c r="BP184" i="1"/>
  <c r="K572" i="1"/>
  <c r="Z200" i="1"/>
  <c r="BN200" i="1"/>
  <c r="Z202" i="1"/>
  <c r="BN202" i="1"/>
  <c r="Z204" i="1"/>
  <c r="BN204" i="1"/>
  <c r="Y207" i="1"/>
  <c r="L572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Z241" i="1" s="1"/>
  <c r="BN239" i="1"/>
  <c r="M572" i="1"/>
  <c r="Z250" i="1"/>
  <c r="BN250" i="1"/>
  <c r="Z251" i="1"/>
  <c r="BN251" i="1"/>
  <c r="Y252" i="1"/>
  <c r="Z255" i="1"/>
  <c r="Z257" i="1" s="1"/>
  <c r="BN255" i="1"/>
  <c r="BP255" i="1"/>
  <c r="Y268" i="1"/>
  <c r="Z261" i="1"/>
  <c r="BN261" i="1"/>
  <c r="Z263" i="1"/>
  <c r="BN263" i="1"/>
  <c r="BP265" i="1"/>
  <c r="BN265" i="1"/>
  <c r="Z265" i="1"/>
  <c r="BP273" i="1"/>
  <c r="BN273" i="1"/>
  <c r="Z273" i="1"/>
  <c r="Z326" i="1"/>
  <c r="Z277" i="1"/>
  <c r="BN277" i="1"/>
  <c r="Z279" i="1"/>
  <c r="BN279" i="1"/>
  <c r="Z281" i="1"/>
  <c r="BN281" i="1"/>
  <c r="Z287" i="1"/>
  <c r="Z288" i="1" s="1"/>
  <c r="BN287" i="1"/>
  <c r="BP287" i="1"/>
  <c r="Z292" i="1"/>
  <c r="BN292" i="1"/>
  <c r="BP292" i="1"/>
  <c r="Z294" i="1"/>
  <c r="BN294" i="1"/>
  <c r="Z296" i="1"/>
  <c r="BN296" i="1"/>
  <c r="Z298" i="1"/>
  <c r="BN298" i="1"/>
  <c r="Y299" i="1"/>
  <c r="Z302" i="1"/>
  <c r="Z303" i="1" s="1"/>
  <c r="BN302" i="1"/>
  <c r="BP302" i="1"/>
  <c r="Y303" i="1"/>
  <c r="Z306" i="1"/>
  <c r="Z307" i="1" s="1"/>
  <c r="BN306" i="1"/>
  <c r="BP306" i="1"/>
  <c r="Y307" i="1"/>
  <c r="Z310" i="1"/>
  <c r="Z314" i="1" s="1"/>
  <c r="BN310" i="1"/>
  <c r="BP310" i="1"/>
  <c r="Z312" i="1"/>
  <c r="BN312" i="1"/>
  <c r="Y315" i="1"/>
  <c r="P572" i="1"/>
  <c r="Z319" i="1"/>
  <c r="BN319" i="1"/>
  <c r="Z321" i="1"/>
  <c r="BN321" i="1"/>
  <c r="Z323" i="1"/>
  <c r="BN323" i="1"/>
  <c r="Z325" i="1"/>
  <c r="BN325" i="1"/>
  <c r="Y326" i="1"/>
  <c r="Z330" i="1"/>
  <c r="BN330" i="1"/>
  <c r="BP339" i="1"/>
  <c r="BN339" i="1"/>
  <c r="Z339" i="1"/>
  <c r="Y348" i="1"/>
  <c r="Y300" i="1"/>
  <c r="Y327" i="1"/>
  <c r="Q572" i="1"/>
  <c r="Y333" i="1"/>
  <c r="BP332" i="1"/>
  <c r="BN332" i="1"/>
  <c r="Z332" i="1"/>
  <c r="Y334" i="1"/>
  <c r="R572" i="1"/>
  <c r="Y342" i="1"/>
  <c r="BP337" i="1"/>
  <c r="BN337" i="1"/>
  <c r="Z337" i="1"/>
  <c r="Y341" i="1"/>
  <c r="BP345" i="1"/>
  <c r="BN345" i="1"/>
  <c r="Z345" i="1"/>
  <c r="Z347" i="1" s="1"/>
  <c r="Y363" i="1"/>
  <c r="Y374" i="1"/>
  <c r="Y384" i="1"/>
  <c r="Y392" i="1"/>
  <c r="Y398" i="1"/>
  <c r="Y404" i="1"/>
  <c r="Y410" i="1"/>
  <c r="Y416" i="1"/>
  <c r="Y424" i="1"/>
  <c r="Y431" i="1"/>
  <c r="Y445" i="1"/>
  <c r="Y451" i="1"/>
  <c r="Y457" i="1"/>
  <c r="Y461" i="1"/>
  <c r="Y468" i="1"/>
  <c r="Y472" i="1"/>
  <c r="Y478" i="1"/>
  <c r="Z572" i="1"/>
  <c r="Y488" i="1"/>
  <c r="BP502" i="1"/>
  <c r="BN502" i="1"/>
  <c r="Z502" i="1"/>
  <c r="Y504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Z522" i="1" s="1"/>
  <c r="BP528" i="1"/>
  <c r="BN528" i="1"/>
  <c r="Z528" i="1"/>
  <c r="Y532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S572" i="1"/>
  <c r="W572" i="1"/>
  <c r="T572" i="1"/>
  <c r="Z361" i="1"/>
  <c r="BN361" i="1"/>
  <c r="Y364" i="1"/>
  <c r="Z368" i="1"/>
  <c r="BN368" i="1"/>
  <c r="Z370" i="1"/>
  <c r="BN370" i="1"/>
  <c r="Z372" i="1"/>
  <c r="BN372" i="1"/>
  <c r="Y375" i="1"/>
  <c r="Z378" i="1"/>
  <c r="BN378" i="1"/>
  <c r="Z380" i="1"/>
  <c r="BN380" i="1"/>
  <c r="Z382" i="1"/>
  <c r="BN382" i="1"/>
  <c r="Z388" i="1"/>
  <c r="BN388" i="1"/>
  <c r="Z390" i="1"/>
  <c r="BN390" i="1"/>
  <c r="Z394" i="1"/>
  <c r="BN394" i="1"/>
  <c r="BP394" i="1"/>
  <c r="Z396" i="1"/>
  <c r="BN396" i="1"/>
  <c r="Z400" i="1"/>
  <c r="BN400" i="1"/>
  <c r="BP400" i="1"/>
  <c r="Z402" i="1"/>
  <c r="BN402" i="1"/>
  <c r="Z408" i="1"/>
  <c r="Z410" i="1" s="1"/>
  <c r="BN408" i="1"/>
  <c r="Z414" i="1"/>
  <c r="BN414" i="1"/>
  <c r="V572" i="1"/>
  <c r="Z421" i="1"/>
  <c r="Z424" i="1" s="1"/>
  <c r="BN421" i="1"/>
  <c r="Y425" i="1"/>
  <c r="Z429" i="1"/>
  <c r="BN429" i="1"/>
  <c r="X572" i="1"/>
  <c r="Z437" i="1"/>
  <c r="BN437" i="1"/>
  <c r="Z439" i="1"/>
  <c r="BN439" i="1"/>
  <c r="Z441" i="1"/>
  <c r="BN441" i="1"/>
  <c r="Z443" i="1"/>
  <c r="BN443" i="1"/>
  <c r="Y444" i="1"/>
  <c r="Z447" i="1"/>
  <c r="BN447" i="1"/>
  <c r="BP447" i="1"/>
  <c r="Z449" i="1"/>
  <c r="BN449" i="1"/>
  <c r="Z453" i="1"/>
  <c r="BN453" i="1"/>
  <c r="BP453" i="1"/>
  <c r="Z455" i="1"/>
  <c r="BN455" i="1"/>
  <c r="Z459" i="1"/>
  <c r="BN459" i="1"/>
  <c r="BP459" i="1"/>
  <c r="Z466" i="1"/>
  <c r="Z467" i="1" s="1"/>
  <c r="BN466" i="1"/>
  <c r="Y467" i="1"/>
  <c r="Z470" i="1"/>
  <c r="Z471" i="1" s="1"/>
  <c r="BN470" i="1"/>
  <c r="BP470" i="1"/>
  <c r="Z474" i="1"/>
  <c r="BN474" i="1"/>
  <c r="BP474" i="1"/>
  <c r="Z476" i="1"/>
  <c r="BN476" i="1"/>
  <c r="Z482" i="1"/>
  <c r="BN482" i="1"/>
  <c r="BP482" i="1"/>
  <c r="Z484" i="1"/>
  <c r="BN484" i="1"/>
  <c r="Z486" i="1"/>
  <c r="BN486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Y498" i="1"/>
  <c r="Y503" i="1"/>
  <c r="BP500" i="1"/>
  <c r="BN500" i="1"/>
  <c r="Z500" i="1"/>
  <c r="BP510" i="1"/>
  <c r="BN510" i="1"/>
  <c r="Z510" i="1"/>
  <c r="BP514" i="1"/>
  <c r="BN514" i="1"/>
  <c r="Z514" i="1"/>
  <c r="Y523" i="1"/>
  <c r="Y522" i="1"/>
  <c r="BP526" i="1"/>
  <c r="BN526" i="1"/>
  <c r="Z526" i="1"/>
  <c r="Z532" i="1" s="1"/>
  <c r="BP530" i="1"/>
  <c r="BN530" i="1"/>
  <c r="Z530" i="1"/>
  <c r="AC572" i="1"/>
  <c r="Z333" i="1" l="1"/>
  <c r="Z299" i="1"/>
  <c r="Z235" i="1"/>
  <c r="Z27" i="1"/>
  <c r="Z75" i="1"/>
  <c r="Z444" i="1"/>
  <c r="Z374" i="1"/>
  <c r="Z268" i="1"/>
  <c r="Z227" i="1"/>
  <c r="Z109" i="1"/>
  <c r="Z503" i="1"/>
  <c r="Z488" i="1"/>
  <c r="Z461" i="1"/>
  <c r="Z450" i="1"/>
  <c r="Z431" i="1"/>
  <c r="Z416" i="1"/>
  <c r="Z397" i="1"/>
  <c r="Z391" i="1"/>
  <c r="Z384" i="1"/>
  <c r="Z363" i="1"/>
  <c r="Z252" i="1"/>
  <c r="Z206" i="1"/>
  <c r="Y564" i="1"/>
  <c r="Z122" i="1"/>
  <c r="Z81" i="1"/>
  <c r="Z63" i="1"/>
  <c r="Y566" i="1"/>
  <c r="Y563" i="1"/>
  <c r="Y565" i="1" s="1"/>
  <c r="Z516" i="1"/>
  <c r="Z91" i="1"/>
  <c r="Z477" i="1"/>
  <c r="Z456" i="1"/>
  <c r="Z404" i="1"/>
  <c r="Z341" i="1"/>
  <c r="Z181" i="1"/>
  <c r="Z162" i="1"/>
  <c r="Z98" i="1"/>
  <c r="Z283" i="1"/>
  <c r="Z70" i="1"/>
  <c r="Z51" i="1"/>
  <c r="Z42" i="1"/>
  <c r="Y562" i="1"/>
  <c r="X565" i="1"/>
  <c r="Z567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<sst xmlns="http://schemas.openxmlformats.org/spreadsheetml/2006/main" count="2533" uniqueCount="915">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</sst>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46328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891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5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0.41666666666666669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181</v>
      </c>
      <c r="Y47" s="636">
        <f>IFERROR(IF(X47="",0,CEILING((X47/$H47),1)*$H47),"")</f>
        <v>183.60000000000002</v>
      </c>
      <c r="Z47" s="36">
        <f>IFERROR(IF(Y47=0,"",ROUNDUP(Y47/H47,0)*0.01898),"")</f>
        <v>0.32266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187.87129629629629</v>
      </c>
      <c r="BN47" s="64">
        <f>IFERROR(Y47*I47/H47,"0")</f>
        <v>190.57000000000002</v>
      </c>
      <c r="BO47" s="64">
        <f>IFERROR(1/J47*(X47/H47),"0")</f>
        <v>0.26186342592592593</v>
      </c>
      <c r="BP47" s="64">
        <f>IFERROR(1/J47*(Y47/H47),"0")</f>
        <v>0.265625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15</v>
      </c>
      <c r="Y49" s="636">
        <f>IFERROR(IF(X49="",0,CEILING((X49/$H49),1)*$H49),"")</f>
        <v>16</v>
      </c>
      <c r="Z49" s="36">
        <f>IFERROR(IF(Y49=0,"",ROUNDUP(Y49/H49,0)*0.00902),"")</f>
        <v>3.6080000000000001E-2</v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15.712500000000002</v>
      </c>
      <c r="BN49" s="64">
        <f>IFERROR(Y49*I49/H49,"0")</f>
        <v>16.760000000000002</v>
      </c>
      <c r="BO49" s="64">
        <f>IFERROR(1/J49*(X49/H49),"0")</f>
        <v>2.8409090909090912E-2</v>
      </c>
      <c r="BP49" s="64">
        <f>IFERROR(1/J49*(Y49/H49),"0")</f>
        <v>3.0303030303030304E-2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20.50925925925926</v>
      </c>
      <c r="Y51" s="637">
        <f>IFERROR(Y47/H47,"0")+IFERROR(Y48/H48,"0")+IFERROR(Y49/H49,"0")+IFERROR(Y50/H50,"0")</f>
        <v>21</v>
      </c>
      <c r="Z51" s="637">
        <f>IFERROR(IF(Z47="",0,Z47),"0")+IFERROR(IF(Z48="",0,Z48),"0")+IFERROR(IF(Z49="",0,Z49),"0")+IFERROR(IF(Z50="",0,Z50),"0")</f>
        <v>0.35874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196</v>
      </c>
      <c r="Y52" s="637">
        <f>IFERROR(SUM(Y47:Y50),"0")</f>
        <v>199.60000000000002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66</v>
      </c>
      <c r="Y62" s="636">
        <f t="shared" si="0"/>
        <v>67.5</v>
      </c>
      <c r="Z62" s="36">
        <f>IFERROR(IF(Y62=0,"",ROUNDUP(Y62/H62,0)*0.00902),"")</f>
        <v>0.1353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68.786666666666676</v>
      </c>
      <c r="BN62" s="64">
        <f t="shared" si="2"/>
        <v>70.350000000000009</v>
      </c>
      <c r="BO62" s="64">
        <f t="shared" si="3"/>
        <v>0.1111111111111111</v>
      </c>
      <c r="BP62" s="64">
        <f t="shared" si="4"/>
        <v>0.11363636363636365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14.666666666666666</v>
      </c>
      <c r="Y63" s="637">
        <f>IFERROR(Y55/H55,"0")+IFERROR(Y56/H56,"0")+IFERROR(Y57/H57,"0")+IFERROR(Y58/H58,"0")+IFERROR(Y59/H59,"0")+IFERROR(Y60/H60,"0")+IFERROR(Y61/H61,"0")+IFERROR(Y62/H62,"0")</f>
        <v>15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0.1353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66</v>
      </c>
      <c r="Y64" s="637">
        <f>IFERROR(SUM(Y55:Y62),"0")</f>
        <v>67.5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10</v>
      </c>
      <c r="Y66" s="636">
        <f>IFERROR(IF(X66="",0,CEILING((X66/$H66),1)*$H66),"")</f>
        <v>10.8</v>
      </c>
      <c r="Z66" s="36">
        <f>IFERROR(IF(Y66=0,"",ROUNDUP(Y66/H66,0)*0.01898),"")</f>
        <v>1.898E-2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10.37962962962963</v>
      </c>
      <c r="BN66" s="64">
        <f>IFERROR(Y66*I66/H66,"0")</f>
        <v>11.21</v>
      </c>
      <c r="BO66" s="64">
        <f>IFERROR(1/J66*(X66/H66),"0")</f>
        <v>1.4467592592592591E-2</v>
      </c>
      <c r="BP66" s="64">
        <f>IFERROR(1/J66*(Y66/H66),"0")</f>
        <v>1.5625E-2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0.92592592592592582</v>
      </c>
      <c r="Y70" s="637">
        <f>IFERROR(Y66/H66,"0")+IFERROR(Y67/H67,"0")+IFERROR(Y68/H68,"0")+IFERROR(Y69/H69,"0")</f>
        <v>1</v>
      </c>
      <c r="Z70" s="637">
        <f>IFERROR(IF(Z66="",0,Z66),"0")+IFERROR(IF(Z67="",0,Z67),"0")+IFERROR(IF(Z68="",0,Z68),"0")+IFERROR(IF(Z69="",0,Z69),"0")</f>
        <v>1.898E-2</v>
      </c>
      <c r="AA70" s="638"/>
      <c r="AB70" s="638"/>
      <c r="AC70" s="638"/>
    </row>
    <row r="71" spans="1:68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10</v>
      </c>
      <c r="Y71" s="637">
        <f>IFERROR(SUM(Y66:Y69),"0")</f>
        <v>10.8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179</v>
      </c>
      <c r="Y85" s="636">
        <f t="shared" ref="Y85:Y90" si="5"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185.79537037037036</v>
      </c>
      <c r="BN85" s="64">
        <f t="shared" ref="BN85:BN90" si="7">IFERROR(Y85*I85/H85,"0")</f>
        <v>190.57000000000002</v>
      </c>
      <c r="BO85" s="64">
        <f t="shared" ref="BO85:BO90" si="8">IFERROR(1/J85*(X85/H85),"0")</f>
        <v>0.25896990740740738</v>
      </c>
      <c r="BP85" s="64">
        <f t="shared" ref="BP85:BP90" si="9">IFERROR(1/J85*(Y85/H85),"0")</f>
        <v>0.265625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153</v>
      </c>
      <c r="Y90" s="636">
        <f t="shared" si="5"/>
        <v>153</v>
      </c>
      <c r="Z90" s="36">
        <f>IFERROR(IF(Y90=0,"",ROUNDUP(Y90/H90,0)*0.00902),"")</f>
        <v>0.30668000000000001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159.46</v>
      </c>
      <c r="BN90" s="64">
        <f t="shared" si="7"/>
        <v>159.46</v>
      </c>
      <c r="BO90" s="64">
        <f t="shared" si="8"/>
        <v>0.25757575757575757</v>
      </c>
      <c r="BP90" s="64">
        <f t="shared" si="9"/>
        <v>0.25757575757575757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50.574074074074076</v>
      </c>
      <c r="Y91" s="637">
        <f>IFERROR(Y85/H85,"0")+IFERROR(Y86/H86,"0")+IFERROR(Y87/H87,"0")+IFERROR(Y88/H88,"0")+IFERROR(Y89/H89,"0")+IFERROR(Y90/H90,"0")</f>
        <v>51</v>
      </c>
      <c r="Z91" s="637">
        <f>IFERROR(IF(Z85="",0,Z85),"0")+IFERROR(IF(Z86="",0,Z86),"0")+IFERROR(IF(Z87="",0,Z87),"0")+IFERROR(IF(Z88="",0,Z88),"0")+IFERROR(IF(Z89="",0,Z89),"0")+IFERROR(IF(Z90="",0,Z90),"0")</f>
        <v>0.62934000000000001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332</v>
      </c>
      <c r="Y92" s="637">
        <f>IFERROR(SUM(Y85:Y90),"0")</f>
        <v>336.6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216</v>
      </c>
      <c r="Y94" s="636">
        <f>IFERROR(IF(X94="",0,CEILING((X94/$H94),1)*$H94),"")</f>
        <v>218.7</v>
      </c>
      <c r="Z94" s="36">
        <f>IFERROR(IF(Y94=0,"",ROUNDUP(Y94/H94,0)*0.01898),"")</f>
        <v>0.51246000000000003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229.17333333333332</v>
      </c>
      <c r="BN94" s="64">
        <f>IFERROR(Y94*I94/H94,"0")</f>
        <v>232.03799999999998</v>
      </c>
      <c r="BO94" s="64">
        <f>IFERROR(1/J94*(X94/H94),"0")</f>
        <v>0.41666666666666669</v>
      </c>
      <c r="BP94" s="64">
        <f>IFERROR(1/J94*(Y94/H94),"0")</f>
        <v>0.421875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124</v>
      </c>
      <c r="Y96" s="636">
        <f>IFERROR(IF(X96="",0,CEILING((X96/$H96),1)*$H96),"")</f>
        <v>124.2</v>
      </c>
      <c r="Z96" s="36">
        <f>IFERROR(IF(Y96=0,"",ROUNDUP(Y96/H96,0)*0.00651),"")</f>
        <v>0.29946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135.57333333333332</v>
      </c>
      <c r="BN96" s="64">
        <f>IFERROR(Y96*I96/H96,"0")</f>
        <v>135.792</v>
      </c>
      <c r="BO96" s="64">
        <f>IFERROR(1/J96*(X96/H96),"0")</f>
        <v>0.25234025234025237</v>
      </c>
      <c r="BP96" s="64">
        <f>IFERROR(1/J96*(Y96/H96),"0")</f>
        <v>0.25274725274725279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72.592592592592595</v>
      </c>
      <c r="Y98" s="637">
        <f>IFERROR(Y94/H94,"0")+IFERROR(Y95/H95,"0")+IFERROR(Y96/H96,"0")+IFERROR(Y97/H97,"0")</f>
        <v>73</v>
      </c>
      <c r="Z98" s="637">
        <f>IFERROR(IF(Z94="",0,Z94),"0")+IFERROR(IF(Z95="",0,Z95),"0")+IFERROR(IF(Z96="",0,Z96),"0")+IFERROR(IF(Z97="",0,Z97),"0")</f>
        <v>0.81191999999999998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340</v>
      </c>
      <c r="Y99" s="637">
        <f>IFERROR(SUM(Y94:Y97),"0")</f>
        <v>342.9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95</v>
      </c>
      <c r="Y106" s="636">
        <f t="shared" si="10"/>
        <v>99</v>
      </c>
      <c r="Z106" s="36">
        <f>IFERROR(IF(Y106=0,"",ROUNDUP(Y106/H106,0)*0.00902),"")</f>
        <v>0.19844000000000001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99.01111111111112</v>
      </c>
      <c r="BN106" s="64">
        <f t="shared" si="12"/>
        <v>103.18</v>
      </c>
      <c r="BO106" s="64">
        <f t="shared" si="13"/>
        <v>0.15993265993265993</v>
      </c>
      <c r="BP106" s="64">
        <f t="shared" si="14"/>
        <v>0.16666666666666669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21.111111111111111</v>
      </c>
      <c r="Y109" s="637">
        <f>IFERROR(Y102/H102,"0")+IFERROR(Y103/H103,"0")+IFERROR(Y104/H104,"0")+IFERROR(Y105/H105,"0")+IFERROR(Y106/H106,"0")+IFERROR(Y107/H107,"0")+IFERROR(Y108/H108,"0")</f>
        <v>22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0.19844000000000001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95</v>
      </c>
      <c r="Y110" s="637">
        <f>IFERROR(SUM(Y102:Y108),"0")</f>
        <v>99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23</v>
      </c>
      <c r="Y114" s="636">
        <f>IFERROR(IF(X114="",0,CEILING((X114/$H114),1)*$H114),"")</f>
        <v>24</v>
      </c>
      <c r="Z114" s="36">
        <f>IFERROR(IF(Y114=0,"",ROUNDUP(Y114/H114,0)*0.00651),"")</f>
        <v>6.5100000000000005E-2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24.725000000000001</v>
      </c>
      <c r="BN114" s="64">
        <f>IFERROR(Y114*I114/H114,"0")</f>
        <v>25.8</v>
      </c>
      <c r="BO114" s="64">
        <f>IFERROR(1/J114*(X114/H114),"0")</f>
        <v>5.2655677655677663E-2</v>
      </c>
      <c r="BP114" s="64">
        <f>IFERROR(1/J114*(Y114/H114),"0")</f>
        <v>5.4945054945054951E-2</v>
      </c>
    </row>
    <row r="115" spans="1:68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9.5833333333333339</v>
      </c>
      <c r="Y115" s="637">
        <f>IFERROR(Y112/H112,"0")+IFERROR(Y113/H113,"0")+IFERROR(Y114/H114,"0")</f>
        <v>10</v>
      </c>
      <c r="Z115" s="637">
        <f>IFERROR(IF(Z112="",0,Z112),"0")+IFERROR(IF(Z113="",0,Z113),"0")+IFERROR(IF(Z114="",0,Z114),"0")</f>
        <v>6.5100000000000005E-2</v>
      </c>
      <c r="AA115" s="638"/>
      <c r="AB115" s="638"/>
      <c r="AC115" s="638"/>
    </row>
    <row r="116" spans="1:68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23</v>
      </c>
      <c r="Y116" s="637">
        <f>IFERROR(SUM(Y112:Y114),"0")</f>
        <v>24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330</v>
      </c>
      <c r="Y118" s="636">
        <f>IFERROR(IF(X118="",0,CEILING((X118/$H118),1)*$H118),"")</f>
        <v>332.09999999999997</v>
      </c>
      <c r="Z118" s="36">
        <f>IFERROR(IF(Y118=0,"",ROUNDUP(Y118/H118,0)*0.01898),"")</f>
        <v>0.77817999999999998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349.88148148148144</v>
      </c>
      <c r="BN118" s="64">
        <f>IFERROR(Y118*I118/H118,"0")</f>
        <v>352.10799999999995</v>
      </c>
      <c r="BO118" s="64">
        <f>IFERROR(1/J118*(X118/H118),"0")</f>
        <v>0.63657407407407407</v>
      </c>
      <c r="BP118" s="64">
        <f>IFERROR(1/J118*(Y118/H118),"0")</f>
        <v>0.640625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106</v>
      </c>
      <c r="Y120" s="636">
        <f>IFERROR(IF(X120="",0,CEILING((X120/$H120),1)*$H120),"")</f>
        <v>108</v>
      </c>
      <c r="Z120" s="36">
        <f>IFERROR(IF(Y120=0,"",ROUNDUP(Y120/H120,0)*0.00651),"")</f>
        <v>0.26040000000000002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115.89333333333332</v>
      </c>
      <c r="BN120" s="64">
        <f>IFERROR(Y120*I120/H120,"0")</f>
        <v>118.07999999999998</v>
      </c>
      <c r="BO120" s="64">
        <f>IFERROR(1/J120*(X120/H120),"0")</f>
        <v>0.21571021571021573</v>
      </c>
      <c r="BP120" s="64">
        <f>IFERROR(1/J120*(Y120/H120),"0")</f>
        <v>0.2197802197802198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80</v>
      </c>
      <c r="Y122" s="637">
        <f>IFERROR(Y118/H118,"0")+IFERROR(Y119/H119,"0")+IFERROR(Y120/H120,"0")+IFERROR(Y121/H121,"0")</f>
        <v>81</v>
      </c>
      <c r="Z122" s="637">
        <f>IFERROR(IF(Z118="",0,Z118),"0")+IFERROR(IF(Z119="",0,Z119),"0")+IFERROR(IF(Z120="",0,Z120),"0")+IFERROR(IF(Z121="",0,Z121),"0")</f>
        <v>1.0385800000000001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436</v>
      </c>
      <c r="Y123" s="637">
        <f>IFERROR(SUM(Y118:Y121),"0")</f>
        <v>440.09999999999997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9</v>
      </c>
      <c r="Y125" s="636">
        <f>IFERROR(IF(X125="",0,CEILING((X125/$H125),1)*$H125),"")</f>
        <v>9.9</v>
      </c>
      <c r="Z125" s="36">
        <f>IFERROR(IF(Y125=0,"",ROUNDUP(Y125/H125,0)*0.00651),"")</f>
        <v>3.2550000000000003E-2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10.172727272727272</v>
      </c>
      <c r="BN125" s="64">
        <f>IFERROR(Y125*I125/H125,"0")</f>
        <v>11.190000000000001</v>
      </c>
      <c r="BO125" s="64">
        <f>IFERROR(1/J125*(X125/H125),"0")</f>
        <v>2.4975024975024979E-2</v>
      </c>
      <c r="BP125" s="64">
        <f>IFERROR(1/J125*(Y125/H125),"0")</f>
        <v>2.7472527472527476E-2</v>
      </c>
    </row>
    <row r="126" spans="1:68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4.5454545454545459</v>
      </c>
      <c r="Y126" s="637">
        <f>IFERROR(Y125/H125,"0")</f>
        <v>5</v>
      </c>
      <c r="Z126" s="637">
        <f>IFERROR(IF(Z125="",0,Z125),"0")</f>
        <v>3.2550000000000003E-2</v>
      </c>
      <c r="AA126" s="638"/>
      <c r="AB126" s="638"/>
      <c r="AC126" s="638"/>
    </row>
    <row r="127" spans="1:68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9</v>
      </c>
      <c r="Y127" s="637">
        <f>IFERROR(SUM(Y125:Y125),"0")</f>
        <v>9.9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5</v>
      </c>
      <c r="Y130" s="636">
        <f>IFERROR(IF(X130="",0,CEILING((X130/$H130),1)*$H130),"")</f>
        <v>6.4</v>
      </c>
      <c r="Z130" s="36">
        <f>IFERROR(IF(Y130=0,"",ROUNDUP(Y130/H130,0)*0.00651),"")</f>
        <v>1.302E-2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5.2812499999999991</v>
      </c>
      <c r="BN130" s="64">
        <f>IFERROR(Y130*I130/H130,"0")</f>
        <v>6.76</v>
      </c>
      <c r="BO130" s="64">
        <f>IFERROR(1/J130*(X130/H130),"0")</f>
        <v>8.5851648351648359E-3</v>
      </c>
      <c r="BP130" s="64">
        <f>IFERROR(1/J130*(Y130/H130),"0")</f>
        <v>1.098901098901099E-2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1.5625</v>
      </c>
      <c r="Y132" s="637">
        <f>IFERROR(Y130/H130,"0")+IFERROR(Y131/H131,"0")</f>
        <v>2</v>
      </c>
      <c r="Z132" s="637">
        <f>IFERROR(IF(Z130="",0,Z130),"0")+IFERROR(IF(Z131="",0,Z131),"0")</f>
        <v>1.302E-2</v>
      </c>
      <c r="AA132" s="638"/>
      <c r="AB132" s="638"/>
      <c r="AC132" s="638"/>
    </row>
    <row r="133" spans="1:68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5</v>
      </c>
      <c r="Y133" s="637">
        <f>IFERROR(SUM(Y130:Y131),"0")</f>
        <v>6.4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4</v>
      </c>
      <c r="Y140" s="636">
        <f>IFERROR(IF(X140="",0,CEILING((X140/$H140),1)*$H140),"")</f>
        <v>5.28</v>
      </c>
      <c r="Z140" s="36">
        <f>IFERROR(IF(Y140=0,"",ROUNDUP(Y140/H140,0)*0.00651),"")</f>
        <v>1.302E-2</v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4.4060606060606053</v>
      </c>
      <c r="BN140" s="64">
        <f>IFERROR(Y140*I140/H140,"0")</f>
        <v>5.8159999999999998</v>
      </c>
      <c r="BO140" s="64">
        <f>IFERROR(1/J140*(X140/H140),"0")</f>
        <v>8.3250083250083259E-3</v>
      </c>
      <c r="BP140" s="64">
        <f>IFERROR(1/J140*(Y140/H140),"0")</f>
        <v>1.098901098901099E-2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1.5151515151515151</v>
      </c>
      <c r="Y142" s="637">
        <f>IFERROR(Y140/H140,"0")+IFERROR(Y141/H141,"0")</f>
        <v>2</v>
      </c>
      <c r="Z142" s="637">
        <f>IFERROR(IF(Z140="",0,Z140),"0")+IFERROR(IF(Z141="",0,Z141),"0")</f>
        <v>1.302E-2</v>
      </c>
      <c r="AA142" s="638"/>
      <c r="AB142" s="638"/>
      <c r="AC142" s="638"/>
    </row>
    <row r="143" spans="1:68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4</v>
      </c>
      <c r="Y143" s="637">
        <f>IFERROR(SUM(Y140:Y141),"0")</f>
        <v>5.28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0</v>
      </c>
      <c r="Y171" s="636">
        <f t="shared" si="15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380</v>
      </c>
      <c r="Y174" s="636">
        <f t="shared" si="15"/>
        <v>381.5</v>
      </c>
      <c r="Z174" s="36">
        <f>IFERROR(IF(Y174=0,"",ROUNDUP(Y174/H174,0)*0.00902),"")</f>
        <v>0.98318000000000005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400.62857142857143</v>
      </c>
      <c r="BN174" s="64">
        <f t="shared" si="17"/>
        <v>402.21</v>
      </c>
      <c r="BO174" s="64">
        <f t="shared" si="18"/>
        <v>0.82251082251082253</v>
      </c>
      <c r="BP174" s="64">
        <f t="shared" si="19"/>
        <v>0.8257575757575758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8</v>
      </c>
      <c r="Y176" s="636">
        <f t="shared" si="15"/>
        <v>8.4</v>
      </c>
      <c r="Z176" s="36">
        <f>IFERROR(IF(Y176=0,"",ROUNDUP(Y176/H176,0)*0.00502),"")</f>
        <v>2.5100000000000001E-2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8.4761904761904763</v>
      </c>
      <c r="BN176" s="64">
        <f t="shared" si="17"/>
        <v>8.9000000000000021</v>
      </c>
      <c r="BO176" s="64">
        <f t="shared" si="18"/>
        <v>2.0350020350020353E-2</v>
      </c>
      <c r="BP176" s="64">
        <f t="shared" si="19"/>
        <v>2.1367521367521368E-2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113.33333333333333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114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1.0082800000000001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388</v>
      </c>
      <c r="Y182" s="637">
        <f>IFERROR(SUM(Y170:Y180),"0")</f>
        <v>389.9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7</v>
      </c>
      <c r="Y216" s="636">
        <f t="shared" si="26"/>
        <v>8.4</v>
      </c>
      <c r="Z216" s="36">
        <f>IFERROR(IF(Y216=0,"",ROUNDUP(Y216/H216,0)*0.00902),"")</f>
        <v>1.804E-2</v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7.3166666666666655</v>
      </c>
      <c r="BN216" s="64">
        <f t="shared" si="28"/>
        <v>8.7799999999999994</v>
      </c>
      <c r="BO216" s="64">
        <f t="shared" si="29"/>
        <v>1.2626262626262626E-2</v>
      </c>
      <c r="BP216" s="64">
        <f t="shared" si="30"/>
        <v>1.5151515151515152E-2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60</v>
      </c>
      <c r="Y222" s="636">
        <f t="shared" si="26"/>
        <v>61.2</v>
      </c>
      <c r="Z222" s="36">
        <f>IFERROR(IF(Y222=0,"",ROUNDUP(Y222/H222,0)*0.00502),"")</f>
        <v>0.17068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64.333333333333329</v>
      </c>
      <c r="BN222" s="64">
        <f t="shared" si="28"/>
        <v>65.62</v>
      </c>
      <c r="BO222" s="64">
        <f t="shared" si="29"/>
        <v>0.14245014245014248</v>
      </c>
      <c r="BP222" s="64">
        <f t="shared" si="30"/>
        <v>0.14529914529914531</v>
      </c>
    </row>
    <row r="223" spans="1:68" ht="27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1</v>
      </c>
      <c r="Y223" s="636">
        <f t="shared" si="26"/>
        <v>1.6</v>
      </c>
      <c r="Z223" s="36">
        <f>IFERROR(IF(Y223=0,"",ROUNDUP(Y223/H223,0)*0.00417),"")</f>
        <v>8.3400000000000002E-3</v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1.2625</v>
      </c>
      <c r="BN223" s="64">
        <f t="shared" si="28"/>
        <v>2.02</v>
      </c>
      <c r="BO223" s="64">
        <f t="shared" si="29"/>
        <v>4.0064102564102561E-3</v>
      </c>
      <c r="BP223" s="64">
        <f t="shared" si="30"/>
        <v>6.41025641025641E-3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36.25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38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0.19706000000000001</v>
      </c>
      <c r="AA227" s="638"/>
      <c r="AB227" s="638"/>
      <c r="AC227" s="638"/>
    </row>
    <row r="228" spans="1:68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68</v>
      </c>
      <c r="Y228" s="637">
        <f>IFERROR(SUM(Y214:Y226),"0")</f>
        <v>71.2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5</v>
      </c>
      <c r="Y239" s="63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3.9682539682539684</v>
      </c>
      <c r="Y241" s="637">
        <f>IFERROR(Y238/H238,"0")+IFERROR(Y239/H239,"0")+IFERROR(Y240/H240,"0")</f>
        <v>4</v>
      </c>
      <c r="Z241" s="637">
        <f>IFERROR(IF(Z238="",0,Z238),"0")+IFERROR(IF(Z239="",0,Z239),"0")+IFERROR(IF(Z240="",0,Z240),"0")</f>
        <v>2.3599999999999999E-2</v>
      </c>
      <c r="AA241" s="638"/>
      <c r="AB241" s="638"/>
      <c r="AC241" s="638"/>
    </row>
    <row r="242" spans="1:68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5</v>
      </c>
      <c r="Y242" s="637">
        <f>IFERROR(SUM(Y238:Y240),"0")</f>
        <v>5.04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4</v>
      </c>
      <c r="Y244" s="63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3.1746031746031744</v>
      </c>
      <c r="Y245" s="637">
        <f>IFERROR(Y244/H244,"0")</f>
        <v>4</v>
      </c>
      <c r="Z245" s="637">
        <f>IFERROR(IF(Z244="",0,Z244),"0")</f>
        <v>2.3599999999999999E-2</v>
      </c>
      <c r="AA245" s="638"/>
      <c r="AB245" s="638"/>
      <c r="AC245" s="638"/>
    </row>
    <row r="246" spans="1:68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4</v>
      </c>
      <c r="Y246" s="637">
        <f>IFERROR(SUM(Y244:Y244),"0")</f>
        <v>5.04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80</v>
      </c>
      <c r="Y262" s="636">
        <f t="shared" si="31"/>
        <v>81</v>
      </c>
      <c r="Z262" s="36">
        <f>IFERROR(IF(Y262=0,"",ROUNDUP(Y262/H262,0)*0.00902),"")</f>
        <v>0.1353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82.81481481481481</v>
      </c>
      <c r="BN262" s="64">
        <f t="shared" si="33"/>
        <v>83.85</v>
      </c>
      <c r="BO262" s="64">
        <f t="shared" si="34"/>
        <v>0.11223344556677889</v>
      </c>
      <c r="BP262" s="64">
        <f t="shared" si="35"/>
        <v>0.11363636363636363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201</v>
      </c>
      <c r="Y263" s="636">
        <f t="shared" si="31"/>
        <v>205.20000000000002</v>
      </c>
      <c r="Z263" s="36">
        <f>IFERROR(IF(Y263=0,"",ROUNDUP(Y263/H263,0)*0.00902),"")</f>
        <v>0.34276000000000001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208.07222222222219</v>
      </c>
      <c r="BN263" s="64">
        <f t="shared" si="33"/>
        <v>212.42</v>
      </c>
      <c r="BO263" s="64">
        <f t="shared" si="34"/>
        <v>0.28198653198653201</v>
      </c>
      <c r="BP263" s="64">
        <f t="shared" si="35"/>
        <v>0.2878787878787879</v>
      </c>
    </row>
    <row r="264" spans="1:68" ht="27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41</v>
      </c>
      <c r="Y264" s="636">
        <f t="shared" si="31"/>
        <v>41.4</v>
      </c>
      <c r="Z264" s="36">
        <f>IFERROR(IF(Y264=0,"",ROUNDUP(Y264/H264,0)*0.00502),"")</f>
        <v>0.11546000000000001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43.961111111111109</v>
      </c>
      <c r="BN264" s="64">
        <f t="shared" si="33"/>
        <v>44.39</v>
      </c>
      <c r="BO264" s="64">
        <f t="shared" si="34"/>
        <v>9.7340930674264026E-2</v>
      </c>
      <c r="BP264" s="64">
        <f t="shared" si="35"/>
        <v>9.8290598290598302E-2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45</v>
      </c>
      <c r="Y265" s="636">
        <f t="shared" si="31"/>
        <v>45</v>
      </c>
      <c r="Z265" s="36">
        <f>IFERROR(IF(Y265=0,"",ROUNDUP(Y265/H265,0)*0.00502),"")</f>
        <v>0.1255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47.5</v>
      </c>
      <c r="BN265" s="64">
        <f t="shared" si="33"/>
        <v>47.5</v>
      </c>
      <c r="BO265" s="64">
        <f t="shared" si="34"/>
        <v>0.10683760683760685</v>
      </c>
      <c r="BP265" s="64">
        <f t="shared" si="35"/>
        <v>0.10683760683760685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31</v>
      </c>
      <c r="Y267" s="636">
        <f t="shared" si="31"/>
        <v>32.4</v>
      </c>
      <c r="Z267" s="36">
        <f>IFERROR(IF(Y267=0,"",ROUNDUP(Y267/H267,0)*0.00502),"")</f>
        <v>9.0359999999999996E-2</v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32.722222222222221</v>
      </c>
      <c r="BN267" s="64">
        <f t="shared" si="33"/>
        <v>34.199999999999996</v>
      </c>
      <c r="BO267" s="64">
        <f t="shared" si="34"/>
        <v>7.3599240265906932E-2</v>
      </c>
      <c r="BP267" s="64">
        <f t="shared" si="35"/>
        <v>7.6923076923076927E-2</v>
      </c>
    </row>
    <row r="268" spans="1:68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117.03703703703704</v>
      </c>
      <c r="Y268" s="637">
        <f>IFERROR(Y260/H260,"0")+IFERROR(Y261/H261,"0")+IFERROR(Y262/H262,"0")+IFERROR(Y263/H263,"0")+IFERROR(Y264/H264,"0")+IFERROR(Y265/H265,"0")+IFERROR(Y266/H266,"0")+IFERROR(Y267/H267,"0")</f>
        <v>119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0.80937999999999999</v>
      </c>
      <c r="AA268" s="638"/>
      <c r="AB268" s="638"/>
      <c r="AC268" s="638"/>
    </row>
    <row r="269" spans="1:68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398</v>
      </c>
      <c r="Y269" s="637">
        <f>IFERROR(SUM(Y260:Y267),"0")</f>
        <v>405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13</v>
      </c>
      <c r="Y273" s="636">
        <f t="shared" si="36"/>
        <v>16.2</v>
      </c>
      <c r="Z273" s="36">
        <f>IFERROR(IF(Y273=0,"",ROUNDUP(Y273/H273,0)*0.01898),"")</f>
        <v>3.7960000000000001E-2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13.763950617283951</v>
      </c>
      <c r="BN273" s="64">
        <f t="shared" si="38"/>
        <v>17.152000000000001</v>
      </c>
      <c r="BO273" s="64">
        <f t="shared" si="39"/>
        <v>2.5077160493827161E-2</v>
      </c>
      <c r="BP273" s="64">
        <f t="shared" si="40"/>
        <v>3.125E-2</v>
      </c>
    </row>
    <row r="274" spans="1:68" ht="27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29</v>
      </c>
      <c r="Y274" s="636">
        <f t="shared" si="36"/>
        <v>34.799999999999997</v>
      </c>
      <c r="Z274" s="36">
        <f>IFERROR(IF(Y274=0,"",ROUNDUP(Y274/H274,0)*0.01898),"")</f>
        <v>7.5920000000000001E-2</v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30.646666666666672</v>
      </c>
      <c r="BN274" s="64">
        <f t="shared" si="38"/>
        <v>36.776000000000003</v>
      </c>
      <c r="BO274" s="64">
        <f t="shared" si="39"/>
        <v>5.2083333333333336E-2</v>
      </c>
      <c r="BP274" s="64">
        <f t="shared" si="40"/>
        <v>6.25E-2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0</v>
      </c>
      <c r="Y275" s="636">
        <f t="shared" si="36"/>
        <v>0</v>
      </c>
      <c r="Z275" s="36" t="str">
        <f>IFERROR(IF(Y275=0,"",ROUNDUP(Y275/H275,0)*0.00651),"")</f>
        <v/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537</v>
      </c>
      <c r="Y277" s="636">
        <f t="shared" si="36"/>
        <v>537.6</v>
      </c>
      <c r="Z277" s="36">
        <f>IFERROR(IF(Y277=0,"",ROUNDUP(Y277/H277,0)*0.00651),"")</f>
        <v>1.45824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593.38499999999999</v>
      </c>
      <c r="BN277" s="64">
        <f t="shared" si="38"/>
        <v>594.04800000000012</v>
      </c>
      <c r="BO277" s="64">
        <f t="shared" si="39"/>
        <v>1.2293956043956045</v>
      </c>
      <c r="BP277" s="64">
        <f t="shared" si="40"/>
        <v>1.2307692307692311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156</v>
      </c>
      <c r="Y279" s="636">
        <f t="shared" si="36"/>
        <v>156</v>
      </c>
      <c r="Z279" s="36">
        <f>IFERROR(IF(Y279=0,"",ROUNDUP(Y279/H279,0)*0.00651),"")</f>
        <v>0.42315000000000003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172.38000000000002</v>
      </c>
      <c r="BN279" s="64">
        <f t="shared" si="38"/>
        <v>172.38000000000002</v>
      </c>
      <c r="BO279" s="64">
        <f t="shared" si="39"/>
        <v>0.35714285714285715</v>
      </c>
      <c r="BP279" s="64">
        <f t="shared" si="40"/>
        <v>0.35714285714285715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62</v>
      </c>
      <c r="Y280" s="636">
        <f t="shared" si="36"/>
        <v>62.4</v>
      </c>
      <c r="Z280" s="36">
        <f>IFERROR(IF(Y280=0,"",ROUNDUP(Y280/H280,0)*0.00651),"")</f>
        <v>0.16925999999999999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68.510000000000005</v>
      </c>
      <c r="BN280" s="64">
        <f t="shared" si="38"/>
        <v>68.952000000000012</v>
      </c>
      <c r="BO280" s="64">
        <f t="shared" si="39"/>
        <v>0.14194139194139196</v>
      </c>
      <c r="BP280" s="64">
        <f t="shared" si="40"/>
        <v>0.14285714285714288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100</v>
      </c>
      <c r="Y281" s="636">
        <f t="shared" si="36"/>
        <v>100.8</v>
      </c>
      <c r="Z281" s="36">
        <f>IFERROR(IF(Y281=0,"",ROUNDUP(Y281/H281,0)*0.00651),"")</f>
        <v>0.27342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110.75000000000001</v>
      </c>
      <c r="BN281" s="64">
        <f t="shared" si="38"/>
        <v>111.63600000000001</v>
      </c>
      <c r="BO281" s="64">
        <f t="shared" si="39"/>
        <v>0.22893772893772898</v>
      </c>
      <c r="BP281" s="64">
        <f t="shared" si="40"/>
        <v>0.23076923076923078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361.18827160493828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363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2.4379499999999998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897</v>
      </c>
      <c r="Y284" s="637">
        <f>IFERROR(SUM(Y271:Y282),"0")</f>
        <v>907.8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40</v>
      </c>
      <c r="Y286" s="636">
        <f>IFERROR(IF(X286="",0,CEILING((X286/$H286),1)*$H286),"")</f>
        <v>40.799999999999997</v>
      </c>
      <c r="Z286" s="36">
        <f>IFERROR(IF(Y286=0,"",ROUNDUP(Y286/H286,0)*0.00651),"")</f>
        <v>0.11067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44.20000000000001</v>
      </c>
      <c r="BN286" s="64">
        <f>IFERROR(Y286*I286/H286,"0")</f>
        <v>45.084000000000003</v>
      </c>
      <c r="BO286" s="64">
        <f>IFERROR(1/J286*(X286/H286),"0")</f>
        <v>9.1575091575091583E-2</v>
      </c>
      <c r="BP286" s="64">
        <f>IFERROR(1/J286*(Y286/H286),"0")</f>
        <v>9.3406593406593408E-2</v>
      </c>
    </row>
    <row r="287" spans="1:68" ht="27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37</v>
      </c>
      <c r="Y287" s="636">
        <f>IFERROR(IF(X287="",0,CEILING((X287/$H287),1)*$H287),"")</f>
        <v>38.4</v>
      </c>
      <c r="Z287" s="36">
        <f>IFERROR(IF(Y287=0,"",ROUNDUP(Y287/H287,0)*0.00651),"")</f>
        <v>0.10416</v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40.885000000000005</v>
      </c>
      <c r="BN287" s="64">
        <f>IFERROR(Y287*I287/H287,"0")</f>
        <v>42.432000000000002</v>
      </c>
      <c r="BO287" s="64">
        <f>IFERROR(1/J287*(X287/H287),"0")</f>
        <v>8.4706959706959725E-2</v>
      </c>
      <c r="BP287" s="64">
        <f>IFERROR(1/J287*(Y287/H287),"0")</f>
        <v>8.7912087912087919E-2</v>
      </c>
    </row>
    <row r="288" spans="1:68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32.083333333333336</v>
      </c>
      <c r="Y288" s="637">
        <f>IFERROR(Y286/H286,"0")+IFERROR(Y287/H287,"0")</f>
        <v>33</v>
      </c>
      <c r="Z288" s="637">
        <f>IFERROR(IF(Z286="",0,Z286),"0")+IFERROR(IF(Z287="",0,Z287),"0")</f>
        <v>0.21483000000000002</v>
      </c>
      <c r="AA288" s="638"/>
      <c r="AB288" s="638"/>
      <c r="AC288" s="638"/>
    </row>
    <row r="289" spans="1:68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77</v>
      </c>
      <c r="Y289" s="637">
        <f>IFERROR(SUM(Y286:Y287),"0")</f>
        <v>79.199999999999989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52</v>
      </c>
      <c r="Y331" s="636">
        <f>IFERROR(IF(X331="",0,CEILING((X331/$H331),1)*$H331),"")</f>
        <v>52.8</v>
      </c>
      <c r="Z331" s="36">
        <f>IFERROR(IF(Y331=0,"",ROUNDUP(Y331/H331,0)*0.00651),"")</f>
        <v>0.14322000000000001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57.46</v>
      </c>
      <c r="BN331" s="64">
        <f>IFERROR(Y331*I331/H331,"0")</f>
        <v>58.344000000000001</v>
      </c>
      <c r="BO331" s="64">
        <f>IFERROR(1/J331*(X331/H331),"0")</f>
        <v>0.11904761904761907</v>
      </c>
      <c r="BP331" s="64">
        <f>IFERROR(1/J331*(Y331/H331),"0")</f>
        <v>0.12087912087912089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21.666666666666668</v>
      </c>
      <c r="Y333" s="637">
        <f>IFERROR(Y330/H330,"0")+IFERROR(Y331/H331,"0")+IFERROR(Y332/H332,"0")</f>
        <v>22</v>
      </c>
      <c r="Z333" s="637">
        <f>IFERROR(IF(Z330="",0,Z330),"0")+IFERROR(IF(Z331="",0,Z331),"0")+IFERROR(IF(Z332="",0,Z332),"0")</f>
        <v>0.14322000000000001</v>
      </c>
      <c r="AA333" s="638"/>
      <c r="AB333" s="638"/>
      <c r="AC333" s="638"/>
    </row>
    <row r="334" spans="1:68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52</v>
      </c>
      <c r="Y334" s="637">
        <f>IFERROR(SUM(Y330:Y332),"0")</f>
        <v>52.8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0</v>
      </c>
      <c r="Y361" s="63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0</v>
      </c>
      <c r="Y363" s="637">
        <f>IFERROR(Y360/H360,"0")+IFERROR(Y361/H361,"0")+IFERROR(Y362/H362,"0")</f>
        <v>0</v>
      </c>
      <c r="Z363" s="637">
        <f>IFERROR(IF(Z360="",0,Z360),"0")+IFERROR(IF(Z361="",0,Z361),"0")+IFERROR(IF(Z362="",0,Z362),"0")</f>
        <v>0</v>
      </c>
      <c r="AA363" s="638"/>
      <c r="AB363" s="638"/>
      <c r="AC363" s="638"/>
    </row>
    <row r="364" spans="1:68" hidden="1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0</v>
      </c>
      <c r="Y364" s="637">
        <f>IFERROR(SUM(Y360:Y362),"0")</f>
        <v>0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0</v>
      </c>
      <c r="Y397" s="637">
        <f>IFERROR(Y394/H394,"0")+IFERROR(Y395/H395,"0")+IFERROR(Y396/H396,"0")</f>
        <v>0</v>
      </c>
      <c r="Z397" s="637">
        <f>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0</v>
      </c>
      <c r="Y398" s="637">
        <f>IFERROR(SUM(Y394:Y396),"0")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8</v>
      </c>
      <c r="Y400" s="636">
        <f>IFERROR(IF(X400="",0,CEILING((X400/$H400),1)*$H400),"")</f>
        <v>9.120000000000001</v>
      </c>
      <c r="Z400" s="36">
        <f>IFERROR(IF(Y400=0,"",ROUNDUP(Y400/H400,0)*0.00902),"")</f>
        <v>2.7060000000000001E-2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8.7105263157894743</v>
      </c>
      <c r="BN400" s="64">
        <f>IFERROR(Y400*I400/H400,"0")</f>
        <v>9.9300000000000015</v>
      </c>
      <c r="BO400" s="64">
        <f>IFERROR(1/J400*(X400/H400),"0")</f>
        <v>1.9936204146730464E-2</v>
      </c>
      <c r="BP400" s="64">
        <f>IFERROR(1/J400*(Y400/H400),"0")</f>
        <v>2.2727272727272731E-2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2.6315789473684212</v>
      </c>
      <c r="Y404" s="637">
        <f>IFERROR(Y400/H400,"0")+IFERROR(Y401/H401,"0")+IFERROR(Y402/H402,"0")+IFERROR(Y403/H403,"0")</f>
        <v>3.0000000000000004</v>
      </c>
      <c r="Z404" s="637">
        <f>IFERROR(IF(Z400="",0,Z400),"0")+IFERROR(IF(Z401="",0,Z401),"0")+IFERROR(IF(Z402="",0,Z402),"0")+IFERROR(IF(Z403="",0,Z403),"0")</f>
        <v>2.7060000000000001E-2</v>
      </c>
      <c r="AA404" s="638"/>
      <c r="AB404" s="638"/>
      <c r="AC404" s="638"/>
    </row>
    <row r="405" spans="1:68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8</v>
      </c>
      <c r="Y405" s="637">
        <f>IFERROR(SUM(Y400:Y403),"0")</f>
        <v>9.120000000000001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19</v>
      </c>
      <c r="Y408" s="636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21.28</v>
      </c>
      <c r="BN408" s="64">
        <f>IFERROR(Y408*I408/H408,"0")</f>
        <v>22.400000000000002</v>
      </c>
      <c r="BO408" s="64">
        <f>IFERROR(1/J408*(X408/H408),"0")</f>
        <v>3.9915966386554619E-2</v>
      </c>
      <c r="BP408" s="64">
        <f>IFERROR(1/J408*(Y408/H408),"0")</f>
        <v>4.2016806722689072E-2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19</v>
      </c>
      <c r="Y409" s="636">
        <f>IFERROR(IF(X409="",0,CEILING((X409/$H409),1)*$H409),"")</f>
        <v>20</v>
      </c>
      <c r="Z409" s="36">
        <f>IFERROR(IF(Y409=0,"",ROUNDUP(Y409/H409,0)*0.00474),"")</f>
        <v>4.7400000000000005E-2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21.28</v>
      </c>
      <c r="BN409" s="64">
        <f>IFERROR(Y409*I409/H409,"0")</f>
        <v>22.400000000000002</v>
      </c>
      <c r="BO409" s="64">
        <f>IFERROR(1/J409*(X409/H409),"0")</f>
        <v>3.9915966386554619E-2</v>
      </c>
      <c r="BP409" s="64">
        <f>IFERROR(1/J409*(Y409/H409),"0")</f>
        <v>4.2016806722689072E-2</v>
      </c>
    </row>
    <row r="410" spans="1:68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19</v>
      </c>
      <c r="Y410" s="637">
        <f>IFERROR(Y407/H407,"0")+IFERROR(Y408/H408,"0")+IFERROR(Y409/H409,"0")</f>
        <v>20</v>
      </c>
      <c r="Z410" s="637">
        <f>IFERROR(IF(Z407="",0,Z407),"0")+IFERROR(IF(Z408="",0,Z408),"0")+IFERROR(IF(Z409="",0,Z409),"0")</f>
        <v>9.4800000000000009E-2</v>
      </c>
      <c r="AA410" s="638"/>
      <c r="AB410" s="638"/>
      <c r="AC410" s="638"/>
    </row>
    <row r="411" spans="1:68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38</v>
      </c>
      <c r="Y411" s="637">
        <f>IFERROR(SUM(Y407:Y409),"0")</f>
        <v>40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791</v>
      </c>
      <c r="Y437" s="636">
        <f t="shared" si="62"/>
        <v>795</v>
      </c>
      <c r="Z437" s="36">
        <f>IFERROR(IF(Y437=0,"",ROUNDUP(Y437/H437,0)*0.02175),"")</f>
        <v>1.1527499999999999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815.78466666666668</v>
      </c>
      <c r="BN437" s="64">
        <f t="shared" si="64"/>
        <v>819.91</v>
      </c>
      <c r="BO437" s="64">
        <f t="shared" si="65"/>
        <v>1.098611111111111</v>
      </c>
      <c r="BP437" s="64">
        <f t="shared" si="66"/>
        <v>1.1041666666666665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1740</v>
      </c>
      <c r="Y438" s="636">
        <f t="shared" si="62"/>
        <v>1740</v>
      </c>
      <c r="Z438" s="36">
        <f>IFERROR(IF(Y438=0,"",ROUNDUP(Y438/H438,0)*0.02175),"")</f>
        <v>2.5229999999999997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1794.5200000000002</v>
      </c>
      <c r="BN438" s="64">
        <f t="shared" si="64"/>
        <v>1794.5200000000002</v>
      </c>
      <c r="BO438" s="64">
        <f t="shared" si="65"/>
        <v>2.4166666666666665</v>
      </c>
      <c r="BP438" s="64">
        <f t="shared" si="66"/>
        <v>2.4166666666666665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626</v>
      </c>
      <c r="Y439" s="636">
        <f t="shared" si="62"/>
        <v>630</v>
      </c>
      <c r="Z439" s="36">
        <f>IFERROR(IF(Y439=0,"",ROUNDUP(Y439/H439,0)*0.02175),"")</f>
        <v>0.91349999999999998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645.61466666666672</v>
      </c>
      <c r="BN439" s="64">
        <f t="shared" si="64"/>
        <v>649.74</v>
      </c>
      <c r="BO439" s="64">
        <f t="shared" si="65"/>
        <v>0.86944444444444446</v>
      </c>
      <c r="BP439" s="64">
        <f t="shared" si="66"/>
        <v>0.875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943</v>
      </c>
      <c r="Y440" s="636">
        <f t="shared" si="62"/>
        <v>945</v>
      </c>
      <c r="Z440" s="36">
        <f>IFERROR(IF(Y440=0,"",ROUNDUP(Y440/H440,0)*0.02175),"")</f>
        <v>1.37025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972.54733333333343</v>
      </c>
      <c r="BN440" s="64">
        <f t="shared" si="64"/>
        <v>974.61000000000013</v>
      </c>
      <c r="BO440" s="64">
        <f t="shared" si="65"/>
        <v>1.3097222222222222</v>
      </c>
      <c r="BP440" s="64">
        <f t="shared" si="66"/>
        <v>1.3125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273.33333333333337</v>
      </c>
      <c r="Y444" s="637">
        <f>IFERROR(Y436/H436,"0")+IFERROR(Y437/H437,"0")+IFERROR(Y438/H438,"0")+IFERROR(Y439/H439,"0")+IFERROR(Y440/H440,"0")+IFERROR(Y441/H441,"0")+IFERROR(Y442/H442,"0")+IFERROR(Y443/H443,"0")</f>
        <v>274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5.9595000000000002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4100</v>
      </c>
      <c r="Y445" s="637">
        <f>IFERROR(SUM(Y436:Y443),"0")</f>
        <v>4110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697</v>
      </c>
      <c r="Y447" s="636">
        <f>IFERROR(IF(X447="",0,CEILING((X447/$H447),1)*$H447),"")</f>
        <v>705</v>
      </c>
      <c r="Z447" s="36">
        <f>IFERROR(IF(Y447=0,"",ROUNDUP(Y447/H447,0)*0.02175),"")</f>
        <v>1.0222499999999999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718.83933333333334</v>
      </c>
      <c r="BN447" s="64">
        <f>IFERROR(Y447*I447/H447,"0")</f>
        <v>727.09</v>
      </c>
      <c r="BO447" s="64">
        <f>IFERROR(1/J447*(X447/H447),"0")</f>
        <v>0.96805555555555556</v>
      </c>
      <c r="BP447" s="64">
        <f>IFERROR(1/J447*(Y447/H447),"0")</f>
        <v>0.97916666666666663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46.466666666666669</v>
      </c>
      <c r="Y450" s="637">
        <f>IFERROR(Y447/H447,"0")+IFERROR(Y448/H448,"0")+IFERROR(Y449/H449,"0")</f>
        <v>47</v>
      </c>
      <c r="Z450" s="637">
        <f>IFERROR(IF(Z447="",0,Z447),"0")+IFERROR(IF(Z448="",0,Z448),"0")+IFERROR(IF(Z449="",0,Z449),"0")</f>
        <v>1.0222499999999999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697</v>
      </c>
      <c r="Y451" s="637">
        <f>IFERROR(SUM(Y447:Y449),"0")</f>
        <v>705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41</v>
      </c>
      <c r="Y454" s="636">
        <f>IFERROR(IF(X454="",0,CEILING((X454/$H454),1)*$H454),"")</f>
        <v>45</v>
      </c>
      <c r="Z454" s="36">
        <f>IFERROR(IF(Y454=0,"",ROUNDUP(Y454/H454,0)*0.01898),"")</f>
        <v>9.4899999999999998E-2</v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43.250444444444447</v>
      </c>
      <c r="BN454" s="64">
        <f>IFERROR(Y454*I454/H454,"0")</f>
        <v>47.47</v>
      </c>
      <c r="BO454" s="64">
        <f>IFERROR(1/J454*(X454/H454),"0")</f>
        <v>7.1180555555555552E-2</v>
      </c>
      <c r="BP454" s="64">
        <f>IFERROR(1/J454*(Y454/H454),"0")</f>
        <v>7.8125E-2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4.5555555555555554</v>
      </c>
      <c r="Y456" s="637">
        <f>IFERROR(Y453/H453,"0")+IFERROR(Y454/H454,"0")+IFERROR(Y455/H455,"0")</f>
        <v>5</v>
      </c>
      <c r="Z456" s="637">
        <f>IFERROR(IF(Z453="",0,Z453),"0")+IFERROR(IF(Z454="",0,Z454),"0")+IFERROR(IF(Z455="",0,Z455),"0")</f>
        <v>9.4899999999999998E-2</v>
      </c>
      <c r="AA456" s="638"/>
      <c r="AB456" s="638"/>
      <c r="AC456" s="638"/>
    </row>
    <row r="457" spans="1:68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41</v>
      </c>
      <c r="Y457" s="637">
        <f>IFERROR(SUM(Y453:Y455),"0")</f>
        <v>45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130</v>
      </c>
      <c r="Y460" s="636">
        <f>IFERROR(IF(X460="",0,CEILING((X460/$H460),1)*$H460),"")</f>
        <v>135</v>
      </c>
      <c r="Z460" s="36">
        <f>IFERROR(IF(Y460=0,"",ROUNDUP(Y460/H460,0)*0.01898),"")</f>
        <v>0.28470000000000001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137.13555555555556</v>
      </c>
      <c r="BN460" s="64">
        <f>IFERROR(Y460*I460/H460,"0")</f>
        <v>142.41</v>
      </c>
      <c r="BO460" s="64">
        <f>IFERROR(1/J460*(X460/H460),"0")</f>
        <v>0.22569444444444445</v>
      </c>
      <c r="BP460" s="64">
        <f>IFERROR(1/J460*(Y460/H460),"0")</f>
        <v>0.234375</v>
      </c>
    </row>
    <row r="461" spans="1:68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14.444444444444445</v>
      </c>
      <c r="Y461" s="637">
        <f>IFERROR(Y459/H459,"0")+IFERROR(Y460/H460,"0")</f>
        <v>15</v>
      </c>
      <c r="Z461" s="637">
        <f>IFERROR(IF(Z459="",0,Z459),"0")+IFERROR(IF(Z460="",0,Z460),"0")</f>
        <v>0.28470000000000001</v>
      </c>
      <c r="AA461" s="638"/>
      <c r="AB461" s="638"/>
      <c r="AC461" s="638"/>
    </row>
    <row r="462" spans="1:68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130</v>
      </c>
      <c r="Y462" s="637">
        <f>IFERROR(SUM(Y459:Y460),"0")</f>
        <v>135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130</v>
      </c>
      <c r="Y474" s="636">
        <f>IFERROR(IF(X474="",0,CEILING((X474/$H474),1)*$H474),"")</f>
        <v>135</v>
      </c>
      <c r="Z474" s="36">
        <f>IFERROR(IF(Y474=0,"",ROUNDUP(Y474/H474,0)*0.01898),"")</f>
        <v>0.28470000000000001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137.13555555555556</v>
      </c>
      <c r="BN474" s="64">
        <f>IFERROR(Y474*I474/H474,"0")</f>
        <v>142.41</v>
      </c>
      <c r="BO474" s="64">
        <f>IFERROR(1/J474*(X474/H474),"0")</f>
        <v>0.22569444444444445</v>
      </c>
      <c r="BP474" s="64">
        <f>IFERROR(1/J474*(Y474/H474),"0")</f>
        <v>0.234375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14.444444444444445</v>
      </c>
      <c r="Y477" s="637">
        <f>IFERROR(Y474/H474,"0")+IFERROR(Y475/H475,"0")+IFERROR(Y476/H476,"0")</f>
        <v>15</v>
      </c>
      <c r="Z477" s="637">
        <f>IFERROR(IF(Z474="",0,Z474),"0")+IFERROR(IF(Z475="",0,Z475),"0")+IFERROR(IF(Z476="",0,Z476),"0")</f>
        <v>0.28470000000000001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130</v>
      </c>
      <c r="Y478" s="637">
        <f>IFERROR(SUM(Y474:Y476),"0")</f>
        <v>135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hidden="1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0</v>
      </c>
      <c r="Y511" s="636">
        <f t="shared" si="72"/>
        <v>0</v>
      </c>
      <c r="Z511" s="36" t="str">
        <f>IFERROR(IF(Y511=0,"",ROUNDUP(Y511/H511,0)*0.01196),"")</f>
        <v/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0</v>
      </c>
      <c r="BN511" s="64">
        <f t="shared" si="74"/>
        <v>0</v>
      </c>
      <c r="BO511" s="64">
        <f t="shared" si="75"/>
        <v>0</v>
      </c>
      <c r="BP511" s="64">
        <f t="shared" si="76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0</v>
      </c>
      <c r="Y512" s="636">
        <f t="shared" si="72"/>
        <v>0</v>
      </c>
      <c r="Z512" s="36" t="str">
        <f>IFERROR(IF(Y512=0,"",ROUNDUP(Y512/H512,0)*0.01196),"")</f>
        <v/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0</v>
      </c>
      <c r="BN512" s="64">
        <f t="shared" si="74"/>
        <v>0</v>
      </c>
      <c r="BO512" s="64">
        <f t="shared" si="75"/>
        <v>0</v>
      </c>
      <c r="BP512" s="64">
        <f t="shared" si="76"/>
        <v>0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113</v>
      </c>
      <c r="Y515" s="636">
        <f t="shared" si="72"/>
        <v>115.19999999999999</v>
      </c>
      <c r="Z515" s="36">
        <f>IFERROR(IF(Y515=0,"",ROUNDUP(Y515/H515,0)*0.00902),"")</f>
        <v>0.21648000000000001</v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162.67291666666668</v>
      </c>
      <c r="BN515" s="64">
        <f t="shared" si="74"/>
        <v>165.84</v>
      </c>
      <c r="BO515" s="64">
        <f t="shared" si="75"/>
        <v>0.17834595959595961</v>
      </c>
      <c r="BP515" s="64">
        <f t="shared" si="76"/>
        <v>0.18181818181818182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23.541666666666668</v>
      </c>
      <c r="Y516" s="637">
        <f>IFERROR(Y508/H508,"0")+IFERROR(Y509/H509,"0")+IFERROR(Y510/H510,"0")+IFERROR(Y511/H511,"0")+IFERROR(Y512/H512,"0")+IFERROR(Y513/H513,"0")+IFERROR(Y514/H514,"0")+IFERROR(Y515/H515,"0")</f>
        <v>24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0.21648000000000001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113</v>
      </c>
      <c r="Y517" s="637">
        <f>IFERROR(SUM(Y508:Y515),"0")</f>
        <v>115.19999999999999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122</v>
      </c>
      <c r="Y519" s="636">
        <f>IFERROR(IF(X519="",0,CEILING((X519/$H519),1)*$H519),"")</f>
        <v>126.72</v>
      </c>
      <c r="Z519" s="36">
        <f>IFERROR(IF(Y519=0,"",ROUNDUP(Y519/H519,0)*0.01196),"")</f>
        <v>0.28704000000000002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130.08712121212122</v>
      </c>
      <c r="BN519" s="64">
        <f>IFERROR(Y519*I519/H519,"0")</f>
        <v>135.11999999999998</v>
      </c>
      <c r="BO519" s="64">
        <f>IFERROR(1/J519*(X519/H519),"0")</f>
        <v>0.22217365967365968</v>
      </c>
      <c r="BP519" s="64">
        <f>IFERROR(1/J519*(Y519/H519),"0")</f>
        <v>0.23076923076923078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23.106060606060606</v>
      </c>
      <c r="Y522" s="637">
        <f>IFERROR(Y519/H519,"0")+IFERROR(Y520/H520,"0")+IFERROR(Y521/H521,"0")</f>
        <v>24</v>
      </c>
      <c r="Z522" s="637">
        <f>IFERROR(IF(Z519="",0,Z519),"0")+IFERROR(IF(Z520="",0,Z520),"0")+IFERROR(IF(Z521="",0,Z521),"0")</f>
        <v>0.28704000000000002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122</v>
      </c>
      <c r="Y523" s="637">
        <f>IFERROR(SUM(Y519:Y521),"0")</f>
        <v>126.72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105</v>
      </c>
      <c r="Y526" s="636">
        <f t="shared" si="77"/>
        <v>105.60000000000001</v>
      </c>
      <c r="Z526" s="36">
        <f>IFERROR(IF(Y526=0,"",ROUNDUP(Y526/H526,0)*0.01196),"")</f>
        <v>0.2392</v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111.96022727272727</v>
      </c>
      <c r="BN526" s="64">
        <f t="shared" si="79"/>
        <v>112.6</v>
      </c>
      <c r="BO526" s="64">
        <f t="shared" si="80"/>
        <v>0.19121503496503497</v>
      </c>
      <c r="BP526" s="64">
        <f t="shared" si="81"/>
        <v>0.19230769230769232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156</v>
      </c>
      <c r="Y527" s="636">
        <f t="shared" si="77"/>
        <v>158.4</v>
      </c>
      <c r="Z527" s="36">
        <f>IFERROR(IF(Y527=0,"",ROUNDUP(Y527/H527,0)*0.01196),"")</f>
        <v>0.35880000000000001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166.34090909090907</v>
      </c>
      <c r="BN527" s="64">
        <f t="shared" si="79"/>
        <v>168.9</v>
      </c>
      <c r="BO527" s="64">
        <f t="shared" si="80"/>
        <v>0.28409090909090906</v>
      </c>
      <c r="BP527" s="64">
        <f t="shared" si="81"/>
        <v>0.28846153846153849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49.43181818181818</v>
      </c>
      <c r="Y532" s="637">
        <f>IFERROR(Y525/H525,"0")+IFERROR(Y526/H526,"0")+IFERROR(Y527/H527,"0")+IFERROR(Y528/H528,"0")+IFERROR(Y529/H529,"0")+IFERROR(Y530/H530,"0")+IFERROR(Y531/H531,"0")</f>
        <v>50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0.59799999999999998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261</v>
      </c>
      <c r="Y533" s="637">
        <f>IFERROR(SUM(Y525:Y531),"0")</f>
        <v>264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9045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9143.1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9528.7077419643392</v>
      </c>
      <c r="Y563" s="637">
        <f>IFERROR(SUM(BN22:BN559),"0")</f>
        <v>9633.3280000000013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15</v>
      </c>
      <c r="Y564" s="38">
        <f>ROUNDUP(SUM(BP22:BP559),0)</f>
        <v>16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9903.7077419643392</v>
      </c>
      <c r="Y565" s="637">
        <f>GrossWeightTotalR+PalletQtyTotalR*25</f>
        <v>10033.328000000001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1437.2431369880933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1457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17.042340000000003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199.60000000000002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78.3</v>
      </c>
      <c r="F572" s="46">
        <f>IFERROR(Y85*1,"0")+IFERROR(Y86*1,"0")+IFERROR(Y87*1,"0")+IFERROR(Y88*1,"0")+IFERROR(Y89*1,"0")+IFERROR(Y90*1,"0")+IFERROR(Y94*1,"0")+IFERROR(Y95*1,"0")+IFERROR(Y96*1,"0")+IFERROR(Y97*1,"0")</f>
        <v>679.5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572.99999999999989</v>
      </c>
      <c r="H572" s="46">
        <f>IFERROR(Y130*1,"0")+IFERROR(Y131*1,"0")+IFERROR(Y135*1,"0")+IFERROR(Y136*1,"0")+IFERROR(Y140*1,"0")+IFERROR(Y141*1,"0")</f>
        <v>11.68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389.9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81.280000000000015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1392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52.8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0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49.120000000000005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4995</v>
      </c>
      <c r="Y572" s="46">
        <f>IFERROR(Y465*1,"0")+IFERROR(Y466*1,"0")+IFERROR(Y470*1,"0")+IFERROR(Y474*1,"0")+IFERROR(Y475*1,"0")+IFERROR(Y476*1,"0")</f>
        <v>135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505.91999999999996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437,24"/>
        <filter val="1 740,00"/>
        <filter val="1,00"/>
        <filter val="1,52"/>
        <filter val="1,56"/>
        <filter val="10,00"/>
        <filter val="100,00"/>
        <filter val="105,00"/>
        <filter val="106,00"/>
        <filter val="113,00"/>
        <filter val="113,33"/>
        <filter val="117,04"/>
        <filter val="122,00"/>
        <filter val="124,00"/>
        <filter val="13,00"/>
        <filter val="130,00"/>
        <filter val="14,44"/>
        <filter val="14,67"/>
        <filter val="15"/>
        <filter val="15,00"/>
        <filter val="153,00"/>
        <filter val="156,00"/>
        <filter val="179,00"/>
        <filter val="181,00"/>
        <filter val="19,00"/>
        <filter val="196,00"/>
        <filter val="2,63"/>
        <filter val="20,51"/>
        <filter val="201,00"/>
        <filter val="21,11"/>
        <filter val="21,67"/>
        <filter val="216,00"/>
        <filter val="23,00"/>
        <filter val="23,11"/>
        <filter val="23,54"/>
        <filter val="261,00"/>
        <filter val="273,33"/>
        <filter val="29,00"/>
        <filter val="3,17"/>
        <filter val="3,97"/>
        <filter val="31,00"/>
        <filter val="32,08"/>
        <filter val="330,00"/>
        <filter val="332,00"/>
        <filter val="340,00"/>
        <filter val="36,25"/>
        <filter val="361,19"/>
        <filter val="37,00"/>
        <filter val="38,00"/>
        <filter val="380,00"/>
        <filter val="388,00"/>
        <filter val="398,00"/>
        <filter val="4 100,00"/>
        <filter val="4,00"/>
        <filter val="4,55"/>
        <filter val="4,56"/>
        <filter val="40,00"/>
        <filter val="41,00"/>
        <filter val="436,00"/>
        <filter val="45,00"/>
        <filter val="46,47"/>
        <filter val="49,43"/>
        <filter val="5,00"/>
        <filter val="50,57"/>
        <filter val="52,00"/>
        <filter val="537,00"/>
        <filter val="60,00"/>
        <filter val="62,00"/>
        <filter val="626,00"/>
        <filter val="66,00"/>
        <filter val="68,00"/>
        <filter val="697,00"/>
        <filter val="7,00"/>
        <filter val="72,59"/>
        <filter val="77,00"/>
        <filter val="791,00"/>
        <filter val="8,00"/>
        <filter val="80,00"/>
        <filter val="897,00"/>
        <filter val="9 045,00"/>
        <filter val="9 528,71"/>
        <filter val="9 903,71"/>
        <filter val="9,00"/>
        <filter val="9,58"/>
        <filter val="943,00"/>
        <filter val="95,00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