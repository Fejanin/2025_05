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814CA04-4585-483E-BAA4-C411BCEEB9F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P551" i="2"/>
  <c r="BO550" i="2"/>
  <c r="BM550" i="2"/>
  <c r="Y550" i="2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P534" i="2"/>
  <c r="X530" i="2"/>
  <c r="X529" i="2"/>
  <c r="BO528" i="2"/>
  <c r="BM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BN524" i="2" s="1"/>
  <c r="P524" i="2"/>
  <c r="BO523" i="2"/>
  <c r="BM523" i="2"/>
  <c r="Y523" i="2"/>
  <c r="Z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Y520" i="2" s="1"/>
  <c r="P516" i="2"/>
  <c r="X514" i="2"/>
  <c r="X513" i="2"/>
  <c r="BO512" i="2"/>
  <c r="BM512" i="2"/>
  <c r="Y512" i="2"/>
  <c r="P512" i="2"/>
  <c r="BO511" i="2"/>
  <c r="BM511" i="2"/>
  <c r="Y511" i="2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N504" i="2" s="1"/>
  <c r="P504" i="2"/>
  <c r="X500" i="2"/>
  <c r="X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P487" i="2"/>
  <c r="BO486" i="2"/>
  <c r="BM486" i="2"/>
  <c r="Y486" i="2"/>
  <c r="Z486" i="2" s="1"/>
  <c r="P486" i="2"/>
  <c r="X484" i="2"/>
  <c r="X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P479" i="2"/>
  <c r="BO478" i="2"/>
  <c r="BM478" i="2"/>
  <c r="Y478" i="2"/>
  <c r="Z478" i="2" s="1"/>
  <c r="P478" i="2"/>
  <c r="BO477" i="2"/>
  <c r="BM477" i="2"/>
  <c r="Y477" i="2"/>
  <c r="Z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N470" i="2" s="1"/>
  <c r="P470" i="2"/>
  <c r="BO469" i="2"/>
  <c r="BM469" i="2"/>
  <c r="Y469" i="2"/>
  <c r="P469" i="2"/>
  <c r="X467" i="2"/>
  <c r="X466" i="2"/>
  <c r="BO465" i="2"/>
  <c r="BM465" i="2"/>
  <c r="Y465" i="2"/>
  <c r="Y466" i="2" s="1"/>
  <c r="P465" i="2"/>
  <c r="X463" i="2"/>
  <c r="X462" i="2"/>
  <c r="BO461" i="2"/>
  <c r="BM461" i="2"/>
  <c r="Y461" i="2"/>
  <c r="BN461" i="2" s="1"/>
  <c r="P461" i="2"/>
  <c r="BO460" i="2"/>
  <c r="BM460" i="2"/>
  <c r="Y460" i="2"/>
  <c r="BP460" i="2" s="1"/>
  <c r="P460" i="2"/>
  <c r="X457" i="2"/>
  <c r="X456" i="2"/>
  <c r="BO455" i="2"/>
  <c r="BM455" i="2"/>
  <c r="Y455" i="2"/>
  <c r="BP455" i="2" s="1"/>
  <c r="P455" i="2"/>
  <c r="BO454" i="2"/>
  <c r="BM454" i="2"/>
  <c r="Y454" i="2"/>
  <c r="P454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X440" i="2"/>
  <c r="X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P418" i="2"/>
  <c r="BO417" i="2"/>
  <c r="BM417" i="2"/>
  <c r="Y417" i="2"/>
  <c r="P417" i="2"/>
  <c r="X414" i="2"/>
  <c r="X413" i="2"/>
  <c r="BO412" i="2"/>
  <c r="BM412" i="2"/>
  <c r="Y412" i="2"/>
  <c r="Z412" i="2" s="1"/>
  <c r="P412" i="2"/>
  <c r="BO411" i="2"/>
  <c r="BM411" i="2"/>
  <c r="Y411" i="2"/>
  <c r="BN411" i="2" s="1"/>
  <c r="P411" i="2"/>
  <c r="BO410" i="2"/>
  <c r="BM410" i="2"/>
  <c r="Y410" i="2"/>
  <c r="Y414" i="2" s="1"/>
  <c r="P410" i="2"/>
  <c r="X408" i="2"/>
  <c r="X407" i="2"/>
  <c r="BO406" i="2"/>
  <c r="BM406" i="2"/>
  <c r="Y406" i="2"/>
  <c r="BP406" i="2" s="1"/>
  <c r="P406" i="2"/>
  <c r="BO405" i="2"/>
  <c r="BM405" i="2"/>
  <c r="Y405" i="2"/>
  <c r="P405" i="2"/>
  <c r="BO404" i="2"/>
  <c r="BM404" i="2"/>
  <c r="Y404" i="2"/>
  <c r="BP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P386" i="2"/>
  <c r="BO385" i="2"/>
  <c r="BM385" i="2"/>
  <c r="Y385" i="2"/>
  <c r="Z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P379" i="2"/>
  <c r="BO378" i="2"/>
  <c r="BM378" i="2"/>
  <c r="Y378" i="2"/>
  <c r="P378" i="2"/>
  <c r="BO377" i="2"/>
  <c r="BM377" i="2"/>
  <c r="Y377" i="2"/>
  <c r="P377" i="2"/>
  <c r="BO376" i="2"/>
  <c r="BM376" i="2"/>
  <c r="Y376" i="2"/>
  <c r="BP376" i="2" s="1"/>
  <c r="P376" i="2"/>
  <c r="BO375" i="2"/>
  <c r="BM375" i="2"/>
  <c r="Y375" i="2"/>
  <c r="Z375" i="2" s="1"/>
  <c r="P375" i="2"/>
  <c r="BO374" i="2"/>
  <c r="BM374" i="2"/>
  <c r="Y374" i="2"/>
  <c r="P374" i="2"/>
  <c r="X372" i="2"/>
  <c r="X371" i="2"/>
  <c r="BO370" i="2"/>
  <c r="BM370" i="2"/>
  <c r="Y370" i="2"/>
  <c r="Z370" i="2" s="1"/>
  <c r="P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P358" i="2"/>
  <c r="BO357" i="2"/>
  <c r="BM357" i="2"/>
  <c r="Y357" i="2"/>
  <c r="BN357" i="2" s="1"/>
  <c r="P357" i="2"/>
  <c r="X354" i="2"/>
  <c r="X353" i="2"/>
  <c r="BO352" i="2"/>
  <c r="BM352" i="2"/>
  <c r="Y352" i="2"/>
  <c r="P352" i="2"/>
  <c r="BO351" i="2"/>
  <c r="BM351" i="2"/>
  <c r="Y351" i="2"/>
  <c r="BN351" i="2" s="1"/>
  <c r="P351" i="2"/>
  <c r="X349" i="2"/>
  <c r="X348" i="2"/>
  <c r="BO347" i="2"/>
  <c r="BM347" i="2"/>
  <c r="Y347" i="2"/>
  <c r="P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Z344" i="2" s="1"/>
  <c r="P344" i="2"/>
  <c r="BO343" i="2"/>
  <c r="BM343" i="2"/>
  <c r="Y343" i="2"/>
  <c r="Z343" i="2" s="1"/>
  <c r="P343" i="2"/>
  <c r="X340" i="2"/>
  <c r="X339" i="2"/>
  <c r="BO338" i="2"/>
  <c r="BM338" i="2"/>
  <c r="Y338" i="2"/>
  <c r="P338" i="2"/>
  <c r="BO337" i="2"/>
  <c r="BM337" i="2"/>
  <c r="Y337" i="2"/>
  <c r="P337" i="2"/>
  <c r="BO336" i="2"/>
  <c r="BM336" i="2"/>
  <c r="Y336" i="2"/>
  <c r="Z336" i="2" s="1"/>
  <c r="P336" i="2"/>
  <c r="X333" i="2"/>
  <c r="X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X319" i="2"/>
  <c r="X318" i="2"/>
  <c r="BO317" i="2"/>
  <c r="BM317" i="2"/>
  <c r="Y317" i="2"/>
  <c r="P317" i="2"/>
  <c r="X315" i="2"/>
  <c r="X314" i="2"/>
  <c r="BO313" i="2"/>
  <c r="BM313" i="2"/>
  <c r="Y313" i="2"/>
  <c r="P313" i="2"/>
  <c r="X311" i="2"/>
  <c r="X310" i="2"/>
  <c r="BO309" i="2"/>
  <c r="BM309" i="2"/>
  <c r="Y309" i="2"/>
  <c r="BP309" i="2" s="1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Z306" i="2" s="1"/>
  <c r="P306" i="2"/>
  <c r="BO305" i="2"/>
  <c r="BM305" i="2"/>
  <c r="Y305" i="2"/>
  <c r="BP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BO291" i="2"/>
  <c r="BM291" i="2"/>
  <c r="Y291" i="2"/>
  <c r="P291" i="2"/>
  <c r="BO290" i="2"/>
  <c r="BM290" i="2"/>
  <c r="Y290" i="2"/>
  <c r="Z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P282" i="2"/>
  <c r="X280" i="2"/>
  <c r="X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Z271" i="2" s="1"/>
  <c r="P271" i="2"/>
  <c r="X269" i="2"/>
  <c r="X268" i="2"/>
  <c r="BO267" i="2"/>
  <c r="BM267" i="2"/>
  <c r="Y267" i="2"/>
  <c r="BP267" i="2" s="1"/>
  <c r="P267" i="2"/>
  <c r="BO266" i="2"/>
  <c r="BM266" i="2"/>
  <c r="Y266" i="2"/>
  <c r="Z266" i="2" s="1"/>
  <c r="P266" i="2"/>
  <c r="X264" i="2"/>
  <c r="X263" i="2"/>
  <c r="BO262" i="2"/>
  <c r="BM262" i="2"/>
  <c r="Y262" i="2"/>
  <c r="P262" i="2"/>
  <c r="BO261" i="2"/>
  <c r="BM261" i="2"/>
  <c r="Y261" i="2"/>
  <c r="BN261" i="2" s="1"/>
  <c r="P261" i="2"/>
  <c r="X258" i="2"/>
  <c r="X257" i="2"/>
  <c r="BO256" i="2"/>
  <c r="BM256" i="2"/>
  <c r="Y256" i="2"/>
  <c r="P256" i="2"/>
  <c r="X254" i="2"/>
  <c r="X253" i="2"/>
  <c r="BO252" i="2"/>
  <c r="BM252" i="2"/>
  <c r="Y252" i="2"/>
  <c r="Z252" i="2" s="1"/>
  <c r="P252" i="2"/>
  <c r="BO251" i="2"/>
  <c r="BM251" i="2"/>
  <c r="Y251" i="2"/>
  <c r="P251" i="2"/>
  <c r="BO250" i="2"/>
  <c r="BM250" i="2"/>
  <c r="Y250" i="2"/>
  <c r="BP250" i="2" s="1"/>
  <c r="P250" i="2"/>
  <c r="X248" i="2"/>
  <c r="X247" i="2"/>
  <c r="BO246" i="2"/>
  <c r="BM246" i="2"/>
  <c r="Y246" i="2"/>
  <c r="Z246" i="2" s="1"/>
  <c r="P246" i="2"/>
  <c r="BO245" i="2"/>
  <c r="BM245" i="2"/>
  <c r="Y245" i="2"/>
  <c r="Z245" i="2" s="1"/>
  <c r="P245" i="2"/>
  <c r="BO244" i="2"/>
  <c r="BM244" i="2"/>
  <c r="Y244" i="2"/>
  <c r="P244" i="2"/>
  <c r="BO243" i="2"/>
  <c r="BM243" i="2"/>
  <c r="Y243" i="2"/>
  <c r="P243" i="2"/>
  <c r="BO242" i="2"/>
  <c r="BM242" i="2"/>
  <c r="Y242" i="2"/>
  <c r="Z242" i="2" s="1"/>
  <c r="P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P206" i="2"/>
  <c r="BO205" i="2"/>
  <c r="BM205" i="2"/>
  <c r="Y205" i="2"/>
  <c r="BN205" i="2" s="1"/>
  <c r="P205" i="2"/>
  <c r="X201" i="2"/>
  <c r="X200" i="2"/>
  <c r="BO199" i="2"/>
  <c r="BM199" i="2"/>
  <c r="Y199" i="2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X187" i="2"/>
  <c r="X186" i="2"/>
  <c r="BO185" i="2"/>
  <c r="BM185" i="2"/>
  <c r="Y185" i="2"/>
  <c r="P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P171" i="2"/>
  <c r="BO170" i="2"/>
  <c r="BM170" i="2"/>
  <c r="Y170" i="2"/>
  <c r="Y172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Z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Z150" i="2" s="1"/>
  <c r="P150" i="2"/>
  <c r="BO149" i="2"/>
  <c r="BM149" i="2"/>
  <c r="Y149" i="2"/>
  <c r="P149" i="2"/>
  <c r="X146" i="2"/>
  <c r="X145" i="2"/>
  <c r="BO144" i="2"/>
  <c r="BM144" i="2"/>
  <c r="Y144" i="2"/>
  <c r="BP144" i="2" s="1"/>
  <c r="P144" i="2"/>
  <c r="BO143" i="2"/>
  <c r="BM143" i="2"/>
  <c r="Y143" i="2"/>
  <c r="BN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BN134" i="2" s="1"/>
  <c r="P134" i="2"/>
  <c r="BO133" i="2"/>
  <c r="BM133" i="2"/>
  <c r="Y133" i="2"/>
  <c r="P133" i="2"/>
  <c r="X130" i="2"/>
  <c r="X129" i="2"/>
  <c r="BO128" i="2"/>
  <c r="BM128" i="2"/>
  <c r="Y128" i="2"/>
  <c r="BN128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P122" i="2"/>
  <c r="BO121" i="2"/>
  <c r="BM121" i="2"/>
  <c r="Y121" i="2"/>
  <c r="BN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P97" i="2"/>
  <c r="BO96" i="2"/>
  <c r="BM96" i="2"/>
  <c r="Y96" i="2"/>
  <c r="P96" i="2"/>
  <c r="BO95" i="2"/>
  <c r="BM95" i="2"/>
  <c r="Y95" i="2"/>
  <c r="BP95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O81" i="2"/>
  <c r="BM81" i="2"/>
  <c r="Y81" i="2"/>
  <c r="BP81" i="2" s="1"/>
  <c r="P81" i="2"/>
  <c r="BO80" i="2"/>
  <c r="BM80" i="2"/>
  <c r="Y80" i="2"/>
  <c r="BP80" i="2" s="1"/>
  <c r="P80" i="2"/>
  <c r="X78" i="2"/>
  <c r="X77" i="2"/>
  <c r="BO76" i="2"/>
  <c r="BM76" i="2"/>
  <c r="Y76" i="2"/>
  <c r="BN76" i="2" s="1"/>
  <c r="P76" i="2"/>
  <c r="BO75" i="2"/>
  <c r="BM75" i="2"/>
  <c r="Y75" i="2"/>
  <c r="Z75" i="2" s="1"/>
  <c r="P75" i="2"/>
  <c r="X73" i="2"/>
  <c r="X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BP47" i="2" s="1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C569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Z104" i="2" l="1"/>
  <c r="BN104" i="2"/>
  <c r="Z105" i="2"/>
  <c r="Z307" i="2"/>
  <c r="Z241" i="2"/>
  <c r="Z50" i="2"/>
  <c r="BN50" i="2"/>
  <c r="Z190" i="2"/>
  <c r="Z286" i="2"/>
  <c r="Z346" i="2"/>
  <c r="BN346" i="2"/>
  <c r="Z465" i="2"/>
  <c r="Z466" i="2" s="1"/>
  <c r="BN465" i="2"/>
  <c r="BP470" i="2"/>
  <c r="Z58" i="2"/>
  <c r="Z95" i="2"/>
  <c r="Z134" i="2"/>
  <c r="Z138" i="2"/>
  <c r="BN138" i="2"/>
  <c r="Z224" i="2"/>
  <c r="Z297" i="2"/>
  <c r="Z330" i="2"/>
  <c r="BN330" i="2"/>
  <c r="Z376" i="2"/>
  <c r="BN376" i="2"/>
  <c r="Z425" i="2"/>
  <c r="Y360" i="2"/>
  <c r="Z29" i="2"/>
  <c r="BN29" i="2"/>
  <c r="Z56" i="2"/>
  <c r="Z68" i="2"/>
  <c r="Z88" i="2"/>
  <c r="BN88" i="2"/>
  <c r="Z90" i="2"/>
  <c r="BN90" i="2"/>
  <c r="Z98" i="2"/>
  <c r="BN98" i="2"/>
  <c r="Z103" i="2"/>
  <c r="Z121" i="2"/>
  <c r="Z175" i="2"/>
  <c r="Z205" i="2"/>
  <c r="Z207" i="2"/>
  <c r="Z240" i="2"/>
  <c r="Y269" i="2"/>
  <c r="Z267" i="2"/>
  <c r="Y268" i="2"/>
  <c r="Z273" i="2"/>
  <c r="Z287" i="2"/>
  <c r="BN287" i="2"/>
  <c r="Z304" i="2"/>
  <c r="Z308" i="2"/>
  <c r="Z364" i="2"/>
  <c r="Z384" i="2"/>
  <c r="Y483" i="2"/>
  <c r="Z525" i="2"/>
  <c r="BN525" i="2"/>
  <c r="BP39" i="2"/>
  <c r="BP60" i="2"/>
  <c r="BP61" i="2"/>
  <c r="BP76" i="2"/>
  <c r="BP97" i="2"/>
  <c r="Z97" i="2"/>
  <c r="BN106" i="2"/>
  <c r="Z106" i="2"/>
  <c r="BP115" i="2"/>
  <c r="BN115" i="2"/>
  <c r="Z115" i="2"/>
  <c r="BN151" i="2"/>
  <c r="BP171" i="2"/>
  <c r="Z171" i="2"/>
  <c r="BP230" i="2"/>
  <c r="BN230" i="2"/>
  <c r="Z230" i="2"/>
  <c r="BN233" i="2"/>
  <c r="Z233" i="2"/>
  <c r="BP251" i="2"/>
  <c r="Z251" i="2"/>
  <c r="BN256" i="2"/>
  <c r="Z256" i="2"/>
  <c r="Z257" i="2" s="1"/>
  <c r="BP276" i="2"/>
  <c r="BN276" i="2"/>
  <c r="Z276" i="2"/>
  <c r="BN283" i="2"/>
  <c r="Z283" i="2"/>
  <c r="BN290" i="2"/>
  <c r="BN306" i="2"/>
  <c r="BN338" i="2"/>
  <c r="Z338" i="2"/>
  <c r="BN380" i="2"/>
  <c r="BP386" i="2"/>
  <c r="BN386" i="2"/>
  <c r="Z386" i="2"/>
  <c r="BP417" i="2"/>
  <c r="Z417" i="2"/>
  <c r="BN443" i="2"/>
  <c r="Z443" i="2"/>
  <c r="Y456" i="2"/>
  <c r="BP454" i="2"/>
  <c r="BN523" i="2"/>
  <c r="Z39" i="2"/>
  <c r="Z47" i="2"/>
  <c r="BP56" i="2"/>
  <c r="Z60" i="2"/>
  <c r="Z61" i="2"/>
  <c r="Y72" i="2"/>
  <c r="Z71" i="2"/>
  <c r="BN71" i="2"/>
  <c r="Y77" i="2"/>
  <c r="Z76" i="2"/>
  <c r="Z77" i="2" s="1"/>
  <c r="Z81" i="2"/>
  <c r="BN81" i="2"/>
  <c r="BN122" i="2"/>
  <c r="Z122" i="2"/>
  <c r="BP158" i="2"/>
  <c r="BN158" i="2"/>
  <c r="Z158" i="2"/>
  <c r="Z159" i="2" s="1"/>
  <c r="Y159" i="2"/>
  <c r="BP178" i="2"/>
  <c r="BN178" i="2"/>
  <c r="Z178" i="2"/>
  <c r="BP181" i="2"/>
  <c r="BN181" i="2"/>
  <c r="Z181" i="2"/>
  <c r="BN183" i="2"/>
  <c r="Z183" i="2"/>
  <c r="BP209" i="2"/>
  <c r="BN209" i="2"/>
  <c r="Z209" i="2"/>
  <c r="BP223" i="2"/>
  <c r="Z223" i="2"/>
  <c r="BP233" i="2"/>
  <c r="BP234" i="2"/>
  <c r="Z234" i="2"/>
  <c r="BP243" i="2"/>
  <c r="BN243" i="2"/>
  <c r="Z243" i="2"/>
  <c r="Y254" i="2"/>
  <c r="Z250" i="2"/>
  <c r="Z268" i="2"/>
  <c r="BN327" i="2"/>
  <c r="Z327" i="2"/>
  <c r="BN359" i="2"/>
  <c r="BP366" i="2"/>
  <c r="BN366" i="2"/>
  <c r="Z366" i="2"/>
  <c r="BP374" i="2"/>
  <c r="Z374" i="2"/>
  <c r="BN400" i="2"/>
  <c r="Z400" i="2"/>
  <c r="BP436" i="2"/>
  <c r="BN436" i="2"/>
  <c r="Z436" i="2"/>
  <c r="BN471" i="2"/>
  <c r="BP480" i="2"/>
  <c r="BN480" i="2"/>
  <c r="Z480" i="2"/>
  <c r="BP512" i="2"/>
  <c r="BN512" i="2"/>
  <c r="Z512" i="2"/>
  <c r="BN517" i="2"/>
  <c r="BP517" i="2"/>
  <c r="BN522" i="2"/>
  <c r="Z522" i="2"/>
  <c r="BP103" i="2"/>
  <c r="Y112" i="2"/>
  <c r="BN110" i="2"/>
  <c r="BN154" i="2"/>
  <c r="BN165" i="2"/>
  <c r="BP190" i="2"/>
  <c r="BN211" i="2"/>
  <c r="BN232" i="2"/>
  <c r="BP240" i="2"/>
  <c r="BN245" i="2"/>
  <c r="BN252" i="2"/>
  <c r="BP266" i="2"/>
  <c r="BN278" i="2"/>
  <c r="BP286" i="2"/>
  <c r="BP307" i="2"/>
  <c r="BN370" i="2"/>
  <c r="BN399" i="2"/>
  <c r="BN448" i="2"/>
  <c r="Y473" i="2"/>
  <c r="Y484" i="2"/>
  <c r="BP477" i="2"/>
  <c r="BN478" i="2"/>
  <c r="BN518" i="2"/>
  <c r="F10" i="2"/>
  <c r="BP109" i="2"/>
  <c r="BN109" i="2"/>
  <c r="H569" i="2"/>
  <c r="BN133" i="2"/>
  <c r="Z199" i="2"/>
  <c r="Z200" i="2" s="1"/>
  <c r="Y200" i="2"/>
  <c r="BN199" i="2"/>
  <c r="BP244" i="2"/>
  <c r="BN244" i="2"/>
  <c r="Z244" i="2"/>
  <c r="BP277" i="2"/>
  <c r="BN277" i="2"/>
  <c r="Z277" i="2"/>
  <c r="Z285" i="2"/>
  <c r="BN285" i="2"/>
  <c r="Z418" i="2"/>
  <c r="BN418" i="2"/>
  <c r="Y451" i="2"/>
  <c r="BP505" i="2"/>
  <c r="BN505" i="2"/>
  <c r="Z505" i="2"/>
  <c r="Y535" i="2"/>
  <c r="Y536" i="2"/>
  <c r="Z534" i="2"/>
  <c r="Z535" i="2" s="1"/>
  <c r="Y33" i="2"/>
  <c r="Z38" i="2"/>
  <c r="BP38" i="2"/>
  <c r="BN49" i="2"/>
  <c r="Z59" i="2"/>
  <c r="BP59" i="2"/>
  <c r="Z67" i="2"/>
  <c r="Z70" i="2"/>
  <c r="BP105" i="2"/>
  <c r="Z109" i="2"/>
  <c r="BN227" i="2"/>
  <c r="BP227" i="2"/>
  <c r="Z227" i="2"/>
  <c r="BP331" i="2"/>
  <c r="BN331" i="2"/>
  <c r="Z331" i="2"/>
  <c r="BN397" i="2"/>
  <c r="Z397" i="2"/>
  <c r="BN437" i="2"/>
  <c r="Z437" i="2"/>
  <c r="Y500" i="2"/>
  <c r="Z528" i="2"/>
  <c r="BN528" i="2"/>
  <c r="BP551" i="2"/>
  <c r="BN551" i="2"/>
  <c r="BP31" i="2"/>
  <c r="BP166" i="2"/>
  <c r="Z166" i="2"/>
  <c r="BN185" i="2"/>
  <c r="BP185" i="2"/>
  <c r="Z185" i="2"/>
  <c r="BP345" i="2"/>
  <c r="BN345" i="2"/>
  <c r="BP367" i="2"/>
  <c r="BN367" i="2"/>
  <c r="Z367" i="2"/>
  <c r="BN31" i="2"/>
  <c r="BP58" i="2"/>
  <c r="BP68" i="2"/>
  <c r="BP87" i="2"/>
  <c r="Z89" i="2"/>
  <c r="BN89" i="2"/>
  <c r="BP91" i="2"/>
  <c r="Z91" i="2"/>
  <c r="BN97" i="2"/>
  <c r="BP143" i="2"/>
  <c r="BN149" i="2"/>
  <c r="BP149" i="2"/>
  <c r="Z149" i="2"/>
  <c r="BN195" i="2"/>
  <c r="Z195" i="2"/>
  <c r="Z196" i="2" s="1"/>
  <c r="Y201" i="2"/>
  <c r="BN206" i="2"/>
  <c r="BP206" i="2"/>
  <c r="Z206" i="2"/>
  <c r="BP210" i="2"/>
  <c r="Z210" i="2"/>
  <c r="Y323" i="2"/>
  <c r="Y322" i="2"/>
  <c r="BN321" i="2"/>
  <c r="BP387" i="2"/>
  <c r="BN387" i="2"/>
  <c r="Z387" i="2"/>
  <c r="BN393" i="2"/>
  <c r="Z393" i="2"/>
  <c r="BP435" i="2"/>
  <c r="BN435" i="2"/>
  <c r="BN487" i="2"/>
  <c r="BP487" i="2"/>
  <c r="Z487" i="2"/>
  <c r="Z488" i="2" s="1"/>
  <c r="BN179" i="2"/>
  <c r="Z179" i="2"/>
  <c r="BP231" i="2"/>
  <c r="Z231" i="2"/>
  <c r="B569" i="2"/>
  <c r="BP49" i="2"/>
  <c r="Y65" i="2"/>
  <c r="BN67" i="2"/>
  <c r="Y78" i="2"/>
  <c r="BP82" i="2"/>
  <c r="Y92" i="2"/>
  <c r="BP133" i="2"/>
  <c r="BP179" i="2"/>
  <c r="BN182" i="2"/>
  <c r="BP182" i="2"/>
  <c r="Z182" i="2"/>
  <c r="BP199" i="2"/>
  <c r="BP285" i="2"/>
  <c r="Y294" i="2"/>
  <c r="Z309" i="2"/>
  <c r="BN309" i="2"/>
  <c r="BP377" i="2"/>
  <c r="BN377" i="2"/>
  <c r="Z377" i="2"/>
  <c r="Y389" i="2"/>
  <c r="BP418" i="2"/>
  <c r="Z454" i="2"/>
  <c r="Y457" i="2"/>
  <c r="BN454" i="2"/>
  <c r="X569" i="2"/>
  <c r="Z460" i="2"/>
  <c r="Y489" i="2"/>
  <c r="Z496" i="2"/>
  <c r="Y499" i="2"/>
  <c r="BN496" i="2"/>
  <c r="BP534" i="2"/>
  <c r="Y547" i="2"/>
  <c r="Y548" i="2"/>
  <c r="Z546" i="2"/>
  <c r="Z547" i="2" s="1"/>
  <c r="BP189" i="2"/>
  <c r="BP211" i="2"/>
  <c r="BP224" i="2"/>
  <c r="BP232" i="2"/>
  <c r="BN234" i="2"/>
  <c r="BN242" i="2"/>
  <c r="BN250" i="2"/>
  <c r="BN267" i="2"/>
  <c r="BP273" i="2"/>
  <c r="BN275" i="2"/>
  <c r="BN288" i="2"/>
  <c r="Y300" i="2"/>
  <c r="BP298" i="2"/>
  <c r="BP306" i="2"/>
  <c r="BN308" i="2"/>
  <c r="Y333" i="2"/>
  <c r="BP327" i="2"/>
  <c r="BN329" i="2"/>
  <c r="BP338" i="2"/>
  <c r="Y349" i="2"/>
  <c r="BP343" i="2"/>
  <c r="Y361" i="2"/>
  <c r="BN365" i="2"/>
  <c r="BN375" i="2"/>
  <c r="BN385" i="2"/>
  <c r="BP411" i="2"/>
  <c r="BN412" i="2"/>
  <c r="Y427" i="2"/>
  <c r="BN424" i="2"/>
  <c r="BP425" i="2"/>
  <c r="BP438" i="2"/>
  <c r="BP443" i="2"/>
  <c r="BP448" i="2"/>
  <c r="BN449" i="2"/>
  <c r="BN455" i="2"/>
  <c r="BP461" i="2"/>
  <c r="BN477" i="2"/>
  <c r="BP478" i="2"/>
  <c r="BN479" i="2"/>
  <c r="BP507" i="2"/>
  <c r="BN508" i="2"/>
  <c r="BP523" i="2"/>
  <c r="BN542" i="2"/>
  <c r="Y543" i="2"/>
  <c r="BP110" i="2"/>
  <c r="BP122" i="2"/>
  <c r="Z154" i="2"/>
  <c r="Y160" i="2"/>
  <c r="Z165" i="2"/>
  <c r="BN171" i="2"/>
  <c r="Z177" i="2"/>
  <c r="BN223" i="2"/>
  <c r="BP225" i="2"/>
  <c r="BP228" i="2"/>
  <c r="BP245" i="2"/>
  <c r="BP252" i="2"/>
  <c r="BN266" i="2"/>
  <c r="BP278" i="2"/>
  <c r="BP283" i="2"/>
  <c r="BN297" i="2"/>
  <c r="BP370" i="2"/>
  <c r="BP380" i="2"/>
  <c r="Y388" i="2"/>
  <c r="Y395" i="2"/>
  <c r="BP392" i="2"/>
  <c r="BP433" i="2"/>
  <c r="Y452" i="2"/>
  <c r="BP471" i="2"/>
  <c r="Y569" i="2"/>
  <c r="BP482" i="2"/>
  <c r="AA569" i="2"/>
  <c r="BP504" i="2"/>
  <c r="BP518" i="2"/>
  <c r="BP527" i="2"/>
  <c r="BP151" i="2"/>
  <c r="BP207" i="2"/>
  <c r="Y235" i="2"/>
  <c r="BP242" i="2"/>
  <c r="BP275" i="2"/>
  <c r="BP288" i="2"/>
  <c r="Y299" i="2"/>
  <c r="BP304" i="2"/>
  <c r="BP329" i="2"/>
  <c r="BP365" i="2"/>
  <c r="BP375" i="2"/>
  <c r="BP385" i="2"/>
  <c r="BP412" i="2"/>
  <c r="Y420" i="2"/>
  <c r="BN423" i="2"/>
  <c r="Z424" i="2"/>
  <c r="Y426" i="2"/>
  <c r="Z433" i="2"/>
  <c r="Z455" i="2"/>
  <c r="BP479" i="2"/>
  <c r="Y488" i="2"/>
  <c r="BP508" i="2"/>
  <c r="Y530" i="2"/>
  <c r="BP524" i="2"/>
  <c r="BP542" i="2"/>
  <c r="BP121" i="2"/>
  <c r="Y125" i="2"/>
  <c r="Y187" i="2"/>
  <c r="Y186" i="2"/>
  <c r="BP175" i="2"/>
  <c r="Y280" i="2"/>
  <c r="BN271" i="2"/>
  <c r="BP293" i="2"/>
  <c r="Z293" i="2"/>
  <c r="BP550" i="2"/>
  <c r="BN550" i="2"/>
  <c r="Z550" i="2"/>
  <c r="Y553" i="2"/>
  <c r="Y552" i="2"/>
  <c r="BN184" i="2"/>
  <c r="Z184" i="2"/>
  <c r="BN326" i="2"/>
  <c r="Z326" i="2"/>
  <c r="P569" i="2"/>
  <c r="Y332" i="2"/>
  <c r="BP369" i="2"/>
  <c r="BN369" i="2"/>
  <c r="Z369" i="2"/>
  <c r="Y382" i="2"/>
  <c r="BP405" i="2"/>
  <c r="Z405" i="2"/>
  <c r="Z108" i="2"/>
  <c r="Z124" i="2"/>
  <c r="BN153" i="2"/>
  <c r="Z153" i="2"/>
  <c r="BP153" i="2"/>
  <c r="Z170" i="2"/>
  <c r="Y197" i="2"/>
  <c r="BP195" i="2"/>
  <c r="Y340" i="2"/>
  <c r="BP336" i="2"/>
  <c r="Y339" i="2"/>
  <c r="BN336" i="2"/>
  <c r="Q569" i="2"/>
  <c r="X560" i="2"/>
  <c r="D569" i="2"/>
  <c r="Z96" i="2"/>
  <c r="BN96" i="2"/>
  <c r="Y318" i="2"/>
  <c r="BP317" i="2"/>
  <c r="BN317" i="2"/>
  <c r="Y319" i="2"/>
  <c r="BP352" i="2"/>
  <c r="BN352" i="2"/>
  <c r="BN405" i="2"/>
  <c r="Z30" i="2"/>
  <c r="Z111" i="2"/>
  <c r="Z116" i="2"/>
  <c r="BN22" i="2"/>
  <c r="BN27" i="2"/>
  <c r="BN37" i="2"/>
  <c r="BN40" i="2"/>
  <c r="Z40" i="2"/>
  <c r="Z69" i="2"/>
  <c r="Y100" i="2"/>
  <c r="BN108" i="2"/>
  <c r="BN124" i="2"/>
  <c r="BN150" i="2"/>
  <c r="BN170" i="2"/>
  <c r="BP184" i="2"/>
  <c r="Y193" i="2"/>
  <c r="BP205" i="2"/>
  <c r="Y212" i="2"/>
  <c r="K569" i="2"/>
  <c r="Z226" i="2"/>
  <c r="BN229" i="2"/>
  <c r="Z229" i="2"/>
  <c r="BN246" i="2"/>
  <c r="BP271" i="2"/>
  <c r="Z317" i="2"/>
  <c r="Z318" i="2" s="1"/>
  <c r="BP326" i="2"/>
  <c r="Z352" i="2"/>
  <c r="BP511" i="2"/>
  <c r="Z511" i="2"/>
  <c r="Z22" i="2"/>
  <c r="Y64" i="2"/>
  <c r="BN30" i="2"/>
  <c r="BN111" i="2"/>
  <c r="BP220" i="2"/>
  <c r="Z220" i="2"/>
  <c r="BP379" i="2"/>
  <c r="BN379" i="2"/>
  <c r="Z379" i="2"/>
  <c r="X561" i="2"/>
  <c r="BN208" i="2"/>
  <c r="Z208" i="2"/>
  <c r="BP22" i="2"/>
  <c r="BP27" i="2"/>
  <c r="BP37" i="2"/>
  <c r="BN69" i="2"/>
  <c r="BN82" i="2"/>
  <c r="BP96" i="2"/>
  <c r="Y113" i="2"/>
  <c r="G569" i="2"/>
  <c r="BP108" i="2"/>
  <c r="BP116" i="2"/>
  <c r="Z144" i="2"/>
  <c r="BP150" i="2"/>
  <c r="BP170" i="2"/>
  <c r="BN176" i="2"/>
  <c r="Z176" i="2"/>
  <c r="BP176" i="2"/>
  <c r="BN226" i="2"/>
  <c r="Y236" i="2"/>
  <c r="BP246" i="2"/>
  <c r="BP261" i="2"/>
  <c r="Z261" i="2"/>
  <c r="M569" i="2"/>
  <c r="BN272" i="2"/>
  <c r="Z272" i="2"/>
  <c r="BN303" i="2"/>
  <c r="Z303" i="2"/>
  <c r="Y311" i="2"/>
  <c r="O569" i="2"/>
  <c r="BN511" i="2"/>
  <c r="BN139" i="2"/>
  <c r="Y141" i="2"/>
  <c r="BN220" i="2"/>
  <c r="BN337" i="2"/>
  <c r="Z337" i="2"/>
  <c r="BP434" i="2"/>
  <c r="BN434" i="2"/>
  <c r="Z434" i="2"/>
  <c r="Y73" i="2"/>
  <c r="BN117" i="2"/>
  <c r="Z117" i="2"/>
  <c r="Y135" i="2"/>
  <c r="Y136" i="2"/>
  <c r="Z139" i="2"/>
  <c r="BN144" i="2"/>
  <c r="Y196" i="2"/>
  <c r="BP208" i="2"/>
  <c r="Y247" i="2"/>
  <c r="BN238" i="2"/>
  <c r="Y348" i="2"/>
  <c r="Y43" i="2"/>
  <c r="Y126" i="2"/>
  <c r="Z238" i="2"/>
  <c r="Y248" i="2"/>
  <c r="BP272" i="2"/>
  <c r="BP291" i="2"/>
  <c r="Z291" i="2"/>
  <c r="BP347" i="2"/>
  <c r="BN347" i="2"/>
  <c r="Z37" i="2"/>
  <c r="Z62" i="2"/>
  <c r="BP75" i="2"/>
  <c r="BN75" i="2"/>
  <c r="Z80" i="2"/>
  <c r="Y83" i="2"/>
  <c r="BP221" i="2"/>
  <c r="BN221" i="2"/>
  <c r="Z221" i="2"/>
  <c r="Y279" i="2"/>
  <c r="Y310" i="2"/>
  <c r="BP337" i="2"/>
  <c r="Z347" i="2"/>
  <c r="W569" i="2"/>
  <c r="Y440" i="2"/>
  <c r="BP431" i="2"/>
  <c r="Y439" i="2"/>
  <c r="Z431" i="2"/>
  <c r="BP262" i="2"/>
  <c r="BN262" i="2"/>
  <c r="Z262" i="2"/>
  <c r="BN291" i="2"/>
  <c r="BN344" i="2"/>
  <c r="Y446" i="2"/>
  <c r="BP444" i="2"/>
  <c r="BN444" i="2"/>
  <c r="Z444" i="2"/>
  <c r="Z48" i="2"/>
  <c r="Z57" i="2"/>
  <c r="BN80" i="2"/>
  <c r="Y84" i="2"/>
  <c r="Z180" i="2"/>
  <c r="Z191" i="2"/>
  <c r="Y213" i="2"/>
  <c r="BN431" i="2"/>
  <c r="Z23" i="2"/>
  <c r="Y51" i="2"/>
  <c r="BN62" i="2"/>
  <c r="BP106" i="2"/>
  <c r="Z128" i="2"/>
  <c r="Z129" i="2" s="1"/>
  <c r="H9" i="2"/>
  <c r="F9" i="2"/>
  <c r="X563" i="2"/>
  <c r="BP67" i="2"/>
  <c r="BN70" i="2"/>
  <c r="Y93" i="2"/>
  <c r="Y118" i="2"/>
  <c r="Z123" i="2"/>
  <c r="BP134" i="2"/>
  <c r="Y140" i="2"/>
  <c r="I569" i="2"/>
  <c r="Y155" i="2"/>
  <c r="BN177" i="2"/>
  <c r="BN282" i="2"/>
  <c r="Z282" i="2"/>
  <c r="Y295" i="2"/>
  <c r="BN313" i="2"/>
  <c r="Z313" i="2"/>
  <c r="Z314" i="2" s="1"/>
  <c r="Y315" i="2"/>
  <c r="Y314" i="2"/>
  <c r="BP344" i="2"/>
  <c r="Y540" i="2"/>
  <c r="Y539" i="2"/>
  <c r="BP538" i="2"/>
  <c r="BN538" i="2"/>
  <c r="Z538" i="2"/>
  <c r="Z539" i="2" s="1"/>
  <c r="BN28" i="2"/>
  <c r="Z28" i="2"/>
  <c r="Z41" i="2"/>
  <c r="BN41" i="2"/>
  <c r="BN239" i="2"/>
  <c r="Z239" i="2"/>
  <c r="Y130" i="2"/>
  <c r="BP128" i="2"/>
  <c r="J569" i="2"/>
  <c r="BN163" i="2"/>
  <c r="Y167" i="2"/>
  <c r="Y24" i="2"/>
  <c r="Y32" i="2"/>
  <c r="BN180" i="2"/>
  <c r="BN191" i="2"/>
  <c r="BP216" i="2"/>
  <c r="Y218" i="2"/>
  <c r="L569" i="2"/>
  <c r="Y217" i="2"/>
  <c r="A10" i="2"/>
  <c r="Y52" i="2"/>
  <c r="BN95" i="2"/>
  <c r="Y99" i="2"/>
  <c r="BN123" i="2"/>
  <c r="Z152" i="2"/>
  <c r="BP163" i="2"/>
  <c r="Z216" i="2"/>
  <c r="Z217" i="2" s="1"/>
  <c r="Z222" i="2"/>
  <c r="Z225" i="2"/>
  <c r="BP256" i="2"/>
  <c r="Y258" i="2"/>
  <c r="Y257" i="2"/>
  <c r="Y263" i="2"/>
  <c r="BP358" i="2"/>
  <c r="BN358" i="2"/>
  <c r="Z358" i="2"/>
  <c r="Y372" i="2"/>
  <c r="Y402" i="2"/>
  <c r="BP398" i="2"/>
  <c r="Y401" i="2"/>
  <c r="BN398" i="2"/>
  <c r="Z398" i="2"/>
  <c r="BP28" i="2"/>
  <c r="BN48" i="2"/>
  <c r="BN57" i="2"/>
  <c r="F569" i="2"/>
  <c r="BN107" i="2"/>
  <c r="Z107" i="2"/>
  <c r="X559" i="2"/>
  <c r="Z63" i="2"/>
  <c r="BN63" i="2"/>
  <c r="Y145" i="2"/>
  <c r="Y146" i="2"/>
  <c r="Y156" i="2"/>
  <c r="Y173" i="2"/>
  <c r="Y192" i="2"/>
  <c r="BP282" i="2"/>
  <c r="BP313" i="2"/>
  <c r="Y353" i="2"/>
  <c r="BP351" i="2"/>
  <c r="Z351" i="2"/>
  <c r="Y354" i="2"/>
  <c r="Z27" i="2"/>
  <c r="BN23" i="2"/>
  <c r="Y42" i="2"/>
  <c r="Y119" i="2"/>
  <c r="Y25" i="2"/>
  <c r="BN55" i="2"/>
  <c r="E569" i="2"/>
  <c r="BP55" i="2"/>
  <c r="BN87" i="2"/>
  <c r="BP107" i="2"/>
  <c r="Y129" i="2"/>
  <c r="Z143" i="2"/>
  <c r="BN152" i="2"/>
  <c r="Z164" i="2"/>
  <c r="BN164" i="2"/>
  <c r="Y168" i="2"/>
  <c r="BP183" i="2"/>
  <c r="BN216" i="2"/>
  <c r="BN222" i="2"/>
  <c r="Z228" i="2"/>
  <c r="BP239" i="2"/>
  <c r="Y264" i="2"/>
  <c r="BN289" i="2"/>
  <c r="Z289" i="2"/>
  <c r="Z569" i="2"/>
  <c r="Y494" i="2"/>
  <c r="Y493" i="2"/>
  <c r="BP492" i="2"/>
  <c r="BN492" i="2"/>
  <c r="Z492" i="2"/>
  <c r="Z493" i="2" s="1"/>
  <c r="BN47" i="2"/>
  <c r="Z133" i="2"/>
  <c r="BN189" i="2"/>
  <c r="BN343" i="2"/>
  <c r="Y408" i="2"/>
  <c r="Y467" i="2"/>
  <c r="Y514" i="2"/>
  <c r="BP290" i="2"/>
  <c r="Z298" i="2"/>
  <c r="Z321" i="2"/>
  <c r="Z322" i="2" s="1"/>
  <c r="Z357" i="2"/>
  <c r="BP359" i="2"/>
  <c r="Z368" i="2"/>
  <c r="Z378" i="2"/>
  <c r="Z410" i="2"/>
  <c r="Y462" i="2"/>
  <c r="Z469" i="2"/>
  <c r="Z481" i="2"/>
  <c r="Z506" i="2"/>
  <c r="Z516" i="2"/>
  <c r="Z526" i="2"/>
  <c r="BN368" i="2"/>
  <c r="Y371" i="2"/>
  <c r="BN378" i="2"/>
  <c r="Y381" i="2"/>
  <c r="BN410" i="2"/>
  <c r="Y413" i="2"/>
  <c r="BN469" i="2"/>
  <c r="Y472" i="2"/>
  <c r="BN481" i="2"/>
  <c r="BN506" i="2"/>
  <c r="BN516" i="2"/>
  <c r="Y519" i="2"/>
  <c r="BN526" i="2"/>
  <c r="Y529" i="2"/>
  <c r="Y253" i="2"/>
  <c r="Y419" i="2"/>
  <c r="Z449" i="2"/>
  <c r="Y463" i="2"/>
  <c r="BN486" i="2"/>
  <c r="Z497" i="2"/>
  <c r="Z509" i="2"/>
  <c r="Z556" i="2"/>
  <c r="Z557" i="2" s="1"/>
  <c r="R569" i="2"/>
  <c r="BP357" i="2"/>
  <c r="BP368" i="2"/>
  <c r="BP378" i="2"/>
  <c r="BP410" i="2"/>
  <c r="BP469" i="2"/>
  <c r="Z479" i="2"/>
  <c r="Z504" i="2"/>
  <c r="BP516" i="2"/>
  <c r="Z524" i="2"/>
  <c r="S569" i="2"/>
  <c r="BP486" i="2"/>
  <c r="BN497" i="2"/>
  <c r="BN509" i="2"/>
  <c r="Y544" i="2"/>
  <c r="BN556" i="2"/>
  <c r="T569" i="2"/>
  <c r="Z406" i="2"/>
  <c r="Z432" i="2"/>
  <c r="Z442" i="2"/>
  <c r="U569" i="2"/>
  <c r="BN391" i="2"/>
  <c r="Y394" i="2"/>
  <c r="Z411" i="2"/>
  <c r="BN460" i="2"/>
  <c r="Z470" i="2"/>
  <c r="Z482" i="2"/>
  <c r="Z507" i="2"/>
  <c r="Z517" i="2"/>
  <c r="Z527" i="2"/>
  <c r="BP556" i="2"/>
  <c r="V569" i="2"/>
  <c r="Z274" i="2"/>
  <c r="Z284" i="2"/>
  <c r="Z305" i="2"/>
  <c r="Z328" i="2"/>
  <c r="BN406" i="2"/>
  <c r="BN432" i="2"/>
  <c r="BN442" i="2"/>
  <c r="Y445" i="2"/>
  <c r="Z345" i="2"/>
  <c r="BP391" i="2"/>
  <c r="Z399" i="2"/>
  <c r="Z423" i="2"/>
  <c r="Z435" i="2"/>
  <c r="Z551" i="2"/>
  <c r="Y557" i="2"/>
  <c r="BN166" i="2"/>
  <c r="BN210" i="2"/>
  <c r="BN231" i="2"/>
  <c r="BN241" i="2"/>
  <c r="BN251" i="2"/>
  <c r="BN274" i="2"/>
  <c r="BN284" i="2"/>
  <c r="Z292" i="2"/>
  <c r="BN305" i="2"/>
  <c r="BN328" i="2"/>
  <c r="BN364" i="2"/>
  <c r="BN374" i="2"/>
  <c r="BN384" i="2"/>
  <c r="Z404" i="2"/>
  <c r="BN417" i="2"/>
  <c r="Z450" i="2"/>
  <c r="BP465" i="2"/>
  <c r="Z498" i="2"/>
  <c r="Z510" i="2"/>
  <c r="BN534" i="2"/>
  <c r="BN546" i="2"/>
  <c r="BN292" i="2"/>
  <c r="Z392" i="2"/>
  <c r="BN404" i="2"/>
  <c r="Y407" i="2"/>
  <c r="Z438" i="2"/>
  <c r="BN450" i="2"/>
  <c r="Z461" i="2"/>
  <c r="BN498" i="2"/>
  <c r="BN510" i="2"/>
  <c r="Y513" i="2"/>
  <c r="BP546" i="2"/>
  <c r="Y558" i="2"/>
  <c r="BP423" i="2"/>
  <c r="AB569" i="2"/>
  <c r="Z135" i="2" l="1"/>
  <c r="Z51" i="2"/>
  <c r="Z192" i="2"/>
  <c r="Z140" i="2"/>
  <c r="Z360" i="2"/>
  <c r="Z299" i="2"/>
  <c r="Z419" i="2"/>
  <c r="Z99" i="2"/>
  <c r="Z348" i="2"/>
  <c r="Z394" i="2"/>
  <c r="Z426" i="2"/>
  <c r="Z445" i="2"/>
  <c r="Z371" i="2"/>
  <c r="Z112" i="2"/>
  <c r="Z125" i="2"/>
  <c r="Z339" i="2"/>
  <c r="Z167" i="2"/>
  <c r="Z83" i="2"/>
  <c r="Z172" i="2"/>
  <c r="Z388" i="2"/>
  <c r="Z92" i="2"/>
  <c r="Z212" i="2"/>
  <c r="Z72" i="2"/>
  <c r="Z462" i="2"/>
  <c r="Z279" i="2"/>
  <c r="Z483" i="2"/>
  <c r="Z32" i="2"/>
  <c r="Z353" i="2"/>
  <c r="Z64" i="2"/>
  <c r="Z186" i="2"/>
  <c r="Z253" i="2"/>
  <c r="Z529" i="2"/>
  <c r="Z499" i="2"/>
  <c r="Z472" i="2"/>
  <c r="Z401" i="2"/>
  <c r="Z118" i="2"/>
  <c r="Z519" i="2"/>
  <c r="Z155" i="2"/>
  <c r="Z381" i="2"/>
  <c r="Z451" i="2"/>
  <c r="Z413" i="2"/>
  <c r="Z247" i="2"/>
  <c r="Z456" i="2"/>
  <c r="Y560" i="2"/>
  <c r="Z332" i="2"/>
  <c r="Z235" i="2"/>
  <c r="Z294" i="2"/>
  <c r="Z310" i="2"/>
  <c r="Z439" i="2"/>
  <c r="Y559" i="2"/>
  <c r="Z24" i="2"/>
  <c r="Z145" i="2"/>
  <c r="Z42" i="2"/>
  <c r="Z552" i="2"/>
  <c r="Y563" i="2"/>
  <c r="Z263" i="2"/>
  <c r="Z513" i="2"/>
  <c r="Z407" i="2"/>
  <c r="Y561" i="2"/>
  <c r="X562" i="2"/>
  <c r="Z564" i="2" l="1"/>
  <c r="Y562" i="2"/>
</calcChain>
</file>

<file path=xl/sharedStrings.xml><?xml version="1.0" encoding="utf-8"?>
<sst xmlns="http://schemas.openxmlformats.org/spreadsheetml/2006/main" count="4295" uniqueCount="898">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</sst>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7" t="s">
        <v>8</v>
      </c>
      <c r="B5" s="997"/>
      <c r="C5" s="997"/>
      <c r="D5" s="998"/>
      <c r="E5" s="998"/>
      <c r="F5" s="999" t="s">
        <v>14</v>
      </c>
      <c r="G5" s="999"/>
      <c r="H5" s="998" t="s">
        <v>897</v>
      </c>
      <c r="I5" s="998"/>
      <c r="J5" s="998"/>
      <c r="K5" s="998"/>
      <c r="L5" s="998"/>
      <c r="M5" s="998"/>
      <c r="N5" s="72"/>
      <c r="P5" s="27" t="s">
        <v>4</v>
      </c>
      <c r="Q5" s="1000">
        <v>46298</v>
      </c>
      <c r="R5" s="1000"/>
      <c r="T5" s="1001" t="s">
        <v>3</v>
      </c>
      <c r="U5" s="1002"/>
      <c r="V5" s="1003" t="s">
        <v>873</v>
      </c>
      <c r="W5" s="1004"/>
      <c r="AB5" s="59"/>
      <c r="AC5" s="59"/>
      <c r="AD5" s="59"/>
      <c r="AE5" s="59"/>
    </row>
    <row r="6" spans="1:32" s="17" customFormat="1" ht="24" customHeight="1" x14ac:dyDescent="0.2">
      <c r="A6" s="997" t="s">
        <v>1</v>
      </c>
      <c r="B6" s="997"/>
      <c r="C6" s="997"/>
      <c r="D6" s="1005" t="s">
        <v>880</v>
      </c>
      <c r="E6" s="1005"/>
      <c r="F6" s="1005"/>
      <c r="G6" s="1005"/>
      <c r="H6" s="1005"/>
      <c r="I6" s="1005"/>
      <c r="J6" s="1005"/>
      <c r="K6" s="1005"/>
      <c r="L6" s="1005"/>
      <c r="M6" s="1005"/>
      <c r="N6" s="73"/>
      <c r="P6" s="27" t="s">
        <v>27</v>
      </c>
      <c r="Q6" s="1006" t="str">
        <f>IF(Q5=0," ",CHOOSE(WEEKDAY(Q5,2),"Понедельник","Вторник","Среда","Четверг","Пятница","Суббота","Воскресенье"))</f>
        <v>Суббота</v>
      </c>
      <c r="R6" s="1006"/>
      <c r="T6" s="1007" t="s">
        <v>5</v>
      </c>
      <c r="U6" s="1008"/>
      <c r="V6" s="1009" t="s">
        <v>70</v>
      </c>
      <c r="W6" s="10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5" t="str">
        <f>IFERROR(VLOOKUP(DeliveryAddress,Table,3,0),1)</f>
        <v>3</v>
      </c>
      <c r="E7" s="1016"/>
      <c r="F7" s="1016"/>
      <c r="G7" s="1016"/>
      <c r="H7" s="1016"/>
      <c r="I7" s="1016"/>
      <c r="J7" s="1016"/>
      <c r="K7" s="1016"/>
      <c r="L7" s="1016"/>
      <c r="M7" s="1017"/>
      <c r="N7" s="74"/>
      <c r="P7" s="29"/>
      <c r="Q7" s="48"/>
      <c r="R7" s="48"/>
      <c r="T7" s="1007"/>
      <c r="U7" s="1008"/>
      <c r="V7" s="1011"/>
      <c r="W7" s="1012"/>
      <c r="AB7" s="59"/>
      <c r="AC7" s="59"/>
      <c r="AD7" s="59"/>
      <c r="AE7" s="59"/>
    </row>
    <row r="8" spans="1:32" s="17" customFormat="1" ht="25.5" customHeight="1" x14ac:dyDescent="0.2">
      <c r="A8" s="1018" t="s">
        <v>58</v>
      </c>
      <c r="B8" s="1018"/>
      <c r="C8" s="1018"/>
      <c r="D8" s="1019"/>
      <c r="E8" s="1019"/>
      <c r="F8" s="1019"/>
      <c r="G8" s="1019"/>
      <c r="H8" s="1019"/>
      <c r="I8" s="1019"/>
      <c r="J8" s="1019"/>
      <c r="K8" s="1019"/>
      <c r="L8" s="1019"/>
      <c r="M8" s="1019"/>
      <c r="N8" s="75"/>
      <c r="P8" s="27" t="s">
        <v>11</v>
      </c>
      <c r="Q8" s="978">
        <v>0.5</v>
      </c>
      <c r="R8" s="978"/>
      <c r="T8" s="1007"/>
      <c r="U8" s="1008"/>
      <c r="V8" s="1011"/>
      <c r="W8" s="1012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1020" t="str">
        <f>IF(AND($A$9="Тип доверенности/получателя при получении в адресе перегруза:",$D$9="Разовая доверенность"),"Введите ФИО","")</f>
        <v/>
      </c>
      <c r="I9" s="1020"/>
      <c r="J9" s="10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0"/>
      <c r="L9" s="1020"/>
      <c r="M9" s="1020"/>
      <c r="N9" s="70"/>
      <c r="P9" s="31" t="s">
        <v>15</v>
      </c>
      <c r="Q9" s="1021"/>
      <c r="R9" s="1021"/>
      <c r="T9" s="1007"/>
      <c r="U9" s="1008"/>
      <c r="V9" s="1013"/>
      <c r="W9" s="10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76" t="s">
        <v>55</v>
      </c>
      <c r="W11" s="9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7" t="s">
        <v>72</v>
      </c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76"/>
      <c r="P12" s="27" t="s">
        <v>30</v>
      </c>
      <c r="Q12" s="978"/>
      <c r="R12" s="978"/>
      <c r="S12" s="28"/>
      <c r="T12"/>
      <c r="U12" s="29" t="s">
        <v>46</v>
      </c>
      <c r="V12" s="979"/>
      <c r="W12" s="979"/>
      <c r="X12"/>
      <c r="AB12" s="59"/>
      <c r="AC12" s="59"/>
      <c r="AD12" s="59"/>
      <c r="AE12" s="59"/>
    </row>
    <row r="13" spans="1:32" s="17" customFormat="1" ht="23.25" customHeight="1" x14ac:dyDescent="0.2">
      <c r="A13" s="977" t="s">
        <v>73</v>
      </c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76"/>
      <c r="O13" s="31"/>
      <c r="P13" s="31" t="s">
        <v>31</v>
      </c>
      <c r="Q13" s="976"/>
      <c r="R13" s="9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7" t="s">
        <v>74</v>
      </c>
      <c r="B14" s="977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0" t="s">
        <v>75</v>
      </c>
      <c r="B15" s="980"/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77"/>
      <c r="O15"/>
      <c r="P15" s="981" t="s">
        <v>61</v>
      </c>
      <c r="Q15" s="981"/>
      <c r="R15" s="981"/>
      <c r="S15" s="981"/>
      <c r="T15" s="98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2"/>
      <c r="Q16" s="982"/>
      <c r="R16" s="982"/>
      <c r="S16" s="982"/>
      <c r="T16" s="9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2" t="s">
        <v>59</v>
      </c>
      <c r="B17" s="952" t="s">
        <v>49</v>
      </c>
      <c r="C17" s="985" t="s">
        <v>48</v>
      </c>
      <c r="D17" s="987" t="s">
        <v>50</v>
      </c>
      <c r="E17" s="988"/>
      <c r="F17" s="952" t="s">
        <v>21</v>
      </c>
      <c r="G17" s="952" t="s">
        <v>24</v>
      </c>
      <c r="H17" s="952" t="s">
        <v>22</v>
      </c>
      <c r="I17" s="952" t="s">
        <v>23</v>
      </c>
      <c r="J17" s="952" t="s">
        <v>16</v>
      </c>
      <c r="K17" s="952" t="s">
        <v>66</v>
      </c>
      <c r="L17" s="952" t="s">
        <v>64</v>
      </c>
      <c r="M17" s="952" t="s">
        <v>2</v>
      </c>
      <c r="N17" s="952" t="s">
        <v>63</v>
      </c>
      <c r="O17" s="952" t="s">
        <v>25</v>
      </c>
      <c r="P17" s="987" t="s">
        <v>17</v>
      </c>
      <c r="Q17" s="991"/>
      <c r="R17" s="991"/>
      <c r="S17" s="991"/>
      <c r="T17" s="988"/>
      <c r="U17" s="983" t="s">
        <v>56</v>
      </c>
      <c r="V17" s="984"/>
      <c r="W17" s="952" t="s">
        <v>6</v>
      </c>
      <c r="X17" s="952" t="s">
        <v>41</v>
      </c>
      <c r="Y17" s="954" t="s">
        <v>54</v>
      </c>
      <c r="Z17" s="956" t="s">
        <v>18</v>
      </c>
      <c r="AA17" s="958" t="s">
        <v>60</v>
      </c>
      <c r="AB17" s="958" t="s">
        <v>19</v>
      </c>
      <c r="AC17" s="958" t="s">
        <v>65</v>
      </c>
      <c r="AD17" s="960" t="s">
        <v>57</v>
      </c>
      <c r="AE17" s="961"/>
      <c r="AF17" s="962"/>
      <c r="AG17" s="82"/>
      <c r="BD17" s="81" t="s">
        <v>62</v>
      </c>
    </row>
    <row r="18" spans="1:68" ht="14.25" customHeight="1" x14ac:dyDescent="0.2">
      <c r="A18" s="953"/>
      <c r="B18" s="953"/>
      <c r="C18" s="986"/>
      <c r="D18" s="989"/>
      <c r="E18" s="990"/>
      <c r="F18" s="953"/>
      <c r="G18" s="953"/>
      <c r="H18" s="953"/>
      <c r="I18" s="953"/>
      <c r="J18" s="953"/>
      <c r="K18" s="953"/>
      <c r="L18" s="953"/>
      <c r="M18" s="953"/>
      <c r="N18" s="953"/>
      <c r="O18" s="953"/>
      <c r="P18" s="989"/>
      <c r="Q18" s="992"/>
      <c r="R18" s="992"/>
      <c r="S18" s="992"/>
      <c r="T18" s="990"/>
      <c r="U18" s="83" t="s">
        <v>44</v>
      </c>
      <c r="V18" s="83" t="s">
        <v>43</v>
      </c>
      <c r="W18" s="953"/>
      <c r="X18" s="953"/>
      <c r="Y18" s="955"/>
      <c r="Z18" s="957"/>
      <c r="AA18" s="959"/>
      <c r="AB18" s="959"/>
      <c r="AC18" s="959"/>
      <c r="AD18" s="963"/>
      <c r="AE18" s="964"/>
      <c r="AF18" s="965"/>
      <c r="AG18" s="82"/>
      <c r="BD18" s="81"/>
    </row>
    <row r="19" spans="1:68" ht="27.75" hidden="1" customHeight="1" x14ac:dyDescent="0.2">
      <c r="A19" s="683" t="s">
        <v>76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54"/>
      <c r="AB19" s="54"/>
      <c r="AC19" s="54"/>
    </row>
    <row r="20" spans="1:68" ht="16.5" hidden="1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"/>
      <c r="AB20" s="65"/>
      <c r="AC20" s="79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6">
        <v>4680115886643</v>
      </c>
      <c r="E22" s="666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6">
        <v>4680115889071</v>
      </c>
      <c r="E23" s="666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6">
        <v>4680115885912</v>
      </c>
      <c r="E27" s="66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6">
        <v>4607091388237</v>
      </c>
      <c r="E28" s="66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6">
        <v>4680115887350</v>
      </c>
      <c r="E29" s="66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66">
        <v>4680115885905</v>
      </c>
      <c r="E30" s="66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9" t="s">
        <v>46</v>
      </c>
      <c r="V30" s="39" t="s">
        <v>46</v>
      </c>
      <c r="W30" s="40" t="s">
        <v>0</v>
      </c>
      <c r="X30" s="58">
        <v>36</v>
      </c>
      <c r="Y30" s="55">
        <f>IFERROR(IF(X30="",0,CEILING((X30/$H30),1)*$H30),"")</f>
        <v>36</v>
      </c>
      <c r="Z30" s="41">
        <f>IFERROR(IF(Y30=0,"",ROUNDUP(Y30/H30,0)*0.00651),"")</f>
        <v>0.13020000000000001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63.6</v>
      </c>
      <c r="BN30" s="78">
        <f>IFERROR(Y30*I30/H30,"0")</f>
        <v>63.6</v>
      </c>
      <c r="BO30" s="78">
        <f>IFERROR(1/J30*(X30/H30),"0")</f>
        <v>0.1098901098901099</v>
      </c>
      <c r="BP30" s="78">
        <f>IFERROR(1/J30*(Y30/H30),"0")</f>
        <v>0.1098901098901099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6">
        <v>4680115887619</v>
      </c>
      <c r="E31" s="66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IFERROR(X27/H27,"0")+IFERROR(X28/H28,"0")+IFERROR(X29/H29,"0")+IFERROR(X30/H30,"0")+IFERROR(X31/H31,"0")</f>
        <v>20</v>
      </c>
      <c r="Y32" s="43">
        <f>IFERROR(Y27/H27,"0")+IFERROR(Y28/H28,"0")+IFERROR(Y29/H29,"0")+IFERROR(Y30/H30,"0")+IFERROR(Y31/H31,"0")</f>
        <v>20</v>
      </c>
      <c r="Z32" s="43">
        <f>IFERROR(IF(Z27="",0,Z27),"0")+IFERROR(IF(Z28="",0,Z28),"0")+IFERROR(IF(Z29="",0,Z29),"0")+IFERROR(IF(Z30="",0,Z30),"0")+IFERROR(IF(Z31="",0,Z31),"0")</f>
        <v>0.13020000000000001</v>
      </c>
      <c r="AA32" s="67"/>
      <c r="AB32" s="67"/>
      <c r="AC32" s="67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IFERROR(SUM(X27:X31),"0")</f>
        <v>36</v>
      </c>
      <c r="Y33" s="43">
        <f>IFERROR(SUM(Y27:Y31),"0")</f>
        <v>36</v>
      </c>
      <c r="Z33" s="42"/>
      <c r="AA33" s="67"/>
      <c r="AB33" s="67"/>
      <c r="AC33" s="67"/>
    </row>
    <row r="34" spans="1:68" ht="27.75" hidden="1" customHeight="1" x14ac:dyDescent="0.2">
      <c r="A34" s="683" t="s">
        <v>45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54"/>
      <c r="AB34" s="54"/>
      <c r="AC34" s="54"/>
    </row>
    <row r="35" spans="1:68" ht="16.5" hidden="1" customHeight="1" x14ac:dyDescent="0.25">
      <c r="A35" s="672" t="s">
        <v>104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"/>
      <c r="AB35" s="65"/>
      <c r="AC35" s="79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6">
        <v>4680115889354</v>
      </c>
      <c r="E37" s="666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6">
        <v>4680115888463</v>
      </c>
      <c r="E38" s="666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6">
        <v>4680115889590</v>
      </c>
      <c r="E39" s="666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6">
        <v>4680115888272</v>
      </c>
      <c r="E40" s="666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6">
        <v>4680115888364</v>
      </c>
      <c r="E41" s="666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3" t="s">
        <v>120</v>
      </c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  <c r="Z44" s="683"/>
      <c r="AA44" s="54"/>
      <c r="AB44" s="54"/>
      <c r="AC44" s="54"/>
    </row>
    <row r="45" spans="1:68" ht="16.5" hidden="1" customHeight="1" x14ac:dyDescent="0.25">
      <c r="A45" s="672" t="s">
        <v>121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5"/>
      <c r="AB45" s="65"/>
      <c r="AC45" s="79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6">
        <v>4607091385670</v>
      </c>
      <c r="E47" s="666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6">
        <v>4680115887725</v>
      </c>
      <c r="E48" s="666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6">
        <v>4607091385687</v>
      </c>
      <c r="E49" s="666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9" t="s">
        <v>46</v>
      </c>
      <c r="V49" s="39" t="s">
        <v>46</v>
      </c>
      <c r="W49" s="40" t="s">
        <v>0</v>
      </c>
      <c r="X49" s="58">
        <v>120</v>
      </c>
      <c r="Y49" s="55">
        <f>IFERROR(IF(X49="",0,CEILING((X49/$H49),1)*$H49),"")</f>
        <v>120</v>
      </c>
      <c r="Z49" s="41">
        <f>IFERROR(IF(Y49=0,"",ROUNDUP(Y49/H49,0)*0.00902),"")</f>
        <v>0.27060000000000001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125.70000000000002</v>
      </c>
      <c r="BN49" s="78">
        <f>IFERROR(Y49*I49/H49,"0")</f>
        <v>125.70000000000002</v>
      </c>
      <c r="BO49" s="78">
        <f>IFERROR(1/J49*(X49/H49),"0")</f>
        <v>0.22727272727272729</v>
      </c>
      <c r="BP49" s="78">
        <f>IFERROR(1/J49*(Y49/H49),"0")</f>
        <v>0.22727272727272729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6">
        <v>4680115882539</v>
      </c>
      <c r="E50" s="666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30</v>
      </c>
      <c r="Y51" s="43">
        <f>IFERROR(Y47/H47,"0")+IFERROR(Y48/H48,"0")+IFERROR(Y49/H49,"0")+IFERROR(Y50/H50,"0")</f>
        <v>30</v>
      </c>
      <c r="Z51" s="43">
        <f>IFERROR(IF(Z47="",0,Z47),"0")+IFERROR(IF(Z48="",0,Z48),"0")+IFERROR(IF(Z49="",0,Z49),"0")+IFERROR(IF(Z50="",0,Z50),"0")</f>
        <v>0.27060000000000001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120</v>
      </c>
      <c r="Y52" s="43">
        <f>IFERROR(SUM(Y47:Y50),"0")</f>
        <v>120</v>
      </c>
      <c r="Z52" s="42"/>
      <c r="AA52" s="67"/>
      <c r="AB52" s="67"/>
      <c r="AC52" s="67"/>
    </row>
    <row r="53" spans="1:68" ht="16.5" hidden="1" customHeight="1" x14ac:dyDescent="0.25">
      <c r="A53" s="672" t="s">
        <v>137</v>
      </c>
      <c r="B53" s="672"/>
      <c r="C53" s="672"/>
      <c r="D53" s="672"/>
      <c r="E53" s="672"/>
      <c r="F53" s="672"/>
      <c r="G53" s="672"/>
      <c r="H53" s="672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Y53" s="672"/>
      <c r="Z53" s="672"/>
      <c r="AA53" s="65"/>
      <c r="AB53" s="65"/>
      <c r="AC53" s="79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6">
        <v>4680115885882</v>
      </c>
      <c r="E55" s="666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6">
        <v>4680115881426</v>
      </c>
      <c r="E56" s="666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6">
        <v>4680115881426</v>
      </c>
      <c r="E57" s="666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8"/>
      <c r="R57" s="668"/>
      <c r="S57" s="668"/>
      <c r="T57" s="669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6">
        <v>4680115880283</v>
      </c>
      <c r="E58" s="666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8"/>
      <c r="R58" s="668"/>
      <c r="S58" s="668"/>
      <c r="T58" s="669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6">
        <v>4680115881525</v>
      </c>
      <c r="E59" s="666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8"/>
      <c r="R59" s="668"/>
      <c r="S59" s="668"/>
      <c r="T59" s="669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6">
        <v>4680115881525</v>
      </c>
      <c r="E60" s="666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8"/>
      <c r="R60" s="668"/>
      <c r="S60" s="668"/>
      <c r="T60" s="669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6">
        <v>4680115885899</v>
      </c>
      <c r="E61" s="666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8"/>
      <c r="R61" s="668"/>
      <c r="S61" s="668"/>
      <c r="T61" s="669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66">
        <v>4680115881419</v>
      </c>
      <c r="E62" s="666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8"/>
      <c r="R62" s="668"/>
      <c r="S62" s="668"/>
      <c r="T62" s="669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6">
        <v>4680115881419</v>
      </c>
      <c r="E63" s="666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8"/>
      <c r="R63" s="668"/>
      <c r="S63" s="668"/>
      <c r="T63" s="669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56"/>
      <c r="B65" s="656"/>
      <c r="C65" s="656"/>
      <c r="D65" s="656"/>
      <c r="E65" s="656"/>
      <c r="F65" s="656"/>
      <c r="G65" s="656"/>
      <c r="H65" s="656"/>
      <c r="I65" s="656"/>
      <c r="J65" s="656"/>
      <c r="K65" s="656"/>
      <c r="L65" s="656"/>
      <c r="M65" s="656"/>
      <c r="N65" s="656"/>
      <c r="O65" s="657"/>
      <c r="P65" s="653" t="s">
        <v>40</v>
      </c>
      <c r="Q65" s="654"/>
      <c r="R65" s="654"/>
      <c r="S65" s="654"/>
      <c r="T65" s="654"/>
      <c r="U65" s="654"/>
      <c r="V65" s="655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65" t="s">
        <v>159</v>
      </c>
      <c r="B66" s="665"/>
      <c r="C66" s="665"/>
      <c r="D66" s="665"/>
      <c r="E66" s="665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666">
        <v>4680115881440</v>
      </c>
      <c r="E67" s="666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8"/>
      <c r="R67" s="668"/>
      <c r="S67" s="668"/>
      <c r="T67" s="669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6">
        <v>4680115881440</v>
      </c>
      <c r="E68" s="666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8"/>
      <c r="R68" s="668"/>
      <c r="S68" s="668"/>
      <c r="T68" s="669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6">
        <v>4680115885950</v>
      </c>
      <c r="E69" s="666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8"/>
      <c r="R69" s="668"/>
      <c r="S69" s="668"/>
      <c r="T69" s="669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6">
        <v>4680115887688</v>
      </c>
      <c r="E70" s="666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2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8"/>
      <c r="R70" s="668"/>
      <c r="S70" s="668"/>
      <c r="T70" s="669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666">
        <v>4680115881433</v>
      </c>
      <c r="E71" s="666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25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8"/>
      <c r="R71" s="668"/>
      <c r="S71" s="668"/>
      <c r="T71" s="669"/>
      <c r="U71" s="39" t="s">
        <v>46</v>
      </c>
      <c r="V71" s="39" t="s">
        <v>46</v>
      </c>
      <c r="W71" s="40" t="s">
        <v>0</v>
      </c>
      <c r="X71" s="58">
        <v>54</v>
      </c>
      <c r="Y71" s="55">
        <f>IFERROR(IF(X71="",0,CEILING((X71/$H71),1)*$H71),"")</f>
        <v>54</v>
      </c>
      <c r="Z71" s="41">
        <f>IFERROR(IF(Y71=0,"",ROUNDUP(Y71/H71,0)*0.00651),"")</f>
        <v>0.13020000000000001</v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57.599999999999987</v>
      </c>
      <c r="BN71" s="78">
        <f>IFERROR(Y71*I71/H71,"0")</f>
        <v>57.599999999999987</v>
      </c>
      <c r="BO71" s="78">
        <f>IFERROR(1/J71*(X71/H71),"0")</f>
        <v>0.1098901098901099</v>
      </c>
      <c r="BP71" s="78">
        <f>IFERROR(1/J71*(Y71/H71),"0")</f>
        <v>0.1098901098901099</v>
      </c>
    </row>
    <row r="72" spans="1:68" x14ac:dyDescent="0.2">
      <c r="A72" s="656"/>
      <c r="B72" s="656"/>
      <c r="C72" s="656"/>
      <c r="D72" s="656"/>
      <c r="E72" s="656"/>
      <c r="F72" s="656"/>
      <c r="G72" s="656"/>
      <c r="H72" s="656"/>
      <c r="I72" s="656"/>
      <c r="J72" s="656"/>
      <c r="K72" s="656"/>
      <c r="L72" s="656"/>
      <c r="M72" s="656"/>
      <c r="N72" s="656"/>
      <c r="O72" s="657"/>
      <c r="P72" s="653" t="s">
        <v>40</v>
      </c>
      <c r="Q72" s="654"/>
      <c r="R72" s="654"/>
      <c r="S72" s="654"/>
      <c r="T72" s="654"/>
      <c r="U72" s="654"/>
      <c r="V72" s="655"/>
      <c r="W72" s="42" t="s">
        <v>39</v>
      </c>
      <c r="X72" s="43">
        <f>IFERROR(X67/H67,"0")+IFERROR(X68/H68,"0")+IFERROR(X69/H69,"0")+IFERROR(X70/H70,"0")+IFERROR(X71/H71,"0")</f>
        <v>20</v>
      </c>
      <c r="Y72" s="43">
        <f>IFERROR(Y67/H67,"0")+IFERROR(Y68/H68,"0")+IFERROR(Y69/H69,"0")+IFERROR(Y70/H70,"0")+IFERROR(Y71/H71,"0")</f>
        <v>20</v>
      </c>
      <c r="Z72" s="43">
        <f>IFERROR(IF(Z67="",0,Z67),"0")+IFERROR(IF(Z68="",0,Z68),"0")+IFERROR(IF(Z69="",0,Z69),"0")+IFERROR(IF(Z70="",0,Z70),"0")+IFERROR(IF(Z71="",0,Z71),"0")</f>
        <v>0.13020000000000001</v>
      </c>
      <c r="AA72" s="67"/>
      <c r="AB72" s="67"/>
      <c r="AC72" s="67"/>
    </row>
    <row r="73" spans="1:68" x14ac:dyDescent="0.2">
      <c r="A73" s="656"/>
      <c r="B73" s="656"/>
      <c r="C73" s="656"/>
      <c r="D73" s="656"/>
      <c r="E73" s="656"/>
      <c r="F73" s="656"/>
      <c r="G73" s="656"/>
      <c r="H73" s="656"/>
      <c r="I73" s="656"/>
      <c r="J73" s="656"/>
      <c r="K73" s="656"/>
      <c r="L73" s="656"/>
      <c r="M73" s="656"/>
      <c r="N73" s="656"/>
      <c r="O73" s="657"/>
      <c r="P73" s="653" t="s">
        <v>40</v>
      </c>
      <c r="Q73" s="654"/>
      <c r="R73" s="654"/>
      <c r="S73" s="654"/>
      <c r="T73" s="654"/>
      <c r="U73" s="654"/>
      <c r="V73" s="655"/>
      <c r="W73" s="42" t="s">
        <v>0</v>
      </c>
      <c r="X73" s="43">
        <f>IFERROR(SUM(X67:X71),"0")</f>
        <v>54</v>
      </c>
      <c r="Y73" s="43">
        <f>IFERROR(SUM(Y67:Y71),"0")</f>
        <v>54</v>
      </c>
      <c r="Z73" s="42"/>
      <c r="AA73" s="67"/>
      <c r="AB73" s="67"/>
      <c r="AC73" s="67"/>
    </row>
    <row r="74" spans="1:68" ht="14.25" hidden="1" customHeight="1" x14ac:dyDescent="0.25">
      <c r="A74" s="665" t="s">
        <v>86</v>
      </c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65"/>
      <c r="P74" s="665"/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"/>
      <c r="AB74" s="66"/>
      <c r="AC74" s="80"/>
    </row>
    <row r="75" spans="1:68" ht="16.5" customHeight="1" x14ac:dyDescent="0.25">
      <c r="A75" s="63" t="s">
        <v>172</v>
      </c>
      <c r="B75" s="63" t="s">
        <v>173</v>
      </c>
      <c r="C75" s="36">
        <v>4301051837</v>
      </c>
      <c r="D75" s="666">
        <v>4680115884311</v>
      </c>
      <c r="E75" s="666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8"/>
      <c r="R75" s="668"/>
      <c r="S75" s="668"/>
      <c r="T75" s="669"/>
      <c r="U75" s="39" t="s">
        <v>46</v>
      </c>
      <c r="V75" s="39" t="s">
        <v>46</v>
      </c>
      <c r="W75" s="40" t="s">
        <v>0</v>
      </c>
      <c r="X75" s="58">
        <v>36</v>
      </c>
      <c r="Y75" s="55">
        <f>IFERROR(IF(X75="",0,CEILING((X75/$H75),1)*$H75),"")</f>
        <v>36</v>
      </c>
      <c r="Z75" s="41">
        <f>IFERROR(IF(Y75=0,"",ROUNDUP(Y75/H75,0)*0.00651),"")</f>
        <v>0.13020000000000001</v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40.919999999999995</v>
      </c>
      <c r="BN75" s="78">
        <f>IFERROR(Y75*I75/H75,"0")</f>
        <v>40.919999999999995</v>
      </c>
      <c r="BO75" s="78">
        <f>IFERROR(1/J75*(X75/H75),"0")</f>
        <v>0.1098901098901099</v>
      </c>
      <c r="BP75" s="78">
        <f>IFERROR(1/J75*(Y75/H75),"0")</f>
        <v>0.1098901098901099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6">
        <v>4680115884403</v>
      </c>
      <c r="E76" s="666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8"/>
      <c r="R76" s="668"/>
      <c r="S76" s="668"/>
      <c r="T76" s="669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56"/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7"/>
      <c r="P77" s="653" t="s">
        <v>40</v>
      </c>
      <c r="Q77" s="654"/>
      <c r="R77" s="654"/>
      <c r="S77" s="654"/>
      <c r="T77" s="654"/>
      <c r="U77" s="654"/>
      <c r="V77" s="655"/>
      <c r="W77" s="42" t="s">
        <v>39</v>
      </c>
      <c r="X77" s="43">
        <f>IFERROR(X75/H75,"0")+IFERROR(X76/H76,"0")</f>
        <v>20</v>
      </c>
      <c r="Y77" s="43">
        <f>IFERROR(Y75/H75,"0")+IFERROR(Y76/H76,"0")</f>
        <v>20</v>
      </c>
      <c r="Z77" s="43">
        <f>IFERROR(IF(Z75="",0,Z75),"0")+IFERROR(IF(Z76="",0,Z76),"0")</f>
        <v>0.13020000000000001</v>
      </c>
      <c r="AA77" s="67"/>
      <c r="AB77" s="67"/>
      <c r="AC77" s="67"/>
    </row>
    <row r="78" spans="1:68" x14ac:dyDescent="0.2">
      <c r="A78" s="656"/>
      <c r="B78" s="656"/>
      <c r="C78" s="656"/>
      <c r="D78" s="656"/>
      <c r="E78" s="656"/>
      <c r="F78" s="656"/>
      <c r="G78" s="656"/>
      <c r="H78" s="656"/>
      <c r="I78" s="656"/>
      <c r="J78" s="656"/>
      <c r="K78" s="656"/>
      <c r="L78" s="656"/>
      <c r="M78" s="656"/>
      <c r="N78" s="656"/>
      <c r="O78" s="657"/>
      <c r="P78" s="653" t="s">
        <v>40</v>
      </c>
      <c r="Q78" s="654"/>
      <c r="R78" s="654"/>
      <c r="S78" s="654"/>
      <c r="T78" s="654"/>
      <c r="U78" s="654"/>
      <c r="V78" s="655"/>
      <c r="W78" s="42" t="s">
        <v>0</v>
      </c>
      <c r="X78" s="43">
        <f>IFERROR(SUM(X75:X76),"0")</f>
        <v>36</v>
      </c>
      <c r="Y78" s="43">
        <f>IFERROR(SUM(Y75:Y76),"0")</f>
        <v>36</v>
      </c>
      <c r="Z78" s="42"/>
      <c r="AA78" s="67"/>
      <c r="AB78" s="67"/>
      <c r="AC78" s="67"/>
    </row>
    <row r="79" spans="1:68" ht="14.25" hidden="1" customHeight="1" x14ac:dyDescent="0.25">
      <c r="A79" s="665" t="s">
        <v>178</v>
      </c>
      <c r="B79" s="665"/>
      <c r="C79" s="665"/>
      <c r="D79" s="665"/>
      <c r="E79" s="665"/>
      <c r="F79" s="665"/>
      <c r="G79" s="665"/>
      <c r="H79" s="665"/>
      <c r="I79" s="665"/>
      <c r="J79" s="665"/>
      <c r="K79" s="665"/>
      <c r="L79" s="665"/>
      <c r="M79" s="665"/>
      <c r="N79" s="665"/>
      <c r="O79" s="665"/>
      <c r="P79" s="665"/>
      <c r="Q79" s="665"/>
      <c r="R79" s="665"/>
      <c r="S79" s="665"/>
      <c r="T79" s="665"/>
      <c r="U79" s="665"/>
      <c r="V79" s="665"/>
      <c r="W79" s="665"/>
      <c r="X79" s="665"/>
      <c r="Y79" s="665"/>
      <c r="Z79" s="665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666">
        <v>4680115881532</v>
      </c>
      <c r="E80" s="666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6">
        <v>4680115881532</v>
      </c>
      <c r="E81" s="666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1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8"/>
      <c r="R81" s="668"/>
      <c r="S81" s="668"/>
      <c r="T81" s="669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6">
        <v>4680115881464</v>
      </c>
      <c r="E82" s="666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1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56"/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7"/>
      <c r="P83" s="653" t="s">
        <v>40</v>
      </c>
      <c r="Q83" s="654"/>
      <c r="R83" s="654"/>
      <c r="S83" s="654"/>
      <c r="T83" s="654"/>
      <c r="U83" s="654"/>
      <c r="V83" s="655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56"/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7"/>
      <c r="P84" s="653" t="s">
        <v>40</v>
      </c>
      <c r="Q84" s="654"/>
      <c r="R84" s="654"/>
      <c r="S84" s="654"/>
      <c r="T84" s="654"/>
      <c r="U84" s="654"/>
      <c r="V84" s="655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72" t="s">
        <v>186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5"/>
      <c r="AB85" s="65"/>
      <c r="AC85" s="79"/>
    </row>
    <row r="86" spans="1:68" ht="14.25" hidden="1" customHeight="1" x14ac:dyDescent="0.25">
      <c r="A86" s="665" t="s">
        <v>122</v>
      </c>
      <c r="B86" s="665"/>
      <c r="C86" s="665"/>
      <c r="D86" s="665"/>
      <c r="E86" s="665"/>
      <c r="F86" s="665"/>
      <c r="G86" s="665"/>
      <c r="H86" s="665"/>
      <c r="I86" s="665"/>
      <c r="J86" s="665"/>
      <c r="K86" s="665"/>
      <c r="L86" s="665"/>
      <c r="M86" s="665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6"/>
      <c r="AB86" s="66"/>
      <c r="AC86" s="80"/>
    </row>
    <row r="87" spans="1:68" ht="27" hidden="1" customHeight="1" x14ac:dyDescent="0.25">
      <c r="A87" s="63" t="s">
        <v>187</v>
      </c>
      <c r="B87" s="63" t="s">
        <v>188</v>
      </c>
      <c r="C87" s="36">
        <v>4301011468</v>
      </c>
      <c r="D87" s="666">
        <v>4680115881327</v>
      </c>
      <c r="E87" s="666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4301012392</v>
      </c>
      <c r="D88" s="666">
        <v>4680115887732</v>
      </c>
      <c r="E88" s="666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9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8"/>
      <c r="R88" s="668"/>
      <c r="S88" s="668"/>
      <c r="T88" s="669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666">
        <v>4680115881518</v>
      </c>
      <c r="E89" s="666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9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8"/>
      <c r="R89" s="668"/>
      <c r="S89" s="668"/>
      <c r="T89" s="669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4301012252</v>
      </c>
      <c r="D90" s="666">
        <v>4680115881518</v>
      </c>
      <c r="E90" s="666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1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8"/>
      <c r="R90" s="668"/>
      <c r="S90" s="668"/>
      <c r="T90" s="669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4301012250</v>
      </c>
      <c r="D91" s="666">
        <v>4680115881303</v>
      </c>
      <c r="E91" s="666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8"/>
      <c r="R91" s="668"/>
      <c r="S91" s="668"/>
      <c r="T91" s="669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56"/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7"/>
      <c r="P93" s="653" t="s">
        <v>40</v>
      </c>
      <c r="Q93" s="654"/>
      <c r="R93" s="654"/>
      <c r="S93" s="654"/>
      <c r="T93" s="654"/>
      <c r="U93" s="654"/>
      <c r="V93" s="655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665" t="s">
        <v>86</v>
      </c>
      <c r="B94" s="665"/>
      <c r="C94" s="665"/>
      <c r="D94" s="665"/>
      <c r="E94" s="665"/>
      <c r="F94" s="665"/>
      <c r="G94" s="665"/>
      <c r="H94" s="665"/>
      <c r="I94" s="665"/>
      <c r="J94" s="665"/>
      <c r="K94" s="665"/>
      <c r="L94" s="665"/>
      <c r="M94" s="665"/>
      <c r="N94" s="665"/>
      <c r="O94" s="665"/>
      <c r="P94" s="665"/>
      <c r="Q94" s="665"/>
      <c r="R94" s="665"/>
      <c r="S94" s="665"/>
      <c r="T94" s="665"/>
      <c r="U94" s="665"/>
      <c r="V94" s="665"/>
      <c r="W94" s="665"/>
      <c r="X94" s="665"/>
      <c r="Y94" s="665"/>
      <c r="Z94" s="665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4301052101</v>
      </c>
      <c r="D95" s="666">
        <v>4607091386967</v>
      </c>
      <c r="E95" s="666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8"/>
      <c r="R95" s="668"/>
      <c r="S95" s="668"/>
      <c r="T95" s="669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4301052090</v>
      </c>
      <c r="D96" s="666">
        <v>4680115884953</v>
      </c>
      <c r="E96" s="666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8"/>
      <c r="R96" s="668"/>
      <c r="S96" s="668"/>
      <c r="T96" s="669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4301052094</v>
      </c>
      <c r="D97" s="666">
        <v>4607091385731</v>
      </c>
      <c r="E97" s="666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8"/>
      <c r="R97" s="668"/>
      <c r="S97" s="668"/>
      <c r="T97" s="669"/>
      <c r="U97" s="39" t="s">
        <v>46</v>
      </c>
      <c r="V97" s="39" t="s">
        <v>46</v>
      </c>
      <c r="W97" s="40" t="s">
        <v>0</v>
      </c>
      <c r="X97" s="58">
        <v>171</v>
      </c>
      <c r="Y97" s="55">
        <f>IFERROR(IF(X97="",0,CEILING((X97/$H97),1)*$H97),"")</f>
        <v>172.8</v>
      </c>
      <c r="Z97" s="41">
        <f>IFERROR(IF(Y97=0,"",ROUNDUP(Y97/H97,0)*0.00651),"")</f>
        <v>0.41664000000000001</v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186.95999999999998</v>
      </c>
      <c r="BN97" s="78">
        <f>IFERROR(Y97*I97/H97,"0")</f>
        <v>188.928</v>
      </c>
      <c r="BO97" s="78">
        <f>IFERROR(1/J97*(X97/H97),"0")</f>
        <v>0.34798534798534797</v>
      </c>
      <c r="BP97" s="78">
        <f>IFERROR(1/J97*(Y97/H97),"0")</f>
        <v>0.35164835164835168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6">
        <v>4680115880894</v>
      </c>
      <c r="E98" s="666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8"/>
      <c r="R98" s="668"/>
      <c r="S98" s="668"/>
      <c r="T98" s="669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39</v>
      </c>
      <c r="X99" s="43">
        <f>IFERROR(X95/H95,"0")+IFERROR(X96/H96,"0")+IFERROR(X97/H97,"0")+IFERROR(X98/H98,"0")</f>
        <v>63.333333333333329</v>
      </c>
      <c r="Y99" s="43">
        <f>IFERROR(Y95/H95,"0")+IFERROR(Y96/H96,"0")+IFERROR(Y97/H97,"0")+IFERROR(Y98/H98,"0")</f>
        <v>64</v>
      </c>
      <c r="Z99" s="43">
        <f>IFERROR(IF(Z95="",0,Z95),"0")+IFERROR(IF(Z96="",0,Z96),"0")+IFERROR(IF(Z97="",0,Z97),"0")+IFERROR(IF(Z98="",0,Z98),"0")</f>
        <v>0.41664000000000001</v>
      </c>
      <c r="AA99" s="67"/>
      <c r="AB99" s="67"/>
      <c r="AC99" s="67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2" t="s">
        <v>0</v>
      </c>
      <c r="X100" s="43">
        <f>IFERROR(SUM(X95:X98),"0")</f>
        <v>171</v>
      </c>
      <c r="Y100" s="43">
        <f>IFERROR(SUM(Y95:Y98),"0")</f>
        <v>172.8</v>
      </c>
      <c r="Z100" s="42"/>
      <c r="AA100" s="67"/>
      <c r="AB100" s="67"/>
      <c r="AC100" s="67"/>
    </row>
    <row r="101" spans="1:68" ht="16.5" hidden="1" customHeight="1" x14ac:dyDescent="0.25">
      <c r="A101" s="672" t="s">
        <v>209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5"/>
      <c r="AB101" s="65"/>
      <c r="AC101" s="79"/>
    </row>
    <row r="102" spans="1:68" ht="14.25" hidden="1" customHeight="1" x14ac:dyDescent="0.25">
      <c r="A102" s="665" t="s">
        <v>122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6">
        <v>4680115882133</v>
      </c>
      <c r="E103" s="666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8"/>
      <c r="R103" s="668"/>
      <c r="S103" s="668"/>
      <c r="T103" s="669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210</v>
      </c>
      <c r="B104" s="63" t="s">
        <v>213</v>
      </c>
      <c r="C104" s="36">
        <v>4301012256</v>
      </c>
      <c r="D104" s="666">
        <v>4680115882133</v>
      </c>
      <c r="E104" s="666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8"/>
      <c r="R104" s="668"/>
      <c r="S104" s="668"/>
      <c r="T104" s="669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4301012379</v>
      </c>
      <c r="D105" s="666">
        <v>4680115887718</v>
      </c>
      <c r="E105" s="666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666">
        <v>4680115880269</v>
      </c>
      <c r="E106" s="666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8"/>
      <c r="R106" s="668"/>
      <c r="S106" s="668"/>
      <c r="T106" s="669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4301012253</v>
      </c>
      <c r="D107" s="666">
        <v>4680115880269</v>
      </c>
      <c r="E107" s="666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8"/>
      <c r="R107" s="668"/>
      <c r="S107" s="668"/>
      <c r="T107" s="669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4301012254</v>
      </c>
      <c r="D108" s="666">
        <v>4680115880429</v>
      </c>
      <c r="E108" s="666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0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8"/>
      <c r="R108" s="668"/>
      <c r="S108" s="668"/>
      <c r="T108" s="669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4301011462</v>
      </c>
      <c r="D109" s="666">
        <v>4680115881457</v>
      </c>
      <c r="E109" s="666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4301012255</v>
      </c>
      <c r="D110" s="666">
        <v>4680115881457</v>
      </c>
      <c r="E110" s="666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0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8"/>
      <c r="R110" s="668"/>
      <c r="S110" s="668"/>
      <c r="T110" s="669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4301012366</v>
      </c>
      <c r="D111" s="666">
        <v>4680115889477</v>
      </c>
      <c r="E111" s="666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89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8"/>
      <c r="R111" s="668"/>
      <c r="S111" s="668"/>
      <c r="T111" s="669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56"/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7"/>
      <c r="P113" s="653" t="s">
        <v>40</v>
      </c>
      <c r="Q113" s="654"/>
      <c r="R113" s="654"/>
      <c r="S113" s="654"/>
      <c r="T113" s="654"/>
      <c r="U113" s="654"/>
      <c r="V113" s="655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65" t="s">
        <v>159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666">
        <v>4680115881488</v>
      </c>
      <c r="E115" s="666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89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4301020393</v>
      </c>
      <c r="D116" s="666">
        <v>4680115882775</v>
      </c>
      <c r="E116" s="666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8"/>
      <c r="R116" s="668"/>
      <c r="S116" s="668"/>
      <c r="T116" s="669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4301020392</v>
      </c>
      <c r="D117" s="666">
        <v>4680115880658</v>
      </c>
      <c r="E117" s="666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68"/>
      <c r="R117" s="668"/>
      <c r="S117" s="668"/>
      <c r="T117" s="669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665" t="s">
        <v>86</v>
      </c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"/>
      <c r="AB120" s="66"/>
      <c r="AC120" s="80"/>
    </row>
    <row r="121" spans="1:68" ht="27" hidden="1" customHeight="1" x14ac:dyDescent="0.25">
      <c r="A121" s="63" t="s">
        <v>236</v>
      </c>
      <c r="B121" s="63" t="s">
        <v>237</v>
      </c>
      <c r="C121" s="36">
        <v>4301052088</v>
      </c>
      <c r="D121" s="666">
        <v>4607091385168</v>
      </c>
      <c r="E121" s="666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68"/>
      <c r="R121" s="668"/>
      <c r="S121" s="668"/>
      <c r="T121" s="669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IFERROR(IF(Y121=0,"",ROUNDUP(Y121/H121,0)*0.01898),"")</f>
        <v/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4301052087</v>
      </c>
      <c r="D122" s="666">
        <v>4607091383256</v>
      </c>
      <c r="E122" s="666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68"/>
      <c r="R122" s="668"/>
      <c r="S122" s="668"/>
      <c r="T122" s="669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241</v>
      </c>
      <c r="B123" s="63" t="s">
        <v>242</v>
      </c>
      <c r="C123" s="36">
        <v>4301052086</v>
      </c>
      <c r="D123" s="666">
        <v>4607091385748</v>
      </c>
      <c r="E123" s="666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68"/>
      <c r="R123" s="668"/>
      <c r="S123" s="668"/>
      <c r="T123" s="669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customHeight="1" x14ac:dyDescent="0.25">
      <c r="A124" s="63" t="s">
        <v>243</v>
      </c>
      <c r="B124" s="63" t="s">
        <v>244</v>
      </c>
      <c r="C124" s="36">
        <v>4301052085</v>
      </c>
      <c r="D124" s="666">
        <v>4680115884533</v>
      </c>
      <c r="E124" s="666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8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68"/>
      <c r="R124" s="668"/>
      <c r="S124" s="668"/>
      <c r="T124" s="669"/>
      <c r="U124" s="39" t="s">
        <v>46</v>
      </c>
      <c r="V124" s="39" t="s">
        <v>46</v>
      </c>
      <c r="W124" s="40" t="s">
        <v>0</v>
      </c>
      <c r="X124" s="58">
        <v>54</v>
      </c>
      <c r="Y124" s="55">
        <f>IFERROR(IF(X124="",0,CEILING((X124/$H124),1)*$H124),"")</f>
        <v>54</v>
      </c>
      <c r="Z124" s="41">
        <f>IFERROR(IF(Y124=0,"",ROUNDUP(Y124/H124,0)*0.00651),"")</f>
        <v>0.1953</v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59.4</v>
      </c>
      <c r="BN124" s="78">
        <f>IFERROR(Y124*I124/H124,"0")</f>
        <v>59.4</v>
      </c>
      <c r="BO124" s="78">
        <f>IFERROR(1/J124*(X124/H124),"0")</f>
        <v>0.16483516483516486</v>
      </c>
      <c r="BP124" s="78">
        <f>IFERROR(1/J124*(Y124/H124),"0")</f>
        <v>0.16483516483516486</v>
      </c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2" t="s">
        <v>39</v>
      </c>
      <c r="X125" s="43">
        <f>IFERROR(X121/H121,"0")+IFERROR(X122/H122,"0")+IFERROR(X123/H123,"0")+IFERROR(X124/H124,"0")</f>
        <v>30</v>
      </c>
      <c r="Y125" s="43">
        <f>IFERROR(Y121/H121,"0")+IFERROR(Y122/H122,"0")+IFERROR(Y123/H123,"0")+IFERROR(Y124/H124,"0")</f>
        <v>30</v>
      </c>
      <c r="Z125" s="43">
        <f>IFERROR(IF(Z121="",0,Z121),"0")+IFERROR(IF(Z122="",0,Z122),"0")+IFERROR(IF(Z123="",0,Z123),"0")+IFERROR(IF(Z124="",0,Z124),"0")</f>
        <v>0.1953</v>
      </c>
      <c r="AA125" s="67"/>
      <c r="AB125" s="67"/>
      <c r="AC125" s="67"/>
    </row>
    <row r="126" spans="1:68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0</v>
      </c>
      <c r="X126" s="43">
        <f>IFERROR(SUM(X121:X124),"0")</f>
        <v>54</v>
      </c>
      <c r="Y126" s="43">
        <f>IFERROR(SUM(Y121:Y124),"0")</f>
        <v>54</v>
      </c>
      <c r="Z126" s="42"/>
      <c r="AA126" s="67"/>
      <c r="AB126" s="67"/>
      <c r="AC126" s="67"/>
    </row>
    <row r="127" spans="1:68" ht="14.25" hidden="1" customHeight="1" x14ac:dyDescent="0.25">
      <c r="A127" s="665" t="s">
        <v>178</v>
      </c>
      <c r="B127" s="665"/>
      <c r="C127" s="665"/>
      <c r="D127" s="665"/>
      <c r="E127" s="665"/>
      <c r="F127" s="665"/>
      <c r="G127" s="665"/>
      <c r="H127" s="665"/>
      <c r="I127" s="665"/>
      <c r="J127" s="665"/>
      <c r="K127" s="665"/>
      <c r="L127" s="665"/>
      <c r="M127" s="665"/>
      <c r="N127" s="665"/>
      <c r="O127" s="665"/>
      <c r="P127" s="665"/>
      <c r="Q127" s="665"/>
      <c r="R127" s="665"/>
      <c r="S127" s="665"/>
      <c r="T127" s="665"/>
      <c r="U127" s="665"/>
      <c r="V127" s="665"/>
      <c r="W127" s="665"/>
      <c r="X127" s="665"/>
      <c r="Y127" s="665"/>
      <c r="Z127" s="665"/>
      <c r="AA127" s="66"/>
      <c r="AB127" s="66"/>
      <c r="AC127" s="80"/>
    </row>
    <row r="128" spans="1:68" ht="16.5" customHeight="1" x14ac:dyDescent="0.25">
      <c r="A128" s="63" t="s">
        <v>246</v>
      </c>
      <c r="B128" s="63" t="s">
        <v>247</v>
      </c>
      <c r="C128" s="36">
        <v>4301060525</v>
      </c>
      <c r="D128" s="666">
        <v>4680115880238</v>
      </c>
      <c r="E128" s="666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8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68"/>
      <c r="R128" s="668"/>
      <c r="S128" s="668"/>
      <c r="T128" s="669"/>
      <c r="U128" s="39" t="s">
        <v>46</v>
      </c>
      <c r="V128" s="39" t="s">
        <v>46</v>
      </c>
      <c r="W128" s="40" t="s">
        <v>0</v>
      </c>
      <c r="X128" s="58">
        <v>79.2</v>
      </c>
      <c r="Y128" s="55">
        <f>IFERROR(IF(X128="",0,CEILING((X128/$H128),1)*$H128),"")</f>
        <v>79.2</v>
      </c>
      <c r="Z128" s="41">
        <f>IFERROR(IF(Y128=0,"",ROUNDUP(Y128/H128,0)*0.00651),"")</f>
        <v>0.26040000000000002</v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89.52000000000001</v>
      </c>
      <c r="BN128" s="78">
        <f>IFERROR(Y128*I128/H128,"0")</f>
        <v>89.52000000000001</v>
      </c>
      <c r="BO128" s="78">
        <f>IFERROR(1/J128*(X128/H128),"0")</f>
        <v>0.2197802197802198</v>
      </c>
      <c r="BP128" s="78">
        <f>IFERROR(1/J128*(Y128/H128),"0")</f>
        <v>0.2197802197802198</v>
      </c>
    </row>
    <row r="129" spans="1:68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2" t="s">
        <v>39</v>
      </c>
      <c r="X129" s="43">
        <f>IFERROR(X128/H128,"0")</f>
        <v>40</v>
      </c>
      <c r="Y129" s="43">
        <f>IFERROR(Y128/H128,"0")</f>
        <v>40</v>
      </c>
      <c r="Z129" s="43">
        <f>IFERROR(IF(Z128="",0,Z128),"0")</f>
        <v>0.26040000000000002</v>
      </c>
      <c r="AA129" s="67"/>
      <c r="AB129" s="67"/>
      <c r="AC129" s="67"/>
    </row>
    <row r="130" spans="1:68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2" t="s">
        <v>0</v>
      </c>
      <c r="X130" s="43">
        <f>IFERROR(SUM(X128:X128),"0")</f>
        <v>79.2</v>
      </c>
      <c r="Y130" s="43">
        <f>IFERROR(SUM(Y128:Y128),"0")</f>
        <v>79.2</v>
      </c>
      <c r="Z130" s="42"/>
      <c r="AA130" s="67"/>
      <c r="AB130" s="67"/>
      <c r="AC130" s="67"/>
    </row>
    <row r="131" spans="1:68" ht="16.5" hidden="1" customHeight="1" x14ac:dyDescent="0.25">
      <c r="A131" s="672" t="s">
        <v>249</v>
      </c>
      <c r="B131" s="672"/>
      <c r="C131" s="672"/>
      <c r="D131" s="672"/>
      <c r="E131" s="672"/>
      <c r="F131" s="672"/>
      <c r="G131" s="672"/>
      <c r="H131" s="672"/>
      <c r="I131" s="672"/>
      <c r="J131" s="672"/>
      <c r="K131" s="672"/>
      <c r="L131" s="672"/>
      <c r="M131" s="672"/>
      <c r="N131" s="672"/>
      <c r="O131" s="672"/>
      <c r="P131" s="672"/>
      <c r="Q131" s="672"/>
      <c r="R131" s="672"/>
      <c r="S131" s="672"/>
      <c r="T131" s="672"/>
      <c r="U131" s="672"/>
      <c r="V131" s="672"/>
      <c r="W131" s="672"/>
      <c r="X131" s="672"/>
      <c r="Y131" s="672"/>
      <c r="Z131" s="672"/>
      <c r="AA131" s="65"/>
      <c r="AB131" s="65"/>
      <c r="AC131" s="79"/>
    </row>
    <row r="132" spans="1:68" ht="14.25" hidden="1" customHeight="1" x14ac:dyDescent="0.25">
      <c r="A132" s="665" t="s">
        <v>122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6"/>
      <c r="AB132" s="66"/>
      <c r="AC132" s="80"/>
    </row>
    <row r="133" spans="1:68" ht="27" hidden="1" customHeight="1" x14ac:dyDescent="0.25">
      <c r="A133" s="63" t="s">
        <v>250</v>
      </c>
      <c r="B133" s="63" t="s">
        <v>251</v>
      </c>
      <c r="C133" s="36">
        <v>4301011562</v>
      </c>
      <c r="D133" s="666">
        <v>4680115882577</v>
      </c>
      <c r="E133" s="666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8"/>
      <c r="R133" s="668"/>
      <c r="S133" s="668"/>
      <c r="T133" s="669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250</v>
      </c>
      <c r="B134" s="63" t="s">
        <v>254</v>
      </c>
      <c r="C134" s="36">
        <v>4301011564</v>
      </c>
      <c r="D134" s="666">
        <v>4680115882577</v>
      </c>
      <c r="E134" s="666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8"/>
      <c r="R134" s="668"/>
      <c r="S134" s="668"/>
      <c r="T134" s="669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656"/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7"/>
      <c r="P136" s="653" t="s">
        <v>40</v>
      </c>
      <c r="Q136" s="654"/>
      <c r="R136" s="654"/>
      <c r="S136" s="654"/>
      <c r="T136" s="654"/>
      <c r="U136" s="654"/>
      <c r="V136" s="655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665" t="s">
        <v>77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"/>
      <c r="AB137" s="66"/>
      <c r="AC137" s="80"/>
    </row>
    <row r="138" spans="1:68" ht="27" hidden="1" customHeight="1" x14ac:dyDescent="0.25">
      <c r="A138" s="63" t="s">
        <v>255</v>
      </c>
      <c r="B138" s="63" t="s">
        <v>256</v>
      </c>
      <c r="C138" s="36">
        <v>4301031234</v>
      </c>
      <c r="D138" s="666">
        <v>4680115883444</v>
      </c>
      <c r="E138" s="666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8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8"/>
      <c r="R138" s="668"/>
      <c r="S138" s="668"/>
      <c r="T138" s="669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255</v>
      </c>
      <c r="B139" s="63" t="s">
        <v>258</v>
      </c>
      <c r="C139" s="36">
        <v>4301031235</v>
      </c>
      <c r="D139" s="666">
        <v>4680115883444</v>
      </c>
      <c r="E139" s="666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8"/>
      <c r="R139" s="668"/>
      <c r="S139" s="668"/>
      <c r="T139" s="669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5" t="s">
        <v>86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"/>
      <c r="AB142" s="66"/>
      <c r="AC142" s="80"/>
    </row>
    <row r="143" spans="1:68" ht="16.5" hidden="1" customHeight="1" x14ac:dyDescent="0.25">
      <c r="A143" s="63" t="s">
        <v>259</v>
      </c>
      <c r="B143" s="63" t="s">
        <v>260</v>
      </c>
      <c r="C143" s="36">
        <v>4301051476</v>
      </c>
      <c r="D143" s="666">
        <v>4680115882584</v>
      </c>
      <c r="E143" s="666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8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8"/>
      <c r="R143" s="668"/>
      <c r="S143" s="668"/>
      <c r="T143" s="669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259</v>
      </c>
      <c r="B144" s="63" t="s">
        <v>261</v>
      </c>
      <c r="C144" s="36">
        <v>4301051477</v>
      </c>
      <c r="D144" s="666">
        <v>4680115882584</v>
      </c>
      <c r="E144" s="666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8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8"/>
      <c r="R144" s="668"/>
      <c r="S144" s="668"/>
      <c r="T144" s="669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72" t="s">
        <v>262</v>
      </c>
      <c r="B147" s="672"/>
      <c r="C147" s="672"/>
      <c r="D147" s="672"/>
      <c r="E147" s="672"/>
      <c r="F147" s="672"/>
      <c r="G147" s="672"/>
      <c r="H147" s="672"/>
      <c r="I147" s="672"/>
      <c r="J147" s="672"/>
      <c r="K147" s="672"/>
      <c r="L147" s="672"/>
      <c r="M147" s="672"/>
      <c r="N147" s="672"/>
      <c r="O147" s="672"/>
      <c r="P147" s="672"/>
      <c r="Q147" s="672"/>
      <c r="R147" s="672"/>
      <c r="S147" s="672"/>
      <c r="T147" s="672"/>
      <c r="U147" s="672"/>
      <c r="V147" s="672"/>
      <c r="W147" s="672"/>
      <c r="X147" s="672"/>
      <c r="Y147" s="672"/>
      <c r="Z147" s="672"/>
      <c r="AA147" s="65"/>
      <c r="AB147" s="65"/>
      <c r="AC147" s="79"/>
    </row>
    <row r="148" spans="1:68" ht="14.25" hidden="1" customHeight="1" x14ac:dyDescent="0.25">
      <c r="A148" s="665" t="s">
        <v>86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6"/>
      <c r="AB148" s="66"/>
      <c r="AC148" s="80"/>
    </row>
    <row r="149" spans="1:68" ht="27" hidden="1" customHeight="1" x14ac:dyDescent="0.25">
      <c r="A149" s="63" t="s">
        <v>263</v>
      </c>
      <c r="B149" s="63" t="s">
        <v>264</v>
      </c>
      <c r="C149" s="36">
        <v>4301052254</v>
      </c>
      <c r="D149" s="666">
        <v>4680115888203</v>
      </c>
      <c r="E149" s="666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8"/>
      <c r="R149" s="668"/>
      <c r="S149" s="668"/>
      <c r="T149" s="669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4301052172</v>
      </c>
      <c r="D150" s="666">
        <v>4680115888180</v>
      </c>
      <c r="E150" s="666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8"/>
      <c r="R150" s="668"/>
      <c r="S150" s="668"/>
      <c r="T150" s="669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266</v>
      </c>
      <c r="B151" s="63" t="s">
        <v>269</v>
      </c>
      <c r="C151" s="36">
        <v>4301052252</v>
      </c>
      <c r="D151" s="666">
        <v>4680115888180</v>
      </c>
      <c r="E151" s="666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8"/>
      <c r="R151" s="668"/>
      <c r="S151" s="668"/>
      <c r="T151" s="669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4301052253</v>
      </c>
      <c r="D152" s="666">
        <v>4680115888197</v>
      </c>
      <c r="E152" s="666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68"/>
      <c r="R152" s="668"/>
      <c r="S152" s="668"/>
      <c r="T152" s="669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666">
        <v>4680115888210</v>
      </c>
      <c r="E153" s="666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68"/>
      <c r="R153" s="668"/>
      <c r="S153" s="668"/>
      <c r="T153" s="669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273</v>
      </c>
      <c r="B154" s="63" t="s">
        <v>276</v>
      </c>
      <c r="C154" s="36">
        <v>4301052255</v>
      </c>
      <c r="D154" s="666">
        <v>4680115888210</v>
      </c>
      <c r="E154" s="666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8"/>
      <c r="R154" s="668"/>
      <c r="S154" s="668"/>
      <c r="T154" s="669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56"/>
      <c r="B156" s="656"/>
      <c r="C156" s="656"/>
      <c r="D156" s="656"/>
      <c r="E156" s="656"/>
      <c r="F156" s="656"/>
      <c r="G156" s="656"/>
      <c r="H156" s="656"/>
      <c r="I156" s="656"/>
      <c r="J156" s="656"/>
      <c r="K156" s="656"/>
      <c r="L156" s="656"/>
      <c r="M156" s="656"/>
      <c r="N156" s="656"/>
      <c r="O156" s="657"/>
      <c r="P156" s="653" t="s">
        <v>40</v>
      </c>
      <c r="Q156" s="654"/>
      <c r="R156" s="654"/>
      <c r="S156" s="654"/>
      <c r="T156" s="654"/>
      <c r="U156" s="654"/>
      <c r="V156" s="655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65" t="s">
        <v>277</v>
      </c>
      <c r="B157" s="665"/>
      <c r="C157" s="665"/>
      <c r="D157" s="665"/>
      <c r="E157" s="665"/>
      <c r="F157" s="665"/>
      <c r="G157" s="665"/>
      <c r="H157" s="665"/>
      <c r="I157" s="665"/>
      <c r="J157" s="665"/>
      <c r="K157" s="665"/>
      <c r="L157" s="665"/>
      <c r="M157" s="665"/>
      <c r="N157" s="665"/>
      <c r="O157" s="665"/>
      <c r="P157" s="665"/>
      <c r="Q157" s="665"/>
      <c r="R157" s="665"/>
      <c r="S157" s="665"/>
      <c r="T157" s="665"/>
      <c r="U157" s="665"/>
      <c r="V157" s="665"/>
      <c r="W157" s="665"/>
      <c r="X157" s="665"/>
      <c r="Y157" s="665"/>
      <c r="Z157" s="665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4301032067</v>
      </c>
      <c r="D158" s="666">
        <v>4680115889132</v>
      </c>
      <c r="E158" s="666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7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68"/>
      <c r="R158" s="668"/>
      <c r="S158" s="668"/>
      <c r="T158" s="669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56"/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7"/>
      <c r="P160" s="653" t="s">
        <v>40</v>
      </c>
      <c r="Q160" s="654"/>
      <c r="R160" s="654"/>
      <c r="S160" s="654"/>
      <c r="T160" s="654"/>
      <c r="U160" s="654"/>
      <c r="V160" s="655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72" t="s">
        <v>120</v>
      </c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72"/>
      <c r="P161" s="672"/>
      <c r="Q161" s="672"/>
      <c r="R161" s="672"/>
      <c r="S161" s="672"/>
      <c r="T161" s="672"/>
      <c r="U161" s="672"/>
      <c r="V161" s="672"/>
      <c r="W161" s="672"/>
      <c r="X161" s="672"/>
      <c r="Y161" s="672"/>
      <c r="Z161" s="672"/>
      <c r="AA161" s="65"/>
      <c r="AB161" s="65"/>
      <c r="AC161" s="79"/>
    </row>
    <row r="162" spans="1:68" ht="14.25" hidden="1" customHeight="1" x14ac:dyDescent="0.25">
      <c r="A162" s="665" t="s">
        <v>122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6"/>
      <c r="AB162" s="66"/>
      <c r="AC162" s="80"/>
    </row>
    <row r="163" spans="1:68" ht="27" hidden="1" customHeight="1" x14ac:dyDescent="0.25">
      <c r="A163" s="63" t="s">
        <v>284</v>
      </c>
      <c r="B163" s="63" t="s">
        <v>285</v>
      </c>
      <c r="C163" s="36">
        <v>4301012338</v>
      </c>
      <c r="D163" s="666">
        <v>4680115887374</v>
      </c>
      <c r="E163" s="666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8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68"/>
      <c r="R163" s="668"/>
      <c r="S163" s="668"/>
      <c r="T163" s="669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287</v>
      </c>
      <c r="B164" s="63" t="s">
        <v>288</v>
      </c>
      <c r="C164" s="36">
        <v>4301011705</v>
      </c>
      <c r="D164" s="666">
        <v>4607091384604</v>
      </c>
      <c r="E164" s="666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68"/>
      <c r="R164" s="668"/>
      <c r="S164" s="668"/>
      <c r="T164" s="669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290</v>
      </c>
      <c r="C165" s="36">
        <v>4301012258</v>
      </c>
      <c r="D165" s="666">
        <v>4607091384604</v>
      </c>
      <c r="E165" s="666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68"/>
      <c r="R165" s="668"/>
      <c r="S165" s="668"/>
      <c r="T165" s="669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291</v>
      </c>
      <c r="B166" s="63" t="s">
        <v>292</v>
      </c>
      <c r="C166" s="36">
        <v>4301012344</v>
      </c>
      <c r="D166" s="666">
        <v>4680115888876</v>
      </c>
      <c r="E166" s="666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68"/>
      <c r="R166" s="668"/>
      <c r="S166" s="668"/>
      <c r="T166" s="669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5" t="s">
        <v>159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6"/>
      <c r="AB169" s="66"/>
      <c r="AC169" s="80"/>
    </row>
    <row r="170" spans="1:68" ht="16.5" hidden="1" customHeight="1" x14ac:dyDescent="0.25">
      <c r="A170" s="63" t="s">
        <v>294</v>
      </c>
      <c r="B170" s="63" t="s">
        <v>295</v>
      </c>
      <c r="C170" s="36">
        <v>4301020410</v>
      </c>
      <c r="D170" s="666">
        <v>4680115887695</v>
      </c>
      <c r="E170" s="666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68"/>
      <c r="R170" s="668"/>
      <c r="S170" s="668"/>
      <c r="T170" s="669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4301020439</v>
      </c>
      <c r="D171" s="666">
        <v>4680115889491</v>
      </c>
      <c r="E171" s="666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7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68"/>
      <c r="R171" s="668"/>
      <c r="S171" s="668"/>
      <c r="T171" s="669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5" t="s">
        <v>77</v>
      </c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"/>
      <c r="AB174" s="66"/>
      <c r="AC174" s="80"/>
    </row>
    <row r="175" spans="1:68" ht="27" hidden="1" customHeight="1" x14ac:dyDescent="0.25">
      <c r="A175" s="63" t="s">
        <v>300</v>
      </c>
      <c r="B175" s="63" t="s">
        <v>301</v>
      </c>
      <c r="C175" s="36">
        <v>4301031496</v>
      </c>
      <c r="D175" s="666">
        <v>4680115887428</v>
      </c>
      <c r="E175" s="666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7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68"/>
      <c r="R175" s="668"/>
      <c r="S175" s="668"/>
      <c r="T175" s="669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303</v>
      </c>
      <c r="B176" s="63" t="s">
        <v>304</v>
      </c>
      <c r="C176" s="36">
        <v>4301031509</v>
      </c>
      <c r="D176" s="666">
        <v>4680115889170</v>
      </c>
      <c r="E176" s="666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68"/>
      <c r="R176" s="668"/>
      <c r="S176" s="668"/>
      <c r="T176" s="669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4301031522</v>
      </c>
      <c r="D177" s="666">
        <v>4680115887398</v>
      </c>
      <c r="E177" s="666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68"/>
      <c r="R177" s="668"/>
      <c r="S177" s="668"/>
      <c r="T177" s="669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4301031520</v>
      </c>
      <c r="D178" s="666">
        <v>4680115887336</v>
      </c>
      <c r="E178" s="666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68"/>
      <c r="R178" s="668"/>
      <c r="S178" s="668"/>
      <c r="T178" s="669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312</v>
      </c>
      <c r="B179" s="63" t="s">
        <v>313</v>
      </c>
      <c r="C179" s="36">
        <v>4301032049</v>
      </c>
      <c r="D179" s="666">
        <v>4680115887787</v>
      </c>
      <c r="E179" s="666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68"/>
      <c r="R179" s="668"/>
      <c r="S179" s="668"/>
      <c r="T179" s="669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16.5" hidden="1" customHeight="1" x14ac:dyDescent="0.25">
      <c r="A180" s="63" t="s">
        <v>312</v>
      </c>
      <c r="B180" s="63" t="s">
        <v>315</v>
      </c>
      <c r="C180" s="36">
        <v>4301031528</v>
      </c>
      <c r="D180" s="666">
        <v>4680115887787</v>
      </c>
      <c r="E180" s="666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8"/>
      <c r="R180" s="668"/>
      <c r="S180" s="668"/>
      <c r="T180" s="669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316</v>
      </c>
      <c r="B181" s="63" t="s">
        <v>317</v>
      </c>
      <c r="C181" s="36">
        <v>4301031448</v>
      </c>
      <c r="D181" s="666">
        <v>4680115887503</v>
      </c>
      <c r="E181" s="666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68"/>
      <c r="R181" s="668"/>
      <c r="S181" s="668"/>
      <c r="T181" s="669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318</v>
      </c>
      <c r="B182" s="63" t="s">
        <v>319</v>
      </c>
      <c r="C182" s="36">
        <v>4301031389</v>
      </c>
      <c r="D182" s="666">
        <v>4680115887763</v>
      </c>
      <c r="E182" s="666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68"/>
      <c r="R182" s="668"/>
      <c r="S182" s="668"/>
      <c r="T182" s="669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4301031521</v>
      </c>
      <c r="D183" s="666">
        <v>4680115887480</v>
      </c>
      <c r="E183" s="666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7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68"/>
      <c r="R183" s="668"/>
      <c r="S183" s="668"/>
      <c r="T183" s="669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4301031434</v>
      </c>
      <c r="D184" s="666">
        <v>4680115888067</v>
      </c>
      <c r="E184" s="666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7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68"/>
      <c r="R184" s="668"/>
      <c r="S184" s="668"/>
      <c r="T184" s="669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4301031519</v>
      </c>
      <c r="D185" s="666">
        <v>4680115887435</v>
      </c>
      <c r="E185" s="666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68"/>
      <c r="R185" s="668"/>
      <c r="S185" s="668"/>
      <c r="T185" s="669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5" t="s">
        <v>86</v>
      </c>
      <c r="B188" s="665"/>
      <c r="C188" s="665"/>
      <c r="D188" s="665"/>
      <c r="E188" s="665"/>
      <c r="F188" s="665"/>
      <c r="G188" s="665"/>
      <c r="H188" s="665"/>
      <c r="I188" s="665"/>
      <c r="J188" s="665"/>
      <c r="K188" s="665"/>
      <c r="L188" s="665"/>
      <c r="M188" s="665"/>
      <c r="N188" s="665"/>
      <c r="O188" s="665"/>
      <c r="P188" s="665"/>
      <c r="Q188" s="665"/>
      <c r="R188" s="665"/>
      <c r="S188" s="665"/>
      <c r="T188" s="665"/>
      <c r="U188" s="665"/>
      <c r="V188" s="665"/>
      <c r="W188" s="665"/>
      <c r="X188" s="665"/>
      <c r="Y188" s="665"/>
      <c r="Z188" s="665"/>
      <c r="AA188" s="66"/>
      <c r="AB188" s="66"/>
      <c r="AC188" s="80"/>
    </row>
    <row r="189" spans="1:68" ht="16.5" hidden="1" customHeight="1" x14ac:dyDescent="0.25">
      <c r="A189" s="63" t="s">
        <v>328</v>
      </c>
      <c r="B189" s="63" t="s">
        <v>329</v>
      </c>
      <c r="C189" s="36">
        <v>4301052193</v>
      </c>
      <c r="D189" s="666">
        <v>4680115888395</v>
      </c>
      <c r="E189" s="666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6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68"/>
      <c r="R189" s="668"/>
      <c r="S189" s="668"/>
      <c r="T189" s="669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331</v>
      </c>
      <c r="B190" s="63" t="s">
        <v>332</v>
      </c>
      <c r="C190" s="36">
        <v>4301052191</v>
      </c>
      <c r="D190" s="666">
        <v>4680115888371</v>
      </c>
      <c r="E190" s="666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68"/>
      <c r="R190" s="668"/>
      <c r="S190" s="668"/>
      <c r="T190" s="669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4301052064</v>
      </c>
      <c r="D191" s="666">
        <v>4680115887459</v>
      </c>
      <c r="E191" s="666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6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68"/>
      <c r="R191" s="668"/>
      <c r="S191" s="668"/>
      <c r="T191" s="669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5" t="s">
        <v>277</v>
      </c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"/>
      <c r="AB194" s="66"/>
      <c r="AC194" s="80"/>
    </row>
    <row r="195" spans="1:68" ht="16.5" hidden="1" customHeight="1" x14ac:dyDescent="0.25">
      <c r="A195" s="63" t="s">
        <v>337</v>
      </c>
      <c r="B195" s="63" t="s">
        <v>338</v>
      </c>
      <c r="C195" s="36">
        <v>4301032058</v>
      </c>
      <c r="D195" s="666">
        <v>4680115889026</v>
      </c>
      <c r="E195" s="666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8"/>
      <c r="R195" s="668"/>
      <c r="S195" s="668"/>
      <c r="T195" s="669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56"/>
      <c r="B197" s="656"/>
      <c r="C197" s="656"/>
      <c r="D197" s="656"/>
      <c r="E197" s="656"/>
      <c r="F197" s="656"/>
      <c r="G197" s="656"/>
      <c r="H197" s="656"/>
      <c r="I197" s="656"/>
      <c r="J197" s="656"/>
      <c r="K197" s="656"/>
      <c r="L197" s="656"/>
      <c r="M197" s="656"/>
      <c r="N197" s="656"/>
      <c r="O197" s="657"/>
      <c r="P197" s="653" t="s">
        <v>40</v>
      </c>
      <c r="Q197" s="654"/>
      <c r="R197" s="654"/>
      <c r="S197" s="654"/>
      <c r="T197" s="654"/>
      <c r="U197" s="654"/>
      <c r="V197" s="655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65" t="s">
        <v>341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4301041009</v>
      </c>
      <c r="D199" s="666">
        <v>4680115889033</v>
      </c>
      <c r="E199" s="666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8"/>
      <c r="R199" s="668"/>
      <c r="S199" s="668"/>
      <c r="T199" s="669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56"/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7"/>
      <c r="P200" s="653" t="s">
        <v>40</v>
      </c>
      <c r="Q200" s="654"/>
      <c r="R200" s="654"/>
      <c r="S200" s="654"/>
      <c r="T200" s="654"/>
      <c r="U200" s="654"/>
      <c r="V200" s="655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56"/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7"/>
      <c r="P201" s="653" t="s">
        <v>40</v>
      </c>
      <c r="Q201" s="654"/>
      <c r="R201" s="654"/>
      <c r="S201" s="654"/>
      <c r="T201" s="654"/>
      <c r="U201" s="654"/>
      <c r="V201" s="655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83" t="s">
        <v>345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54"/>
      <c r="AB202" s="54"/>
      <c r="AC202" s="54"/>
    </row>
    <row r="203" spans="1:68" ht="16.5" hidden="1" customHeight="1" x14ac:dyDescent="0.25">
      <c r="A203" s="672" t="s">
        <v>346</v>
      </c>
      <c r="B203" s="672"/>
      <c r="C203" s="672"/>
      <c r="D203" s="672"/>
      <c r="E203" s="672"/>
      <c r="F203" s="672"/>
      <c r="G203" s="672"/>
      <c r="H203" s="672"/>
      <c r="I203" s="672"/>
      <c r="J203" s="672"/>
      <c r="K203" s="672"/>
      <c r="L203" s="672"/>
      <c r="M203" s="672"/>
      <c r="N203" s="672"/>
      <c r="O203" s="672"/>
      <c r="P203" s="672"/>
      <c r="Q203" s="672"/>
      <c r="R203" s="672"/>
      <c r="S203" s="672"/>
      <c r="T203" s="672"/>
      <c r="U203" s="672"/>
      <c r="V203" s="672"/>
      <c r="W203" s="672"/>
      <c r="X203" s="672"/>
      <c r="Y203" s="672"/>
      <c r="Z203" s="672"/>
      <c r="AA203" s="65"/>
      <c r="AB203" s="65"/>
      <c r="AC203" s="79"/>
    </row>
    <row r="204" spans="1:68" ht="14.25" hidden="1" customHeight="1" x14ac:dyDescent="0.25">
      <c r="A204" s="665" t="s">
        <v>122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"/>
      <c r="AB204" s="66"/>
      <c r="AC204" s="80"/>
    </row>
    <row r="205" spans="1:68" ht="27" hidden="1" customHeight="1" x14ac:dyDescent="0.25">
      <c r="A205" s="63" t="s">
        <v>347</v>
      </c>
      <c r="B205" s="63" t="s">
        <v>348</v>
      </c>
      <c r="C205" s="36">
        <v>4301011223</v>
      </c>
      <c r="D205" s="666">
        <v>4607091383423</v>
      </c>
      <c r="E205" s="666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8"/>
      <c r="R205" s="668"/>
      <c r="S205" s="668"/>
      <c r="T205" s="669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hidden="1" customHeight="1" x14ac:dyDescent="0.25">
      <c r="A206" s="63" t="s">
        <v>349</v>
      </c>
      <c r="B206" s="63" t="s">
        <v>350</v>
      </c>
      <c r="C206" s="36">
        <v>4301012340</v>
      </c>
      <c r="D206" s="666">
        <v>4680115888760</v>
      </c>
      <c r="E206" s="666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8"/>
      <c r="R206" s="668"/>
      <c r="S206" s="668"/>
      <c r="T206" s="669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hidden="1" customHeight="1" x14ac:dyDescent="0.25">
      <c r="A207" s="63" t="s">
        <v>352</v>
      </c>
      <c r="B207" s="63" t="s">
        <v>353</v>
      </c>
      <c r="C207" s="36">
        <v>4301012341</v>
      </c>
      <c r="D207" s="666">
        <v>4680115888807</v>
      </c>
      <c r="E207" s="666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8"/>
      <c r="R207" s="668"/>
      <c r="S207" s="668"/>
      <c r="T207" s="669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4301012342</v>
      </c>
      <c r="D208" s="666">
        <v>4680115888852</v>
      </c>
      <c r="E208" s="666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8"/>
      <c r="R208" s="668"/>
      <c r="S208" s="668"/>
      <c r="T208" s="669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hidden="1" customHeight="1" x14ac:dyDescent="0.25">
      <c r="A209" s="63" t="s">
        <v>358</v>
      </c>
      <c r="B209" s="63" t="s">
        <v>359</v>
      </c>
      <c r="C209" s="36">
        <v>4301012370</v>
      </c>
      <c r="D209" s="666">
        <v>4680115886957</v>
      </c>
      <c r="E209" s="666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8"/>
      <c r="R209" s="668"/>
      <c r="S209" s="668"/>
      <c r="T209" s="669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4301012098</v>
      </c>
      <c r="D210" s="666">
        <v>4680115885660</v>
      </c>
      <c r="E210" s="666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8"/>
      <c r="R210" s="668"/>
      <c r="S210" s="668"/>
      <c r="T210" s="669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364</v>
      </c>
      <c r="B211" s="63" t="s">
        <v>365</v>
      </c>
      <c r="C211" s="36">
        <v>4301012369</v>
      </c>
      <c r="D211" s="666">
        <v>4680115886773</v>
      </c>
      <c r="E211" s="666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8"/>
      <c r="R211" s="668"/>
      <c r="S211" s="668"/>
      <c r="T211" s="669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72" t="s">
        <v>367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5"/>
      <c r="AB214" s="65"/>
      <c r="AC214" s="79"/>
    </row>
    <row r="215" spans="1:68" ht="14.25" hidden="1" customHeight="1" x14ac:dyDescent="0.25">
      <c r="A215" s="665" t="s">
        <v>159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6"/>
      <c r="AB215" s="66"/>
      <c r="AC215" s="80"/>
    </row>
    <row r="216" spans="1:68" ht="27" hidden="1" customHeight="1" x14ac:dyDescent="0.25">
      <c r="A216" s="63" t="s">
        <v>368</v>
      </c>
      <c r="B216" s="63" t="s">
        <v>369</v>
      </c>
      <c r="C216" s="36">
        <v>4301020323</v>
      </c>
      <c r="D216" s="666">
        <v>4680115886223</v>
      </c>
      <c r="E216" s="666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8"/>
      <c r="R216" s="668"/>
      <c r="S216" s="668"/>
      <c r="T216" s="669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56"/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7"/>
      <c r="P217" s="653" t="s">
        <v>40</v>
      </c>
      <c r="Q217" s="654"/>
      <c r="R217" s="654"/>
      <c r="S217" s="654"/>
      <c r="T217" s="654"/>
      <c r="U217" s="654"/>
      <c r="V217" s="655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65" t="s">
        <v>77</v>
      </c>
      <c r="B219" s="665"/>
      <c r="C219" s="665"/>
      <c r="D219" s="665"/>
      <c r="E219" s="665"/>
      <c r="F219" s="665"/>
      <c r="G219" s="665"/>
      <c r="H219" s="665"/>
      <c r="I219" s="665"/>
      <c r="J219" s="665"/>
      <c r="K219" s="665"/>
      <c r="L219" s="665"/>
      <c r="M219" s="665"/>
      <c r="N219" s="665"/>
      <c r="O219" s="665"/>
      <c r="P219" s="665"/>
      <c r="Q219" s="665"/>
      <c r="R219" s="665"/>
      <c r="S219" s="665"/>
      <c r="T219" s="665"/>
      <c r="U219" s="665"/>
      <c r="V219" s="665"/>
      <c r="W219" s="665"/>
      <c r="X219" s="665"/>
      <c r="Y219" s="665"/>
      <c r="Z219" s="665"/>
      <c r="AA219" s="66"/>
      <c r="AB219" s="66"/>
      <c r="AC219" s="80"/>
    </row>
    <row r="220" spans="1:68" ht="27" hidden="1" customHeight="1" x14ac:dyDescent="0.25">
      <c r="A220" s="63" t="s">
        <v>371</v>
      </c>
      <c r="B220" s="63" t="s">
        <v>372</v>
      </c>
      <c r="C220" s="36">
        <v>4301031191</v>
      </c>
      <c r="D220" s="666">
        <v>4680115880993</v>
      </c>
      <c r="E220" s="666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8"/>
      <c r="R220" s="668"/>
      <c r="S220" s="668"/>
      <c r="T220" s="669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4" si="27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0</v>
      </c>
      <c r="BN220" s="78">
        <f t="shared" ref="BN220:BN234" si="29">IFERROR(Y220*I220/H220,"0")</f>
        <v>0</v>
      </c>
      <c r="BO220" s="78">
        <f t="shared" ref="BO220:BO234" si="30">IFERROR(1/J220*(X220/H220),"0")</f>
        <v>0</v>
      </c>
      <c r="BP220" s="78">
        <f t="shared" ref="BP220:BP234" si="31">IFERROR(1/J220*(Y220/H220),"0")</f>
        <v>0</v>
      </c>
    </row>
    <row r="221" spans="1:68" ht="27" hidden="1" customHeight="1" x14ac:dyDescent="0.25">
      <c r="A221" s="63" t="s">
        <v>374</v>
      </c>
      <c r="B221" s="63" t="s">
        <v>375</v>
      </c>
      <c r="C221" s="36">
        <v>4301031204</v>
      </c>
      <c r="D221" s="666">
        <v>4680115881761</v>
      </c>
      <c r="E221" s="666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8"/>
      <c r="R221" s="668"/>
      <c r="S221" s="668"/>
      <c r="T221" s="669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377</v>
      </c>
      <c r="B222" s="63" t="s">
        <v>378</v>
      </c>
      <c r="C222" s="36">
        <v>4301031201</v>
      </c>
      <c r="D222" s="666">
        <v>4680115881563</v>
      </c>
      <c r="E222" s="666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68"/>
      <c r="R222" s="668"/>
      <c r="S222" s="668"/>
      <c r="T222" s="669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37.5" customHeight="1" x14ac:dyDescent="0.25">
      <c r="A223" s="63" t="s">
        <v>380</v>
      </c>
      <c r="B223" s="63" t="s">
        <v>381</v>
      </c>
      <c r="C223" s="36">
        <v>4301031447</v>
      </c>
      <c r="D223" s="666">
        <v>4680115887565</v>
      </c>
      <c r="E223" s="666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8"/>
      <c r="R223" s="668"/>
      <c r="S223" s="668"/>
      <c r="T223" s="669"/>
      <c r="U223" s="39" t="s">
        <v>46</v>
      </c>
      <c r="V223" s="39" t="s">
        <v>46</v>
      </c>
      <c r="W223" s="40" t="s">
        <v>0</v>
      </c>
      <c r="X223" s="58">
        <v>9.6</v>
      </c>
      <c r="Y223" s="55">
        <f t="shared" si="27"/>
        <v>9.6000000000000014</v>
      </c>
      <c r="Z223" s="41">
        <f>IFERROR(IF(Y223=0,"",ROUNDUP(Y223/H223,0)*0.00556),"")</f>
        <v>6.6720000000000002E-2</v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11.16</v>
      </c>
      <c r="BN223" s="78">
        <f t="shared" si="29"/>
        <v>11.160000000000002</v>
      </c>
      <c r="BO223" s="78">
        <f t="shared" si="30"/>
        <v>4.7619047619047609E-2</v>
      </c>
      <c r="BP223" s="78">
        <f t="shared" si="31"/>
        <v>4.7619047619047623E-2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4301031199</v>
      </c>
      <c r="D224" s="666">
        <v>4680115880986</v>
      </c>
      <c r="E224" s="666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8"/>
      <c r="R224" s="668"/>
      <c r="S224" s="668"/>
      <c r="T224" s="669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ref="Z224:Z229" si="32"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4301031443</v>
      </c>
      <c r="D225" s="666">
        <v>4680115887213</v>
      </c>
      <c r="E225" s="666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8"/>
      <c r="R225" s="668"/>
      <c r="S225" s="668"/>
      <c r="T225" s="669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4301031205</v>
      </c>
      <c r="D226" s="666">
        <v>4680115881785</v>
      </c>
      <c r="E226" s="666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8"/>
      <c r="R226" s="668"/>
      <c r="S226" s="668"/>
      <c r="T226" s="669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4301031499</v>
      </c>
      <c r="D227" s="666">
        <v>4680115888432</v>
      </c>
      <c r="E227" s="666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8"/>
      <c r="R227" s="668"/>
      <c r="S227" s="668"/>
      <c r="T227" s="669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4301031427</v>
      </c>
      <c r="D228" s="666">
        <v>4680115888104</v>
      </c>
      <c r="E228" s="666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68"/>
      <c r="R228" s="668"/>
      <c r="S228" s="668"/>
      <c r="T228" s="669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4301031503</v>
      </c>
      <c r="D229" s="666">
        <v>4680115886537</v>
      </c>
      <c r="E229" s="666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68"/>
      <c r="R229" s="668"/>
      <c r="S229" s="668"/>
      <c r="T229" s="669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399</v>
      </c>
      <c r="B230" s="63" t="s">
        <v>400</v>
      </c>
      <c r="C230" s="36">
        <v>4301031279</v>
      </c>
      <c r="D230" s="666">
        <v>4680115887596</v>
      </c>
      <c r="E230" s="666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3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68"/>
      <c r="R230" s="668"/>
      <c r="S230" s="668"/>
      <c r="T230" s="669"/>
      <c r="U230" s="39" t="s">
        <v>46</v>
      </c>
      <c r="V230" s="39" t="s">
        <v>46</v>
      </c>
      <c r="W230" s="40" t="s">
        <v>0</v>
      </c>
      <c r="X230" s="58">
        <v>12</v>
      </c>
      <c r="Y230" s="55">
        <f t="shared" si="27"/>
        <v>12</v>
      </c>
      <c r="Z230" s="41">
        <f>IFERROR(IF(Y230=0,"",ROUNDUP(Y230/H230,0)*0.00417),"")</f>
        <v>6.2549999999999994E-2</v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15.15</v>
      </c>
      <c r="BN230" s="78">
        <f t="shared" si="29"/>
        <v>15.15</v>
      </c>
      <c r="BO230" s="78">
        <f t="shared" si="30"/>
        <v>4.4642857142857137E-2</v>
      </c>
      <c r="BP230" s="78">
        <f t="shared" si="31"/>
        <v>4.4642857142857137E-2</v>
      </c>
    </row>
    <row r="231" spans="1:68" ht="37.5" hidden="1" customHeight="1" x14ac:dyDescent="0.25">
      <c r="A231" s="63" t="s">
        <v>402</v>
      </c>
      <c r="B231" s="63" t="s">
        <v>403</v>
      </c>
      <c r="C231" s="36">
        <v>4301031530</v>
      </c>
      <c r="D231" s="666">
        <v>4680115881679</v>
      </c>
      <c r="E231" s="666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68"/>
      <c r="R231" s="668"/>
      <c r="S231" s="668"/>
      <c r="T231" s="669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4301031158</v>
      </c>
      <c r="D232" s="666">
        <v>4680115880191</v>
      </c>
      <c r="E232" s="666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68"/>
      <c r="R232" s="668"/>
      <c r="S232" s="668"/>
      <c r="T232" s="669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404</v>
      </c>
      <c r="B233" s="63" t="s">
        <v>406</v>
      </c>
      <c r="C233" s="36">
        <v>4301031531</v>
      </c>
      <c r="D233" s="666">
        <v>4680115880191</v>
      </c>
      <c r="E233" s="666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68"/>
      <c r="R233" s="668"/>
      <c r="S233" s="668"/>
      <c r="T233" s="669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4301031245</v>
      </c>
      <c r="D234" s="666">
        <v>4680115883963</v>
      </c>
      <c r="E234" s="666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68"/>
      <c r="R234" s="668"/>
      <c r="S234" s="668"/>
      <c r="T234" s="669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27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27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0.12927</v>
      </c>
      <c r="AA235" s="67"/>
      <c r="AB235" s="67"/>
      <c r="AC235" s="67"/>
    </row>
    <row r="236" spans="1:68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IFERROR(SUM(X220:X234),"0")</f>
        <v>21.6</v>
      </c>
      <c r="Y236" s="43">
        <f>IFERROR(SUM(Y220:Y234),"0")</f>
        <v>21.6</v>
      </c>
      <c r="Z236" s="42"/>
      <c r="AA236" s="67"/>
      <c r="AB236" s="67"/>
      <c r="AC236" s="67"/>
    </row>
    <row r="237" spans="1:68" ht="14.25" hidden="1" customHeight="1" x14ac:dyDescent="0.25">
      <c r="A237" s="665" t="s">
        <v>86</v>
      </c>
      <c r="B237" s="665"/>
      <c r="C237" s="665"/>
      <c r="D237" s="665"/>
      <c r="E237" s="665"/>
      <c r="F237" s="665"/>
      <c r="G237" s="665"/>
      <c r="H237" s="665"/>
      <c r="I237" s="665"/>
      <c r="J237" s="665"/>
      <c r="K237" s="665"/>
      <c r="L237" s="665"/>
      <c r="M237" s="665"/>
      <c r="N237" s="665"/>
      <c r="O237" s="665"/>
      <c r="P237" s="665"/>
      <c r="Q237" s="665"/>
      <c r="R237" s="665"/>
      <c r="S237" s="665"/>
      <c r="T237" s="665"/>
      <c r="U237" s="665"/>
      <c r="V237" s="665"/>
      <c r="W237" s="665"/>
      <c r="X237" s="665"/>
      <c r="Y237" s="665"/>
      <c r="Z237" s="665"/>
      <c r="AA237" s="66"/>
      <c r="AB237" s="66"/>
      <c r="AC237" s="80"/>
    </row>
    <row r="238" spans="1:68" ht="16.5" hidden="1" customHeight="1" x14ac:dyDescent="0.25">
      <c r="A238" s="63" t="s">
        <v>410</v>
      </c>
      <c r="B238" s="63" t="s">
        <v>411</v>
      </c>
      <c r="C238" s="36">
        <v>4301052209</v>
      </c>
      <c r="D238" s="666">
        <v>4680115888692</v>
      </c>
      <c r="E238" s="666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68"/>
      <c r="R238" s="668"/>
      <c r="S238" s="668"/>
      <c r="T238" s="669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hidden="1" customHeight="1" x14ac:dyDescent="0.25">
      <c r="A239" s="63" t="s">
        <v>410</v>
      </c>
      <c r="B239" s="63" t="s">
        <v>413</v>
      </c>
      <c r="C239" s="36">
        <v>4301052279</v>
      </c>
      <c r="D239" s="666">
        <v>4680115888692</v>
      </c>
      <c r="E239" s="666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68"/>
      <c r="R239" s="668"/>
      <c r="S239" s="668"/>
      <c r="T239" s="669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415</v>
      </c>
      <c r="B240" s="63" t="s">
        <v>416</v>
      </c>
      <c r="C240" s="36">
        <v>4301052213</v>
      </c>
      <c r="D240" s="666">
        <v>4680115888722</v>
      </c>
      <c r="E240" s="666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68"/>
      <c r="R240" s="668"/>
      <c r="S240" s="668"/>
      <c r="T240" s="669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415</v>
      </c>
      <c r="B241" s="63" t="s">
        <v>418</v>
      </c>
      <c r="C241" s="36">
        <v>4301052280</v>
      </c>
      <c r="D241" s="666">
        <v>4680115888722</v>
      </c>
      <c r="E241" s="666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3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68"/>
      <c r="R241" s="668"/>
      <c r="S241" s="668"/>
      <c r="T241" s="669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4301052177</v>
      </c>
      <c r="D242" s="666">
        <v>4680115888951</v>
      </c>
      <c r="E242" s="666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68"/>
      <c r="R242" s="668"/>
      <c r="S242" s="668"/>
      <c r="T242" s="669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4301052276</v>
      </c>
      <c r="D243" s="666">
        <v>4680115888951</v>
      </c>
      <c r="E243" s="666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68"/>
      <c r="R243" s="668"/>
      <c r="S243" s="668"/>
      <c r="T243" s="669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424</v>
      </c>
      <c r="B244" s="63" t="s">
        <v>425</v>
      </c>
      <c r="C244" s="36">
        <v>4301052178</v>
      </c>
      <c r="D244" s="666">
        <v>4680115888975</v>
      </c>
      <c r="E244" s="666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68"/>
      <c r="R244" s="668"/>
      <c r="S244" s="668"/>
      <c r="T244" s="669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427</v>
      </c>
      <c r="B245" s="63" t="s">
        <v>428</v>
      </c>
      <c r="C245" s="36">
        <v>4301052176</v>
      </c>
      <c r="D245" s="666">
        <v>4680115888982</v>
      </c>
      <c r="E245" s="666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68"/>
      <c r="R245" s="668"/>
      <c r="S245" s="668"/>
      <c r="T245" s="669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427</v>
      </c>
      <c r="B246" s="63" t="s">
        <v>429</v>
      </c>
      <c r="C246" s="36">
        <v>4301052277</v>
      </c>
      <c r="D246" s="666">
        <v>4680115888982</v>
      </c>
      <c r="E246" s="666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8"/>
      <c r="R246" s="668"/>
      <c r="S246" s="668"/>
      <c r="T246" s="669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idden="1" x14ac:dyDescent="0.2">
      <c r="A247" s="656"/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7"/>
      <c r="P247" s="653" t="s">
        <v>40</v>
      </c>
      <c r="Q247" s="654"/>
      <c r="R247" s="654"/>
      <c r="S247" s="654"/>
      <c r="T247" s="654"/>
      <c r="U247" s="654"/>
      <c r="V247" s="655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65" t="s">
        <v>277</v>
      </c>
      <c r="B249" s="665"/>
      <c r="C249" s="665"/>
      <c r="D249" s="665"/>
      <c r="E249" s="665"/>
      <c r="F249" s="665"/>
      <c r="G249" s="665"/>
      <c r="H249" s="665"/>
      <c r="I249" s="665"/>
      <c r="J249" s="665"/>
      <c r="K249" s="665"/>
      <c r="L249" s="665"/>
      <c r="M249" s="665"/>
      <c r="N249" s="665"/>
      <c r="O249" s="665"/>
      <c r="P249" s="665"/>
      <c r="Q249" s="665"/>
      <c r="R249" s="665"/>
      <c r="S249" s="665"/>
      <c r="T249" s="665"/>
      <c r="U249" s="665"/>
      <c r="V249" s="665"/>
      <c r="W249" s="665"/>
      <c r="X249" s="665"/>
      <c r="Y249" s="665"/>
      <c r="Z249" s="665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4301032053</v>
      </c>
      <c r="D250" s="666">
        <v>4680115886780</v>
      </c>
      <c r="E250" s="666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68"/>
      <c r="R250" s="668"/>
      <c r="S250" s="668"/>
      <c r="T250" s="669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433</v>
      </c>
      <c r="B251" s="63" t="s">
        <v>434</v>
      </c>
      <c r="C251" s="36">
        <v>4301032051</v>
      </c>
      <c r="D251" s="666">
        <v>4680115886742</v>
      </c>
      <c r="E251" s="666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2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68"/>
      <c r="R251" s="668"/>
      <c r="S251" s="668"/>
      <c r="T251" s="669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436</v>
      </c>
      <c r="B252" s="63" t="s">
        <v>437</v>
      </c>
      <c r="C252" s="36">
        <v>4301032052</v>
      </c>
      <c r="D252" s="666">
        <v>4680115886766</v>
      </c>
      <c r="E252" s="666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68"/>
      <c r="R252" s="668"/>
      <c r="S252" s="668"/>
      <c r="T252" s="669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665" t="s">
        <v>438</v>
      </c>
      <c r="B255" s="665"/>
      <c r="C255" s="665"/>
      <c r="D255" s="665"/>
      <c r="E255" s="665"/>
      <c r="F255" s="665"/>
      <c r="G255" s="665"/>
      <c r="H255" s="665"/>
      <c r="I255" s="665"/>
      <c r="J255" s="665"/>
      <c r="K255" s="665"/>
      <c r="L255" s="665"/>
      <c r="M255" s="665"/>
      <c r="N255" s="665"/>
      <c r="O255" s="665"/>
      <c r="P255" s="665"/>
      <c r="Q255" s="665"/>
      <c r="R255" s="665"/>
      <c r="S255" s="665"/>
      <c r="T255" s="665"/>
      <c r="U255" s="665"/>
      <c r="V255" s="665"/>
      <c r="W255" s="665"/>
      <c r="X255" s="665"/>
      <c r="Y255" s="665"/>
      <c r="Z255" s="665"/>
      <c r="AA255" s="66"/>
      <c r="AB255" s="66"/>
      <c r="AC255" s="80"/>
    </row>
    <row r="256" spans="1:68" ht="27" hidden="1" customHeight="1" x14ac:dyDescent="0.25">
      <c r="A256" s="63" t="s">
        <v>439</v>
      </c>
      <c r="B256" s="63" t="s">
        <v>440</v>
      </c>
      <c r="C256" s="36">
        <v>4301170013</v>
      </c>
      <c r="D256" s="666">
        <v>4680115886797</v>
      </c>
      <c r="E256" s="666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68"/>
      <c r="R256" s="668"/>
      <c r="S256" s="668"/>
      <c r="T256" s="669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hidden="1" customHeight="1" x14ac:dyDescent="0.25">
      <c r="A259" s="672" t="s">
        <v>441</v>
      </c>
      <c r="B259" s="672"/>
      <c r="C259" s="672"/>
      <c r="D259" s="672"/>
      <c r="E259" s="672"/>
      <c r="F259" s="672"/>
      <c r="G259" s="672"/>
      <c r="H259" s="672"/>
      <c r="I259" s="672"/>
      <c r="J259" s="672"/>
      <c r="K259" s="672"/>
      <c r="L259" s="672"/>
      <c r="M259" s="672"/>
      <c r="N259" s="672"/>
      <c r="O259" s="672"/>
      <c r="P259" s="672"/>
      <c r="Q259" s="672"/>
      <c r="R259" s="672"/>
      <c r="S259" s="672"/>
      <c r="T259" s="672"/>
      <c r="U259" s="672"/>
      <c r="V259" s="672"/>
      <c r="W259" s="672"/>
      <c r="X259" s="672"/>
      <c r="Y259" s="672"/>
      <c r="Z259" s="672"/>
      <c r="AA259" s="65"/>
      <c r="AB259" s="65"/>
      <c r="AC259" s="79"/>
    </row>
    <row r="260" spans="1:68" ht="14.25" hidden="1" customHeight="1" x14ac:dyDescent="0.25">
      <c r="A260" s="665" t="s">
        <v>122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6"/>
      <c r="AB260" s="66"/>
      <c r="AC260" s="80"/>
    </row>
    <row r="261" spans="1:68" ht="27" hidden="1" customHeight="1" x14ac:dyDescent="0.25">
      <c r="A261" s="63" t="s">
        <v>442</v>
      </c>
      <c r="B261" s="63" t="s">
        <v>443</v>
      </c>
      <c r="C261" s="36">
        <v>4301011450</v>
      </c>
      <c r="D261" s="666">
        <v>4680115881402</v>
      </c>
      <c r="E261" s="666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68"/>
      <c r="R261" s="668"/>
      <c r="S261" s="668"/>
      <c r="T261" s="669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4301011768</v>
      </c>
      <c r="D262" s="666">
        <v>4680115881396</v>
      </c>
      <c r="E262" s="666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68"/>
      <c r="R262" s="668"/>
      <c r="S262" s="668"/>
      <c r="T262" s="669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65" t="s">
        <v>159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6"/>
      <c r="AB265" s="66"/>
      <c r="AC265" s="80"/>
    </row>
    <row r="266" spans="1:68" ht="16.5" hidden="1" customHeight="1" x14ac:dyDescent="0.25">
      <c r="A266" s="63" t="s">
        <v>447</v>
      </c>
      <c r="B266" s="63" t="s">
        <v>448</v>
      </c>
      <c r="C266" s="36">
        <v>4301020261</v>
      </c>
      <c r="D266" s="666">
        <v>4680115882935</v>
      </c>
      <c r="E266" s="666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68"/>
      <c r="R266" s="668"/>
      <c r="S266" s="668"/>
      <c r="T266" s="669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450</v>
      </c>
      <c r="B267" s="63" t="s">
        <v>451</v>
      </c>
      <c r="C267" s="36">
        <v>4301020220</v>
      </c>
      <c r="D267" s="666">
        <v>4680115880764</v>
      </c>
      <c r="E267" s="666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68"/>
      <c r="R267" s="668"/>
      <c r="S267" s="668"/>
      <c r="T267" s="669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65" t="s">
        <v>77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6"/>
      <c r="AB270" s="66"/>
      <c r="AC270" s="80"/>
    </row>
    <row r="271" spans="1:68" ht="27" hidden="1" customHeight="1" x14ac:dyDescent="0.25">
      <c r="A271" s="63" t="s">
        <v>452</v>
      </c>
      <c r="B271" s="63" t="s">
        <v>453</v>
      </c>
      <c r="C271" s="36">
        <v>4301031224</v>
      </c>
      <c r="D271" s="666">
        <v>4680115882683</v>
      </c>
      <c r="E271" s="666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68"/>
      <c r="R271" s="668"/>
      <c r="S271" s="668"/>
      <c r="T271" s="669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78" si="38">IFERROR(IF(X271="",0,CEILING((X271/$H271),1)*$H271),"")</f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0</v>
      </c>
      <c r="BN271" s="78">
        <f t="shared" ref="BN271:BN278" si="40">IFERROR(Y271*I271/H271,"0")</f>
        <v>0</v>
      </c>
      <c r="BO271" s="78">
        <f t="shared" ref="BO271:BO278" si="41">IFERROR(1/J271*(X271/H271),"0")</f>
        <v>0</v>
      </c>
      <c r="BP271" s="78">
        <f t="shared" ref="BP271:BP278" si="42">IFERROR(1/J271*(Y271/H271),"0")</f>
        <v>0</v>
      </c>
    </row>
    <row r="272" spans="1:68" ht="27" hidden="1" customHeight="1" x14ac:dyDescent="0.25">
      <c r="A272" s="63" t="s">
        <v>455</v>
      </c>
      <c r="B272" s="63" t="s">
        <v>456</v>
      </c>
      <c r="C272" s="36">
        <v>4301031230</v>
      </c>
      <c r="D272" s="666">
        <v>4680115882690</v>
      </c>
      <c r="E272" s="666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68"/>
      <c r="R272" s="668"/>
      <c r="S272" s="668"/>
      <c r="T272" s="669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458</v>
      </c>
      <c r="B273" s="63" t="s">
        <v>459</v>
      </c>
      <c r="C273" s="36">
        <v>4301031220</v>
      </c>
      <c r="D273" s="666">
        <v>4680115882669</v>
      </c>
      <c r="E273" s="666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68"/>
      <c r="R273" s="668"/>
      <c r="S273" s="668"/>
      <c r="T273" s="669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4301031221</v>
      </c>
      <c r="D274" s="666">
        <v>4680115882676</v>
      </c>
      <c r="E274" s="666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68"/>
      <c r="R274" s="668"/>
      <c r="S274" s="668"/>
      <c r="T274" s="669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4301031223</v>
      </c>
      <c r="D275" s="666">
        <v>4680115884014</v>
      </c>
      <c r="E275" s="666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68"/>
      <c r="R275" s="668"/>
      <c r="S275" s="668"/>
      <c r="T275" s="669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4301031222</v>
      </c>
      <c r="D276" s="666">
        <v>4680115884007</v>
      </c>
      <c r="E276" s="666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68"/>
      <c r="R276" s="668"/>
      <c r="S276" s="668"/>
      <c r="T276" s="669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4301031229</v>
      </c>
      <c r="D277" s="666">
        <v>4680115884038</v>
      </c>
      <c r="E277" s="666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68"/>
      <c r="R277" s="668"/>
      <c r="S277" s="668"/>
      <c r="T277" s="669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4301031225</v>
      </c>
      <c r="D278" s="666">
        <v>4680115884021</v>
      </c>
      <c r="E278" s="666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68"/>
      <c r="R278" s="668"/>
      <c r="S278" s="668"/>
      <c r="T278" s="669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idden="1" x14ac:dyDescent="0.2">
      <c r="A279" s="656"/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7"/>
      <c r="P279" s="653" t="s">
        <v>40</v>
      </c>
      <c r="Q279" s="654"/>
      <c r="R279" s="654"/>
      <c r="S279" s="654"/>
      <c r="T279" s="654"/>
      <c r="U279" s="654"/>
      <c r="V279" s="655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0</v>
      </c>
      <c r="Y279" s="43">
        <f>IFERROR(Y271/H271,"0")+IFERROR(Y272/H272,"0")+IFERROR(Y273/H273,"0")+IFERROR(Y274/H274,"0")+IFERROR(Y275/H275,"0")+IFERROR(Y276/H276,"0")+IFERROR(Y277/H277,"0")+IFERROR(Y278/H278,"0")</f>
        <v>0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hidden="1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2" t="s">
        <v>0</v>
      </c>
      <c r="X280" s="43">
        <f>IFERROR(SUM(X271:X278),"0")</f>
        <v>0</v>
      </c>
      <c r="Y280" s="43">
        <f>IFERROR(SUM(Y271:Y278),"0")</f>
        <v>0</v>
      </c>
      <c r="Z280" s="42"/>
      <c r="AA280" s="67"/>
      <c r="AB280" s="67"/>
      <c r="AC280" s="67"/>
    </row>
    <row r="281" spans="1:68" ht="14.25" hidden="1" customHeight="1" x14ac:dyDescent="0.25">
      <c r="A281" s="665" t="s">
        <v>86</v>
      </c>
      <c r="B281" s="665"/>
      <c r="C281" s="665"/>
      <c r="D281" s="665"/>
      <c r="E281" s="665"/>
      <c r="F281" s="665"/>
      <c r="G281" s="665"/>
      <c r="H281" s="665"/>
      <c r="I281" s="665"/>
      <c r="J281" s="665"/>
      <c r="K281" s="665"/>
      <c r="L281" s="665"/>
      <c r="M281" s="665"/>
      <c r="N281" s="665"/>
      <c r="O281" s="665"/>
      <c r="P281" s="665"/>
      <c r="Q281" s="665"/>
      <c r="R281" s="665"/>
      <c r="S281" s="665"/>
      <c r="T281" s="665"/>
      <c r="U281" s="665"/>
      <c r="V281" s="665"/>
      <c r="W281" s="665"/>
      <c r="X281" s="665"/>
      <c r="Y281" s="665"/>
      <c r="Z281" s="665"/>
      <c r="AA281" s="66"/>
      <c r="AB281" s="66"/>
      <c r="AC281" s="80"/>
    </row>
    <row r="282" spans="1:68" ht="27" hidden="1" customHeight="1" x14ac:dyDescent="0.25">
      <c r="A282" s="63" t="s">
        <v>472</v>
      </c>
      <c r="B282" s="63" t="s">
        <v>473</v>
      </c>
      <c r="C282" s="36">
        <v>4301051408</v>
      </c>
      <c r="D282" s="666">
        <v>4680115881594</v>
      </c>
      <c r="E282" s="666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68"/>
      <c r="R282" s="668"/>
      <c r="S282" s="668"/>
      <c r="T282" s="669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hidden="1" customHeight="1" x14ac:dyDescent="0.25">
      <c r="A283" s="63" t="s">
        <v>475</v>
      </c>
      <c r="B283" s="63" t="s">
        <v>476</v>
      </c>
      <c r="C283" s="36">
        <v>4301051411</v>
      </c>
      <c r="D283" s="666">
        <v>4680115881617</v>
      </c>
      <c r="E283" s="666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68"/>
      <c r="R283" s="668"/>
      <c r="S283" s="668"/>
      <c r="T283" s="669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478</v>
      </c>
      <c r="B284" s="63" t="s">
        <v>479</v>
      </c>
      <c r="C284" s="36">
        <v>4301051656</v>
      </c>
      <c r="D284" s="666">
        <v>4680115880573</v>
      </c>
      <c r="E284" s="666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68"/>
      <c r="R284" s="668"/>
      <c r="S284" s="668"/>
      <c r="T284" s="669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4301051407</v>
      </c>
      <c r="D285" s="666">
        <v>4680115882195</v>
      </c>
      <c r="E285" s="666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68"/>
      <c r="R285" s="668"/>
      <c r="S285" s="668"/>
      <c r="T285" s="669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4301051752</v>
      </c>
      <c r="D286" s="666">
        <v>4680115882607</v>
      </c>
      <c r="E286" s="666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0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68"/>
      <c r="R286" s="668"/>
      <c r="S286" s="668"/>
      <c r="T286" s="669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485</v>
      </c>
      <c r="B287" s="63" t="s">
        <v>486</v>
      </c>
      <c r="C287" s="36">
        <v>4301052143</v>
      </c>
      <c r="D287" s="666">
        <v>4680115882607</v>
      </c>
      <c r="E287" s="666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1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68"/>
      <c r="R287" s="668"/>
      <c r="S287" s="668"/>
      <c r="T287" s="669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customHeight="1" x14ac:dyDescent="0.25">
      <c r="A288" s="63" t="s">
        <v>488</v>
      </c>
      <c r="B288" s="63" t="s">
        <v>489</v>
      </c>
      <c r="C288" s="36">
        <v>4301051666</v>
      </c>
      <c r="D288" s="666">
        <v>4680115880092</v>
      </c>
      <c r="E288" s="666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68"/>
      <c r="R288" s="668"/>
      <c r="S288" s="668"/>
      <c r="T288" s="669"/>
      <c r="U288" s="39" t="s">
        <v>46</v>
      </c>
      <c r="V288" s="39" t="s">
        <v>46</v>
      </c>
      <c r="W288" s="40" t="s">
        <v>0</v>
      </c>
      <c r="X288" s="58">
        <v>104</v>
      </c>
      <c r="Y288" s="55">
        <f t="shared" si="43"/>
        <v>105.6</v>
      </c>
      <c r="Z288" s="41">
        <f>IFERROR(IF(Y288=0,"",ROUNDUP(Y288/H288,0)*0.00651),"")</f>
        <v>0.28644000000000003</v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114.92</v>
      </c>
      <c r="BN288" s="78">
        <f t="shared" si="45"/>
        <v>116.688</v>
      </c>
      <c r="BO288" s="78">
        <f t="shared" si="46"/>
        <v>0.23809523809523814</v>
      </c>
      <c r="BP288" s="78">
        <f t="shared" si="47"/>
        <v>0.24175824175824179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4301052214</v>
      </c>
      <c r="D289" s="666">
        <v>4680115889064</v>
      </c>
      <c r="E289" s="666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68"/>
      <c r="R289" s="668"/>
      <c r="S289" s="668"/>
      <c r="T289" s="669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4301051668</v>
      </c>
      <c r="D290" s="666">
        <v>4680115880221</v>
      </c>
      <c r="E290" s="666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68"/>
      <c r="R290" s="668"/>
      <c r="S290" s="668"/>
      <c r="T290" s="669"/>
      <c r="U290" s="39" t="s">
        <v>46</v>
      </c>
      <c r="V290" s="39" t="s">
        <v>46</v>
      </c>
      <c r="W290" s="40" t="s">
        <v>0</v>
      </c>
      <c r="X290" s="58">
        <v>60</v>
      </c>
      <c r="Y290" s="55">
        <f t="shared" si="43"/>
        <v>60</v>
      </c>
      <c r="Z290" s="41">
        <f>IFERROR(IF(Y290=0,"",ROUNDUP(Y290/H290,0)*0.00651),"")</f>
        <v>0.16275000000000001</v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66.300000000000011</v>
      </c>
      <c r="BN290" s="78">
        <f t="shared" si="45"/>
        <v>66.300000000000011</v>
      </c>
      <c r="BO290" s="78">
        <f t="shared" si="46"/>
        <v>0.13736263736263737</v>
      </c>
      <c r="BP290" s="78">
        <f t="shared" si="47"/>
        <v>0.13736263736263737</v>
      </c>
    </row>
    <row r="291" spans="1:68" ht="27" customHeight="1" x14ac:dyDescent="0.25">
      <c r="A291" s="63" t="s">
        <v>494</v>
      </c>
      <c r="B291" s="63" t="s">
        <v>495</v>
      </c>
      <c r="C291" s="36">
        <v>4301051945</v>
      </c>
      <c r="D291" s="666">
        <v>4680115880504</v>
      </c>
      <c r="E291" s="666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68"/>
      <c r="R291" s="668"/>
      <c r="S291" s="668"/>
      <c r="T291" s="669"/>
      <c r="U291" s="39" t="s">
        <v>46</v>
      </c>
      <c r="V291" s="39" t="s">
        <v>46</v>
      </c>
      <c r="W291" s="40" t="s">
        <v>0</v>
      </c>
      <c r="X291" s="58">
        <v>96</v>
      </c>
      <c r="Y291" s="55">
        <f t="shared" si="43"/>
        <v>96</v>
      </c>
      <c r="Z291" s="41">
        <f>IFERROR(IF(Y291=0,"",ROUNDUP(Y291/H291,0)*0.00651),"")</f>
        <v>0.26040000000000002</v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106.08000000000001</v>
      </c>
      <c r="BN291" s="78">
        <f t="shared" si="45"/>
        <v>106.08000000000001</v>
      </c>
      <c r="BO291" s="78">
        <f t="shared" si="46"/>
        <v>0.2197802197802198</v>
      </c>
      <c r="BP291" s="78">
        <f t="shared" si="47"/>
        <v>0.2197802197802198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4301051410</v>
      </c>
      <c r="D292" s="666">
        <v>4680115882164</v>
      </c>
      <c r="E292" s="666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68"/>
      <c r="R292" s="668"/>
      <c r="S292" s="668"/>
      <c r="T292" s="669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4301052180</v>
      </c>
      <c r="D293" s="666">
        <v>4680115888340</v>
      </c>
      <c r="E293" s="666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68"/>
      <c r="R293" s="668"/>
      <c r="S293" s="668"/>
      <c r="T293" s="669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108.33333333333334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109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0.70959000000000005</v>
      </c>
      <c r="AA294" s="67"/>
      <c r="AB294" s="67"/>
      <c r="AC294" s="67"/>
    </row>
    <row r="295" spans="1:68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2" t="s">
        <v>0</v>
      </c>
      <c r="X295" s="43">
        <f>IFERROR(SUM(X282:X293),"0")</f>
        <v>260</v>
      </c>
      <c r="Y295" s="43">
        <f>IFERROR(SUM(Y282:Y293),"0")</f>
        <v>261.60000000000002</v>
      </c>
      <c r="Z295" s="42"/>
      <c r="AA295" s="67"/>
      <c r="AB295" s="67"/>
      <c r="AC295" s="67"/>
    </row>
    <row r="296" spans="1:68" ht="14.25" hidden="1" customHeight="1" x14ac:dyDescent="0.25">
      <c r="A296" s="665" t="s">
        <v>178</v>
      </c>
      <c r="B296" s="665"/>
      <c r="C296" s="665"/>
      <c r="D296" s="665"/>
      <c r="E296" s="665"/>
      <c r="F296" s="665"/>
      <c r="G296" s="665"/>
      <c r="H296" s="665"/>
      <c r="I296" s="665"/>
      <c r="J296" s="665"/>
      <c r="K296" s="665"/>
      <c r="L296" s="665"/>
      <c r="M296" s="665"/>
      <c r="N296" s="665"/>
      <c r="O296" s="665"/>
      <c r="P296" s="665"/>
      <c r="Q296" s="665"/>
      <c r="R296" s="665"/>
      <c r="S296" s="665"/>
      <c r="T296" s="665"/>
      <c r="U296" s="665"/>
      <c r="V296" s="665"/>
      <c r="W296" s="665"/>
      <c r="X296" s="665"/>
      <c r="Y296" s="665"/>
      <c r="Z296" s="665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4301060463</v>
      </c>
      <c r="D297" s="666">
        <v>4680115880818</v>
      </c>
      <c r="E297" s="666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68"/>
      <c r="R297" s="668"/>
      <c r="S297" s="668"/>
      <c r="T297" s="669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4301060389</v>
      </c>
      <c r="D298" s="666">
        <v>4680115880801</v>
      </c>
      <c r="E298" s="666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68"/>
      <c r="R298" s="668"/>
      <c r="S298" s="668"/>
      <c r="T298" s="669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hidden="1" customHeight="1" x14ac:dyDescent="0.25">
      <c r="A301" s="672" t="s">
        <v>509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5"/>
      <c r="AB301" s="65"/>
      <c r="AC301" s="79"/>
    </row>
    <row r="302" spans="1:68" ht="14.25" hidden="1" customHeight="1" x14ac:dyDescent="0.25">
      <c r="A302" s="665" t="s">
        <v>122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6"/>
      <c r="AB302" s="66"/>
      <c r="AC302" s="80"/>
    </row>
    <row r="303" spans="1:68" ht="27" hidden="1" customHeight="1" x14ac:dyDescent="0.25">
      <c r="A303" s="63" t="s">
        <v>510</v>
      </c>
      <c r="B303" s="63" t="s">
        <v>511</v>
      </c>
      <c r="C303" s="36">
        <v>4301011826</v>
      </c>
      <c r="D303" s="666">
        <v>4680115884137</v>
      </c>
      <c r="E303" s="666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68"/>
      <c r="R303" s="668"/>
      <c r="S303" s="668"/>
      <c r="T303" s="669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hidden="1" customHeight="1" x14ac:dyDescent="0.25">
      <c r="A304" s="63" t="s">
        <v>513</v>
      </c>
      <c r="B304" s="63" t="s">
        <v>514</v>
      </c>
      <c r="C304" s="36">
        <v>4301011724</v>
      </c>
      <c r="D304" s="666">
        <v>4680115884236</v>
      </c>
      <c r="E304" s="666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68"/>
      <c r="R304" s="668"/>
      <c r="S304" s="668"/>
      <c r="T304" s="669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hidden="1" customHeight="1" x14ac:dyDescent="0.25">
      <c r="A305" s="63" t="s">
        <v>516</v>
      </c>
      <c r="B305" s="63" t="s">
        <v>517</v>
      </c>
      <c r="C305" s="36">
        <v>4301011721</v>
      </c>
      <c r="D305" s="666">
        <v>4680115884175</v>
      </c>
      <c r="E305" s="666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68"/>
      <c r="R305" s="668"/>
      <c r="S305" s="668"/>
      <c r="T305" s="669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customHeight="1" x14ac:dyDescent="0.25">
      <c r="A306" s="63" t="s">
        <v>518</v>
      </c>
      <c r="B306" s="63" t="s">
        <v>519</v>
      </c>
      <c r="C306" s="36">
        <v>4301011824</v>
      </c>
      <c r="D306" s="666">
        <v>4680115884144</v>
      </c>
      <c r="E306" s="666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7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68"/>
      <c r="R306" s="668"/>
      <c r="S306" s="668"/>
      <c r="T306" s="669"/>
      <c r="U306" s="39" t="s">
        <v>46</v>
      </c>
      <c r="V306" s="39" t="s">
        <v>46</v>
      </c>
      <c r="W306" s="40" t="s">
        <v>0</v>
      </c>
      <c r="X306" s="58">
        <v>72</v>
      </c>
      <c r="Y306" s="55">
        <f t="shared" si="48"/>
        <v>72</v>
      </c>
      <c r="Z306" s="41">
        <f>IFERROR(IF(Y306=0,"",ROUNDUP(Y306/H306,0)*0.00902),"")</f>
        <v>0.16236</v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75.42</v>
      </c>
      <c r="BN306" s="78">
        <f t="shared" si="50"/>
        <v>75.42</v>
      </c>
      <c r="BO306" s="78">
        <f t="shared" si="51"/>
        <v>0.13636363636363635</v>
      </c>
      <c r="BP306" s="78">
        <f t="shared" si="52"/>
        <v>0.13636363636363635</v>
      </c>
    </row>
    <row r="307" spans="1:68" ht="27" hidden="1" customHeight="1" x14ac:dyDescent="0.25">
      <c r="A307" s="63" t="s">
        <v>520</v>
      </c>
      <c r="B307" s="63" t="s">
        <v>521</v>
      </c>
      <c r="C307" s="36">
        <v>4301012149</v>
      </c>
      <c r="D307" s="666">
        <v>4680115886551</v>
      </c>
      <c r="E307" s="666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68"/>
      <c r="R307" s="668"/>
      <c r="S307" s="668"/>
      <c r="T307" s="669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4301012228</v>
      </c>
      <c r="D308" s="666">
        <v>4680115887282</v>
      </c>
      <c r="E308" s="666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68"/>
      <c r="R308" s="668"/>
      <c r="S308" s="668"/>
      <c r="T308" s="669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customHeight="1" x14ac:dyDescent="0.25">
      <c r="A309" s="63" t="s">
        <v>526</v>
      </c>
      <c r="B309" s="63" t="s">
        <v>527</v>
      </c>
      <c r="C309" s="36">
        <v>4301011722</v>
      </c>
      <c r="D309" s="666">
        <v>4680115884205</v>
      </c>
      <c r="E309" s="666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78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68"/>
      <c r="R309" s="668"/>
      <c r="S309" s="668"/>
      <c r="T309" s="669"/>
      <c r="U309" s="39" t="s">
        <v>46</v>
      </c>
      <c r="V309" s="39" t="s">
        <v>46</v>
      </c>
      <c r="W309" s="40" t="s">
        <v>0</v>
      </c>
      <c r="X309" s="58">
        <v>72</v>
      </c>
      <c r="Y309" s="55">
        <f t="shared" si="48"/>
        <v>72</v>
      </c>
      <c r="Z309" s="41">
        <f>IFERROR(IF(Y309=0,"",ROUNDUP(Y309/H309,0)*0.00902),"")</f>
        <v>0.16236</v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75.42</v>
      </c>
      <c r="BN309" s="78">
        <f t="shared" si="50"/>
        <v>75.42</v>
      </c>
      <c r="BO309" s="78">
        <f t="shared" si="51"/>
        <v>0.13636363636363635</v>
      </c>
      <c r="BP309" s="78">
        <f t="shared" si="52"/>
        <v>0.13636363636363635</v>
      </c>
    </row>
    <row r="310" spans="1:68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2" t="s">
        <v>39</v>
      </c>
      <c r="X310" s="43">
        <f>IFERROR(X303/H303,"0")+IFERROR(X304/H304,"0")+IFERROR(X305/H305,"0")+IFERROR(X306/H306,"0")+IFERROR(X307/H307,"0")+IFERROR(X308/H308,"0")+IFERROR(X309/H309,"0")</f>
        <v>36</v>
      </c>
      <c r="Y310" s="43">
        <f>IFERROR(Y303/H303,"0")+IFERROR(Y304/H304,"0")+IFERROR(Y305/H305,"0")+IFERROR(Y306/H306,"0")+IFERROR(Y307/H307,"0")+IFERROR(Y308/H308,"0")+IFERROR(Y309/H309,"0")</f>
        <v>36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0.32472000000000001</v>
      </c>
      <c r="AA310" s="67"/>
      <c r="AB310" s="67"/>
      <c r="AC310" s="67"/>
    </row>
    <row r="311" spans="1:68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2" t="s">
        <v>0</v>
      </c>
      <c r="X311" s="43">
        <f>IFERROR(SUM(X303:X309),"0")</f>
        <v>144</v>
      </c>
      <c r="Y311" s="43">
        <f>IFERROR(SUM(Y303:Y309),"0")</f>
        <v>144</v>
      </c>
      <c r="Z311" s="42"/>
      <c r="AA311" s="67"/>
      <c r="AB311" s="67"/>
      <c r="AC311" s="67"/>
    </row>
    <row r="312" spans="1:68" ht="14.25" hidden="1" customHeight="1" x14ac:dyDescent="0.25">
      <c r="A312" s="665" t="s">
        <v>159</v>
      </c>
      <c r="B312" s="665"/>
      <c r="C312" s="665"/>
      <c r="D312" s="665"/>
      <c r="E312" s="665"/>
      <c r="F312" s="665"/>
      <c r="G312" s="665"/>
      <c r="H312" s="665"/>
      <c r="I312" s="665"/>
      <c r="J312" s="665"/>
      <c r="K312" s="665"/>
      <c r="L312" s="665"/>
      <c r="M312" s="665"/>
      <c r="N312" s="665"/>
      <c r="O312" s="665"/>
      <c r="P312" s="665"/>
      <c r="Q312" s="665"/>
      <c r="R312" s="665"/>
      <c r="S312" s="665"/>
      <c r="T312" s="665"/>
      <c r="U312" s="665"/>
      <c r="V312" s="665"/>
      <c r="W312" s="665"/>
      <c r="X312" s="665"/>
      <c r="Y312" s="665"/>
      <c r="Z312" s="665"/>
      <c r="AA312" s="66"/>
      <c r="AB312" s="66"/>
      <c r="AC312" s="80"/>
    </row>
    <row r="313" spans="1:68" ht="27" hidden="1" customHeight="1" x14ac:dyDescent="0.25">
      <c r="A313" s="63" t="s">
        <v>528</v>
      </c>
      <c r="B313" s="63" t="s">
        <v>529</v>
      </c>
      <c r="C313" s="36">
        <v>4301020377</v>
      </c>
      <c r="D313" s="666">
        <v>4680115885981</v>
      </c>
      <c r="E313" s="666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68"/>
      <c r="R313" s="668"/>
      <c r="S313" s="668"/>
      <c r="T313" s="669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5" t="s">
        <v>531</v>
      </c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65"/>
      <c r="P316" s="665"/>
      <c r="Q316" s="665"/>
      <c r="R316" s="665"/>
      <c r="S316" s="665"/>
      <c r="T316" s="665"/>
      <c r="U316" s="665"/>
      <c r="V316" s="665"/>
      <c r="W316" s="665"/>
      <c r="X316" s="665"/>
      <c r="Y316" s="665"/>
      <c r="Z316" s="665"/>
      <c r="AA316" s="66"/>
      <c r="AB316" s="66"/>
      <c r="AC316" s="80"/>
    </row>
    <row r="317" spans="1:68" ht="27" hidden="1" customHeight="1" x14ac:dyDescent="0.25">
      <c r="A317" s="63" t="s">
        <v>532</v>
      </c>
      <c r="B317" s="63" t="s">
        <v>533</v>
      </c>
      <c r="C317" s="36">
        <v>4301040362</v>
      </c>
      <c r="D317" s="666">
        <v>4680115886803</v>
      </c>
      <c r="E317" s="666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7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68"/>
      <c r="R317" s="668"/>
      <c r="S317" s="668"/>
      <c r="T317" s="669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665" t="s">
        <v>341</v>
      </c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65"/>
      <c r="P320" s="665"/>
      <c r="Q320" s="665"/>
      <c r="R320" s="665"/>
      <c r="S320" s="665"/>
      <c r="T320" s="665"/>
      <c r="U320" s="665"/>
      <c r="V320" s="665"/>
      <c r="W320" s="665"/>
      <c r="X320" s="665"/>
      <c r="Y320" s="665"/>
      <c r="Z320" s="665"/>
      <c r="AA320" s="66"/>
      <c r="AB320" s="66"/>
      <c r="AC320" s="80"/>
    </row>
    <row r="321" spans="1:68" ht="27" hidden="1" customHeight="1" x14ac:dyDescent="0.25">
      <c r="A321" s="63" t="s">
        <v>535</v>
      </c>
      <c r="B321" s="63" t="s">
        <v>536</v>
      </c>
      <c r="C321" s="36">
        <v>4301041008</v>
      </c>
      <c r="D321" s="666">
        <v>4680115886681</v>
      </c>
      <c r="E321" s="666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68"/>
      <c r="R321" s="668"/>
      <c r="S321" s="668"/>
      <c r="T321" s="669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56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53" t="s">
        <v>40</v>
      </c>
      <c r="Q322" s="654"/>
      <c r="R322" s="654"/>
      <c r="S322" s="654"/>
      <c r="T322" s="654"/>
      <c r="U322" s="654"/>
      <c r="V322" s="655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53" t="s">
        <v>40</v>
      </c>
      <c r="Q323" s="654"/>
      <c r="R323" s="654"/>
      <c r="S323" s="654"/>
      <c r="T323" s="654"/>
      <c r="U323" s="654"/>
      <c r="V323" s="655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72" t="s">
        <v>538</v>
      </c>
      <c r="B324" s="672"/>
      <c r="C324" s="672"/>
      <c r="D324" s="672"/>
      <c r="E324" s="672"/>
      <c r="F324" s="672"/>
      <c r="G324" s="672"/>
      <c r="H324" s="672"/>
      <c r="I324" s="672"/>
      <c r="J324" s="672"/>
      <c r="K324" s="672"/>
      <c r="L324" s="672"/>
      <c r="M324" s="672"/>
      <c r="N324" s="672"/>
      <c r="O324" s="672"/>
      <c r="P324" s="672"/>
      <c r="Q324" s="672"/>
      <c r="R324" s="672"/>
      <c r="S324" s="672"/>
      <c r="T324" s="672"/>
      <c r="U324" s="672"/>
      <c r="V324" s="672"/>
      <c r="W324" s="672"/>
      <c r="X324" s="672"/>
      <c r="Y324" s="672"/>
      <c r="Z324" s="672"/>
      <c r="AA324" s="65"/>
      <c r="AB324" s="65"/>
      <c r="AC324" s="79"/>
    </row>
    <row r="325" spans="1:68" ht="14.25" hidden="1" customHeight="1" x14ac:dyDescent="0.25">
      <c r="A325" s="665" t="s">
        <v>122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6"/>
      <c r="AB325" s="66"/>
      <c r="AC325" s="80"/>
    </row>
    <row r="326" spans="1:68" ht="27" hidden="1" customHeight="1" x14ac:dyDescent="0.25">
      <c r="A326" s="63" t="s">
        <v>539</v>
      </c>
      <c r="B326" s="63" t="s">
        <v>540</v>
      </c>
      <c r="C326" s="36">
        <v>4301012390</v>
      </c>
      <c r="D326" s="666">
        <v>4680115889637</v>
      </c>
      <c r="E326" s="666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68"/>
      <c r="R326" s="668"/>
      <c r="S326" s="668"/>
      <c r="T326" s="669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hidden="1" customHeight="1" x14ac:dyDescent="0.25">
      <c r="A327" s="63" t="s">
        <v>543</v>
      </c>
      <c r="B327" s="63" t="s">
        <v>544</v>
      </c>
      <c r="C327" s="36">
        <v>4301011855</v>
      </c>
      <c r="D327" s="666">
        <v>4680115885837</v>
      </c>
      <c r="E327" s="666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68"/>
      <c r="R327" s="668"/>
      <c r="S327" s="668"/>
      <c r="T327" s="669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hidden="1" customHeight="1" x14ac:dyDescent="0.25">
      <c r="A328" s="63" t="s">
        <v>546</v>
      </c>
      <c r="B328" s="63" t="s">
        <v>547</v>
      </c>
      <c r="C328" s="36">
        <v>4301012234</v>
      </c>
      <c r="D328" s="666">
        <v>4680115887237</v>
      </c>
      <c r="E328" s="666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68"/>
      <c r="R328" s="668"/>
      <c r="S328" s="668"/>
      <c r="T328" s="669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4301011850</v>
      </c>
      <c r="D329" s="666">
        <v>4680115885806</v>
      </c>
      <c r="E329" s="666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68"/>
      <c r="R329" s="668"/>
      <c r="S329" s="668"/>
      <c r="T329" s="669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27" hidden="1" customHeight="1" x14ac:dyDescent="0.25">
      <c r="A330" s="63" t="s">
        <v>552</v>
      </c>
      <c r="B330" s="63" t="s">
        <v>553</v>
      </c>
      <c r="C330" s="36">
        <v>4301011852</v>
      </c>
      <c r="D330" s="666">
        <v>4680115885844</v>
      </c>
      <c r="E330" s="666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68"/>
      <c r="R330" s="668"/>
      <c r="S330" s="668"/>
      <c r="T330" s="669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hidden="1" customHeight="1" x14ac:dyDescent="0.25">
      <c r="A331" s="63" t="s">
        <v>555</v>
      </c>
      <c r="B331" s="63" t="s">
        <v>556</v>
      </c>
      <c r="C331" s="36">
        <v>4301011851</v>
      </c>
      <c r="D331" s="666">
        <v>4680115885820</v>
      </c>
      <c r="E331" s="666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68"/>
      <c r="R331" s="668"/>
      <c r="S331" s="668"/>
      <c r="T331" s="669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53" t="s">
        <v>40</v>
      </c>
      <c r="Q332" s="654"/>
      <c r="R332" s="654"/>
      <c r="S332" s="654"/>
      <c r="T332" s="654"/>
      <c r="U332" s="654"/>
      <c r="V332" s="655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hidden="1" customHeight="1" x14ac:dyDescent="0.25">
      <c r="A334" s="672" t="s">
        <v>558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5"/>
      <c r="AB334" s="65"/>
      <c r="AC334" s="79"/>
    </row>
    <row r="335" spans="1:68" ht="14.25" hidden="1" customHeight="1" x14ac:dyDescent="0.25">
      <c r="A335" s="665" t="s">
        <v>86</v>
      </c>
      <c r="B335" s="665"/>
      <c r="C335" s="665"/>
      <c r="D335" s="665"/>
      <c r="E335" s="665"/>
      <c r="F335" s="665"/>
      <c r="G335" s="665"/>
      <c r="H335" s="665"/>
      <c r="I335" s="665"/>
      <c r="J335" s="665"/>
      <c r="K335" s="665"/>
      <c r="L335" s="665"/>
      <c r="M335" s="665"/>
      <c r="N335" s="665"/>
      <c r="O335" s="665"/>
      <c r="P335" s="665"/>
      <c r="Q335" s="665"/>
      <c r="R335" s="665"/>
      <c r="S335" s="665"/>
      <c r="T335" s="665"/>
      <c r="U335" s="665"/>
      <c r="V335" s="665"/>
      <c r="W335" s="665"/>
      <c r="X335" s="665"/>
      <c r="Y335" s="665"/>
      <c r="Z335" s="665"/>
      <c r="AA335" s="66"/>
      <c r="AB335" s="66"/>
      <c r="AC335" s="80"/>
    </row>
    <row r="336" spans="1:68" ht="27" hidden="1" customHeight="1" x14ac:dyDescent="0.25">
      <c r="A336" s="63" t="s">
        <v>559</v>
      </c>
      <c r="B336" s="63" t="s">
        <v>560</v>
      </c>
      <c r="C336" s="36">
        <v>4301051893</v>
      </c>
      <c r="D336" s="666">
        <v>4680115886186</v>
      </c>
      <c r="E336" s="666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68"/>
      <c r="R336" s="668"/>
      <c r="S336" s="668"/>
      <c r="T336" s="669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562</v>
      </c>
      <c r="B337" s="63" t="s">
        <v>563</v>
      </c>
      <c r="C337" s="36">
        <v>4301051795</v>
      </c>
      <c r="D337" s="666">
        <v>4680115881228</v>
      </c>
      <c r="E337" s="666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68"/>
      <c r="R337" s="668"/>
      <c r="S337" s="668"/>
      <c r="T337" s="669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565</v>
      </c>
      <c r="B338" s="63" t="s">
        <v>566</v>
      </c>
      <c r="C338" s="36">
        <v>4301051388</v>
      </c>
      <c r="D338" s="666">
        <v>4680115881211</v>
      </c>
      <c r="E338" s="666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68"/>
      <c r="R338" s="668"/>
      <c r="S338" s="668"/>
      <c r="T338" s="669"/>
      <c r="U338" s="39" t="s">
        <v>46</v>
      </c>
      <c r="V338" s="39" t="s">
        <v>46</v>
      </c>
      <c r="W338" s="40" t="s">
        <v>0</v>
      </c>
      <c r="X338" s="58">
        <v>36</v>
      </c>
      <c r="Y338" s="55">
        <f>IFERROR(IF(X338="",0,CEILING((X338/$H338),1)*$H338),"")</f>
        <v>36</v>
      </c>
      <c r="Z338" s="41">
        <f>IFERROR(IF(Y338=0,"",ROUNDUP(Y338/H338,0)*0.00651),"")</f>
        <v>9.7650000000000001E-2</v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38.700000000000003</v>
      </c>
      <c r="BN338" s="78">
        <f>IFERROR(Y338*I338/H338,"0")</f>
        <v>38.700000000000003</v>
      </c>
      <c r="BO338" s="78">
        <f>IFERROR(1/J338*(X338/H338),"0")</f>
        <v>8.241758241758243E-2</v>
      </c>
      <c r="BP338" s="78">
        <f>IFERROR(1/J338*(Y338/H338),"0")</f>
        <v>8.241758241758243E-2</v>
      </c>
    </row>
    <row r="339" spans="1:68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53" t="s">
        <v>40</v>
      </c>
      <c r="Q339" s="654"/>
      <c r="R339" s="654"/>
      <c r="S339" s="654"/>
      <c r="T339" s="654"/>
      <c r="U339" s="654"/>
      <c r="V339" s="655"/>
      <c r="W339" s="42" t="s">
        <v>39</v>
      </c>
      <c r="X339" s="43">
        <f>IFERROR(X336/H336,"0")+IFERROR(X337/H337,"0")+IFERROR(X338/H338,"0")</f>
        <v>15</v>
      </c>
      <c r="Y339" s="43">
        <f>IFERROR(Y336/H336,"0")+IFERROR(Y337/H337,"0")+IFERROR(Y338/H338,"0")</f>
        <v>15</v>
      </c>
      <c r="Z339" s="43">
        <f>IFERROR(IF(Z336="",0,Z336),"0")+IFERROR(IF(Z337="",0,Z337),"0")+IFERROR(IF(Z338="",0,Z338),"0")</f>
        <v>9.7650000000000001E-2</v>
      </c>
      <c r="AA339" s="67"/>
      <c r="AB339" s="67"/>
      <c r="AC339" s="67"/>
    </row>
    <row r="340" spans="1:68" x14ac:dyDescent="0.2">
      <c r="A340" s="656"/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7"/>
      <c r="P340" s="653" t="s">
        <v>40</v>
      </c>
      <c r="Q340" s="654"/>
      <c r="R340" s="654"/>
      <c r="S340" s="654"/>
      <c r="T340" s="654"/>
      <c r="U340" s="654"/>
      <c r="V340" s="655"/>
      <c r="W340" s="42" t="s">
        <v>0</v>
      </c>
      <c r="X340" s="43">
        <f>IFERROR(SUM(X336:X338),"0")</f>
        <v>36</v>
      </c>
      <c r="Y340" s="43">
        <f>IFERROR(SUM(Y336:Y338),"0")</f>
        <v>36</v>
      </c>
      <c r="Z340" s="42"/>
      <c r="AA340" s="67"/>
      <c r="AB340" s="67"/>
      <c r="AC340" s="67"/>
    </row>
    <row r="341" spans="1:68" ht="16.5" hidden="1" customHeight="1" x14ac:dyDescent="0.25">
      <c r="A341" s="672" t="s">
        <v>567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5"/>
      <c r="AB341" s="65"/>
      <c r="AC341" s="79"/>
    </row>
    <row r="342" spans="1:68" ht="14.25" hidden="1" customHeight="1" x14ac:dyDescent="0.25">
      <c r="A342" s="665" t="s">
        <v>77</v>
      </c>
      <c r="B342" s="665"/>
      <c r="C342" s="665"/>
      <c r="D342" s="665"/>
      <c r="E342" s="665"/>
      <c r="F342" s="665"/>
      <c r="G342" s="665"/>
      <c r="H342" s="665"/>
      <c r="I342" s="665"/>
      <c r="J342" s="665"/>
      <c r="K342" s="665"/>
      <c r="L342" s="665"/>
      <c r="M342" s="665"/>
      <c r="N342" s="665"/>
      <c r="O342" s="665"/>
      <c r="P342" s="665"/>
      <c r="Q342" s="665"/>
      <c r="R342" s="665"/>
      <c r="S342" s="665"/>
      <c r="T342" s="665"/>
      <c r="U342" s="665"/>
      <c r="V342" s="665"/>
      <c r="W342" s="665"/>
      <c r="X342" s="665"/>
      <c r="Y342" s="665"/>
      <c r="Z342" s="665"/>
      <c r="AA342" s="66"/>
      <c r="AB342" s="66"/>
      <c r="AC342" s="80"/>
    </row>
    <row r="343" spans="1:68" ht="27" hidden="1" customHeight="1" x14ac:dyDescent="0.25">
      <c r="A343" s="63" t="s">
        <v>568</v>
      </c>
      <c r="B343" s="63" t="s">
        <v>569</v>
      </c>
      <c r="C343" s="36">
        <v>4301031445</v>
      </c>
      <c r="D343" s="666">
        <v>4680115888319</v>
      </c>
      <c r="E343" s="666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68"/>
      <c r="R343" s="668"/>
      <c r="S343" s="668"/>
      <c r="T343" s="669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570</v>
      </c>
      <c r="B344" s="63" t="s">
        <v>571</v>
      </c>
      <c r="C344" s="36">
        <v>4301031502</v>
      </c>
      <c r="D344" s="666">
        <v>4680115884700</v>
      </c>
      <c r="E344" s="666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68"/>
      <c r="R344" s="668"/>
      <c r="S344" s="668"/>
      <c r="T344" s="669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573</v>
      </c>
      <c r="B345" s="63" t="s">
        <v>574</v>
      </c>
      <c r="C345" s="36">
        <v>4301031307</v>
      </c>
      <c r="D345" s="666">
        <v>4680115880344</v>
      </c>
      <c r="E345" s="666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68"/>
      <c r="R345" s="668"/>
      <c r="S345" s="668"/>
      <c r="T345" s="669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4301031501</v>
      </c>
      <c r="D346" s="666">
        <v>4680115886919</v>
      </c>
      <c r="E346" s="666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7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68"/>
      <c r="R346" s="668"/>
      <c r="S346" s="668"/>
      <c r="T346" s="669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4301031246</v>
      </c>
      <c r="D347" s="666">
        <v>4680115883970</v>
      </c>
      <c r="E347" s="666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68"/>
      <c r="R347" s="668"/>
      <c r="S347" s="668"/>
      <c r="T347" s="669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665" t="s">
        <v>86</v>
      </c>
      <c r="B350" s="665"/>
      <c r="C350" s="665"/>
      <c r="D350" s="665"/>
      <c r="E350" s="665"/>
      <c r="F350" s="665"/>
      <c r="G350" s="665"/>
      <c r="H350" s="665"/>
      <c r="I350" s="665"/>
      <c r="J350" s="665"/>
      <c r="K350" s="665"/>
      <c r="L350" s="665"/>
      <c r="M350" s="665"/>
      <c r="N350" s="665"/>
      <c r="O350" s="665"/>
      <c r="P350" s="665"/>
      <c r="Q350" s="665"/>
      <c r="R350" s="665"/>
      <c r="S350" s="665"/>
      <c r="T350" s="665"/>
      <c r="U350" s="665"/>
      <c r="V350" s="665"/>
      <c r="W350" s="665"/>
      <c r="X350" s="665"/>
      <c r="Y350" s="665"/>
      <c r="Z350" s="665"/>
      <c r="AA350" s="66"/>
      <c r="AB350" s="66"/>
      <c r="AC350" s="80"/>
    </row>
    <row r="351" spans="1:68" ht="27" customHeight="1" x14ac:dyDescent="0.25">
      <c r="A351" s="63" t="s">
        <v>582</v>
      </c>
      <c r="B351" s="63" t="s">
        <v>583</v>
      </c>
      <c r="C351" s="36">
        <v>4301051782</v>
      </c>
      <c r="D351" s="666">
        <v>4680115884618</v>
      </c>
      <c r="E351" s="666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68"/>
      <c r="R351" s="668"/>
      <c r="S351" s="668"/>
      <c r="T351" s="669"/>
      <c r="U351" s="39" t="s">
        <v>46</v>
      </c>
      <c r="V351" s="39" t="s">
        <v>46</v>
      </c>
      <c r="W351" s="40" t="s">
        <v>0</v>
      </c>
      <c r="X351" s="58">
        <v>54</v>
      </c>
      <c r="Y351" s="55">
        <f>IFERROR(IF(X351="",0,CEILING((X351/$H351),1)*$H351),"")</f>
        <v>54</v>
      </c>
      <c r="Z351" s="41">
        <f>IFERROR(IF(Y351=0,"",ROUNDUP(Y351/H351,0)*0.00902),"")</f>
        <v>0.1353</v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56.849999999999994</v>
      </c>
      <c r="BN351" s="78">
        <f>IFERROR(Y351*I351/H351,"0")</f>
        <v>56.849999999999994</v>
      </c>
      <c r="BO351" s="78">
        <f>IFERROR(1/J351*(X351/H351),"0")</f>
        <v>0.11363636363636365</v>
      </c>
      <c r="BP351" s="78">
        <f>IFERROR(1/J351*(Y351/H351),"0")</f>
        <v>0.11363636363636365</v>
      </c>
    </row>
    <row r="352" spans="1:68" ht="27" hidden="1" customHeight="1" x14ac:dyDescent="0.25">
      <c r="A352" s="63" t="s">
        <v>585</v>
      </c>
      <c r="B352" s="63" t="s">
        <v>586</v>
      </c>
      <c r="C352" s="36">
        <v>4301052057</v>
      </c>
      <c r="D352" s="666">
        <v>4680115887114</v>
      </c>
      <c r="E352" s="666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68"/>
      <c r="R352" s="668"/>
      <c r="S352" s="668"/>
      <c r="T352" s="669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39</v>
      </c>
      <c r="X353" s="43">
        <f>IFERROR(X351/H351,"0")+IFERROR(X352/H352,"0")</f>
        <v>15</v>
      </c>
      <c r="Y353" s="43">
        <f>IFERROR(Y351/H351,"0")+IFERROR(Y352/H352,"0")</f>
        <v>15</v>
      </c>
      <c r="Z353" s="43">
        <f>IFERROR(IF(Z351="",0,Z351),"0")+IFERROR(IF(Z352="",0,Z352),"0")</f>
        <v>0.1353</v>
      </c>
      <c r="AA353" s="67"/>
      <c r="AB353" s="67"/>
      <c r="AC353" s="67"/>
    </row>
    <row r="354" spans="1:68" x14ac:dyDescent="0.2">
      <c r="A354" s="656"/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7"/>
      <c r="P354" s="653" t="s">
        <v>40</v>
      </c>
      <c r="Q354" s="654"/>
      <c r="R354" s="654"/>
      <c r="S354" s="654"/>
      <c r="T354" s="654"/>
      <c r="U354" s="654"/>
      <c r="V354" s="655"/>
      <c r="W354" s="42" t="s">
        <v>0</v>
      </c>
      <c r="X354" s="43">
        <f>IFERROR(SUM(X351:X352),"0")</f>
        <v>54</v>
      </c>
      <c r="Y354" s="43">
        <f>IFERROR(SUM(Y351:Y352),"0")</f>
        <v>54</v>
      </c>
      <c r="Z354" s="42"/>
      <c r="AA354" s="67"/>
      <c r="AB354" s="67"/>
      <c r="AC354" s="67"/>
    </row>
    <row r="355" spans="1:68" ht="16.5" hidden="1" customHeight="1" x14ac:dyDescent="0.25">
      <c r="A355" s="672" t="s">
        <v>588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5"/>
      <c r="AB355" s="65"/>
      <c r="AC355" s="79"/>
    </row>
    <row r="356" spans="1:68" ht="14.25" hidden="1" customHeight="1" x14ac:dyDescent="0.25">
      <c r="A356" s="665" t="s">
        <v>122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6"/>
      <c r="AB356" s="66"/>
      <c r="AC356" s="80"/>
    </row>
    <row r="357" spans="1:68" ht="27" hidden="1" customHeight="1" x14ac:dyDescent="0.25">
      <c r="A357" s="63" t="s">
        <v>589</v>
      </c>
      <c r="B357" s="63" t="s">
        <v>590</v>
      </c>
      <c r="C357" s="36">
        <v>4301012324</v>
      </c>
      <c r="D357" s="666">
        <v>4680115887947</v>
      </c>
      <c r="E357" s="666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68"/>
      <c r="R357" s="668"/>
      <c r="S357" s="668"/>
      <c r="T357" s="669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591</v>
      </c>
      <c r="B358" s="63" t="s">
        <v>592</v>
      </c>
      <c r="C358" s="36">
        <v>4301012325</v>
      </c>
      <c r="D358" s="666">
        <v>4680115887978</v>
      </c>
      <c r="E358" s="666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68"/>
      <c r="R358" s="668"/>
      <c r="S358" s="668"/>
      <c r="T358" s="669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594</v>
      </c>
      <c r="B359" s="63" t="s">
        <v>595</v>
      </c>
      <c r="C359" s="36">
        <v>4301012327</v>
      </c>
      <c r="D359" s="666">
        <v>4680115887992</v>
      </c>
      <c r="E359" s="666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68"/>
      <c r="R359" s="668"/>
      <c r="S359" s="668"/>
      <c r="T359" s="669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53" t="s">
        <v>40</v>
      </c>
      <c r="Q360" s="654"/>
      <c r="R360" s="654"/>
      <c r="S360" s="654"/>
      <c r="T360" s="654"/>
      <c r="U360" s="654"/>
      <c r="V360" s="655"/>
      <c r="W360" s="42" t="s">
        <v>39</v>
      </c>
      <c r="X360" s="43">
        <f>IFERROR(X357/H357,"0")+IFERROR(X358/H358,"0")+IFERROR(X359/H359,"0")</f>
        <v>0</v>
      </c>
      <c r="Y360" s="43">
        <f>IFERROR(Y357/H357,"0")+IFERROR(Y358/H358,"0")+IFERROR(Y359/H359,"0")</f>
        <v>0</v>
      </c>
      <c r="Z360" s="43">
        <f>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656"/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7"/>
      <c r="P361" s="653" t="s">
        <v>40</v>
      </c>
      <c r="Q361" s="654"/>
      <c r="R361" s="654"/>
      <c r="S361" s="654"/>
      <c r="T361" s="654"/>
      <c r="U361" s="654"/>
      <c r="V361" s="655"/>
      <c r="W361" s="42" t="s">
        <v>0</v>
      </c>
      <c r="X361" s="43">
        <f>IFERROR(SUM(X357:X359),"0")</f>
        <v>0</v>
      </c>
      <c r="Y361" s="43">
        <f>IFERROR(SUM(Y357:Y359),"0")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72" t="s">
        <v>597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5"/>
      <c r="AB362" s="65"/>
      <c r="AC362" s="79"/>
    </row>
    <row r="363" spans="1:68" ht="14.25" hidden="1" customHeight="1" x14ac:dyDescent="0.25">
      <c r="A363" s="665" t="s">
        <v>122</v>
      </c>
      <c r="B363" s="665"/>
      <c r="C363" s="665"/>
      <c r="D363" s="665"/>
      <c r="E363" s="665"/>
      <c r="F363" s="665"/>
      <c r="G363" s="665"/>
      <c r="H363" s="665"/>
      <c r="I363" s="665"/>
      <c r="J363" s="665"/>
      <c r="K363" s="665"/>
      <c r="L363" s="665"/>
      <c r="M363" s="665"/>
      <c r="N363" s="665"/>
      <c r="O363" s="665"/>
      <c r="P363" s="665"/>
      <c r="Q363" s="665"/>
      <c r="R363" s="665"/>
      <c r="S363" s="665"/>
      <c r="T363" s="665"/>
      <c r="U363" s="665"/>
      <c r="V363" s="665"/>
      <c r="W363" s="665"/>
      <c r="X363" s="665"/>
      <c r="Y363" s="665"/>
      <c r="Z363" s="665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4301012400</v>
      </c>
      <c r="D364" s="666">
        <v>4680115889880</v>
      </c>
      <c r="E364" s="666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68"/>
      <c r="R364" s="668"/>
      <c r="S364" s="668"/>
      <c r="T364" s="669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4301012360</v>
      </c>
      <c r="D365" s="666">
        <v>4680115889293</v>
      </c>
      <c r="E365" s="666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68"/>
      <c r="R365" s="668"/>
      <c r="S365" s="668"/>
      <c r="T365" s="669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4301012235</v>
      </c>
      <c r="D366" s="666">
        <v>4680115887190</v>
      </c>
      <c r="E366" s="666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8"/>
      <c r="R366" s="668"/>
      <c r="S366" s="668"/>
      <c r="T366" s="669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hidden="1" customHeight="1" x14ac:dyDescent="0.25">
      <c r="A367" s="63" t="s">
        <v>606</v>
      </c>
      <c r="B367" s="63" t="s">
        <v>607</v>
      </c>
      <c r="C367" s="36">
        <v>4301012233</v>
      </c>
      <c r="D367" s="666">
        <v>4680115887138</v>
      </c>
      <c r="E367" s="666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8"/>
      <c r="R367" s="668"/>
      <c r="S367" s="668"/>
      <c r="T367" s="669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4301012016</v>
      </c>
      <c r="D368" s="666">
        <v>4680115885554</v>
      </c>
      <c r="E368" s="666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8"/>
      <c r="R368" s="668"/>
      <c r="S368" s="668"/>
      <c r="T368" s="669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4301012236</v>
      </c>
      <c r="D369" s="666">
        <v>4680115887220</v>
      </c>
      <c r="E369" s="666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8"/>
      <c r="R369" s="668"/>
      <c r="S369" s="668"/>
      <c r="T369" s="669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4301011859</v>
      </c>
      <c r="D370" s="666">
        <v>4680115885608</v>
      </c>
      <c r="E370" s="666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8"/>
      <c r="R370" s="668"/>
      <c r="S370" s="668"/>
      <c r="T370" s="669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idden="1" x14ac:dyDescent="0.2">
      <c r="A371" s="656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3" t="s">
        <v>40</v>
      </c>
      <c r="Q371" s="654"/>
      <c r="R371" s="654"/>
      <c r="S371" s="654"/>
      <c r="T371" s="654"/>
      <c r="U371" s="654"/>
      <c r="V371" s="655"/>
      <c r="W371" s="42" t="s">
        <v>39</v>
      </c>
      <c r="X371" s="43">
        <f>IFERROR(X364/H364,"0")+IFERROR(X365/H365,"0")+IFERROR(X366/H366,"0")+IFERROR(X367/H367,"0")+IFERROR(X368/H368,"0")+IFERROR(X369/H369,"0")+IFERROR(X370/H370,"0")</f>
        <v>0</v>
      </c>
      <c r="Y371" s="43">
        <f>IFERROR(Y364/H364,"0")+IFERROR(Y365/H365,"0")+IFERROR(Y366/H366,"0")+IFERROR(Y367/H367,"0")+IFERROR(Y368/H368,"0")+IFERROR(Y369/H369,"0")+IFERROR(Y370/H370,"0")</f>
        <v>0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2" t="s">
        <v>0</v>
      </c>
      <c r="X372" s="43">
        <f>IFERROR(SUM(X364:X370),"0")</f>
        <v>0</v>
      </c>
      <c r="Y372" s="43">
        <f>IFERROR(SUM(Y364:Y370),"0")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665" t="s">
        <v>77</v>
      </c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"/>
      <c r="AB373" s="66"/>
      <c r="AC373" s="80"/>
    </row>
    <row r="374" spans="1:68" ht="27" hidden="1" customHeight="1" x14ac:dyDescent="0.25">
      <c r="A374" s="63" t="s">
        <v>617</v>
      </c>
      <c r="B374" s="63" t="s">
        <v>618</v>
      </c>
      <c r="C374" s="36">
        <v>4301030878</v>
      </c>
      <c r="D374" s="666">
        <v>4607091387193</v>
      </c>
      <c r="E374" s="666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8"/>
      <c r="R374" s="668"/>
      <c r="S374" s="668"/>
      <c r="T374" s="669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63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0</v>
      </c>
      <c r="BN374" s="78">
        <f t="shared" ref="BN374:BN380" si="65">IFERROR(Y374*I374/H374,"0")</f>
        <v>0</v>
      </c>
      <c r="BO374" s="78">
        <f t="shared" ref="BO374:BO380" si="66">IFERROR(1/J374*(X374/H374),"0")</f>
        <v>0</v>
      </c>
      <c r="BP374" s="78">
        <f t="shared" ref="BP374:BP380" si="67">IFERROR(1/J374*(Y374/H374),"0")</f>
        <v>0</v>
      </c>
    </row>
    <row r="375" spans="1:68" ht="27" hidden="1" customHeight="1" x14ac:dyDescent="0.25">
      <c r="A375" s="63" t="s">
        <v>620</v>
      </c>
      <c r="B375" s="63" t="s">
        <v>621</v>
      </c>
      <c r="C375" s="36">
        <v>4301031153</v>
      </c>
      <c r="D375" s="666">
        <v>4607091387230</v>
      </c>
      <c r="E375" s="666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8"/>
      <c r="R375" s="668"/>
      <c r="S375" s="668"/>
      <c r="T375" s="669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623</v>
      </c>
      <c r="B376" s="63" t="s">
        <v>624</v>
      </c>
      <c r="C376" s="36">
        <v>4301031154</v>
      </c>
      <c r="D376" s="666">
        <v>4607091387292</v>
      </c>
      <c r="E376" s="666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8"/>
      <c r="R376" s="668"/>
      <c r="S376" s="668"/>
      <c r="T376" s="669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4301031152</v>
      </c>
      <c r="D377" s="666">
        <v>4607091387285</v>
      </c>
      <c r="E377" s="666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8"/>
      <c r="R377" s="668"/>
      <c r="S377" s="668"/>
      <c r="T377" s="669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628</v>
      </c>
      <c r="B378" s="63" t="s">
        <v>629</v>
      </c>
      <c r="C378" s="36">
        <v>4301031305</v>
      </c>
      <c r="D378" s="666">
        <v>4607091389845</v>
      </c>
      <c r="E378" s="666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8"/>
      <c r="R378" s="668"/>
      <c r="S378" s="668"/>
      <c r="T378" s="669"/>
      <c r="U378" s="39" t="s">
        <v>46</v>
      </c>
      <c r="V378" s="39" t="s">
        <v>46</v>
      </c>
      <c r="W378" s="40" t="s">
        <v>0</v>
      </c>
      <c r="X378" s="58">
        <v>84</v>
      </c>
      <c r="Y378" s="55">
        <f t="shared" si="63"/>
        <v>84</v>
      </c>
      <c r="Z378" s="41">
        <f>IFERROR(IF(Y378=0,"",ROUNDUP(Y378/H378,0)*0.00502),"")</f>
        <v>0.20080000000000001</v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88</v>
      </c>
      <c r="BN378" s="78">
        <f t="shared" si="65"/>
        <v>88</v>
      </c>
      <c r="BO378" s="78">
        <f t="shared" si="66"/>
        <v>0.17094017094017094</v>
      </c>
      <c r="BP378" s="78">
        <f t="shared" si="67"/>
        <v>0.17094017094017094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4301031460</v>
      </c>
      <c r="D379" s="666">
        <v>4680115887442</v>
      </c>
      <c r="E379" s="66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8"/>
      <c r="R379" s="668"/>
      <c r="S379" s="668"/>
      <c r="T379" s="669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customHeight="1" x14ac:dyDescent="0.25">
      <c r="A380" s="63" t="s">
        <v>633</v>
      </c>
      <c r="B380" s="63" t="s">
        <v>634</v>
      </c>
      <c r="C380" s="36">
        <v>4301031066</v>
      </c>
      <c r="D380" s="666">
        <v>4607091383836</v>
      </c>
      <c r="E380" s="666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8"/>
      <c r="R380" s="668"/>
      <c r="S380" s="668"/>
      <c r="T380" s="669"/>
      <c r="U380" s="39" t="s">
        <v>46</v>
      </c>
      <c r="V380" s="39" t="s">
        <v>46</v>
      </c>
      <c r="W380" s="40" t="s">
        <v>0</v>
      </c>
      <c r="X380" s="58">
        <v>27</v>
      </c>
      <c r="Y380" s="55">
        <f t="shared" si="63"/>
        <v>27</v>
      </c>
      <c r="Z380" s="41">
        <f>IFERROR(IF(Y380=0,"",ROUNDUP(Y380/H380,0)*0.00651),"")</f>
        <v>9.7650000000000001E-2</v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30.419999999999998</v>
      </c>
      <c r="BN380" s="78">
        <f t="shared" si="65"/>
        <v>30.419999999999998</v>
      </c>
      <c r="BO380" s="78">
        <f t="shared" si="66"/>
        <v>8.241758241758243E-2</v>
      </c>
      <c r="BP380" s="78">
        <f t="shared" si="67"/>
        <v>8.241758241758243E-2</v>
      </c>
    </row>
    <row r="381" spans="1:68" x14ac:dyDescent="0.2">
      <c r="A381" s="656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3" t="s">
        <v>40</v>
      </c>
      <c r="Q381" s="654"/>
      <c r="R381" s="654"/>
      <c r="S381" s="654"/>
      <c r="T381" s="654"/>
      <c r="U381" s="654"/>
      <c r="V381" s="655"/>
      <c r="W381" s="42" t="s">
        <v>39</v>
      </c>
      <c r="X381" s="43">
        <f>IFERROR(X374/H374,"0")+IFERROR(X375/H375,"0")+IFERROR(X376/H376,"0")+IFERROR(X377/H377,"0")+IFERROR(X378/H378,"0")+IFERROR(X379/H379,"0")+IFERROR(X380/H380,"0")</f>
        <v>55</v>
      </c>
      <c r="Y381" s="43">
        <f>IFERROR(Y374/H374,"0")+IFERROR(Y375/H375,"0")+IFERROR(Y376/H376,"0")+IFERROR(Y377/H377,"0")+IFERROR(Y378/H378,"0")+IFERROR(Y379/H379,"0")+IFERROR(Y380/H380,"0")</f>
        <v>55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0.29844999999999999</v>
      </c>
      <c r="AA381" s="67"/>
      <c r="AB381" s="67"/>
      <c r="AC381" s="67"/>
    </row>
    <row r="382" spans="1:68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2" t="s">
        <v>0</v>
      </c>
      <c r="X382" s="43">
        <f>IFERROR(SUM(X374:X380),"0")</f>
        <v>111</v>
      </c>
      <c r="Y382" s="43">
        <f>IFERROR(SUM(Y374:Y380),"0")</f>
        <v>111</v>
      </c>
      <c r="Z382" s="42"/>
      <c r="AA382" s="67"/>
      <c r="AB382" s="67"/>
      <c r="AC382" s="67"/>
    </row>
    <row r="383" spans="1:68" ht="14.25" hidden="1" customHeight="1" x14ac:dyDescent="0.25">
      <c r="A383" s="665" t="s">
        <v>86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"/>
      <c r="AB383" s="66"/>
      <c r="AC383" s="80"/>
    </row>
    <row r="384" spans="1:68" ht="27" hidden="1" customHeight="1" x14ac:dyDescent="0.25">
      <c r="A384" s="63" t="s">
        <v>636</v>
      </c>
      <c r="B384" s="63" t="s">
        <v>637</v>
      </c>
      <c r="C384" s="36">
        <v>4301051100</v>
      </c>
      <c r="D384" s="666">
        <v>4607091387766</v>
      </c>
      <c r="E384" s="666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8"/>
      <c r="R384" s="668"/>
      <c r="S384" s="668"/>
      <c r="T384" s="669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639</v>
      </c>
      <c r="B385" s="63" t="s">
        <v>640</v>
      </c>
      <c r="C385" s="36">
        <v>4301051818</v>
      </c>
      <c r="D385" s="666">
        <v>4607091387957</v>
      </c>
      <c r="E385" s="666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8"/>
      <c r="R385" s="668"/>
      <c r="S385" s="668"/>
      <c r="T385" s="669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4301051819</v>
      </c>
      <c r="D386" s="666">
        <v>4607091387964</v>
      </c>
      <c r="E386" s="666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8"/>
      <c r="R386" s="668"/>
      <c r="S386" s="668"/>
      <c r="T386" s="669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4301051734</v>
      </c>
      <c r="D387" s="666">
        <v>4680115884588</v>
      </c>
      <c r="E387" s="666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8"/>
      <c r="R387" s="668"/>
      <c r="S387" s="668"/>
      <c r="T387" s="669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56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3" t="s">
        <v>40</v>
      </c>
      <c r="Q388" s="654"/>
      <c r="R388" s="654"/>
      <c r="S388" s="654"/>
      <c r="T388" s="654"/>
      <c r="U388" s="654"/>
      <c r="V388" s="655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65" t="s">
        <v>178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"/>
      <c r="AB390" s="66"/>
      <c r="AC390" s="80"/>
    </row>
    <row r="391" spans="1:68" ht="27" hidden="1" customHeight="1" x14ac:dyDescent="0.25">
      <c r="A391" s="63" t="s">
        <v>647</v>
      </c>
      <c r="B391" s="63" t="s">
        <v>648</v>
      </c>
      <c r="C391" s="36">
        <v>4301060387</v>
      </c>
      <c r="D391" s="666">
        <v>4607091380880</v>
      </c>
      <c r="E391" s="666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7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8"/>
      <c r="R391" s="668"/>
      <c r="S391" s="668"/>
      <c r="T391" s="669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650</v>
      </c>
      <c r="B392" s="63" t="s">
        <v>651</v>
      </c>
      <c r="C392" s="36">
        <v>4301060406</v>
      </c>
      <c r="D392" s="666">
        <v>4607091384482</v>
      </c>
      <c r="E392" s="666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8"/>
      <c r="R392" s="668"/>
      <c r="S392" s="668"/>
      <c r="T392" s="669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4301060484</v>
      </c>
      <c r="D393" s="666">
        <v>4607091380897</v>
      </c>
      <c r="E393" s="666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8"/>
      <c r="R393" s="668"/>
      <c r="S393" s="668"/>
      <c r="T393" s="669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656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3" t="s">
        <v>40</v>
      </c>
      <c r="Q394" s="654"/>
      <c r="R394" s="654"/>
      <c r="S394" s="654"/>
      <c r="T394" s="654"/>
      <c r="U394" s="654"/>
      <c r="V394" s="655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665" t="s">
        <v>277</v>
      </c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"/>
      <c r="AB396" s="66"/>
      <c r="AC396" s="80"/>
    </row>
    <row r="397" spans="1:68" ht="27" hidden="1" customHeight="1" x14ac:dyDescent="0.25">
      <c r="A397" s="63" t="s">
        <v>656</v>
      </c>
      <c r="B397" s="63" t="s">
        <v>657</v>
      </c>
      <c r="C397" s="36">
        <v>4301030235</v>
      </c>
      <c r="D397" s="666">
        <v>4607091388381</v>
      </c>
      <c r="E397" s="666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8"/>
      <c r="R397" s="668"/>
      <c r="S397" s="668"/>
      <c r="T397" s="669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4301030232</v>
      </c>
      <c r="D398" s="666">
        <v>4607091388374</v>
      </c>
      <c r="E398" s="666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8"/>
      <c r="R398" s="668"/>
      <c r="S398" s="668"/>
      <c r="T398" s="669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661</v>
      </c>
      <c r="B399" s="63" t="s">
        <v>662</v>
      </c>
      <c r="C399" s="36">
        <v>4301032015</v>
      </c>
      <c r="D399" s="666">
        <v>4607091383102</v>
      </c>
      <c r="E399" s="666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8"/>
      <c r="R399" s="668"/>
      <c r="S399" s="668"/>
      <c r="T399" s="669"/>
      <c r="U399" s="39" t="s">
        <v>46</v>
      </c>
      <c r="V399" s="39" t="s">
        <v>46</v>
      </c>
      <c r="W399" s="40" t="s">
        <v>0</v>
      </c>
      <c r="X399" s="58">
        <v>10.199999999999999</v>
      </c>
      <c r="Y399" s="55">
        <f>IFERROR(IF(X399="",0,CEILING((X399/$H399),1)*$H399),"")</f>
        <v>10.199999999999999</v>
      </c>
      <c r="Z399" s="41">
        <f>IFERROR(IF(Y399=0,"",ROUNDUP(Y399/H399,0)*0.00651),"")</f>
        <v>2.6040000000000001E-2</v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11.82</v>
      </c>
      <c r="BN399" s="78">
        <f>IFERROR(Y399*I399/H399,"0")</f>
        <v>11.82</v>
      </c>
      <c r="BO399" s="78">
        <f>IFERROR(1/J399*(X399/H399),"0")</f>
        <v>2.197802197802198E-2</v>
      </c>
      <c r="BP399" s="78">
        <f>IFERROR(1/J399*(Y399/H399),"0")</f>
        <v>2.197802197802198E-2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4301030233</v>
      </c>
      <c r="D400" s="666">
        <v>4607091388404</v>
      </c>
      <c r="E400" s="666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8"/>
      <c r="R400" s="668"/>
      <c r="S400" s="668"/>
      <c r="T400" s="669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656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3" t="s">
        <v>40</v>
      </c>
      <c r="Q401" s="654"/>
      <c r="R401" s="654"/>
      <c r="S401" s="654"/>
      <c r="T401" s="654"/>
      <c r="U401" s="654"/>
      <c r="V401" s="655"/>
      <c r="W401" s="42" t="s">
        <v>39</v>
      </c>
      <c r="X401" s="43">
        <f>IFERROR(X397/H397,"0")+IFERROR(X398/H398,"0")+IFERROR(X399/H399,"0")+IFERROR(X400/H400,"0")</f>
        <v>4</v>
      </c>
      <c r="Y401" s="43">
        <f>IFERROR(Y397/H397,"0")+IFERROR(Y398/H398,"0")+IFERROR(Y399/H399,"0")+IFERROR(Y400/H400,"0")</f>
        <v>4</v>
      </c>
      <c r="Z401" s="43">
        <f>IFERROR(IF(Z397="",0,Z397),"0")+IFERROR(IF(Z398="",0,Z398),"0")+IFERROR(IF(Z399="",0,Z399),"0")+IFERROR(IF(Z400="",0,Z400),"0")</f>
        <v>2.6040000000000001E-2</v>
      </c>
      <c r="AA401" s="67"/>
      <c r="AB401" s="67"/>
      <c r="AC401" s="67"/>
    </row>
    <row r="402" spans="1:68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2" t="s">
        <v>0</v>
      </c>
      <c r="X402" s="43">
        <f>IFERROR(SUM(X397:X400),"0")</f>
        <v>10.199999999999999</v>
      </c>
      <c r="Y402" s="43">
        <f>IFERROR(SUM(Y397:Y400),"0")</f>
        <v>10.199999999999999</v>
      </c>
      <c r="Z402" s="42"/>
      <c r="AA402" s="67"/>
      <c r="AB402" s="67"/>
      <c r="AC402" s="67"/>
    </row>
    <row r="403" spans="1:68" ht="14.25" hidden="1" customHeight="1" x14ac:dyDescent="0.25">
      <c r="A403" s="665" t="s">
        <v>665</v>
      </c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"/>
      <c r="AB403" s="66"/>
      <c r="AC403" s="80"/>
    </row>
    <row r="404" spans="1:68" ht="16.5" hidden="1" customHeight="1" x14ac:dyDescent="0.25">
      <c r="A404" s="63" t="s">
        <v>666</v>
      </c>
      <c r="B404" s="63" t="s">
        <v>667</v>
      </c>
      <c r="C404" s="36">
        <v>4301180007</v>
      </c>
      <c r="D404" s="666">
        <v>4680115881808</v>
      </c>
      <c r="E404" s="666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8"/>
      <c r="R404" s="668"/>
      <c r="S404" s="668"/>
      <c r="T404" s="669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670</v>
      </c>
      <c r="B405" s="63" t="s">
        <v>671</v>
      </c>
      <c r="C405" s="36">
        <v>4301180006</v>
      </c>
      <c r="D405" s="666">
        <v>4680115881822</v>
      </c>
      <c r="E405" s="666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8"/>
      <c r="R405" s="668"/>
      <c r="S405" s="668"/>
      <c r="T405" s="669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672</v>
      </c>
      <c r="B406" s="63" t="s">
        <v>673</v>
      </c>
      <c r="C406" s="36">
        <v>4301180001</v>
      </c>
      <c r="D406" s="666">
        <v>4680115880016</v>
      </c>
      <c r="E406" s="666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8"/>
      <c r="R406" s="668"/>
      <c r="S406" s="668"/>
      <c r="T406" s="669"/>
      <c r="U406" s="39" t="s">
        <v>46</v>
      </c>
      <c r="V406" s="39" t="s">
        <v>46</v>
      </c>
      <c r="W406" s="40" t="s">
        <v>0</v>
      </c>
      <c r="X406" s="58">
        <v>48</v>
      </c>
      <c r="Y406" s="55">
        <f>IFERROR(IF(X406="",0,CEILING((X406/$H406),1)*$H406),"")</f>
        <v>48</v>
      </c>
      <c r="Z406" s="41">
        <f>IFERROR(IF(Y406=0,"",ROUNDUP(Y406/H406,0)*0.00474),"")</f>
        <v>0.11376</v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53.760000000000005</v>
      </c>
      <c r="BN406" s="78">
        <f>IFERROR(Y406*I406/H406,"0")</f>
        <v>53.760000000000005</v>
      </c>
      <c r="BO406" s="78">
        <f>IFERROR(1/J406*(X406/H406),"0")</f>
        <v>0.10084033613445378</v>
      </c>
      <c r="BP406" s="78">
        <f>IFERROR(1/J406*(Y406/H406),"0")</f>
        <v>0.10084033613445378</v>
      </c>
    </row>
    <row r="407" spans="1:68" x14ac:dyDescent="0.2">
      <c r="A407" s="656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3" t="s">
        <v>40</v>
      </c>
      <c r="Q407" s="654"/>
      <c r="R407" s="654"/>
      <c r="S407" s="654"/>
      <c r="T407" s="654"/>
      <c r="U407" s="654"/>
      <c r="V407" s="655"/>
      <c r="W407" s="42" t="s">
        <v>39</v>
      </c>
      <c r="X407" s="43">
        <f>IFERROR(X404/H404,"0")+IFERROR(X405/H405,"0")+IFERROR(X406/H406,"0")</f>
        <v>24</v>
      </c>
      <c r="Y407" s="43">
        <f>IFERROR(Y404/H404,"0")+IFERROR(Y405/H405,"0")+IFERROR(Y406/H406,"0")</f>
        <v>24</v>
      </c>
      <c r="Z407" s="43">
        <f>IFERROR(IF(Z404="",0,Z404),"0")+IFERROR(IF(Z405="",0,Z405),"0")+IFERROR(IF(Z406="",0,Z406),"0")</f>
        <v>0.11376</v>
      </c>
      <c r="AA407" s="67"/>
      <c r="AB407" s="67"/>
      <c r="AC407" s="67"/>
    </row>
    <row r="408" spans="1:68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2" t="s">
        <v>0</v>
      </c>
      <c r="X408" s="43">
        <f>IFERROR(SUM(X404:X406),"0")</f>
        <v>48</v>
      </c>
      <c r="Y408" s="43">
        <f>IFERROR(SUM(Y404:Y406),"0")</f>
        <v>48</v>
      </c>
      <c r="Z408" s="42"/>
      <c r="AA408" s="67"/>
      <c r="AB408" s="67"/>
      <c r="AC408" s="67"/>
    </row>
    <row r="409" spans="1:68" ht="14.25" hidden="1" customHeight="1" x14ac:dyDescent="0.25">
      <c r="A409" s="665" t="s">
        <v>674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"/>
      <c r="AB409" s="66"/>
      <c r="AC409" s="80"/>
    </row>
    <row r="410" spans="1:68" ht="27" hidden="1" customHeight="1" x14ac:dyDescent="0.25">
      <c r="A410" s="63" t="s">
        <v>675</v>
      </c>
      <c r="B410" s="63" t="s">
        <v>676</v>
      </c>
      <c r="C410" s="36">
        <v>4301220003</v>
      </c>
      <c r="D410" s="666">
        <v>4680115888678</v>
      </c>
      <c r="E410" s="666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8"/>
      <c r="R410" s="668"/>
      <c r="S410" s="668"/>
      <c r="T410" s="669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678</v>
      </c>
      <c r="B411" s="63" t="s">
        <v>679</v>
      </c>
      <c r="C411" s="36">
        <v>4301220001</v>
      </c>
      <c r="D411" s="666">
        <v>4680115888654</v>
      </c>
      <c r="E411" s="666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8"/>
      <c r="R411" s="668"/>
      <c r="S411" s="668"/>
      <c r="T411" s="669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681</v>
      </c>
      <c r="B412" s="63" t="s">
        <v>682</v>
      </c>
      <c r="C412" s="36">
        <v>4301220002</v>
      </c>
      <c r="D412" s="666">
        <v>4680115888753</v>
      </c>
      <c r="E412" s="666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8"/>
      <c r="R412" s="668"/>
      <c r="S412" s="668"/>
      <c r="T412" s="669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56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3" t="s">
        <v>40</v>
      </c>
      <c r="Q413" s="654"/>
      <c r="R413" s="654"/>
      <c r="S413" s="654"/>
      <c r="T413" s="654"/>
      <c r="U413" s="654"/>
      <c r="V413" s="655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72" t="s">
        <v>683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"/>
      <c r="AB415" s="65"/>
      <c r="AC415" s="79"/>
    </row>
    <row r="416" spans="1:68" ht="14.25" hidden="1" customHeight="1" x14ac:dyDescent="0.25">
      <c r="A416" s="665" t="s">
        <v>86</v>
      </c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"/>
      <c r="AB416" s="66"/>
      <c r="AC416" s="80"/>
    </row>
    <row r="417" spans="1:68" ht="16.5" hidden="1" customHeight="1" x14ac:dyDescent="0.25">
      <c r="A417" s="63" t="s">
        <v>684</v>
      </c>
      <c r="B417" s="63" t="s">
        <v>685</v>
      </c>
      <c r="C417" s="36">
        <v>4301052235</v>
      </c>
      <c r="D417" s="666">
        <v>4680115889415</v>
      </c>
      <c r="E417" s="666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73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8"/>
      <c r="R417" s="668"/>
      <c r="S417" s="668"/>
      <c r="T417" s="669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687</v>
      </c>
      <c r="B418" s="63" t="s">
        <v>688</v>
      </c>
      <c r="C418" s="36">
        <v>4301052236</v>
      </c>
      <c r="D418" s="666">
        <v>4680115889422</v>
      </c>
      <c r="E418" s="666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8"/>
      <c r="R418" s="668"/>
      <c r="S418" s="668"/>
      <c r="T418" s="669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656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3" t="s">
        <v>40</v>
      </c>
      <c r="Q419" s="654"/>
      <c r="R419" s="654"/>
      <c r="S419" s="654"/>
      <c r="T419" s="654"/>
      <c r="U419" s="654"/>
      <c r="V419" s="655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672" t="s">
        <v>690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5"/>
      <c r="AB421" s="65"/>
      <c r="AC421" s="79"/>
    </row>
    <row r="422" spans="1:68" ht="14.25" hidden="1" customHeight="1" x14ac:dyDescent="0.25">
      <c r="A422" s="665" t="s">
        <v>86</v>
      </c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"/>
      <c r="AB422" s="66"/>
      <c r="AC422" s="80"/>
    </row>
    <row r="423" spans="1:68" ht="27" hidden="1" customHeight="1" x14ac:dyDescent="0.25">
      <c r="A423" s="63" t="s">
        <v>691</v>
      </c>
      <c r="B423" s="63" t="s">
        <v>692</v>
      </c>
      <c r="C423" s="36">
        <v>4301051489</v>
      </c>
      <c r="D423" s="666">
        <v>4607091387919</v>
      </c>
      <c r="E423" s="666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8"/>
      <c r="R423" s="668"/>
      <c r="S423" s="668"/>
      <c r="T423" s="669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customHeight="1" x14ac:dyDescent="0.25">
      <c r="A424" s="63" t="s">
        <v>694</v>
      </c>
      <c r="B424" s="63" t="s">
        <v>695</v>
      </c>
      <c r="C424" s="36">
        <v>4301051461</v>
      </c>
      <c r="D424" s="666">
        <v>4680115883604</v>
      </c>
      <c r="E424" s="666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8"/>
      <c r="R424" s="668"/>
      <c r="S424" s="668"/>
      <c r="T424" s="669"/>
      <c r="U424" s="39" t="s">
        <v>46</v>
      </c>
      <c r="V424" s="39" t="s">
        <v>46</v>
      </c>
      <c r="W424" s="40" t="s">
        <v>0</v>
      </c>
      <c r="X424" s="58">
        <v>42</v>
      </c>
      <c r="Y424" s="55">
        <f>IFERROR(IF(X424="",0,CEILING((X424/$H424),1)*$H424),"")</f>
        <v>42</v>
      </c>
      <c r="Z424" s="41">
        <f>IFERROR(IF(Y424=0,"",ROUNDUP(Y424/H424,0)*0.00651),"")</f>
        <v>0.13020000000000001</v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47.039999999999992</v>
      </c>
      <c r="BN424" s="78">
        <f>IFERROR(Y424*I424/H424,"0")</f>
        <v>47.039999999999992</v>
      </c>
      <c r="BO424" s="78">
        <f>IFERROR(1/J424*(X424/H424),"0")</f>
        <v>0.1098901098901099</v>
      </c>
      <c r="BP424" s="78">
        <f>IFERROR(1/J424*(Y424/H424),"0")</f>
        <v>0.1098901098901099</v>
      </c>
    </row>
    <row r="425" spans="1:68" ht="27" hidden="1" customHeight="1" x14ac:dyDescent="0.25">
      <c r="A425" s="63" t="s">
        <v>697</v>
      </c>
      <c r="B425" s="63" t="s">
        <v>698</v>
      </c>
      <c r="C425" s="36">
        <v>4301051864</v>
      </c>
      <c r="D425" s="666">
        <v>4680115883567</v>
      </c>
      <c r="E425" s="666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7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8"/>
      <c r="R425" s="668"/>
      <c r="S425" s="668"/>
      <c r="T425" s="669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56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3" t="s">
        <v>40</v>
      </c>
      <c r="Q426" s="654"/>
      <c r="R426" s="654"/>
      <c r="S426" s="654"/>
      <c r="T426" s="654"/>
      <c r="U426" s="654"/>
      <c r="V426" s="655"/>
      <c r="W426" s="42" t="s">
        <v>39</v>
      </c>
      <c r="X426" s="43">
        <f>IFERROR(X423/H423,"0")+IFERROR(X424/H424,"0")+IFERROR(X425/H425,"0")</f>
        <v>20</v>
      </c>
      <c r="Y426" s="43">
        <f>IFERROR(Y423/H423,"0")+IFERROR(Y424/H424,"0")+IFERROR(Y425/H425,"0")</f>
        <v>20</v>
      </c>
      <c r="Z426" s="43">
        <f>IFERROR(IF(Z423="",0,Z423),"0")+IFERROR(IF(Z424="",0,Z424),"0")+IFERROR(IF(Z425="",0,Z425),"0")</f>
        <v>0.13020000000000001</v>
      </c>
      <c r="AA426" s="67"/>
      <c r="AB426" s="67"/>
      <c r="AC426" s="67"/>
    </row>
    <row r="427" spans="1:68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2" t="s">
        <v>0</v>
      </c>
      <c r="X427" s="43">
        <f>IFERROR(SUM(X423:X425),"0")</f>
        <v>42</v>
      </c>
      <c r="Y427" s="43">
        <f>IFERROR(SUM(Y423:Y425),"0")</f>
        <v>42</v>
      </c>
      <c r="Z427" s="42"/>
      <c r="AA427" s="67"/>
      <c r="AB427" s="67"/>
      <c r="AC427" s="67"/>
    </row>
    <row r="428" spans="1:68" ht="27.75" hidden="1" customHeight="1" x14ac:dyDescent="0.2">
      <c r="A428" s="683" t="s">
        <v>700</v>
      </c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54"/>
      <c r="AB428" s="54"/>
      <c r="AC428" s="54"/>
    </row>
    <row r="429" spans="1:68" ht="16.5" hidden="1" customHeight="1" x14ac:dyDescent="0.25">
      <c r="A429" s="672" t="s">
        <v>701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"/>
      <c r="AB429" s="65"/>
      <c r="AC429" s="79"/>
    </row>
    <row r="430" spans="1:68" ht="14.25" hidden="1" customHeight="1" x14ac:dyDescent="0.25">
      <c r="A430" s="665" t="s">
        <v>122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4301012332</v>
      </c>
      <c r="D431" s="666">
        <v>4680115888401</v>
      </c>
      <c r="E431" s="666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8"/>
      <c r="R431" s="668"/>
      <c r="S431" s="668"/>
      <c r="T431" s="669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8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0</v>
      </c>
      <c r="BN431" s="78">
        <f t="shared" ref="BN431:BN438" si="70">IFERROR(Y431*I431/H431,"0")</f>
        <v>0</v>
      </c>
      <c r="BO431" s="78">
        <f t="shared" ref="BO431:BO438" si="71">IFERROR(1/J431*(X431/H431),"0")</f>
        <v>0</v>
      </c>
      <c r="BP431" s="78">
        <f t="shared" ref="BP431:BP438" si="72">IFERROR(1/J431*(Y431/H431),"0")</f>
        <v>0</v>
      </c>
    </row>
    <row r="432" spans="1:68" ht="37.5" hidden="1" customHeight="1" x14ac:dyDescent="0.25">
      <c r="A432" s="63" t="s">
        <v>705</v>
      </c>
      <c r="B432" s="63" t="s">
        <v>706</v>
      </c>
      <c r="C432" s="36">
        <v>4301011869</v>
      </c>
      <c r="D432" s="666">
        <v>4680115884847</v>
      </c>
      <c r="E432" s="666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8"/>
      <c r="R432" s="668"/>
      <c r="S432" s="668"/>
      <c r="T432" s="669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4301012083</v>
      </c>
      <c r="D433" s="666">
        <v>4680115884854</v>
      </c>
      <c r="E433" s="666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8"/>
      <c r="R433" s="668"/>
      <c r="S433" s="668"/>
      <c r="T433" s="669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711</v>
      </c>
      <c r="B434" s="63" t="s">
        <v>712</v>
      </c>
      <c r="C434" s="36">
        <v>4301011867</v>
      </c>
      <c r="D434" s="666">
        <v>4680115884830</v>
      </c>
      <c r="E434" s="666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8"/>
      <c r="R434" s="668"/>
      <c r="S434" s="668"/>
      <c r="T434" s="669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4301012356</v>
      </c>
      <c r="D435" s="666">
        <v>4680115889231</v>
      </c>
      <c r="E435" s="666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8"/>
      <c r="R435" s="668"/>
      <c r="S435" s="668"/>
      <c r="T435" s="669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4301011433</v>
      </c>
      <c r="D436" s="666">
        <v>4680115882638</v>
      </c>
      <c r="E436" s="666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72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8"/>
      <c r="R436" s="668"/>
      <c r="S436" s="668"/>
      <c r="T436" s="669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4301011952</v>
      </c>
      <c r="D437" s="666">
        <v>4680115884922</v>
      </c>
      <c r="E437" s="666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8"/>
      <c r="R437" s="668"/>
      <c r="S437" s="668"/>
      <c r="T437" s="669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customHeight="1" x14ac:dyDescent="0.25">
      <c r="A438" s="63" t="s">
        <v>723</v>
      </c>
      <c r="B438" s="63" t="s">
        <v>724</v>
      </c>
      <c r="C438" s="36">
        <v>4301011868</v>
      </c>
      <c r="D438" s="666">
        <v>4680115884861</v>
      </c>
      <c r="E438" s="666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8"/>
      <c r="R438" s="668"/>
      <c r="S438" s="668"/>
      <c r="T438" s="669"/>
      <c r="U438" s="39" t="s">
        <v>46</v>
      </c>
      <c r="V438" s="39" t="s">
        <v>46</v>
      </c>
      <c r="W438" s="40" t="s">
        <v>0</v>
      </c>
      <c r="X438" s="58">
        <v>60</v>
      </c>
      <c r="Y438" s="55">
        <f t="shared" si="68"/>
        <v>60</v>
      </c>
      <c r="Z438" s="41">
        <f>IFERROR(IF(Y438=0,"",ROUNDUP(Y438/H438,0)*0.00902),"")</f>
        <v>0.10824</v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62.280000000000008</v>
      </c>
      <c r="BN438" s="78">
        <f t="shared" si="70"/>
        <v>62.280000000000008</v>
      </c>
      <c r="BO438" s="78">
        <f t="shared" si="71"/>
        <v>9.0909090909090912E-2</v>
      </c>
      <c r="BP438" s="78">
        <f t="shared" si="72"/>
        <v>9.0909090909090912E-2</v>
      </c>
    </row>
    <row r="439" spans="1:68" x14ac:dyDescent="0.2">
      <c r="A439" s="656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3" t="s">
        <v>40</v>
      </c>
      <c r="Q439" s="654"/>
      <c r="R439" s="654"/>
      <c r="S439" s="654"/>
      <c r="T439" s="654"/>
      <c r="U439" s="654"/>
      <c r="V439" s="655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12</v>
      </c>
      <c r="Y439" s="43">
        <f>IFERROR(Y431/H431,"0")+IFERROR(Y432/H432,"0")+IFERROR(Y433/H433,"0")+IFERROR(Y434/H434,"0")+IFERROR(Y435/H435,"0")+IFERROR(Y436/H436,"0")+IFERROR(Y437/H437,"0")+IFERROR(Y438/H438,"0")</f>
        <v>12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0.10824</v>
      </c>
      <c r="AA439" s="67"/>
      <c r="AB439" s="67"/>
      <c r="AC439" s="67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2" t="s">
        <v>0</v>
      </c>
      <c r="X440" s="43">
        <f>IFERROR(SUM(X431:X438),"0")</f>
        <v>60</v>
      </c>
      <c r="Y440" s="43">
        <f>IFERROR(SUM(Y431:Y438),"0")</f>
        <v>60</v>
      </c>
      <c r="Z440" s="42"/>
      <c r="AA440" s="67"/>
      <c r="AB440" s="67"/>
      <c r="AC440" s="67"/>
    </row>
    <row r="441" spans="1:68" ht="14.25" hidden="1" customHeight="1" x14ac:dyDescent="0.25">
      <c r="A441" s="665" t="s">
        <v>159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"/>
      <c r="AB441" s="66"/>
      <c r="AC441" s="80"/>
    </row>
    <row r="442" spans="1:68" ht="27" hidden="1" customHeight="1" x14ac:dyDescent="0.25">
      <c r="A442" s="63" t="s">
        <v>726</v>
      </c>
      <c r="B442" s="63" t="s">
        <v>727</v>
      </c>
      <c r="C442" s="36">
        <v>4301020178</v>
      </c>
      <c r="D442" s="666">
        <v>4607091383980</v>
      </c>
      <c r="E442" s="666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7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8"/>
      <c r="R442" s="668"/>
      <c r="S442" s="668"/>
      <c r="T442" s="669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729</v>
      </c>
      <c r="B443" s="63" t="s">
        <v>730</v>
      </c>
      <c r="C443" s="36">
        <v>4301020355</v>
      </c>
      <c r="D443" s="666">
        <v>4680115888425</v>
      </c>
      <c r="E443" s="666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2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8"/>
      <c r="R443" s="668"/>
      <c r="S443" s="668"/>
      <c r="T443" s="669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732</v>
      </c>
      <c r="B444" s="63" t="s">
        <v>733</v>
      </c>
      <c r="C444" s="36">
        <v>4301020179</v>
      </c>
      <c r="D444" s="666">
        <v>4607091384178</v>
      </c>
      <c r="E444" s="666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8"/>
      <c r="R444" s="668"/>
      <c r="S444" s="668"/>
      <c r="T444" s="669"/>
      <c r="U444" s="39" t="s">
        <v>46</v>
      </c>
      <c r="V444" s="39" t="s">
        <v>46</v>
      </c>
      <c r="W444" s="40" t="s">
        <v>0</v>
      </c>
      <c r="X444" s="58">
        <v>36</v>
      </c>
      <c r="Y444" s="55">
        <f>IFERROR(IF(X444="",0,CEILING((X444/$H444),1)*$H444),"")</f>
        <v>36</v>
      </c>
      <c r="Z444" s="41">
        <f>IFERROR(IF(Y444=0,"",ROUNDUP(Y444/H444,0)*0.00902),"")</f>
        <v>8.1180000000000002E-2</v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37.71</v>
      </c>
      <c r="BN444" s="78">
        <f>IFERROR(Y444*I444/H444,"0")</f>
        <v>37.71</v>
      </c>
      <c r="BO444" s="78">
        <f>IFERROR(1/J444*(X444/H444),"0")</f>
        <v>6.8181818181818177E-2</v>
      </c>
      <c r="BP444" s="78">
        <f>IFERROR(1/J444*(Y444/H444),"0")</f>
        <v>6.8181818181818177E-2</v>
      </c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39</v>
      </c>
      <c r="X445" s="43">
        <f>IFERROR(X442/H442,"0")+IFERROR(X443/H443,"0")+IFERROR(X444/H444,"0")</f>
        <v>9</v>
      </c>
      <c r="Y445" s="43">
        <f>IFERROR(Y442/H442,"0")+IFERROR(Y443/H443,"0")+IFERROR(Y444/H444,"0")</f>
        <v>9</v>
      </c>
      <c r="Z445" s="43">
        <f>IFERROR(IF(Z442="",0,Z442),"0")+IFERROR(IF(Z443="",0,Z443),"0")+IFERROR(IF(Z444="",0,Z444),"0")</f>
        <v>8.1180000000000002E-2</v>
      </c>
      <c r="AA445" s="67"/>
      <c r="AB445" s="67"/>
      <c r="AC445" s="67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2" t="s">
        <v>0</v>
      </c>
      <c r="X446" s="43">
        <f>IFERROR(SUM(X442:X444),"0")</f>
        <v>36</v>
      </c>
      <c r="Y446" s="43">
        <f>IFERROR(SUM(Y442:Y444),"0")</f>
        <v>36</v>
      </c>
      <c r="Z446" s="42"/>
      <c r="AA446" s="67"/>
      <c r="AB446" s="67"/>
      <c r="AC446" s="67"/>
    </row>
    <row r="447" spans="1:68" ht="14.25" hidden="1" customHeight="1" x14ac:dyDescent="0.25">
      <c r="A447" s="665" t="s">
        <v>86</v>
      </c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"/>
      <c r="AB447" s="66"/>
      <c r="AC447" s="80"/>
    </row>
    <row r="448" spans="1:68" ht="27" hidden="1" customHeight="1" x14ac:dyDescent="0.25">
      <c r="A448" s="63" t="s">
        <v>735</v>
      </c>
      <c r="B448" s="63" t="s">
        <v>736</v>
      </c>
      <c r="C448" s="36">
        <v>4301051903</v>
      </c>
      <c r="D448" s="666">
        <v>4607091383928</v>
      </c>
      <c r="E448" s="666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71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8"/>
      <c r="R448" s="668"/>
      <c r="S448" s="668"/>
      <c r="T448" s="669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738</v>
      </c>
      <c r="B449" s="63" t="s">
        <v>739</v>
      </c>
      <c r="C449" s="36">
        <v>4301051897</v>
      </c>
      <c r="D449" s="666">
        <v>4607091384260</v>
      </c>
      <c r="E449" s="666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8"/>
      <c r="R449" s="668"/>
      <c r="S449" s="668"/>
      <c r="T449" s="669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741</v>
      </c>
      <c r="B450" s="63" t="s">
        <v>742</v>
      </c>
      <c r="C450" s="36">
        <v>4301052220</v>
      </c>
      <c r="D450" s="666">
        <v>4680115889538</v>
      </c>
      <c r="E450" s="666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71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8"/>
      <c r="R450" s="668"/>
      <c r="S450" s="668"/>
      <c r="T450" s="669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65" t="s">
        <v>178</v>
      </c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"/>
      <c r="AB453" s="66"/>
      <c r="AC453" s="80"/>
    </row>
    <row r="454" spans="1:68" ht="27" hidden="1" customHeight="1" x14ac:dyDescent="0.25">
      <c r="A454" s="63" t="s">
        <v>744</v>
      </c>
      <c r="B454" s="63" t="s">
        <v>745</v>
      </c>
      <c r="C454" s="36">
        <v>4301060537</v>
      </c>
      <c r="D454" s="666">
        <v>4680115889545</v>
      </c>
      <c r="E454" s="666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8"/>
      <c r="R454" s="668"/>
      <c r="S454" s="668"/>
      <c r="T454" s="669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747</v>
      </c>
      <c r="B455" s="63" t="s">
        <v>748</v>
      </c>
      <c r="C455" s="36">
        <v>4301060524</v>
      </c>
      <c r="D455" s="666">
        <v>4607091384673</v>
      </c>
      <c r="E455" s="666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8"/>
      <c r="R455" s="668"/>
      <c r="S455" s="668"/>
      <c r="T455" s="669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672" t="s">
        <v>750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5"/>
      <c r="AB458" s="65"/>
      <c r="AC458" s="79"/>
    </row>
    <row r="459" spans="1:68" ht="14.25" hidden="1" customHeight="1" x14ac:dyDescent="0.25">
      <c r="A459" s="665" t="s">
        <v>122</v>
      </c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"/>
      <c r="AB459" s="66"/>
      <c r="AC459" s="80"/>
    </row>
    <row r="460" spans="1:68" ht="27" hidden="1" customHeight="1" x14ac:dyDescent="0.25">
      <c r="A460" s="63" t="s">
        <v>751</v>
      </c>
      <c r="B460" s="63" t="s">
        <v>752</v>
      </c>
      <c r="C460" s="36">
        <v>4301011875</v>
      </c>
      <c r="D460" s="666">
        <v>4680115884885</v>
      </c>
      <c r="E460" s="666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8"/>
      <c r="R460" s="668"/>
      <c r="S460" s="668"/>
      <c r="T460" s="669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754</v>
      </c>
      <c r="B461" s="63" t="s">
        <v>755</v>
      </c>
      <c r="C461" s="36">
        <v>4301011871</v>
      </c>
      <c r="D461" s="666">
        <v>4680115884908</v>
      </c>
      <c r="E461" s="666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8"/>
      <c r="R461" s="668"/>
      <c r="S461" s="668"/>
      <c r="T461" s="669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5" t="s">
        <v>77</v>
      </c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"/>
      <c r="AB464" s="66"/>
      <c r="AC464" s="80"/>
    </row>
    <row r="465" spans="1:68" ht="27" hidden="1" customHeight="1" x14ac:dyDescent="0.25">
      <c r="A465" s="63" t="s">
        <v>756</v>
      </c>
      <c r="B465" s="63" t="s">
        <v>757</v>
      </c>
      <c r="C465" s="36">
        <v>4301031457</v>
      </c>
      <c r="D465" s="666">
        <v>4607091384802</v>
      </c>
      <c r="E465" s="666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8"/>
      <c r="R465" s="668"/>
      <c r="S465" s="668"/>
      <c r="T465" s="669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56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3" t="s">
        <v>40</v>
      </c>
      <c r="Q466" s="654"/>
      <c r="R466" s="654"/>
      <c r="S466" s="654"/>
      <c r="T466" s="654"/>
      <c r="U466" s="654"/>
      <c r="V466" s="65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65" t="s">
        <v>86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"/>
      <c r="AB468" s="66"/>
      <c r="AC468" s="80"/>
    </row>
    <row r="469" spans="1:68" ht="27" hidden="1" customHeight="1" x14ac:dyDescent="0.25">
      <c r="A469" s="63" t="s">
        <v>759</v>
      </c>
      <c r="B469" s="63" t="s">
        <v>760</v>
      </c>
      <c r="C469" s="36">
        <v>4301051899</v>
      </c>
      <c r="D469" s="666">
        <v>4607091384246</v>
      </c>
      <c r="E469" s="666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8"/>
      <c r="R469" s="668"/>
      <c r="S469" s="668"/>
      <c r="T469" s="669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762</v>
      </c>
      <c r="B470" s="63" t="s">
        <v>763</v>
      </c>
      <c r="C470" s="36">
        <v>4301051660</v>
      </c>
      <c r="D470" s="666">
        <v>4607091384253</v>
      </c>
      <c r="E470" s="666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8"/>
      <c r="R470" s="668"/>
      <c r="S470" s="668"/>
      <c r="T470" s="669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762</v>
      </c>
      <c r="B471" s="63" t="s">
        <v>764</v>
      </c>
      <c r="C471" s="36">
        <v>4301052069</v>
      </c>
      <c r="D471" s="666">
        <v>4607091384253</v>
      </c>
      <c r="E471" s="666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8"/>
      <c r="R471" s="668"/>
      <c r="S471" s="668"/>
      <c r="T471" s="669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683" t="s">
        <v>766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54"/>
      <c r="AB474" s="54"/>
      <c r="AC474" s="54"/>
    </row>
    <row r="475" spans="1:68" ht="16.5" hidden="1" customHeight="1" x14ac:dyDescent="0.25">
      <c r="A475" s="672" t="s">
        <v>767</v>
      </c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72"/>
      <c r="P475" s="672"/>
      <c r="Q475" s="672"/>
      <c r="R475" s="672"/>
      <c r="S475" s="672"/>
      <c r="T475" s="672"/>
      <c r="U475" s="672"/>
      <c r="V475" s="672"/>
      <c r="W475" s="672"/>
      <c r="X475" s="672"/>
      <c r="Y475" s="672"/>
      <c r="Z475" s="672"/>
      <c r="AA475" s="65"/>
      <c r="AB475" s="65"/>
      <c r="AC475" s="79"/>
    </row>
    <row r="476" spans="1:68" ht="14.25" hidden="1" customHeight="1" x14ac:dyDescent="0.25">
      <c r="A476" s="665" t="s">
        <v>77</v>
      </c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"/>
      <c r="AB476" s="66"/>
      <c r="AC476" s="80"/>
    </row>
    <row r="477" spans="1:68" ht="27" hidden="1" customHeight="1" x14ac:dyDescent="0.25">
      <c r="A477" s="63" t="s">
        <v>768</v>
      </c>
      <c r="B477" s="63" t="s">
        <v>769</v>
      </c>
      <c r="C477" s="36">
        <v>4301031405</v>
      </c>
      <c r="D477" s="666">
        <v>4680115886100</v>
      </c>
      <c r="E477" s="666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8"/>
      <c r="R477" s="668"/>
      <c r="S477" s="668"/>
      <c r="T477" s="669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73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0</v>
      </c>
      <c r="BN477" s="78">
        <f t="shared" ref="BN477:BN482" si="75">IFERROR(Y477*I477/H477,"0")</f>
        <v>0</v>
      </c>
      <c r="BO477" s="78">
        <f t="shared" ref="BO477:BO482" si="76">IFERROR(1/J477*(X477/H477),"0")</f>
        <v>0</v>
      </c>
      <c r="BP477" s="78">
        <f t="shared" ref="BP477:BP482" si="77">IFERROR(1/J477*(Y477/H477),"0")</f>
        <v>0</v>
      </c>
    </row>
    <row r="478" spans="1:68" ht="27" hidden="1" customHeight="1" x14ac:dyDescent="0.25">
      <c r="A478" s="63" t="s">
        <v>771</v>
      </c>
      <c r="B478" s="63" t="s">
        <v>772</v>
      </c>
      <c r="C478" s="36">
        <v>4301031402</v>
      </c>
      <c r="D478" s="666">
        <v>4680115886124</v>
      </c>
      <c r="E478" s="666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8"/>
      <c r="R478" s="668"/>
      <c r="S478" s="668"/>
      <c r="T478" s="669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customHeight="1" x14ac:dyDescent="0.25">
      <c r="A479" s="63" t="s">
        <v>774</v>
      </c>
      <c r="B479" s="63" t="s">
        <v>775</v>
      </c>
      <c r="C479" s="36">
        <v>4301031362</v>
      </c>
      <c r="D479" s="666">
        <v>4607091384338</v>
      </c>
      <c r="E479" s="666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8"/>
      <c r="R479" s="668"/>
      <c r="S479" s="668"/>
      <c r="T479" s="669"/>
      <c r="U479" s="39" t="s">
        <v>46</v>
      </c>
      <c r="V479" s="39" t="s">
        <v>46</v>
      </c>
      <c r="W479" s="40" t="s">
        <v>0</v>
      </c>
      <c r="X479" s="58">
        <v>31.5</v>
      </c>
      <c r="Y479" s="55">
        <f t="shared" si="73"/>
        <v>31.5</v>
      </c>
      <c r="Z479" s="41">
        <f>IFERROR(IF(Y479=0,"",ROUNDUP(Y479/H479,0)*0.00502),"")</f>
        <v>7.5300000000000006E-2</v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33.450000000000003</v>
      </c>
      <c r="BN479" s="78">
        <f t="shared" si="75"/>
        <v>33.450000000000003</v>
      </c>
      <c r="BO479" s="78">
        <f t="shared" si="76"/>
        <v>6.4102564102564111E-2</v>
      </c>
      <c r="BP479" s="78">
        <f t="shared" si="77"/>
        <v>6.4102564102564111E-2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4301031364</v>
      </c>
      <c r="D480" s="666">
        <v>4680115883161</v>
      </c>
      <c r="E480" s="666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8"/>
      <c r="R480" s="668"/>
      <c r="S480" s="668"/>
      <c r="T480" s="669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customHeight="1" x14ac:dyDescent="0.25">
      <c r="A481" s="63" t="s">
        <v>779</v>
      </c>
      <c r="B481" s="63" t="s">
        <v>780</v>
      </c>
      <c r="C481" s="36">
        <v>4301031358</v>
      </c>
      <c r="D481" s="666">
        <v>4607091389531</v>
      </c>
      <c r="E481" s="666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8"/>
      <c r="R481" s="668"/>
      <c r="S481" s="668"/>
      <c r="T481" s="669"/>
      <c r="U481" s="39" t="s">
        <v>46</v>
      </c>
      <c r="V481" s="39" t="s">
        <v>46</v>
      </c>
      <c r="W481" s="40" t="s">
        <v>0</v>
      </c>
      <c r="X481" s="58">
        <v>31.5</v>
      </c>
      <c r="Y481" s="55">
        <f t="shared" si="73"/>
        <v>31.5</v>
      </c>
      <c r="Z481" s="41">
        <f>IFERROR(IF(Y481=0,"",ROUNDUP(Y481/H481,0)*0.00502),"")</f>
        <v>7.5300000000000006E-2</v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33.450000000000003</v>
      </c>
      <c r="BN481" s="78">
        <f t="shared" si="75"/>
        <v>33.450000000000003</v>
      </c>
      <c r="BO481" s="78">
        <f t="shared" si="76"/>
        <v>6.4102564102564111E-2</v>
      </c>
      <c r="BP481" s="78">
        <f t="shared" si="77"/>
        <v>6.4102564102564111E-2</v>
      </c>
    </row>
    <row r="482" spans="1:68" ht="37.5" customHeight="1" x14ac:dyDescent="0.25">
      <c r="A482" s="63" t="s">
        <v>782</v>
      </c>
      <c r="B482" s="63" t="s">
        <v>783</v>
      </c>
      <c r="C482" s="36">
        <v>4301031360</v>
      </c>
      <c r="D482" s="666">
        <v>4607091384345</v>
      </c>
      <c r="E482" s="666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8"/>
      <c r="R482" s="668"/>
      <c r="S482" s="668"/>
      <c r="T482" s="669"/>
      <c r="U482" s="39" t="s">
        <v>46</v>
      </c>
      <c r="V482" s="39" t="s">
        <v>46</v>
      </c>
      <c r="W482" s="40" t="s">
        <v>0</v>
      </c>
      <c r="X482" s="58">
        <v>42</v>
      </c>
      <c r="Y482" s="55">
        <f t="shared" si="73"/>
        <v>42</v>
      </c>
      <c r="Z482" s="41">
        <f>IFERROR(IF(Y482=0,"",ROUNDUP(Y482/H482,0)*0.00502),"")</f>
        <v>0.1004</v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44.599999999999994</v>
      </c>
      <c r="BN482" s="78">
        <f t="shared" si="75"/>
        <v>44.599999999999994</v>
      </c>
      <c r="BO482" s="78">
        <f t="shared" si="76"/>
        <v>8.5470085470085472E-2</v>
      </c>
      <c r="BP482" s="78">
        <f t="shared" si="77"/>
        <v>8.5470085470085472E-2</v>
      </c>
    </row>
    <row r="483" spans="1:68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2" t="s">
        <v>39</v>
      </c>
      <c r="X483" s="43">
        <f>IFERROR(X477/H477,"0")+IFERROR(X478/H478,"0")+IFERROR(X479/H479,"0")+IFERROR(X480/H480,"0")+IFERROR(X481/H481,"0")+IFERROR(X482/H482,"0")</f>
        <v>50</v>
      </c>
      <c r="Y483" s="43">
        <f>IFERROR(Y477/H477,"0")+IFERROR(Y478/H478,"0")+IFERROR(Y479/H479,"0")+IFERROR(Y480/H480,"0")+IFERROR(Y481/H481,"0")+IFERROR(Y482/H482,"0")</f>
        <v>50</v>
      </c>
      <c r="Z483" s="43">
        <f>IFERROR(IF(Z477="",0,Z477),"0")+IFERROR(IF(Z478="",0,Z478),"0")+IFERROR(IF(Z479="",0,Z479),"0")+IFERROR(IF(Z480="",0,Z480),"0")+IFERROR(IF(Z481="",0,Z481),"0")+IFERROR(IF(Z482="",0,Z482),"0")</f>
        <v>0.251</v>
      </c>
      <c r="AA483" s="67"/>
      <c r="AB483" s="67"/>
      <c r="AC483" s="67"/>
    </row>
    <row r="484" spans="1:68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2" t="s">
        <v>0</v>
      </c>
      <c r="X484" s="43">
        <f>IFERROR(SUM(X477:X482),"0")</f>
        <v>105</v>
      </c>
      <c r="Y484" s="43">
        <f>IFERROR(SUM(Y477:Y482),"0")</f>
        <v>105</v>
      </c>
      <c r="Z484" s="42"/>
      <c r="AA484" s="67"/>
      <c r="AB484" s="67"/>
      <c r="AC484" s="67"/>
    </row>
    <row r="485" spans="1:68" ht="14.25" hidden="1" customHeight="1" x14ac:dyDescent="0.25">
      <c r="A485" s="665" t="s">
        <v>86</v>
      </c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"/>
      <c r="AB485" s="66"/>
      <c r="AC485" s="80"/>
    </row>
    <row r="486" spans="1:68" ht="27" hidden="1" customHeight="1" x14ac:dyDescent="0.25">
      <c r="A486" s="63" t="s">
        <v>784</v>
      </c>
      <c r="B486" s="63" t="s">
        <v>785</v>
      </c>
      <c r="C486" s="36">
        <v>4301051284</v>
      </c>
      <c r="D486" s="666">
        <v>4607091384352</v>
      </c>
      <c r="E486" s="666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8"/>
      <c r="R486" s="668"/>
      <c r="S486" s="668"/>
      <c r="T486" s="669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787</v>
      </c>
      <c r="B487" s="63" t="s">
        <v>788</v>
      </c>
      <c r="C487" s="36">
        <v>4301051431</v>
      </c>
      <c r="D487" s="666">
        <v>4607091389654</v>
      </c>
      <c r="E487" s="666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8"/>
      <c r="R487" s="668"/>
      <c r="S487" s="668"/>
      <c r="T487" s="669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672" t="s">
        <v>790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5"/>
      <c r="AB490" s="65"/>
      <c r="AC490" s="79"/>
    </row>
    <row r="491" spans="1:68" ht="14.25" hidden="1" customHeight="1" x14ac:dyDescent="0.25">
      <c r="A491" s="665" t="s">
        <v>159</v>
      </c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"/>
      <c r="AB491" s="66"/>
      <c r="AC491" s="80"/>
    </row>
    <row r="492" spans="1:68" ht="27" hidden="1" customHeight="1" x14ac:dyDescent="0.25">
      <c r="A492" s="63" t="s">
        <v>791</v>
      </c>
      <c r="B492" s="63" t="s">
        <v>792</v>
      </c>
      <c r="C492" s="36">
        <v>4301020416</v>
      </c>
      <c r="D492" s="666">
        <v>4680115885240</v>
      </c>
      <c r="E492" s="666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8"/>
      <c r="R492" s="668"/>
      <c r="S492" s="668"/>
      <c r="T492" s="669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65" t="s">
        <v>77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"/>
      <c r="AB495" s="66"/>
      <c r="AC495" s="80"/>
    </row>
    <row r="496" spans="1:68" ht="27" hidden="1" customHeight="1" x14ac:dyDescent="0.25">
      <c r="A496" s="63" t="s">
        <v>794</v>
      </c>
      <c r="B496" s="63" t="s">
        <v>795</v>
      </c>
      <c r="C496" s="36">
        <v>4301031407</v>
      </c>
      <c r="D496" s="666">
        <v>4680115886094</v>
      </c>
      <c r="E496" s="666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6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8"/>
      <c r="R496" s="668"/>
      <c r="S496" s="668"/>
      <c r="T496" s="669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797</v>
      </c>
      <c r="B497" s="63" t="s">
        <v>798</v>
      </c>
      <c r="C497" s="36">
        <v>4301031373</v>
      </c>
      <c r="D497" s="666">
        <v>4680115880771</v>
      </c>
      <c r="E497" s="666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8"/>
      <c r="R497" s="668"/>
      <c r="S497" s="668"/>
      <c r="T497" s="669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4301031359</v>
      </c>
      <c r="D498" s="666">
        <v>4607091389500</v>
      </c>
      <c r="E498" s="666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7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8"/>
      <c r="R498" s="668"/>
      <c r="S498" s="668"/>
      <c r="T498" s="669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56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3" t="s">
        <v>40</v>
      </c>
      <c r="Q499" s="654"/>
      <c r="R499" s="654"/>
      <c r="S499" s="654"/>
      <c r="T499" s="654"/>
      <c r="U499" s="654"/>
      <c r="V499" s="655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683" t="s">
        <v>802</v>
      </c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54"/>
      <c r="AB501" s="54"/>
      <c r="AC501" s="54"/>
    </row>
    <row r="502" spans="1:68" ht="16.5" hidden="1" customHeight="1" x14ac:dyDescent="0.25">
      <c r="A502" s="672" t="s">
        <v>802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5"/>
      <c r="AB502" s="65"/>
      <c r="AC502" s="79"/>
    </row>
    <row r="503" spans="1:68" ht="14.25" hidden="1" customHeight="1" x14ac:dyDescent="0.25">
      <c r="A503" s="665" t="s">
        <v>122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"/>
      <c r="AB503" s="66"/>
      <c r="AC503" s="80"/>
    </row>
    <row r="504" spans="1:68" ht="27" hidden="1" customHeight="1" x14ac:dyDescent="0.25">
      <c r="A504" s="63" t="s">
        <v>803</v>
      </c>
      <c r="B504" s="63" t="s">
        <v>804</v>
      </c>
      <c r="C504" s="36">
        <v>4301011769</v>
      </c>
      <c r="D504" s="666">
        <v>4607091389067</v>
      </c>
      <c r="E504" s="666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8"/>
      <c r="R504" s="668"/>
      <c r="S504" s="668"/>
      <c r="T504" s="669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hidden="1" customHeight="1" x14ac:dyDescent="0.25">
      <c r="A505" s="63" t="s">
        <v>805</v>
      </c>
      <c r="B505" s="63" t="s">
        <v>806</v>
      </c>
      <c r="C505" s="36">
        <v>4301012380</v>
      </c>
      <c r="D505" s="666">
        <v>4680115889576</v>
      </c>
      <c r="E505" s="666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8"/>
      <c r="R505" s="668"/>
      <c r="S505" s="668"/>
      <c r="T505" s="669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808</v>
      </c>
      <c r="B506" s="63" t="s">
        <v>809</v>
      </c>
      <c r="C506" s="36">
        <v>4301011961</v>
      </c>
      <c r="D506" s="666">
        <v>4680115885271</v>
      </c>
      <c r="E506" s="666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8"/>
      <c r="R506" s="668"/>
      <c r="S506" s="668"/>
      <c r="T506" s="669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811</v>
      </c>
      <c r="B507" s="63" t="s">
        <v>812</v>
      </c>
      <c r="C507" s="36">
        <v>4301011369</v>
      </c>
      <c r="D507" s="666">
        <v>4680115885226</v>
      </c>
      <c r="E507" s="666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8"/>
      <c r="R507" s="668"/>
      <c r="S507" s="668"/>
      <c r="T507" s="669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16.5" hidden="1" customHeight="1" x14ac:dyDescent="0.25">
      <c r="A508" s="63" t="s">
        <v>814</v>
      </c>
      <c r="B508" s="63" t="s">
        <v>815</v>
      </c>
      <c r="C508" s="36">
        <v>4301011797</v>
      </c>
      <c r="D508" s="666">
        <v>4680115884502</v>
      </c>
      <c r="E508" s="666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8"/>
      <c r="R508" s="668"/>
      <c r="S508" s="668"/>
      <c r="T508" s="669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817</v>
      </c>
      <c r="B509" s="63" t="s">
        <v>818</v>
      </c>
      <c r="C509" s="36">
        <v>4301011771</v>
      </c>
      <c r="D509" s="666">
        <v>4607091389104</v>
      </c>
      <c r="E509" s="666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8"/>
      <c r="R509" s="668"/>
      <c r="S509" s="668"/>
      <c r="T509" s="669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4301012125</v>
      </c>
      <c r="D510" s="666">
        <v>4680115886391</v>
      </c>
      <c r="E510" s="666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6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8"/>
      <c r="R510" s="668"/>
      <c r="S510" s="668"/>
      <c r="T510" s="669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customHeight="1" x14ac:dyDescent="0.25">
      <c r="A511" s="63" t="s">
        <v>822</v>
      </c>
      <c r="B511" s="63" t="s">
        <v>823</v>
      </c>
      <c r="C511" s="36">
        <v>4301012048</v>
      </c>
      <c r="D511" s="666">
        <v>4680115880603</v>
      </c>
      <c r="E511" s="666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6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8"/>
      <c r="R511" s="668"/>
      <c r="S511" s="668"/>
      <c r="T511" s="669"/>
      <c r="U511" s="39" t="s">
        <v>46</v>
      </c>
      <c r="V511" s="39" t="s">
        <v>46</v>
      </c>
      <c r="W511" s="40" t="s">
        <v>0</v>
      </c>
      <c r="X511" s="58">
        <v>180</v>
      </c>
      <c r="Y511" s="55">
        <f t="shared" si="78"/>
        <v>182.4</v>
      </c>
      <c r="Z511" s="41">
        <f>IFERROR(IF(Y511=0,"",ROUNDUP(Y511/H511,0)*0.00902),"")</f>
        <v>0.34276000000000001</v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259.125</v>
      </c>
      <c r="BN511" s="78">
        <f t="shared" si="81"/>
        <v>262.58000000000004</v>
      </c>
      <c r="BO511" s="78">
        <f t="shared" si="82"/>
        <v>0.28409090909090912</v>
      </c>
      <c r="BP511" s="78">
        <f t="shared" si="83"/>
        <v>0.2878787878787879</v>
      </c>
    </row>
    <row r="512" spans="1:68" ht="27" customHeight="1" x14ac:dyDescent="0.25">
      <c r="A512" s="63" t="s">
        <v>824</v>
      </c>
      <c r="B512" s="63" t="s">
        <v>825</v>
      </c>
      <c r="C512" s="36">
        <v>4301012034</v>
      </c>
      <c r="D512" s="666">
        <v>4607091389982</v>
      </c>
      <c r="E512" s="666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8"/>
      <c r="R512" s="668"/>
      <c r="S512" s="668"/>
      <c r="T512" s="669"/>
      <c r="U512" s="39" t="s">
        <v>46</v>
      </c>
      <c r="V512" s="39" t="s">
        <v>46</v>
      </c>
      <c r="W512" s="40" t="s">
        <v>0</v>
      </c>
      <c r="X512" s="58">
        <v>180</v>
      </c>
      <c r="Y512" s="55">
        <f t="shared" si="78"/>
        <v>182.4</v>
      </c>
      <c r="Z512" s="41">
        <f>IFERROR(IF(Y512=0,"",ROUNDUP(Y512/H512,0)*0.00902),"")</f>
        <v>0.34276000000000001</v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259.125</v>
      </c>
      <c r="BN512" s="78">
        <f t="shared" si="81"/>
        <v>262.58000000000004</v>
      </c>
      <c r="BO512" s="78">
        <f t="shared" si="82"/>
        <v>0.28409090909090912</v>
      </c>
      <c r="BP512" s="78">
        <f t="shared" si="83"/>
        <v>0.2878787878787879</v>
      </c>
    </row>
    <row r="513" spans="1:68" x14ac:dyDescent="0.2">
      <c r="A513" s="656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3" t="s">
        <v>40</v>
      </c>
      <c r="Q513" s="654"/>
      <c r="R513" s="654"/>
      <c r="S513" s="654"/>
      <c r="T513" s="654"/>
      <c r="U513" s="654"/>
      <c r="V513" s="655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75</v>
      </c>
      <c r="Y513" s="43">
        <f>IFERROR(Y504/H504,"0")+IFERROR(Y505/H505,"0")+IFERROR(Y506/H506,"0")+IFERROR(Y507/H507,"0")+IFERROR(Y508/H508,"0")+IFERROR(Y509/H509,"0")+IFERROR(Y510/H510,"0")+IFERROR(Y511/H511,"0")+IFERROR(Y512/H512,"0")</f>
        <v>76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0.68552000000000002</v>
      </c>
      <c r="AA513" s="67"/>
      <c r="AB513" s="67"/>
      <c r="AC513" s="67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2" t="s">
        <v>0</v>
      </c>
      <c r="X514" s="43">
        <f>IFERROR(SUM(X504:X512),"0")</f>
        <v>360</v>
      </c>
      <c r="Y514" s="43">
        <f>IFERROR(SUM(Y504:Y512),"0")</f>
        <v>364.8</v>
      </c>
      <c r="Z514" s="42"/>
      <c r="AA514" s="67"/>
      <c r="AB514" s="67"/>
      <c r="AC514" s="67"/>
    </row>
    <row r="515" spans="1:68" ht="14.25" hidden="1" customHeight="1" x14ac:dyDescent="0.25">
      <c r="A515" s="665" t="s">
        <v>159</v>
      </c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"/>
      <c r="AB515" s="66"/>
      <c r="AC515" s="80"/>
    </row>
    <row r="516" spans="1:68" ht="16.5" hidden="1" customHeight="1" x14ac:dyDescent="0.25">
      <c r="A516" s="63" t="s">
        <v>826</v>
      </c>
      <c r="B516" s="63" t="s">
        <v>827</v>
      </c>
      <c r="C516" s="36">
        <v>4301020334</v>
      </c>
      <c r="D516" s="666">
        <v>4607091388930</v>
      </c>
      <c r="E516" s="666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8"/>
      <c r="R516" s="668"/>
      <c r="S516" s="668"/>
      <c r="T516" s="669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16.5" hidden="1" customHeight="1" x14ac:dyDescent="0.25">
      <c r="A517" s="63" t="s">
        <v>829</v>
      </c>
      <c r="B517" s="63" t="s">
        <v>830</v>
      </c>
      <c r="C517" s="36">
        <v>4301020374</v>
      </c>
      <c r="D517" s="666">
        <v>4680115886407</v>
      </c>
      <c r="E517" s="666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6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8"/>
      <c r="R517" s="668"/>
      <c r="S517" s="668"/>
      <c r="T517" s="669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831</v>
      </c>
      <c r="B518" s="63" t="s">
        <v>832</v>
      </c>
      <c r="C518" s="36">
        <v>4301020385</v>
      </c>
      <c r="D518" s="666">
        <v>4680115880054</v>
      </c>
      <c r="E518" s="666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8"/>
      <c r="R518" s="668"/>
      <c r="S518" s="668"/>
      <c r="T518" s="669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idden="1" x14ac:dyDescent="0.2">
      <c r="A519" s="656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3" t="s">
        <v>40</v>
      </c>
      <c r="Q519" s="654"/>
      <c r="R519" s="654"/>
      <c r="S519" s="654"/>
      <c r="T519" s="654"/>
      <c r="U519" s="654"/>
      <c r="V519" s="655"/>
      <c r="W519" s="42" t="s">
        <v>39</v>
      </c>
      <c r="X519" s="43">
        <f>IFERROR(X516/H516,"0")+IFERROR(X517/H517,"0")+IFERROR(X518/H518,"0")</f>
        <v>0</v>
      </c>
      <c r="Y519" s="43">
        <f>IFERROR(Y516/H516,"0")+IFERROR(Y517/H517,"0")+IFERROR(Y518/H518,"0")</f>
        <v>0</v>
      </c>
      <c r="Z519" s="43">
        <f>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2" t="s">
        <v>0</v>
      </c>
      <c r="X520" s="43">
        <f>IFERROR(SUM(X516:X518),"0")</f>
        <v>0</v>
      </c>
      <c r="Y520" s="43">
        <f>IFERROR(SUM(Y516:Y518),"0")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665" t="s">
        <v>77</v>
      </c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"/>
      <c r="AB521" s="66"/>
      <c r="AC521" s="80"/>
    </row>
    <row r="522" spans="1:68" ht="27" hidden="1" customHeight="1" x14ac:dyDescent="0.25">
      <c r="A522" s="63" t="s">
        <v>833</v>
      </c>
      <c r="B522" s="63" t="s">
        <v>834</v>
      </c>
      <c r="C522" s="36">
        <v>4301031349</v>
      </c>
      <c r="D522" s="666">
        <v>4680115883116</v>
      </c>
      <c r="E522" s="666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8"/>
      <c r="R522" s="668"/>
      <c r="S522" s="668"/>
      <c r="T522" s="669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84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0</v>
      </c>
      <c r="BN522" s="78">
        <f t="shared" ref="BN522:BN528" si="86">IFERROR(Y522*I522/H522,"0")</f>
        <v>0</v>
      </c>
      <c r="BO522" s="78">
        <f t="shared" ref="BO522:BO528" si="87">IFERROR(1/J522*(X522/H522),"0")</f>
        <v>0</v>
      </c>
      <c r="BP522" s="78">
        <f t="shared" ref="BP522:BP528" si="88">IFERROR(1/J522*(Y522/H522),"0")</f>
        <v>0</v>
      </c>
    </row>
    <row r="523" spans="1:68" ht="27" hidden="1" customHeight="1" x14ac:dyDescent="0.25">
      <c r="A523" s="63" t="s">
        <v>836</v>
      </c>
      <c r="B523" s="63" t="s">
        <v>837</v>
      </c>
      <c r="C523" s="36">
        <v>4301031350</v>
      </c>
      <c r="D523" s="666">
        <v>4680115883093</v>
      </c>
      <c r="E523" s="666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6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8"/>
      <c r="R523" s="668"/>
      <c r="S523" s="668"/>
      <c r="T523" s="669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839</v>
      </c>
      <c r="B524" s="63" t="s">
        <v>840</v>
      </c>
      <c r="C524" s="36">
        <v>4301031353</v>
      </c>
      <c r="D524" s="666">
        <v>4680115883109</v>
      </c>
      <c r="E524" s="666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8"/>
      <c r="R524" s="668"/>
      <c r="S524" s="668"/>
      <c r="T524" s="669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4301031419</v>
      </c>
      <c r="D525" s="666">
        <v>4680115882072</v>
      </c>
      <c r="E525" s="666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6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8"/>
      <c r="R525" s="668"/>
      <c r="S525" s="668"/>
      <c r="T525" s="669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4301031352</v>
      </c>
      <c r="D526" s="666">
        <v>4680115882102</v>
      </c>
      <c r="E526" s="666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8"/>
      <c r="R526" s="668"/>
      <c r="S526" s="668"/>
      <c r="T526" s="669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844</v>
      </c>
      <c r="B527" s="63" t="s">
        <v>846</v>
      </c>
      <c r="C527" s="36">
        <v>4301031418</v>
      </c>
      <c r="D527" s="666">
        <v>4680115882102</v>
      </c>
      <c r="E527" s="666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8"/>
      <c r="R527" s="668"/>
      <c r="S527" s="668"/>
      <c r="T527" s="669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4301031417</v>
      </c>
      <c r="D528" s="666">
        <v>4680115882096</v>
      </c>
      <c r="E528" s="666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8"/>
      <c r="R528" s="668"/>
      <c r="S528" s="668"/>
      <c r="T528" s="669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idden="1" x14ac:dyDescent="0.2">
      <c r="A529" s="656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3" t="s">
        <v>40</v>
      </c>
      <c r="Q529" s="654"/>
      <c r="R529" s="654"/>
      <c r="S529" s="654"/>
      <c r="T529" s="654"/>
      <c r="U529" s="654"/>
      <c r="V529" s="655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683" t="s">
        <v>849</v>
      </c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54"/>
      <c r="AB531" s="54"/>
      <c r="AC531" s="54"/>
    </row>
    <row r="532" spans="1:68" ht="16.5" hidden="1" customHeight="1" x14ac:dyDescent="0.25">
      <c r="A532" s="672" t="s">
        <v>849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"/>
      <c r="AB532" s="65"/>
      <c r="AC532" s="79"/>
    </row>
    <row r="533" spans="1:68" ht="14.25" hidden="1" customHeight="1" x14ac:dyDescent="0.25">
      <c r="A533" s="665" t="s">
        <v>122</v>
      </c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"/>
      <c r="AB533" s="66"/>
      <c r="AC533" s="80"/>
    </row>
    <row r="534" spans="1:68" ht="27" hidden="1" customHeight="1" x14ac:dyDescent="0.25">
      <c r="A534" s="63" t="s">
        <v>850</v>
      </c>
      <c r="B534" s="63" t="s">
        <v>851</v>
      </c>
      <c r="C534" s="36">
        <v>4301011584</v>
      </c>
      <c r="D534" s="666">
        <v>4640242180564</v>
      </c>
      <c r="E534" s="666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8"/>
      <c r="R534" s="668"/>
      <c r="S534" s="668"/>
      <c r="T534" s="669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5" t="s">
        <v>159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"/>
      <c r="AB537" s="66"/>
      <c r="AC537" s="80"/>
    </row>
    <row r="538" spans="1:68" ht="27" hidden="1" customHeight="1" x14ac:dyDescent="0.25">
      <c r="A538" s="63" t="s">
        <v>853</v>
      </c>
      <c r="B538" s="63" t="s">
        <v>854</v>
      </c>
      <c r="C538" s="36">
        <v>4301020444</v>
      </c>
      <c r="D538" s="666">
        <v>4680115889781</v>
      </c>
      <c r="E538" s="666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675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68"/>
      <c r="R538" s="668"/>
      <c r="S538" s="668"/>
      <c r="T538" s="669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5" t="s">
        <v>77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"/>
      <c r="AB541" s="66"/>
      <c r="AC541" s="80"/>
    </row>
    <row r="542" spans="1:68" ht="27" hidden="1" customHeight="1" x14ac:dyDescent="0.25">
      <c r="A542" s="63" t="s">
        <v>855</v>
      </c>
      <c r="B542" s="63" t="s">
        <v>856</v>
      </c>
      <c r="C542" s="36">
        <v>4301031500</v>
      </c>
      <c r="D542" s="666">
        <v>4640242180595</v>
      </c>
      <c r="E542" s="666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8"/>
      <c r="R542" s="668"/>
      <c r="S542" s="668"/>
      <c r="T542" s="669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5" t="s">
        <v>86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"/>
      <c r="AB545" s="66"/>
      <c r="AC545" s="80"/>
    </row>
    <row r="546" spans="1:68" ht="27" hidden="1" customHeight="1" x14ac:dyDescent="0.25">
      <c r="A546" s="63" t="s">
        <v>858</v>
      </c>
      <c r="B546" s="63" t="s">
        <v>859</v>
      </c>
      <c r="C546" s="36">
        <v>4301052043</v>
      </c>
      <c r="D546" s="666">
        <v>4640242180533</v>
      </c>
      <c r="E546" s="666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8"/>
      <c r="R546" s="668"/>
      <c r="S546" s="668"/>
      <c r="T546" s="669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65" t="s">
        <v>178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"/>
      <c r="AB549" s="66"/>
      <c r="AC549" s="80"/>
    </row>
    <row r="550" spans="1:68" ht="27" hidden="1" customHeight="1" x14ac:dyDescent="0.25">
      <c r="A550" s="63" t="s">
        <v>861</v>
      </c>
      <c r="B550" s="63" t="s">
        <v>862</v>
      </c>
      <c r="C550" s="36">
        <v>4301060535</v>
      </c>
      <c r="D550" s="666">
        <v>4640242180120</v>
      </c>
      <c r="E550" s="666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8"/>
      <c r="R550" s="668"/>
      <c r="S550" s="668"/>
      <c r="T550" s="669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864</v>
      </c>
      <c r="B551" s="63" t="s">
        <v>865</v>
      </c>
      <c r="C551" s="36">
        <v>4301060536</v>
      </c>
      <c r="D551" s="666">
        <v>4640242180137</v>
      </c>
      <c r="E551" s="666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8"/>
      <c r="R551" s="668"/>
      <c r="S551" s="668"/>
      <c r="T551" s="669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672" t="s">
        <v>867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5"/>
      <c r="AB554" s="65"/>
      <c r="AC554" s="79"/>
    </row>
    <row r="555" spans="1:68" ht="14.25" hidden="1" customHeight="1" x14ac:dyDescent="0.25">
      <c r="A555" s="665" t="s">
        <v>159</v>
      </c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"/>
      <c r="AB555" s="66"/>
      <c r="AC555" s="80"/>
    </row>
    <row r="556" spans="1:68" ht="27" hidden="1" customHeight="1" x14ac:dyDescent="0.25">
      <c r="A556" s="63" t="s">
        <v>868</v>
      </c>
      <c r="B556" s="63" t="s">
        <v>869</v>
      </c>
      <c r="C556" s="36">
        <v>4301020441</v>
      </c>
      <c r="D556" s="666">
        <v>4680115889798</v>
      </c>
      <c r="E556" s="666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67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68"/>
      <c r="R556" s="668"/>
      <c r="S556" s="668"/>
      <c r="T556" s="669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3" t="s">
        <v>40</v>
      </c>
      <c r="Q557" s="654"/>
      <c r="R557" s="654"/>
      <c r="S557" s="654"/>
      <c r="T557" s="654"/>
      <c r="U557" s="654"/>
      <c r="V557" s="655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33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1838.0000000000002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1846.2</v>
      </c>
      <c r="Z559" s="42"/>
      <c r="AA559" s="67"/>
      <c r="AB559" s="67"/>
      <c r="AC559" s="67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1"/>
      <c r="P560" s="658" t="s">
        <v>34</v>
      </c>
      <c r="Q560" s="659"/>
      <c r="R560" s="659"/>
      <c r="S560" s="659"/>
      <c r="T560" s="659"/>
      <c r="U560" s="659"/>
      <c r="V560" s="660"/>
      <c r="W560" s="42" t="s">
        <v>0</v>
      </c>
      <c r="X560" s="43">
        <f>IFERROR(SUM(BM22:BM556),"0")</f>
        <v>2144.4799999999996</v>
      </c>
      <c r="Y560" s="43">
        <f>IFERROR(SUM(BN22:BN556),"0")</f>
        <v>2155.1259999999997</v>
      </c>
      <c r="Z560" s="42"/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1"/>
      <c r="P561" s="658" t="s">
        <v>35</v>
      </c>
      <c r="Q561" s="659"/>
      <c r="R561" s="659"/>
      <c r="S561" s="659"/>
      <c r="T561" s="659"/>
      <c r="U561" s="659"/>
      <c r="V561" s="660"/>
      <c r="W561" s="42" t="s">
        <v>20</v>
      </c>
      <c r="X561" s="44">
        <f>ROUNDUP(SUM(BO22:BO556),0)</f>
        <v>4</v>
      </c>
      <c r="Y561" s="44">
        <f>ROUNDUP(SUM(BP22:BP556),0)</f>
        <v>4</v>
      </c>
      <c r="Z561" s="42"/>
      <c r="AA561" s="67"/>
      <c r="AB561" s="67"/>
      <c r="AC561" s="67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36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GrossWeightTotal+PalletQtyTotal*25</f>
        <v>2244.4799999999996</v>
      </c>
      <c r="Y562" s="43">
        <f>GrossWeightTotalR+PalletQtyTotalR*25</f>
        <v>2255.1259999999997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37</v>
      </c>
      <c r="Q563" s="659"/>
      <c r="R563" s="659"/>
      <c r="S563" s="659"/>
      <c r="T563" s="659"/>
      <c r="U563" s="659"/>
      <c r="V563" s="660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673.66666666666663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676</v>
      </c>
      <c r="Z563" s="42"/>
      <c r="AA563" s="67"/>
      <c r="AB563" s="67"/>
      <c r="AC563" s="67"/>
    </row>
    <row r="564" spans="1:32" ht="14.25" hidden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38</v>
      </c>
      <c r="Q564" s="659"/>
      <c r="R564" s="659"/>
      <c r="S564" s="659"/>
      <c r="T564" s="659"/>
      <c r="U564" s="659"/>
      <c r="V564" s="660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4.62446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652" t="s">
        <v>120</v>
      </c>
      <c r="E566" s="652" t="s">
        <v>120</v>
      </c>
      <c r="F566" s="652" t="s">
        <v>120</v>
      </c>
      <c r="G566" s="652" t="s">
        <v>120</v>
      </c>
      <c r="H566" s="652" t="s">
        <v>120</v>
      </c>
      <c r="I566" s="652" t="s">
        <v>120</v>
      </c>
      <c r="J566" s="652" t="s">
        <v>120</v>
      </c>
      <c r="K566" s="652" t="s">
        <v>345</v>
      </c>
      <c r="L566" s="652" t="s">
        <v>345</v>
      </c>
      <c r="M566" s="652" t="s">
        <v>345</v>
      </c>
      <c r="N566" s="662"/>
      <c r="O566" s="652" t="s">
        <v>345</v>
      </c>
      <c r="P566" s="652" t="s">
        <v>345</v>
      </c>
      <c r="Q566" s="652" t="s">
        <v>345</v>
      </c>
      <c r="R566" s="652" t="s">
        <v>345</v>
      </c>
      <c r="S566" s="652" t="s">
        <v>345</v>
      </c>
      <c r="T566" s="652" t="s">
        <v>345</v>
      </c>
      <c r="U566" s="652" t="s">
        <v>345</v>
      </c>
      <c r="V566" s="652" t="s">
        <v>345</v>
      </c>
      <c r="W566" s="652" t="s">
        <v>700</v>
      </c>
      <c r="X566" s="652" t="s">
        <v>700</v>
      </c>
      <c r="Y566" s="652" t="s">
        <v>766</v>
      </c>
      <c r="Z566" s="652" t="s">
        <v>766</v>
      </c>
      <c r="AA566" s="85" t="s">
        <v>802</v>
      </c>
      <c r="AB566" s="652" t="s">
        <v>849</v>
      </c>
      <c r="AC566" s="652" t="s">
        <v>849</v>
      </c>
      <c r="AF566" s="1"/>
    </row>
    <row r="567" spans="1:32" ht="14.25" customHeight="1" thickTop="1" x14ac:dyDescent="0.2">
      <c r="A567" s="663" t="s">
        <v>10</v>
      </c>
      <c r="B567" s="652" t="s">
        <v>76</v>
      </c>
      <c r="C567" s="652" t="s">
        <v>104</v>
      </c>
      <c r="D567" s="652" t="s">
        <v>121</v>
      </c>
      <c r="E567" s="652" t="s">
        <v>137</v>
      </c>
      <c r="F567" s="652" t="s">
        <v>186</v>
      </c>
      <c r="G567" s="652" t="s">
        <v>209</v>
      </c>
      <c r="H567" s="652" t="s">
        <v>249</v>
      </c>
      <c r="I567" s="652" t="s">
        <v>262</v>
      </c>
      <c r="J567" s="652" t="s">
        <v>120</v>
      </c>
      <c r="K567" s="652" t="s">
        <v>346</v>
      </c>
      <c r="L567" s="652" t="s">
        <v>367</v>
      </c>
      <c r="M567" s="652" t="s">
        <v>441</v>
      </c>
      <c r="N567" s="1"/>
      <c r="O567" s="652" t="s">
        <v>509</v>
      </c>
      <c r="P567" s="652" t="s">
        <v>538</v>
      </c>
      <c r="Q567" s="652" t="s">
        <v>558</v>
      </c>
      <c r="R567" s="652" t="s">
        <v>567</v>
      </c>
      <c r="S567" s="652" t="s">
        <v>588</v>
      </c>
      <c r="T567" s="652" t="s">
        <v>597</v>
      </c>
      <c r="U567" s="652" t="s">
        <v>683</v>
      </c>
      <c r="V567" s="652" t="s">
        <v>690</v>
      </c>
      <c r="W567" s="652" t="s">
        <v>701</v>
      </c>
      <c r="X567" s="652" t="s">
        <v>750</v>
      </c>
      <c r="Y567" s="652" t="s">
        <v>767</v>
      </c>
      <c r="Z567" s="652" t="s">
        <v>790</v>
      </c>
      <c r="AA567" s="652" t="s">
        <v>802</v>
      </c>
      <c r="AB567" s="652" t="s">
        <v>849</v>
      </c>
      <c r="AC567" s="652" t="s">
        <v>867</v>
      </c>
      <c r="AF567" s="1"/>
    </row>
    <row r="568" spans="1:32" ht="13.5" thickBot="1" x14ac:dyDescent="0.25">
      <c r="A568" s="664"/>
      <c r="B568" s="652"/>
      <c r="C568" s="652"/>
      <c r="D568" s="652"/>
      <c r="E568" s="652"/>
      <c r="F568" s="652"/>
      <c r="G568" s="652"/>
      <c r="H568" s="652"/>
      <c r="I568" s="652"/>
      <c r="J568" s="652"/>
      <c r="K568" s="652"/>
      <c r="L568" s="652"/>
      <c r="M568" s="652"/>
      <c r="N568" s="1"/>
      <c r="O568" s="652"/>
      <c r="P568" s="652"/>
      <c r="Q568" s="652"/>
      <c r="R568" s="652"/>
      <c r="S568" s="652"/>
      <c r="T568" s="652"/>
      <c r="U568" s="652"/>
      <c r="V568" s="652"/>
      <c r="W568" s="652"/>
      <c r="X568" s="652"/>
      <c r="Y568" s="652"/>
      <c r="Z568" s="652"/>
      <c r="AA568" s="652"/>
      <c r="AB568" s="652"/>
      <c r="AC568" s="652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36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120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90</v>
      </c>
      <c r="F569" s="52">
        <f>IFERROR(Y87*1,"0")+IFERROR(Y88*1,"0")+IFERROR(Y89*1,"0")+IFERROR(Y90*1,"0")+IFERROR(Y91*1,"0")+IFERROR(Y95*1,"0")+IFERROR(Y96*1,"0")+IFERROR(Y97*1,"0")+IFERROR(Y98*1,"0")</f>
        <v>172.8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133.19999999999999</v>
      </c>
      <c r="H569" s="52">
        <f>IFERROR(Y133*1,"0")+IFERROR(Y134*1,"0")+IFERROR(Y138*1,"0")+IFERROR(Y139*1,"0")+IFERROR(Y143*1,"0")+IFERROR(Y144*1,"0")</f>
        <v>0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21.6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261.60000000000002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144</v>
      </c>
      <c r="P569" s="52">
        <f>IFERROR(Y326*1,"0")+IFERROR(Y327*1,"0")+IFERROR(Y328*1,"0")+IFERROR(Y329*1,"0")+IFERROR(Y330*1,"0")+IFERROR(Y331*1,"0")</f>
        <v>0</v>
      </c>
      <c r="Q569" s="52">
        <f>IFERROR(Y336*1,"0")+IFERROR(Y337*1,"0")+IFERROR(Y338*1,"0")</f>
        <v>36</v>
      </c>
      <c r="R569" s="52">
        <f>IFERROR(Y343*1,"0")+IFERROR(Y344*1,"0")+IFERROR(Y345*1,"0")+IFERROR(Y346*1,"0")+IFERROR(Y347*1,"0")+IFERROR(Y351*1,"0")+IFERROR(Y352*1,"0")</f>
        <v>54</v>
      </c>
      <c r="S569" s="52">
        <f>IFERROR(Y357*1,"0")+IFERROR(Y358*1,"0")+IFERROR(Y359*1,"0")</f>
        <v>0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169.2</v>
      </c>
      <c r="U569" s="52">
        <f>IFERROR(Y417*1,"0")+IFERROR(Y418*1,"0")</f>
        <v>0</v>
      </c>
      <c r="V569" s="52">
        <f>IFERROR(Y423*1,"0")+IFERROR(Y424*1,"0")+IFERROR(Y425*1,"0")</f>
        <v>42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96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105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364.8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9H4ee0pe2hgw9vvsUX3V7UwM4kMsSGSkQ50Hdveh79JCO3x5Isi1ObxNiypX6AtXenR4PfJXlZyq9mabBZdgaQ==" saltValue="DMFzXd+U3OgliGtvA65iAw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38,00"/>
        <filter val="10,20"/>
        <filter val="104,00"/>
        <filter val="105,00"/>
        <filter val="108,33"/>
        <filter val="111,00"/>
        <filter val="12,00"/>
        <filter val="120,00"/>
        <filter val="144,00"/>
        <filter val="15,00"/>
        <filter val="171,00"/>
        <filter val="180,00"/>
        <filter val="2 144,48"/>
        <filter val="2 244,48"/>
        <filter val="20,00"/>
        <filter val="21,60"/>
        <filter val="24,00"/>
        <filter val="260,00"/>
        <filter val="27,00"/>
        <filter val="30,00"/>
        <filter val="31,50"/>
        <filter val="36,00"/>
        <filter val="360,00"/>
        <filter val="4"/>
        <filter val="4,00"/>
        <filter val="40,00"/>
        <filter val="42,00"/>
        <filter val="48,00"/>
        <filter val="50,00"/>
        <filter val="54,00"/>
        <filter val="55,00"/>
        <filter val="60,00"/>
        <filter val="63,33"/>
        <filter val="673,67"/>
        <filter val="72,00"/>
        <filter val="75,00"/>
        <filter val="79,20"/>
        <filter val="84,00"/>
        <filter val="9,00"/>
        <filter val="9,60"/>
        <filter val="96,00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10" spans="2:8" x14ac:dyDescent="0.2">
      <c r="B10" s="53" t="s">
        <v>883</v>
      </c>
      <c r="C10" s="53" t="s">
        <v>875</v>
      </c>
      <c r="D10" s="53" t="s">
        <v>46</v>
      </c>
      <c r="E10" s="53" t="s">
        <v>46</v>
      </c>
    </row>
    <row r="12" spans="2:8" x14ac:dyDescent="0.2">
      <c r="B12" s="53" t="s">
        <v>884</v>
      </c>
      <c r="C12" s="53" t="s">
        <v>878</v>
      </c>
      <c r="D12" s="53" t="s">
        <v>46</v>
      </c>
      <c r="E12" s="53" t="s">
        <v>46</v>
      </c>
    </row>
    <row r="14" spans="2:8" x14ac:dyDescent="0.2">
      <c r="B14" s="53" t="s">
        <v>885</v>
      </c>
      <c r="C14" s="53" t="s">
        <v>881</v>
      </c>
      <c r="D14" s="53" t="s">
        <v>46</v>
      </c>
      <c r="E14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896</v>
      </c>
      <c r="C26" s="53" t="s">
        <v>46</v>
      </c>
      <c r="D26" s="53" t="s">
        <v>46</v>
      </c>
      <c r="E26" s="53" t="s">
        <v>46</v>
      </c>
    </row>
  </sheetData>
  <sheetProtection algorithmName="SHA-512" hashValue="uVVx4/mOXuPS4gvK6/YMgHjAqX8FHp0b/3ViHHfn5jOk+oy1DRVrN6flxy90RZshuaT8fwKR0mKOwoxkO0b8gw==" saltValue="5gMZ5p5ZCyTDpJz6FjzmV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2026-10-01T11:18:58Z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