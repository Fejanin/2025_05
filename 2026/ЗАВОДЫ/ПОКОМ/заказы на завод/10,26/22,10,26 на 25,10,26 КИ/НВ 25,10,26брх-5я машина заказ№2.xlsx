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66E149-B101-4162-A877-4E6751A18C1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N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M26" i="1"/>
  <c r="Z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J9" i="1"/>
  <c r="Z77" i="1"/>
  <c r="BP77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123" i="1"/>
  <c r="Z180" i="1"/>
  <c r="Z22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Z405" i="1"/>
  <c r="Z431" i="1"/>
  <c r="Z445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79" i="1" l="1"/>
  <c r="Z376" i="1"/>
  <c r="Z113" i="1"/>
  <c r="Z95" i="1"/>
  <c r="Z74" i="1"/>
  <c r="Z55" i="1"/>
  <c r="Z46" i="1"/>
  <c r="Z349" i="1"/>
  <c r="Z479" i="1"/>
  <c r="Z418" i="1"/>
  <c r="Z272" i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Y567" i="1" s="1"/>
  <c r="Z317" i="1"/>
  <c r="Z261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<sst xmlns="http://schemas.openxmlformats.org/spreadsheetml/2006/main" count="2538" uniqueCount="917">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</sst>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46320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874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1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0.5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154</v>
      </c>
      <c r="Y51" s="634">
        <f>IFERROR(IF(X51="",0,CEILING((X51/$H51),1)*$H51),"")</f>
        <v>162</v>
      </c>
      <c r="Z51" s="36">
        <f>IFERROR(IF(Y51=0,"",ROUNDUP(Y51/H51,0)*0.01898),"")</f>
        <v>0.28470000000000001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159.84629629629629</v>
      </c>
      <c r="BN51" s="64">
        <f>IFERROR(Y51*I51/H51,"0")</f>
        <v>168.15</v>
      </c>
      <c r="BO51" s="64">
        <f>IFERROR(1/J51*(X51/H51),"0")</f>
        <v>0.2228009259259259</v>
      </c>
      <c r="BP51" s="64">
        <f>IFERROR(1/J51*(Y51/H51),"0")</f>
        <v>0.23437499999999997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14.259259259259258</v>
      </c>
      <c r="Y55" s="635">
        <f>IFERROR(Y51/H51,"0")+IFERROR(Y52/H52,"0")+IFERROR(Y53/H53,"0")+IFERROR(Y54/H54,"0")</f>
        <v>14.999999999999998</v>
      </c>
      <c r="Z55" s="635">
        <f>IFERROR(IF(Z51="",0,Z51),"0")+IFERROR(IF(Z52="",0,Z52),"0")+IFERROR(IF(Z53="",0,Z53),"0")+IFERROR(IF(Z54="",0,Z54),"0")</f>
        <v>0.28470000000000001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154</v>
      </c>
      <c r="Y56" s="635">
        <f>IFERROR(SUM(Y51:Y54),"0")</f>
        <v>162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10</v>
      </c>
      <c r="Y60" s="634">
        <f t="shared" si="0"/>
        <v>10.8</v>
      </c>
      <c r="Z60" s="36">
        <f>IFERROR(IF(Y60=0,"",ROUNDUP(Y60/H60,0)*0.01898),"")</f>
        <v>1.898E-2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10.37962962962963</v>
      </c>
      <c r="BN60" s="64">
        <f t="shared" si="2"/>
        <v>11.21</v>
      </c>
      <c r="BO60" s="64">
        <f t="shared" si="3"/>
        <v>1.4467592592592591E-2</v>
      </c>
      <c r="BP60" s="64">
        <f t="shared" si="4"/>
        <v>1.5625E-2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6</v>
      </c>
      <c r="Y63" s="634">
        <f t="shared" si="0"/>
        <v>8</v>
      </c>
      <c r="Z63" s="36">
        <f>IFERROR(IF(Y63=0,"",ROUNDUP(Y63/H63,0)*0.00902),"")</f>
        <v>1.804E-2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6.2850000000000001</v>
      </c>
      <c r="BN63" s="64">
        <f t="shared" si="2"/>
        <v>8.3800000000000008</v>
      </c>
      <c r="BO63" s="64">
        <f t="shared" si="3"/>
        <v>1.1363636363636364E-2</v>
      </c>
      <c r="BP63" s="64">
        <f t="shared" si="4"/>
        <v>1.5151515151515152E-2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2.4259259259259256</v>
      </c>
      <c r="Y67" s="635">
        <f>IFERROR(Y59/H59,"0")+IFERROR(Y60/H60,"0")+IFERROR(Y61/H61,"0")+IFERROR(Y62/H62,"0")+IFERROR(Y63/H63,"0")+IFERROR(Y64/H64,"0")+IFERROR(Y65/H65,"0")+IFERROR(Y66/H66,"0")</f>
        <v>3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3.7019999999999997E-2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16</v>
      </c>
      <c r="Y68" s="635">
        <f>IFERROR(SUM(Y59:Y66),"0")</f>
        <v>18.8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17</v>
      </c>
      <c r="Y70" s="634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17.645370370370372</v>
      </c>
      <c r="BN70" s="64">
        <f>IFERROR(Y70*I70/H70,"0")</f>
        <v>22.42</v>
      </c>
      <c r="BO70" s="64">
        <f>IFERROR(1/J70*(X70/H70),"0")</f>
        <v>2.4594907407407406E-2</v>
      </c>
      <c r="BP70" s="64">
        <f>IFERROR(1/J70*(Y70/H70),"0")</f>
        <v>3.125E-2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1.574074074074074</v>
      </c>
      <c r="Y74" s="635">
        <f>IFERROR(Y70/H70,"0")+IFERROR(Y71/H71,"0")+IFERROR(Y72/H72,"0")+IFERROR(Y73/H73,"0")</f>
        <v>2</v>
      </c>
      <c r="Z74" s="635">
        <f>IFERROR(IF(Z70="",0,Z70),"0")+IFERROR(IF(Z71="",0,Z71),"0")+IFERROR(IF(Z72="",0,Z72),"0")+IFERROR(IF(Z73="",0,Z73),"0")</f>
        <v>3.7960000000000001E-2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17</v>
      </c>
      <c r="Y75" s="635">
        <f>IFERROR(SUM(Y70:Y73),"0")</f>
        <v>21.6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82</v>
      </c>
      <c r="Y89" s="634">
        <f t="shared" ref="Y89:Y94" si="5">IFERROR(IF(X89="",0,CEILING((X89/$H89),1)*$H89),"")</f>
        <v>86.4</v>
      </c>
      <c r="Z89" s="36">
        <f>IFERROR(IF(Y89=0,"",ROUNDUP(Y89/H89,0)*0.01898),"")</f>
        <v>0.15184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85.112962962962953</v>
      </c>
      <c r="BN89" s="64">
        <f t="shared" ref="BN89:BN94" si="7">IFERROR(Y89*I89/H89,"0")</f>
        <v>89.68</v>
      </c>
      <c r="BO89" s="64">
        <f t="shared" ref="BO89:BO94" si="8">IFERROR(1/J89*(X89/H89),"0")</f>
        <v>0.11863425925925924</v>
      </c>
      <c r="BP89" s="64">
        <f t="shared" ref="BP89:BP94" si="9">IFERROR(1/J89*(Y89/H89),"0")</f>
        <v>0.125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7.5925925925925917</v>
      </c>
      <c r="Y95" s="635">
        <f>IFERROR(Y89/H89,"0")+IFERROR(Y90/H90,"0")+IFERROR(Y91/H91,"0")+IFERROR(Y92/H92,"0")+IFERROR(Y93/H93,"0")+IFERROR(Y94/H94,"0")</f>
        <v>8</v>
      </c>
      <c r="Z95" s="635">
        <f>IFERROR(IF(Z89="",0,Z89),"0")+IFERROR(IF(Z90="",0,Z90),"0")+IFERROR(IF(Z91="",0,Z91),"0")+IFERROR(IF(Z92="",0,Z92),"0")+IFERROR(IF(Z93="",0,Z93),"0")+IFERROR(IF(Z94="",0,Z94),"0")</f>
        <v>0.15184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82</v>
      </c>
      <c r="Y96" s="635">
        <f>IFERROR(SUM(Y89:Y94),"0")</f>
        <v>86.4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150</v>
      </c>
      <c r="Y98" s="634">
        <f>IFERROR(IF(X98="",0,CEILING((X98/$H98),1)*$H98),"")</f>
        <v>153.9</v>
      </c>
      <c r="Z98" s="36">
        <f>IFERROR(IF(Y98=0,"",ROUNDUP(Y98/H98,0)*0.01898),"")</f>
        <v>0.36062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159.14814814814815</v>
      </c>
      <c r="BN98" s="64">
        <f>IFERROR(Y98*I98/H98,"0")</f>
        <v>163.286</v>
      </c>
      <c r="BO98" s="64">
        <f>IFERROR(1/J98*(X98/H98),"0")</f>
        <v>0.28935185185185186</v>
      </c>
      <c r="BP98" s="64">
        <f>IFERROR(1/J98*(Y98/H98),"0")</f>
        <v>0.296875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18.518518518518519</v>
      </c>
      <c r="Y102" s="635">
        <f>IFERROR(Y98/H98,"0")+IFERROR(Y99/H99,"0")+IFERROR(Y100/H100,"0")+IFERROR(Y101/H101,"0")</f>
        <v>19</v>
      </c>
      <c r="Z102" s="635">
        <f>IFERROR(IF(Z98="",0,Z98),"0")+IFERROR(IF(Z99="",0,Z99),"0")+IFERROR(IF(Z100="",0,Z100),"0")+IFERROR(IF(Z101="",0,Z101),"0")</f>
        <v>0.36062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150</v>
      </c>
      <c r="Y103" s="635">
        <f>IFERROR(SUM(Y98:Y101),"0")</f>
        <v>153.9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56</v>
      </c>
      <c r="Y110" s="634">
        <f t="shared" si="10"/>
        <v>58.5</v>
      </c>
      <c r="Z110" s="36">
        <f>IFERROR(IF(Y110=0,"",ROUNDUP(Y110/H110,0)*0.00902),"")</f>
        <v>0.11726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58.364444444444452</v>
      </c>
      <c r="BN110" s="64">
        <f t="shared" si="12"/>
        <v>60.97</v>
      </c>
      <c r="BO110" s="64">
        <f t="shared" si="13"/>
        <v>9.4276094276094277E-2</v>
      </c>
      <c r="BP110" s="64">
        <f t="shared" si="14"/>
        <v>9.8484848484848481E-2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12.444444444444445</v>
      </c>
      <c r="Y113" s="635">
        <f>IFERROR(Y106/H106,"0")+IFERROR(Y107/H107,"0")+IFERROR(Y108/H108,"0")+IFERROR(Y109/H109,"0")+IFERROR(Y110/H110,"0")+IFERROR(Y111/H111,"0")+IFERROR(Y112/H112,"0")</f>
        <v>13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0.11726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56</v>
      </c>
      <c r="Y114" s="635">
        <f>IFERROR(SUM(Y106:Y112),"0")</f>
        <v>58.5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361</v>
      </c>
      <c r="Y123" s="634">
        <f>IFERROR(IF(X123="",0,CEILING((X123/$H123),1)*$H123),"")</f>
        <v>364.5</v>
      </c>
      <c r="Z123" s="36">
        <f>IFERROR(IF(Y123=0,"",ROUNDUP(Y123/H123,0)*0.01898),"")</f>
        <v>0.85409999999999997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382.74913580246908</v>
      </c>
      <c r="BN123" s="64">
        <f>IFERROR(Y123*I123/H123,"0")</f>
        <v>386.46</v>
      </c>
      <c r="BO123" s="64">
        <f>IFERROR(1/J123*(X123/H123),"0")</f>
        <v>0.69637345679012352</v>
      </c>
      <c r="BP123" s="64">
        <f>IFERROR(1/J123*(Y123/H123),"0")</f>
        <v>0.703125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44.567901234567906</v>
      </c>
      <c r="Y127" s="635">
        <f>IFERROR(Y123/H123,"0")+IFERROR(Y124/H124,"0")+IFERROR(Y125/H125,"0")+IFERROR(Y126/H126,"0")</f>
        <v>45</v>
      </c>
      <c r="Z127" s="635">
        <f>IFERROR(IF(Z123="",0,Z123),"0")+IFERROR(IF(Z124="",0,Z124),"0")+IFERROR(IF(Z125="",0,Z125),"0")+IFERROR(IF(Z126="",0,Z126),"0")</f>
        <v>0.85409999999999997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361</v>
      </c>
      <c r="Y128" s="635">
        <f>IFERROR(SUM(Y123:Y126),"0")</f>
        <v>364.5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3</v>
      </c>
      <c r="Y135" s="634">
        <f>IFERROR(IF(X135="",0,CEILING((X135/$H135),1)*$H135),"")</f>
        <v>3.2</v>
      </c>
      <c r="Z135" s="36">
        <f>IFERROR(IF(Y135=0,"",ROUNDUP(Y135/H135,0)*0.00651),"")</f>
        <v>6.5100000000000002E-3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3.1687500000000002</v>
      </c>
      <c r="BN135" s="64">
        <f>IFERROR(Y135*I135/H135,"0")</f>
        <v>3.38</v>
      </c>
      <c r="BO135" s="64">
        <f>IFERROR(1/J135*(X135/H135),"0")</f>
        <v>5.1510989010989019E-3</v>
      </c>
      <c r="BP135" s="64">
        <f>IFERROR(1/J135*(Y135/H135),"0")</f>
        <v>5.4945054945054949E-3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0.9375</v>
      </c>
      <c r="Y137" s="635">
        <f>IFERROR(Y135/H135,"0")+IFERROR(Y136/H136,"0")</f>
        <v>1</v>
      </c>
      <c r="Z137" s="635">
        <f>IFERROR(IF(Z135="",0,Z135),"0")+IFERROR(IF(Z136="",0,Z136),"0")</f>
        <v>6.5100000000000002E-3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3</v>
      </c>
      <c r="Y138" s="635">
        <f>IFERROR(SUM(Y135:Y136),"0")</f>
        <v>3.2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4</v>
      </c>
      <c r="Y140" s="634">
        <f>IFERROR(IF(X140="",0,CEILING((X140/$H140),1)*$H140),"")</f>
        <v>5.6</v>
      </c>
      <c r="Z140" s="36">
        <f>IFERROR(IF(Y140=0,"",ROUNDUP(Y140/H140,0)*0.00651),"")</f>
        <v>1.302E-2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4.3828571428571435</v>
      </c>
      <c r="BN140" s="64">
        <f>IFERROR(Y140*I140/H140,"0")</f>
        <v>6.1359999999999992</v>
      </c>
      <c r="BO140" s="64">
        <f>IFERROR(1/J140*(X140/H140),"0")</f>
        <v>7.849293563579279E-3</v>
      </c>
      <c r="BP140" s="64">
        <f>IFERROR(1/J140*(Y140/H140),"0")</f>
        <v>1.098901098901099E-2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1.4285714285714286</v>
      </c>
      <c r="Y142" s="635">
        <f>IFERROR(Y140/H140,"0")+IFERROR(Y141/H141,"0")</f>
        <v>2</v>
      </c>
      <c r="Z142" s="635">
        <f>IFERROR(IF(Z140="",0,Z140),"0")+IFERROR(IF(Z141="",0,Z141),"0")</f>
        <v>1.302E-2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4</v>
      </c>
      <c r="Y143" s="635">
        <f>IFERROR(SUM(Y140:Y141),"0")</f>
        <v>5.6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25</v>
      </c>
      <c r="Y145" s="634">
        <f>IFERROR(IF(X145="",0,CEILING((X145/$H145),1)*$H145),"")</f>
        <v>26.400000000000002</v>
      </c>
      <c r="Z145" s="36">
        <f>IFERROR(IF(Y145=0,"",ROUNDUP(Y145/H145,0)*0.00651),"")</f>
        <v>6.5100000000000005E-2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27.537878787878789</v>
      </c>
      <c r="BN145" s="64">
        <f>IFERROR(Y145*I145/H145,"0")</f>
        <v>29.080000000000002</v>
      </c>
      <c r="BO145" s="64">
        <f>IFERROR(1/J145*(X145/H145),"0")</f>
        <v>5.2031302031302032E-2</v>
      </c>
      <c r="BP145" s="64">
        <f>IFERROR(1/J145*(Y145/H145),"0")</f>
        <v>5.4945054945054951E-2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9.4696969696969688</v>
      </c>
      <c r="Y147" s="635">
        <f>IFERROR(Y145/H145,"0")+IFERROR(Y146/H146,"0")</f>
        <v>10</v>
      </c>
      <c r="Z147" s="635">
        <f>IFERROR(IF(Z145="",0,Z145),"0")+IFERROR(IF(Z146="",0,Z146),"0")</f>
        <v>6.5100000000000005E-2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25</v>
      </c>
      <c r="Y148" s="635">
        <f>IFERROR(SUM(Y145:Y146),"0")</f>
        <v>26.400000000000002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140</v>
      </c>
      <c r="Y175" s="634">
        <f t="shared" ref="Y175:Y184" si="15">IFERROR(IF(X175="",0,CEILING((X175/$H175),1)*$H175),"")</f>
        <v>140</v>
      </c>
      <c r="Z175" s="36">
        <f>IFERROR(IF(Y175=0,"",ROUNDUP(Y175/H175,0)*0.00902),"")</f>
        <v>0.36080000000000001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147.6</v>
      </c>
      <c r="BN175" s="64">
        <f t="shared" ref="BN175:BN184" si="17">IFERROR(Y175*I175/H175,"0")</f>
        <v>147.6</v>
      </c>
      <c r="BO175" s="64">
        <f t="shared" ref="BO175:BO184" si="18">IFERROR(1/J175*(X175/H175),"0")</f>
        <v>0.30303030303030304</v>
      </c>
      <c r="BP175" s="64">
        <f t="shared" ref="BP175:BP184" si="19">IFERROR(1/J175*(Y175/H175),"0")</f>
        <v>0.30303030303030304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200</v>
      </c>
      <c r="Y177" s="634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200</v>
      </c>
      <c r="Y178" s="634">
        <f t="shared" si="15"/>
        <v>203</v>
      </c>
      <c r="Z178" s="36">
        <f>IFERROR(IF(Y178=0,"",ROUNDUP(Y178/H178,0)*0.00902),"")</f>
        <v>0.52316000000000007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210.85714285714286</v>
      </c>
      <c r="BN178" s="64">
        <f t="shared" si="17"/>
        <v>214.01999999999998</v>
      </c>
      <c r="BO178" s="64">
        <f t="shared" si="18"/>
        <v>0.43290043290043295</v>
      </c>
      <c r="BP178" s="64">
        <f t="shared" si="19"/>
        <v>0.43939393939393939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2</v>
      </c>
      <c r="Y179" s="634">
        <f t="shared" si="15"/>
        <v>2.7</v>
      </c>
      <c r="Z179" s="36">
        <f>IFERROR(IF(Y179=0,"",ROUNDUP(Y179/H179,0)*0.00726),"")</f>
        <v>2.1780000000000001E-2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2.4666666666666668</v>
      </c>
      <c r="BN179" s="64">
        <f t="shared" si="17"/>
        <v>3.33</v>
      </c>
      <c r="BO179" s="64">
        <f t="shared" si="18"/>
        <v>1.1574074074074073E-2</v>
      </c>
      <c r="BP179" s="64">
        <f t="shared" si="19"/>
        <v>1.5625E-2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81</v>
      </c>
      <c r="Y180" s="634">
        <f t="shared" si="15"/>
        <v>82.32</v>
      </c>
      <c r="Z180" s="36">
        <f>IFERROR(IF(Y180=0,"",ROUNDUP(Y180/H180,0)*0.00502),"")</f>
        <v>0.24598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85.821428571428584</v>
      </c>
      <c r="BN180" s="64">
        <f t="shared" si="17"/>
        <v>87.22</v>
      </c>
      <c r="BO180" s="64">
        <f t="shared" si="18"/>
        <v>0.20604395604395606</v>
      </c>
      <c r="BP180" s="64">
        <f t="shared" si="19"/>
        <v>0.20940170940170943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1</v>
      </c>
      <c r="Y181" s="634">
        <f t="shared" si="15"/>
        <v>1.8</v>
      </c>
      <c r="Z181" s="36">
        <f>IFERROR(IF(Y181=0,"",ROUNDUP(Y181/H181,0)*0.00417),"")</f>
        <v>8.3400000000000002E-3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1.2333333333333334</v>
      </c>
      <c r="BN181" s="64">
        <f t="shared" si="17"/>
        <v>2.2200000000000002</v>
      </c>
      <c r="BO181" s="64">
        <f t="shared" si="18"/>
        <v>3.5612535612535613E-3</v>
      </c>
      <c r="BP181" s="64">
        <f t="shared" si="19"/>
        <v>6.41025641025641E-3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70</v>
      </c>
      <c r="Y182" s="634">
        <f t="shared" si="15"/>
        <v>70.56</v>
      </c>
      <c r="Z182" s="36">
        <f>IFERROR(IF(Y182=0,"",ROUNDUP(Y182/H182,0)*0.00502),"")</f>
        <v>0.21084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74.166666666666671</v>
      </c>
      <c r="BN182" s="64">
        <f t="shared" si="17"/>
        <v>74.760000000000005</v>
      </c>
      <c r="BO182" s="64">
        <f t="shared" si="18"/>
        <v>0.17806267806267811</v>
      </c>
      <c r="BP182" s="64">
        <f t="shared" si="19"/>
        <v>0.17948717948717952</v>
      </c>
    </row>
    <row r="183" spans="1:68" ht="27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3</v>
      </c>
      <c r="Y183" s="634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3.333333333333333</v>
      </c>
      <c r="BN183" s="64">
        <f t="shared" si="17"/>
        <v>4</v>
      </c>
      <c r="BO183" s="64">
        <f t="shared" si="18"/>
        <v>1.0683760683760682E-2</v>
      </c>
      <c r="BP183" s="64">
        <f t="shared" si="19"/>
        <v>1.282051282051282E-2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71</v>
      </c>
      <c r="Y184" s="634">
        <f t="shared" si="15"/>
        <v>72.239999999999995</v>
      </c>
      <c r="Z184" s="36">
        <f>IFERROR(IF(Y184=0,"",ROUNDUP(Y184/H184,0)*0.00502),"")</f>
        <v>0.21586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75.226190476190482</v>
      </c>
      <c r="BN184" s="64">
        <f t="shared" si="17"/>
        <v>76.540000000000006</v>
      </c>
      <c r="BO184" s="64">
        <f t="shared" si="18"/>
        <v>0.18060643060643064</v>
      </c>
      <c r="BP184" s="64">
        <f t="shared" si="19"/>
        <v>0.18376068376068377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293.09523809523813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299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2.1266000000000003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768</v>
      </c>
      <c r="Y186" s="635">
        <f>IFERROR(SUM(Y175:Y184),"0")</f>
        <v>779.21999999999991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4</v>
      </c>
      <c r="Y223" s="634">
        <f t="shared" si="26"/>
        <v>4.2</v>
      </c>
      <c r="Z223" s="36">
        <f>IFERROR(IF(Y223=0,"",ROUNDUP(Y223/H223,0)*0.00502),"")</f>
        <v>1.004E-2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4.2476190476190476</v>
      </c>
      <c r="BN223" s="64">
        <f t="shared" si="28"/>
        <v>4.46</v>
      </c>
      <c r="BO223" s="64">
        <f t="shared" si="29"/>
        <v>8.1400081400081412E-3</v>
      </c>
      <c r="BP223" s="64">
        <f t="shared" si="30"/>
        <v>8.5470085470085479E-3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1.9047619047619047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1.004E-2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4</v>
      </c>
      <c r="Y233" s="635">
        <f>IFERROR(SUM(Y218:Y231),"0")</f>
        <v>4.2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101</v>
      </c>
      <c r="Y264" s="634">
        <f t="shared" ref="Y264:Y271" si="31">IFERROR(IF(X264="",0,CEILING((X264/$H264),1)*$H264),"")</f>
        <v>102.60000000000001</v>
      </c>
      <c r="Z264" s="36">
        <f>IFERROR(IF(Y264=0,"",ROUNDUP(Y264/H264,0)*0.00902),"")</f>
        <v>0.17138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104.5537037037037</v>
      </c>
      <c r="BN264" s="64">
        <f t="shared" ref="BN264:BN271" si="33">IFERROR(Y264*I264/H264,"0")</f>
        <v>106.21</v>
      </c>
      <c r="BO264" s="64">
        <f t="shared" ref="BO264:BO271" si="34">IFERROR(1/J264*(X264/H264),"0")</f>
        <v>0.14169472502805835</v>
      </c>
      <c r="BP264" s="64">
        <f t="shared" ref="BP264:BP271" si="35">IFERROR(1/J264*(Y264/H264),"0")</f>
        <v>0.14393939393939395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150</v>
      </c>
      <c r="Y265" s="634">
        <f t="shared" si="31"/>
        <v>151.20000000000002</v>
      </c>
      <c r="Z265" s="36">
        <f>IFERROR(IF(Y265=0,"",ROUNDUP(Y265/H265,0)*0.00902),"")</f>
        <v>0.25256000000000001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155.27777777777777</v>
      </c>
      <c r="BN265" s="64">
        <f t="shared" si="33"/>
        <v>156.52000000000001</v>
      </c>
      <c r="BO265" s="64">
        <f t="shared" si="34"/>
        <v>0.21043771043771042</v>
      </c>
      <c r="BP265" s="64">
        <f t="shared" si="35"/>
        <v>0.21212121212121213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106</v>
      </c>
      <c r="Y267" s="634">
        <f t="shared" si="31"/>
        <v>108</v>
      </c>
      <c r="Z267" s="36">
        <f>IFERROR(IF(Y267=0,"",ROUNDUP(Y267/H267,0)*0.00902),"")</f>
        <v>0.1804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109.72962962962961</v>
      </c>
      <c r="BN267" s="64">
        <f t="shared" si="33"/>
        <v>111.8</v>
      </c>
      <c r="BO267" s="64">
        <f t="shared" si="34"/>
        <v>0.14870931537598206</v>
      </c>
      <c r="BP267" s="64">
        <f t="shared" si="35"/>
        <v>0.15151515151515152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45</v>
      </c>
      <c r="Y268" s="634">
        <f t="shared" si="31"/>
        <v>45</v>
      </c>
      <c r="Z268" s="36">
        <f>IFERROR(IF(Y268=0,"",ROUNDUP(Y268/H268,0)*0.00502),"")</f>
        <v>0.1255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48.249999999999993</v>
      </c>
      <c r="BN268" s="64">
        <f t="shared" si="33"/>
        <v>48.249999999999993</v>
      </c>
      <c r="BO268" s="64">
        <f t="shared" si="34"/>
        <v>0.10683760683760685</v>
      </c>
      <c r="BP268" s="64">
        <f t="shared" si="35"/>
        <v>0.10683760683760685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45</v>
      </c>
      <c r="Y269" s="634">
        <f t="shared" si="31"/>
        <v>45</v>
      </c>
      <c r="Z269" s="36">
        <f>IFERROR(IF(Y269=0,"",ROUNDUP(Y269/H269,0)*0.00502),"")</f>
        <v>0.1255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47.5</v>
      </c>
      <c r="BN269" s="64">
        <f t="shared" si="33"/>
        <v>47.5</v>
      </c>
      <c r="BO269" s="64">
        <f t="shared" si="34"/>
        <v>0.10683760683760685</v>
      </c>
      <c r="BP269" s="64">
        <f t="shared" si="35"/>
        <v>0.10683760683760685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33</v>
      </c>
      <c r="Y271" s="634">
        <f t="shared" si="31"/>
        <v>34.200000000000003</v>
      </c>
      <c r="Z271" s="36">
        <f>IFERROR(IF(Y271=0,"",ROUNDUP(Y271/H271,0)*0.00502),"")</f>
        <v>9.5380000000000006E-2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34.833333333333329</v>
      </c>
      <c r="BN271" s="64">
        <f t="shared" si="33"/>
        <v>36.1</v>
      </c>
      <c r="BO271" s="64">
        <f t="shared" si="34"/>
        <v>7.8347578347578356E-2</v>
      </c>
      <c r="BP271" s="64">
        <f t="shared" si="35"/>
        <v>8.11965811965812E-2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162.22222222222223</v>
      </c>
      <c r="Y272" s="635">
        <f>IFERROR(Y264/H264,"0")+IFERROR(Y265/H265,"0")+IFERROR(Y266/H266,"0")+IFERROR(Y267/H267,"0")+IFERROR(Y268/H268,"0")+IFERROR(Y269/H269,"0")+IFERROR(Y270/H270,"0")+IFERROR(Y271/H271,"0")</f>
        <v>164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1.2032799999999999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630</v>
      </c>
      <c r="Y273" s="635">
        <f>IFERROR(SUM(Y264:Y271),"0")</f>
        <v>637.20000000000005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139</v>
      </c>
      <c r="Y275" s="634">
        <f t="shared" ref="Y275:Y285" si="36">IFERROR(IF(X275="",0,CEILING((X275/$H275),1)*$H275),"")</f>
        <v>145.79999999999998</v>
      </c>
      <c r="Z275" s="36">
        <f>IFERROR(IF(Y275=0,"",ROUNDUP(Y275/H275,0)*0.01898),"")</f>
        <v>0.34164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147.47728395061731</v>
      </c>
      <c r="BN275" s="64">
        <f t="shared" ref="BN275:BN285" si="38">IFERROR(Y275*I275/H275,"0")</f>
        <v>154.69199999999998</v>
      </c>
      <c r="BO275" s="64">
        <f t="shared" ref="BO275:BO285" si="39">IFERROR(1/J275*(X275/H275),"0")</f>
        <v>0.26813271604938271</v>
      </c>
      <c r="BP275" s="64">
        <f t="shared" ref="BP275:BP285" si="40">IFERROR(1/J275*(Y275/H275),"0")</f>
        <v>0.28125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21</v>
      </c>
      <c r="Y276" s="634">
        <f t="shared" si="36"/>
        <v>24.299999999999997</v>
      </c>
      <c r="Z276" s="36">
        <f>IFERROR(IF(Y276=0,"",ROUNDUP(Y276/H276,0)*0.01898),"")</f>
        <v>5.6940000000000004E-2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22.234074074074076</v>
      </c>
      <c r="BN276" s="64">
        <f t="shared" si="38"/>
        <v>25.727999999999998</v>
      </c>
      <c r="BO276" s="64">
        <f t="shared" si="39"/>
        <v>4.0509259259259259E-2</v>
      </c>
      <c r="BP276" s="64">
        <f t="shared" si="40"/>
        <v>4.6875E-2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36</v>
      </c>
      <c r="Y277" s="634">
        <f t="shared" si="36"/>
        <v>43.5</v>
      </c>
      <c r="Z277" s="36">
        <f>IFERROR(IF(Y277=0,"",ROUNDUP(Y277/H277,0)*0.01898),"")</f>
        <v>9.4899999999999998E-2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38.044137931034491</v>
      </c>
      <c r="BN277" s="64">
        <f t="shared" si="38"/>
        <v>45.970000000000006</v>
      </c>
      <c r="BO277" s="64">
        <f t="shared" si="39"/>
        <v>6.4655172413793108E-2</v>
      </c>
      <c r="BP277" s="64">
        <f t="shared" si="40"/>
        <v>7.8125E-2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177</v>
      </c>
      <c r="Y278" s="634">
        <f t="shared" si="36"/>
        <v>177.6</v>
      </c>
      <c r="Z278" s="36">
        <f>IFERROR(IF(Y278=0,"",ROUNDUP(Y278/H278,0)*0.00651),"")</f>
        <v>0.48174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196.91249999999999</v>
      </c>
      <c r="BN278" s="64">
        <f t="shared" si="38"/>
        <v>197.57999999999998</v>
      </c>
      <c r="BO278" s="64">
        <f t="shared" si="39"/>
        <v>0.40521978021978028</v>
      </c>
      <c r="BP278" s="64">
        <f t="shared" si="40"/>
        <v>0.40659340659340665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323</v>
      </c>
      <c r="Y280" s="634">
        <f t="shared" si="36"/>
        <v>324</v>
      </c>
      <c r="Z280" s="36">
        <f>IFERROR(IF(Y280=0,"",ROUNDUP(Y280/H280,0)*0.00651),"")</f>
        <v>0.87885000000000002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356.91500000000002</v>
      </c>
      <c r="BN280" s="64">
        <f t="shared" si="38"/>
        <v>358.02000000000004</v>
      </c>
      <c r="BO280" s="64">
        <f t="shared" si="39"/>
        <v>0.73946886446886462</v>
      </c>
      <c r="BP280" s="64">
        <f t="shared" si="40"/>
        <v>0.74175824175824179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120</v>
      </c>
      <c r="Y282" s="634">
        <f t="shared" si="36"/>
        <v>120</v>
      </c>
      <c r="Z282" s="36">
        <f>IFERROR(IF(Y282=0,"",ROUNDUP(Y282/H282,0)*0.00651),"")</f>
        <v>0.32550000000000001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132.60000000000002</v>
      </c>
      <c r="BN282" s="64">
        <f t="shared" si="38"/>
        <v>132.60000000000002</v>
      </c>
      <c r="BO282" s="64">
        <f t="shared" si="39"/>
        <v>0.27472527472527475</v>
      </c>
      <c r="BP282" s="64">
        <f t="shared" si="40"/>
        <v>0.27472527472527475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10</v>
      </c>
      <c r="Y283" s="634">
        <f t="shared" si="36"/>
        <v>12</v>
      </c>
      <c r="Z283" s="36">
        <f>IFERROR(IF(Y283=0,"",ROUNDUP(Y283/H283,0)*0.00651),"")</f>
        <v>3.2550000000000003E-2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11.050000000000002</v>
      </c>
      <c r="BN283" s="64">
        <f t="shared" si="38"/>
        <v>13.260000000000002</v>
      </c>
      <c r="BO283" s="64">
        <f t="shared" si="39"/>
        <v>2.2893772893772896E-2</v>
      </c>
      <c r="BP283" s="64">
        <f t="shared" si="40"/>
        <v>2.7472527472527476E-2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28</v>
      </c>
      <c r="Y284" s="634">
        <f t="shared" si="36"/>
        <v>28.799999999999997</v>
      </c>
      <c r="Z284" s="36">
        <f>IFERROR(IF(Y284=0,"",ROUNDUP(Y284/H284,0)*0.00651),"")</f>
        <v>7.8119999999999995E-2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31.009999999999998</v>
      </c>
      <c r="BN284" s="64">
        <f t="shared" si="38"/>
        <v>31.896000000000001</v>
      </c>
      <c r="BO284" s="64">
        <f t="shared" si="39"/>
        <v>6.4102564102564111E-2</v>
      </c>
      <c r="BP284" s="64">
        <f t="shared" si="40"/>
        <v>6.5934065934065936E-2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298.05768412090254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302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2.2902400000000003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854</v>
      </c>
      <c r="Y287" s="635">
        <f>IFERROR(SUM(Y275:Y285),"0")</f>
        <v>875.99999999999989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11</v>
      </c>
      <c r="Y334" s="634">
        <f>IFERROR(IF(X334="",0,CEILING((X334/$H334),1)*$H334),"")</f>
        <v>12</v>
      </c>
      <c r="Z334" s="36">
        <f>IFERROR(IF(Y334=0,"",ROUNDUP(Y334/H334,0)*0.00651),"")</f>
        <v>3.2550000000000003E-2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11.825000000000001</v>
      </c>
      <c r="BN334" s="64">
        <f>IFERROR(Y334*I334/H334,"0")</f>
        <v>12.9</v>
      </c>
      <c r="BO334" s="64">
        <f>IFERROR(1/J334*(X334/H334),"0")</f>
        <v>2.5183150183150187E-2</v>
      </c>
      <c r="BP334" s="64">
        <f>IFERROR(1/J334*(Y334/H334),"0")</f>
        <v>2.7472527472527476E-2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4.5833333333333339</v>
      </c>
      <c r="Y335" s="635">
        <f>IFERROR(Y332/H332,"0")+IFERROR(Y333/H333,"0")+IFERROR(Y334/H334,"0")</f>
        <v>5</v>
      </c>
      <c r="Z335" s="635">
        <f>IFERROR(IF(Z332="",0,Z332),"0")+IFERROR(IF(Z333="",0,Z333),"0")+IFERROR(IF(Z334="",0,Z334),"0")</f>
        <v>3.2550000000000003E-2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11</v>
      </c>
      <c r="Y336" s="635">
        <f>IFERROR(SUM(Y332:Y334),"0")</f>
        <v>12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170</v>
      </c>
      <c r="Y397" s="634">
        <f>IFERROR(IF(X397="",0,CEILING((X397/$H397),1)*$H397),"")</f>
        <v>171.6</v>
      </c>
      <c r="Z397" s="36">
        <f>IFERROR(IF(Y397=0,"",ROUNDUP(Y397/H397,0)*0.01898),"")</f>
        <v>0.41755999999999999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180.76666666666668</v>
      </c>
      <c r="BN397" s="64">
        <f>IFERROR(Y397*I397/H397,"0")</f>
        <v>182.46800000000002</v>
      </c>
      <c r="BO397" s="64">
        <f>IFERROR(1/J397*(X397/H397),"0")</f>
        <v>0.34054487179487181</v>
      </c>
      <c r="BP397" s="64">
        <f>IFERROR(1/J397*(Y397/H397),"0")</f>
        <v>0.34375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21.794871794871796</v>
      </c>
      <c r="Y399" s="635">
        <f>IFERROR(Y396/H396,"0")+IFERROR(Y397/H397,"0")+IFERROR(Y398/H398,"0")</f>
        <v>22</v>
      </c>
      <c r="Z399" s="635">
        <f>IFERROR(IF(Z396="",0,Z396),"0")+IFERROR(IF(Z397="",0,Z397),"0")+IFERROR(IF(Z398="",0,Z398),"0")</f>
        <v>0.41755999999999999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170</v>
      </c>
      <c r="Y400" s="635">
        <f>IFERROR(SUM(Y396:Y398),"0")</f>
        <v>171.6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1545</v>
      </c>
      <c r="Y439" s="634">
        <f t="shared" si="61"/>
        <v>1545</v>
      </c>
      <c r="Z439" s="36">
        <f>IFERROR(IF(Y439=0,"",ROUNDUP(Y439/H439,0)*0.02175),"")</f>
        <v>2.2402499999999996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1593.41</v>
      </c>
      <c r="BN439" s="64">
        <f t="shared" si="63"/>
        <v>1593.41</v>
      </c>
      <c r="BO439" s="64">
        <f t="shared" si="64"/>
        <v>2.145833333333333</v>
      </c>
      <c r="BP439" s="64">
        <f t="shared" si="65"/>
        <v>2.145833333333333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634</v>
      </c>
      <c r="Y440" s="634">
        <f t="shared" si="61"/>
        <v>645</v>
      </c>
      <c r="Z440" s="36">
        <f>IFERROR(IF(Y440=0,"",ROUNDUP(Y440/H440,0)*0.02175),"")</f>
        <v>0.93524999999999991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653.8653333333333</v>
      </c>
      <c r="BN440" s="64">
        <f t="shared" si="63"/>
        <v>665.20999999999992</v>
      </c>
      <c r="BO440" s="64">
        <f t="shared" si="64"/>
        <v>0.88055555555555554</v>
      </c>
      <c r="BP440" s="64">
        <f t="shared" si="65"/>
        <v>0.89583333333333326</v>
      </c>
    </row>
    <row r="441" spans="1:68" ht="27" hidden="1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0</v>
      </c>
      <c r="Y441" s="634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858</v>
      </c>
      <c r="Y442" s="634">
        <f t="shared" si="61"/>
        <v>870</v>
      </c>
      <c r="Z442" s="36">
        <f>IFERROR(IF(Y442=0,"",ROUNDUP(Y442/H442,0)*0.02175),"")</f>
        <v>1.2614999999999998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884.88400000000001</v>
      </c>
      <c r="BN442" s="64">
        <f t="shared" si="63"/>
        <v>897.2600000000001</v>
      </c>
      <c r="BO442" s="64">
        <f t="shared" si="64"/>
        <v>1.1916666666666667</v>
      </c>
      <c r="BP442" s="64">
        <f t="shared" si="65"/>
        <v>1.2083333333333333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202.46666666666664</v>
      </c>
      <c r="Y446" s="635">
        <f>IFERROR(Y438/H438,"0")+IFERROR(Y439/H439,"0")+IFERROR(Y440/H440,"0")+IFERROR(Y441/H441,"0")+IFERROR(Y442/H442,"0")+IFERROR(Y443/H443,"0")+IFERROR(Y444/H444,"0")+IFERROR(Y445/H445,"0")</f>
        <v>204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4.4369999999999994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3037</v>
      </c>
      <c r="Y447" s="635">
        <f>IFERROR(SUM(Y438:Y445),"0")</f>
        <v>3060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2281</v>
      </c>
      <c r="Y449" s="634">
        <f>IFERROR(IF(X449="",0,CEILING((X449/$H449),1)*$H449),"")</f>
        <v>2295</v>
      </c>
      <c r="Z449" s="36">
        <f>IFERROR(IF(Y449=0,"",ROUNDUP(Y449/H449,0)*0.02175),"")</f>
        <v>3.32775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2352.4713333333334</v>
      </c>
      <c r="BN449" s="64">
        <f>IFERROR(Y449*I449/H449,"0")</f>
        <v>2366.9100000000003</v>
      </c>
      <c r="BO449" s="64">
        <f>IFERROR(1/J449*(X449/H449),"0")</f>
        <v>3.1680555555555552</v>
      </c>
      <c r="BP449" s="64">
        <f>IFERROR(1/J449*(Y449/H449),"0")</f>
        <v>3.1875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152.06666666666666</v>
      </c>
      <c r="Y452" s="635">
        <f>IFERROR(Y449/H449,"0")+IFERROR(Y450/H450,"0")+IFERROR(Y451/H451,"0")</f>
        <v>153</v>
      </c>
      <c r="Z452" s="635">
        <f>IFERROR(IF(Z449="",0,Z449),"0")+IFERROR(IF(Z450="",0,Z450),"0")+IFERROR(IF(Z451="",0,Z451),"0")</f>
        <v>3.32775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2281</v>
      </c>
      <c r="Y453" s="635">
        <f>IFERROR(SUM(Y449:Y451),"0")</f>
        <v>2295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10</v>
      </c>
      <c r="Y456" s="634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10.548888888888889</v>
      </c>
      <c r="BN456" s="64">
        <f>IFERROR(Y456*I456/H456,"0")</f>
        <v>18.988</v>
      </c>
      <c r="BO456" s="64">
        <f>IFERROR(1/J456*(X456/H456),"0")</f>
        <v>1.7361111111111112E-2</v>
      </c>
      <c r="BP456" s="64">
        <f>IFERROR(1/J456*(Y456/H456),"0")</f>
        <v>3.125E-2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1.1111111111111112</v>
      </c>
      <c r="Y458" s="635">
        <f>IFERROR(Y455/H455,"0")+IFERROR(Y456/H456,"0")+IFERROR(Y457/H457,"0")</f>
        <v>2</v>
      </c>
      <c r="Z458" s="635">
        <f>IFERROR(IF(Z455="",0,Z455),"0")+IFERROR(IF(Z456="",0,Z456),"0")+IFERROR(IF(Z457="",0,Z457),"0")</f>
        <v>3.7960000000000001E-2</v>
      </c>
      <c r="AA458" s="636"/>
      <c r="AB458" s="636"/>
      <c r="AC458" s="636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10</v>
      </c>
      <c r="Y459" s="635">
        <f>IFERROR(SUM(Y455:Y457),"0")</f>
        <v>18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hidden="1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0</v>
      </c>
      <c r="Y479" s="635">
        <f>IFERROR(Y476/H476,"0")+IFERROR(Y477/H477,"0")+IFERROR(Y478/H478,"0")</f>
        <v>0</v>
      </c>
      <c r="Z479" s="635">
        <f>IFERROR(IF(Z476="",0,Z476),"0")+IFERROR(IF(Z477="",0,Z477),"0")+IFERROR(IF(Z478="",0,Z478),"0")</f>
        <v>0</v>
      </c>
      <c r="AA479" s="636"/>
      <c r="AB479" s="636"/>
      <c r="AC479" s="636"/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0</v>
      </c>
      <c r="Y480" s="635">
        <f>IFERROR(SUM(Y476:Y478),"0")</f>
        <v>0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88</v>
      </c>
      <c r="Y513" s="634">
        <f t="shared" si="71"/>
        <v>89.76</v>
      </c>
      <c r="Z513" s="36">
        <f>IFERROR(IF(Y513=0,"",ROUNDUP(Y513/H513,0)*0.01196),"")</f>
        <v>0.20332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93.833333333333329</v>
      </c>
      <c r="BN513" s="64">
        <f t="shared" si="73"/>
        <v>95.710000000000008</v>
      </c>
      <c r="BO513" s="64">
        <f t="shared" si="74"/>
        <v>0.16025641025641024</v>
      </c>
      <c r="BP513" s="64">
        <f t="shared" si="75"/>
        <v>0.16346153846153846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53</v>
      </c>
      <c r="Y514" s="634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56.513257575757571</v>
      </c>
      <c r="BN514" s="64">
        <f t="shared" si="73"/>
        <v>61.93</v>
      </c>
      <c r="BO514" s="64">
        <f t="shared" si="74"/>
        <v>9.6518065268065265E-2</v>
      </c>
      <c r="BP514" s="64">
        <f t="shared" si="75"/>
        <v>0.10576923076923078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26.704545454545453</v>
      </c>
      <c r="Y518" s="635">
        <f>IFERROR(Y510/H510,"0")+IFERROR(Y511/H511,"0")+IFERROR(Y512/H512,"0")+IFERROR(Y513/H513,"0")+IFERROR(Y514/H514,"0")+IFERROR(Y515/H515,"0")+IFERROR(Y516/H516,"0")+IFERROR(Y517/H517,"0")</f>
        <v>28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0.33488000000000001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141</v>
      </c>
      <c r="Y519" s="635">
        <f>IFERROR(SUM(Y510:Y517),"0")</f>
        <v>147.84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24</v>
      </c>
      <c r="Y523" s="634">
        <f>IFERROR(IF(X523="",0,CEILING((X523/$H523),1)*$H523),"")</f>
        <v>24</v>
      </c>
      <c r="Z523" s="36">
        <f>IFERROR(IF(Y523=0,"",ROUNDUP(Y523/H523,0)*0.00902),"")</f>
        <v>4.5100000000000001E-2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34.550000000000004</v>
      </c>
      <c r="BN523" s="64">
        <f>IFERROR(Y523*I523/H523,"0")</f>
        <v>34.550000000000004</v>
      </c>
      <c r="BO523" s="64">
        <f>IFERROR(1/J523*(X523/H523),"0")</f>
        <v>3.787878787878788E-2</v>
      </c>
      <c r="BP523" s="64">
        <f>IFERROR(1/J523*(Y523/H523),"0")</f>
        <v>3.787878787878788E-2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5</v>
      </c>
      <c r="Y524" s="635">
        <f>IFERROR(Y521/H521,"0")+IFERROR(Y522/H522,"0")+IFERROR(Y523/H523,"0")</f>
        <v>5</v>
      </c>
      <c r="Z524" s="635">
        <f>IFERROR(IF(Z521="",0,Z521),"0")+IFERROR(IF(Z522="",0,Z522),"0")+IFERROR(IF(Z523="",0,Z523),"0")</f>
        <v>4.5100000000000001E-2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24</v>
      </c>
      <c r="Y525" s="635">
        <f>IFERROR(SUM(Y521:Y523),"0")</f>
        <v>24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idden="1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0</v>
      </c>
      <c r="Y534" s="635">
        <f>IFERROR(Y527/H527,"0")+IFERROR(Y528/H528,"0")+IFERROR(Y529/H529,"0")+IFERROR(Y530/H530,"0")+IFERROR(Y531/H531,"0")+IFERROR(Y532/H532,"0")+IFERROR(Y533/H533,"0")</f>
        <v>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36"/>
      <c r="AB534" s="636"/>
      <c r="AC534" s="636"/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0</v>
      </c>
      <c r="Y535" s="635">
        <f>IFERROR(SUM(Y527:Y533),"0")</f>
        <v>0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8798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8925.9599999999991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9194.7630287038428</v>
      </c>
      <c r="Y565" s="635">
        <f>IFERROR(SUM(BN22:BN561),"0")</f>
        <v>9329.3039999999983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9569.7630287038428</v>
      </c>
      <c r="Y567" s="635">
        <f>GrossWeightTotalR+PalletQtyTotalR*25</f>
        <v>9704.3039999999983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1282.225585817971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1304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16.191090000000003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162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40.400000000000006</v>
      </c>
      <c r="F574" s="46">
        <f>IFERROR(Y89*1,"0")+IFERROR(Y90*1,"0")+IFERROR(Y91*1,"0")+IFERROR(Y92*1,"0")+IFERROR(Y93*1,"0")+IFERROR(Y94*1,"0")+IFERROR(Y98*1,"0")+IFERROR(Y99*1,"0")+IFERROR(Y100*1,"0")+IFERROR(Y101*1,"0")</f>
        <v>240.3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423</v>
      </c>
      <c r="H574" s="46">
        <f>IFERROR(Y135*1,"0")+IFERROR(Y136*1,"0")+IFERROR(Y140*1,"0")+IFERROR(Y141*1,"0")+IFERROR(Y145*1,"0")+IFERROR(Y146*1,"0")</f>
        <v>35.200000000000003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779.21999999999991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4.2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1513.1999999999998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12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171.6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5373</v>
      </c>
      <c r="Y574" s="46">
        <f>IFERROR(Y467*1,"0")+IFERROR(Y468*1,"0")+IFERROR(Y472*1,"0")+IFERROR(Y476*1,"0")+IFERROR(Y477*1,"0")+IFERROR(Y478*1,"0")</f>
        <v>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171.84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4"/>
        <filter val="1 282,23"/>
        <filter val="1 545,00"/>
        <filter val="1,00"/>
        <filter val="1,11"/>
        <filter val="1,43"/>
        <filter val="1,57"/>
        <filter val="1,90"/>
        <filter val="10,00"/>
        <filter val="101,00"/>
        <filter val="106,00"/>
        <filter val="11,00"/>
        <filter val="12,44"/>
        <filter val="120,00"/>
        <filter val="139,00"/>
        <filter val="14,26"/>
        <filter val="140,00"/>
        <filter val="141,00"/>
        <filter val="15"/>
        <filter val="150,00"/>
        <filter val="152,07"/>
        <filter val="154,00"/>
        <filter val="16,00"/>
        <filter val="162,22"/>
        <filter val="17,00"/>
        <filter val="170,00"/>
        <filter val="177,00"/>
        <filter val="18,52"/>
        <filter val="2 281,00"/>
        <filter val="2,00"/>
        <filter val="2,43"/>
        <filter val="200,00"/>
        <filter val="202,47"/>
        <filter val="21,00"/>
        <filter val="21,79"/>
        <filter val="24,00"/>
        <filter val="25,00"/>
        <filter val="26,70"/>
        <filter val="28,00"/>
        <filter val="293,10"/>
        <filter val="298,06"/>
        <filter val="3 037,00"/>
        <filter val="3,00"/>
        <filter val="323,00"/>
        <filter val="33,00"/>
        <filter val="36,00"/>
        <filter val="361,00"/>
        <filter val="4,00"/>
        <filter val="4,58"/>
        <filter val="44,57"/>
        <filter val="45,00"/>
        <filter val="5,00"/>
        <filter val="53,00"/>
        <filter val="56,00"/>
        <filter val="6,00"/>
        <filter val="630,00"/>
        <filter val="634,00"/>
        <filter val="7,59"/>
        <filter val="70,00"/>
        <filter val="71,00"/>
        <filter val="768,00"/>
        <filter val="8 798,00"/>
        <filter val="81,00"/>
        <filter val="82,00"/>
        <filter val="854,00"/>
        <filter val="858,00"/>
        <filter val="88,00"/>
        <filter val="9 194,76"/>
        <filter val="9 569,76"/>
        <filter val="9,47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