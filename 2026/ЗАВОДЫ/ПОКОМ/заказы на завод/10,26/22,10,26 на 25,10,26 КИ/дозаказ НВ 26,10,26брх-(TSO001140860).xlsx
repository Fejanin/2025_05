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8FCE7C6-0B83-44F8-A676-AB2AAB0FDA9C}" xr6:coauthVersionLast="47" xr6:coauthVersionMax="47" xr10:uidLastSave="{00000000-0000-0000-0000-000000000000}"/>
  <bookViews>
    <workbookView xWindow="60" yWindow="0" windowWidth="28740" windowHeight="1539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2" l="1"/>
  <c r="X563" i="2"/>
  <c r="BO562" i="2"/>
  <c r="BM562" i="2"/>
  <c r="Y562" i="2"/>
  <c r="P562" i="2"/>
  <c r="X559" i="2"/>
  <c r="X558" i="2"/>
  <c r="BO557" i="2"/>
  <c r="BN557" i="2"/>
  <c r="BM557" i="2"/>
  <c r="Z557" i="2"/>
  <c r="Y557" i="2"/>
  <c r="BP557" i="2" s="1"/>
  <c r="P557" i="2"/>
  <c r="BO556" i="2"/>
  <c r="BM556" i="2"/>
  <c r="Y556" i="2"/>
  <c r="Y559" i="2" s="1"/>
  <c r="P556" i="2"/>
  <c r="X554" i="2"/>
  <c r="X553" i="2"/>
  <c r="BO552" i="2"/>
  <c r="BM552" i="2"/>
  <c r="Y552" i="2"/>
  <c r="BP552" i="2" s="1"/>
  <c r="P552" i="2"/>
  <c r="X550" i="2"/>
  <c r="X549" i="2"/>
  <c r="BO548" i="2"/>
  <c r="BM548" i="2"/>
  <c r="Y548" i="2"/>
  <c r="Z548" i="2" s="1"/>
  <c r="Z549" i="2" s="1"/>
  <c r="P548" i="2"/>
  <c r="X546" i="2"/>
  <c r="X545" i="2"/>
  <c r="BO544" i="2"/>
  <c r="BM544" i="2"/>
  <c r="Y544" i="2"/>
  <c r="BN544" i="2" s="1"/>
  <c r="P544" i="2"/>
  <c r="X542" i="2"/>
  <c r="X541" i="2"/>
  <c r="BO540" i="2"/>
  <c r="BM540" i="2"/>
  <c r="Y540" i="2"/>
  <c r="P540" i="2"/>
  <c r="X536" i="2"/>
  <c r="X535" i="2"/>
  <c r="BO534" i="2"/>
  <c r="BM534" i="2"/>
  <c r="Y534" i="2"/>
  <c r="Z534" i="2" s="1"/>
  <c r="P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P530" i="2"/>
  <c r="BO529" i="2"/>
  <c r="BM529" i="2"/>
  <c r="Y529" i="2"/>
  <c r="Z529" i="2" s="1"/>
  <c r="P529" i="2"/>
  <c r="BO528" i="2"/>
  <c r="BM528" i="2"/>
  <c r="Y528" i="2"/>
  <c r="BP528" i="2" s="1"/>
  <c r="P528" i="2"/>
  <c r="X526" i="2"/>
  <c r="X525" i="2"/>
  <c r="BO524" i="2"/>
  <c r="BM524" i="2"/>
  <c r="Y524" i="2"/>
  <c r="Z524" i="2" s="1"/>
  <c r="P524" i="2"/>
  <c r="BO523" i="2"/>
  <c r="BM523" i="2"/>
  <c r="Y523" i="2"/>
  <c r="BN523" i="2" s="1"/>
  <c r="P523" i="2"/>
  <c r="BO522" i="2"/>
  <c r="BM522" i="2"/>
  <c r="Y522" i="2"/>
  <c r="P522" i="2"/>
  <c r="X520" i="2"/>
  <c r="X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Z514" i="2" s="1"/>
  <c r="P514" i="2"/>
  <c r="BP513" i="2"/>
  <c r="BO513" i="2"/>
  <c r="BN513" i="2"/>
  <c r="BM513" i="2"/>
  <c r="Z513" i="2"/>
  <c r="Y513" i="2"/>
  <c r="P513" i="2"/>
  <c r="BO512" i="2"/>
  <c r="BM512" i="2"/>
  <c r="Y512" i="2"/>
  <c r="P512" i="2"/>
  <c r="BO511" i="2"/>
  <c r="BM511" i="2"/>
  <c r="Y511" i="2"/>
  <c r="BP511" i="2" s="1"/>
  <c r="P511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N499" i="2"/>
  <c r="BM499" i="2"/>
  <c r="Y499" i="2"/>
  <c r="Y500" i="2" s="1"/>
  <c r="P499" i="2"/>
  <c r="X496" i="2"/>
  <c r="Y495" i="2"/>
  <c r="X495" i="2"/>
  <c r="BP494" i="2"/>
  <c r="BO494" i="2"/>
  <c r="BN494" i="2"/>
  <c r="BM494" i="2"/>
  <c r="Z494" i="2"/>
  <c r="Z495" i="2" s="1"/>
  <c r="Y494" i="2"/>
  <c r="Y496" i="2" s="1"/>
  <c r="P494" i="2"/>
  <c r="X492" i="2"/>
  <c r="X491" i="2"/>
  <c r="BO490" i="2"/>
  <c r="BM490" i="2"/>
  <c r="Y490" i="2"/>
  <c r="BN490" i="2" s="1"/>
  <c r="P490" i="2"/>
  <c r="BO489" i="2"/>
  <c r="BM489" i="2"/>
  <c r="Y489" i="2"/>
  <c r="Z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P485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BO477" i="2"/>
  <c r="BM477" i="2"/>
  <c r="Y477" i="2"/>
  <c r="Z477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P469" i="2"/>
  <c r="BO468" i="2"/>
  <c r="BM468" i="2"/>
  <c r="Y468" i="2"/>
  <c r="P468" i="2"/>
  <c r="X465" i="2"/>
  <c r="X464" i="2"/>
  <c r="BO463" i="2"/>
  <c r="BN463" i="2"/>
  <c r="BM463" i="2"/>
  <c r="Y463" i="2"/>
  <c r="BP463" i="2" s="1"/>
  <c r="P463" i="2"/>
  <c r="BO462" i="2"/>
  <c r="BM462" i="2"/>
  <c r="Y462" i="2"/>
  <c r="Y464" i="2" s="1"/>
  <c r="P462" i="2"/>
  <c r="X460" i="2"/>
  <c r="X459" i="2"/>
  <c r="BO458" i="2"/>
  <c r="BM458" i="2"/>
  <c r="Y458" i="2"/>
  <c r="BP458" i="2" s="1"/>
  <c r="P458" i="2"/>
  <c r="BO457" i="2"/>
  <c r="BM457" i="2"/>
  <c r="Y457" i="2"/>
  <c r="P457" i="2"/>
  <c r="BO456" i="2"/>
  <c r="BM456" i="2"/>
  <c r="Y456" i="2"/>
  <c r="Y460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P439" i="2"/>
  <c r="BO439" i="2"/>
  <c r="BM439" i="2"/>
  <c r="Y439" i="2"/>
  <c r="BN439" i="2" s="1"/>
  <c r="P439" i="2"/>
  <c r="X435" i="2"/>
  <c r="X434" i="2"/>
  <c r="BO433" i="2"/>
  <c r="BM433" i="2"/>
  <c r="Y433" i="2"/>
  <c r="BP433" i="2" s="1"/>
  <c r="P433" i="2"/>
  <c r="BO432" i="2"/>
  <c r="BM432" i="2"/>
  <c r="Y432" i="2"/>
  <c r="BN432" i="2" s="1"/>
  <c r="P432" i="2"/>
  <c r="BO431" i="2"/>
  <c r="BM431" i="2"/>
  <c r="Y431" i="2"/>
  <c r="Y434" i="2" s="1"/>
  <c r="P431" i="2"/>
  <c r="X428" i="2"/>
  <c r="X427" i="2"/>
  <c r="BO426" i="2"/>
  <c r="BM426" i="2"/>
  <c r="Y426" i="2"/>
  <c r="P426" i="2"/>
  <c r="BO425" i="2"/>
  <c r="BM425" i="2"/>
  <c r="Y425" i="2"/>
  <c r="P425" i="2"/>
  <c r="BO424" i="2"/>
  <c r="BM424" i="2"/>
  <c r="Y424" i="2"/>
  <c r="BP424" i="2" s="1"/>
  <c r="P424" i="2"/>
  <c r="X421" i="2"/>
  <c r="X420" i="2"/>
  <c r="BO419" i="2"/>
  <c r="BM419" i="2"/>
  <c r="Y419" i="2"/>
  <c r="Z419" i="2" s="1"/>
  <c r="P419" i="2"/>
  <c r="BO418" i="2"/>
  <c r="BM418" i="2"/>
  <c r="Y418" i="2"/>
  <c r="Z418" i="2" s="1"/>
  <c r="P418" i="2"/>
  <c r="BO417" i="2"/>
  <c r="BM417" i="2"/>
  <c r="Y417" i="2"/>
  <c r="BP417" i="2" s="1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P406" i="2"/>
  <c r="BO405" i="2"/>
  <c r="BM405" i="2"/>
  <c r="Y405" i="2"/>
  <c r="P405" i="2"/>
  <c r="BO404" i="2"/>
  <c r="BM404" i="2"/>
  <c r="Y404" i="2"/>
  <c r="BN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P398" i="2"/>
  <c r="BO398" i="2"/>
  <c r="BM398" i="2"/>
  <c r="Y398" i="2"/>
  <c r="P398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Z382" i="2"/>
  <c r="Y382" i="2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Z376" i="2" s="1"/>
  <c r="P376" i="2"/>
  <c r="BO375" i="2"/>
  <c r="BM375" i="2"/>
  <c r="Y375" i="2"/>
  <c r="P375" i="2"/>
  <c r="BO374" i="2"/>
  <c r="BM374" i="2"/>
  <c r="Y374" i="2"/>
  <c r="BP374" i="2" s="1"/>
  <c r="P374" i="2"/>
  <c r="BO373" i="2"/>
  <c r="BN373" i="2"/>
  <c r="BM373" i="2"/>
  <c r="Y373" i="2"/>
  <c r="BP373" i="2" s="1"/>
  <c r="P373" i="2"/>
  <c r="BO372" i="2"/>
  <c r="BM372" i="2"/>
  <c r="Y372" i="2"/>
  <c r="P372" i="2"/>
  <c r="BO371" i="2"/>
  <c r="BM371" i="2"/>
  <c r="Y371" i="2"/>
  <c r="BP371" i="2" s="1"/>
  <c r="P371" i="2"/>
  <c r="X368" i="2"/>
  <c r="X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P364" i="2"/>
  <c r="X361" i="2"/>
  <c r="X360" i="2"/>
  <c r="BO359" i="2"/>
  <c r="BM359" i="2"/>
  <c r="Y359" i="2"/>
  <c r="BN359" i="2" s="1"/>
  <c r="P359" i="2"/>
  <c r="X357" i="2"/>
  <c r="X356" i="2"/>
  <c r="BO355" i="2"/>
  <c r="BM355" i="2"/>
  <c r="Y355" i="2"/>
  <c r="Y356" i="2" s="1"/>
  <c r="P355" i="2"/>
  <c r="X352" i="2"/>
  <c r="X351" i="2"/>
  <c r="BP350" i="2"/>
  <c r="BO350" i="2"/>
  <c r="BM350" i="2"/>
  <c r="Z350" i="2"/>
  <c r="Y350" i="2"/>
  <c r="BN350" i="2" s="1"/>
  <c r="P350" i="2"/>
  <c r="BO349" i="2"/>
  <c r="BM349" i="2"/>
  <c r="Y349" i="2"/>
  <c r="P349" i="2"/>
  <c r="BO348" i="2"/>
  <c r="BM348" i="2"/>
  <c r="Y348" i="2"/>
  <c r="P348" i="2"/>
  <c r="X346" i="2"/>
  <c r="X345" i="2"/>
  <c r="BO344" i="2"/>
  <c r="BM344" i="2"/>
  <c r="Y344" i="2"/>
  <c r="P344" i="2"/>
  <c r="BO343" i="2"/>
  <c r="BM343" i="2"/>
  <c r="Y343" i="2"/>
  <c r="BP343" i="2" s="1"/>
  <c r="P343" i="2"/>
  <c r="BO342" i="2"/>
  <c r="BM342" i="2"/>
  <c r="Y342" i="2"/>
  <c r="Z342" i="2" s="1"/>
  <c r="P342" i="2"/>
  <c r="BO341" i="2"/>
  <c r="BM341" i="2"/>
  <c r="Y341" i="2"/>
  <c r="Z341" i="2" s="1"/>
  <c r="P341" i="2"/>
  <c r="X338" i="2"/>
  <c r="X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P334" i="2"/>
  <c r="X331" i="2"/>
  <c r="X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P326" i="2"/>
  <c r="BO325" i="2"/>
  <c r="BM325" i="2"/>
  <c r="Y325" i="2"/>
  <c r="P325" i="2"/>
  <c r="BO324" i="2"/>
  <c r="BM324" i="2"/>
  <c r="Y324" i="2"/>
  <c r="P324" i="2"/>
  <c r="BO323" i="2"/>
  <c r="BM323" i="2"/>
  <c r="Y323" i="2"/>
  <c r="P323" i="2"/>
  <c r="X320" i="2"/>
  <c r="X319" i="2"/>
  <c r="BO318" i="2"/>
  <c r="BM318" i="2"/>
  <c r="Y318" i="2"/>
  <c r="BN318" i="2" s="1"/>
  <c r="P318" i="2"/>
  <c r="BO317" i="2"/>
  <c r="BM317" i="2"/>
  <c r="Y317" i="2"/>
  <c r="BP317" i="2" s="1"/>
  <c r="P317" i="2"/>
  <c r="BP316" i="2"/>
  <c r="BO316" i="2"/>
  <c r="BM316" i="2"/>
  <c r="Z316" i="2"/>
  <c r="Y316" i="2"/>
  <c r="BN316" i="2" s="1"/>
  <c r="P316" i="2"/>
  <c r="BO315" i="2"/>
  <c r="BN315" i="2"/>
  <c r="BM315" i="2"/>
  <c r="Y315" i="2"/>
  <c r="BP315" i="2" s="1"/>
  <c r="P315" i="2"/>
  <c r="X313" i="2"/>
  <c r="X312" i="2"/>
  <c r="BP311" i="2"/>
  <c r="BO311" i="2"/>
  <c r="BM311" i="2"/>
  <c r="Z311" i="2"/>
  <c r="Z312" i="2" s="1"/>
  <c r="Y311" i="2"/>
  <c r="Y313" i="2" s="1"/>
  <c r="P311" i="2"/>
  <c r="X309" i="2"/>
  <c r="X308" i="2"/>
  <c r="BO307" i="2"/>
  <c r="BM307" i="2"/>
  <c r="Y307" i="2"/>
  <c r="Y308" i="2" s="1"/>
  <c r="P307" i="2"/>
  <c r="X305" i="2"/>
  <c r="X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Z299" i="2" s="1"/>
  <c r="P299" i="2"/>
  <c r="BO298" i="2"/>
  <c r="BM298" i="2"/>
  <c r="Y298" i="2"/>
  <c r="BP298" i="2" s="1"/>
  <c r="P298" i="2"/>
  <c r="BO297" i="2"/>
  <c r="BM297" i="2"/>
  <c r="Y297" i="2"/>
  <c r="BN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P282" i="2"/>
  <c r="BO281" i="2"/>
  <c r="BM281" i="2"/>
  <c r="Y281" i="2"/>
  <c r="BP281" i="2" s="1"/>
  <c r="P281" i="2"/>
  <c r="BP280" i="2"/>
  <c r="BO280" i="2"/>
  <c r="BM280" i="2"/>
  <c r="Y280" i="2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BN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X263" i="2"/>
  <c r="X262" i="2"/>
  <c r="BO261" i="2"/>
  <c r="BM261" i="2"/>
  <c r="Y261" i="2"/>
  <c r="BP261" i="2" s="1"/>
  <c r="P261" i="2"/>
  <c r="BO260" i="2"/>
  <c r="BM260" i="2"/>
  <c r="Y260" i="2"/>
  <c r="Y263" i="2" s="1"/>
  <c r="P260" i="2"/>
  <c r="X258" i="2"/>
  <c r="X257" i="2"/>
  <c r="BO256" i="2"/>
  <c r="BM256" i="2"/>
  <c r="Y256" i="2"/>
  <c r="BP256" i="2" s="1"/>
  <c r="P256" i="2"/>
  <c r="BO255" i="2"/>
  <c r="BM255" i="2"/>
  <c r="Y255" i="2"/>
  <c r="Y257" i="2" s="1"/>
  <c r="P255" i="2"/>
  <c r="X252" i="2"/>
  <c r="X251" i="2"/>
  <c r="BO250" i="2"/>
  <c r="BM250" i="2"/>
  <c r="Y250" i="2"/>
  <c r="Z250" i="2" s="1"/>
  <c r="Z251" i="2" s="1"/>
  <c r="P250" i="2"/>
  <c r="X248" i="2"/>
  <c r="X247" i="2"/>
  <c r="BO246" i="2"/>
  <c r="BM246" i="2"/>
  <c r="Y246" i="2"/>
  <c r="P246" i="2"/>
  <c r="BO245" i="2"/>
  <c r="BM245" i="2"/>
  <c r="Y245" i="2"/>
  <c r="Z245" i="2" s="1"/>
  <c r="P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P236" i="2"/>
  <c r="X234" i="2"/>
  <c r="X233" i="2"/>
  <c r="BO232" i="2"/>
  <c r="BM232" i="2"/>
  <c r="Y232" i="2"/>
  <c r="BN232" i="2" s="1"/>
  <c r="P232" i="2"/>
  <c r="BO231" i="2"/>
  <c r="BM231" i="2"/>
  <c r="Y231" i="2"/>
  <c r="BP231" i="2" s="1"/>
  <c r="P231" i="2"/>
  <c r="BO230" i="2"/>
  <c r="BN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P206" i="2"/>
  <c r="BO206" i="2"/>
  <c r="BM206" i="2"/>
  <c r="Y206" i="2"/>
  <c r="P206" i="2"/>
  <c r="BO205" i="2"/>
  <c r="BM205" i="2"/>
  <c r="Y205" i="2"/>
  <c r="P205" i="2"/>
  <c r="X201" i="2"/>
  <c r="X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N190" i="2"/>
  <c r="BM190" i="2"/>
  <c r="Z190" i="2"/>
  <c r="Y190" i="2"/>
  <c r="P190" i="2"/>
  <c r="X188" i="2"/>
  <c r="X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X174" i="2"/>
  <c r="X173" i="2"/>
  <c r="BO172" i="2"/>
  <c r="BM172" i="2"/>
  <c r="Y172" i="2"/>
  <c r="BP172" i="2" s="1"/>
  <c r="P172" i="2"/>
  <c r="BO171" i="2"/>
  <c r="BM171" i="2"/>
  <c r="Y171" i="2"/>
  <c r="Y174" i="2" s="1"/>
  <c r="P171" i="2"/>
  <c r="X169" i="2"/>
  <c r="X168" i="2"/>
  <c r="BO167" i="2"/>
  <c r="BM167" i="2"/>
  <c r="Y167" i="2"/>
  <c r="BN167" i="2" s="1"/>
  <c r="P167" i="2"/>
  <c r="BO166" i="2"/>
  <c r="BM166" i="2"/>
  <c r="Y166" i="2"/>
  <c r="BP166" i="2" s="1"/>
  <c r="P166" i="2"/>
  <c r="BO165" i="2"/>
  <c r="BN165" i="2"/>
  <c r="BM165" i="2"/>
  <c r="Y165" i="2"/>
  <c r="BP165" i="2" s="1"/>
  <c r="P165" i="2"/>
  <c r="BO164" i="2"/>
  <c r="BM164" i="2"/>
  <c r="Y164" i="2"/>
  <c r="BN164" i="2" s="1"/>
  <c r="P164" i="2"/>
  <c r="X161" i="2"/>
  <c r="Y160" i="2"/>
  <c r="X160" i="2"/>
  <c r="BO159" i="2"/>
  <c r="BN159" i="2"/>
  <c r="BM159" i="2"/>
  <c r="Y159" i="2"/>
  <c r="Y161" i="2" s="1"/>
  <c r="P159" i="2"/>
  <c r="X157" i="2"/>
  <c r="X156" i="2"/>
  <c r="BO155" i="2"/>
  <c r="BM155" i="2"/>
  <c r="Y155" i="2"/>
  <c r="BP155" i="2" s="1"/>
  <c r="P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X149" i="2"/>
  <c r="X148" i="2"/>
  <c r="BO147" i="2"/>
  <c r="BM147" i="2"/>
  <c r="Y147" i="2"/>
  <c r="P147" i="2"/>
  <c r="BO146" i="2"/>
  <c r="BM146" i="2"/>
  <c r="Y146" i="2"/>
  <c r="BP146" i="2" s="1"/>
  <c r="P146" i="2"/>
  <c r="X144" i="2"/>
  <c r="X143" i="2"/>
  <c r="BO142" i="2"/>
  <c r="BM142" i="2"/>
  <c r="Y142" i="2"/>
  <c r="BP142" i="2" s="1"/>
  <c r="P142" i="2"/>
  <c r="BO141" i="2"/>
  <c r="BM141" i="2"/>
  <c r="Y141" i="2"/>
  <c r="P141" i="2"/>
  <c r="X139" i="2"/>
  <c r="X138" i="2"/>
  <c r="BO137" i="2"/>
  <c r="BM137" i="2"/>
  <c r="Y137" i="2"/>
  <c r="Z137" i="2" s="1"/>
  <c r="P137" i="2"/>
  <c r="BO136" i="2"/>
  <c r="BM136" i="2"/>
  <c r="Y136" i="2"/>
  <c r="Y138" i="2" s="1"/>
  <c r="P136" i="2"/>
  <c r="Y133" i="2"/>
  <c r="X133" i="2"/>
  <c r="X132" i="2"/>
  <c r="BO131" i="2"/>
  <c r="BM131" i="2"/>
  <c r="Y131" i="2"/>
  <c r="Y132" i="2" s="1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BP125" i="2" s="1"/>
  <c r="P125" i="2"/>
  <c r="BO124" i="2"/>
  <c r="BM124" i="2"/>
  <c r="Y124" i="2"/>
  <c r="Y129" i="2" s="1"/>
  <c r="P124" i="2"/>
  <c r="X122" i="2"/>
  <c r="X121" i="2"/>
  <c r="BP120" i="2"/>
  <c r="BO120" i="2"/>
  <c r="BM120" i="2"/>
  <c r="Y120" i="2"/>
  <c r="BN120" i="2" s="1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X114" i="2"/>
  <c r="X113" i="2"/>
  <c r="BP112" i="2"/>
  <c r="BO112" i="2"/>
  <c r="BM112" i="2"/>
  <c r="Y112" i="2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BP109" i="2" s="1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BN98" i="2" s="1"/>
  <c r="P98" i="2"/>
  <c r="X96" i="2"/>
  <c r="X95" i="2"/>
  <c r="BO94" i="2"/>
  <c r="BM94" i="2"/>
  <c r="Y94" i="2"/>
  <c r="P94" i="2"/>
  <c r="BO93" i="2"/>
  <c r="BM93" i="2"/>
  <c r="Y93" i="2"/>
  <c r="P93" i="2"/>
  <c r="BO92" i="2"/>
  <c r="BM92" i="2"/>
  <c r="Y92" i="2"/>
  <c r="BP92" i="2" s="1"/>
  <c r="P92" i="2"/>
  <c r="BP91" i="2"/>
  <c r="BO91" i="2"/>
  <c r="BM91" i="2"/>
  <c r="Y91" i="2"/>
  <c r="P91" i="2"/>
  <c r="BO90" i="2"/>
  <c r="BM90" i="2"/>
  <c r="Y90" i="2"/>
  <c r="P90" i="2"/>
  <c r="BO89" i="2"/>
  <c r="BM89" i="2"/>
  <c r="Y89" i="2"/>
  <c r="Z89" i="2" s="1"/>
  <c r="P89" i="2"/>
  <c r="X86" i="2"/>
  <c r="X85" i="2"/>
  <c r="BO84" i="2"/>
  <c r="BM84" i="2"/>
  <c r="Y84" i="2"/>
  <c r="BP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P61" i="2"/>
  <c r="BO60" i="2"/>
  <c r="BM60" i="2"/>
  <c r="Y60" i="2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Y55" i="2" s="1"/>
  <c r="P51" i="2"/>
  <c r="X47" i="2"/>
  <c r="X46" i="2"/>
  <c r="BO45" i="2"/>
  <c r="BM45" i="2"/>
  <c r="Y45" i="2"/>
  <c r="P45" i="2"/>
  <c r="BO44" i="2"/>
  <c r="BM44" i="2"/>
  <c r="Y44" i="2"/>
  <c r="Z44" i="2" s="1"/>
  <c r="P44" i="2"/>
  <c r="BO43" i="2"/>
  <c r="BM43" i="2"/>
  <c r="Y43" i="2"/>
  <c r="BN43" i="2" s="1"/>
  <c r="P43" i="2"/>
  <c r="BO42" i="2"/>
  <c r="BM42" i="2"/>
  <c r="Y42" i="2"/>
  <c r="BN42" i="2" s="1"/>
  <c r="P42" i="2"/>
  <c r="BP41" i="2"/>
  <c r="BO41" i="2"/>
  <c r="BN41" i="2"/>
  <c r="BM41" i="2"/>
  <c r="Z41" i="2"/>
  <c r="Y41" i="2"/>
  <c r="P41" i="2"/>
  <c r="X37" i="2"/>
  <c r="X36" i="2"/>
  <c r="BO35" i="2"/>
  <c r="BM35" i="2"/>
  <c r="Y35" i="2"/>
  <c r="P35" i="2"/>
  <c r="BO34" i="2"/>
  <c r="BM34" i="2"/>
  <c r="Y34" i="2"/>
  <c r="Y36" i="2" s="1"/>
  <c r="P34" i="2"/>
  <c r="X32" i="2"/>
  <c r="X31" i="2"/>
  <c r="BO30" i="2"/>
  <c r="BM30" i="2"/>
  <c r="Y30" i="2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BO26" i="2"/>
  <c r="BM26" i="2"/>
  <c r="Y26" i="2"/>
  <c r="BP26" i="2" s="1"/>
  <c r="P26" i="2"/>
  <c r="X24" i="2"/>
  <c r="X23" i="2"/>
  <c r="BO22" i="2"/>
  <c r="BM22" i="2"/>
  <c r="Y22" i="2"/>
  <c r="BN22" i="2" s="1"/>
  <c r="P22" i="2"/>
  <c r="H10" i="2"/>
  <c r="A9" i="2"/>
  <c r="F10" i="2" s="1"/>
  <c r="D7" i="2"/>
  <c r="Q6" i="2"/>
  <c r="P2" i="2"/>
  <c r="Z164" i="2" l="1"/>
  <c r="Z229" i="2"/>
  <c r="Z523" i="2"/>
  <c r="BP523" i="2"/>
  <c r="BN311" i="2"/>
  <c r="Y312" i="2"/>
  <c r="Z315" i="2"/>
  <c r="Z499" i="2"/>
  <c r="Z500" i="2" s="1"/>
  <c r="Z62" i="2"/>
  <c r="Z159" i="2"/>
  <c r="Z160" i="2" s="1"/>
  <c r="BP159" i="2"/>
  <c r="Z165" i="2"/>
  <c r="BN229" i="2"/>
  <c r="Z230" i="2"/>
  <c r="Z268" i="2"/>
  <c r="Z284" i="2"/>
  <c r="Z373" i="2"/>
  <c r="BP387" i="2"/>
  <c r="Z463" i="2"/>
  <c r="BP53" i="2"/>
  <c r="BN53" i="2"/>
  <c r="Z53" i="2"/>
  <c r="BP83" i="2"/>
  <c r="BN83" i="2"/>
  <c r="Z83" i="2"/>
  <c r="BP94" i="2"/>
  <c r="BN94" i="2"/>
  <c r="Z94" i="2"/>
  <c r="BP117" i="2"/>
  <c r="BN117" i="2"/>
  <c r="Z117" i="2"/>
  <c r="BP141" i="2"/>
  <c r="BN141" i="2"/>
  <c r="Z141" i="2"/>
  <c r="BN211" i="2"/>
  <c r="Z211" i="2"/>
  <c r="BP282" i="2"/>
  <c r="BN282" i="2"/>
  <c r="Z282" i="2"/>
  <c r="BP325" i="2"/>
  <c r="BN325" i="2"/>
  <c r="Z325" i="2"/>
  <c r="BP326" i="2"/>
  <c r="BN326" i="2"/>
  <c r="Z326" i="2"/>
  <c r="BP327" i="2"/>
  <c r="BN327" i="2"/>
  <c r="Z327" i="2"/>
  <c r="BP364" i="2"/>
  <c r="BN364" i="2"/>
  <c r="Z364" i="2"/>
  <c r="BP384" i="2"/>
  <c r="Z384" i="2"/>
  <c r="BP405" i="2"/>
  <c r="BN405" i="2"/>
  <c r="Z405" i="2"/>
  <c r="BP406" i="2"/>
  <c r="BN406" i="2"/>
  <c r="Z406" i="2"/>
  <c r="BN444" i="2"/>
  <c r="Z444" i="2"/>
  <c r="BP517" i="2"/>
  <c r="Z517" i="2"/>
  <c r="X567" i="2"/>
  <c r="BP30" i="2"/>
  <c r="BN30" i="2"/>
  <c r="Z30" i="2"/>
  <c r="BP64" i="2"/>
  <c r="BN64" i="2"/>
  <c r="Z64" i="2"/>
  <c r="BN90" i="2"/>
  <c r="Z90" i="2"/>
  <c r="BP108" i="2"/>
  <c r="BN108" i="2"/>
  <c r="Z108" i="2"/>
  <c r="BP126" i="2"/>
  <c r="BN126" i="2"/>
  <c r="Z126" i="2"/>
  <c r="BP127" i="2"/>
  <c r="BN127" i="2"/>
  <c r="Z127" i="2"/>
  <c r="BP238" i="2"/>
  <c r="BN238" i="2"/>
  <c r="Z238" i="2"/>
  <c r="BP239" i="2"/>
  <c r="BN239" i="2"/>
  <c r="Z239" i="2"/>
  <c r="BP240" i="2"/>
  <c r="BN240" i="2"/>
  <c r="Z240" i="2"/>
  <c r="Y294" i="2"/>
  <c r="Z291" i="2"/>
  <c r="BP344" i="2"/>
  <c r="BN344" i="2"/>
  <c r="Z344" i="2"/>
  <c r="BP375" i="2"/>
  <c r="BN375" i="2"/>
  <c r="Z375" i="2"/>
  <c r="BP393" i="2"/>
  <c r="BN393" i="2"/>
  <c r="Z393" i="2"/>
  <c r="BP426" i="2"/>
  <c r="BN426" i="2"/>
  <c r="Z426" i="2"/>
  <c r="BP486" i="2"/>
  <c r="BN486" i="2"/>
  <c r="Z486" i="2"/>
  <c r="BP540" i="2"/>
  <c r="Y542" i="2"/>
  <c r="X569" i="2"/>
  <c r="Y68" i="2"/>
  <c r="Y96" i="2"/>
  <c r="Y233" i="2"/>
  <c r="Y248" i="2"/>
  <c r="Y526" i="2"/>
  <c r="J9" i="2"/>
  <c r="Z26" i="2"/>
  <c r="BN26" i="2"/>
  <c r="Y31" i="2"/>
  <c r="BN27" i="2"/>
  <c r="Z28" i="2"/>
  <c r="BN28" i="2"/>
  <c r="BN29" i="2"/>
  <c r="BP29" i="2"/>
  <c r="Z34" i="2"/>
  <c r="BN34" i="2"/>
  <c r="BP34" i="2"/>
  <c r="Z42" i="2"/>
  <c r="Z52" i="2"/>
  <c r="BN52" i="2"/>
  <c r="Z63" i="2"/>
  <c r="BN63" i="2"/>
  <c r="BN72" i="2"/>
  <c r="Z73" i="2"/>
  <c r="BN73" i="2"/>
  <c r="Y79" i="2"/>
  <c r="Y80" i="2"/>
  <c r="BP89" i="2"/>
  <c r="BP90" i="2"/>
  <c r="Z92" i="2"/>
  <c r="BN92" i="2"/>
  <c r="Z98" i="2"/>
  <c r="Z100" i="2"/>
  <c r="BN100" i="2"/>
  <c r="Z107" i="2"/>
  <c r="BN107" i="2"/>
  <c r="Z118" i="2"/>
  <c r="BN118" i="2"/>
  <c r="BN131" i="2"/>
  <c r="BP131" i="2"/>
  <c r="Z136" i="2"/>
  <c r="Z138" i="2" s="1"/>
  <c r="BN136" i="2"/>
  <c r="BP136" i="2"/>
  <c r="Y144" i="2"/>
  <c r="Z142" i="2"/>
  <c r="Z143" i="2" s="1"/>
  <c r="BN142" i="2"/>
  <c r="Z153" i="2"/>
  <c r="BN153" i="2"/>
  <c r="BN154" i="2"/>
  <c r="BP154" i="2"/>
  <c r="BP167" i="2"/>
  <c r="Z176" i="2"/>
  <c r="BN176" i="2"/>
  <c r="BN177" i="2"/>
  <c r="BP177" i="2"/>
  <c r="BN179" i="2"/>
  <c r="Z184" i="2"/>
  <c r="BN184" i="2"/>
  <c r="Z185" i="2"/>
  <c r="BN185" i="2"/>
  <c r="Y192" i="2"/>
  <c r="BN195" i="2"/>
  <c r="Z208" i="2"/>
  <c r="BN208" i="2"/>
  <c r="Z209" i="2"/>
  <c r="BN209" i="2"/>
  <c r="BP211" i="2"/>
  <c r="Z220" i="2"/>
  <c r="BN220" i="2"/>
  <c r="Z221" i="2"/>
  <c r="BN221" i="2"/>
  <c r="BN222" i="2"/>
  <c r="BP222" i="2"/>
  <c r="BN224" i="2"/>
  <c r="Z225" i="2"/>
  <c r="Y247" i="2"/>
  <c r="BP245" i="2"/>
  <c r="Z256" i="2"/>
  <c r="BN256" i="2"/>
  <c r="Z261" i="2"/>
  <c r="BP268" i="2"/>
  <c r="Z272" i="2"/>
  <c r="BN272" i="2"/>
  <c r="Y288" i="2"/>
  <c r="BN277" i="2"/>
  <c r="BP278" i="2"/>
  <c r="Z281" i="2"/>
  <c r="Z283" i="2"/>
  <c r="BN283" i="2"/>
  <c r="Z292" i="2"/>
  <c r="Z293" i="2" s="1"/>
  <c r="BN292" i="2"/>
  <c r="BN298" i="2"/>
  <c r="Z303" i="2"/>
  <c r="BN303" i="2"/>
  <c r="Y309" i="2"/>
  <c r="BP318" i="2"/>
  <c r="Y319" i="2"/>
  <c r="Y320" i="2"/>
  <c r="Z328" i="2"/>
  <c r="BN335" i="2"/>
  <c r="BP335" i="2"/>
  <c r="F9" i="2"/>
  <c r="A10" i="2"/>
  <c r="BN44" i="2"/>
  <c r="BP44" i="2"/>
  <c r="BN54" i="2"/>
  <c r="BN59" i="2"/>
  <c r="BN65" i="2"/>
  <c r="BN78" i="2"/>
  <c r="BN84" i="2"/>
  <c r="Y95" i="2"/>
  <c r="BN109" i="2"/>
  <c r="BN116" i="2"/>
  <c r="Y143" i="2"/>
  <c r="BN146" i="2"/>
  <c r="Y213" i="2"/>
  <c r="BP225" i="2"/>
  <c r="BN231" i="2"/>
  <c r="Y234" i="2"/>
  <c r="BN244" i="2"/>
  <c r="BN265" i="2"/>
  <c r="BP265" i="2"/>
  <c r="Y274" i="2"/>
  <c r="BN267" i="2"/>
  <c r="BN299" i="2"/>
  <c r="BP299" i="2"/>
  <c r="BN343" i="2"/>
  <c r="Y352" i="2"/>
  <c r="BP348" i="2"/>
  <c r="BN348" i="2"/>
  <c r="Z348" i="2"/>
  <c r="BN341" i="2"/>
  <c r="BP341" i="2"/>
  <c r="Y351" i="2"/>
  <c r="BN349" i="2"/>
  <c r="BP349" i="2"/>
  <c r="BP359" i="2"/>
  <c r="Y360" i="2"/>
  <c r="Y361" i="2"/>
  <c r="Z371" i="2"/>
  <c r="BN371" i="2"/>
  <c r="Z374" i="2"/>
  <c r="Z381" i="2"/>
  <c r="BN381" i="2"/>
  <c r="Z383" i="2"/>
  <c r="BN383" i="2"/>
  <c r="Z385" i="2"/>
  <c r="BN385" i="2"/>
  <c r="BN386" i="2"/>
  <c r="BP386" i="2"/>
  <c r="Z391" i="2"/>
  <c r="BN391" i="2"/>
  <c r="Z394" i="2"/>
  <c r="Y408" i="2"/>
  <c r="BP413" i="2"/>
  <c r="Y414" i="2"/>
  <c r="Z417" i="2"/>
  <c r="Z420" i="2" s="1"/>
  <c r="BN417" i="2"/>
  <c r="BN418" i="2"/>
  <c r="BP418" i="2"/>
  <c r="Z424" i="2"/>
  <c r="BN424" i="2"/>
  <c r="Z432" i="2"/>
  <c r="Z433" i="2"/>
  <c r="Z441" i="2"/>
  <c r="BN441" i="2"/>
  <c r="Z442" i="2"/>
  <c r="BN442" i="2"/>
  <c r="BP444" i="2"/>
  <c r="BN450" i="2"/>
  <c r="Z451" i="2"/>
  <c r="BN451" i="2"/>
  <c r="Z452" i="2"/>
  <c r="BN452" i="2"/>
  <c r="Y459" i="2"/>
  <c r="Y480" i="2"/>
  <c r="Y481" i="2"/>
  <c r="Z488" i="2"/>
  <c r="BN488" i="2"/>
  <c r="BN489" i="2"/>
  <c r="BP489" i="2"/>
  <c r="Y501" i="2"/>
  <c r="BN504" i="2"/>
  <c r="Z511" i="2"/>
  <c r="BN511" i="2"/>
  <c r="BP522" i="2"/>
  <c r="Z531" i="2"/>
  <c r="BN531" i="2"/>
  <c r="Z533" i="2"/>
  <c r="BN533" i="2"/>
  <c r="BN534" i="2"/>
  <c r="BP534" i="2"/>
  <c r="Z544" i="2"/>
  <c r="Z545" i="2" s="1"/>
  <c r="Y554" i="2"/>
  <c r="BN365" i="2"/>
  <c r="BP365" i="2"/>
  <c r="BN376" i="2"/>
  <c r="BP376" i="2"/>
  <c r="BP432" i="2"/>
  <c r="Y454" i="2"/>
  <c r="BN456" i="2"/>
  <c r="BN477" i="2"/>
  <c r="BP477" i="2"/>
  <c r="BN479" i="2"/>
  <c r="BN514" i="2"/>
  <c r="BP514" i="2"/>
  <c r="BN516" i="2"/>
  <c r="BN524" i="2"/>
  <c r="BP524" i="2"/>
  <c r="BN529" i="2"/>
  <c r="BP529" i="2"/>
  <c r="BN548" i="2"/>
  <c r="BP548" i="2"/>
  <c r="Y549" i="2"/>
  <c r="Y550" i="2"/>
  <c r="U575" i="2"/>
  <c r="Y389" i="2"/>
  <c r="Y388" i="2"/>
  <c r="BP382" i="2"/>
  <c r="BN382" i="2"/>
  <c r="Z199" i="2"/>
  <c r="Z200" i="2" s="1"/>
  <c r="Y252" i="2"/>
  <c r="Y251" i="2"/>
  <c r="Y435" i="2"/>
  <c r="BP431" i="2"/>
  <c r="W575" i="2"/>
  <c r="Z431" i="2"/>
  <c r="Y470" i="2"/>
  <c r="Y575" i="2"/>
  <c r="BP468" i="2"/>
  <c r="Y218" i="2"/>
  <c r="BP216" i="2"/>
  <c r="BN216" i="2"/>
  <c r="Z216" i="2"/>
  <c r="Z217" i="2" s="1"/>
  <c r="L575" i="2"/>
  <c r="BP425" i="2"/>
  <c r="V575" i="2"/>
  <c r="BN425" i="2"/>
  <c r="Z468" i="2"/>
  <c r="Z425" i="2"/>
  <c r="BN431" i="2"/>
  <c r="Z445" i="2"/>
  <c r="Z462" i="2"/>
  <c r="Z464" i="2" s="1"/>
  <c r="Z487" i="2"/>
  <c r="BN517" i="2"/>
  <c r="BN61" i="2"/>
  <c r="Z61" i="2"/>
  <c r="BP61" i="2"/>
  <c r="Z155" i="2"/>
  <c r="Z186" i="2"/>
  <c r="Z207" i="2"/>
  <c r="BP236" i="2"/>
  <c r="BN236" i="2"/>
  <c r="Z236" i="2"/>
  <c r="BP279" i="2"/>
  <c r="BN279" i="2"/>
  <c r="Z279" i="2"/>
  <c r="BP42" i="2"/>
  <c r="C575" i="2"/>
  <c r="Y149" i="2"/>
  <c r="BN166" i="2"/>
  <c r="BN172" i="2"/>
  <c r="Z172" i="2"/>
  <c r="Z180" i="2"/>
  <c r="BN183" i="2"/>
  <c r="BP199" i="2"/>
  <c r="Z210" i="2"/>
  <c r="Z228" i="2"/>
  <c r="BN250" i="2"/>
  <c r="Z271" i="2"/>
  <c r="Z297" i="2"/>
  <c r="BP300" i="2"/>
  <c r="BN300" i="2"/>
  <c r="Z300" i="2"/>
  <c r="BN328" i="2"/>
  <c r="BN374" i="2"/>
  <c r="Z377" i="2"/>
  <c r="Z399" i="2"/>
  <c r="BN468" i="2"/>
  <c r="I575" i="2"/>
  <c r="Y156" i="2"/>
  <c r="Y289" i="2"/>
  <c r="BN45" i="2"/>
  <c r="Z45" i="2"/>
  <c r="Y102" i="2"/>
  <c r="BP98" i="2"/>
  <c r="Z110" i="2"/>
  <c r="Y114" i="2"/>
  <c r="Z146" i="2"/>
  <c r="BP152" i="2"/>
  <c r="BN155" i="2"/>
  <c r="BN186" i="2"/>
  <c r="BN207" i="2"/>
  <c r="Z231" i="2"/>
  <c r="BN276" i="2"/>
  <c r="Y293" i="2"/>
  <c r="BP291" i="2"/>
  <c r="Y345" i="2"/>
  <c r="R575" i="2"/>
  <c r="Y421" i="2"/>
  <c r="Y420" i="2"/>
  <c r="BN419" i="2"/>
  <c r="BN445" i="2"/>
  <c r="BN462" i="2"/>
  <c r="BN487" i="2"/>
  <c r="Z490" i="2"/>
  <c r="Z532" i="2"/>
  <c r="AD575" i="2"/>
  <c r="Y564" i="2"/>
  <c r="Y563" i="2"/>
  <c r="BP562" i="2"/>
  <c r="BN562" i="2"/>
  <c r="BP93" i="2"/>
  <c r="BN93" i="2"/>
  <c r="BN101" i="2"/>
  <c r="Z101" i="2"/>
  <c r="Y122" i="2"/>
  <c r="J575" i="2"/>
  <c r="BN180" i="2"/>
  <c r="Y200" i="2"/>
  <c r="BN210" i="2"/>
  <c r="Y217" i="2"/>
  <c r="BN228" i="2"/>
  <c r="BP250" i="2"/>
  <c r="BN271" i="2"/>
  <c r="BP285" i="2"/>
  <c r="BN399" i="2"/>
  <c r="Y519" i="2"/>
  <c r="Y535" i="2"/>
  <c r="Z562" i="2"/>
  <c r="Z563" i="2" s="1"/>
  <c r="Y379" i="2"/>
  <c r="Y378" i="2"/>
  <c r="BP372" i="2"/>
  <c r="BN372" i="2"/>
  <c r="BP377" i="2"/>
  <c r="BP462" i="2"/>
  <c r="BP469" i="2"/>
  <c r="BN469" i="2"/>
  <c r="Z469" i="2"/>
  <c r="Z512" i="2"/>
  <c r="BN532" i="2"/>
  <c r="Y558" i="2"/>
  <c r="BP556" i="2"/>
  <c r="Z183" i="2"/>
  <c r="Y121" i="2"/>
  <c r="BN152" i="2"/>
  <c r="Z276" i="2"/>
  <c r="Z285" i="2"/>
  <c r="Y304" i="2"/>
  <c r="O575" i="2"/>
  <c r="Y74" i="2"/>
  <c r="BP70" i="2"/>
  <c r="BN70" i="2"/>
  <c r="Z70" i="2"/>
  <c r="Y24" i="2"/>
  <c r="B575" i="2"/>
  <c r="Z27" i="2"/>
  <c r="Z31" i="2" s="1"/>
  <c r="Y37" i="2"/>
  <c r="BP35" i="2"/>
  <c r="BN35" i="2"/>
  <c r="E575" i="2"/>
  <c r="Z93" i="2"/>
  <c r="BN237" i="2"/>
  <c r="Z237" i="2"/>
  <c r="BP276" i="2"/>
  <c r="BN280" i="2"/>
  <c r="Z280" i="2"/>
  <c r="BN329" i="2"/>
  <c r="Z329" i="2"/>
  <c r="Z22" i="2"/>
  <c r="Z23" i="2" s="1"/>
  <c r="Z35" i="2"/>
  <c r="Z36" i="2" s="1"/>
  <c r="BP45" i="2"/>
  <c r="Z59" i="2"/>
  <c r="BN62" i="2"/>
  <c r="Z65" i="2"/>
  <c r="Z84" i="2"/>
  <c r="BP110" i="2"/>
  <c r="Z116" i="2"/>
  <c r="Y128" i="2"/>
  <c r="BP124" i="2"/>
  <c r="BN124" i="2"/>
  <c r="Z124" i="2"/>
  <c r="Z167" i="2"/>
  <c r="Y187" i="2"/>
  <c r="Y197" i="2"/>
  <c r="Y196" i="2"/>
  <c r="BN245" i="2"/>
  <c r="BN291" i="2"/>
  <c r="BP297" i="2"/>
  <c r="BN301" i="2"/>
  <c r="Z301" i="2"/>
  <c r="BN342" i="2"/>
  <c r="Z372" i="2"/>
  <c r="BN394" i="2"/>
  <c r="Z411" i="2"/>
  <c r="Y415" i="2"/>
  <c r="BP446" i="2"/>
  <c r="BN446" i="2"/>
  <c r="Z446" i="2"/>
  <c r="Z457" i="2"/>
  <c r="Y492" i="2"/>
  <c r="Z575" i="2"/>
  <c r="Y491" i="2"/>
  <c r="BP485" i="2"/>
  <c r="BN485" i="2"/>
  <c r="BP490" i="2"/>
  <c r="BP515" i="2"/>
  <c r="BN515" i="2"/>
  <c r="Z556" i="2"/>
  <c r="Z558" i="2" s="1"/>
  <c r="Z195" i="2"/>
  <c r="Z196" i="2" s="1"/>
  <c r="Y201" i="2"/>
  <c r="BN260" i="2"/>
  <c r="Z260" i="2"/>
  <c r="Z262" i="2" s="1"/>
  <c r="Y262" i="2"/>
  <c r="Z286" i="2"/>
  <c r="Y305" i="2"/>
  <c r="BP323" i="2"/>
  <c r="BN323" i="2"/>
  <c r="Z323" i="2"/>
  <c r="P575" i="2"/>
  <c r="Z336" i="2"/>
  <c r="BP400" i="2"/>
  <c r="BN400" i="2"/>
  <c r="Z400" i="2"/>
  <c r="BP419" i="2"/>
  <c r="Z440" i="2"/>
  <c r="BP443" i="2"/>
  <c r="Z443" i="2"/>
  <c r="Z485" i="2"/>
  <c r="Z505" i="2"/>
  <c r="BN512" i="2"/>
  <c r="Z515" i="2"/>
  <c r="Y67" i="2"/>
  <c r="BP329" i="2"/>
  <c r="BP342" i="2"/>
  <c r="Y368" i="2"/>
  <c r="Y367" i="2"/>
  <c r="BN366" i="2"/>
  <c r="T575" i="2"/>
  <c r="BN411" i="2"/>
  <c r="BN457" i="2"/>
  <c r="BN556" i="2"/>
  <c r="X566" i="2"/>
  <c r="X568" i="2" s="1"/>
  <c r="Y173" i="2"/>
  <c r="BP181" i="2"/>
  <c r="BN181" i="2"/>
  <c r="Z181" i="2"/>
  <c r="BP27" i="2"/>
  <c r="Z43" i="2"/>
  <c r="Z46" i="2" s="1"/>
  <c r="Z111" i="2"/>
  <c r="BP147" i="2"/>
  <c r="BN147" i="2"/>
  <c r="Z147" i="2"/>
  <c r="K575" i="2"/>
  <c r="BP205" i="2"/>
  <c r="BN205" i="2"/>
  <c r="Z205" i="2"/>
  <c r="Z232" i="2"/>
  <c r="BN255" i="2"/>
  <c r="Y258" i="2"/>
  <c r="M575" i="2"/>
  <c r="Y273" i="2"/>
  <c r="BN286" i="2"/>
  <c r="BP301" i="2"/>
  <c r="Z317" i="2"/>
  <c r="BN336" i="2"/>
  <c r="Z366" i="2"/>
  <c r="Z367" i="2" s="1"/>
  <c r="Y396" i="2"/>
  <c r="BP392" i="2"/>
  <c r="Y395" i="2"/>
  <c r="BN392" i="2"/>
  <c r="BN440" i="2"/>
  <c r="BN443" i="2"/>
  <c r="Z478" i="2"/>
  <c r="BN505" i="2"/>
  <c r="BP512" i="2"/>
  <c r="BP530" i="2"/>
  <c r="BN530" i="2"/>
  <c r="BP59" i="2"/>
  <c r="Y75" i="2"/>
  <c r="BN91" i="2"/>
  <c r="Z91" i="2"/>
  <c r="Z95" i="2" s="1"/>
  <c r="Z99" i="2"/>
  <c r="Y103" i="2"/>
  <c r="BN119" i="2"/>
  <c r="BN125" i="2"/>
  <c r="Z125" i="2"/>
  <c r="BN178" i="2"/>
  <c r="Y193" i="2"/>
  <c r="Z223" i="2"/>
  <c r="BP226" i="2"/>
  <c r="BN226" i="2"/>
  <c r="Z226" i="2"/>
  <c r="BP246" i="2"/>
  <c r="BN246" i="2"/>
  <c r="Z246" i="2"/>
  <c r="Z255" i="2"/>
  <c r="BP260" i="2"/>
  <c r="Z266" i="2"/>
  <c r="BP269" i="2"/>
  <c r="BN269" i="2"/>
  <c r="Z269" i="2"/>
  <c r="Z307" i="2"/>
  <c r="Z308" i="2" s="1"/>
  <c r="Y330" i="2"/>
  <c r="Z392" i="2"/>
  <c r="BP457" i="2"/>
  <c r="Y471" i="2"/>
  <c r="Z530" i="2"/>
  <c r="BN317" i="2"/>
  <c r="BN324" i="2"/>
  <c r="Z324" i="2"/>
  <c r="Y448" i="2"/>
  <c r="BP171" i="2"/>
  <c r="BN171" i="2"/>
  <c r="Z171" i="2"/>
  <c r="Z166" i="2"/>
  <c r="Z168" i="2" s="1"/>
  <c r="BN111" i="2"/>
  <c r="Y168" i="2"/>
  <c r="Z66" i="2"/>
  <c r="BP220" i="2"/>
  <c r="BN223" i="2"/>
  <c r="BP232" i="2"/>
  <c r="BN266" i="2"/>
  <c r="Z302" i="2"/>
  <c r="BN307" i="2"/>
  <c r="Y357" i="2"/>
  <c r="BP355" i="2"/>
  <c r="S575" i="2"/>
  <c r="BP366" i="2"/>
  <c r="Y402" i="2"/>
  <c r="Y427" i="2"/>
  <c r="Y475" i="2"/>
  <c r="Y474" i="2"/>
  <c r="BP473" i="2"/>
  <c r="BP478" i="2"/>
  <c r="Z522" i="2"/>
  <c r="Z525" i="2" s="1"/>
  <c r="BP191" i="2"/>
  <c r="BN191" i="2"/>
  <c r="Z191" i="2"/>
  <c r="Z192" i="2" s="1"/>
  <c r="BN71" i="2"/>
  <c r="Z71" i="2"/>
  <c r="Z119" i="2"/>
  <c r="Y157" i="2"/>
  <c r="Z178" i="2"/>
  <c r="Y47" i="2"/>
  <c r="BP22" i="2"/>
  <c r="Y56" i="2"/>
  <c r="D575" i="2"/>
  <c r="BP51" i="2"/>
  <c r="Y86" i="2"/>
  <c r="BP82" i="2"/>
  <c r="Y85" i="2"/>
  <c r="BN82" i="2"/>
  <c r="Y241" i="2"/>
  <c r="Y23" i="2"/>
  <c r="BP43" i="2"/>
  <c r="Z51" i="2"/>
  <c r="BP60" i="2"/>
  <c r="BN60" i="2"/>
  <c r="Z60" i="2"/>
  <c r="Z82" i="2"/>
  <c r="Y113" i="2"/>
  <c r="G575" i="2"/>
  <c r="BP106" i="2"/>
  <c r="Y188" i="2"/>
  <c r="BN182" i="2"/>
  <c r="Z182" i="2"/>
  <c r="X565" i="2"/>
  <c r="Y46" i="2"/>
  <c r="Z77" i="2"/>
  <c r="BP99" i="2"/>
  <c r="Z106" i="2"/>
  <c r="BN206" i="2"/>
  <c r="Z206" i="2"/>
  <c r="Z278" i="2"/>
  <c r="BN281" i="2"/>
  <c r="BN287" i="2"/>
  <c r="Z287" i="2"/>
  <c r="Y331" i="2"/>
  <c r="Y338" i="2"/>
  <c r="Z355" i="2"/>
  <c r="Z356" i="2" s="1"/>
  <c r="BN384" i="2"/>
  <c r="Z387" i="2"/>
  <c r="Y401" i="2"/>
  <c r="BN398" i="2"/>
  <c r="BN433" i="2"/>
  <c r="Z473" i="2"/>
  <c r="Z474" i="2" s="1"/>
  <c r="Y525" i="2"/>
  <c r="Z152" i="2"/>
  <c r="Z120" i="2"/>
  <c r="Y169" i="2"/>
  <c r="BN227" i="2"/>
  <c r="Z227" i="2"/>
  <c r="Y242" i="2"/>
  <c r="BP266" i="2"/>
  <c r="BN270" i="2"/>
  <c r="Z270" i="2"/>
  <c r="BN302" i="2"/>
  <c r="BP307" i="2"/>
  <c r="BP324" i="2"/>
  <c r="Z349" i="2"/>
  <c r="Z398" i="2"/>
  <c r="Z401" i="2" s="1"/>
  <c r="Y409" i="2"/>
  <c r="BP404" i="2"/>
  <c r="Z450" i="2"/>
  <c r="Y453" i="2"/>
  <c r="AA575" i="2"/>
  <c r="Y507" i="2"/>
  <c r="BP503" i="2"/>
  <c r="Y506" i="2"/>
  <c r="BN503" i="2"/>
  <c r="BN522" i="2"/>
  <c r="Y139" i="2"/>
  <c r="H575" i="2"/>
  <c r="BP137" i="2"/>
  <c r="BN137" i="2"/>
  <c r="Y148" i="2"/>
  <c r="Y212" i="2"/>
  <c r="BP255" i="2"/>
  <c r="Y32" i="2"/>
  <c r="BN51" i="2"/>
  <c r="Z54" i="2"/>
  <c r="Z72" i="2"/>
  <c r="BP66" i="2"/>
  <c r="BN89" i="2"/>
  <c r="F575" i="2"/>
  <c r="BN106" i="2"/>
  <c r="Z109" i="2"/>
  <c r="BN112" i="2"/>
  <c r="Z112" i="2"/>
  <c r="Z131" i="2"/>
  <c r="Z132" i="2" s="1"/>
  <c r="BP182" i="2"/>
  <c r="BP190" i="2"/>
  <c r="BN261" i="2"/>
  <c r="BN284" i="2"/>
  <c r="Z318" i="2"/>
  <c r="BP334" i="2"/>
  <c r="Y337" i="2"/>
  <c r="BN334" i="2"/>
  <c r="Z334" i="2"/>
  <c r="Q575" i="2"/>
  <c r="BN355" i="2"/>
  <c r="Z404" i="2"/>
  <c r="BP407" i="2"/>
  <c r="Z407" i="2"/>
  <c r="Y428" i="2"/>
  <c r="Y465" i="2"/>
  <c r="BN473" i="2"/>
  <c r="Z503" i="2"/>
  <c r="Y520" i="2"/>
  <c r="Y546" i="2"/>
  <c r="Y545" i="2"/>
  <c r="BP544" i="2"/>
  <c r="Y536" i="2"/>
  <c r="Z412" i="2"/>
  <c r="Z458" i="2"/>
  <c r="Z518" i="2"/>
  <c r="Y346" i="2"/>
  <c r="BN412" i="2"/>
  <c r="BN458" i="2"/>
  <c r="BN518" i="2"/>
  <c r="Z528" i="2"/>
  <c r="Z535" i="2" s="1"/>
  <c r="Z540" i="2"/>
  <c r="Z541" i="2" s="1"/>
  <c r="Z552" i="2"/>
  <c r="Z553" i="2" s="1"/>
  <c r="X575" i="2"/>
  <c r="H9" i="2"/>
  <c r="Z78" i="2"/>
  <c r="Z179" i="2"/>
  <c r="Z224" i="2"/>
  <c r="Z244" i="2"/>
  <c r="Z267" i="2"/>
  <c r="Z277" i="2"/>
  <c r="Z298" i="2"/>
  <c r="Z343" i="2"/>
  <c r="Z345" i="2" s="1"/>
  <c r="Z456" i="2"/>
  <c r="Z479" i="2"/>
  <c r="Z504" i="2"/>
  <c r="Z516" i="2"/>
  <c r="BN528" i="2"/>
  <c r="BN540" i="2"/>
  <c r="BN552" i="2"/>
  <c r="BP164" i="2"/>
  <c r="Z335" i="2"/>
  <c r="Z359" i="2"/>
  <c r="Z360" i="2" s="1"/>
  <c r="Z413" i="2"/>
  <c r="Z439" i="2"/>
  <c r="BP499" i="2"/>
  <c r="AB575" i="2"/>
  <c r="BP244" i="2"/>
  <c r="Y447" i="2"/>
  <c r="BP456" i="2"/>
  <c r="Y541" i="2"/>
  <c r="Y553" i="2"/>
  <c r="AC575" i="2"/>
  <c r="Z491" i="2" l="1"/>
  <c r="Z434" i="2"/>
  <c r="Z453" i="2"/>
  <c r="Z351" i="2"/>
  <c r="Z156" i="2"/>
  <c r="Z388" i="2"/>
  <c r="Z173" i="2"/>
  <c r="Z395" i="2"/>
  <c r="Z257" i="2"/>
  <c r="Z102" i="2"/>
  <c r="Z427" i="2"/>
  <c r="Z79" i="2"/>
  <c r="Z187" i="2"/>
  <c r="Z273" i="2"/>
  <c r="Z519" i="2"/>
  <c r="Y566" i="2"/>
  <c r="Z337" i="2"/>
  <c r="Z55" i="2"/>
  <c r="Z233" i="2"/>
  <c r="Z480" i="2"/>
  <c r="Z319" i="2"/>
  <c r="Z330" i="2"/>
  <c r="Z378" i="2"/>
  <c r="Z470" i="2"/>
  <c r="Z128" i="2"/>
  <c r="Z288" i="2"/>
  <c r="Y569" i="2"/>
  <c r="Z241" i="2"/>
  <c r="Z121" i="2"/>
  <c r="Z148" i="2"/>
  <c r="Z304" i="2"/>
  <c r="Z414" i="2"/>
  <c r="Z67" i="2"/>
  <c r="Y565" i="2"/>
  <c r="Z247" i="2"/>
  <c r="Y567" i="2"/>
  <c r="Y568" i="2" s="1"/>
  <c r="Z74" i="2"/>
  <c r="Z408" i="2"/>
  <c r="Z447" i="2"/>
  <c r="Z506" i="2"/>
  <c r="Z212" i="2"/>
  <c r="Z113" i="2"/>
  <c r="Z459" i="2"/>
  <c r="Z85" i="2"/>
  <c r="Z570" i="2" l="1"/>
</calcChain>
</file>

<file path=xl/sharedStrings.xml><?xml version="1.0" encoding="utf-8"?>
<sst xmlns="http://schemas.openxmlformats.org/spreadsheetml/2006/main" count="4285" uniqueCount="915">
  <si>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</si>
  <si>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</si>
  <si>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</si>
  <si>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</si>
  <si>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</si>
  <si>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</si>
  <si>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</si>
  <si>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</si>
  <si>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</si>
  <si>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</si>
  <si>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</si>
  <si>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</si>
  <si>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</si>
  <si>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</si>
  <si>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</si>
  <si>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</si>
  <si>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</si>
  <si>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</si>
  <si>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</si>
  <si>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</si>
  <si>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</si>
  <si>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</si>
  <si>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</si>
  <si>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</si>
  <si>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</si>
  <si>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</si>
  <si>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</si>
  <si>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</si>
  <si>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</si>
  <si>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</si>
  <si>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</si>
  <si>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</si>
  <si>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</si>
  <si>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</si>
  <si>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</si>
  <si>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</si>
  <si>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</si>
  <si>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</si>
  <si>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</si>
  <si>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</si>
  <si>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</si>
  <si>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</si>
  <si>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</si>
  <si>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</si>
  <si>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</si>
  <si>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</si>
  <si>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</si>
  <si>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</si>
  <si>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</si>
  <si>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</si>
  <si>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</si>
  <si>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</si>
  <si>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</si>
  <si>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</si>
  <si>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</si>
  <si>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</si>
  <si>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</si>
  <si>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</si>
  <si>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</si>
  <si>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</si>
  <si>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</si>
  <si>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</si>
  <si>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</si>
  <si>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</si>
  <si>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</si>
  <si>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</si>
  <si>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</si>
  <si>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</si>
  <si>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</si>
  <si>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</si>
  <si>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</si>
  <si>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</si>
  <si>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</si>
  <si>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</si>
  <si>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</si>
  <si>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</si>
  <si>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</si>
  <si>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</si>
  <si>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</si>
  <si>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</si>
  <si>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</si>
  <si>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</si>
  <si>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</si>
  <si>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</si>
  <si>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</si>
  <si>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</si>
  <si>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</si>
  <si>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</si>
  <si>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</si>
  <si>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</si>
  <si>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</si>
  <si>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</si>
  <si>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</si>
  <si>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</si>
  <si>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</si>
  <si>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</si>
  <si>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</si>
  <si>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</si>
  <si>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</si>
  <si>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</si>
  <si>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</si>
  <si>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</si>
  <si>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</si>
  <si>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</si>
  <si>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</si>
  <si>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</si>
  <si>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</si>
  <si>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</si>
  <si>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</si>
  <si>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</si>
  <si>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</si>
  <si>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</si>
  <si>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</si>
  <si>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</si>
  <si>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</si>
  <si>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</si>
  <si>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</si>
  <si>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</si>
  <si>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</si>
  <si>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</si>
  <si>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</si>
  <si>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</si>
  <si>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</si>
  <si>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</si>
  <si>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</si>
  <si>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</si>
  <si>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</si>
  <si>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</si>
  <si>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</si>
  <si>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</si>
  <si>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</si>
  <si>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</si>
  <si>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</si>
  <si>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</si>
  <si>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</si>
  <si>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</si>
  <si>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</si>
  <si>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</si>
  <si>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</si>
  <si>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</si>
  <si>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</si>
  <si>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</si>
  <si>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</si>
  <si>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</si>
  <si>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</si>
  <si>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</si>
  <si>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</si>
  <si>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</si>
  <si>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</si>
  <si>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</si>
  <si>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</si>
  <si>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</si>
  <si>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</si>
  <si>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</si>
  <si>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</si>
  <si>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</si>
  <si>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</si>
  <si>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</si>
  <si>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</si>
  <si>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</si>
  <si>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</si>
  <si>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</si>
  <si>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</si>
  <si>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</si>
  <si>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</si>
  <si>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</si>
  <si>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</si>
  <si>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</si>
  <si>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</si>
  <si>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</si>
  <si>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</si>
  <si>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</si>
  <si>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</si>
  <si>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</si>
  <si>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</si>
  <si>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</si>
  <si>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</si>
  <si>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</si>
  <si>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</si>
  <si>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</si>
  <si>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</si>
  <si>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</si>
  <si>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</si>
  <si>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</si>
  <si>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</si>
  <si>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</si>
  <si>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</si>
  <si>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</si>
  <si>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</si>
  <si>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</si>
  <si>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</si>
  <si>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</si>
  <si>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</si>
  <si>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</si>
  <si>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</si>
  <si>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</si>
  <si>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</si>
  <si>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</si>
  <si>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</si>
  <si>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</si>
  <si>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</si>
  <si>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</si>
  <si>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</si>
  <si>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</si>
  <si>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</si>
  <si>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</si>
  <si>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</si>
  <si>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</si>
  <si>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</si>
  <si>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</si>
  <si>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</si>
  <si>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</si>
  <si>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</si>
  <si>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</si>
  <si>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</si>
  <si>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</si>
  <si>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</si>
  <si>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</si>
  <si>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</si>
  <si>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</si>
  <si>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</si>
  <si>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</si>
  <si>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</si>
  <si>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</si>
  <si>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</si>
  <si>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</si>
  <si>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</si>
  <si>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</si>
  <si>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</si>
  <si>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</si>
  <si>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</si>
  <si>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</si>
  <si>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</si>
  <si>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</si>
  <si>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</si>
  <si>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</si>
  <si>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</si>
  <si>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</si>
  <si>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</si>
  <si>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</si>
  <si>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</si>
  <si>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</si>
  <si>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</si>
  <si>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</si>
  <si>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</si>
  <si>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</si>
  <si>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</si>
  <si>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</si>
  <si>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</si>
  <si>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</si>
  <si>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</si>
  <si>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</si>
  <si>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</si>
  <si>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</si>
  <si>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</si>
  <si>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</si>
  <si>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</si>
  <si>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</si>
  <si>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</si>
  <si>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</si>
  <si>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</si>
  <si>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</si>
  <si>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</si>
  <si>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</si>
  <si>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</si>
  <si>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</si>
  <si>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</si>
  <si>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</si>
  <si>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</si>
  <si>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</si>
  <si>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</si>
  <si>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</si>
  <si>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</si>
  <si>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</si>
  <si>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</si>
  <si>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</si>
  <si>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</si>
  <si>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</si>
  <si>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</si>
  <si>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</si>
  <si>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</si>
  <si>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</si>
  <si>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</si>
  <si>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</si>
  <si>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</si>
  <si>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</si>
  <si>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</si>
  <si>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</si>
  <si>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</si>
  <si>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</si>
  <si>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</si>
  <si>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</si>
  <si>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</si>
  <si>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</si>
  <si>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</si>
  <si>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</si>
  <si>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</si>
  <si>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</si>
  <si>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</si>
  <si>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</si>
  <si>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</si>
  <si>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</si>
  <si>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</si>
  <si>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</si>
  <si>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</si>
  <si>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</si>
  <si>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</si>
  <si>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</si>
  <si>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</si>
  <si>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</si>
  <si>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</si>
  <si>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</si>
  <si>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</si>
  <si>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</si>
  <si>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</si>
  <si>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</si>
  <si>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</si>
  <si>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</si>
  <si>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</si>
  <si>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</si>
  <si>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</si>
  <si>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</si>
  <si>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</si>
  <si>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</si>
  <si>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</si>
  <si>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</si>
  <si>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</si>
  <si>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</si>
  <si>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</si>
  <si>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</si>
  <si>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</si>
  <si>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</si>
  <si>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</si>
  <si>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</si>
  <si>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</si>
  <si>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</si>
  <si>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</si>
  <si>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</si>
  <si>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</si>
  <si>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</si>
  <si>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</si>
  <si>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</si>
  <si>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</si>
  <si>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</si>
  <si>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</si>
  <si>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</si>
  <si>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</si>
  <si>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</si>
  <si>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</si>
  <si>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</si>
  <si>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</si>
  <si>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</si>
  <si>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</si>
  <si>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</si>
  <si>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</si>
  <si>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</si>
  <si>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</si>
  <si>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</si>
  <si>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</si>
  <si>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</si>
  <si>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</si>
  <si>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</si>
  <si>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</si>
  <si>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</si>
  <si>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</si>
  <si>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</si>
  <si>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</si>
  <si>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</si>
  <si>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</si>
  <si>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</si>
  <si>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</si>
  <si>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</si>
  <si>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</si>
  <si>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</si>
  <si>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</si>
  <si>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</si>
  <si>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</si>
  <si>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</si>
  <si>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</si>
  <si>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</si>
  <si>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</si>
  <si>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</si>
  <si>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</si>
  <si>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</si>
  <si>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</si>
  <si>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</si>
  <si>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</si>
  <si>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</si>
  <si>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</si>
  <si>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</si>
  <si>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</si>
  <si>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</si>
  <si>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</si>
  <si>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</si>
  <si>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</si>
  <si>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</si>
  <si>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</si>
  <si>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</si>
  <si>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</si>
  <si>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</si>
  <si>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</si>
  <si>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</si>
  <si>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</si>
  <si>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</si>
  <si>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</si>
  <si>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</si>
  <si>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</si>
  <si>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</si>
  <si>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</si>
  <si>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</si>
  <si>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</si>
  <si>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</si>
  <si>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</si>
  <si>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</si>
  <si>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</si>
  <si>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</si>
  <si>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</si>
  <si>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</si>
  <si>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</si>
  <si>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</si>
  <si>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</si>
  <si>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</si>
  <si>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</si>
  <si>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</si>
  <si>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</si>
  <si>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</si>
  <si>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</si>
  <si>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</si>
  <si>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</si>
  <si>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</si>
  <si>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</si>
  <si>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</si>
  <si>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</si>
  <si>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</si>
  <si>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</si>
  <si>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</si>
  <si>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</si>
  <si>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</si>
  <si>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</si>
  <si>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</si>
  <si>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</si>
  <si>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</si>
  <si>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</si>
  <si>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</si>
  <si>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</si>
  <si>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</si>
  <si>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</si>
  <si>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</si>
  <si>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</si>
  <si>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</si>
  <si>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</si>
  <si>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</si>
  <si>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</si>
  <si>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</si>
  <si>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</si>
  <si>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</si>
  <si>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</si>
  <si>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</si>
  <si>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</si>
  <si>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</si>
  <si>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</si>
  <si>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</si>
  <si>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</si>
  <si>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</si>
  <si>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</si>
  <si>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</si>
  <si>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</si>
  <si>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</si>
  <si>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</si>
  <si>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</si>
  <si>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</si>
  <si>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</si>
  <si>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</si>
  <si>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</si>
  <si>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</si>
  <si>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</si>
  <si>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</si>
  <si>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</si>
  <si>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</si>
  <si>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</si>
  <si>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</si>
  <si>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</si>
  <si>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</si>
  <si>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</si>
  <si>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</si>
  <si>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</si>
  <si>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</si>
  <si>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</si>
  <si>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</si>
  <si>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</si>
  <si>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</si>
  <si>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</si>
  <si>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</si>
  <si>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</si>
  <si>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</si>
  <si>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</si>
  <si>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</si>
  <si>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</si>
  <si>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</si>
  <si>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</si>
  <si>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</si>
  <si>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</si>
  <si>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</si>
  <si>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</si>
  <si>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</si>
  <si>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</si>
  <si>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</si>
  <si>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</si>
  <si>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</si>
  <si>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</si>
  <si>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</si>
  <si>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</si>
  <si>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</si>
  <si>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</si>
  <si>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</si>
  <si>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</si>
  <si>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</si>
  <si>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</si>
  <si>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</si>
  <si>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</si>
  <si>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</si>
  <si>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</si>
  <si>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</si>
  <si>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</si>
  <si>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</si>
  <si>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</si>
  <si>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</si>
  <si>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</si>
  <si>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</si>
  <si>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</si>
  <si>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</si>
  <si>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</si>
  <si>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</si>
  <si>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</si>
  <si>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</si>
  <si>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</si>
  <si>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</si>
  <si>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</si>
  <si>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</si>
  <si>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</si>
  <si>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</si>
  <si>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</si>
  <si>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</si>
  <si>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</si>
  <si>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</si>
  <si>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</si>
  <si>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</si>
  <si>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</si>
  <si>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</si>
  <si>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</si>
  <si>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</si>
  <si>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</si>
  <si>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</si>
  <si>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</si>
  <si>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</si>
  <si>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</si>
  <si>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</si>
  <si>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</si>
  <si>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</si>
  <si>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</si>
  <si>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</si>
  <si>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</si>
  <si>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</si>
  <si>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</si>
  <si>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</si>
  <si>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</si>
  <si>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</si>
  <si>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</si>
  <si>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</si>
  <si>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</si>
  <si>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</si>
  <si>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</si>
  <si>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</si>
  <si>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</si>
  <si>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</si>
  <si>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</si>
  <si>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</si>
  <si>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</si>
  <si>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</si>
  <si>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</si>
  <si>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</si>
  <si>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</si>
  <si>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</si>
  <si>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</si>
  <si>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</si>
  <si>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</si>
  <si>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</si>
  <si>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</si>
  <si>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</si>
  <si>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</si>
  <si>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</si>
  <si>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</si>
  <si>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</si>
  <si>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</si>
  <si>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</si>
  <si>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</si>
  <si>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</si>
  <si>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</si>
  <si>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</si>
  <si>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</si>
  <si>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</si>
  <si>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</si>
  <si>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</si>
  <si>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</si>
  <si>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</si>
  <si>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</si>
  <si>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</si>
  <si>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</si>
  <si>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</si>
  <si>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</si>
  <si>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</si>
  <si>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</si>
  <si>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</si>
  <si>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</si>
  <si>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</si>
  <si>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</si>
  <si>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</si>
  <si>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</si>
  <si>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</si>
  <si>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</si>
  <si>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</si>
  <si>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</si>
  <si>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</si>
  <si>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</si>
  <si>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</si>
  <si>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</si>
  <si>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</si>
  <si>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</si>
  <si>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</si>
  <si>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</si>
  <si>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</si>
  <si>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</si>
  <si>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</si>
  <si>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</si>
  <si>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</si>
  <si>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</si>
  <si>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</si>
  <si>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</si>
  <si>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</si>
  <si>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</si>
  <si>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</si>
  <si>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</si>
  <si>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</si>
  <si>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</si>
  <si>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</si>
  <si>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</si>
  <si>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</si>
  <si>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</si>
  <si>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</si>
  <si>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</si>
  <si>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</si>
  <si>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</si>
  <si>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</si>
  <si>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</si>
  <si>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</si>
  <si>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</si>
  <si>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</si>
  <si>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</si>
  <si>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</si>
  <si>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</si>
  <si>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</si>
  <si>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</si>
  <si>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</si>
  <si>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</si>
  <si>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</si>
  <si>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</si>
  <si>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</si>
  <si>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</si>
  <si>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</si>
  <si>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</si>
  <si>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</si>
  <si>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</si>
  <si>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</si>
  <si>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</si>
  <si>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</si>
  <si>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</si>
  <si>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</si>
  <si>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</si>
  <si>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</si>
  <si>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</si>
  <si>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</si>
  <si>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</si>
  <si>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</si>
  <si>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</si>
  <si>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</si>
  <si>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</si>
  <si>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</si>
  <si>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</si>
  <si>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</si>
  <si>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</si>
  <si>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</si>
  <si>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</si>
  <si>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</si>
  <si>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</si>
  <si>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</si>
  <si>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</si>
  <si>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</si>
  <si>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</si>
  <si>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</si>
  <si>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</si>
  <si>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</si>
  <si>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</si>
  <si>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</si>
  <si>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</si>
  <si>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</si>
  <si>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</si>
  <si>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</si>
  <si>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</si>
  <si>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</si>
  <si>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</si>
  <si>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</si>
  <si>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</si>
  <si>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</si>
  <si>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</si>
  <si>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</si>
  <si>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</si>
  <si>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</si>
  <si>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</si>
  <si>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</si>
  <si>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</si>
  <si>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</si>
  <si>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</si>
  <si>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</si>
  <si>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</si>
  <si>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</si>
  <si>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</si>
  <si>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</si>
  <si>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</si>
  <si>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</si>
  <si>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</si>
  <si>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</si>
  <si>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</si>
  <si>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</si>
  <si>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</si>
  <si>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</si>
  <si>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</si>
  <si>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</si>
  <si>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</si>
  <si>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</si>
  <si>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</si>
  <si>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</si>
  <si>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</si>
  <si>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</si>
  <si>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</si>
  <si>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</si>
  <si>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</si>
  <si>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</si>
  <si>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</si>
  <si>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</si>
  <si>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</si>
  <si>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</si>
  <si>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</si>
  <si>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</si>
  <si>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</si>
  <si>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</si>
  <si>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</si>
  <si>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</si>
  <si>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</si>
  <si>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</si>
  <si>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</si>
  <si>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</si>
  <si>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</si>
  <si>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</si>
  <si>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</si>
  <si>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</si>
  <si>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</si>
  <si>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</si>
  <si>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</si>
  <si>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</si>
  <si>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</si>
  <si>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</si>
  <si>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</si>
  <si>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</si>
  <si>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</si>
  <si>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</si>
  <si>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</si>
  <si>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</si>
  <si>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</si>
  <si>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</si>
  <si>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</si>
  <si>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</si>
  <si>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</si>
  <si>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</si>
  <si>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</si>
  <si>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</si>
  <si>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</si>
  <si>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</si>
  <si>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</si>
  <si>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</si>
  <si>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</si>
  <si>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</si>
  <si>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</si>
  <si>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</si>
  <si>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</si>
  <si>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</si>
  <si>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</si>
  <si>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</si>
  <si>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</si>
  <si>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</si>
  <si>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</si>
  <si>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</si>
  <si>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</si>
  <si>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</si>
  <si>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</si>
  <si>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</si>
  <si>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</si>
  <si>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</si>
  <si>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</si>
  <si>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</si>
  <si>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</si>
  <si>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</si>
  <si>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</si>
  <si>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</si>
  <si>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</si>
  <si>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</si>
  <si>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</si>
  <si>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</si>
  <si>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</si>
  <si>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</si>
  <si>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</si>
  <si>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</si>
  <si>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</si>
  <si>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</si>
  <si>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</si>
  <si>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</si>
  <si>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</si>
  <si>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</si>
  <si>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</si>
  <si>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</si>
  <si>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</si>
  <si>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</si>
  <si>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</si>
  <si>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</si>
  <si>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</si>
  <si>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</si>
  <si>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</si>
  <si>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</si>
  <si>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</si>
  <si>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</si>
  <si>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</si>
  <si>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</si>
  <si>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</si>
  <si>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</si>
  <si>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</si>
  <si>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</si>
  <si>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</si>
  <si>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</si>
  <si>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</si>
  <si>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</si>
  <si>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</si>
  <si>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</si>
  <si>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</si>
  <si>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</si>
  <si>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</si>
  <si>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</si>
  <si>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</si>
  <si>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</si>
  <si>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</si>
  <si>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</si>
  <si>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</si>
  <si>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</si>
  <si>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</si>
  <si>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</si>
  <si>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</si>
  <si>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</si>
  <si>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</si>
  <si>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</si>
  <si>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</si>
  <si>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</si>
  <si>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</si>
  <si>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</si>
  <si>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</si>
  <si>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</si>
  <si>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</si>
  <si>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</si>
  <si>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</si>
  <si>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</si>
  <si>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</si>
  <si>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</si>
  <si>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</si>
  <si>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</si>
  <si>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</si>
  <si>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</si>
  <si>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</si>
  <si>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</si>
  <si>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</si>
  <si>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</si>
  <si>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</si>
  <si>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</si>
  <si>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</si>
  <si>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</si>
  <si>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</si>
  <si>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</si>
  <si>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</si>
  <si>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</si>
  <si>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</si>
  <si>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</si>
  <si>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</si>
  <si>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</si>
  <si>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</si>
  <si>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</si>
  <si>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</si>
  <si>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</si>
  <si>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</si>
  <si>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</si>
  <si>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</si>
  <si>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</si>
  <si>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</si>
  <si>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</si>
  <si>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</si>
  <si>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</si>
  <si>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</si>
  <si>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</si>
  <si>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TSO001140860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</si>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</sst>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V12" sqref="V12:W1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1" t="s">
        <v>26</v>
      </c>
      <c r="E1" s="981"/>
      <c r="F1" s="981"/>
      <c r="G1" s="14" t="s">
        <v>66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67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5" t="s">
        <v>8</v>
      </c>
      <c r="B5" s="985"/>
      <c r="C5" s="985"/>
      <c r="D5" s="986"/>
      <c r="E5" s="986"/>
      <c r="F5" s="987" t="s">
        <v>14</v>
      </c>
      <c r="G5" s="987"/>
      <c r="H5" s="986" t="s">
        <v>913</v>
      </c>
      <c r="I5" s="986"/>
      <c r="J5" s="986"/>
      <c r="K5" s="986"/>
      <c r="L5" s="986"/>
      <c r="M5" s="986"/>
      <c r="N5" s="72"/>
      <c r="P5" s="27" t="s">
        <v>4</v>
      </c>
      <c r="Q5" s="988">
        <v>46321</v>
      </c>
      <c r="R5" s="988"/>
      <c r="T5" s="989" t="s">
        <v>3</v>
      </c>
      <c r="U5" s="990"/>
      <c r="V5" s="991" t="s">
        <v>877</v>
      </c>
      <c r="W5" s="992"/>
      <c r="AB5" s="59"/>
      <c r="AC5" s="59"/>
      <c r="AD5" s="59"/>
      <c r="AE5" s="59"/>
    </row>
    <row r="6" spans="1:32" s="17" customFormat="1" ht="24" customHeight="1" x14ac:dyDescent="0.2">
      <c r="A6" s="985" t="s">
        <v>1</v>
      </c>
      <c r="B6" s="985"/>
      <c r="C6" s="985"/>
      <c r="D6" s="993" t="s">
        <v>878</v>
      </c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Понедельник</v>
      </c>
      <c r="R6" s="994"/>
      <c r="T6" s="995" t="s">
        <v>5</v>
      </c>
      <c r="U6" s="996"/>
      <c r="V6" s="997" t="s">
        <v>69</v>
      </c>
      <c r="W6" s="9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3" t="str">
        <f>IFERROR(VLOOKUP(DeliveryAddress,Table,3,0),1)</f>
        <v>1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">
      <c r="A8" s="1006" t="s">
        <v>57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0.625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50000000000003" customHeight="1" x14ac:dyDescent="0.2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70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914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5" t="s">
        <v>71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">
      <c r="A13" s="965" t="s">
        <v>72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5" t="s">
        <v>73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8" t="s">
        <v>74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60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1" t="s">
        <v>58</v>
      </c>
      <c r="B17" s="941" t="s">
        <v>49</v>
      </c>
      <c r="C17" s="973" t="s">
        <v>48</v>
      </c>
      <c r="D17" s="975" t="s">
        <v>50</v>
      </c>
      <c r="E17" s="976"/>
      <c r="F17" s="941" t="s">
        <v>21</v>
      </c>
      <c r="G17" s="941" t="s">
        <v>24</v>
      </c>
      <c r="H17" s="941" t="s">
        <v>22</v>
      </c>
      <c r="I17" s="941" t="s">
        <v>23</v>
      </c>
      <c r="J17" s="941" t="s">
        <v>16</v>
      </c>
      <c r="K17" s="941" t="s">
        <v>65</v>
      </c>
      <c r="L17" s="941" t="s">
        <v>63</v>
      </c>
      <c r="M17" s="941" t="s">
        <v>2</v>
      </c>
      <c r="N17" s="941" t="s">
        <v>62</v>
      </c>
      <c r="O17" s="941" t="s">
        <v>25</v>
      </c>
      <c r="P17" s="975" t="s">
        <v>17</v>
      </c>
      <c r="Q17" s="979"/>
      <c r="R17" s="979"/>
      <c r="S17" s="979"/>
      <c r="T17" s="976"/>
      <c r="U17" s="971" t="s">
        <v>55</v>
      </c>
      <c r="V17" s="972"/>
      <c r="W17" s="941" t="s">
        <v>6</v>
      </c>
      <c r="X17" s="941" t="s">
        <v>41</v>
      </c>
      <c r="Y17" s="943" t="s">
        <v>54</v>
      </c>
      <c r="Z17" s="945" t="s">
        <v>18</v>
      </c>
      <c r="AA17" s="947" t="s">
        <v>59</v>
      </c>
      <c r="AB17" s="947" t="s">
        <v>19</v>
      </c>
      <c r="AC17" s="947" t="s">
        <v>64</v>
      </c>
      <c r="AD17" s="949" t="s">
        <v>56</v>
      </c>
      <c r="AE17" s="950"/>
      <c r="AF17" s="951"/>
      <c r="AG17" s="82"/>
      <c r="BD17" s="81" t="s">
        <v>61</v>
      </c>
    </row>
    <row r="18" spans="1:68" ht="14.25" customHeight="1" x14ac:dyDescent="0.2">
      <c r="A18" s="942"/>
      <c r="B18" s="942"/>
      <c r="C18" s="974"/>
      <c r="D18" s="977"/>
      <c r="E18" s="978"/>
      <c r="F18" s="942"/>
      <c r="G18" s="942"/>
      <c r="H18" s="942"/>
      <c r="I18" s="942"/>
      <c r="J18" s="942"/>
      <c r="K18" s="942"/>
      <c r="L18" s="942"/>
      <c r="M18" s="942"/>
      <c r="N18" s="942"/>
      <c r="O18" s="942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2"/>
      <c r="X18" s="942"/>
      <c r="Y18" s="944"/>
      <c r="Z18" s="946"/>
      <c r="AA18" s="948"/>
      <c r="AB18" s="948"/>
      <c r="AC18" s="948"/>
      <c r="AD18" s="952"/>
      <c r="AE18" s="953"/>
      <c r="AF18" s="954"/>
      <c r="AG18" s="82"/>
      <c r="BD18" s="81"/>
    </row>
    <row r="19" spans="1:68" ht="27.75" hidden="1" customHeight="1" x14ac:dyDescent="0.2">
      <c r="A19" s="675" t="s">
        <v>75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54"/>
      <c r="AB19" s="54"/>
      <c r="AC19" s="54"/>
    </row>
    <row r="20" spans="1:68" ht="16.5" hidden="1" customHeight="1" x14ac:dyDescent="0.25">
      <c r="A20" s="664" t="s">
        <v>75</v>
      </c>
      <c r="B20" s="664"/>
      <c r="C20" s="664"/>
      <c r="D20" s="664"/>
      <c r="E20" s="664"/>
      <c r="F20" s="664"/>
      <c r="G20" s="664"/>
      <c r="H20" s="664"/>
      <c r="I20" s="664"/>
      <c r="J20" s="664"/>
      <c r="K20" s="664"/>
      <c r="L20" s="664"/>
      <c r="M20" s="664"/>
      <c r="N20" s="664"/>
      <c r="O20" s="664"/>
      <c r="P20" s="664"/>
      <c r="Q20" s="664"/>
      <c r="R20" s="664"/>
      <c r="S20" s="664"/>
      <c r="T20" s="664"/>
      <c r="U20" s="664"/>
      <c r="V20" s="664"/>
      <c r="W20" s="664"/>
      <c r="X20" s="664"/>
      <c r="Y20" s="664"/>
      <c r="Z20" s="664"/>
      <c r="AA20" s="65"/>
      <c r="AB20" s="65"/>
      <c r="AC20" s="79"/>
    </row>
    <row r="21" spans="1:68" ht="14.25" hidden="1" customHeight="1" x14ac:dyDescent="0.25">
      <c r="A21" s="657" t="s">
        <v>76</v>
      </c>
      <c r="B21" s="657"/>
      <c r="C21" s="657"/>
      <c r="D21" s="657"/>
      <c r="E21" s="657"/>
      <c r="F21" s="657"/>
      <c r="G21" s="657"/>
      <c r="H21" s="657"/>
      <c r="I21" s="657"/>
      <c r="J21" s="657"/>
      <c r="K21" s="657"/>
      <c r="L21" s="657"/>
      <c r="M21" s="657"/>
      <c r="N21" s="657"/>
      <c r="O21" s="657"/>
      <c r="P21" s="657"/>
      <c r="Q21" s="657"/>
      <c r="R21" s="657"/>
      <c r="S21" s="657"/>
      <c r="T21" s="657"/>
      <c r="U21" s="657"/>
      <c r="V21" s="657"/>
      <c r="W21" s="657"/>
      <c r="X21" s="657"/>
      <c r="Y21" s="657"/>
      <c r="Z21" s="657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4301031508</v>
      </c>
      <c r="D22" s="658">
        <v>4680115889071</v>
      </c>
      <c r="E22" s="658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5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60"/>
      <c r="R22" s="660"/>
      <c r="S22" s="660"/>
      <c r="T22" s="66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48"/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9"/>
      <c r="P23" s="645" t="s">
        <v>40</v>
      </c>
      <c r="Q23" s="646"/>
      <c r="R23" s="646"/>
      <c r="S23" s="646"/>
      <c r="T23" s="646"/>
      <c r="U23" s="646"/>
      <c r="V23" s="64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48"/>
      <c r="B24" s="648"/>
      <c r="C24" s="648"/>
      <c r="D24" s="648"/>
      <c r="E24" s="648"/>
      <c r="F24" s="648"/>
      <c r="G24" s="648"/>
      <c r="H24" s="648"/>
      <c r="I24" s="648"/>
      <c r="J24" s="648"/>
      <c r="K24" s="648"/>
      <c r="L24" s="648"/>
      <c r="M24" s="648"/>
      <c r="N24" s="648"/>
      <c r="O24" s="649"/>
      <c r="P24" s="645" t="s">
        <v>40</v>
      </c>
      <c r="Q24" s="646"/>
      <c r="R24" s="646"/>
      <c r="S24" s="646"/>
      <c r="T24" s="646"/>
      <c r="U24" s="646"/>
      <c r="V24" s="64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57" t="s">
        <v>82</v>
      </c>
      <c r="B25" s="657"/>
      <c r="C25" s="657"/>
      <c r="D25" s="657"/>
      <c r="E25" s="657"/>
      <c r="F25" s="657"/>
      <c r="G25" s="657"/>
      <c r="H25" s="657"/>
      <c r="I25" s="657"/>
      <c r="J25" s="657"/>
      <c r="K25" s="657"/>
      <c r="L25" s="657"/>
      <c r="M25" s="657"/>
      <c r="N25" s="657"/>
      <c r="O25" s="657"/>
      <c r="P25" s="657"/>
      <c r="Q25" s="657"/>
      <c r="R25" s="657"/>
      <c r="S25" s="657"/>
      <c r="T25" s="657"/>
      <c r="U25" s="657"/>
      <c r="V25" s="657"/>
      <c r="W25" s="657"/>
      <c r="X25" s="657"/>
      <c r="Y25" s="657"/>
      <c r="Z25" s="657"/>
      <c r="AA25" s="66"/>
      <c r="AB25" s="66"/>
      <c r="AC25" s="80"/>
    </row>
    <row r="26" spans="1:68" ht="27" hidden="1" customHeight="1" x14ac:dyDescent="0.25">
      <c r="A26" s="63" t="s">
        <v>83</v>
      </c>
      <c r="B26" s="63" t="s">
        <v>84</v>
      </c>
      <c r="C26" s="36">
        <v>4301051866</v>
      </c>
      <c r="D26" s="658">
        <v>4680115885912</v>
      </c>
      <c r="E26" s="658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87</v>
      </c>
      <c r="L26" s="37" t="s">
        <v>46</v>
      </c>
      <c r="M26" s="38" t="s">
        <v>86</v>
      </c>
      <c r="N26" s="38"/>
      <c r="O26" s="37">
        <v>40</v>
      </c>
      <c r="P26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60"/>
      <c r="R26" s="660"/>
      <c r="S26" s="660"/>
      <c r="T26" s="661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85</v>
      </c>
      <c r="AG26" s="78"/>
      <c r="AJ26" s="84" t="s">
        <v>46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88</v>
      </c>
      <c r="B27" s="63" t="s">
        <v>89</v>
      </c>
      <c r="C27" s="36">
        <v>4301051776</v>
      </c>
      <c r="D27" s="658">
        <v>4607091388237</v>
      </c>
      <c r="E27" s="658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87</v>
      </c>
      <c r="L27" s="37" t="s">
        <v>46</v>
      </c>
      <c r="M27" s="38" t="s">
        <v>86</v>
      </c>
      <c r="N27" s="38"/>
      <c r="O27" s="37">
        <v>40</v>
      </c>
      <c r="P27" s="93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60"/>
      <c r="R27" s="660"/>
      <c r="S27" s="660"/>
      <c r="T27" s="66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85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90</v>
      </c>
      <c r="B28" s="63" t="s">
        <v>91</v>
      </c>
      <c r="C28" s="36">
        <v>4301052063</v>
      </c>
      <c r="D28" s="658">
        <v>4680115887350</v>
      </c>
      <c r="E28" s="658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87</v>
      </c>
      <c r="L28" s="37" t="s">
        <v>46</v>
      </c>
      <c r="M28" s="38" t="s">
        <v>93</v>
      </c>
      <c r="N28" s="38"/>
      <c r="O28" s="37">
        <v>40</v>
      </c>
      <c r="P28" s="93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60"/>
      <c r="R28" s="660"/>
      <c r="S28" s="660"/>
      <c r="T28" s="661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92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4301051863</v>
      </c>
      <c r="D29" s="658">
        <v>4680115885905</v>
      </c>
      <c r="E29" s="65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87</v>
      </c>
      <c r="L29" s="37" t="s">
        <v>46</v>
      </c>
      <c r="M29" s="38" t="s">
        <v>93</v>
      </c>
      <c r="N29" s="38"/>
      <c r="O29" s="37">
        <v>40</v>
      </c>
      <c r="P29" s="93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60"/>
      <c r="R29" s="660"/>
      <c r="S29" s="660"/>
      <c r="T29" s="66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4301052071</v>
      </c>
      <c r="D30" s="658">
        <v>4680115887619</v>
      </c>
      <c r="E30" s="658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87</v>
      </c>
      <c r="L30" s="37" t="s">
        <v>46</v>
      </c>
      <c r="M30" s="38" t="s">
        <v>86</v>
      </c>
      <c r="N30" s="38"/>
      <c r="O30" s="37">
        <v>40</v>
      </c>
      <c r="P30" s="93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60"/>
      <c r="R30" s="660"/>
      <c r="S30" s="660"/>
      <c r="T30" s="66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48"/>
      <c r="B31" s="648"/>
      <c r="C31" s="648"/>
      <c r="D31" s="648"/>
      <c r="E31" s="648"/>
      <c r="F31" s="648"/>
      <c r="G31" s="648"/>
      <c r="H31" s="648"/>
      <c r="I31" s="648"/>
      <c r="J31" s="648"/>
      <c r="K31" s="648"/>
      <c r="L31" s="648"/>
      <c r="M31" s="648"/>
      <c r="N31" s="648"/>
      <c r="O31" s="649"/>
      <c r="P31" s="645" t="s">
        <v>40</v>
      </c>
      <c r="Q31" s="646"/>
      <c r="R31" s="646"/>
      <c r="S31" s="646"/>
      <c r="T31" s="646"/>
      <c r="U31" s="646"/>
      <c r="V31" s="64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48"/>
      <c r="B32" s="648"/>
      <c r="C32" s="648"/>
      <c r="D32" s="648"/>
      <c r="E32" s="648"/>
      <c r="F32" s="648"/>
      <c r="G32" s="648"/>
      <c r="H32" s="648"/>
      <c r="I32" s="648"/>
      <c r="J32" s="648"/>
      <c r="K32" s="648"/>
      <c r="L32" s="648"/>
      <c r="M32" s="648"/>
      <c r="N32" s="648"/>
      <c r="O32" s="649"/>
      <c r="P32" s="645" t="s">
        <v>40</v>
      </c>
      <c r="Q32" s="646"/>
      <c r="R32" s="646"/>
      <c r="S32" s="646"/>
      <c r="T32" s="646"/>
      <c r="U32" s="646"/>
      <c r="V32" s="64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657" t="s">
        <v>100</v>
      </c>
      <c r="B33" s="657"/>
      <c r="C33" s="657"/>
      <c r="D33" s="657"/>
      <c r="E33" s="657"/>
      <c r="F33" s="657"/>
      <c r="G33" s="657"/>
      <c r="H33" s="657"/>
      <c r="I33" s="657"/>
      <c r="J33" s="657"/>
      <c r="K33" s="657"/>
      <c r="L33" s="657"/>
      <c r="M33" s="657"/>
      <c r="N33" s="657"/>
      <c r="O33" s="657"/>
      <c r="P33" s="657"/>
      <c r="Q33" s="657"/>
      <c r="R33" s="657"/>
      <c r="S33" s="657"/>
      <c r="T33" s="657"/>
      <c r="U33" s="657"/>
      <c r="V33" s="657"/>
      <c r="W33" s="657"/>
      <c r="X33" s="657"/>
      <c r="Y33" s="657"/>
      <c r="Z33" s="657"/>
      <c r="AA33" s="66"/>
      <c r="AB33" s="66"/>
      <c r="AC33" s="80"/>
    </row>
    <row r="34" spans="1:68" ht="27" hidden="1" customHeight="1" x14ac:dyDescent="0.25">
      <c r="A34" s="63" t="s">
        <v>101</v>
      </c>
      <c r="B34" s="63" t="s">
        <v>102</v>
      </c>
      <c r="C34" s="36">
        <v>4301032059</v>
      </c>
      <c r="D34" s="658">
        <v>4680115889262</v>
      </c>
      <c r="E34" s="658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107</v>
      </c>
      <c r="L34" s="37" t="s">
        <v>46</v>
      </c>
      <c r="M34" s="38" t="s">
        <v>106</v>
      </c>
      <c r="N34" s="38"/>
      <c r="O34" s="37">
        <v>180</v>
      </c>
      <c r="P34" s="93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60"/>
      <c r="R34" s="660"/>
      <c r="S34" s="660"/>
      <c r="T34" s="661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105</v>
      </c>
      <c r="AC34" s="98" t="s">
        <v>103</v>
      </c>
      <c r="AG34" s="78"/>
      <c r="AJ34" s="84" t="s">
        <v>46</v>
      </c>
      <c r="AK34" s="84">
        <v>0</v>
      </c>
      <c r="BB34" s="99" t="s">
        <v>104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108</v>
      </c>
      <c r="B35" s="63" t="s">
        <v>109</v>
      </c>
      <c r="C35" s="36">
        <v>4301032063</v>
      </c>
      <c r="D35" s="658">
        <v>4680115889040</v>
      </c>
      <c r="E35" s="658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107</v>
      </c>
      <c r="L35" s="37" t="s">
        <v>46</v>
      </c>
      <c r="M35" s="38" t="s">
        <v>106</v>
      </c>
      <c r="N35" s="38"/>
      <c r="O35" s="37">
        <v>120</v>
      </c>
      <c r="P35" s="94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60"/>
      <c r="R35" s="660"/>
      <c r="S35" s="660"/>
      <c r="T35" s="66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105</v>
      </c>
      <c r="AC35" s="100" t="s">
        <v>110</v>
      </c>
      <c r="AG35" s="78"/>
      <c r="AJ35" s="84" t="s">
        <v>46</v>
      </c>
      <c r="AK35" s="84">
        <v>0</v>
      </c>
      <c r="BB35" s="101" t="s">
        <v>104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8"/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9"/>
      <c r="P36" s="645" t="s">
        <v>40</v>
      </c>
      <c r="Q36" s="646"/>
      <c r="R36" s="646"/>
      <c r="S36" s="646"/>
      <c r="T36" s="646"/>
      <c r="U36" s="646"/>
      <c r="V36" s="647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648"/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9"/>
      <c r="P37" s="645" t="s">
        <v>40</v>
      </c>
      <c r="Q37" s="646"/>
      <c r="R37" s="646"/>
      <c r="S37" s="646"/>
      <c r="T37" s="646"/>
      <c r="U37" s="646"/>
      <c r="V37" s="647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675" t="s">
        <v>45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54"/>
      <c r="AB38" s="54"/>
      <c r="AC38" s="54"/>
    </row>
    <row r="39" spans="1:68" ht="16.5" hidden="1" customHeight="1" x14ac:dyDescent="0.25">
      <c r="A39" s="664" t="s">
        <v>111</v>
      </c>
      <c r="B39" s="664"/>
      <c r="C39" s="664"/>
      <c r="D39" s="664"/>
      <c r="E39" s="664"/>
      <c r="F39" s="664"/>
      <c r="G39" s="664"/>
      <c r="H39" s="664"/>
      <c r="I39" s="664"/>
      <c r="J39" s="664"/>
      <c r="K39" s="664"/>
      <c r="L39" s="664"/>
      <c r="M39" s="664"/>
      <c r="N39" s="664"/>
      <c r="O39" s="664"/>
      <c r="P39" s="664"/>
      <c r="Q39" s="664"/>
      <c r="R39" s="664"/>
      <c r="S39" s="664"/>
      <c r="T39" s="664"/>
      <c r="U39" s="664"/>
      <c r="V39" s="664"/>
      <c r="W39" s="664"/>
      <c r="X39" s="664"/>
      <c r="Y39" s="664"/>
      <c r="Z39" s="664"/>
      <c r="AA39" s="65"/>
      <c r="AB39" s="65"/>
      <c r="AC39" s="79"/>
    </row>
    <row r="40" spans="1:68" ht="14.25" hidden="1" customHeight="1" x14ac:dyDescent="0.25">
      <c r="A40" s="657" t="s">
        <v>82</v>
      </c>
      <c r="B40" s="657"/>
      <c r="C40" s="657"/>
      <c r="D40" s="657"/>
      <c r="E40" s="657"/>
      <c r="F40" s="657"/>
      <c r="G40" s="657"/>
      <c r="H40" s="657"/>
      <c r="I40" s="657"/>
      <c r="J40" s="657"/>
      <c r="K40" s="657"/>
      <c r="L40" s="657"/>
      <c r="M40" s="657"/>
      <c r="N40" s="657"/>
      <c r="O40" s="657"/>
      <c r="P40" s="657"/>
      <c r="Q40" s="657"/>
      <c r="R40" s="657"/>
      <c r="S40" s="657"/>
      <c r="T40" s="657"/>
      <c r="U40" s="657"/>
      <c r="V40" s="657"/>
      <c r="W40" s="657"/>
      <c r="X40" s="657"/>
      <c r="Y40" s="657"/>
      <c r="Z40" s="657"/>
      <c r="AA40" s="66"/>
      <c r="AB40" s="66"/>
      <c r="AC40" s="80"/>
    </row>
    <row r="41" spans="1:68" ht="27" hidden="1" customHeight="1" x14ac:dyDescent="0.25">
      <c r="A41" s="63" t="s">
        <v>112</v>
      </c>
      <c r="B41" s="63" t="s">
        <v>113</v>
      </c>
      <c r="C41" s="36">
        <v>4301052187</v>
      </c>
      <c r="D41" s="658">
        <v>4680115889354</v>
      </c>
      <c r="E41" s="65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87</v>
      </c>
      <c r="L41" s="37" t="s">
        <v>46</v>
      </c>
      <c r="M41" s="38" t="s">
        <v>93</v>
      </c>
      <c r="N41" s="38"/>
      <c r="O41" s="37">
        <v>40</v>
      </c>
      <c r="P41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60"/>
      <c r="R41" s="660"/>
      <c r="S41" s="660"/>
      <c r="T41" s="66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114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658">
        <v>4680115888463</v>
      </c>
      <c r="E42" s="65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87</v>
      </c>
      <c r="L42" s="37" t="s">
        <v>46</v>
      </c>
      <c r="M42" s="38" t="s">
        <v>86</v>
      </c>
      <c r="N42" s="38"/>
      <c r="O42" s="37">
        <v>40</v>
      </c>
      <c r="P42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60"/>
      <c r="R42" s="660"/>
      <c r="S42" s="660"/>
      <c r="T42" s="66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4301052259</v>
      </c>
      <c r="D43" s="658">
        <v>4680115889590</v>
      </c>
      <c r="E43" s="658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87</v>
      </c>
      <c r="L43" s="37" t="s">
        <v>46</v>
      </c>
      <c r="M43" s="38" t="s">
        <v>86</v>
      </c>
      <c r="N43" s="38"/>
      <c r="O43" s="37">
        <v>40</v>
      </c>
      <c r="P43" s="9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60"/>
      <c r="R43" s="660"/>
      <c r="S43" s="660"/>
      <c r="T43" s="66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4301052184</v>
      </c>
      <c r="D44" s="658">
        <v>4680115888272</v>
      </c>
      <c r="E44" s="65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87</v>
      </c>
      <c r="L44" s="37" t="s">
        <v>46</v>
      </c>
      <c r="M44" s="38" t="s">
        <v>86</v>
      </c>
      <c r="N44" s="38"/>
      <c r="O44" s="37">
        <v>40</v>
      </c>
      <c r="P44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60"/>
      <c r="R44" s="660"/>
      <c r="S44" s="660"/>
      <c r="T44" s="66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4301052188</v>
      </c>
      <c r="D45" s="658">
        <v>4680115888364</v>
      </c>
      <c r="E45" s="65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87</v>
      </c>
      <c r="L45" s="37" t="s">
        <v>46</v>
      </c>
      <c r="M45" s="38" t="s">
        <v>86</v>
      </c>
      <c r="N45" s="38"/>
      <c r="O45" s="37">
        <v>40</v>
      </c>
      <c r="P45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60"/>
      <c r="R45" s="660"/>
      <c r="S45" s="660"/>
      <c r="T45" s="66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8"/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9"/>
      <c r="P46" s="645" t="s">
        <v>40</v>
      </c>
      <c r="Q46" s="646"/>
      <c r="R46" s="646"/>
      <c r="S46" s="646"/>
      <c r="T46" s="646"/>
      <c r="U46" s="646"/>
      <c r="V46" s="64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8"/>
      <c r="B47" s="648"/>
      <c r="C47" s="648"/>
      <c r="D47" s="648"/>
      <c r="E47" s="648"/>
      <c r="F47" s="648"/>
      <c r="G47" s="648"/>
      <c r="H47" s="648"/>
      <c r="I47" s="648"/>
      <c r="J47" s="648"/>
      <c r="K47" s="648"/>
      <c r="L47" s="648"/>
      <c r="M47" s="648"/>
      <c r="N47" s="648"/>
      <c r="O47" s="649"/>
      <c r="P47" s="645" t="s">
        <v>40</v>
      </c>
      <c r="Q47" s="646"/>
      <c r="R47" s="646"/>
      <c r="S47" s="646"/>
      <c r="T47" s="646"/>
      <c r="U47" s="646"/>
      <c r="V47" s="64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75" t="s">
        <v>127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54"/>
      <c r="AB48" s="54"/>
      <c r="AC48" s="54"/>
    </row>
    <row r="49" spans="1:68" ht="16.5" hidden="1" customHeight="1" x14ac:dyDescent="0.25">
      <c r="A49" s="664" t="s">
        <v>128</v>
      </c>
      <c r="B49" s="664"/>
      <c r="C49" s="664"/>
      <c r="D49" s="664"/>
      <c r="E49" s="664"/>
      <c r="F49" s="664"/>
      <c r="G49" s="664"/>
      <c r="H49" s="664"/>
      <c r="I49" s="664"/>
      <c r="J49" s="664"/>
      <c r="K49" s="664"/>
      <c r="L49" s="664"/>
      <c r="M49" s="664"/>
      <c r="N49" s="664"/>
      <c r="O49" s="664"/>
      <c r="P49" s="664"/>
      <c r="Q49" s="664"/>
      <c r="R49" s="664"/>
      <c r="S49" s="664"/>
      <c r="T49" s="664"/>
      <c r="U49" s="664"/>
      <c r="V49" s="664"/>
      <c r="W49" s="664"/>
      <c r="X49" s="664"/>
      <c r="Y49" s="664"/>
      <c r="Z49" s="664"/>
      <c r="AA49" s="65"/>
      <c r="AB49" s="65"/>
      <c r="AC49" s="79"/>
    </row>
    <row r="50" spans="1:68" ht="14.25" hidden="1" customHeight="1" x14ac:dyDescent="0.25">
      <c r="A50" s="657" t="s">
        <v>129</v>
      </c>
      <c r="B50" s="657"/>
      <c r="C50" s="657"/>
      <c r="D50" s="657"/>
      <c r="E50" s="657"/>
      <c r="F50" s="657"/>
      <c r="G50" s="657"/>
      <c r="H50" s="657"/>
      <c r="I50" s="657"/>
      <c r="J50" s="657"/>
      <c r="K50" s="657"/>
      <c r="L50" s="657"/>
      <c r="M50" s="657"/>
      <c r="N50" s="657"/>
      <c r="O50" s="657"/>
      <c r="P50" s="657"/>
      <c r="Q50" s="657"/>
      <c r="R50" s="657"/>
      <c r="S50" s="657"/>
      <c r="T50" s="657"/>
      <c r="U50" s="657"/>
      <c r="V50" s="657"/>
      <c r="W50" s="657"/>
      <c r="X50" s="657"/>
      <c r="Y50" s="657"/>
      <c r="Z50" s="657"/>
      <c r="AA50" s="66"/>
      <c r="AB50" s="66"/>
      <c r="AC50" s="80"/>
    </row>
    <row r="51" spans="1:68" ht="16.5" hidden="1" customHeight="1" x14ac:dyDescent="0.25">
      <c r="A51" s="63" t="s">
        <v>130</v>
      </c>
      <c r="B51" s="63" t="s">
        <v>131</v>
      </c>
      <c r="C51" s="36">
        <v>4301011380</v>
      </c>
      <c r="D51" s="658">
        <v>4607091385670</v>
      </c>
      <c r="E51" s="65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60"/>
      <c r="R51" s="660"/>
      <c r="S51" s="660"/>
      <c r="T51" s="661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658">
        <v>4680115887725</v>
      </c>
      <c r="E52" s="65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80</v>
      </c>
      <c r="N52" s="38"/>
      <c r="O52" s="37">
        <v>30</v>
      </c>
      <c r="P52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60"/>
      <c r="R52" s="660"/>
      <c r="S52" s="660"/>
      <c r="T52" s="66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139</v>
      </c>
      <c r="B53" s="63" t="s">
        <v>140</v>
      </c>
      <c r="C53" s="36">
        <v>4301011382</v>
      </c>
      <c r="D53" s="658">
        <v>4607091385687</v>
      </c>
      <c r="E53" s="65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86</v>
      </c>
      <c r="N53" s="38"/>
      <c r="O53" s="37">
        <v>50</v>
      </c>
      <c r="P53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60"/>
      <c r="R53" s="660"/>
      <c r="S53" s="660"/>
      <c r="T53" s="661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658">
        <v>4680115882539</v>
      </c>
      <c r="E54" s="65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86</v>
      </c>
      <c r="N54" s="38"/>
      <c r="O54" s="37">
        <v>50</v>
      </c>
      <c r="P54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60"/>
      <c r="R54" s="660"/>
      <c r="S54" s="660"/>
      <c r="T54" s="66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8"/>
      <c r="B55" s="648"/>
      <c r="C55" s="648"/>
      <c r="D55" s="648"/>
      <c r="E55" s="648"/>
      <c r="F55" s="648"/>
      <c r="G55" s="648"/>
      <c r="H55" s="648"/>
      <c r="I55" s="648"/>
      <c r="J55" s="648"/>
      <c r="K55" s="648"/>
      <c r="L55" s="648"/>
      <c r="M55" s="648"/>
      <c r="N55" s="648"/>
      <c r="O55" s="649"/>
      <c r="P55" s="645" t="s">
        <v>40</v>
      </c>
      <c r="Q55" s="646"/>
      <c r="R55" s="646"/>
      <c r="S55" s="646"/>
      <c r="T55" s="646"/>
      <c r="U55" s="646"/>
      <c r="V55" s="647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8"/>
      <c r="B56" s="648"/>
      <c r="C56" s="648"/>
      <c r="D56" s="648"/>
      <c r="E56" s="648"/>
      <c r="F56" s="648"/>
      <c r="G56" s="648"/>
      <c r="H56" s="648"/>
      <c r="I56" s="648"/>
      <c r="J56" s="648"/>
      <c r="K56" s="648"/>
      <c r="L56" s="648"/>
      <c r="M56" s="648"/>
      <c r="N56" s="648"/>
      <c r="O56" s="649"/>
      <c r="P56" s="645" t="s">
        <v>40</v>
      </c>
      <c r="Q56" s="646"/>
      <c r="R56" s="646"/>
      <c r="S56" s="646"/>
      <c r="T56" s="646"/>
      <c r="U56" s="646"/>
      <c r="V56" s="647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64" t="s">
        <v>144</v>
      </c>
      <c r="B57" s="664"/>
      <c r="C57" s="664"/>
      <c r="D57" s="664"/>
      <c r="E57" s="664"/>
      <c r="F57" s="664"/>
      <c r="G57" s="664"/>
      <c r="H57" s="664"/>
      <c r="I57" s="664"/>
      <c r="J57" s="664"/>
      <c r="K57" s="664"/>
      <c r="L57" s="664"/>
      <c r="M57" s="664"/>
      <c r="N57" s="664"/>
      <c r="O57" s="664"/>
      <c r="P57" s="664"/>
      <c r="Q57" s="664"/>
      <c r="R57" s="664"/>
      <c r="S57" s="664"/>
      <c r="T57" s="664"/>
      <c r="U57" s="664"/>
      <c r="V57" s="664"/>
      <c r="W57" s="664"/>
      <c r="X57" s="664"/>
      <c r="Y57" s="664"/>
      <c r="Z57" s="664"/>
      <c r="AA57" s="65"/>
      <c r="AB57" s="65"/>
      <c r="AC57" s="79"/>
    </row>
    <row r="58" spans="1:68" ht="14.25" hidden="1" customHeight="1" x14ac:dyDescent="0.25">
      <c r="A58" s="657" t="s">
        <v>129</v>
      </c>
      <c r="B58" s="657"/>
      <c r="C58" s="657"/>
      <c r="D58" s="657"/>
      <c r="E58" s="657"/>
      <c r="F58" s="657"/>
      <c r="G58" s="657"/>
      <c r="H58" s="657"/>
      <c r="I58" s="657"/>
      <c r="J58" s="657"/>
      <c r="K58" s="657"/>
      <c r="L58" s="657"/>
      <c r="M58" s="657"/>
      <c r="N58" s="657"/>
      <c r="O58" s="657"/>
      <c r="P58" s="657"/>
      <c r="Q58" s="657"/>
      <c r="R58" s="657"/>
      <c r="S58" s="657"/>
      <c r="T58" s="657"/>
      <c r="U58" s="657"/>
      <c r="V58" s="657"/>
      <c r="W58" s="657"/>
      <c r="X58" s="657"/>
      <c r="Y58" s="657"/>
      <c r="Z58" s="657"/>
      <c r="AA58" s="66"/>
      <c r="AB58" s="66"/>
      <c r="AC58" s="80"/>
    </row>
    <row r="59" spans="1:68" ht="27" hidden="1" customHeight="1" x14ac:dyDescent="0.25">
      <c r="A59" s="63" t="s">
        <v>145</v>
      </c>
      <c r="B59" s="63" t="s">
        <v>146</v>
      </c>
      <c r="C59" s="36">
        <v>4301012161</v>
      </c>
      <c r="D59" s="658">
        <v>4680115885882</v>
      </c>
      <c r="E59" s="65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133</v>
      </c>
      <c r="N59" s="38"/>
      <c r="O59" s="37">
        <v>50</v>
      </c>
      <c r="P59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60"/>
      <c r="R59" s="660"/>
      <c r="S59" s="660"/>
      <c r="T59" s="661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148</v>
      </c>
      <c r="B60" s="63" t="s">
        <v>149</v>
      </c>
      <c r="C60" s="36">
        <v>4301011816</v>
      </c>
      <c r="D60" s="658">
        <v>4680115881426</v>
      </c>
      <c r="E60" s="658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91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60"/>
      <c r="R60" s="660"/>
      <c r="S60" s="660"/>
      <c r="T60" s="66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148</v>
      </c>
      <c r="B61" s="63" t="s">
        <v>151</v>
      </c>
      <c r="C61" s="36">
        <v>4301012162</v>
      </c>
      <c r="D61" s="658">
        <v>4680115881426</v>
      </c>
      <c r="E61" s="65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91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60"/>
      <c r="R61" s="660"/>
      <c r="S61" s="660"/>
      <c r="T61" s="661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4301012259</v>
      </c>
      <c r="D62" s="658">
        <v>4680115880283</v>
      </c>
      <c r="E62" s="65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91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60"/>
      <c r="R62" s="660"/>
      <c r="S62" s="660"/>
      <c r="T62" s="66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156</v>
      </c>
      <c r="B63" s="63" t="s">
        <v>157</v>
      </c>
      <c r="C63" s="36">
        <v>4301011806</v>
      </c>
      <c r="D63" s="658">
        <v>4680115881525</v>
      </c>
      <c r="E63" s="658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50</v>
      </c>
      <c r="P63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60"/>
      <c r="R63" s="660"/>
      <c r="S63" s="660"/>
      <c r="T63" s="661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159</v>
      </c>
      <c r="C64" s="36">
        <v>4301012159</v>
      </c>
      <c r="D64" s="658">
        <v>4680115881525</v>
      </c>
      <c r="E64" s="65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92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60"/>
      <c r="R64" s="660"/>
      <c r="S64" s="660"/>
      <c r="T64" s="66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58">
        <v>4680115885899</v>
      </c>
      <c r="E65" s="65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87</v>
      </c>
      <c r="L65" s="37" t="s">
        <v>46</v>
      </c>
      <c r="M65" s="38" t="s">
        <v>133</v>
      </c>
      <c r="N65" s="38"/>
      <c r="O65" s="37">
        <v>50</v>
      </c>
      <c r="P65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60"/>
      <c r="R65" s="660"/>
      <c r="S65" s="660"/>
      <c r="T65" s="66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163</v>
      </c>
      <c r="B66" s="63" t="s">
        <v>164</v>
      </c>
      <c r="C66" s="36">
        <v>4301012158</v>
      </c>
      <c r="D66" s="658">
        <v>4680115881419</v>
      </c>
      <c r="E66" s="65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92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60"/>
      <c r="R66" s="660"/>
      <c r="S66" s="660"/>
      <c r="T66" s="661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8"/>
      <c r="B67" s="648"/>
      <c r="C67" s="648"/>
      <c r="D67" s="648"/>
      <c r="E67" s="648"/>
      <c r="F67" s="648"/>
      <c r="G67" s="648"/>
      <c r="H67" s="648"/>
      <c r="I67" s="648"/>
      <c r="J67" s="648"/>
      <c r="K67" s="648"/>
      <c r="L67" s="648"/>
      <c r="M67" s="648"/>
      <c r="N67" s="648"/>
      <c r="O67" s="649"/>
      <c r="P67" s="645" t="s">
        <v>40</v>
      </c>
      <c r="Q67" s="646"/>
      <c r="R67" s="646"/>
      <c r="S67" s="646"/>
      <c r="T67" s="646"/>
      <c r="U67" s="646"/>
      <c r="V67" s="64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8"/>
      <c r="B68" s="648"/>
      <c r="C68" s="648"/>
      <c r="D68" s="648"/>
      <c r="E68" s="648"/>
      <c r="F68" s="648"/>
      <c r="G68" s="648"/>
      <c r="H68" s="648"/>
      <c r="I68" s="648"/>
      <c r="J68" s="648"/>
      <c r="K68" s="648"/>
      <c r="L68" s="648"/>
      <c r="M68" s="648"/>
      <c r="N68" s="648"/>
      <c r="O68" s="649"/>
      <c r="P68" s="645" t="s">
        <v>40</v>
      </c>
      <c r="Q68" s="646"/>
      <c r="R68" s="646"/>
      <c r="S68" s="646"/>
      <c r="T68" s="646"/>
      <c r="U68" s="646"/>
      <c r="V68" s="647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7" t="s">
        <v>165</v>
      </c>
      <c r="B69" s="657"/>
      <c r="C69" s="657"/>
      <c r="D69" s="657"/>
      <c r="E69" s="657"/>
      <c r="F69" s="657"/>
      <c r="G69" s="657"/>
      <c r="H69" s="657"/>
      <c r="I69" s="657"/>
      <c r="J69" s="657"/>
      <c r="K69" s="657"/>
      <c r="L69" s="657"/>
      <c r="M69" s="657"/>
      <c r="N69" s="657"/>
      <c r="O69" s="657"/>
      <c r="P69" s="657"/>
      <c r="Q69" s="657"/>
      <c r="R69" s="657"/>
      <c r="S69" s="657"/>
      <c r="T69" s="657"/>
      <c r="U69" s="657"/>
      <c r="V69" s="657"/>
      <c r="W69" s="657"/>
      <c r="X69" s="657"/>
      <c r="Y69" s="657"/>
      <c r="Z69" s="657"/>
      <c r="AA69" s="66"/>
      <c r="AB69" s="66"/>
      <c r="AC69" s="80"/>
    </row>
    <row r="70" spans="1:68" ht="27" hidden="1" customHeight="1" x14ac:dyDescent="0.25">
      <c r="A70" s="63" t="s">
        <v>166</v>
      </c>
      <c r="B70" s="63" t="s">
        <v>167</v>
      </c>
      <c r="C70" s="36">
        <v>4301020390</v>
      </c>
      <c r="D70" s="658">
        <v>4680115881440</v>
      </c>
      <c r="E70" s="65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91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60"/>
      <c r="R70" s="660"/>
      <c r="S70" s="660"/>
      <c r="T70" s="661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4301020403</v>
      </c>
      <c r="D71" s="658">
        <v>4680115885950</v>
      </c>
      <c r="E71" s="65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87</v>
      </c>
      <c r="L71" s="37" t="s">
        <v>46</v>
      </c>
      <c r="M71" s="38" t="s">
        <v>133</v>
      </c>
      <c r="N71" s="38"/>
      <c r="O71" s="37">
        <v>50</v>
      </c>
      <c r="P71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60"/>
      <c r="R71" s="660"/>
      <c r="S71" s="660"/>
      <c r="T71" s="66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58">
        <v>4680115887688</v>
      </c>
      <c r="E72" s="65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80</v>
      </c>
      <c r="N72" s="38"/>
      <c r="O72" s="37">
        <v>30</v>
      </c>
      <c r="P72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60"/>
      <c r="R72" s="660"/>
      <c r="S72" s="660"/>
      <c r="T72" s="66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4301020389</v>
      </c>
      <c r="D73" s="658">
        <v>4680115881433</v>
      </c>
      <c r="E73" s="65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87</v>
      </c>
      <c r="L73" s="37" t="s">
        <v>46</v>
      </c>
      <c r="M73" s="38" t="s">
        <v>133</v>
      </c>
      <c r="N73" s="38"/>
      <c r="O73" s="37">
        <v>50</v>
      </c>
      <c r="P73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60"/>
      <c r="R73" s="660"/>
      <c r="S73" s="660"/>
      <c r="T73" s="661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8"/>
      <c r="B74" s="648"/>
      <c r="C74" s="648"/>
      <c r="D74" s="648"/>
      <c r="E74" s="648"/>
      <c r="F74" s="648"/>
      <c r="G74" s="648"/>
      <c r="H74" s="648"/>
      <c r="I74" s="648"/>
      <c r="J74" s="648"/>
      <c r="K74" s="648"/>
      <c r="L74" s="648"/>
      <c r="M74" s="648"/>
      <c r="N74" s="648"/>
      <c r="O74" s="649"/>
      <c r="P74" s="645" t="s">
        <v>40</v>
      </c>
      <c r="Q74" s="646"/>
      <c r="R74" s="646"/>
      <c r="S74" s="646"/>
      <c r="T74" s="646"/>
      <c r="U74" s="646"/>
      <c r="V74" s="64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8"/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  <c r="N75" s="648"/>
      <c r="O75" s="649"/>
      <c r="P75" s="645" t="s">
        <v>40</v>
      </c>
      <c r="Q75" s="646"/>
      <c r="R75" s="646"/>
      <c r="S75" s="646"/>
      <c r="T75" s="646"/>
      <c r="U75" s="646"/>
      <c r="V75" s="64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7" t="s">
        <v>82</v>
      </c>
      <c r="B76" s="657"/>
      <c r="C76" s="657"/>
      <c r="D76" s="657"/>
      <c r="E76" s="657"/>
      <c r="F76" s="657"/>
      <c r="G76" s="657"/>
      <c r="H76" s="657"/>
      <c r="I76" s="657"/>
      <c r="J76" s="657"/>
      <c r="K76" s="657"/>
      <c r="L76" s="657"/>
      <c r="M76" s="657"/>
      <c r="N76" s="657"/>
      <c r="O76" s="657"/>
      <c r="P76" s="657"/>
      <c r="Q76" s="657"/>
      <c r="R76" s="657"/>
      <c r="S76" s="657"/>
      <c r="T76" s="657"/>
      <c r="U76" s="657"/>
      <c r="V76" s="657"/>
      <c r="W76" s="657"/>
      <c r="X76" s="657"/>
      <c r="Y76" s="657"/>
      <c r="Z76" s="657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58">
        <v>4680115884311</v>
      </c>
      <c r="E77" s="65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87</v>
      </c>
      <c r="L77" s="37" t="s">
        <v>46</v>
      </c>
      <c r="M77" s="38" t="s">
        <v>86</v>
      </c>
      <c r="N77" s="38"/>
      <c r="O77" s="37">
        <v>40</v>
      </c>
      <c r="P77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60"/>
      <c r="R77" s="660"/>
      <c r="S77" s="660"/>
      <c r="T77" s="66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658">
        <v>4680115884403</v>
      </c>
      <c r="E78" s="65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87</v>
      </c>
      <c r="L78" s="37" t="s">
        <v>46</v>
      </c>
      <c r="M78" s="38" t="s">
        <v>86</v>
      </c>
      <c r="N78" s="38"/>
      <c r="O78" s="37">
        <v>40</v>
      </c>
      <c r="P78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60"/>
      <c r="R78" s="660"/>
      <c r="S78" s="660"/>
      <c r="T78" s="661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8"/>
      <c r="B79" s="648"/>
      <c r="C79" s="648"/>
      <c r="D79" s="648"/>
      <c r="E79" s="648"/>
      <c r="F79" s="648"/>
      <c r="G79" s="648"/>
      <c r="H79" s="648"/>
      <c r="I79" s="648"/>
      <c r="J79" s="648"/>
      <c r="K79" s="648"/>
      <c r="L79" s="648"/>
      <c r="M79" s="648"/>
      <c r="N79" s="648"/>
      <c r="O79" s="649"/>
      <c r="P79" s="645" t="s">
        <v>40</v>
      </c>
      <c r="Q79" s="646"/>
      <c r="R79" s="646"/>
      <c r="S79" s="646"/>
      <c r="T79" s="646"/>
      <c r="U79" s="646"/>
      <c r="V79" s="64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8"/>
      <c r="B80" s="648"/>
      <c r="C80" s="648"/>
      <c r="D80" s="648"/>
      <c r="E80" s="648"/>
      <c r="F80" s="648"/>
      <c r="G80" s="648"/>
      <c r="H80" s="648"/>
      <c r="I80" s="648"/>
      <c r="J80" s="648"/>
      <c r="K80" s="648"/>
      <c r="L80" s="648"/>
      <c r="M80" s="648"/>
      <c r="N80" s="648"/>
      <c r="O80" s="649"/>
      <c r="P80" s="645" t="s">
        <v>40</v>
      </c>
      <c r="Q80" s="646"/>
      <c r="R80" s="646"/>
      <c r="S80" s="646"/>
      <c r="T80" s="646"/>
      <c r="U80" s="646"/>
      <c r="V80" s="64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7" t="s">
        <v>183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58">
        <v>4680115881532</v>
      </c>
      <c r="E82" s="65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93</v>
      </c>
      <c r="N82" s="38"/>
      <c r="O82" s="37">
        <v>30</v>
      </c>
      <c r="P82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60"/>
      <c r="R82" s="660"/>
      <c r="S82" s="660"/>
      <c r="T82" s="661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658">
        <v>4680115881532</v>
      </c>
      <c r="E83" s="658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134</v>
      </c>
      <c r="L83" s="37" t="s">
        <v>46</v>
      </c>
      <c r="M83" s="38" t="s">
        <v>93</v>
      </c>
      <c r="N83" s="38"/>
      <c r="O83" s="37">
        <v>30</v>
      </c>
      <c r="P83" s="90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60"/>
      <c r="R83" s="660"/>
      <c r="S83" s="660"/>
      <c r="T83" s="66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658">
        <v>4680115881464</v>
      </c>
      <c r="E84" s="658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141</v>
      </c>
      <c r="L84" s="37" t="s">
        <v>46</v>
      </c>
      <c r="M84" s="38" t="s">
        <v>86</v>
      </c>
      <c r="N84" s="38"/>
      <c r="O84" s="37">
        <v>30</v>
      </c>
      <c r="P84" s="90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60"/>
      <c r="R84" s="660"/>
      <c r="S84" s="660"/>
      <c r="T84" s="661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648"/>
      <c r="B85" s="648"/>
      <c r="C85" s="648"/>
      <c r="D85" s="648"/>
      <c r="E85" s="648"/>
      <c r="F85" s="648"/>
      <c r="G85" s="648"/>
      <c r="H85" s="648"/>
      <c r="I85" s="648"/>
      <c r="J85" s="648"/>
      <c r="K85" s="648"/>
      <c r="L85" s="648"/>
      <c r="M85" s="648"/>
      <c r="N85" s="648"/>
      <c r="O85" s="649"/>
      <c r="P85" s="645" t="s">
        <v>40</v>
      </c>
      <c r="Q85" s="646"/>
      <c r="R85" s="646"/>
      <c r="S85" s="646"/>
      <c r="T85" s="646"/>
      <c r="U85" s="646"/>
      <c r="V85" s="647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648"/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49"/>
      <c r="P86" s="645" t="s">
        <v>40</v>
      </c>
      <c r="Q86" s="646"/>
      <c r="R86" s="646"/>
      <c r="S86" s="646"/>
      <c r="T86" s="646"/>
      <c r="U86" s="646"/>
      <c r="V86" s="647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664" t="s">
        <v>191</v>
      </c>
      <c r="B87" s="664"/>
      <c r="C87" s="664"/>
      <c r="D87" s="664"/>
      <c r="E87" s="664"/>
      <c r="F87" s="664"/>
      <c r="G87" s="664"/>
      <c r="H87" s="664"/>
      <c r="I87" s="664"/>
      <c r="J87" s="664"/>
      <c r="K87" s="664"/>
      <c r="L87" s="664"/>
      <c r="M87" s="664"/>
      <c r="N87" s="664"/>
      <c r="O87" s="664"/>
      <c r="P87" s="664"/>
      <c r="Q87" s="664"/>
      <c r="R87" s="664"/>
      <c r="S87" s="664"/>
      <c r="T87" s="664"/>
      <c r="U87" s="664"/>
      <c r="V87" s="664"/>
      <c r="W87" s="664"/>
      <c r="X87" s="664"/>
      <c r="Y87" s="664"/>
      <c r="Z87" s="664"/>
      <c r="AA87" s="65"/>
      <c r="AB87" s="65"/>
      <c r="AC87" s="79"/>
    </row>
    <row r="88" spans="1:68" ht="14.25" hidden="1" customHeight="1" x14ac:dyDescent="0.25">
      <c r="A88" s="657" t="s">
        <v>129</v>
      </c>
      <c r="B88" s="657"/>
      <c r="C88" s="657"/>
      <c r="D88" s="657"/>
      <c r="E88" s="657"/>
      <c r="F88" s="657"/>
      <c r="G88" s="657"/>
      <c r="H88" s="657"/>
      <c r="I88" s="657"/>
      <c r="J88" s="657"/>
      <c r="K88" s="657"/>
      <c r="L88" s="657"/>
      <c r="M88" s="657"/>
      <c r="N88" s="657"/>
      <c r="O88" s="657"/>
      <c r="P88" s="657"/>
      <c r="Q88" s="657"/>
      <c r="R88" s="657"/>
      <c r="S88" s="657"/>
      <c r="T88" s="657"/>
      <c r="U88" s="657"/>
      <c r="V88" s="657"/>
      <c r="W88" s="657"/>
      <c r="X88" s="657"/>
      <c r="Y88" s="657"/>
      <c r="Z88" s="657"/>
      <c r="AA88" s="66"/>
      <c r="AB88" s="66"/>
      <c r="AC88" s="80"/>
    </row>
    <row r="89" spans="1:68" ht="27" hidden="1" customHeight="1" x14ac:dyDescent="0.25">
      <c r="A89" s="63" t="s">
        <v>192</v>
      </c>
      <c r="B89" s="63" t="s">
        <v>193</v>
      </c>
      <c r="C89" s="36">
        <v>4301011468</v>
      </c>
      <c r="D89" s="658">
        <v>4680115881327</v>
      </c>
      <c r="E89" s="658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134</v>
      </c>
      <c r="L89" s="37" t="s">
        <v>46</v>
      </c>
      <c r="M89" s="38" t="s">
        <v>93</v>
      </c>
      <c r="N89" s="38"/>
      <c r="O89" s="37">
        <v>50</v>
      </c>
      <c r="P89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60"/>
      <c r="R89" s="660"/>
      <c r="S89" s="660"/>
      <c r="T89" s="661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66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658">
        <v>4680115881327</v>
      </c>
      <c r="E90" s="658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134</v>
      </c>
      <c r="L90" s="37" t="s">
        <v>46</v>
      </c>
      <c r="M90" s="38" t="s">
        <v>133</v>
      </c>
      <c r="N90" s="38"/>
      <c r="O90" s="37">
        <v>50</v>
      </c>
      <c r="P90" s="90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60"/>
      <c r="R90" s="660"/>
      <c r="S90" s="660"/>
      <c r="T90" s="661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66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658">
        <v>4680115887732</v>
      </c>
      <c r="E91" s="658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138</v>
      </c>
      <c r="L91" s="37" t="s">
        <v>46</v>
      </c>
      <c r="M91" s="38" t="s">
        <v>80</v>
      </c>
      <c r="N91" s="38"/>
      <c r="O91" s="37">
        <v>30</v>
      </c>
      <c r="P91" s="90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60"/>
      <c r="R91" s="660"/>
      <c r="S91" s="660"/>
      <c r="T91" s="661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66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658">
        <v>4680115881518</v>
      </c>
      <c r="E92" s="658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141</v>
      </c>
      <c r="L92" s="37" t="s">
        <v>46</v>
      </c>
      <c r="M92" s="38" t="s">
        <v>86</v>
      </c>
      <c r="N92" s="38"/>
      <c r="O92" s="37">
        <v>50</v>
      </c>
      <c r="P92" s="90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60"/>
      <c r="R92" s="660"/>
      <c r="S92" s="660"/>
      <c r="T92" s="661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66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658">
        <v>4680115881518</v>
      </c>
      <c r="E93" s="658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141</v>
      </c>
      <c r="L93" s="37" t="s">
        <v>46</v>
      </c>
      <c r="M93" s="38" t="s">
        <v>133</v>
      </c>
      <c r="N93" s="38"/>
      <c r="O93" s="37">
        <v>50</v>
      </c>
      <c r="P93" s="903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60"/>
      <c r="R93" s="660"/>
      <c r="S93" s="660"/>
      <c r="T93" s="661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66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202</v>
      </c>
      <c r="B94" s="63" t="s">
        <v>203</v>
      </c>
      <c r="C94" s="36">
        <v>4301012250</v>
      </c>
      <c r="D94" s="658">
        <v>4680115881303</v>
      </c>
      <c r="E94" s="658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141</v>
      </c>
      <c r="L94" s="37" t="s">
        <v>46</v>
      </c>
      <c r="M94" s="38" t="s">
        <v>133</v>
      </c>
      <c r="N94" s="38"/>
      <c r="O94" s="37">
        <v>50</v>
      </c>
      <c r="P94" s="90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60"/>
      <c r="R94" s="660"/>
      <c r="S94" s="660"/>
      <c r="T94" s="661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idden="1" x14ac:dyDescent="0.2">
      <c r="A95" s="648"/>
      <c r="B95" s="648"/>
      <c r="C95" s="648"/>
      <c r="D95" s="648"/>
      <c r="E95" s="648"/>
      <c r="F95" s="648"/>
      <c r="G95" s="648"/>
      <c r="H95" s="648"/>
      <c r="I95" s="648"/>
      <c r="J95" s="648"/>
      <c r="K95" s="648"/>
      <c r="L95" s="648"/>
      <c r="M95" s="648"/>
      <c r="N95" s="648"/>
      <c r="O95" s="649"/>
      <c r="P95" s="645" t="s">
        <v>40</v>
      </c>
      <c r="Q95" s="646"/>
      <c r="R95" s="646"/>
      <c r="S95" s="646"/>
      <c r="T95" s="646"/>
      <c r="U95" s="646"/>
      <c r="V95" s="647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48"/>
      <c r="B96" s="648"/>
      <c r="C96" s="648"/>
      <c r="D96" s="648"/>
      <c r="E96" s="648"/>
      <c r="F96" s="648"/>
      <c r="G96" s="648"/>
      <c r="H96" s="648"/>
      <c r="I96" s="648"/>
      <c r="J96" s="648"/>
      <c r="K96" s="648"/>
      <c r="L96" s="648"/>
      <c r="M96" s="648"/>
      <c r="N96" s="648"/>
      <c r="O96" s="649"/>
      <c r="P96" s="645" t="s">
        <v>40</v>
      </c>
      <c r="Q96" s="646"/>
      <c r="R96" s="646"/>
      <c r="S96" s="646"/>
      <c r="T96" s="646"/>
      <c r="U96" s="646"/>
      <c r="V96" s="647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hidden="1" customHeight="1" x14ac:dyDescent="0.25">
      <c r="A97" s="657" t="s">
        <v>82</v>
      </c>
      <c r="B97" s="657"/>
      <c r="C97" s="657"/>
      <c r="D97" s="657"/>
      <c r="E97" s="657"/>
      <c r="F97" s="657"/>
      <c r="G97" s="657"/>
      <c r="H97" s="657"/>
      <c r="I97" s="657"/>
      <c r="J97" s="657"/>
      <c r="K97" s="657"/>
      <c r="L97" s="657"/>
      <c r="M97" s="657"/>
      <c r="N97" s="657"/>
      <c r="O97" s="657"/>
      <c r="P97" s="657"/>
      <c r="Q97" s="657"/>
      <c r="R97" s="657"/>
      <c r="S97" s="657"/>
      <c r="T97" s="657"/>
      <c r="U97" s="657"/>
      <c r="V97" s="657"/>
      <c r="W97" s="657"/>
      <c r="X97" s="657"/>
      <c r="Y97" s="657"/>
      <c r="Z97" s="657"/>
      <c r="AA97" s="66"/>
      <c r="AB97" s="66"/>
      <c r="AC97" s="80"/>
    </row>
    <row r="98" spans="1:68" ht="27" hidden="1" customHeight="1" x14ac:dyDescent="0.25">
      <c r="A98" s="63" t="s">
        <v>204</v>
      </c>
      <c r="B98" s="63" t="s">
        <v>205</v>
      </c>
      <c r="C98" s="36">
        <v>4301052101</v>
      </c>
      <c r="D98" s="658">
        <v>4607091386967</v>
      </c>
      <c r="E98" s="658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134</v>
      </c>
      <c r="L98" s="37" t="s">
        <v>46</v>
      </c>
      <c r="M98" s="38" t="s">
        <v>93</v>
      </c>
      <c r="N98" s="38"/>
      <c r="O98" s="37">
        <v>45</v>
      </c>
      <c r="P98" s="90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60"/>
      <c r="R98" s="660"/>
      <c r="S98" s="660"/>
      <c r="T98" s="661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658">
        <v>4680115884953</v>
      </c>
      <c r="E99" s="658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87</v>
      </c>
      <c r="L99" s="37" t="s">
        <v>46</v>
      </c>
      <c r="M99" s="38" t="s">
        <v>86</v>
      </c>
      <c r="N99" s="38"/>
      <c r="O99" s="37">
        <v>45</v>
      </c>
      <c r="P99" s="9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60"/>
      <c r="R99" s="660"/>
      <c r="S99" s="660"/>
      <c r="T99" s="661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210</v>
      </c>
      <c r="B100" s="63" t="s">
        <v>211</v>
      </c>
      <c r="C100" s="36">
        <v>4301052094</v>
      </c>
      <c r="D100" s="658">
        <v>4607091385731</v>
      </c>
      <c r="E100" s="658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87</v>
      </c>
      <c r="L100" s="37" t="s">
        <v>46</v>
      </c>
      <c r="M100" s="38" t="s">
        <v>93</v>
      </c>
      <c r="N100" s="38"/>
      <c r="O100" s="37">
        <v>45</v>
      </c>
      <c r="P100" s="89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60"/>
      <c r="R100" s="660"/>
      <c r="S100" s="660"/>
      <c r="T100" s="661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658">
        <v>4680115880894</v>
      </c>
      <c r="E101" s="658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87</v>
      </c>
      <c r="L101" s="37" t="s">
        <v>46</v>
      </c>
      <c r="M101" s="38" t="s">
        <v>86</v>
      </c>
      <c r="N101" s="38"/>
      <c r="O101" s="37">
        <v>45</v>
      </c>
      <c r="P101" s="89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60"/>
      <c r="R101" s="660"/>
      <c r="S101" s="660"/>
      <c r="T101" s="661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648"/>
      <c r="B102" s="648"/>
      <c r="C102" s="648"/>
      <c r="D102" s="648"/>
      <c r="E102" s="648"/>
      <c r="F102" s="648"/>
      <c r="G102" s="648"/>
      <c r="H102" s="648"/>
      <c r="I102" s="648"/>
      <c r="J102" s="648"/>
      <c r="K102" s="648"/>
      <c r="L102" s="648"/>
      <c r="M102" s="648"/>
      <c r="N102" s="648"/>
      <c r="O102" s="649"/>
      <c r="P102" s="645" t="s">
        <v>40</v>
      </c>
      <c r="Q102" s="646"/>
      <c r="R102" s="646"/>
      <c r="S102" s="646"/>
      <c r="T102" s="646"/>
      <c r="U102" s="646"/>
      <c r="V102" s="647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648"/>
      <c r="B103" s="648"/>
      <c r="C103" s="648"/>
      <c r="D103" s="648"/>
      <c r="E103" s="648"/>
      <c r="F103" s="648"/>
      <c r="G103" s="648"/>
      <c r="H103" s="648"/>
      <c r="I103" s="648"/>
      <c r="J103" s="648"/>
      <c r="K103" s="648"/>
      <c r="L103" s="648"/>
      <c r="M103" s="648"/>
      <c r="N103" s="648"/>
      <c r="O103" s="649"/>
      <c r="P103" s="645" t="s">
        <v>40</v>
      </c>
      <c r="Q103" s="646"/>
      <c r="R103" s="646"/>
      <c r="S103" s="646"/>
      <c r="T103" s="646"/>
      <c r="U103" s="646"/>
      <c r="V103" s="647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664" t="s">
        <v>215</v>
      </c>
      <c r="B104" s="664"/>
      <c r="C104" s="664"/>
      <c r="D104" s="664"/>
      <c r="E104" s="664"/>
      <c r="F104" s="664"/>
      <c r="G104" s="664"/>
      <c r="H104" s="664"/>
      <c r="I104" s="664"/>
      <c r="J104" s="664"/>
      <c r="K104" s="664"/>
      <c r="L104" s="664"/>
      <c r="M104" s="664"/>
      <c r="N104" s="664"/>
      <c r="O104" s="664"/>
      <c r="P104" s="664"/>
      <c r="Q104" s="664"/>
      <c r="R104" s="664"/>
      <c r="S104" s="664"/>
      <c r="T104" s="664"/>
      <c r="U104" s="664"/>
      <c r="V104" s="664"/>
      <c r="W104" s="664"/>
      <c r="X104" s="664"/>
      <c r="Y104" s="664"/>
      <c r="Z104" s="664"/>
      <c r="AA104" s="65"/>
      <c r="AB104" s="65"/>
      <c r="AC104" s="79"/>
    </row>
    <row r="105" spans="1:68" ht="14.25" hidden="1" customHeight="1" x14ac:dyDescent="0.25">
      <c r="A105" s="657" t="s">
        <v>129</v>
      </c>
      <c r="B105" s="657"/>
      <c r="C105" s="657"/>
      <c r="D105" s="657"/>
      <c r="E105" s="657"/>
      <c r="F105" s="657"/>
      <c r="G105" s="657"/>
      <c r="H105" s="657"/>
      <c r="I105" s="657"/>
      <c r="J105" s="657"/>
      <c r="K105" s="657"/>
      <c r="L105" s="657"/>
      <c r="M105" s="657"/>
      <c r="N105" s="657"/>
      <c r="O105" s="657"/>
      <c r="P105" s="657"/>
      <c r="Q105" s="657"/>
      <c r="R105" s="657"/>
      <c r="S105" s="657"/>
      <c r="T105" s="657"/>
      <c r="U105" s="657"/>
      <c r="V105" s="657"/>
      <c r="W105" s="657"/>
      <c r="X105" s="657"/>
      <c r="Y105" s="657"/>
      <c r="Z105" s="657"/>
      <c r="AA105" s="66"/>
      <c r="AB105" s="66"/>
      <c r="AC105" s="80"/>
    </row>
    <row r="106" spans="1:68" ht="37.5" hidden="1" customHeight="1" x14ac:dyDescent="0.25">
      <c r="A106" s="63" t="s">
        <v>216</v>
      </c>
      <c r="B106" s="63" t="s">
        <v>217</v>
      </c>
      <c r="C106" s="36">
        <v>4301011514</v>
      </c>
      <c r="D106" s="658">
        <v>4680115882133</v>
      </c>
      <c r="E106" s="658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134</v>
      </c>
      <c r="L106" s="37" t="s">
        <v>46</v>
      </c>
      <c r="M106" s="38" t="s">
        <v>133</v>
      </c>
      <c r="N106" s="38"/>
      <c r="O106" s="37">
        <v>50</v>
      </c>
      <c r="P106" s="89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0"/>
      <c r="R106" s="660"/>
      <c r="S106" s="660"/>
      <c r="T106" s="66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66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658">
        <v>4680115882133</v>
      </c>
      <c r="E107" s="658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134</v>
      </c>
      <c r="L107" s="37" t="s">
        <v>46</v>
      </c>
      <c r="M107" s="38" t="s">
        <v>133</v>
      </c>
      <c r="N107" s="38"/>
      <c r="O107" s="37">
        <v>50</v>
      </c>
      <c r="P107" s="89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60"/>
      <c r="R107" s="660"/>
      <c r="S107" s="660"/>
      <c r="T107" s="66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658">
        <v>4680115887718</v>
      </c>
      <c r="E108" s="658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138</v>
      </c>
      <c r="L108" s="37" t="s">
        <v>46</v>
      </c>
      <c r="M108" s="38" t="s">
        <v>80</v>
      </c>
      <c r="N108" s="38"/>
      <c r="O108" s="37">
        <v>30</v>
      </c>
      <c r="P108" s="89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60"/>
      <c r="R108" s="660"/>
      <c r="S108" s="660"/>
      <c r="T108" s="66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658">
        <v>4680115880269</v>
      </c>
      <c r="E109" s="658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141</v>
      </c>
      <c r="L109" s="37" t="s">
        <v>46</v>
      </c>
      <c r="M109" s="38" t="s">
        <v>133</v>
      </c>
      <c r="N109" s="38"/>
      <c r="O109" s="37">
        <v>50</v>
      </c>
      <c r="P109" s="89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60"/>
      <c r="R109" s="660"/>
      <c r="S109" s="660"/>
      <c r="T109" s="661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226</v>
      </c>
      <c r="B110" s="63" t="s">
        <v>227</v>
      </c>
      <c r="C110" s="36">
        <v>4301012254</v>
      </c>
      <c r="D110" s="658">
        <v>4680115880429</v>
      </c>
      <c r="E110" s="658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141</v>
      </c>
      <c r="L110" s="37" t="s">
        <v>46</v>
      </c>
      <c r="M110" s="38" t="s">
        <v>133</v>
      </c>
      <c r="N110" s="38"/>
      <c r="O110" s="37">
        <v>50</v>
      </c>
      <c r="P110" s="88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60"/>
      <c r="R110" s="660"/>
      <c r="S110" s="660"/>
      <c r="T110" s="661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658">
        <v>4680115881457</v>
      </c>
      <c r="E111" s="658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141</v>
      </c>
      <c r="L111" s="37" t="s">
        <v>46</v>
      </c>
      <c r="M111" s="38" t="s">
        <v>133</v>
      </c>
      <c r="N111" s="38"/>
      <c r="O111" s="37">
        <v>50</v>
      </c>
      <c r="P111" s="88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0"/>
      <c r="R111" s="660"/>
      <c r="S111" s="660"/>
      <c r="T111" s="661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66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658">
        <v>4680115889477</v>
      </c>
      <c r="E112" s="658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87</v>
      </c>
      <c r="L112" s="37" t="s">
        <v>46</v>
      </c>
      <c r="M112" s="38" t="s">
        <v>133</v>
      </c>
      <c r="N112" s="38"/>
      <c r="O112" s="37">
        <v>55</v>
      </c>
      <c r="P112" s="88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0"/>
      <c r="R112" s="660"/>
      <c r="S112" s="660"/>
      <c r="T112" s="66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66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648"/>
      <c r="B113" s="648"/>
      <c r="C113" s="648"/>
      <c r="D113" s="648"/>
      <c r="E113" s="648"/>
      <c r="F113" s="648"/>
      <c r="G113" s="648"/>
      <c r="H113" s="648"/>
      <c r="I113" s="648"/>
      <c r="J113" s="648"/>
      <c r="K113" s="648"/>
      <c r="L113" s="648"/>
      <c r="M113" s="648"/>
      <c r="N113" s="648"/>
      <c r="O113" s="649"/>
      <c r="P113" s="645" t="s">
        <v>40</v>
      </c>
      <c r="Q113" s="646"/>
      <c r="R113" s="646"/>
      <c r="S113" s="646"/>
      <c r="T113" s="646"/>
      <c r="U113" s="646"/>
      <c r="V113" s="647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8"/>
      <c r="B114" s="648"/>
      <c r="C114" s="648"/>
      <c r="D114" s="648"/>
      <c r="E114" s="648"/>
      <c r="F114" s="648"/>
      <c r="G114" s="648"/>
      <c r="H114" s="648"/>
      <c r="I114" s="648"/>
      <c r="J114" s="648"/>
      <c r="K114" s="648"/>
      <c r="L114" s="648"/>
      <c r="M114" s="648"/>
      <c r="N114" s="648"/>
      <c r="O114" s="649"/>
      <c r="P114" s="645" t="s">
        <v>40</v>
      </c>
      <c r="Q114" s="646"/>
      <c r="R114" s="646"/>
      <c r="S114" s="646"/>
      <c r="T114" s="646"/>
      <c r="U114" s="646"/>
      <c r="V114" s="647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7" t="s">
        <v>165</v>
      </c>
      <c r="B115" s="657"/>
      <c r="C115" s="657"/>
      <c r="D115" s="657"/>
      <c r="E115" s="657"/>
      <c r="F115" s="657"/>
      <c r="G115" s="657"/>
      <c r="H115" s="657"/>
      <c r="I115" s="657"/>
      <c r="J115" s="657"/>
      <c r="K115" s="657"/>
      <c r="L115" s="657"/>
      <c r="M115" s="657"/>
      <c r="N115" s="657"/>
      <c r="O115" s="657"/>
      <c r="P115" s="657"/>
      <c r="Q115" s="657"/>
      <c r="R115" s="657"/>
      <c r="S115" s="657"/>
      <c r="T115" s="657"/>
      <c r="U115" s="657"/>
      <c r="V115" s="657"/>
      <c r="W115" s="657"/>
      <c r="X115" s="657"/>
      <c r="Y115" s="657"/>
      <c r="Z115" s="657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658">
        <v>4680115881488</v>
      </c>
      <c r="E116" s="658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134</v>
      </c>
      <c r="L116" s="37" t="s">
        <v>46</v>
      </c>
      <c r="M116" s="38" t="s">
        <v>133</v>
      </c>
      <c r="N116" s="38"/>
      <c r="O116" s="37">
        <v>55</v>
      </c>
      <c r="P116" s="89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0"/>
      <c r="R116" s="660"/>
      <c r="S116" s="660"/>
      <c r="T116" s="661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4301020186</v>
      </c>
      <c r="D117" s="658">
        <v>4680115887664</v>
      </c>
      <c r="E117" s="658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239</v>
      </c>
      <c r="L117" s="37" t="s">
        <v>46</v>
      </c>
      <c r="M117" s="38" t="s">
        <v>80</v>
      </c>
      <c r="N117" s="38"/>
      <c r="O117" s="37">
        <v>30</v>
      </c>
      <c r="P117" s="8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0"/>
      <c r="R117" s="660"/>
      <c r="S117" s="660"/>
      <c r="T117" s="661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240</v>
      </c>
      <c r="C118" s="36">
        <v>4301020430</v>
      </c>
      <c r="D118" s="658">
        <v>4680115887664</v>
      </c>
      <c r="E118" s="658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239</v>
      </c>
      <c r="L118" s="37" t="s">
        <v>46</v>
      </c>
      <c r="M118" s="38" t="s">
        <v>80</v>
      </c>
      <c r="N118" s="38"/>
      <c r="O118" s="37">
        <v>30</v>
      </c>
      <c r="P118" s="89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60"/>
      <c r="R118" s="660"/>
      <c r="S118" s="660"/>
      <c r="T118" s="661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238</v>
      </c>
      <c r="AG118" s="78"/>
      <c r="AJ118" s="84" t="s">
        <v>46</v>
      </c>
      <c r="AK118" s="84">
        <v>0</v>
      </c>
      <c r="BB118" s="193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241</v>
      </c>
      <c r="B119" s="63" t="s">
        <v>242</v>
      </c>
      <c r="C119" s="36">
        <v>4301020393</v>
      </c>
      <c r="D119" s="658">
        <v>4680115882775</v>
      </c>
      <c r="E119" s="658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81</v>
      </c>
      <c r="L119" s="37" t="s">
        <v>46</v>
      </c>
      <c r="M119" s="38" t="s">
        <v>133</v>
      </c>
      <c r="N119" s="38"/>
      <c r="O119" s="37">
        <v>55</v>
      </c>
      <c r="P119" s="89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60"/>
      <c r="R119" s="660"/>
      <c r="S119" s="660"/>
      <c r="T119" s="661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243</v>
      </c>
      <c r="B120" s="63" t="s">
        <v>244</v>
      </c>
      <c r="C120" s="36">
        <v>4301020392</v>
      </c>
      <c r="D120" s="658">
        <v>4680115880658</v>
      </c>
      <c r="E120" s="658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87</v>
      </c>
      <c r="L120" s="37" t="s">
        <v>46</v>
      </c>
      <c r="M120" s="38" t="s">
        <v>133</v>
      </c>
      <c r="N120" s="38"/>
      <c r="O120" s="37">
        <v>55</v>
      </c>
      <c r="P120" s="8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60"/>
      <c r="R120" s="660"/>
      <c r="S120" s="660"/>
      <c r="T120" s="661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235</v>
      </c>
      <c r="AG120" s="78"/>
      <c r="AJ120" s="84" t="s">
        <v>46</v>
      </c>
      <c r="AK120" s="84">
        <v>0</v>
      </c>
      <c r="BB120" s="197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48"/>
      <c r="B121" s="648"/>
      <c r="C121" s="648"/>
      <c r="D121" s="648"/>
      <c r="E121" s="648"/>
      <c r="F121" s="648"/>
      <c r="G121" s="648"/>
      <c r="H121" s="648"/>
      <c r="I121" s="648"/>
      <c r="J121" s="648"/>
      <c r="K121" s="648"/>
      <c r="L121" s="648"/>
      <c r="M121" s="648"/>
      <c r="N121" s="648"/>
      <c r="O121" s="649"/>
      <c r="P121" s="645" t="s">
        <v>40</v>
      </c>
      <c r="Q121" s="646"/>
      <c r="R121" s="646"/>
      <c r="S121" s="646"/>
      <c r="T121" s="646"/>
      <c r="U121" s="646"/>
      <c r="V121" s="647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48"/>
      <c r="B122" s="648"/>
      <c r="C122" s="648"/>
      <c r="D122" s="648"/>
      <c r="E122" s="648"/>
      <c r="F122" s="648"/>
      <c r="G122" s="648"/>
      <c r="H122" s="648"/>
      <c r="I122" s="648"/>
      <c r="J122" s="648"/>
      <c r="K122" s="648"/>
      <c r="L122" s="648"/>
      <c r="M122" s="648"/>
      <c r="N122" s="648"/>
      <c r="O122" s="649"/>
      <c r="P122" s="645" t="s">
        <v>40</v>
      </c>
      <c r="Q122" s="646"/>
      <c r="R122" s="646"/>
      <c r="S122" s="646"/>
      <c r="T122" s="646"/>
      <c r="U122" s="646"/>
      <c r="V122" s="647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57" t="s">
        <v>82</v>
      </c>
      <c r="B123" s="657"/>
      <c r="C123" s="657"/>
      <c r="D123" s="657"/>
      <c r="E123" s="657"/>
      <c r="F123" s="657"/>
      <c r="G123" s="657"/>
      <c r="H123" s="657"/>
      <c r="I123" s="657"/>
      <c r="J123" s="657"/>
      <c r="K123" s="657"/>
      <c r="L123" s="657"/>
      <c r="M123" s="657"/>
      <c r="N123" s="657"/>
      <c r="O123" s="657"/>
      <c r="P123" s="657"/>
      <c r="Q123" s="657"/>
      <c r="R123" s="657"/>
      <c r="S123" s="657"/>
      <c r="T123" s="657"/>
      <c r="U123" s="657"/>
      <c r="V123" s="657"/>
      <c r="W123" s="657"/>
      <c r="X123" s="657"/>
      <c r="Y123" s="657"/>
      <c r="Z123" s="657"/>
      <c r="AA123" s="66"/>
      <c r="AB123" s="66"/>
      <c r="AC123" s="80"/>
    </row>
    <row r="124" spans="1:68" ht="27" hidden="1" customHeight="1" x14ac:dyDescent="0.25">
      <c r="A124" s="63" t="s">
        <v>245</v>
      </c>
      <c r="B124" s="63" t="s">
        <v>246</v>
      </c>
      <c r="C124" s="36">
        <v>4301052088</v>
      </c>
      <c r="D124" s="658">
        <v>4607091385168</v>
      </c>
      <c r="E124" s="658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134</v>
      </c>
      <c r="L124" s="37" t="s">
        <v>46</v>
      </c>
      <c r="M124" s="38" t="s">
        <v>86</v>
      </c>
      <c r="N124" s="38"/>
      <c r="O124" s="37">
        <v>45</v>
      </c>
      <c r="P124" s="88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60"/>
      <c r="R124" s="660"/>
      <c r="S124" s="660"/>
      <c r="T124" s="661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198" t="s">
        <v>247</v>
      </c>
      <c r="AG124" s="78"/>
      <c r="AJ124" s="84" t="s">
        <v>46</v>
      </c>
      <c r="AK124" s="84">
        <v>0</v>
      </c>
      <c r="BB124" s="199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248</v>
      </c>
      <c r="B125" s="63" t="s">
        <v>249</v>
      </c>
      <c r="C125" s="36">
        <v>4301052087</v>
      </c>
      <c r="D125" s="658">
        <v>4607091383256</v>
      </c>
      <c r="E125" s="658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87</v>
      </c>
      <c r="L125" s="37" t="s">
        <v>46</v>
      </c>
      <c r="M125" s="38" t="s">
        <v>86</v>
      </c>
      <c r="N125" s="38"/>
      <c r="O125" s="37">
        <v>45</v>
      </c>
      <c r="P125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60"/>
      <c r="R125" s="660"/>
      <c r="S125" s="660"/>
      <c r="T125" s="66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247</v>
      </c>
      <c r="AG125" s="78"/>
      <c r="AJ125" s="84" t="s">
        <v>46</v>
      </c>
      <c r="AK125" s="84">
        <v>0</v>
      </c>
      <c r="BB125" s="201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hidden="1" customHeight="1" x14ac:dyDescent="0.25">
      <c r="A126" s="63" t="s">
        <v>250</v>
      </c>
      <c r="B126" s="63" t="s">
        <v>251</v>
      </c>
      <c r="C126" s="36">
        <v>4301052086</v>
      </c>
      <c r="D126" s="658">
        <v>4607091385748</v>
      </c>
      <c r="E126" s="658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87</v>
      </c>
      <c r="L126" s="37" t="s">
        <v>46</v>
      </c>
      <c r="M126" s="38" t="s">
        <v>86</v>
      </c>
      <c r="N126" s="38"/>
      <c r="O126" s="37">
        <v>45</v>
      </c>
      <c r="P126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60"/>
      <c r="R126" s="660"/>
      <c r="S126" s="660"/>
      <c r="T126" s="661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hidden="1" customHeight="1" x14ac:dyDescent="0.25">
      <c r="A127" s="63" t="s">
        <v>252</v>
      </c>
      <c r="B127" s="63" t="s">
        <v>253</v>
      </c>
      <c r="C127" s="36">
        <v>4301052085</v>
      </c>
      <c r="D127" s="658">
        <v>4680115884533</v>
      </c>
      <c r="E127" s="658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87</v>
      </c>
      <c r="L127" s="37" t="s">
        <v>46</v>
      </c>
      <c r="M127" s="38" t="s">
        <v>86</v>
      </c>
      <c r="N127" s="38"/>
      <c r="O127" s="37">
        <v>45</v>
      </c>
      <c r="P127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60"/>
      <c r="R127" s="660"/>
      <c r="S127" s="660"/>
      <c r="T127" s="661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254</v>
      </c>
      <c r="AG127" s="78"/>
      <c r="AJ127" s="84" t="s">
        <v>46</v>
      </c>
      <c r="AK127" s="84">
        <v>0</v>
      </c>
      <c r="BB127" s="205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8"/>
      <c r="B128" s="648"/>
      <c r="C128" s="648"/>
      <c r="D128" s="648"/>
      <c r="E128" s="648"/>
      <c r="F128" s="648"/>
      <c r="G128" s="648"/>
      <c r="H128" s="648"/>
      <c r="I128" s="648"/>
      <c r="J128" s="648"/>
      <c r="K128" s="648"/>
      <c r="L128" s="648"/>
      <c r="M128" s="648"/>
      <c r="N128" s="648"/>
      <c r="O128" s="649"/>
      <c r="P128" s="645" t="s">
        <v>40</v>
      </c>
      <c r="Q128" s="646"/>
      <c r="R128" s="646"/>
      <c r="S128" s="646"/>
      <c r="T128" s="646"/>
      <c r="U128" s="646"/>
      <c r="V128" s="647"/>
      <c r="W128" s="42" t="s">
        <v>39</v>
      </c>
      <c r="X128" s="43">
        <f>IFERROR(X124/H124,"0")+IFERROR(X125/H125,"0")+IFERROR(X126/H126,"0")+IFERROR(X127/H127,"0")</f>
        <v>0</v>
      </c>
      <c r="Y128" s="43">
        <f>IFERROR(Y124/H124,"0")+IFERROR(Y125/H125,"0")+IFERROR(Y126/H126,"0")+IFERROR(Y127/H127,"0")</f>
        <v>0</v>
      </c>
      <c r="Z128" s="43">
        <f>IFERROR(IF(Z124="",0,Z124),"0")+IFERROR(IF(Z125="",0,Z125),"0")+IFERROR(IF(Z126="",0,Z126),"0")+IFERROR(IF(Z127="",0,Z127),"0")</f>
        <v>0</v>
      </c>
      <c r="AA128" s="67"/>
      <c r="AB128" s="67"/>
      <c r="AC128" s="67"/>
    </row>
    <row r="129" spans="1:68" hidden="1" x14ac:dyDescent="0.2">
      <c r="A129" s="648"/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9"/>
      <c r="P129" s="645" t="s">
        <v>40</v>
      </c>
      <c r="Q129" s="646"/>
      <c r="R129" s="646"/>
      <c r="S129" s="646"/>
      <c r="T129" s="646"/>
      <c r="U129" s="646"/>
      <c r="V129" s="647"/>
      <c r="W129" s="42" t="s">
        <v>0</v>
      </c>
      <c r="X129" s="43">
        <f>IFERROR(SUM(X124:X127),"0")</f>
        <v>0</v>
      </c>
      <c r="Y129" s="43">
        <f>IFERROR(SUM(Y124:Y127),"0")</f>
        <v>0</v>
      </c>
      <c r="Z129" s="42"/>
      <c r="AA129" s="67"/>
      <c r="AB129" s="67"/>
      <c r="AC129" s="67"/>
    </row>
    <row r="130" spans="1:68" ht="14.25" hidden="1" customHeight="1" x14ac:dyDescent="0.25">
      <c r="A130" s="657" t="s">
        <v>183</v>
      </c>
      <c r="B130" s="657"/>
      <c r="C130" s="657"/>
      <c r="D130" s="657"/>
      <c r="E130" s="657"/>
      <c r="F130" s="657"/>
      <c r="G130" s="657"/>
      <c r="H130" s="657"/>
      <c r="I130" s="657"/>
      <c r="J130" s="657"/>
      <c r="K130" s="657"/>
      <c r="L130" s="657"/>
      <c r="M130" s="657"/>
      <c r="N130" s="657"/>
      <c r="O130" s="657"/>
      <c r="P130" s="657"/>
      <c r="Q130" s="657"/>
      <c r="R130" s="657"/>
      <c r="S130" s="657"/>
      <c r="T130" s="657"/>
      <c r="U130" s="657"/>
      <c r="V130" s="657"/>
      <c r="W130" s="657"/>
      <c r="X130" s="657"/>
      <c r="Y130" s="657"/>
      <c r="Z130" s="657"/>
      <c r="AA130" s="66"/>
      <c r="AB130" s="66"/>
      <c r="AC130" s="80"/>
    </row>
    <row r="131" spans="1:68" ht="16.5" hidden="1" customHeight="1" x14ac:dyDescent="0.25">
      <c r="A131" s="63" t="s">
        <v>255</v>
      </c>
      <c r="B131" s="63" t="s">
        <v>256</v>
      </c>
      <c r="C131" s="36">
        <v>4301060525</v>
      </c>
      <c r="D131" s="658">
        <v>4680115880238</v>
      </c>
      <c r="E131" s="658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87</v>
      </c>
      <c r="L131" s="37" t="s">
        <v>46</v>
      </c>
      <c r="M131" s="38" t="s">
        <v>86</v>
      </c>
      <c r="N131" s="38"/>
      <c r="O131" s="37">
        <v>40</v>
      </c>
      <c r="P131" s="87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60"/>
      <c r="R131" s="660"/>
      <c r="S131" s="660"/>
      <c r="T131" s="661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257</v>
      </c>
      <c r="AG131" s="78"/>
      <c r="AJ131" s="84" t="s">
        <v>46</v>
      </c>
      <c r="AK131" s="84">
        <v>0</v>
      </c>
      <c r="BB131" s="207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48"/>
      <c r="B132" s="648"/>
      <c r="C132" s="648"/>
      <c r="D132" s="648"/>
      <c r="E132" s="648"/>
      <c r="F132" s="648"/>
      <c r="G132" s="648"/>
      <c r="H132" s="648"/>
      <c r="I132" s="648"/>
      <c r="J132" s="648"/>
      <c r="K132" s="648"/>
      <c r="L132" s="648"/>
      <c r="M132" s="648"/>
      <c r="N132" s="648"/>
      <c r="O132" s="649"/>
      <c r="P132" s="645" t="s">
        <v>40</v>
      </c>
      <c r="Q132" s="646"/>
      <c r="R132" s="646"/>
      <c r="S132" s="646"/>
      <c r="T132" s="646"/>
      <c r="U132" s="646"/>
      <c r="V132" s="647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hidden="1" x14ac:dyDescent="0.2">
      <c r="A133" s="648"/>
      <c r="B133" s="648"/>
      <c r="C133" s="648"/>
      <c r="D133" s="648"/>
      <c r="E133" s="648"/>
      <c r="F133" s="648"/>
      <c r="G133" s="648"/>
      <c r="H133" s="648"/>
      <c r="I133" s="648"/>
      <c r="J133" s="648"/>
      <c r="K133" s="648"/>
      <c r="L133" s="648"/>
      <c r="M133" s="648"/>
      <c r="N133" s="648"/>
      <c r="O133" s="649"/>
      <c r="P133" s="645" t="s">
        <v>40</v>
      </c>
      <c r="Q133" s="646"/>
      <c r="R133" s="646"/>
      <c r="S133" s="646"/>
      <c r="T133" s="646"/>
      <c r="U133" s="646"/>
      <c r="V133" s="647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hidden="1" customHeight="1" x14ac:dyDescent="0.25">
      <c r="A134" s="664" t="s">
        <v>258</v>
      </c>
      <c r="B134" s="664"/>
      <c r="C134" s="664"/>
      <c r="D134" s="664"/>
      <c r="E134" s="664"/>
      <c r="F134" s="664"/>
      <c r="G134" s="664"/>
      <c r="H134" s="664"/>
      <c r="I134" s="664"/>
      <c r="J134" s="664"/>
      <c r="K134" s="664"/>
      <c r="L134" s="664"/>
      <c r="M134" s="664"/>
      <c r="N134" s="664"/>
      <c r="O134" s="664"/>
      <c r="P134" s="664"/>
      <c r="Q134" s="664"/>
      <c r="R134" s="664"/>
      <c r="S134" s="664"/>
      <c r="T134" s="664"/>
      <c r="U134" s="664"/>
      <c r="V134" s="664"/>
      <c r="W134" s="664"/>
      <c r="X134" s="664"/>
      <c r="Y134" s="664"/>
      <c r="Z134" s="664"/>
      <c r="AA134" s="65"/>
      <c r="AB134" s="65"/>
      <c r="AC134" s="79"/>
    </row>
    <row r="135" spans="1:68" ht="14.25" hidden="1" customHeight="1" x14ac:dyDescent="0.25">
      <c r="A135" s="657" t="s">
        <v>129</v>
      </c>
      <c r="B135" s="657"/>
      <c r="C135" s="657"/>
      <c r="D135" s="657"/>
      <c r="E135" s="657"/>
      <c r="F135" s="657"/>
      <c r="G135" s="657"/>
      <c r="H135" s="657"/>
      <c r="I135" s="657"/>
      <c r="J135" s="657"/>
      <c r="K135" s="657"/>
      <c r="L135" s="657"/>
      <c r="M135" s="657"/>
      <c r="N135" s="657"/>
      <c r="O135" s="657"/>
      <c r="P135" s="657"/>
      <c r="Q135" s="657"/>
      <c r="R135" s="657"/>
      <c r="S135" s="657"/>
      <c r="T135" s="657"/>
      <c r="U135" s="657"/>
      <c r="V135" s="657"/>
      <c r="W135" s="657"/>
      <c r="X135" s="657"/>
      <c r="Y135" s="657"/>
      <c r="Z135" s="657"/>
      <c r="AA135" s="66"/>
      <c r="AB135" s="66"/>
      <c r="AC135" s="80"/>
    </row>
    <row r="136" spans="1:68" ht="27" hidden="1" customHeight="1" x14ac:dyDescent="0.25">
      <c r="A136" s="63" t="s">
        <v>259</v>
      </c>
      <c r="B136" s="63" t="s">
        <v>260</v>
      </c>
      <c r="C136" s="36">
        <v>4301011562</v>
      </c>
      <c r="D136" s="658">
        <v>4680115882577</v>
      </c>
      <c r="E136" s="658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87</v>
      </c>
      <c r="L136" s="37" t="s">
        <v>46</v>
      </c>
      <c r="M136" s="38" t="s">
        <v>262</v>
      </c>
      <c r="N136" s="38"/>
      <c r="O136" s="37">
        <v>90</v>
      </c>
      <c r="P136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60"/>
      <c r="R136" s="660"/>
      <c r="S136" s="660"/>
      <c r="T136" s="661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261</v>
      </c>
      <c r="AG136" s="78"/>
      <c r="AJ136" s="84" t="s">
        <v>46</v>
      </c>
      <c r="AK136" s="84">
        <v>0</v>
      </c>
      <c r="BB136" s="209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259</v>
      </c>
      <c r="B137" s="63" t="s">
        <v>263</v>
      </c>
      <c r="C137" s="36">
        <v>4301011564</v>
      </c>
      <c r="D137" s="658">
        <v>4680115882577</v>
      </c>
      <c r="E137" s="658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87</v>
      </c>
      <c r="L137" s="37" t="s">
        <v>46</v>
      </c>
      <c r="M137" s="38" t="s">
        <v>262</v>
      </c>
      <c r="N137" s="38"/>
      <c r="O137" s="37">
        <v>90</v>
      </c>
      <c r="P137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0"/>
      <c r="R137" s="660"/>
      <c r="S137" s="660"/>
      <c r="T137" s="661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261</v>
      </c>
      <c r="AG137" s="78"/>
      <c r="AJ137" s="84" t="s">
        <v>46</v>
      </c>
      <c r="AK137" s="84">
        <v>0</v>
      </c>
      <c r="BB137" s="211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8"/>
      <c r="B138" s="648"/>
      <c r="C138" s="648"/>
      <c r="D138" s="648"/>
      <c r="E138" s="648"/>
      <c r="F138" s="648"/>
      <c r="G138" s="648"/>
      <c r="H138" s="648"/>
      <c r="I138" s="648"/>
      <c r="J138" s="648"/>
      <c r="K138" s="648"/>
      <c r="L138" s="648"/>
      <c r="M138" s="648"/>
      <c r="N138" s="648"/>
      <c r="O138" s="649"/>
      <c r="P138" s="645" t="s">
        <v>40</v>
      </c>
      <c r="Q138" s="646"/>
      <c r="R138" s="646"/>
      <c r="S138" s="646"/>
      <c r="T138" s="646"/>
      <c r="U138" s="646"/>
      <c r="V138" s="647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648"/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9"/>
      <c r="P139" s="645" t="s">
        <v>40</v>
      </c>
      <c r="Q139" s="646"/>
      <c r="R139" s="646"/>
      <c r="S139" s="646"/>
      <c r="T139" s="646"/>
      <c r="U139" s="646"/>
      <c r="V139" s="647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7" t="s">
        <v>76</v>
      </c>
      <c r="B140" s="657"/>
      <c r="C140" s="657"/>
      <c r="D140" s="657"/>
      <c r="E140" s="657"/>
      <c r="F140" s="657"/>
      <c r="G140" s="657"/>
      <c r="H140" s="657"/>
      <c r="I140" s="657"/>
      <c r="J140" s="657"/>
      <c r="K140" s="657"/>
      <c r="L140" s="657"/>
      <c r="M140" s="657"/>
      <c r="N140" s="657"/>
      <c r="O140" s="657"/>
      <c r="P140" s="657"/>
      <c r="Q140" s="657"/>
      <c r="R140" s="657"/>
      <c r="S140" s="657"/>
      <c r="T140" s="657"/>
      <c r="U140" s="657"/>
      <c r="V140" s="657"/>
      <c r="W140" s="657"/>
      <c r="X140" s="657"/>
      <c r="Y140" s="657"/>
      <c r="Z140" s="657"/>
      <c r="AA140" s="66"/>
      <c r="AB140" s="66"/>
      <c r="AC140" s="80"/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658">
        <v>4680115883444</v>
      </c>
      <c r="E141" s="658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87</v>
      </c>
      <c r="L141" s="37" t="s">
        <v>46</v>
      </c>
      <c r="M141" s="38" t="s">
        <v>262</v>
      </c>
      <c r="N141" s="38"/>
      <c r="O141" s="37">
        <v>90</v>
      </c>
      <c r="P141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60"/>
      <c r="R141" s="660"/>
      <c r="S141" s="660"/>
      <c r="T141" s="661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658">
        <v>4680115883444</v>
      </c>
      <c r="E142" s="658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87</v>
      </c>
      <c r="L142" s="37" t="s">
        <v>46</v>
      </c>
      <c r="M142" s="38" t="s">
        <v>262</v>
      </c>
      <c r="N142" s="38"/>
      <c r="O142" s="37">
        <v>90</v>
      </c>
      <c r="P142" s="8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0"/>
      <c r="R142" s="660"/>
      <c r="S142" s="660"/>
      <c r="T142" s="661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8"/>
      <c r="B143" s="648"/>
      <c r="C143" s="648"/>
      <c r="D143" s="648"/>
      <c r="E143" s="648"/>
      <c r="F143" s="648"/>
      <c r="G143" s="648"/>
      <c r="H143" s="648"/>
      <c r="I143" s="648"/>
      <c r="J143" s="648"/>
      <c r="K143" s="648"/>
      <c r="L143" s="648"/>
      <c r="M143" s="648"/>
      <c r="N143" s="648"/>
      <c r="O143" s="649"/>
      <c r="P143" s="645" t="s">
        <v>40</v>
      </c>
      <c r="Q143" s="646"/>
      <c r="R143" s="646"/>
      <c r="S143" s="646"/>
      <c r="T143" s="646"/>
      <c r="U143" s="646"/>
      <c r="V143" s="647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648"/>
      <c r="B144" s="648"/>
      <c r="C144" s="648"/>
      <c r="D144" s="648"/>
      <c r="E144" s="648"/>
      <c r="F144" s="648"/>
      <c r="G144" s="648"/>
      <c r="H144" s="648"/>
      <c r="I144" s="648"/>
      <c r="J144" s="648"/>
      <c r="K144" s="648"/>
      <c r="L144" s="648"/>
      <c r="M144" s="648"/>
      <c r="N144" s="648"/>
      <c r="O144" s="649"/>
      <c r="P144" s="645" t="s">
        <v>40</v>
      </c>
      <c r="Q144" s="646"/>
      <c r="R144" s="646"/>
      <c r="S144" s="646"/>
      <c r="T144" s="646"/>
      <c r="U144" s="646"/>
      <c r="V144" s="647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7" t="s">
        <v>82</v>
      </c>
      <c r="B145" s="657"/>
      <c r="C145" s="657"/>
      <c r="D145" s="657"/>
      <c r="E145" s="657"/>
      <c r="F145" s="657"/>
      <c r="G145" s="657"/>
      <c r="H145" s="657"/>
      <c r="I145" s="657"/>
      <c r="J145" s="657"/>
      <c r="K145" s="657"/>
      <c r="L145" s="657"/>
      <c r="M145" s="657"/>
      <c r="N145" s="657"/>
      <c r="O145" s="657"/>
      <c r="P145" s="657"/>
      <c r="Q145" s="657"/>
      <c r="R145" s="657"/>
      <c r="S145" s="657"/>
      <c r="T145" s="657"/>
      <c r="U145" s="657"/>
      <c r="V145" s="657"/>
      <c r="W145" s="657"/>
      <c r="X145" s="657"/>
      <c r="Y145" s="657"/>
      <c r="Z145" s="657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4301051476</v>
      </c>
      <c r="D146" s="658">
        <v>4680115882584</v>
      </c>
      <c r="E146" s="658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87</v>
      </c>
      <c r="L146" s="37" t="s">
        <v>46</v>
      </c>
      <c r="M146" s="38" t="s">
        <v>262</v>
      </c>
      <c r="N146" s="38"/>
      <c r="O146" s="37">
        <v>60</v>
      </c>
      <c r="P146" s="87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60"/>
      <c r="R146" s="660"/>
      <c r="S146" s="660"/>
      <c r="T146" s="661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261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268</v>
      </c>
      <c r="B147" s="63" t="s">
        <v>270</v>
      </c>
      <c r="C147" s="36">
        <v>4301051477</v>
      </c>
      <c r="D147" s="658">
        <v>4680115882584</v>
      </c>
      <c r="E147" s="658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87</v>
      </c>
      <c r="L147" s="37" t="s">
        <v>46</v>
      </c>
      <c r="M147" s="38" t="s">
        <v>262</v>
      </c>
      <c r="N147" s="38"/>
      <c r="O147" s="37">
        <v>60</v>
      </c>
      <c r="P147" s="8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0"/>
      <c r="R147" s="660"/>
      <c r="S147" s="660"/>
      <c r="T147" s="661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261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idden="1" x14ac:dyDescent="0.2">
      <c r="A148" s="648"/>
      <c r="B148" s="648"/>
      <c r="C148" s="648"/>
      <c r="D148" s="648"/>
      <c r="E148" s="648"/>
      <c r="F148" s="648"/>
      <c r="G148" s="648"/>
      <c r="H148" s="648"/>
      <c r="I148" s="648"/>
      <c r="J148" s="648"/>
      <c r="K148" s="648"/>
      <c r="L148" s="648"/>
      <c r="M148" s="648"/>
      <c r="N148" s="648"/>
      <c r="O148" s="649"/>
      <c r="P148" s="645" t="s">
        <v>40</v>
      </c>
      <c r="Q148" s="646"/>
      <c r="R148" s="646"/>
      <c r="S148" s="646"/>
      <c r="T148" s="646"/>
      <c r="U148" s="646"/>
      <c r="V148" s="647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hidden="1" x14ac:dyDescent="0.2">
      <c r="A149" s="648"/>
      <c r="B149" s="648"/>
      <c r="C149" s="648"/>
      <c r="D149" s="648"/>
      <c r="E149" s="648"/>
      <c r="F149" s="648"/>
      <c r="G149" s="648"/>
      <c r="H149" s="648"/>
      <c r="I149" s="648"/>
      <c r="J149" s="648"/>
      <c r="K149" s="648"/>
      <c r="L149" s="648"/>
      <c r="M149" s="648"/>
      <c r="N149" s="648"/>
      <c r="O149" s="649"/>
      <c r="P149" s="645" t="s">
        <v>40</v>
      </c>
      <c r="Q149" s="646"/>
      <c r="R149" s="646"/>
      <c r="S149" s="646"/>
      <c r="T149" s="646"/>
      <c r="U149" s="646"/>
      <c r="V149" s="647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hidden="1" customHeight="1" x14ac:dyDescent="0.25">
      <c r="A150" s="664" t="s">
        <v>271</v>
      </c>
      <c r="B150" s="664"/>
      <c r="C150" s="664"/>
      <c r="D150" s="664"/>
      <c r="E150" s="664"/>
      <c r="F150" s="664"/>
      <c r="G150" s="664"/>
      <c r="H150" s="664"/>
      <c r="I150" s="664"/>
      <c r="J150" s="664"/>
      <c r="K150" s="664"/>
      <c r="L150" s="664"/>
      <c r="M150" s="664"/>
      <c r="N150" s="664"/>
      <c r="O150" s="664"/>
      <c r="P150" s="664"/>
      <c r="Q150" s="664"/>
      <c r="R150" s="664"/>
      <c r="S150" s="664"/>
      <c r="T150" s="664"/>
      <c r="U150" s="664"/>
      <c r="V150" s="664"/>
      <c r="W150" s="664"/>
      <c r="X150" s="664"/>
      <c r="Y150" s="664"/>
      <c r="Z150" s="664"/>
      <c r="AA150" s="65"/>
      <c r="AB150" s="65"/>
      <c r="AC150" s="79"/>
    </row>
    <row r="151" spans="1:68" ht="14.25" hidden="1" customHeight="1" x14ac:dyDescent="0.25">
      <c r="A151" s="657" t="s">
        <v>82</v>
      </c>
      <c r="B151" s="657"/>
      <c r="C151" s="657"/>
      <c r="D151" s="657"/>
      <c r="E151" s="657"/>
      <c r="F151" s="657"/>
      <c r="G151" s="657"/>
      <c r="H151" s="657"/>
      <c r="I151" s="657"/>
      <c r="J151" s="657"/>
      <c r="K151" s="657"/>
      <c r="L151" s="657"/>
      <c r="M151" s="657"/>
      <c r="N151" s="657"/>
      <c r="O151" s="657"/>
      <c r="P151" s="657"/>
      <c r="Q151" s="657"/>
      <c r="R151" s="657"/>
      <c r="S151" s="657"/>
      <c r="T151" s="657"/>
      <c r="U151" s="657"/>
      <c r="V151" s="657"/>
      <c r="W151" s="657"/>
      <c r="X151" s="657"/>
      <c r="Y151" s="657"/>
      <c r="Z151" s="657"/>
      <c r="AA151" s="66"/>
      <c r="AB151" s="66"/>
      <c r="AC151" s="80"/>
    </row>
    <row r="152" spans="1:68" ht="27" hidden="1" customHeight="1" x14ac:dyDescent="0.25">
      <c r="A152" s="63" t="s">
        <v>272</v>
      </c>
      <c r="B152" s="63" t="s">
        <v>273</v>
      </c>
      <c r="C152" s="36">
        <v>4301052254</v>
      </c>
      <c r="D152" s="658">
        <v>4680115888203</v>
      </c>
      <c r="E152" s="658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87</v>
      </c>
      <c r="L152" s="37" t="s">
        <v>46</v>
      </c>
      <c r="M152" s="38" t="s">
        <v>93</v>
      </c>
      <c r="N152" s="38"/>
      <c r="O152" s="37">
        <v>40</v>
      </c>
      <c r="P152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60"/>
      <c r="R152" s="660"/>
      <c r="S152" s="660"/>
      <c r="T152" s="66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4301052252</v>
      </c>
      <c r="D153" s="658">
        <v>4680115888180</v>
      </c>
      <c r="E153" s="658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87</v>
      </c>
      <c r="L153" s="37" t="s">
        <v>46</v>
      </c>
      <c r="M153" s="38" t="s">
        <v>93</v>
      </c>
      <c r="N153" s="38"/>
      <c r="O153" s="37">
        <v>40</v>
      </c>
      <c r="P153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0"/>
      <c r="R153" s="660"/>
      <c r="S153" s="660"/>
      <c r="T153" s="66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278</v>
      </c>
      <c r="B154" s="63" t="s">
        <v>279</v>
      </c>
      <c r="C154" s="36">
        <v>4301052253</v>
      </c>
      <c r="D154" s="658">
        <v>4680115888197</v>
      </c>
      <c r="E154" s="658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87</v>
      </c>
      <c r="L154" s="37" t="s">
        <v>46</v>
      </c>
      <c r="M154" s="38" t="s">
        <v>93</v>
      </c>
      <c r="N154" s="38"/>
      <c r="O154" s="37">
        <v>40</v>
      </c>
      <c r="P154" s="87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0"/>
      <c r="R154" s="660"/>
      <c r="S154" s="660"/>
      <c r="T154" s="661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280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281</v>
      </c>
      <c r="B155" s="63" t="s">
        <v>282</v>
      </c>
      <c r="C155" s="36">
        <v>4301052255</v>
      </c>
      <c r="D155" s="658">
        <v>4680115888210</v>
      </c>
      <c r="E155" s="658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87</v>
      </c>
      <c r="L155" s="37" t="s">
        <v>46</v>
      </c>
      <c r="M155" s="38" t="s">
        <v>93</v>
      </c>
      <c r="N155" s="38"/>
      <c r="O155" s="37">
        <v>40</v>
      </c>
      <c r="P155" s="8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0"/>
      <c r="R155" s="660"/>
      <c r="S155" s="660"/>
      <c r="T155" s="661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283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idden="1" x14ac:dyDescent="0.2">
      <c r="A156" s="648"/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9"/>
      <c r="P156" s="645" t="s">
        <v>40</v>
      </c>
      <c r="Q156" s="646"/>
      <c r="R156" s="646"/>
      <c r="S156" s="646"/>
      <c r="T156" s="646"/>
      <c r="U156" s="646"/>
      <c r="V156" s="647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48"/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9"/>
      <c r="P157" s="645" t="s">
        <v>40</v>
      </c>
      <c r="Q157" s="646"/>
      <c r="R157" s="646"/>
      <c r="S157" s="646"/>
      <c r="T157" s="646"/>
      <c r="U157" s="646"/>
      <c r="V157" s="647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57" t="s">
        <v>100</v>
      </c>
      <c r="B158" s="657"/>
      <c r="C158" s="657"/>
      <c r="D158" s="657"/>
      <c r="E158" s="657"/>
      <c r="F158" s="657"/>
      <c r="G158" s="657"/>
      <c r="H158" s="657"/>
      <c r="I158" s="657"/>
      <c r="J158" s="657"/>
      <c r="K158" s="657"/>
      <c r="L158" s="657"/>
      <c r="M158" s="657"/>
      <c r="N158" s="657"/>
      <c r="O158" s="657"/>
      <c r="P158" s="657"/>
      <c r="Q158" s="657"/>
      <c r="R158" s="657"/>
      <c r="S158" s="657"/>
      <c r="T158" s="657"/>
      <c r="U158" s="657"/>
      <c r="V158" s="657"/>
      <c r="W158" s="657"/>
      <c r="X158" s="657"/>
      <c r="Y158" s="657"/>
      <c r="Z158" s="657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8">
        <v>4680115889132</v>
      </c>
      <c r="E159" s="658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107</v>
      </c>
      <c r="L159" s="37" t="s">
        <v>46</v>
      </c>
      <c r="M159" s="38" t="s">
        <v>106</v>
      </c>
      <c r="N159" s="38"/>
      <c r="O159" s="37">
        <v>120</v>
      </c>
      <c r="P159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0"/>
      <c r="R159" s="660"/>
      <c r="S159" s="660"/>
      <c r="T159" s="66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286</v>
      </c>
      <c r="AG159" s="78"/>
      <c r="AJ159" s="84" t="s">
        <v>46</v>
      </c>
      <c r="AK159" s="84">
        <v>0</v>
      </c>
      <c r="BB159" s="229" t="s">
        <v>104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48"/>
      <c r="B160" s="648"/>
      <c r="C160" s="648"/>
      <c r="D160" s="648"/>
      <c r="E160" s="648"/>
      <c r="F160" s="648"/>
      <c r="G160" s="648"/>
      <c r="H160" s="648"/>
      <c r="I160" s="648"/>
      <c r="J160" s="648"/>
      <c r="K160" s="648"/>
      <c r="L160" s="648"/>
      <c r="M160" s="648"/>
      <c r="N160" s="648"/>
      <c r="O160" s="649"/>
      <c r="P160" s="645" t="s">
        <v>40</v>
      </c>
      <c r="Q160" s="646"/>
      <c r="R160" s="646"/>
      <c r="S160" s="646"/>
      <c r="T160" s="646"/>
      <c r="U160" s="646"/>
      <c r="V160" s="647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48"/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49"/>
      <c r="P161" s="645" t="s">
        <v>40</v>
      </c>
      <c r="Q161" s="646"/>
      <c r="R161" s="646"/>
      <c r="S161" s="646"/>
      <c r="T161" s="646"/>
      <c r="U161" s="646"/>
      <c r="V161" s="647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4" t="s">
        <v>127</v>
      </c>
      <c r="B162" s="664"/>
      <c r="C162" s="664"/>
      <c r="D162" s="664"/>
      <c r="E162" s="664"/>
      <c r="F162" s="664"/>
      <c r="G162" s="664"/>
      <c r="H162" s="664"/>
      <c r="I162" s="664"/>
      <c r="J162" s="664"/>
      <c r="K162" s="664"/>
      <c r="L162" s="664"/>
      <c r="M162" s="664"/>
      <c r="N162" s="664"/>
      <c r="O162" s="664"/>
      <c r="P162" s="664"/>
      <c r="Q162" s="664"/>
      <c r="R162" s="664"/>
      <c r="S162" s="664"/>
      <c r="T162" s="664"/>
      <c r="U162" s="664"/>
      <c r="V162" s="664"/>
      <c r="W162" s="664"/>
      <c r="X162" s="664"/>
      <c r="Y162" s="664"/>
      <c r="Z162" s="664"/>
      <c r="AA162" s="65"/>
      <c r="AB162" s="65"/>
      <c r="AC162" s="79"/>
    </row>
    <row r="163" spans="1:68" ht="14.25" hidden="1" customHeight="1" x14ac:dyDescent="0.25">
      <c r="A163" s="657" t="s">
        <v>129</v>
      </c>
      <c r="B163" s="657"/>
      <c r="C163" s="657"/>
      <c r="D163" s="657"/>
      <c r="E163" s="657"/>
      <c r="F163" s="657"/>
      <c r="G163" s="657"/>
      <c r="H163" s="657"/>
      <c r="I163" s="657"/>
      <c r="J163" s="657"/>
      <c r="K163" s="657"/>
      <c r="L163" s="657"/>
      <c r="M163" s="657"/>
      <c r="N163" s="657"/>
      <c r="O163" s="657"/>
      <c r="P163" s="657"/>
      <c r="Q163" s="657"/>
      <c r="R163" s="657"/>
      <c r="S163" s="657"/>
      <c r="T163" s="657"/>
      <c r="U163" s="657"/>
      <c r="V163" s="657"/>
      <c r="W163" s="657"/>
      <c r="X163" s="657"/>
      <c r="Y163" s="657"/>
      <c r="Z163" s="657"/>
      <c r="AA163" s="66"/>
      <c r="AB163" s="66"/>
      <c r="AC163" s="80"/>
    </row>
    <row r="164" spans="1:68" ht="27" hidden="1" customHeight="1" x14ac:dyDescent="0.25">
      <c r="A164" s="63" t="s">
        <v>287</v>
      </c>
      <c r="B164" s="63" t="s">
        <v>288</v>
      </c>
      <c r="C164" s="36">
        <v>4301012338</v>
      </c>
      <c r="D164" s="658">
        <v>4680115887374</v>
      </c>
      <c r="E164" s="658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134</v>
      </c>
      <c r="L164" s="37" t="s">
        <v>46</v>
      </c>
      <c r="M164" s="38" t="s">
        <v>133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0"/>
      <c r="R164" s="660"/>
      <c r="S164" s="660"/>
      <c r="T164" s="661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289</v>
      </c>
      <c r="AG164" s="78"/>
      <c r="AJ164" s="84" t="s">
        <v>46</v>
      </c>
      <c r="AK164" s="84">
        <v>0</v>
      </c>
      <c r="BB164" s="231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290</v>
      </c>
      <c r="B165" s="63" t="s">
        <v>291</v>
      </c>
      <c r="C165" s="36">
        <v>4301011705</v>
      </c>
      <c r="D165" s="658">
        <v>4607091384604</v>
      </c>
      <c r="E165" s="658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141</v>
      </c>
      <c r="L165" s="37" t="s">
        <v>46</v>
      </c>
      <c r="M165" s="38" t="s">
        <v>133</v>
      </c>
      <c r="N165" s="38"/>
      <c r="O165" s="37">
        <v>50</v>
      </c>
      <c r="P165" s="8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0"/>
      <c r="R165" s="660"/>
      <c r="S165" s="660"/>
      <c r="T165" s="661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292</v>
      </c>
      <c r="AG165" s="78"/>
      <c r="AJ165" s="84" t="s">
        <v>46</v>
      </c>
      <c r="AK165" s="84">
        <v>0</v>
      </c>
      <c r="BB165" s="233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290</v>
      </c>
      <c r="B166" s="63" t="s">
        <v>293</v>
      </c>
      <c r="C166" s="36">
        <v>4301012258</v>
      </c>
      <c r="D166" s="658">
        <v>4607091384604</v>
      </c>
      <c r="E166" s="658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141</v>
      </c>
      <c r="L166" s="37" t="s">
        <v>46</v>
      </c>
      <c r="M166" s="38" t="s">
        <v>133</v>
      </c>
      <c r="N166" s="38"/>
      <c r="O166" s="37">
        <v>50</v>
      </c>
      <c r="P166" s="86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0"/>
      <c r="R166" s="660"/>
      <c r="S166" s="660"/>
      <c r="T166" s="661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292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294</v>
      </c>
      <c r="B167" s="63" t="s">
        <v>295</v>
      </c>
      <c r="C167" s="36">
        <v>4301012344</v>
      </c>
      <c r="D167" s="658">
        <v>4680115888876</v>
      </c>
      <c r="E167" s="658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87</v>
      </c>
      <c r="L167" s="37" t="s">
        <v>46</v>
      </c>
      <c r="M167" s="38" t="s">
        <v>86</v>
      </c>
      <c r="N167" s="38"/>
      <c r="O167" s="37">
        <v>55</v>
      </c>
      <c r="P167" s="8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0"/>
      <c r="R167" s="660"/>
      <c r="S167" s="660"/>
      <c r="T167" s="661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48"/>
      <c r="B168" s="648"/>
      <c r="C168" s="648"/>
      <c r="D168" s="648"/>
      <c r="E168" s="648"/>
      <c r="F168" s="648"/>
      <c r="G168" s="648"/>
      <c r="H168" s="648"/>
      <c r="I168" s="648"/>
      <c r="J168" s="648"/>
      <c r="K168" s="648"/>
      <c r="L168" s="648"/>
      <c r="M168" s="648"/>
      <c r="N168" s="648"/>
      <c r="O168" s="649"/>
      <c r="P168" s="645" t="s">
        <v>40</v>
      </c>
      <c r="Q168" s="646"/>
      <c r="R168" s="646"/>
      <c r="S168" s="646"/>
      <c r="T168" s="646"/>
      <c r="U168" s="646"/>
      <c r="V168" s="647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48"/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9"/>
      <c r="P169" s="645" t="s">
        <v>40</v>
      </c>
      <c r="Q169" s="646"/>
      <c r="R169" s="646"/>
      <c r="S169" s="646"/>
      <c r="T169" s="646"/>
      <c r="U169" s="646"/>
      <c r="V169" s="647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57" t="s">
        <v>165</v>
      </c>
      <c r="B170" s="657"/>
      <c r="C170" s="657"/>
      <c r="D170" s="657"/>
      <c r="E170" s="657"/>
      <c r="F170" s="657"/>
      <c r="G170" s="657"/>
      <c r="H170" s="657"/>
      <c r="I170" s="657"/>
      <c r="J170" s="657"/>
      <c r="K170" s="657"/>
      <c r="L170" s="657"/>
      <c r="M170" s="657"/>
      <c r="N170" s="657"/>
      <c r="O170" s="657"/>
      <c r="P170" s="657"/>
      <c r="Q170" s="657"/>
      <c r="R170" s="657"/>
      <c r="S170" s="657"/>
      <c r="T170" s="657"/>
      <c r="U170" s="657"/>
      <c r="V170" s="657"/>
      <c r="W170" s="657"/>
      <c r="X170" s="657"/>
      <c r="Y170" s="657"/>
      <c r="Z170" s="657"/>
      <c r="AA170" s="66"/>
      <c r="AB170" s="66"/>
      <c r="AC170" s="80"/>
    </row>
    <row r="171" spans="1:68" ht="16.5" hidden="1" customHeight="1" x14ac:dyDescent="0.25">
      <c r="A171" s="63" t="s">
        <v>297</v>
      </c>
      <c r="B171" s="63" t="s">
        <v>298</v>
      </c>
      <c r="C171" s="36">
        <v>4301020410</v>
      </c>
      <c r="D171" s="658">
        <v>4680115887695</v>
      </c>
      <c r="E171" s="658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81</v>
      </c>
      <c r="L171" s="37" t="s">
        <v>46</v>
      </c>
      <c r="M171" s="38" t="s">
        <v>80</v>
      </c>
      <c r="N171" s="38"/>
      <c r="O171" s="37">
        <v>30</v>
      </c>
      <c r="P171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0"/>
      <c r="R171" s="660"/>
      <c r="S171" s="660"/>
      <c r="T171" s="661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300</v>
      </c>
      <c r="B172" s="63" t="s">
        <v>301</v>
      </c>
      <c r="C172" s="36">
        <v>4301020439</v>
      </c>
      <c r="D172" s="658">
        <v>4680115889491</v>
      </c>
      <c r="E172" s="658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133</v>
      </c>
      <c r="N172" s="38"/>
      <c r="O172" s="37">
        <v>55</v>
      </c>
      <c r="P172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0"/>
      <c r="R172" s="660"/>
      <c r="S172" s="660"/>
      <c r="T172" s="661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48"/>
      <c r="B173" s="648"/>
      <c r="C173" s="648"/>
      <c r="D173" s="648"/>
      <c r="E173" s="648"/>
      <c r="F173" s="648"/>
      <c r="G173" s="648"/>
      <c r="H173" s="648"/>
      <c r="I173" s="648"/>
      <c r="J173" s="648"/>
      <c r="K173" s="648"/>
      <c r="L173" s="648"/>
      <c r="M173" s="648"/>
      <c r="N173" s="648"/>
      <c r="O173" s="649"/>
      <c r="P173" s="645" t="s">
        <v>40</v>
      </c>
      <c r="Q173" s="646"/>
      <c r="R173" s="646"/>
      <c r="S173" s="646"/>
      <c r="T173" s="646"/>
      <c r="U173" s="646"/>
      <c r="V173" s="647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48"/>
      <c r="B174" s="648"/>
      <c r="C174" s="648"/>
      <c r="D174" s="648"/>
      <c r="E174" s="648"/>
      <c r="F174" s="648"/>
      <c r="G174" s="648"/>
      <c r="H174" s="648"/>
      <c r="I174" s="648"/>
      <c r="J174" s="648"/>
      <c r="K174" s="648"/>
      <c r="L174" s="648"/>
      <c r="M174" s="648"/>
      <c r="N174" s="648"/>
      <c r="O174" s="649"/>
      <c r="P174" s="645" t="s">
        <v>40</v>
      </c>
      <c r="Q174" s="646"/>
      <c r="R174" s="646"/>
      <c r="S174" s="646"/>
      <c r="T174" s="646"/>
      <c r="U174" s="646"/>
      <c r="V174" s="647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57" t="s">
        <v>76</v>
      </c>
      <c r="B175" s="657"/>
      <c r="C175" s="657"/>
      <c r="D175" s="657"/>
      <c r="E175" s="657"/>
      <c r="F175" s="657"/>
      <c r="G175" s="657"/>
      <c r="H175" s="657"/>
      <c r="I175" s="657"/>
      <c r="J175" s="657"/>
      <c r="K175" s="657"/>
      <c r="L175" s="657"/>
      <c r="M175" s="657"/>
      <c r="N175" s="657"/>
      <c r="O175" s="657"/>
      <c r="P175" s="657"/>
      <c r="Q175" s="657"/>
      <c r="R175" s="657"/>
      <c r="S175" s="657"/>
      <c r="T175" s="657"/>
      <c r="U175" s="657"/>
      <c r="V175" s="657"/>
      <c r="W175" s="657"/>
      <c r="X175" s="657"/>
      <c r="Y175" s="657"/>
      <c r="Z175" s="657"/>
      <c r="AA175" s="66"/>
      <c r="AB175" s="66"/>
      <c r="AC175" s="80"/>
    </row>
    <row r="176" spans="1:68" ht="27" hidden="1" customHeight="1" x14ac:dyDescent="0.25">
      <c r="A176" s="63" t="s">
        <v>303</v>
      </c>
      <c r="B176" s="63" t="s">
        <v>304</v>
      </c>
      <c r="C176" s="36">
        <v>4301031527</v>
      </c>
      <c r="D176" s="658">
        <v>4680115889613</v>
      </c>
      <c r="E176" s="658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134</v>
      </c>
      <c r="L176" s="37" t="s">
        <v>46</v>
      </c>
      <c r="M176" s="38" t="s">
        <v>80</v>
      </c>
      <c r="N176" s="38"/>
      <c r="O176" s="37">
        <v>45</v>
      </c>
      <c r="P176" s="856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60"/>
      <c r="R176" s="660"/>
      <c r="S176" s="660"/>
      <c r="T176" s="66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15">IFERROR(IF(X176="",0,CEILING((X176/$H176),1)*$H176),"")</f>
        <v>0</v>
      </c>
      <c r="Z176" s="41" t="str">
        <f>IFERROR(IF(Y176=0,"",ROUNDUP(Y176/H176,0)*0.01196),"")</f>
        <v/>
      </c>
      <c r="AA176" s="68" t="s">
        <v>46</v>
      </c>
      <c r="AB176" s="69" t="s">
        <v>105</v>
      </c>
      <c r="AC176" s="242" t="s">
        <v>305</v>
      </c>
      <c r="AG176" s="78"/>
      <c r="AJ176" s="84" t="s">
        <v>46</v>
      </c>
      <c r="AK176" s="84">
        <v>0</v>
      </c>
      <c r="BB176" s="243" t="s">
        <v>66</v>
      </c>
      <c r="BM176" s="78">
        <f t="shared" ref="BM176:BM186" si="16">IFERROR(X176*I176/H176,"0")</f>
        <v>0</v>
      </c>
      <c r="BN176" s="78">
        <f t="shared" ref="BN176:BN186" si="17">IFERROR(Y176*I176/H176,"0")</f>
        <v>0</v>
      </c>
      <c r="BO176" s="78">
        <f t="shared" ref="BO176:BO186" si="18">IFERROR(1/J176*(X176/H176),"0")</f>
        <v>0</v>
      </c>
      <c r="BP176" s="78">
        <f t="shared" ref="BP176:BP186" si="19">IFERROR(1/J176*(Y176/H176),"0")</f>
        <v>0</v>
      </c>
    </row>
    <row r="177" spans="1:68" ht="27" hidden="1" customHeight="1" x14ac:dyDescent="0.25">
      <c r="A177" s="63" t="s">
        <v>306</v>
      </c>
      <c r="B177" s="63" t="s">
        <v>307</v>
      </c>
      <c r="C177" s="36">
        <v>4301031496</v>
      </c>
      <c r="D177" s="658">
        <v>4680115887428</v>
      </c>
      <c r="E177" s="658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141</v>
      </c>
      <c r="L177" s="37" t="s">
        <v>46</v>
      </c>
      <c r="M177" s="38" t="s">
        <v>80</v>
      </c>
      <c r="N177" s="38"/>
      <c r="O177" s="37">
        <v>40</v>
      </c>
      <c r="P177" s="85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60"/>
      <c r="R177" s="660"/>
      <c r="S177" s="660"/>
      <c r="T177" s="661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308</v>
      </c>
      <c r="AG177" s="78"/>
      <c r="AJ177" s="84" t="s">
        <v>46</v>
      </c>
      <c r="AK177" s="84">
        <v>0</v>
      </c>
      <c r="BB177" s="245" t="s">
        <v>66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309</v>
      </c>
      <c r="B178" s="63" t="s">
        <v>310</v>
      </c>
      <c r="C178" s="36">
        <v>4301031509</v>
      </c>
      <c r="D178" s="658">
        <v>4680115889170</v>
      </c>
      <c r="E178" s="658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141</v>
      </c>
      <c r="L178" s="37" t="s">
        <v>46</v>
      </c>
      <c r="M178" s="38" t="s">
        <v>80</v>
      </c>
      <c r="N178" s="38"/>
      <c r="O178" s="37">
        <v>45</v>
      </c>
      <c r="P178" s="85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60"/>
      <c r="R178" s="660"/>
      <c r="S178" s="660"/>
      <c r="T178" s="661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311</v>
      </c>
      <c r="AG178" s="78"/>
      <c r="AJ178" s="84" t="s">
        <v>46</v>
      </c>
      <c r="AK178" s="84">
        <v>0</v>
      </c>
      <c r="BB178" s="247" t="s">
        <v>66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312</v>
      </c>
      <c r="B179" s="63" t="s">
        <v>313</v>
      </c>
      <c r="C179" s="36">
        <v>4301031522</v>
      </c>
      <c r="D179" s="658">
        <v>4680115887398</v>
      </c>
      <c r="E179" s="658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141</v>
      </c>
      <c r="L179" s="37" t="s">
        <v>46</v>
      </c>
      <c r="M179" s="38" t="s">
        <v>80</v>
      </c>
      <c r="N179" s="38"/>
      <c r="O179" s="37">
        <v>45</v>
      </c>
      <c r="P179" s="85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60"/>
      <c r="R179" s="660"/>
      <c r="S179" s="660"/>
      <c r="T179" s="661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314</v>
      </c>
      <c r="AG179" s="78"/>
      <c r="AJ179" s="84" t="s">
        <v>46</v>
      </c>
      <c r="AK179" s="84">
        <v>0</v>
      </c>
      <c r="BB179" s="249" t="s">
        <v>66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315</v>
      </c>
      <c r="B180" s="63" t="s">
        <v>316</v>
      </c>
      <c r="C180" s="36">
        <v>4301031520</v>
      </c>
      <c r="D180" s="658">
        <v>4680115887336</v>
      </c>
      <c r="E180" s="658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141</v>
      </c>
      <c r="L180" s="37" t="s">
        <v>46</v>
      </c>
      <c r="M180" s="38" t="s">
        <v>80</v>
      </c>
      <c r="N180" s="38"/>
      <c r="O180" s="37">
        <v>45</v>
      </c>
      <c r="P180" s="86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60"/>
      <c r="R180" s="660"/>
      <c r="S180" s="660"/>
      <c r="T180" s="661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317</v>
      </c>
      <c r="AG180" s="78"/>
      <c r="AJ180" s="84" t="s">
        <v>46</v>
      </c>
      <c r="AK180" s="84">
        <v>0</v>
      </c>
      <c r="BB180" s="251" t="s">
        <v>66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16.5" hidden="1" customHeight="1" x14ac:dyDescent="0.25">
      <c r="A181" s="63" t="s">
        <v>318</v>
      </c>
      <c r="B181" s="63" t="s">
        <v>319</v>
      </c>
      <c r="C181" s="36">
        <v>4301031528</v>
      </c>
      <c r="D181" s="658">
        <v>4680115887787</v>
      </c>
      <c r="E181" s="658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138</v>
      </c>
      <c r="L181" s="37" t="s">
        <v>46</v>
      </c>
      <c r="M181" s="38" t="s">
        <v>80</v>
      </c>
      <c r="N181" s="38"/>
      <c r="O181" s="37">
        <v>45</v>
      </c>
      <c r="P181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0"/>
      <c r="R181" s="660"/>
      <c r="S181" s="660"/>
      <c r="T181" s="661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2" t="s">
        <v>320</v>
      </c>
      <c r="AG181" s="78"/>
      <c r="AJ181" s="84" t="s">
        <v>46</v>
      </c>
      <c r="AK181" s="84">
        <v>0</v>
      </c>
      <c r="BB181" s="253" t="s">
        <v>66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321</v>
      </c>
      <c r="B182" s="63" t="s">
        <v>322</v>
      </c>
      <c r="C182" s="36">
        <v>4301031448</v>
      </c>
      <c r="D182" s="658">
        <v>4680115887503</v>
      </c>
      <c r="E182" s="658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0"/>
      <c r="R182" s="660"/>
      <c r="S182" s="660"/>
      <c r="T182" s="661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308</v>
      </c>
      <c r="AG182" s="78"/>
      <c r="AJ182" s="84" t="s">
        <v>46</v>
      </c>
      <c r="AK182" s="84">
        <v>0</v>
      </c>
      <c r="BB182" s="255" t="s">
        <v>66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323</v>
      </c>
      <c r="B183" s="63" t="s">
        <v>324</v>
      </c>
      <c r="C183" s="36">
        <v>4301031389</v>
      </c>
      <c r="D183" s="658">
        <v>4680115887763</v>
      </c>
      <c r="E183" s="658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138</v>
      </c>
      <c r="L183" s="37" t="s">
        <v>46</v>
      </c>
      <c r="M183" s="38" t="s">
        <v>80</v>
      </c>
      <c r="N183" s="38"/>
      <c r="O183" s="37">
        <v>45</v>
      </c>
      <c r="P183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0"/>
      <c r="R183" s="660"/>
      <c r="S183" s="660"/>
      <c r="T183" s="661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66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326</v>
      </c>
      <c r="B184" s="63" t="s">
        <v>327</v>
      </c>
      <c r="C184" s="36">
        <v>4301031521</v>
      </c>
      <c r="D184" s="658">
        <v>4680115887480</v>
      </c>
      <c r="E184" s="658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5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0"/>
      <c r="R184" s="660"/>
      <c r="S184" s="660"/>
      <c r="T184" s="661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314</v>
      </c>
      <c r="AG184" s="78"/>
      <c r="AJ184" s="84" t="s">
        <v>46</v>
      </c>
      <c r="AK184" s="84">
        <v>0</v>
      </c>
      <c r="BB184" s="259" t="s">
        <v>66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t="27" hidden="1" customHeight="1" x14ac:dyDescent="0.25">
      <c r="A185" s="63" t="s">
        <v>328</v>
      </c>
      <c r="B185" s="63" t="s">
        <v>329</v>
      </c>
      <c r="C185" s="36">
        <v>4301031434</v>
      </c>
      <c r="D185" s="658">
        <v>4680115888067</v>
      </c>
      <c r="E185" s="658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138</v>
      </c>
      <c r="L185" s="37" t="s">
        <v>46</v>
      </c>
      <c r="M185" s="38" t="s">
        <v>80</v>
      </c>
      <c r="N185" s="38"/>
      <c r="O185" s="37">
        <v>45</v>
      </c>
      <c r="P185" s="8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0"/>
      <c r="R185" s="660"/>
      <c r="S185" s="660"/>
      <c r="T185" s="661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5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0" t="s">
        <v>330</v>
      </c>
      <c r="AG185" s="78"/>
      <c r="AJ185" s="84" t="s">
        <v>46</v>
      </c>
      <c r="AK185" s="84">
        <v>0</v>
      </c>
      <c r="BB185" s="261" t="s">
        <v>66</v>
      </c>
      <c r="BM185" s="78">
        <f t="shared" si="16"/>
        <v>0</v>
      </c>
      <c r="BN185" s="78">
        <f t="shared" si="17"/>
        <v>0</v>
      </c>
      <c r="BO185" s="78">
        <f t="shared" si="18"/>
        <v>0</v>
      </c>
      <c r="BP185" s="78">
        <f t="shared" si="19"/>
        <v>0</v>
      </c>
    </row>
    <row r="186" spans="1:68" ht="27" hidden="1" customHeight="1" x14ac:dyDescent="0.25">
      <c r="A186" s="63" t="s">
        <v>331</v>
      </c>
      <c r="B186" s="63" t="s">
        <v>332</v>
      </c>
      <c r="C186" s="36">
        <v>4301031519</v>
      </c>
      <c r="D186" s="658">
        <v>4680115887435</v>
      </c>
      <c r="E186" s="658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81</v>
      </c>
      <c r="L186" s="37" t="s">
        <v>46</v>
      </c>
      <c r="M186" s="38" t="s">
        <v>80</v>
      </c>
      <c r="N186" s="38"/>
      <c r="O186" s="37">
        <v>45</v>
      </c>
      <c r="P186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0"/>
      <c r="R186" s="660"/>
      <c r="S186" s="660"/>
      <c r="T186" s="661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5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2" t="s">
        <v>317</v>
      </c>
      <c r="AG186" s="78"/>
      <c r="AJ186" s="84" t="s">
        <v>46</v>
      </c>
      <c r="AK186" s="84">
        <v>0</v>
      </c>
      <c r="BB186" s="263" t="s">
        <v>66</v>
      </c>
      <c r="BM186" s="78">
        <f t="shared" si="16"/>
        <v>0</v>
      </c>
      <c r="BN186" s="78">
        <f t="shared" si="17"/>
        <v>0</v>
      </c>
      <c r="BO186" s="78">
        <f t="shared" si="18"/>
        <v>0</v>
      </c>
      <c r="BP186" s="78">
        <f t="shared" si="19"/>
        <v>0</v>
      </c>
    </row>
    <row r="187" spans="1:68" hidden="1" x14ac:dyDescent="0.2">
      <c r="A187" s="648"/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9"/>
      <c r="P187" s="645" t="s">
        <v>40</v>
      </c>
      <c r="Q187" s="646"/>
      <c r="R187" s="646"/>
      <c r="S187" s="646"/>
      <c r="T187" s="646"/>
      <c r="U187" s="646"/>
      <c r="V187" s="647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648"/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9"/>
      <c r="P188" s="645" t="s">
        <v>40</v>
      </c>
      <c r="Q188" s="646"/>
      <c r="R188" s="646"/>
      <c r="S188" s="646"/>
      <c r="T188" s="646"/>
      <c r="U188" s="646"/>
      <c r="V188" s="647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657" t="s">
        <v>82</v>
      </c>
      <c r="B189" s="657"/>
      <c r="C189" s="657"/>
      <c r="D189" s="657"/>
      <c r="E189" s="657"/>
      <c r="F189" s="657"/>
      <c r="G189" s="657"/>
      <c r="H189" s="657"/>
      <c r="I189" s="657"/>
      <c r="J189" s="657"/>
      <c r="K189" s="657"/>
      <c r="L189" s="657"/>
      <c r="M189" s="657"/>
      <c r="N189" s="657"/>
      <c r="O189" s="657"/>
      <c r="P189" s="657"/>
      <c r="Q189" s="657"/>
      <c r="R189" s="657"/>
      <c r="S189" s="657"/>
      <c r="T189" s="657"/>
      <c r="U189" s="657"/>
      <c r="V189" s="657"/>
      <c r="W189" s="657"/>
      <c r="X189" s="657"/>
      <c r="Y189" s="657"/>
      <c r="Z189" s="657"/>
      <c r="AA189" s="66"/>
      <c r="AB189" s="66"/>
      <c r="AC189" s="80"/>
    </row>
    <row r="190" spans="1:68" ht="16.5" hidden="1" customHeight="1" x14ac:dyDescent="0.25">
      <c r="A190" s="63" t="s">
        <v>333</v>
      </c>
      <c r="B190" s="63" t="s">
        <v>334</v>
      </c>
      <c r="C190" s="36">
        <v>4301052193</v>
      </c>
      <c r="D190" s="658">
        <v>4680115888395</v>
      </c>
      <c r="E190" s="658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87</v>
      </c>
      <c r="L190" s="37" t="s">
        <v>46</v>
      </c>
      <c r="M190" s="38" t="s">
        <v>93</v>
      </c>
      <c r="N190" s="38"/>
      <c r="O190" s="37">
        <v>40</v>
      </c>
      <c r="P190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0"/>
      <c r="R190" s="660"/>
      <c r="S190" s="660"/>
      <c r="T190" s="661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335</v>
      </c>
      <c r="AG190" s="78"/>
      <c r="AJ190" s="84" t="s">
        <v>46</v>
      </c>
      <c r="AK190" s="84">
        <v>0</v>
      </c>
      <c r="BB190" s="265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336</v>
      </c>
      <c r="B191" s="63" t="s">
        <v>337</v>
      </c>
      <c r="C191" s="36">
        <v>4301052191</v>
      </c>
      <c r="D191" s="658">
        <v>4680115888371</v>
      </c>
      <c r="E191" s="658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87</v>
      </c>
      <c r="L191" s="37" t="s">
        <v>46</v>
      </c>
      <c r="M191" s="38" t="s">
        <v>93</v>
      </c>
      <c r="N191" s="38"/>
      <c r="O191" s="37">
        <v>40</v>
      </c>
      <c r="P191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0"/>
      <c r="R191" s="660"/>
      <c r="S191" s="660"/>
      <c r="T191" s="661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338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48"/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9"/>
      <c r="P192" s="645" t="s">
        <v>40</v>
      </c>
      <c r="Q192" s="646"/>
      <c r="R192" s="646"/>
      <c r="S192" s="646"/>
      <c r="T192" s="646"/>
      <c r="U192" s="646"/>
      <c r="V192" s="647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hidden="1" x14ac:dyDescent="0.2">
      <c r="A193" s="648"/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49"/>
      <c r="P193" s="645" t="s">
        <v>40</v>
      </c>
      <c r="Q193" s="646"/>
      <c r="R193" s="646"/>
      <c r="S193" s="646"/>
      <c r="T193" s="646"/>
      <c r="U193" s="646"/>
      <c r="V193" s="647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57" t="s">
        <v>100</v>
      </c>
      <c r="B194" s="657"/>
      <c r="C194" s="657"/>
      <c r="D194" s="657"/>
      <c r="E194" s="657"/>
      <c r="F194" s="657"/>
      <c r="G194" s="657"/>
      <c r="H194" s="657"/>
      <c r="I194" s="657"/>
      <c r="J194" s="657"/>
      <c r="K194" s="657"/>
      <c r="L194" s="657"/>
      <c r="M194" s="657"/>
      <c r="N194" s="657"/>
      <c r="O194" s="657"/>
      <c r="P194" s="657"/>
      <c r="Q194" s="657"/>
      <c r="R194" s="657"/>
      <c r="S194" s="657"/>
      <c r="T194" s="657"/>
      <c r="U194" s="657"/>
      <c r="V194" s="657"/>
      <c r="W194" s="657"/>
      <c r="X194" s="657"/>
      <c r="Y194" s="657"/>
      <c r="Z194" s="657"/>
      <c r="AA194" s="66"/>
      <c r="AB194" s="66"/>
      <c r="AC194" s="80"/>
    </row>
    <row r="195" spans="1:68" ht="16.5" hidden="1" customHeight="1" x14ac:dyDescent="0.25">
      <c r="A195" s="63" t="s">
        <v>339</v>
      </c>
      <c r="B195" s="63" t="s">
        <v>340</v>
      </c>
      <c r="C195" s="36">
        <v>4301032058</v>
      </c>
      <c r="D195" s="658">
        <v>4680115889026</v>
      </c>
      <c r="E195" s="658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342</v>
      </c>
      <c r="L195" s="37" t="s">
        <v>46</v>
      </c>
      <c r="M195" s="38" t="s">
        <v>106</v>
      </c>
      <c r="N195" s="38"/>
      <c r="O195" s="37">
        <v>60</v>
      </c>
      <c r="P195" s="84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0"/>
      <c r="R195" s="660"/>
      <c r="S195" s="660"/>
      <c r="T195" s="661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341</v>
      </c>
      <c r="AG195" s="78"/>
      <c r="AJ195" s="84" t="s">
        <v>46</v>
      </c>
      <c r="AK195" s="84">
        <v>0</v>
      </c>
      <c r="BB195" s="269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648"/>
      <c r="B196" s="648"/>
      <c r="C196" s="648"/>
      <c r="D196" s="648"/>
      <c r="E196" s="648"/>
      <c r="F196" s="648"/>
      <c r="G196" s="648"/>
      <c r="H196" s="648"/>
      <c r="I196" s="648"/>
      <c r="J196" s="648"/>
      <c r="K196" s="648"/>
      <c r="L196" s="648"/>
      <c r="M196" s="648"/>
      <c r="N196" s="648"/>
      <c r="O196" s="649"/>
      <c r="P196" s="645" t="s">
        <v>40</v>
      </c>
      <c r="Q196" s="646"/>
      <c r="R196" s="646"/>
      <c r="S196" s="646"/>
      <c r="T196" s="646"/>
      <c r="U196" s="646"/>
      <c r="V196" s="647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648"/>
      <c r="B197" s="648"/>
      <c r="C197" s="648"/>
      <c r="D197" s="648"/>
      <c r="E197" s="648"/>
      <c r="F197" s="648"/>
      <c r="G197" s="648"/>
      <c r="H197" s="648"/>
      <c r="I197" s="648"/>
      <c r="J197" s="648"/>
      <c r="K197" s="648"/>
      <c r="L197" s="648"/>
      <c r="M197" s="648"/>
      <c r="N197" s="648"/>
      <c r="O197" s="649"/>
      <c r="P197" s="645" t="s">
        <v>40</v>
      </c>
      <c r="Q197" s="646"/>
      <c r="R197" s="646"/>
      <c r="S197" s="646"/>
      <c r="T197" s="646"/>
      <c r="U197" s="646"/>
      <c r="V197" s="647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57" t="s">
        <v>343</v>
      </c>
      <c r="B198" s="657"/>
      <c r="C198" s="657"/>
      <c r="D198" s="657"/>
      <c r="E198" s="657"/>
      <c r="F198" s="657"/>
      <c r="G198" s="657"/>
      <c r="H198" s="657"/>
      <c r="I198" s="657"/>
      <c r="J198" s="657"/>
      <c r="K198" s="657"/>
      <c r="L198" s="657"/>
      <c r="M198" s="657"/>
      <c r="N198" s="657"/>
      <c r="O198" s="657"/>
      <c r="P198" s="657"/>
      <c r="Q198" s="657"/>
      <c r="R198" s="657"/>
      <c r="S198" s="657"/>
      <c r="T198" s="657"/>
      <c r="U198" s="657"/>
      <c r="V198" s="657"/>
      <c r="W198" s="657"/>
      <c r="X198" s="657"/>
      <c r="Y198" s="657"/>
      <c r="Z198" s="657"/>
      <c r="AA198" s="66"/>
      <c r="AB198" s="66"/>
      <c r="AC198" s="80"/>
    </row>
    <row r="199" spans="1:68" ht="27" hidden="1" customHeight="1" x14ac:dyDescent="0.25">
      <c r="A199" s="63" t="s">
        <v>344</v>
      </c>
      <c r="B199" s="63" t="s">
        <v>345</v>
      </c>
      <c r="C199" s="36">
        <v>4301041009</v>
      </c>
      <c r="D199" s="658">
        <v>4680115889033</v>
      </c>
      <c r="E199" s="658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342</v>
      </c>
      <c r="L199" s="37" t="s">
        <v>46</v>
      </c>
      <c r="M199" s="38" t="s">
        <v>106</v>
      </c>
      <c r="N199" s="38"/>
      <c r="O199" s="37">
        <v>60</v>
      </c>
      <c r="P199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0"/>
      <c r="R199" s="660"/>
      <c r="S199" s="660"/>
      <c r="T199" s="661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346</v>
      </c>
      <c r="AG199" s="78"/>
      <c r="AJ199" s="84" t="s">
        <v>46</v>
      </c>
      <c r="AK199" s="84">
        <v>0</v>
      </c>
      <c r="BB199" s="271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648"/>
      <c r="B200" s="648"/>
      <c r="C200" s="648"/>
      <c r="D200" s="648"/>
      <c r="E200" s="648"/>
      <c r="F200" s="648"/>
      <c r="G200" s="648"/>
      <c r="H200" s="648"/>
      <c r="I200" s="648"/>
      <c r="J200" s="648"/>
      <c r="K200" s="648"/>
      <c r="L200" s="648"/>
      <c r="M200" s="648"/>
      <c r="N200" s="648"/>
      <c r="O200" s="649"/>
      <c r="P200" s="645" t="s">
        <v>40</v>
      </c>
      <c r="Q200" s="646"/>
      <c r="R200" s="646"/>
      <c r="S200" s="646"/>
      <c r="T200" s="646"/>
      <c r="U200" s="646"/>
      <c r="V200" s="647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648"/>
      <c r="B201" s="648"/>
      <c r="C201" s="648"/>
      <c r="D201" s="648"/>
      <c r="E201" s="648"/>
      <c r="F201" s="648"/>
      <c r="G201" s="648"/>
      <c r="H201" s="648"/>
      <c r="I201" s="648"/>
      <c r="J201" s="648"/>
      <c r="K201" s="648"/>
      <c r="L201" s="648"/>
      <c r="M201" s="648"/>
      <c r="N201" s="648"/>
      <c r="O201" s="649"/>
      <c r="P201" s="645" t="s">
        <v>40</v>
      </c>
      <c r="Q201" s="646"/>
      <c r="R201" s="646"/>
      <c r="S201" s="646"/>
      <c r="T201" s="646"/>
      <c r="U201" s="646"/>
      <c r="V201" s="647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675" t="s">
        <v>347</v>
      </c>
      <c r="B202" s="675"/>
      <c r="C202" s="675"/>
      <c r="D202" s="675"/>
      <c r="E202" s="675"/>
      <c r="F202" s="675"/>
      <c r="G202" s="675"/>
      <c r="H202" s="675"/>
      <c r="I202" s="675"/>
      <c r="J202" s="675"/>
      <c r="K202" s="675"/>
      <c r="L202" s="675"/>
      <c r="M202" s="675"/>
      <c r="N202" s="675"/>
      <c r="O202" s="675"/>
      <c r="P202" s="675"/>
      <c r="Q202" s="675"/>
      <c r="R202" s="675"/>
      <c r="S202" s="675"/>
      <c r="T202" s="675"/>
      <c r="U202" s="675"/>
      <c r="V202" s="675"/>
      <c r="W202" s="675"/>
      <c r="X202" s="675"/>
      <c r="Y202" s="675"/>
      <c r="Z202" s="675"/>
      <c r="AA202" s="54"/>
      <c r="AB202" s="54"/>
      <c r="AC202" s="54"/>
    </row>
    <row r="203" spans="1:68" ht="16.5" hidden="1" customHeight="1" x14ac:dyDescent="0.25">
      <c r="A203" s="664" t="s">
        <v>348</v>
      </c>
      <c r="B203" s="664"/>
      <c r="C203" s="664"/>
      <c r="D203" s="664"/>
      <c r="E203" s="664"/>
      <c r="F203" s="664"/>
      <c r="G203" s="664"/>
      <c r="H203" s="664"/>
      <c r="I203" s="664"/>
      <c r="J203" s="664"/>
      <c r="K203" s="664"/>
      <c r="L203" s="664"/>
      <c r="M203" s="664"/>
      <c r="N203" s="664"/>
      <c r="O203" s="664"/>
      <c r="P203" s="664"/>
      <c r="Q203" s="664"/>
      <c r="R203" s="664"/>
      <c r="S203" s="664"/>
      <c r="T203" s="664"/>
      <c r="U203" s="664"/>
      <c r="V203" s="664"/>
      <c r="W203" s="664"/>
      <c r="X203" s="664"/>
      <c r="Y203" s="664"/>
      <c r="Z203" s="664"/>
      <c r="AA203" s="65"/>
      <c r="AB203" s="65"/>
      <c r="AC203" s="79"/>
    </row>
    <row r="204" spans="1:68" ht="14.25" hidden="1" customHeight="1" x14ac:dyDescent="0.25">
      <c r="A204" s="657" t="s">
        <v>129</v>
      </c>
      <c r="B204" s="657"/>
      <c r="C204" s="657"/>
      <c r="D204" s="657"/>
      <c r="E204" s="657"/>
      <c r="F204" s="657"/>
      <c r="G204" s="657"/>
      <c r="H204" s="657"/>
      <c r="I204" s="657"/>
      <c r="J204" s="657"/>
      <c r="K204" s="657"/>
      <c r="L204" s="657"/>
      <c r="M204" s="657"/>
      <c r="N204" s="657"/>
      <c r="O204" s="657"/>
      <c r="P204" s="657"/>
      <c r="Q204" s="657"/>
      <c r="R204" s="657"/>
      <c r="S204" s="657"/>
      <c r="T204" s="657"/>
      <c r="U204" s="657"/>
      <c r="V204" s="657"/>
      <c r="W204" s="657"/>
      <c r="X204" s="657"/>
      <c r="Y204" s="657"/>
      <c r="Z204" s="657"/>
      <c r="AA204" s="66"/>
      <c r="AB204" s="66"/>
      <c r="AC204" s="80"/>
    </row>
    <row r="205" spans="1:68" ht="27" hidden="1" customHeight="1" x14ac:dyDescent="0.25">
      <c r="A205" s="63" t="s">
        <v>349</v>
      </c>
      <c r="B205" s="63" t="s">
        <v>350</v>
      </c>
      <c r="C205" s="36">
        <v>4301011223</v>
      </c>
      <c r="D205" s="658">
        <v>4607091383423</v>
      </c>
      <c r="E205" s="658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134</v>
      </c>
      <c r="L205" s="37" t="s">
        <v>46</v>
      </c>
      <c r="M205" s="38" t="s">
        <v>86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0"/>
      <c r="R205" s="660"/>
      <c r="S205" s="660"/>
      <c r="T205" s="661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132</v>
      </c>
      <c r="AG205" s="78"/>
      <c r="AJ205" s="84" t="s">
        <v>46</v>
      </c>
      <c r="AK205" s="84">
        <v>0</v>
      </c>
      <c r="BB205" s="273" t="s">
        <v>66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hidden="1" customHeight="1" x14ac:dyDescent="0.25">
      <c r="A206" s="63" t="s">
        <v>351</v>
      </c>
      <c r="B206" s="63" t="s">
        <v>352</v>
      </c>
      <c r="C206" s="36">
        <v>4301012340</v>
      </c>
      <c r="D206" s="658">
        <v>4680115888760</v>
      </c>
      <c r="E206" s="658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134</v>
      </c>
      <c r="L206" s="37" t="s">
        <v>46</v>
      </c>
      <c r="M206" s="38" t="s">
        <v>86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0"/>
      <c r="R206" s="660"/>
      <c r="S206" s="660"/>
      <c r="T206" s="661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353</v>
      </c>
      <c r="AG206" s="78"/>
      <c r="AJ206" s="84" t="s">
        <v>46</v>
      </c>
      <c r="AK206" s="84">
        <v>0</v>
      </c>
      <c r="BB206" s="275" t="s">
        <v>66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hidden="1" customHeight="1" x14ac:dyDescent="0.25">
      <c r="A207" s="63" t="s">
        <v>354</v>
      </c>
      <c r="B207" s="63" t="s">
        <v>355</v>
      </c>
      <c r="C207" s="36">
        <v>4301012341</v>
      </c>
      <c r="D207" s="658">
        <v>4680115888807</v>
      </c>
      <c r="E207" s="658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134</v>
      </c>
      <c r="L207" s="37" t="s">
        <v>46</v>
      </c>
      <c r="M207" s="38" t="s">
        <v>86</v>
      </c>
      <c r="N207" s="38"/>
      <c r="O207" s="37">
        <v>35</v>
      </c>
      <c r="P207" s="84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0"/>
      <c r="R207" s="660"/>
      <c r="S207" s="660"/>
      <c r="T207" s="661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356</v>
      </c>
      <c r="AG207" s="78"/>
      <c r="AJ207" s="84" t="s">
        <v>46</v>
      </c>
      <c r="AK207" s="84">
        <v>0</v>
      </c>
      <c r="BB207" s="277" t="s">
        <v>66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357</v>
      </c>
      <c r="B208" s="63" t="s">
        <v>358</v>
      </c>
      <c r="C208" s="36">
        <v>4301012342</v>
      </c>
      <c r="D208" s="658">
        <v>4680115888852</v>
      </c>
      <c r="E208" s="658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134</v>
      </c>
      <c r="L208" s="37" t="s">
        <v>46</v>
      </c>
      <c r="M208" s="38" t="s">
        <v>86</v>
      </c>
      <c r="N208" s="38"/>
      <c r="O208" s="37">
        <v>35</v>
      </c>
      <c r="P208" s="84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0"/>
      <c r="R208" s="660"/>
      <c r="S208" s="660"/>
      <c r="T208" s="661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359</v>
      </c>
      <c r="AG208" s="78"/>
      <c r="AJ208" s="84" t="s">
        <v>46</v>
      </c>
      <c r="AK208" s="84">
        <v>0</v>
      </c>
      <c r="BB208" s="279" t="s">
        <v>66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hidden="1" customHeight="1" x14ac:dyDescent="0.25">
      <c r="A209" s="63" t="s">
        <v>360</v>
      </c>
      <c r="B209" s="63" t="s">
        <v>361</v>
      </c>
      <c r="C209" s="36">
        <v>4301012370</v>
      </c>
      <c r="D209" s="658">
        <v>4680115886957</v>
      </c>
      <c r="E209" s="658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134</v>
      </c>
      <c r="L209" s="37" t="s">
        <v>46</v>
      </c>
      <c r="M209" s="38" t="s">
        <v>86</v>
      </c>
      <c r="N209" s="38"/>
      <c r="O209" s="37">
        <v>35</v>
      </c>
      <c r="P209" s="84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0"/>
      <c r="R209" s="660"/>
      <c r="S209" s="660"/>
      <c r="T209" s="661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362</v>
      </c>
      <c r="AG209" s="78"/>
      <c r="AJ209" s="84" t="s">
        <v>46</v>
      </c>
      <c r="AK209" s="84">
        <v>0</v>
      </c>
      <c r="BB209" s="281" t="s">
        <v>66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hidden="1" customHeight="1" x14ac:dyDescent="0.25">
      <c r="A210" s="63" t="s">
        <v>363</v>
      </c>
      <c r="B210" s="63" t="s">
        <v>364</v>
      </c>
      <c r="C210" s="36">
        <v>4301012098</v>
      </c>
      <c r="D210" s="658">
        <v>4680115885660</v>
      </c>
      <c r="E210" s="658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134</v>
      </c>
      <c r="L210" s="37" t="s">
        <v>46</v>
      </c>
      <c r="M210" s="38" t="s">
        <v>86</v>
      </c>
      <c r="N210" s="38"/>
      <c r="O210" s="37">
        <v>35</v>
      </c>
      <c r="P210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0"/>
      <c r="R210" s="660"/>
      <c r="S210" s="660"/>
      <c r="T210" s="661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0"/>
        <v>0</v>
      </c>
      <c r="Z210" s="41" t="str">
        <f t="shared" si="21"/>
        <v/>
      </c>
      <c r="AA210" s="68" t="s">
        <v>46</v>
      </c>
      <c r="AB210" s="69" t="s">
        <v>46</v>
      </c>
      <c r="AC210" s="282" t="s">
        <v>365</v>
      </c>
      <c r="AG210" s="78"/>
      <c r="AJ210" s="84" t="s">
        <v>46</v>
      </c>
      <c r="AK210" s="84">
        <v>0</v>
      </c>
      <c r="BB210" s="283" t="s">
        <v>66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hidden="1" customHeight="1" x14ac:dyDescent="0.25">
      <c r="A211" s="63" t="s">
        <v>366</v>
      </c>
      <c r="B211" s="63" t="s">
        <v>367</v>
      </c>
      <c r="C211" s="36">
        <v>4301012369</v>
      </c>
      <c r="D211" s="658">
        <v>4680115886773</v>
      </c>
      <c r="E211" s="658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134</v>
      </c>
      <c r="L211" s="37" t="s">
        <v>46</v>
      </c>
      <c r="M211" s="38" t="s">
        <v>86</v>
      </c>
      <c r="N211" s="38"/>
      <c r="O211" s="37">
        <v>35</v>
      </c>
      <c r="P211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0"/>
      <c r="R211" s="660"/>
      <c r="S211" s="660"/>
      <c r="T211" s="661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368</v>
      </c>
      <c r="AG211" s="78"/>
      <c r="AJ211" s="84" t="s">
        <v>46</v>
      </c>
      <c r="AK211" s="84">
        <v>0</v>
      </c>
      <c r="BB211" s="285" t="s">
        <v>66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idden="1" x14ac:dyDescent="0.2">
      <c r="A212" s="648"/>
      <c r="B212" s="648"/>
      <c r="C212" s="648"/>
      <c r="D212" s="648"/>
      <c r="E212" s="648"/>
      <c r="F212" s="648"/>
      <c r="G212" s="648"/>
      <c r="H212" s="648"/>
      <c r="I212" s="648"/>
      <c r="J212" s="648"/>
      <c r="K212" s="648"/>
      <c r="L212" s="648"/>
      <c r="M212" s="648"/>
      <c r="N212" s="648"/>
      <c r="O212" s="649"/>
      <c r="P212" s="645" t="s">
        <v>40</v>
      </c>
      <c r="Q212" s="646"/>
      <c r="R212" s="646"/>
      <c r="S212" s="646"/>
      <c r="T212" s="646"/>
      <c r="U212" s="646"/>
      <c r="V212" s="647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648"/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9"/>
      <c r="P213" s="645" t="s">
        <v>40</v>
      </c>
      <c r="Q213" s="646"/>
      <c r="R213" s="646"/>
      <c r="S213" s="646"/>
      <c r="T213" s="646"/>
      <c r="U213" s="646"/>
      <c r="V213" s="647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664" t="s">
        <v>369</v>
      </c>
      <c r="B214" s="664"/>
      <c r="C214" s="664"/>
      <c r="D214" s="664"/>
      <c r="E214" s="664"/>
      <c r="F214" s="664"/>
      <c r="G214" s="664"/>
      <c r="H214" s="664"/>
      <c r="I214" s="664"/>
      <c r="J214" s="664"/>
      <c r="K214" s="664"/>
      <c r="L214" s="664"/>
      <c r="M214" s="664"/>
      <c r="N214" s="664"/>
      <c r="O214" s="664"/>
      <c r="P214" s="664"/>
      <c r="Q214" s="664"/>
      <c r="R214" s="664"/>
      <c r="S214" s="664"/>
      <c r="T214" s="664"/>
      <c r="U214" s="664"/>
      <c r="V214" s="664"/>
      <c r="W214" s="664"/>
      <c r="X214" s="664"/>
      <c r="Y214" s="664"/>
      <c r="Z214" s="664"/>
      <c r="AA214" s="65"/>
      <c r="AB214" s="65"/>
      <c r="AC214" s="79"/>
    </row>
    <row r="215" spans="1:68" ht="14.25" hidden="1" customHeight="1" x14ac:dyDescent="0.25">
      <c r="A215" s="657" t="s">
        <v>165</v>
      </c>
      <c r="B215" s="657"/>
      <c r="C215" s="657"/>
      <c r="D215" s="657"/>
      <c r="E215" s="657"/>
      <c r="F215" s="657"/>
      <c r="G215" s="657"/>
      <c r="H215" s="657"/>
      <c r="I215" s="657"/>
      <c r="J215" s="657"/>
      <c r="K215" s="657"/>
      <c r="L215" s="657"/>
      <c r="M215" s="657"/>
      <c r="N215" s="657"/>
      <c r="O215" s="657"/>
      <c r="P215" s="657"/>
      <c r="Q215" s="657"/>
      <c r="R215" s="657"/>
      <c r="S215" s="657"/>
      <c r="T215" s="657"/>
      <c r="U215" s="657"/>
      <c r="V215" s="657"/>
      <c r="W215" s="657"/>
      <c r="X215" s="657"/>
      <c r="Y215" s="657"/>
      <c r="Z215" s="657"/>
      <c r="AA215" s="66"/>
      <c r="AB215" s="66"/>
      <c r="AC215" s="80"/>
    </row>
    <row r="216" spans="1:68" ht="27" hidden="1" customHeight="1" x14ac:dyDescent="0.25">
      <c r="A216" s="63" t="s">
        <v>370</v>
      </c>
      <c r="B216" s="63" t="s">
        <v>371</v>
      </c>
      <c r="C216" s="36">
        <v>4301020323</v>
      </c>
      <c r="D216" s="658">
        <v>4680115886223</v>
      </c>
      <c r="E216" s="658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81</v>
      </c>
      <c r="L216" s="37" t="s">
        <v>46</v>
      </c>
      <c r="M216" s="38" t="s">
        <v>80</v>
      </c>
      <c r="N216" s="38"/>
      <c r="O216" s="37">
        <v>40</v>
      </c>
      <c r="P216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0"/>
      <c r="R216" s="660"/>
      <c r="S216" s="660"/>
      <c r="T216" s="661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66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648"/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49"/>
      <c r="P217" s="645" t="s">
        <v>40</v>
      </c>
      <c r="Q217" s="646"/>
      <c r="R217" s="646"/>
      <c r="S217" s="646"/>
      <c r="T217" s="646"/>
      <c r="U217" s="646"/>
      <c r="V217" s="647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648"/>
      <c r="B218" s="648"/>
      <c r="C218" s="648"/>
      <c r="D218" s="648"/>
      <c r="E218" s="648"/>
      <c r="F218" s="648"/>
      <c r="G218" s="648"/>
      <c r="H218" s="648"/>
      <c r="I218" s="648"/>
      <c r="J218" s="648"/>
      <c r="K218" s="648"/>
      <c r="L218" s="648"/>
      <c r="M218" s="648"/>
      <c r="N218" s="648"/>
      <c r="O218" s="649"/>
      <c r="P218" s="645" t="s">
        <v>40</v>
      </c>
      <c r="Q218" s="646"/>
      <c r="R218" s="646"/>
      <c r="S218" s="646"/>
      <c r="T218" s="646"/>
      <c r="U218" s="646"/>
      <c r="V218" s="647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657" t="s">
        <v>76</v>
      </c>
      <c r="B219" s="657"/>
      <c r="C219" s="657"/>
      <c r="D219" s="657"/>
      <c r="E219" s="657"/>
      <c r="F219" s="657"/>
      <c r="G219" s="657"/>
      <c r="H219" s="657"/>
      <c r="I219" s="657"/>
      <c r="J219" s="657"/>
      <c r="K219" s="657"/>
      <c r="L219" s="657"/>
      <c r="M219" s="657"/>
      <c r="N219" s="657"/>
      <c r="O219" s="657"/>
      <c r="P219" s="657"/>
      <c r="Q219" s="657"/>
      <c r="R219" s="657"/>
      <c r="S219" s="657"/>
      <c r="T219" s="657"/>
      <c r="U219" s="657"/>
      <c r="V219" s="657"/>
      <c r="W219" s="657"/>
      <c r="X219" s="657"/>
      <c r="Y219" s="657"/>
      <c r="Z219" s="657"/>
      <c r="AA219" s="66"/>
      <c r="AB219" s="66"/>
      <c r="AC219" s="80"/>
    </row>
    <row r="220" spans="1:68" ht="27" hidden="1" customHeight="1" x14ac:dyDescent="0.25">
      <c r="A220" s="63" t="s">
        <v>373</v>
      </c>
      <c r="B220" s="63" t="s">
        <v>374</v>
      </c>
      <c r="C220" s="36">
        <v>4301031191</v>
      </c>
      <c r="D220" s="658">
        <v>4680115880993</v>
      </c>
      <c r="E220" s="658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141</v>
      </c>
      <c r="L220" s="37" t="s">
        <v>46</v>
      </c>
      <c r="M220" s="38" t="s">
        <v>80</v>
      </c>
      <c r="N220" s="38"/>
      <c r="O220" s="37">
        <v>40</v>
      </c>
      <c r="P220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0"/>
      <c r="R220" s="660"/>
      <c r="S220" s="660"/>
      <c r="T220" s="661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2" si="26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375</v>
      </c>
      <c r="AG220" s="78"/>
      <c r="AJ220" s="84" t="s">
        <v>46</v>
      </c>
      <c r="AK220" s="84">
        <v>0</v>
      </c>
      <c r="BB220" s="289" t="s">
        <v>66</v>
      </c>
      <c r="BM220" s="78">
        <f t="shared" ref="BM220:BM232" si="27">IFERROR(X220*I220/H220,"0")</f>
        <v>0</v>
      </c>
      <c r="BN220" s="78">
        <f t="shared" ref="BN220:BN232" si="28">IFERROR(Y220*I220/H220,"0")</f>
        <v>0</v>
      </c>
      <c r="BO220" s="78">
        <f t="shared" ref="BO220:BO232" si="29">IFERROR(1/J220*(X220/H220),"0")</f>
        <v>0</v>
      </c>
      <c r="BP220" s="78">
        <f t="shared" ref="BP220:BP232" si="30">IFERROR(1/J220*(Y220/H220),"0")</f>
        <v>0</v>
      </c>
    </row>
    <row r="221" spans="1:68" ht="27" hidden="1" customHeight="1" x14ac:dyDescent="0.25">
      <c r="A221" s="63" t="s">
        <v>376</v>
      </c>
      <c r="B221" s="63" t="s">
        <v>377</v>
      </c>
      <c r="C221" s="36">
        <v>4301031204</v>
      </c>
      <c r="D221" s="658">
        <v>4680115881761</v>
      </c>
      <c r="E221" s="658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141</v>
      </c>
      <c r="L221" s="37" t="s">
        <v>46</v>
      </c>
      <c r="M221" s="38" t="s">
        <v>80</v>
      </c>
      <c r="N221" s="38"/>
      <c r="O221" s="37">
        <v>40</v>
      </c>
      <c r="P221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0"/>
      <c r="R221" s="660"/>
      <c r="S221" s="660"/>
      <c r="T221" s="66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378</v>
      </c>
      <c r="AG221" s="78"/>
      <c r="AJ221" s="84" t="s">
        <v>46</v>
      </c>
      <c r="AK221" s="84">
        <v>0</v>
      </c>
      <c r="BB221" s="291" t="s">
        <v>66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379</v>
      </c>
      <c r="B222" s="63" t="s">
        <v>380</v>
      </c>
      <c r="C222" s="36">
        <v>4301031532</v>
      </c>
      <c r="D222" s="658">
        <v>4680115881563</v>
      </c>
      <c r="E222" s="658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141</v>
      </c>
      <c r="L222" s="37" t="s">
        <v>46</v>
      </c>
      <c r="M222" s="38" t="s">
        <v>80</v>
      </c>
      <c r="N222" s="38"/>
      <c r="O222" s="37">
        <v>45</v>
      </c>
      <c r="P222" s="83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60"/>
      <c r="R222" s="660"/>
      <c r="S222" s="660"/>
      <c r="T222" s="661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66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37.5" hidden="1" customHeight="1" x14ac:dyDescent="0.25">
      <c r="A223" s="63" t="s">
        <v>382</v>
      </c>
      <c r="B223" s="63" t="s">
        <v>383</v>
      </c>
      <c r="C223" s="36">
        <v>4301031447</v>
      </c>
      <c r="D223" s="658">
        <v>4680115887565</v>
      </c>
      <c r="E223" s="658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45</v>
      </c>
      <c r="P223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0"/>
      <c r="R223" s="660"/>
      <c r="S223" s="660"/>
      <c r="T223" s="661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294" t="s">
        <v>384</v>
      </c>
      <c r="AG223" s="78"/>
      <c r="AJ223" s="84" t="s">
        <v>46</v>
      </c>
      <c r="AK223" s="84">
        <v>0</v>
      </c>
      <c r="BB223" s="295" t="s">
        <v>66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385</v>
      </c>
      <c r="B224" s="63" t="s">
        <v>386</v>
      </c>
      <c r="C224" s="36">
        <v>4301031199</v>
      </c>
      <c r="D224" s="658">
        <v>4680115880986</v>
      </c>
      <c r="E224" s="658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40</v>
      </c>
      <c r="P224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0"/>
      <c r="R224" s="660"/>
      <c r="S224" s="660"/>
      <c r="T224" s="661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375</v>
      </c>
      <c r="AG224" s="78"/>
      <c r="AJ224" s="84" t="s">
        <v>46</v>
      </c>
      <c r="AK224" s="84">
        <v>0</v>
      </c>
      <c r="BB224" s="297" t="s">
        <v>66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387</v>
      </c>
      <c r="B225" s="63" t="s">
        <v>388</v>
      </c>
      <c r="C225" s="36">
        <v>4301031443</v>
      </c>
      <c r="D225" s="658">
        <v>4680115887213</v>
      </c>
      <c r="E225" s="658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45</v>
      </c>
      <c r="P22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0"/>
      <c r="R225" s="660"/>
      <c r="S225" s="660"/>
      <c r="T225" s="66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389</v>
      </c>
      <c r="AG225" s="78"/>
      <c r="AJ225" s="84" t="s">
        <v>46</v>
      </c>
      <c r="AK225" s="84">
        <v>0</v>
      </c>
      <c r="BB225" s="299" t="s">
        <v>66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390</v>
      </c>
      <c r="B226" s="63" t="s">
        <v>391</v>
      </c>
      <c r="C226" s="36">
        <v>4301031205</v>
      </c>
      <c r="D226" s="658">
        <v>4680115881785</v>
      </c>
      <c r="E226" s="658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40</v>
      </c>
      <c r="P226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0"/>
      <c r="R226" s="660"/>
      <c r="S226" s="660"/>
      <c r="T226" s="66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378</v>
      </c>
      <c r="AG226" s="78"/>
      <c r="AJ226" s="84" t="s">
        <v>46</v>
      </c>
      <c r="AK226" s="84">
        <v>0</v>
      </c>
      <c r="BB226" s="301" t="s">
        <v>66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4301031499</v>
      </c>
      <c r="D227" s="658">
        <v>4680115888432</v>
      </c>
      <c r="E227" s="658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0"/>
      <c r="R227" s="660"/>
      <c r="S227" s="660"/>
      <c r="T227" s="661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66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4301031503</v>
      </c>
      <c r="D228" s="658">
        <v>4680115886537</v>
      </c>
      <c r="E228" s="658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60"/>
      <c r="R228" s="660"/>
      <c r="S228" s="660"/>
      <c r="T228" s="661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66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hidden="1" customHeight="1" x14ac:dyDescent="0.25">
      <c r="A229" s="63" t="s">
        <v>398</v>
      </c>
      <c r="B229" s="63" t="s">
        <v>399</v>
      </c>
      <c r="C229" s="36">
        <v>4301031279</v>
      </c>
      <c r="D229" s="658">
        <v>4680115887596</v>
      </c>
      <c r="E229" s="658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138</v>
      </c>
      <c r="L229" s="37" t="s">
        <v>46</v>
      </c>
      <c r="M229" s="38" t="s">
        <v>80</v>
      </c>
      <c r="N229" s="38"/>
      <c r="O229" s="37">
        <v>45</v>
      </c>
      <c r="P229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60"/>
      <c r="R229" s="660"/>
      <c r="S229" s="660"/>
      <c r="T229" s="661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06" t="s">
        <v>400</v>
      </c>
      <c r="AG229" s="78"/>
      <c r="AJ229" s="84" t="s">
        <v>46</v>
      </c>
      <c r="AK229" s="84">
        <v>0</v>
      </c>
      <c r="BB229" s="307" t="s">
        <v>66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37.5" hidden="1" customHeight="1" x14ac:dyDescent="0.25">
      <c r="A230" s="63" t="s">
        <v>401</v>
      </c>
      <c r="B230" s="63" t="s">
        <v>402</v>
      </c>
      <c r="C230" s="36">
        <v>4301031530</v>
      </c>
      <c r="D230" s="658">
        <v>4680115881679</v>
      </c>
      <c r="E230" s="658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60"/>
      <c r="R230" s="660"/>
      <c r="S230" s="660"/>
      <c r="T230" s="661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08" t="s">
        <v>381</v>
      </c>
      <c r="AG230" s="78"/>
      <c r="AJ230" s="84" t="s">
        <v>46</v>
      </c>
      <c r="AK230" s="84">
        <v>0</v>
      </c>
      <c r="BB230" s="309" t="s">
        <v>66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403</v>
      </c>
      <c r="B231" s="63" t="s">
        <v>404</v>
      </c>
      <c r="C231" s="36">
        <v>4301031531</v>
      </c>
      <c r="D231" s="658">
        <v>4680115880191</v>
      </c>
      <c r="E231" s="658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87</v>
      </c>
      <c r="L231" s="37" t="s">
        <v>46</v>
      </c>
      <c r="M231" s="38" t="s">
        <v>80</v>
      </c>
      <c r="N231" s="38"/>
      <c r="O231" s="37">
        <v>45</v>
      </c>
      <c r="P231" s="83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60"/>
      <c r="R231" s="660"/>
      <c r="S231" s="660"/>
      <c r="T231" s="661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381</v>
      </c>
      <c r="AG231" s="78"/>
      <c r="AJ231" s="84" t="s">
        <v>46</v>
      </c>
      <c r="AK231" s="84">
        <v>0</v>
      </c>
      <c r="BB231" s="311" t="s">
        <v>66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4301031245</v>
      </c>
      <c r="D232" s="658">
        <v>4680115883963</v>
      </c>
      <c r="E232" s="658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60"/>
      <c r="R232" s="660"/>
      <c r="S232" s="660"/>
      <c r="T232" s="661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407</v>
      </c>
      <c r="AG232" s="78"/>
      <c r="AJ232" s="84" t="s">
        <v>46</v>
      </c>
      <c r="AK232" s="84">
        <v>0</v>
      </c>
      <c r="BB232" s="313" t="s">
        <v>66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hidden="1" x14ac:dyDescent="0.2">
      <c r="A233" s="648"/>
      <c r="B233" s="648"/>
      <c r="C233" s="648"/>
      <c r="D233" s="648"/>
      <c r="E233" s="648"/>
      <c r="F233" s="648"/>
      <c r="G233" s="648"/>
      <c r="H233" s="648"/>
      <c r="I233" s="648"/>
      <c r="J233" s="648"/>
      <c r="K233" s="648"/>
      <c r="L233" s="648"/>
      <c r="M233" s="648"/>
      <c r="N233" s="648"/>
      <c r="O233" s="649"/>
      <c r="P233" s="645" t="s">
        <v>40</v>
      </c>
      <c r="Q233" s="646"/>
      <c r="R233" s="646"/>
      <c r="S233" s="646"/>
      <c r="T233" s="646"/>
      <c r="U233" s="646"/>
      <c r="V233" s="647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648"/>
      <c r="B234" s="648"/>
      <c r="C234" s="648"/>
      <c r="D234" s="648"/>
      <c r="E234" s="648"/>
      <c r="F234" s="648"/>
      <c r="G234" s="648"/>
      <c r="H234" s="648"/>
      <c r="I234" s="648"/>
      <c r="J234" s="648"/>
      <c r="K234" s="648"/>
      <c r="L234" s="648"/>
      <c r="M234" s="648"/>
      <c r="N234" s="648"/>
      <c r="O234" s="649"/>
      <c r="P234" s="645" t="s">
        <v>40</v>
      </c>
      <c r="Q234" s="646"/>
      <c r="R234" s="646"/>
      <c r="S234" s="646"/>
      <c r="T234" s="646"/>
      <c r="U234" s="646"/>
      <c r="V234" s="647"/>
      <c r="W234" s="42" t="s">
        <v>0</v>
      </c>
      <c r="X234" s="43">
        <f>IFERROR(SUM(X220:X232),"0")</f>
        <v>0</v>
      </c>
      <c r="Y234" s="43">
        <f>IFERROR(SUM(Y220:Y232),"0")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657" t="s">
        <v>82</v>
      </c>
      <c r="B235" s="657"/>
      <c r="C235" s="657"/>
      <c r="D235" s="657"/>
      <c r="E235" s="657"/>
      <c r="F235" s="657"/>
      <c r="G235" s="657"/>
      <c r="H235" s="657"/>
      <c r="I235" s="657"/>
      <c r="J235" s="657"/>
      <c r="K235" s="657"/>
      <c r="L235" s="657"/>
      <c r="M235" s="657"/>
      <c r="N235" s="657"/>
      <c r="O235" s="657"/>
      <c r="P235" s="657"/>
      <c r="Q235" s="657"/>
      <c r="R235" s="657"/>
      <c r="S235" s="657"/>
      <c r="T235" s="657"/>
      <c r="U235" s="657"/>
      <c r="V235" s="657"/>
      <c r="W235" s="657"/>
      <c r="X235" s="657"/>
      <c r="Y235" s="657"/>
      <c r="Z235" s="657"/>
      <c r="AA235" s="66"/>
      <c r="AB235" s="66"/>
      <c r="AC235" s="80"/>
    </row>
    <row r="236" spans="1:68" ht="16.5" hidden="1" customHeight="1" x14ac:dyDescent="0.25">
      <c r="A236" s="63" t="s">
        <v>408</v>
      </c>
      <c r="B236" s="63" t="s">
        <v>409</v>
      </c>
      <c r="C236" s="36">
        <v>4301052279</v>
      </c>
      <c r="D236" s="658">
        <v>4680115888692</v>
      </c>
      <c r="E236" s="658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134</v>
      </c>
      <c r="L236" s="37" t="s">
        <v>46</v>
      </c>
      <c r="M236" s="38" t="s">
        <v>93</v>
      </c>
      <c r="N236" s="38"/>
      <c r="O236" s="37">
        <v>40</v>
      </c>
      <c r="P236" s="82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60"/>
      <c r="R236" s="660"/>
      <c r="S236" s="660"/>
      <c r="T236" s="661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66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4301052280</v>
      </c>
      <c r="D237" s="658">
        <v>4680115888722</v>
      </c>
      <c r="E237" s="658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134</v>
      </c>
      <c r="L237" s="37" t="s">
        <v>46</v>
      </c>
      <c r="M237" s="38" t="s">
        <v>93</v>
      </c>
      <c r="N237" s="38"/>
      <c r="O237" s="37">
        <v>40</v>
      </c>
      <c r="P237" s="82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60"/>
      <c r="R237" s="660"/>
      <c r="S237" s="660"/>
      <c r="T237" s="661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413</v>
      </c>
      <c r="AG237" s="78"/>
      <c r="AJ237" s="84" t="s">
        <v>46</v>
      </c>
      <c r="AK237" s="84">
        <v>0</v>
      </c>
      <c r="BB237" s="317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414</v>
      </c>
      <c r="B238" s="63" t="s">
        <v>415</v>
      </c>
      <c r="C238" s="36">
        <v>4301052276</v>
      </c>
      <c r="D238" s="658">
        <v>4680115888951</v>
      </c>
      <c r="E238" s="658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141</v>
      </c>
      <c r="L238" s="37" t="s">
        <v>46</v>
      </c>
      <c r="M238" s="38" t="s">
        <v>93</v>
      </c>
      <c r="N238" s="38"/>
      <c r="O238" s="37">
        <v>40</v>
      </c>
      <c r="P238" s="82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60"/>
      <c r="R238" s="660"/>
      <c r="S238" s="660"/>
      <c r="T238" s="66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410</v>
      </c>
      <c r="AG238" s="78"/>
      <c r="AJ238" s="84" t="s">
        <v>46</v>
      </c>
      <c r="AK238" s="84">
        <v>0</v>
      </c>
      <c r="BB238" s="319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4301052278</v>
      </c>
      <c r="D239" s="658">
        <v>4680115888975</v>
      </c>
      <c r="E239" s="658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141</v>
      </c>
      <c r="L239" s="37" t="s">
        <v>46</v>
      </c>
      <c r="M239" s="38" t="s">
        <v>93</v>
      </c>
      <c r="N239" s="38"/>
      <c r="O239" s="37">
        <v>40</v>
      </c>
      <c r="P239" s="825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60"/>
      <c r="R239" s="660"/>
      <c r="S239" s="660"/>
      <c r="T239" s="66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418</v>
      </c>
      <c r="AG239" s="78"/>
      <c r="AJ239" s="84" t="s">
        <v>46</v>
      </c>
      <c r="AK239" s="84">
        <v>0</v>
      </c>
      <c r="BB239" s="321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4301052277</v>
      </c>
      <c r="D240" s="658">
        <v>4680115888982</v>
      </c>
      <c r="E240" s="658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141</v>
      </c>
      <c r="L240" s="37" t="s">
        <v>46</v>
      </c>
      <c r="M240" s="38" t="s">
        <v>93</v>
      </c>
      <c r="N240" s="38"/>
      <c r="O240" s="37">
        <v>40</v>
      </c>
      <c r="P240" s="826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60"/>
      <c r="R240" s="660"/>
      <c r="S240" s="660"/>
      <c r="T240" s="66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2" t="s">
        <v>413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8"/>
      <c r="B241" s="648"/>
      <c r="C241" s="648"/>
      <c r="D241" s="648"/>
      <c r="E241" s="648"/>
      <c r="F241" s="648"/>
      <c r="G241" s="648"/>
      <c r="H241" s="648"/>
      <c r="I241" s="648"/>
      <c r="J241" s="648"/>
      <c r="K241" s="648"/>
      <c r="L241" s="648"/>
      <c r="M241" s="648"/>
      <c r="N241" s="648"/>
      <c r="O241" s="649"/>
      <c r="P241" s="645" t="s">
        <v>40</v>
      </c>
      <c r="Q241" s="646"/>
      <c r="R241" s="646"/>
      <c r="S241" s="646"/>
      <c r="T241" s="646"/>
      <c r="U241" s="646"/>
      <c r="V241" s="647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8"/>
      <c r="B242" s="648"/>
      <c r="C242" s="648"/>
      <c r="D242" s="648"/>
      <c r="E242" s="648"/>
      <c r="F242" s="648"/>
      <c r="G242" s="648"/>
      <c r="H242" s="648"/>
      <c r="I242" s="648"/>
      <c r="J242" s="648"/>
      <c r="K242" s="648"/>
      <c r="L242" s="648"/>
      <c r="M242" s="648"/>
      <c r="N242" s="648"/>
      <c r="O242" s="649"/>
      <c r="P242" s="645" t="s">
        <v>40</v>
      </c>
      <c r="Q242" s="646"/>
      <c r="R242" s="646"/>
      <c r="S242" s="646"/>
      <c r="T242" s="646"/>
      <c r="U242" s="646"/>
      <c r="V242" s="647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7" t="s">
        <v>100</v>
      </c>
      <c r="B243" s="657"/>
      <c r="C243" s="657"/>
      <c r="D243" s="657"/>
      <c r="E243" s="657"/>
      <c r="F243" s="657"/>
      <c r="G243" s="657"/>
      <c r="H243" s="657"/>
      <c r="I243" s="657"/>
      <c r="J243" s="657"/>
      <c r="K243" s="657"/>
      <c r="L243" s="657"/>
      <c r="M243" s="657"/>
      <c r="N243" s="657"/>
      <c r="O243" s="657"/>
      <c r="P243" s="657"/>
      <c r="Q243" s="657"/>
      <c r="R243" s="657"/>
      <c r="S243" s="657"/>
      <c r="T243" s="657"/>
      <c r="U243" s="657"/>
      <c r="V243" s="657"/>
      <c r="W243" s="657"/>
      <c r="X243" s="657"/>
      <c r="Y243" s="657"/>
      <c r="Z243" s="657"/>
      <c r="AA243" s="66"/>
      <c r="AB243" s="66"/>
      <c r="AC243" s="80"/>
    </row>
    <row r="244" spans="1:68" ht="27" hidden="1" customHeight="1" x14ac:dyDescent="0.25">
      <c r="A244" s="63" t="s">
        <v>421</v>
      </c>
      <c r="B244" s="63" t="s">
        <v>422</v>
      </c>
      <c r="C244" s="36">
        <v>4301032053</v>
      </c>
      <c r="D244" s="658">
        <v>4680115886780</v>
      </c>
      <c r="E244" s="65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342</v>
      </c>
      <c r="L244" s="37" t="s">
        <v>46</v>
      </c>
      <c r="M244" s="38" t="s">
        <v>106</v>
      </c>
      <c r="N244" s="38"/>
      <c r="O244" s="37">
        <v>60</v>
      </c>
      <c r="P244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60"/>
      <c r="R244" s="660"/>
      <c r="S244" s="660"/>
      <c r="T244" s="66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4301032051</v>
      </c>
      <c r="D245" s="658">
        <v>4680115886742</v>
      </c>
      <c r="E245" s="658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342</v>
      </c>
      <c r="L245" s="37" t="s">
        <v>46</v>
      </c>
      <c r="M245" s="38" t="s">
        <v>106</v>
      </c>
      <c r="N245" s="38"/>
      <c r="O245" s="37">
        <v>90</v>
      </c>
      <c r="P245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60"/>
      <c r="R245" s="660"/>
      <c r="S245" s="660"/>
      <c r="T245" s="661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426</v>
      </c>
      <c r="AG245" s="78"/>
      <c r="AJ245" s="84" t="s">
        <v>46</v>
      </c>
      <c r="AK245" s="84">
        <v>0</v>
      </c>
      <c r="BB245" s="32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427</v>
      </c>
      <c r="B246" s="63" t="s">
        <v>428</v>
      </c>
      <c r="C246" s="36">
        <v>4301032052</v>
      </c>
      <c r="D246" s="658">
        <v>4680115886766</v>
      </c>
      <c r="E246" s="658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342</v>
      </c>
      <c r="L246" s="37" t="s">
        <v>46</v>
      </c>
      <c r="M246" s="38" t="s">
        <v>106</v>
      </c>
      <c r="N246" s="38"/>
      <c r="O246" s="37">
        <v>90</v>
      </c>
      <c r="P246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60"/>
      <c r="R246" s="660"/>
      <c r="S246" s="660"/>
      <c r="T246" s="661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28" t="s">
        <v>426</v>
      </c>
      <c r="AG246" s="78"/>
      <c r="AJ246" s="84" t="s">
        <v>46</v>
      </c>
      <c r="AK246" s="84">
        <v>0</v>
      </c>
      <c r="BB246" s="32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8"/>
      <c r="B247" s="648"/>
      <c r="C247" s="648"/>
      <c r="D247" s="648"/>
      <c r="E247" s="648"/>
      <c r="F247" s="648"/>
      <c r="G247" s="648"/>
      <c r="H247" s="648"/>
      <c r="I247" s="648"/>
      <c r="J247" s="648"/>
      <c r="K247" s="648"/>
      <c r="L247" s="648"/>
      <c r="M247" s="648"/>
      <c r="N247" s="648"/>
      <c r="O247" s="649"/>
      <c r="P247" s="645" t="s">
        <v>40</v>
      </c>
      <c r="Q247" s="646"/>
      <c r="R247" s="646"/>
      <c r="S247" s="646"/>
      <c r="T247" s="646"/>
      <c r="U247" s="646"/>
      <c r="V247" s="647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8"/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9"/>
      <c r="P248" s="645" t="s">
        <v>40</v>
      </c>
      <c r="Q248" s="646"/>
      <c r="R248" s="646"/>
      <c r="S248" s="646"/>
      <c r="T248" s="646"/>
      <c r="U248" s="646"/>
      <c r="V248" s="647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7" t="s">
        <v>429</v>
      </c>
      <c r="B249" s="657"/>
      <c r="C249" s="657"/>
      <c r="D249" s="657"/>
      <c r="E249" s="657"/>
      <c r="F249" s="657"/>
      <c r="G249" s="657"/>
      <c r="H249" s="657"/>
      <c r="I249" s="657"/>
      <c r="J249" s="657"/>
      <c r="K249" s="657"/>
      <c r="L249" s="657"/>
      <c r="M249" s="657"/>
      <c r="N249" s="657"/>
      <c r="O249" s="657"/>
      <c r="P249" s="657"/>
      <c r="Q249" s="657"/>
      <c r="R249" s="657"/>
      <c r="S249" s="657"/>
      <c r="T249" s="657"/>
      <c r="U249" s="657"/>
      <c r="V249" s="657"/>
      <c r="W249" s="657"/>
      <c r="X249" s="657"/>
      <c r="Y249" s="657"/>
      <c r="Z249" s="657"/>
      <c r="AA249" s="66"/>
      <c r="AB249" s="66"/>
      <c r="AC249" s="80"/>
    </row>
    <row r="250" spans="1:68" ht="27" hidden="1" customHeight="1" x14ac:dyDescent="0.25">
      <c r="A250" s="63" t="s">
        <v>430</v>
      </c>
      <c r="B250" s="63" t="s">
        <v>431</v>
      </c>
      <c r="C250" s="36">
        <v>4301170013</v>
      </c>
      <c r="D250" s="658">
        <v>4680115886797</v>
      </c>
      <c r="E250" s="658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342</v>
      </c>
      <c r="L250" s="37" t="s">
        <v>46</v>
      </c>
      <c r="M250" s="38" t="s">
        <v>106</v>
      </c>
      <c r="N250" s="38"/>
      <c r="O250" s="37">
        <v>90</v>
      </c>
      <c r="P250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60"/>
      <c r="R250" s="660"/>
      <c r="S250" s="660"/>
      <c r="T250" s="66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0" t="s">
        <v>426</v>
      </c>
      <c r="AG250" s="78"/>
      <c r="AJ250" s="84" t="s">
        <v>46</v>
      </c>
      <c r="AK250" s="84">
        <v>0</v>
      </c>
      <c r="BB250" s="331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8"/>
      <c r="B251" s="648"/>
      <c r="C251" s="648"/>
      <c r="D251" s="648"/>
      <c r="E251" s="648"/>
      <c r="F251" s="648"/>
      <c r="G251" s="648"/>
      <c r="H251" s="648"/>
      <c r="I251" s="648"/>
      <c r="J251" s="648"/>
      <c r="K251" s="648"/>
      <c r="L251" s="648"/>
      <c r="M251" s="648"/>
      <c r="N251" s="648"/>
      <c r="O251" s="649"/>
      <c r="P251" s="645" t="s">
        <v>40</v>
      </c>
      <c r="Q251" s="646"/>
      <c r="R251" s="646"/>
      <c r="S251" s="646"/>
      <c r="T251" s="646"/>
      <c r="U251" s="646"/>
      <c r="V251" s="647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8"/>
      <c r="B252" s="648"/>
      <c r="C252" s="648"/>
      <c r="D252" s="648"/>
      <c r="E252" s="648"/>
      <c r="F252" s="648"/>
      <c r="G252" s="648"/>
      <c r="H252" s="648"/>
      <c r="I252" s="648"/>
      <c r="J252" s="648"/>
      <c r="K252" s="648"/>
      <c r="L252" s="648"/>
      <c r="M252" s="648"/>
      <c r="N252" s="648"/>
      <c r="O252" s="649"/>
      <c r="P252" s="645" t="s">
        <v>40</v>
      </c>
      <c r="Q252" s="646"/>
      <c r="R252" s="646"/>
      <c r="S252" s="646"/>
      <c r="T252" s="646"/>
      <c r="U252" s="646"/>
      <c r="V252" s="647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64" t="s">
        <v>432</v>
      </c>
      <c r="B253" s="664"/>
      <c r="C253" s="664"/>
      <c r="D253" s="664"/>
      <c r="E253" s="664"/>
      <c r="F253" s="664"/>
      <c r="G253" s="664"/>
      <c r="H253" s="664"/>
      <c r="I253" s="664"/>
      <c r="J253" s="664"/>
      <c r="K253" s="664"/>
      <c r="L253" s="664"/>
      <c r="M253" s="664"/>
      <c r="N253" s="664"/>
      <c r="O253" s="664"/>
      <c r="P253" s="664"/>
      <c r="Q253" s="664"/>
      <c r="R253" s="664"/>
      <c r="S253" s="664"/>
      <c r="T253" s="664"/>
      <c r="U253" s="664"/>
      <c r="V253" s="664"/>
      <c r="W253" s="664"/>
      <c r="X253" s="664"/>
      <c r="Y253" s="664"/>
      <c r="Z253" s="664"/>
      <c r="AA253" s="65"/>
      <c r="AB253" s="65"/>
      <c r="AC253" s="79"/>
    </row>
    <row r="254" spans="1:68" ht="14.25" hidden="1" customHeight="1" x14ac:dyDescent="0.25">
      <c r="A254" s="657" t="s">
        <v>129</v>
      </c>
      <c r="B254" s="657"/>
      <c r="C254" s="657"/>
      <c r="D254" s="657"/>
      <c r="E254" s="657"/>
      <c r="F254" s="657"/>
      <c r="G254" s="657"/>
      <c r="H254" s="657"/>
      <c r="I254" s="657"/>
      <c r="J254" s="657"/>
      <c r="K254" s="657"/>
      <c r="L254" s="657"/>
      <c r="M254" s="657"/>
      <c r="N254" s="657"/>
      <c r="O254" s="657"/>
      <c r="P254" s="657"/>
      <c r="Q254" s="657"/>
      <c r="R254" s="657"/>
      <c r="S254" s="657"/>
      <c r="T254" s="657"/>
      <c r="U254" s="657"/>
      <c r="V254" s="657"/>
      <c r="W254" s="657"/>
      <c r="X254" s="657"/>
      <c r="Y254" s="657"/>
      <c r="Z254" s="657"/>
      <c r="AA254" s="66"/>
      <c r="AB254" s="66"/>
      <c r="AC254" s="80"/>
    </row>
    <row r="255" spans="1:68" ht="27" hidden="1" customHeight="1" x14ac:dyDescent="0.25">
      <c r="A255" s="63" t="s">
        <v>433</v>
      </c>
      <c r="B255" s="63" t="s">
        <v>434</v>
      </c>
      <c r="C255" s="36">
        <v>4301011450</v>
      </c>
      <c r="D255" s="658">
        <v>4680115881402</v>
      </c>
      <c r="E255" s="658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134</v>
      </c>
      <c r="L255" s="37" t="s">
        <v>46</v>
      </c>
      <c r="M255" s="38" t="s">
        <v>133</v>
      </c>
      <c r="N255" s="38"/>
      <c r="O255" s="37">
        <v>55</v>
      </c>
      <c r="P255" s="8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60"/>
      <c r="R255" s="660"/>
      <c r="S255" s="660"/>
      <c r="T255" s="66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436</v>
      </c>
      <c r="B256" s="63" t="s">
        <v>437</v>
      </c>
      <c r="C256" s="36">
        <v>4301011768</v>
      </c>
      <c r="D256" s="658">
        <v>4680115881396</v>
      </c>
      <c r="E256" s="658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87</v>
      </c>
      <c r="L256" s="37" t="s">
        <v>46</v>
      </c>
      <c r="M256" s="38" t="s">
        <v>133</v>
      </c>
      <c r="N256" s="38"/>
      <c r="O256" s="37">
        <v>55</v>
      </c>
      <c r="P256" s="81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60"/>
      <c r="R256" s="660"/>
      <c r="S256" s="660"/>
      <c r="T256" s="661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435</v>
      </c>
      <c r="AG256" s="78"/>
      <c r="AJ256" s="84" t="s">
        <v>46</v>
      </c>
      <c r="AK256" s="84">
        <v>0</v>
      </c>
      <c r="BB256" s="335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8"/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9"/>
      <c r="P257" s="645" t="s">
        <v>40</v>
      </c>
      <c r="Q257" s="646"/>
      <c r="R257" s="646"/>
      <c r="S257" s="646"/>
      <c r="T257" s="646"/>
      <c r="U257" s="646"/>
      <c r="V257" s="647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8"/>
      <c r="B258" s="648"/>
      <c r="C258" s="648"/>
      <c r="D258" s="648"/>
      <c r="E258" s="648"/>
      <c r="F258" s="648"/>
      <c r="G258" s="648"/>
      <c r="H258" s="648"/>
      <c r="I258" s="648"/>
      <c r="J258" s="648"/>
      <c r="K258" s="648"/>
      <c r="L258" s="648"/>
      <c r="M258" s="648"/>
      <c r="N258" s="648"/>
      <c r="O258" s="649"/>
      <c r="P258" s="645" t="s">
        <v>40</v>
      </c>
      <c r="Q258" s="646"/>
      <c r="R258" s="646"/>
      <c r="S258" s="646"/>
      <c r="T258" s="646"/>
      <c r="U258" s="646"/>
      <c r="V258" s="647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7" t="s">
        <v>165</v>
      </c>
      <c r="B259" s="657"/>
      <c r="C259" s="657"/>
      <c r="D259" s="657"/>
      <c r="E259" s="657"/>
      <c r="F259" s="657"/>
      <c r="G259" s="657"/>
      <c r="H259" s="657"/>
      <c r="I259" s="657"/>
      <c r="J259" s="657"/>
      <c r="K259" s="657"/>
      <c r="L259" s="657"/>
      <c r="M259" s="657"/>
      <c r="N259" s="657"/>
      <c r="O259" s="657"/>
      <c r="P259" s="657"/>
      <c r="Q259" s="657"/>
      <c r="R259" s="657"/>
      <c r="S259" s="657"/>
      <c r="T259" s="657"/>
      <c r="U259" s="657"/>
      <c r="V259" s="657"/>
      <c r="W259" s="657"/>
      <c r="X259" s="657"/>
      <c r="Y259" s="657"/>
      <c r="Z259" s="657"/>
      <c r="AA259" s="66"/>
      <c r="AB259" s="66"/>
      <c r="AC259" s="80"/>
    </row>
    <row r="260" spans="1:68" ht="16.5" hidden="1" customHeight="1" x14ac:dyDescent="0.25">
      <c r="A260" s="63" t="s">
        <v>438</v>
      </c>
      <c r="B260" s="63" t="s">
        <v>439</v>
      </c>
      <c r="C260" s="36">
        <v>4301020261</v>
      </c>
      <c r="D260" s="658">
        <v>4680115882935</v>
      </c>
      <c r="E260" s="658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134</v>
      </c>
      <c r="L260" s="37" t="s">
        <v>46</v>
      </c>
      <c r="M260" s="38" t="s">
        <v>133</v>
      </c>
      <c r="N260" s="38"/>
      <c r="O260" s="37">
        <v>50</v>
      </c>
      <c r="P260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60"/>
      <c r="R260" s="660"/>
      <c r="S260" s="660"/>
      <c r="T260" s="661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440</v>
      </c>
      <c r="AG260" s="78"/>
      <c r="AJ260" s="84" t="s">
        <v>46</v>
      </c>
      <c r="AK260" s="84">
        <v>0</v>
      </c>
      <c r="BB260" s="337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441</v>
      </c>
      <c r="B261" s="63" t="s">
        <v>442</v>
      </c>
      <c r="C261" s="36">
        <v>4301020220</v>
      </c>
      <c r="D261" s="658">
        <v>4680115880764</v>
      </c>
      <c r="E261" s="658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87</v>
      </c>
      <c r="L261" s="37" t="s">
        <v>46</v>
      </c>
      <c r="M261" s="38" t="s">
        <v>133</v>
      </c>
      <c r="N261" s="38"/>
      <c r="O261" s="37">
        <v>50</v>
      </c>
      <c r="P26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60"/>
      <c r="R261" s="660"/>
      <c r="S261" s="660"/>
      <c r="T261" s="661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440</v>
      </c>
      <c r="AG261" s="78"/>
      <c r="AJ261" s="84" t="s">
        <v>46</v>
      </c>
      <c r="AK261" s="84">
        <v>0</v>
      </c>
      <c r="BB261" s="339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8"/>
      <c r="B262" s="648"/>
      <c r="C262" s="648"/>
      <c r="D262" s="648"/>
      <c r="E262" s="648"/>
      <c r="F262" s="648"/>
      <c r="G262" s="648"/>
      <c r="H262" s="648"/>
      <c r="I262" s="648"/>
      <c r="J262" s="648"/>
      <c r="K262" s="648"/>
      <c r="L262" s="648"/>
      <c r="M262" s="648"/>
      <c r="N262" s="648"/>
      <c r="O262" s="649"/>
      <c r="P262" s="645" t="s">
        <v>40</v>
      </c>
      <c r="Q262" s="646"/>
      <c r="R262" s="646"/>
      <c r="S262" s="646"/>
      <c r="T262" s="646"/>
      <c r="U262" s="646"/>
      <c r="V262" s="647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8"/>
      <c r="B263" s="648"/>
      <c r="C263" s="648"/>
      <c r="D263" s="648"/>
      <c r="E263" s="648"/>
      <c r="F263" s="648"/>
      <c r="G263" s="648"/>
      <c r="H263" s="648"/>
      <c r="I263" s="648"/>
      <c r="J263" s="648"/>
      <c r="K263" s="648"/>
      <c r="L263" s="648"/>
      <c r="M263" s="648"/>
      <c r="N263" s="648"/>
      <c r="O263" s="649"/>
      <c r="P263" s="645" t="s">
        <v>40</v>
      </c>
      <c r="Q263" s="646"/>
      <c r="R263" s="646"/>
      <c r="S263" s="646"/>
      <c r="T263" s="646"/>
      <c r="U263" s="646"/>
      <c r="V263" s="647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7" t="s">
        <v>76</v>
      </c>
      <c r="B264" s="657"/>
      <c r="C264" s="657"/>
      <c r="D264" s="657"/>
      <c r="E264" s="657"/>
      <c r="F264" s="657"/>
      <c r="G264" s="657"/>
      <c r="H264" s="657"/>
      <c r="I264" s="657"/>
      <c r="J264" s="657"/>
      <c r="K264" s="657"/>
      <c r="L264" s="657"/>
      <c r="M264" s="657"/>
      <c r="N264" s="657"/>
      <c r="O264" s="657"/>
      <c r="P264" s="657"/>
      <c r="Q264" s="657"/>
      <c r="R264" s="657"/>
      <c r="S264" s="657"/>
      <c r="T264" s="657"/>
      <c r="U264" s="657"/>
      <c r="V264" s="657"/>
      <c r="W264" s="657"/>
      <c r="X264" s="657"/>
      <c r="Y264" s="657"/>
      <c r="Z264" s="657"/>
      <c r="AA264" s="66"/>
      <c r="AB264" s="66"/>
      <c r="AC264" s="80"/>
    </row>
    <row r="265" spans="1:68" ht="27" hidden="1" customHeight="1" x14ac:dyDescent="0.25">
      <c r="A265" s="63" t="s">
        <v>443</v>
      </c>
      <c r="B265" s="63" t="s">
        <v>444</v>
      </c>
      <c r="C265" s="36">
        <v>4301031224</v>
      </c>
      <c r="D265" s="658">
        <v>4680115882683</v>
      </c>
      <c r="E265" s="658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141</v>
      </c>
      <c r="L265" s="37" t="s">
        <v>46</v>
      </c>
      <c r="M265" s="38" t="s">
        <v>80</v>
      </c>
      <c r="N265" s="38"/>
      <c r="O265" s="37">
        <v>40</v>
      </c>
      <c r="P265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60"/>
      <c r="R265" s="660"/>
      <c r="S265" s="660"/>
      <c r="T265" s="661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1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66</v>
      </c>
      <c r="BM265" s="78">
        <f t="shared" ref="BM265:BM272" si="32">IFERROR(X265*I265/H265,"0")</f>
        <v>0</v>
      </c>
      <c r="BN265" s="78">
        <f t="shared" ref="BN265:BN272" si="33">IFERROR(Y265*I265/H265,"0")</f>
        <v>0</v>
      </c>
      <c r="BO265" s="78">
        <f t="shared" ref="BO265:BO272" si="34">IFERROR(1/J265*(X265/H265),"0")</f>
        <v>0</v>
      </c>
      <c r="BP265" s="78">
        <f t="shared" ref="BP265:BP272" si="35">IFERROR(1/J265*(Y265/H265),"0")</f>
        <v>0</v>
      </c>
    </row>
    <row r="266" spans="1:68" ht="27" hidden="1" customHeight="1" x14ac:dyDescent="0.25">
      <c r="A266" s="63" t="s">
        <v>446</v>
      </c>
      <c r="B266" s="63" t="s">
        <v>447</v>
      </c>
      <c r="C266" s="36">
        <v>4301031230</v>
      </c>
      <c r="D266" s="658">
        <v>4680115882690</v>
      </c>
      <c r="E266" s="658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141</v>
      </c>
      <c r="L266" s="37" t="s">
        <v>46</v>
      </c>
      <c r="M266" s="38" t="s">
        <v>80</v>
      </c>
      <c r="N266" s="38"/>
      <c r="O266" s="37">
        <v>40</v>
      </c>
      <c r="P266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60"/>
      <c r="R266" s="660"/>
      <c r="S266" s="660"/>
      <c r="T266" s="661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66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449</v>
      </c>
      <c r="B267" s="63" t="s">
        <v>450</v>
      </c>
      <c r="C267" s="36">
        <v>4301031220</v>
      </c>
      <c r="D267" s="658">
        <v>4680115882669</v>
      </c>
      <c r="E267" s="658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141</v>
      </c>
      <c r="L267" s="37" t="s">
        <v>46</v>
      </c>
      <c r="M267" s="38" t="s">
        <v>80</v>
      </c>
      <c r="N267" s="38"/>
      <c r="O267" s="37">
        <v>40</v>
      </c>
      <c r="P267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60"/>
      <c r="R267" s="660"/>
      <c r="S267" s="660"/>
      <c r="T267" s="661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66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hidden="1" customHeight="1" x14ac:dyDescent="0.25">
      <c r="A268" s="63" t="s">
        <v>452</v>
      </c>
      <c r="B268" s="63" t="s">
        <v>453</v>
      </c>
      <c r="C268" s="36">
        <v>4301031221</v>
      </c>
      <c r="D268" s="658">
        <v>4680115882676</v>
      </c>
      <c r="E268" s="658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141</v>
      </c>
      <c r="L268" s="37" t="s">
        <v>46</v>
      </c>
      <c r="M268" s="38" t="s">
        <v>80</v>
      </c>
      <c r="N268" s="38"/>
      <c r="O268" s="37">
        <v>40</v>
      </c>
      <c r="P268" s="80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60"/>
      <c r="R268" s="660"/>
      <c r="S268" s="660"/>
      <c r="T268" s="661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46" t="s">
        <v>454</v>
      </c>
      <c r="AG268" s="78"/>
      <c r="AJ268" s="84" t="s">
        <v>46</v>
      </c>
      <c r="AK268" s="84">
        <v>0</v>
      </c>
      <c r="BB268" s="347" t="s">
        <v>66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455</v>
      </c>
      <c r="B269" s="63" t="s">
        <v>456</v>
      </c>
      <c r="C269" s="36">
        <v>4301031223</v>
      </c>
      <c r="D269" s="658">
        <v>4680115884014</v>
      </c>
      <c r="E269" s="658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8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60"/>
      <c r="R269" s="660"/>
      <c r="S269" s="660"/>
      <c r="T269" s="661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66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457</v>
      </c>
      <c r="B270" s="63" t="s">
        <v>458</v>
      </c>
      <c r="C270" s="36">
        <v>4301031222</v>
      </c>
      <c r="D270" s="658">
        <v>4680115884007</v>
      </c>
      <c r="E270" s="658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80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60"/>
      <c r="R270" s="660"/>
      <c r="S270" s="660"/>
      <c r="T270" s="66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66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4301031229</v>
      </c>
      <c r="D271" s="658">
        <v>4680115884038</v>
      </c>
      <c r="E271" s="658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60"/>
      <c r="R271" s="660"/>
      <c r="S271" s="660"/>
      <c r="T271" s="66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66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t="27" hidden="1" customHeight="1" x14ac:dyDescent="0.25">
      <c r="A272" s="63" t="s">
        <v>461</v>
      </c>
      <c r="B272" s="63" t="s">
        <v>462</v>
      </c>
      <c r="C272" s="36">
        <v>4301031225</v>
      </c>
      <c r="D272" s="658">
        <v>4680115884021</v>
      </c>
      <c r="E272" s="658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60"/>
      <c r="R272" s="660"/>
      <c r="S272" s="660"/>
      <c r="T272" s="661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1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54" t="s">
        <v>454</v>
      </c>
      <c r="AG272" s="78"/>
      <c r="AJ272" s="84" t="s">
        <v>46</v>
      </c>
      <c r="AK272" s="84">
        <v>0</v>
      </c>
      <c r="BB272" s="355" t="s">
        <v>66</v>
      </c>
      <c r="BM272" s="78">
        <f t="shared" si="32"/>
        <v>0</v>
      </c>
      <c r="BN272" s="78">
        <f t="shared" si="33"/>
        <v>0</v>
      </c>
      <c r="BO272" s="78">
        <f t="shared" si="34"/>
        <v>0</v>
      </c>
      <c r="BP272" s="78">
        <f t="shared" si="35"/>
        <v>0</v>
      </c>
    </row>
    <row r="273" spans="1:68" hidden="1" x14ac:dyDescent="0.2">
      <c r="A273" s="648"/>
      <c r="B273" s="648"/>
      <c r="C273" s="648"/>
      <c r="D273" s="648"/>
      <c r="E273" s="648"/>
      <c r="F273" s="648"/>
      <c r="G273" s="648"/>
      <c r="H273" s="648"/>
      <c r="I273" s="648"/>
      <c r="J273" s="648"/>
      <c r="K273" s="648"/>
      <c r="L273" s="648"/>
      <c r="M273" s="648"/>
      <c r="N273" s="648"/>
      <c r="O273" s="649"/>
      <c r="P273" s="645" t="s">
        <v>40</v>
      </c>
      <c r="Q273" s="646"/>
      <c r="R273" s="646"/>
      <c r="S273" s="646"/>
      <c r="T273" s="646"/>
      <c r="U273" s="646"/>
      <c r="V273" s="647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648"/>
      <c r="B274" s="648"/>
      <c r="C274" s="648"/>
      <c r="D274" s="648"/>
      <c r="E274" s="648"/>
      <c r="F274" s="648"/>
      <c r="G274" s="648"/>
      <c r="H274" s="648"/>
      <c r="I274" s="648"/>
      <c r="J274" s="648"/>
      <c r="K274" s="648"/>
      <c r="L274" s="648"/>
      <c r="M274" s="648"/>
      <c r="N274" s="648"/>
      <c r="O274" s="649"/>
      <c r="P274" s="645" t="s">
        <v>40</v>
      </c>
      <c r="Q274" s="646"/>
      <c r="R274" s="646"/>
      <c r="S274" s="646"/>
      <c r="T274" s="646"/>
      <c r="U274" s="646"/>
      <c r="V274" s="647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57" t="s">
        <v>82</v>
      </c>
      <c r="B275" s="657"/>
      <c r="C275" s="657"/>
      <c r="D275" s="657"/>
      <c r="E275" s="657"/>
      <c r="F275" s="657"/>
      <c r="G275" s="657"/>
      <c r="H275" s="657"/>
      <c r="I275" s="657"/>
      <c r="J275" s="657"/>
      <c r="K275" s="657"/>
      <c r="L275" s="657"/>
      <c r="M275" s="657"/>
      <c r="N275" s="657"/>
      <c r="O275" s="657"/>
      <c r="P275" s="657"/>
      <c r="Q275" s="657"/>
      <c r="R275" s="657"/>
      <c r="S275" s="657"/>
      <c r="T275" s="657"/>
      <c r="U275" s="657"/>
      <c r="V275" s="657"/>
      <c r="W275" s="657"/>
      <c r="X275" s="657"/>
      <c r="Y275" s="657"/>
      <c r="Z275" s="657"/>
      <c r="AA275" s="66"/>
      <c r="AB275" s="66"/>
      <c r="AC275" s="80"/>
    </row>
    <row r="276" spans="1:68" ht="27" hidden="1" customHeight="1" x14ac:dyDescent="0.25">
      <c r="A276" s="63" t="s">
        <v>464</v>
      </c>
      <c r="B276" s="63" t="s">
        <v>465</v>
      </c>
      <c r="C276" s="36">
        <v>4301052272</v>
      </c>
      <c r="D276" s="658">
        <v>4680115889873</v>
      </c>
      <c r="E276" s="658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134</v>
      </c>
      <c r="L276" s="37" t="s">
        <v>46</v>
      </c>
      <c r="M276" s="38" t="s">
        <v>86</v>
      </c>
      <c r="N276" s="38"/>
      <c r="O276" s="37">
        <v>45</v>
      </c>
      <c r="P276" s="81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60"/>
      <c r="R276" s="660"/>
      <c r="S276" s="660"/>
      <c r="T276" s="661"/>
      <c r="U276" s="39" t="s">
        <v>463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105</v>
      </c>
      <c r="AC276" s="356" t="s">
        <v>466</v>
      </c>
      <c r="AG276" s="78"/>
      <c r="AJ276" s="84" t="s">
        <v>46</v>
      </c>
      <c r="AK276" s="84">
        <v>0</v>
      </c>
      <c r="BB276" s="357" t="s">
        <v>66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hidden="1" customHeight="1" x14ac:dyDescent="0.25">
      <c r="A277" s="63" t="s">
        <v>467</v>
      </c>
      <c r="B277" s="63" t="s">
        <v>468</v>
      </c>
      <c r="C277" s="36">
        <v>4301051408</v>
      </c>
      <c r="D277" s="658">
        <v>4680115881594</v>
      </c>
      <c r="E277" s="658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134</v>
      </c>
      <c r="L277" s="37" t="s">
        <v>46</v>
      </c>
      <c r="M277" s="38" t="s">
        <v>86</v>
      </c>
      <c r="N277" s="38"/>
      <c r="O277" s="37">
        <v>40</v>
      </c>
      <c r="P277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60"/>
      <c r="R277" s="660"/>
      <c r="S277" s="660"/>
      <c r="T277" s="66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469</v>
      </c>
      <c r="AG277" s="78"/>
      <c r="AJ277" s="84" t="s">
        <v>46</v>
      </c>
      <c r="AK277" s="84">
        <v>0</v>
      </c>
      <c r="BB277" s="359" t="s">
        <v>66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470</v>
      </c>
      <c r="B278" s="63" t="s">
        <v>471</v>
      </c>
      <c r="C278" s="36">
        <v>4301051411</v>
      </c>
      <c r="D278" s="658">
        <v>4680115881617</v>
      </c>
      <c r="E278" s="658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134</v>
      </c>
      <c r="L278" s="37" t="s">
        <v>46</v>
      </c>
      <c r="M278" s="38" t="s">
        <v>86</v>
      </c>
      <c r="N278" s="38"/>
      <c r="O278" s="37">
        <v>40</v>
      </c>
      <c r="P278" s="7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60"/>
      <c r="R278" s="660"/>
      <c r="S278" s="660"/>
      <c r="T278" s="661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0" t="s">
        <v>472</v>
      </c>
      <c r="AG278" s="78"/>
      <c r="AJ278" s="84" t="s">
        <v>46</v>
      </c>
      <c r="AK278" s="84">
        <v>0</v>
      </c>
      <c r="BB278" s="361" t="s">
        <v>66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473</v>
      </c>
      <c r="B279" s="63" t="s">
        <v>474</v>
      </c>
      <c r="C279" s="36">
        <v>4301051656</v>
      </c>
      <c r="D279" s="658">
        <v>4680115880573</v>
      </c>
      <c r="E279" s="658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134</v>
      </c>
      <c r="L279" s="37" t="s">
        <v>46</v>
      </c>
      <c r="M279" s="38" t="s">
        <v>86</v>
      </c>
      <c r="N279" s="38"/>
      <c r="O279" s="37">
        <v>45</v>
      </c>
      <c r="P279" s="7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60"/>
      <c r="R279" s="660"/>
      <c r="S279" s="660"/>
      <c r="T279" s="661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2" t="s">
        <v>466</v>
      </c>
      <c r="AG279" s="78"/>
      <c r="AJ279" s="84" t="s">
        <v>46</v>
      </c>
      <c r="AK279" s="84">
        <v>0</v>
      </c>
      <c r="BB279" s="363" t="s">
        <v>66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475</v>
      </c>
      <c r="B280" s="63" t="s">
        <v>476</v>
      </c>
      <c r="C280" s="36">
        <v>4301051407</v>
      </c>
      <c r="D280" s="658">
        <v>4680115882195</v>
      </c>
      <c r="E280" s="658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87</v>
      </c>
      <c r="L280" s="37" t="s">
        <v>46</v>
      </c>
      <c r="M280" s="38" t="s">
        <v>86</v>
      </c>
      <c r="N280" s="38"/>
      <c r="O280" s="37">
        <v>40</v>
      </c>
      <c r="P280" s="8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60"/>
      <c r="R280" s="660"/>
      <c r="S280" s="660"/>
      <c r="T280" s="661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469</v>
      </c>
      <c r="AG280" s="78"/>
      <c r="AJ280" s="84" t="s">
        <v>46</v>
      </c>
      <c r="AK280" s="84">
        <v>0</v>
      </c>
      <c r="BB280" s="365" t="s">
        <v>66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477</v>
      </c>
      <c r="B281" s="63" t="s">
        <v>478</v>
      </c>
      <c r="C281" s="36">
        <v>4301051752</v>
      </c>
      <c r="D281" s="658">
        <v>4680115882607</v>
      </c>
      <c r="E281" s="658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87</v>
      </c>
      <c r="L281" s="37" t="s">
        <v>46</v>
      </c>
      <c r="M281" s="38" t="s">
        <v>93</v>
      </c>
      <c r="N281" s="38"/>
      <c r="O281" s="37">
        <v>45</v>
      </c>
      <c r="P281" s="80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60"/>
      <c r="R281" s="660"/>
      <c r="S281" s="660"/>
      <c r="T281" s="66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466</v>
      </c>
      <c r="AG281" s="78"/>
      <c r="AJ281" s="84" t="s">
        <v>46</v>
      </c>
      <c r="AK281" s="84">
        <v>0</v>
      </c>
      <c r="BB281" s="367" t="s">
        <v>66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479</v>
      </c>
      <c r="B282" s="63" t="s">
        <v>480</v>
      </c>
      <c r="C282" s="36">
        <v>4301051666</v>
      </c>
      <c r="D282" s="658">
        <v>4680115880092</v>
      </c>
      <c r="E282" s="658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87</v>
      </c>
      <c r="L282" s="37" t="s">
        <v>46</v>
      </c>
      <c r="M282" s="38" t="s">
        <v>86</v>
      </c>
      <c r="N282" s="38"/>
      <c r="O282" s="37">
        <v>45</v>
      </c>
      <c r="P282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60"/>
      <c r="R282" s="660"/>
      <c r="S282" s="660"/>
      <c r="T282" s="661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466</v>
      </c>
      <c r="AG282" s="78"/>
      <c r="AJ282" s="84" t="s">
        <v>46</v>
      </c>
      <c r="AK282" s="84">
        <v>0</v>
      </c>
      <c r="BB282" s="369" t="s">
        <v>66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481</v>
      </c>
      <c r="B283" s="63" t="s">
        <v>482</v>
      </c>
      <c r="C283" s="36">
        <v>4301052214</v>
      </c>
      <c r="D283" s="658">
        <v>4680115889064</v>
      </c>
      <c r="E283" s="658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134</v>
      </c>
      <c r="L283" s="37" t="s">
        <v>46</v>
      </c>
      <c r="M283" s="38" t="s">
        <v>86</v>
      </c>
      <c r="N283" s="38"/>
      <c r="O283" s="37">
        <v>45</v>
      </c>
      <c r="P283" s="80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60"/>
      <c r="R283" s="660"/>
      <c r="S283" s="660"/>
      <c r="T283" s="661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483</v>
      </c>
      <c r="AG283" s="78"/>
      <c r="AJ283" s="84" t="s">
        <v>46</v>
      </c>
      <c r="AK283" s="84">
        <v>0</v>
      </c>
      <c r="BB283" s="371" t="s">
        <v>66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484</v>
      </c>
      <c r="B284" s="63" t="s">
        <v>485</v>
      </c>
      <c r="C284" s="36">
        <v>4301051668</v>
      </c>
      <c r="D284" s="658">
        <v>4680115880221</v>
      </c>
      <c r="E284" s="658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87</v>
      </c>
      <c r="L284" s="37" t="s">
        <v>46</v>
      </c>
      <c r="M284" s="38" t="s">
        <v>86</v>
      </c>
      <c r="N284" s="38"/>
      <c r="O284" s="37">
        <v>45</v>
      </c>
      <c r="P284" s="8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60"/>
      <c r="R284" s="660"/>
      <c r="S284" s="660"/>
      <c r="T284" s="661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466</v>
      </c>
      <c r="AG284" s="78"/>
      <c r="AJ284" s="84" t="s">
        <v>46</v>
      </c>
      <c r="AK284" s="84">
        <v>0</v>
      </c>
      <c r="BB284" s="373" t="s">
        <v>66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4301051945</v>
      </c>
      <c r="D285" s="658">
        <v>4680115880504</v>
      </c>
      <c r="E285" s="65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87</v>
      </c>
      <c r="L285" s="37" t="s">
        <v>46</v>
      </c>
      <c r="M285" s="38" t="s">
        <v>93</v>
      </c>
      <c r="N285" s="38"/>
      <c r="O285" s="37">
        <v>40</v>
      </c>
      <c r="P285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60"/>
      <c r="R285" s="660"/>
      <c r="S285" s="660"/>
      <c r="T285" s="661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66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4301051410</v>
      </c>
      <c r="D286" s="658">
        <v>4680115882164</v>
      </c>
      <c r="E286" s="658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87</v>
      </c>
      <c r="L286" s="37" t="s">
        <v>46</v>
      </c>
      <c r="M286" s="38" t="s">
        <v>86</v>
      </c>
      <c r="N286" s="38"/>
      <c r="O286" s="37">
        <v>40</v>
      </c>
      <c r="P286" s="7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60"/>
      <c r="R286" s="660"/>
      <c r="S286" s="660"/>
      <c r="T286" s="661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6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491</v>
      </c>
      <c r="AG286" s="78"/>
      <c r="AJ286" s="84" t="s">
        <v>46</v>
      </c>
      <c r="AK286" s="84">
        <v>0</v>
      </c>
      <c r="BB286" s="377" t="s">
        <v>66</v>
      </c>
      <c r="BM286" s="78">
        <f t="shared" si="37"/>
        <v>0</v>
      </c>
      <c r="BN286" s="78">
        <f t="shared" si="38"/>
        <v>0</v>
      </c>
      <c r="BO286" s="78">
        <f t="shared" si="39"/>
        <v>0</v>
      </c>
      <c r="BP286" s="78">
        <f t="shared" si="40"/>
        <v>0</v>
      </c>
    </row>
    <row r="287" spans="1:68" ht="27" hidden="1" customHeight="1" x14ac:dyDescent="0.25">
      <c r="A287" s="63" t="s">
        <v>492</v>
      </c>
      <c r="B287" s="63" t="s">
        <v>493</v>
      </c>
      <c r="C287" s="36">
        <v>4301052180</v>
      </c>
      <c r="D287" s="658">
        <v>4680115888340</v>
      </c>
      <c r="E287" s="658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87</v>
      </c>
      <c r="L287" s="37" t="s">
        <v>46</v>
      </c>
      <c r="M287" s="38" t="s">
        <v>86</v>
      </c>
      <c r="N287" s="38"/>
      <c r="O287" s="37">
        <v>45</v>
      </c>
      <c r="P287" s="79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60"/>
      <c r="R287" s="660"/>
      <c r="S287" s="660"/>
      <c r="T287" s="661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494</v>
      </c>
      <c r="AG287" s="78"/>
      <c r="AJ287" s="84" t="s">
        <v>46</v>
      </c>
      <c r="AK287" s="84">
        <v>0</v>
      </c>
      <c r="BB287" s="379" t="s">
        <v>66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hidden="1" x14ac:dyDescent="0.2">
      <c r="A288" s="648"/>
      <c r="B288" s="648"/>
      <c r="C288" s="648"/>
      <c r="D288" s="648"/>
      <c r="E288" s="648"/>
      <c r="F288" s="648"/>
      <c r="G288" s="648"/>
      <c r="H288" s="648"/>
      <c r="I288" s="648"/>
      <c r="J288" s="648"/>
      <c r="K288" s="648"/>
      <c r="L288" s="648"/>
      <c r="M288" s="648"/>
      <c r="N288" s="648"/>
      <c r="O288" s="649"/>
      <c r="P288" s="645" t="s">
        <v>40</v>
      </c>
      <c r="Q288" s="646"/>
      <c r="R288" s="646"/>
      <c r="S288" s="646"/>
      <c r="T288" s="646"/>
      <c r="U288" s="646"/>
      <c r="V288" s="647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648"/>
      <c r="B289" s="648"/>
      <c r="C289" s="648"/>
      <c r="D289" s="648"/>
      <c r="E289" s="648"/>
      <c r="F289" s="648"/>
      <c r="G289" s="648"/>
      <c r="H289" s="648"/>
      <c r="I289" s="648"/>
      <c r="J289" s="648"/>
      <c r="K289" s="648"/>
      <c r="L289" s="648"/>
      <c r="M289" s="648"/>
      <c r="N289" s="648"/>
      <c r="O289" s="649"/>
      <c r="P289" s="645" t="s">
        <v>40</v>
      </c>
      <c r="Q289" s="646"/>
      <c r="R289" s="646"/>
      <c r="S289" s="646"/>
      <c r="T289" s="646"/>
      <c r="U289" s="646"/>
      <c r="V289" s="647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57" t="s">
        <v>183</v>
      </c>
      <c r="B290" s="657"/>
      <c r="C290" s="657"/>
      <c r="D290" s="657"/>
      <c r="E290" s="657"/>
      <c r="F290" s="657"/>
      <c r="G290" s="657"/>
      <c r="H290" s="657"/>
      <c r="I290" s="657"/>
      <c r="J290" s="657"/>
      <c r="K290" s="657"/>
      <c r="L290" s="657"/>
      <c r="M290" s="657"/>
      <c r="N290" s="657"/>
      <c r="O290" s="657"/>
      <c r="P290" s="657"/>
      <c r="Q290" s="657"/>
      <c r="R290" s="657"/>
      <c r="S290" s="657"/>
      <c r="T290" s="657"/>
      <c r="U290" s="657"/>
      <c r="V290" s="657"/>
      <c r="W290" s="657"/>
      <c r="X290" s="657"/>
      <c r="Y290" s="657"/>
      <c r="Z290" s="657"/>
      <c r="AA290" s="66"/>
      <c r="AB290" s="66"/>
      <c r="AC290" s="80"/>
    </row>
    <row r="291" spans="1:68" ht="27" hidden="1" customHeight="1" x14ac:dyDescent="0.25">
      <c r="A291" s="63" t="s">
        <v>495</v>
      </c>
      <c r="B291" s="63" t="s">
        <v>496</v>
      </c>
      <c r="C291" s="36">
        <v>4301060463</v>
      </c>
      <c r="D291" s="658">
        <v>4680115880818</v>
      </c>
      <c r="E291" s="658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87</v>
      </c>
      <c r="L291" s="37" t="s">
        <v>46</v>
      </c>
      <c r="M291" s="38" t="s">
        <v>93</v>
      </c>
      <c r="N291" s="38"/>
      <c r="O291" s="37">
        <v>40</v>
      </c>
      <c r="P291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60"/>
      <c r="R291" s="660"/>
      <c r="S291" s="660"/>
      <c r="T291" s="661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0" t="s">
        <v>497</v>
      </c>
      <c r="AG291" s="78"/>
      <c r="AJ291" s="84" t="s">
        <v>46</v>
      </c>
      <c r="AK291" s="84">
        <v>0</v>
      </c>
      <c r="BB291" s="38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498</v>
      </c>
      <c r="B292" s="63" t="s">
        <v>499</v>
      </c>
      <c r="C292" s="36">
        <v>4301060389</v>
      </c>
      <c r="D292" s="658">
        <v>4680115880801</v>
      </c>
      <c r="E292" s="658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87</v>
      </c>
      <c r="L292" s="37" t="s">
        <v>46</v>
      </c>
      <c r="M292" s="38" t="s">
        <v>86</v>
      </c>
      <c r="N292" s="38"/>
      <c r="O292" s="37">
        <v>40</v>
      </c>
      <c r="P292" s="7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60"/>
      <c r="R292" s="660"/>
      <c r="S292" s="660"/>
      <c r="T292" s="661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2" t="s">
        <v>500</v>
      </c>
      <c r="AG292" s="78"/>
      <c r="AJ292" s="84" t="s">
        <v>46</v>
      </c>
      <c r="AK292" s="84">
        <v>0</v>
      </c>
      <c r="BB292" s="38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8"/>
      <c r="B293" s="648"/>
      <c r="C293" s="648"/>
      <c r="D293" s="648"/>
      <c r="E293" s="648"/>
      <c r="F293" s="648"/>
      <c r="G293" s="648"/>
      <c r="H293" s="648"/>
      <c r="I293" s="648"/>
      <c r="J293" s="648"/>
      <c r="K293" s="648"/>
      <c r="L293" s="648"/>
      <c r="M293" s="648"/>
      <c r="N293" s="648"/>
      <c r="O293" s="649"/>
      <c r="P293" s="645" t="s">
        <v>40</v>
      </c>
      <c r="Q293" s="646"/>
      <c r="R293" s="646"/>
      <c r="S293" s="646"/>
      <c r="T293" s="646"/>
      <c r="U293" s="646"/>
      <c r="V293" s="647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8"/>
      <c r="B294" s="648"/>
      <c r="C294" s="648"/>
      <c r="D294" s="648"/>
      <c r="E294" s="648"/>
      <c r="F294" s="648"/>
      <c r="G294" s="648"/>
      <c r="H294" s="648"/>
      <c r="I294" s="648"/>
      <c r="J294" s="648"/>
      <c r="K294" s="648"/>
      <c r="L294" s="648"/>
      <c r="M294" s="648"/>
      <c r="N294" s="648"/>
      <c r="O294" s="649"/>
      <c r="P294" s="645" t="s">
        <v>40</v>
      </c>
      <c r="Q294" s="646"/>
      <c r="R294" s="646"/>
      <c r="S294" s="646"/>
      <c r="T294" s="646"/>
      <c r="U294" s="646"/>
      <c r="V294" s="647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64" t="s">
        <v>501</v>
      </c>
      <c r="B295" s="664"/>
      <c r="C295" s="664"/>
      <c r="D295" s="664"/>
      <c r="E295" s="664"/>
      <c r="F295" s="664"/>
      <c r="G295" s="664"/>
      <c r="H295" s="664"/>
      <c r="I295" s="664"/>
      <c r="J295" s="664"/>
      <c r="K295" s="664"/>
      <c r="L295" s="664"/>
      <c r="M295" s="664"/>
      <c r="N295" s="664"/>
      <c r="O295" s="664"/>
      <c r="P295" s="664"/>
      <c r="Q295" s="664"/>
      <c r="R295" s="664"/>
      <c r="S295" s="664"/>
      <c r="T295" s="664"/>
      <c r="U295" s="664"/>
      <c r="V295" s="664"/>
      <c r="W295" s="664"/>
      <c r="X295" s="664"/>
      <c r="Y295" s="664"/>
      <c r="Z295" s="664"/>
      <c r="AA295" s="65"/>
      <c r="AB295" s="65"/>
      <c r="AC295" s="79"/>
    </row>
    <row r="296" spans="1:68" ht="14.25" hidden="1" customHeight="1" x14ac:dyDescent="0.25">
      <c r="A296" s="657" t="s">
        <v>129</v>
      </c>
      <c r="B296" s="657"/>
      <c r="C296" s="657"/>
      <c r="D296" s="657"/>
      <c r="E296" s="657"/>
      <c r="F296" s="657"/>
      <c r="G296" s="657"/>
      <c r="H296" s="657"/>
      <c r="I296" s="657"/>
      <c r="J296" s="657"/>
      <c r="K296" s="657"/>
      <c r="L296" s="657"/>
      <c r="M296" s="657"/>
      <c r="N296" s="657"/>
      <c r="O296" s="657"/>
      <c r="P296" s="657"/>
      <c r="Q296" s="657"/>
      <c r="R296" s="657"/>
      <c r="S296" s="657"/>
      <c r="T296" s="657"/>
      <c r="U296" s="657"/>
      <c r="V296" s="657"/>
      <c r="W296" s="657"/>
      <c r="X296" s="657"/>
      <c r="Y296" s="657"/>
      <c r="Z296" s="657"/>
      <c r="AA296" s="66"/>
      <c r="AB296" s="66"/>
      <c r="AC296" s="80"/>
    </row>
    <row r="297" spans="1:68" ht="27" hidden="1" customHeight="1" x14ac:dyDescent="0.25">
      <c r="A297" s="63" t="s">
        <v>502</v>
      </c>
      <c r="B297" s="63" t="s">
        <v>503</v>
      </c>
      <c r="C297" s="36">
        <v>4301011826</v>
      </c>
      <c r="D297" s="658">
        <v>4680115884137</v>
      </c>
      <c r="E297" s="658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134</v>
      </c>
      <c r="L297" s="37" t="s">
        <v>46</v>
      </c>
      <c r="M297" s="38" t="s">
        <v>133</v>
      </c>
      <c r="N297" s="38"/>
      <c r="O297" s="37">
        <v>55</v>
      </c>
      <c r="P297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60"/>
      <c r="R297" s="660"/>
      <c r="S297" s="660"/>
      <c r="T297" s="66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504</v>
      </c>
      <c r="AG297" s="78"/>
      <c r="AJ297" s="84" t="s">
        <v>46</v>
      </c>
      <c r="AK297" s="84">
        <v>0</v>
      </c>
      <c r="BB297" s="385" t="s">
        <v>66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hidden="1" customHeight="1" x14ac:dyDescent="0.25">
      <c r="A298" s="63" t="s">
        <v>505</v>
      </c>
      <c r="B298" s="63" t="s">
        <v>506</v>
      </c>
      <c r="C298" s="36">
        <v>4301011724</v>
      </c>
      <c r="D298" s="658">
        <v>4680115884236</v>
      </c>
      <c r="E298" s="658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134</v>
      </c>
      <c r="L298" s="37" t="s">
        <v>46</v>
      </c>
      <c r="M298" s="38" t="s">
        <v>133</v>
      </c>
      <c r="N298" s="38"/>
      <c r="O298" s="37">
        <v>55</v>
      </c>
      <c r="P298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60"/>
      <c r="R298" s="660"/>
      <c r="S298" s="660"/>
      <c r="T298" s="661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507</v>
      </c>
      <c r="AG298" s="78"/>
      <c r="AJ298" s="84" t="s">
        <v>46</v>
      </c>
      <c r="AK298" s="84">
        <v>0</v>
      </c>
      <c r="BB298" s="387" t="s">
        <v>66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508</v>
      </c>
      <c r="B299" s="63" t="s">
        <v>509</v>
      </c>
      <c r="C299" s="36">
        <v>4301011721</v>
      </c>
      <c r="D299" s="658">
        <v>4680115884175</v>
      </c>
      <c r="E299" s="658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134</v>
      </c>
      <c r="L299" s="37" t="s">
        <v>46</v>
      </c>
      <c r="M299" s="38" t="s">
        <v>133</v>
      </c>
      <c r="N299" s="38"/>
      <c r="O299" s="37">
        <v>55</v>
      </c>
      <c r="P299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60"/>
      <c r="R299" s="660"/>
      <c r="S299" s="660"/>
      <c r="T299" s="661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88" t="s">
        <v>365</v>
      </c>
      <c r="AG299" s="78"/>
      <c r="AJ299" s="84" t="s">
        <v>46</v>
      </c>
      <c r="AK299" s="84">
        <v>0</v>
      </c>
      <c r="BB299" s="389" t="s">
        <v>66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510</v>
      </c>
      <c r="B300" s="63" t="s">
        <v>511</v>
      </c>
      <c r="C300" s="36">
        <v>4301011824</v>
      </c>
      <c r="D300" s="658">
        <v>4680115884144</v>
      </c>
      <c r="E300" s="658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141</v>
      </c>
      <c r="L300" s="37" t="s">
        <v>46</v>
      </c>
      <c r="M300" s="38" t="s">
        <v>133</v>
      </c>
      <c r="N300" s="38"/>
      <c r="O300" s="37">
        <v>55</v>
      </c>
      <c r="P300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60"/>
      <c r="R300" s="660"/>
      <c r="S300" s="660"/>
      <c r="T300" s="661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0" t="s">
        <v>504</v>
      </c>
      <c r="AG300" s="78"/>
      <c r="AJ300" s="84" t="s">
        <v>46</v>
      </c>
      <c r="AK300" s="84">
        <v>0</v>
      </c>
      <c r="BB300" s="391" t="s">
        <v>66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4301012149</v>
      </c>
      <c r="D301" s="658">
        <v>4680115886551</v>
      </c>
      <c r="E301" s="658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141</v>
      </c>
      <c r="L301" s="37" t="s">
        <v>46</v>
      </c>
      <c r="M301" s="38" t="s">
        <v>133</v>
      </c>
      <c r="N301" s="38"/>
      <c r="O301" s="37">
        <v>55</v>
      </c>
      <c r="P301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60"/>
      <c r="R301" s="660"/>
      <c r="S301" s="660"/>
      <c r="T301" s="661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66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hidden="1" customHeight="1" x14ac:dyDescent="0.25">
      <c r="A302" s="63" t="s">
        <v>515</v>
      </c>
      <c r="B302" s="63" t="s">
        <v>516</v>
      </c>
      <c r="C302" s="36">
        <v>4301012228</v>
      </c>
      <c r="D302" s="658">
        <v>4680115887282</v>
      </c>
      <c r="E302" s="658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87</v>
      </c>
      <c r="L302" s="37" t="s">
        <v>46</v>
      </c>
      <c r="M302" s="38" t="s">
        <v>133</v>
      </c>
      <c r="N302" s="38"/>
      <c r="O302" s="37">
        <v>55</v>
      </c>
      <c r="P302" s="79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60"/>
      <c r="R302" s="660"/>
      <c r="S302" s="660"/>
      <c r="T302" s="661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517</v>
      </c>
      <c r="AG302" s="78"/>
      <c r="AJ302" s="84" t="s">
        <v>46</v>
      </c>
      <c r="AK302" s="84">
        <v>0</v>
      </c>
      <c r="BB302" s="395" t="s">
        <v>66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hidden="1" customHeight="1" x14ac:dyDescent="0.25">
      <c r="A303" s="63" t="s">
        <v>518</v>
      </c>
      <c r="B303" s="63" t="s">
        <v>519</v>
      </c>
      <c r="C303" s="36">
        <v>4301011722</v>
      </c>
      <c r="D303" s="658">
        <v>4680115884205</v>
      </c>
      <c r="E303" s="658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141</v>
      </c>
      <c r="L303" s="37" t="s">
        <v>46</v>
      </c>
      <c r="M303" s="38" t="s">
        <v>133</v>
      </c>
      <c r="N303" s="38"/>
      <c r="O303" s="37">
        <v>55</v>
      </c>
      <c r="P303" s="79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60"/>
      <c r="R303" s="660"/>
      <c r="S303" s="660"/>
      <c r="T303" s="661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1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396" t="s">
        <v>365</v>
      </c>
      <c r="AG303" s="78"/>
      <c r="AJ303" s="84" t="s">
        <v>46</v>
      </c>
      <c r="AK303" s="84">
        <v>0</v>
      </c>
      <c r="BB303" s="397" t="s">
        <v>66</v>
      </c>
      <c r="BM303" s="78">
        <f t="shared" si="42"/>
        <v>0</v>
      </c>
      <c r="BN303" s="78">
        <f t="shared" si="43"/>
        <v>0</v>
      </c>
      <c r="BO303" s="78">
        <f t="shared" si="44"/>
        <v>0</v>
      </c>
      <c r="BP303" s="78">
        <f t="shared" si="45"/>
        <v>0</v>
      </c>
    </row>
    <row r="304" spans="1:68" hidden="1" x14ac:dyDescent="0.2">
      <c r="A304" s="648"/>
      <c r="B304" s="648"/>
      <c r="C304" s="648"/>
      <c r="D304" s="648"/>
      <c r="E304" s="648"/>
      <c r="F304" s="648"/>
      <c r="G304" s="648"/>
      <c r="H304" s="648"/>
      <c r="I304" s="648"/>
      <c r="J304" s="648"/>
      <c r="K304" s="648"/>
      <c r="L304" s="648"/>
      <c r="M304" s="648"/>
      <c r="N304" s="648"/>
      <c r="O304" s="649"/>
      <c r="P304" s="645" t="s">
        <v>40</v>
      </c>
      <c r="Q304" s="646"/>
      <c r="R304" s="646"/>
      <c r="S304" s="646"/>
      <c r="T304" s="646"/>
      <c r="U304" s="646"/>
      <c r="V304" s="647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8"/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9"/>
      <c r="P305" s="645" t="s">
        <v>40</v>
      </c>
      <c r="Q305" s="646"/>
      <c r="R305" s="646"/>
      <c r="S305" s="646"/>
      <c r="T305" s="646"/>
      <c r="U305" s="646"/>
      <c r="V305" s="647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7" t="s">
        <v>165</v>
      </c>
      <c r="B306" s="657"/>
      <c r="C306" s="657"/>
      <c r="D306" s="657"/>
      <c r="E306" s="657"/>
      <c r="F306" s="657"/>
      <c r="G306" s="657"/>
      <c r="H306" s="657"/>
      <c r="I306" s="657"/>
      <c r="J306" s="657"/>
      <c r="K306" s="657"/>
      <c r="L306" s="657"/>
      <c r="M306" s="657"/>
      <c r="N306" s="657"/>
      <c r="O306" s="657"/>
      <c r="P306" s="657"/>
      <c r="Q306" s="657"/>
      <c r="R306" s="657"/>
      <c r="S306" s="657"/>
      <c r="T306" s="657"/>
      <c r="U306" s="657"/>
      <c r="V306" s="657"/>
      <c r="W306" s="657"/>
      <c r="X306" s="657"/>
      <c r="Y306" s="657"/>
      <c r="Z306" s="657"/>
      <c r="AA306" s="66"/>
      <c r="AB306" s="66"/>
      <c r="AC306" s="80"/>
    </row>
    <row r="307" spans="1:68" ht="27" hidden="1" customHeight="1" x14ac:dyDescent="0.25">
      <c r="A307" s="63" t="s">
        <v>520</v>
      </c>
      <c r="B307" s="63" t="s">
        <v>521</v>
      </c>
      <c r="C307" s="36">
        <v>4301020377</v>
      </c>
      <c r="D307" s="658">
        <v>4680115885981</v>
      </c>
      <c r="E307" s="658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86</v>
      </c>
      <c r="N307" s="38"/>
      <c r="O307" s="37">
        <v>50</v>
      </c>
      <c r="P307" s="7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60"/>
      <c r="R307" s="660"/>
      <c r="S307" s="660"/>
      <c r="T307" s="661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398" t="s">
        <v>522</v>
      </c>
      <c r="AG307" s="78"/>
      <c r="AJ307" s="84" t="s">
        <v>46</v>
      </c>
      <c r="AK307" s="84">
        <v>0</v>
      </c>
      <c r="BB307" s="399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8"/>
      <c r="B308" s="648"/>
      <c r="C308" s="648"/>
      <c r="D308" s="648"/>
      <c r="E308" s="648"/>
      <c r="F308" s="648"/>
      <c r="G308" s="648"/>
      <c r="H308" s="648"/>
      <c r="I308" s="648"/>
      <c r="J308" s="648"/>
      <c r="K308" s="648"/>
      <c r="L308" s="648"/>
      <c r="M308" s="648"/>
      <c r="N308" s="648"/>
      <c r="O308" s="649"/>
      <c r="P308" s="645" t="s">
        <v>40</v>
      </c>
      <c r="Q308" s="646"/>
      <c r="R308" s="646"/>
      <c r="S308" s="646"/>
      <c r="T308" s="646"/>
      <c r="U308" s="646"/>
      <c r="V308" s="647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8"/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9"/>
      <c r="P309" s="645" t="s">
        <v>40</v>
      </c>
      <c r="Q309" s="646"/>
      <c r="R309" s="646"/>
      <c r="S309" s="646"/>
      <c r="T309" s="646"/>
      <c r="U309" s="646"/>
      <c r="V309" s="647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7" t="s">
        <v>523</v>
      </c>
      <c r="B310" s="657"/>
      <c r="C310" s="657"/>
      <c r="D310" s="657"/>
      <c r="E310" s="657"/>
      <c r="F310" s="657"/>
      <c r="G310" s="657"/>
      <c r="H310" s="657"/>
      <c r="I310" s="657"/>
      <c r="J310" s="657"/>
      <c r="K310" s="657"/>
      <c r="L310" s="657"/>
      <c r="M310" s="657"/>
      <c r="N310" s="657"/>
      <c r="O310" s="657"/>
      <c r="P310" s="657"/>
      <c r="Q310" s="657"/>
      <c r="R310" s="657"/>
      <c r="S310" s="657"/>
      <c r="T310" s="657"/>
      <c r="U310" s="657"/>
      <c r="V310" s="657"/>
      <c r="W310" s="657"/>
      <c r="X310" s="657"/>
      <c r="Y310" s="657"/>
      <c r="Z310" s="657"/>
      <c r="AA310" s="66"/>
      <c r="AB310" s="66"/>
      <c r="AC310" s="80"/>
    </row>
    <row r="311" spans="1:68" ht="27" hidden="1" customHeight="1" x14ac:dyDescent="0.25">
      <c r="A311" s="63" t="s">
        <v>524</v>
      </c>
      <c r="B311" s="63" t="s">
        <v>525</v>
      </c>
      <c r="C311" s="36">
        <v>4301040362</v>
      </c>
      <c r="D311" s="658">
        <v>4680115886803</v>
      </c>
      <c r="E311" s="658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342</v>
      </c>
      <c r="L311" s="37" t="s">
        <v>46</v>
      </c>
      <c r="M311" s="38" t="s">
        <v>106</v>
      </c>
      <c r="N311" s="38"/>
      <c r="O311" s="37">
        <v>45</v>
      </c>
      <c r="P311" s="7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60"/>
      <c r="R311" s="660"/>
      <c r="S311" s="660"/>
      <c r="T311" s="66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526</v>
      </c>
      <c r="AG311" s="78"/>
      <c r="AJ311" s="84" t="s">
        <v>46</v>
      </c>
      <c r="AK311" s="84">
        <v>0</v>
      </c>
      <c r="BB311" s="40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8"/>
      <c r="B312" s="648"/>
      <c r="C312" s="648"/>
      <c r="D312" s="648"/>
      <c r="E312" s="648"/>
      <c r="F312" s="648"/>
      <c r="G312" s="648"/>
      <c r="H312" s="648"/>
      <c r="I312" s="648"/>
      <c r="J312" s="648"/>
      <c r="K312" s="648"/>
      <c r="L312" s="648"/>
      <c r="M312" s="648"/>
      <c r="N312" s="648"/>
      <c r="O312" s="649"/>
      <c r="P312" s="645" t="s">
        <v>40</v>
      </c>
      <c r="Q312" s="646"/>
      <c r="R312" s="646"/>
      <c r="S312" s="646"/>
      <c r="T312" s="646"/>
      <c r="U312" s="646"/>
      <c r="V312" s="647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8"/>
      <c r="B313" s="648"/>
      <c r="C313" s="648"/>
      <c r="D313" s="648"/>
      <c r="E313" s="648"/>
      <c r="F313" s="648"/>
      <c r="G313" s="648"/>
      <c r="H313" s="648"/>
      <c r="I313" s="648"/>
      <c r="J313" s="648"/>
      <c r="K313" s="648"/>
      <c r="L313" s="648"/>
      <c r="M313" s="648"/>
      <c r="N313" s="648"/>
      <c r="O313" s="649"/>
      <c r="P313" s="645" t="s">
        <v>40</v>
      </c>
      <c r="Q313" s="646"/>
      <c r="R313" s="646"/>
      <c r="S313" s="646"/>
      <c r="T313" s="646"/>
      <c r="U313" s="646"/>
      <c r="V313" s="647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7" t="s">
        <v>343</v>
      </c>
      <c r="B314" s="657"/>
      <c r="C314" s="657"/>
      <c r="D314" s="657"/>
      <c r="E314" s="657"/>
      <c r="F314" s="657"/>
      <c r="G314" s="657"/>
      <c r="H314" s="657"/>
      <c r="I314" s="657"/>
      <c r="J314" s="657"/>
      <c r="K314" s="657"/>
      <c r="L314" s="657"/>
      <c r="M314" s="657"/>
      <c r="N314" s="657"/>
      <c r="O314" s="657"/>
      <c r="P314" s="657"/>
      <c r="Q314" s="657"/>
      <c r="R314" s="657"/>
      <c r="S314" s="657"/>
      <c r="T314" s="657"/>
      <c r="U314" s="657"/>
      <c r="V314" s="657"/>
      <c r="W314" s="657"/>
      <c r="X314" s="657"/>
      <c r="Y314" s="657"/>
      <c r="Z314" s="657"/>
      <c r="AA314" s="66"/>
      <c r="AB314" s="66"/>
      <c r="AC314" s="80"/>
    </row>
    <row r="315" spans="1:68" ht="27" hidden="1" customHeight="1" x14ac:dyDescent="0.25">
      <c r="A315" s="63" t="s">
        <v>527</v>
      </c>
      <c r="B315" s="63" t="s">
        <v>528</v>
      </c>
      <c r="C315" s="36">
        <v>4301041008</v>
      </c>
      <c r="D315" s="658">
        <v>4680115886681</v>
      </c>
      <c r="E315" s="658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342</v>
      </c>
      <c r="L315" s="37" t="s">
        <v>46</v>
      </c>
      <c r="M315" s="38" t="s">
        <v>106</v>
      </c>
      <c r="N315" s="38"/>
      <c r="O315" s="37">
        <v>90</v>
      </c>
      <c r="P315" s="7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60"/>
      <c r="R315" s="660"/>
      <c r="S315" s="660"/>
      <c r="T315" s="661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529</v>
      </c>
      <c r="AG315" s="78"/>
      <c r="AJ315" s="84" t="s">
        <v>46</v>
      </c>
      <c r="AK315" s="84">
        <v>0</v>
      </c>
      <c r="BB315" s="40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530</v>
      </c>
      <c r="B316" s="63" t="s">
        <v>531</v>
      </c>
      <c r="C316" s="36">
        <v>4301041007</v>
      </c>
      <c r="D316" s="658">
        <v>4680115886735</v>
      </c>
      <c r="E316" s="658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342</v>
      </c>
      <c r="L316" s="37" t="s">
        <v>46</v>
      </c>
      <c r="M316" s="38" t="s">
        <v>106</v>
      </c>
      <c r="N316" s="38"/>
      <c r="O316" s="37">
        <v>90</v>
      </c>
      <c r="P316" s="7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60"/>
      <c r="R316" s="660"/>
      <c r="S316" s="660"/>
      <c r="T316" s="661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529</v>
      </c>
      <c r="AG316" s="78"/>
      <c r="AJ316" s="84" t="s">
        <v>46</v>
      </c>
      <c r="AK316" s="84">
        <v>0</v>
      </c>
      <c r="BB316" s="40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532</v>
      </c>
      <c r="B317" s="63" t="s">
        <v>533</v>
      </c>
      <c r="C317" s="36">
        <v>4301041006</v>
      </c>
      <c r="D317" s="658">
        <v>4680115886728</v>
      </c>
      <c r="E317" s="658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342</v>
      </c>
      <c r="L317" s="37" t="s">
        <v>46</v>
      </c>
      <c r="M317" s="38" t="s">
        <v>106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60"/>
      <c r="R317" s="660"/>
      <c r="S317" s="660"/>
      <c r="T317" s="661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529</v>
      </c>
      <c r="AG317" s="78"/>
      <c r="AJ317" s="84" t="s">
        <v>46</v>
      </c>
      <c r="AK317" s="84">
        <v>0</v>
      </c>
      <c r="BB317" s="40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534</v>
      </c>
      <c r="B318" s="63" t="s">
        <v>535</v>
      </c>
      <c r="C318" s="36">
        <v>4301041005</v>
      </c>
      <c r="D318" s="658">
        <v>4680115886711</v>
      </c>
      <c r="E318" s="658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342</v>
      </c>
      <c r="L318" s="37" t="s">
        <v>46</v>
      </c>
      <c r="M318" s="38" t="s">
        <v>106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60"/>
      <c r="R318" s="660"/>
      <c r="S318" s="660"/>
      <c r="T318" s="661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529</v>
      </c>
      <c r="AG318" s="78"/>
      <c r="AJ318" s="84" t="s">
        <v>46</v>
      </c>
      <c r="AK318" s="84">
        <v>0</v>
      </c>
      <c r="BB318" s="409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48"/>
      <c r="B319" s="648"/>
      <c r="C319" s="648"/>
      <c r="D319" s="648"/>
      <c r="E319" s="648"/>
      <c r="F319" s="648"/>
      <c r="G319" s="648"/>
      <c r="H319" s="648"/>
      <c r="I319" s="648"/>
      <c r="J319" s="648"/>
      <c r="K319" s="648"/>
      <c r="L319" s="648"/>
      <c r="M319" s="648"/>
      <c r="N319" s="648"/>
      <c r="O319" s="649"/>
      <c r="P319" s="645" t="s">
        <v>40</v>
      </c>
      <c r="Q319" s="646"/>
      <c r="R319" s="646"/>
      <c r="S319" s="646"/>
      <c r="T319" s="646"/>
      <c r="U319" s="646"/>
      <c r="V319" s="647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648"/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49"/>
      <c r="P320" s="645" t="s">
        <v>40</v>
      </c>
      <c r="Q320" s="646"/>
      <c r="R320" s="646"/>
      <c r="S320" s="646"/>
      <c r="T320" s="646"/>
      <c r="U320" s="646"/>
      <c r="V320" s="647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6.5" hidden="1" customHeight="1" x14ac:dyDescent="0.25">
      <c r="A321" s="664" t="s">
        <v>536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5"/>
      <c r="AB321" s="65"/>
      <c r="AC321" s="79"/>
    </row>
    <row r="322" spans="1:68" ht="14.25" hidden="1" customHeight="1" x14ac:dyDescent="0.25">
      <c r="A322" s="657" t="s">
        <v>129</v>
      </c>
      <c r="B322" s="657"/>
      <c r="C322" s="657"/>
      <c r="D322" s="657"/>
      <c r="E322" s="657"/>
      <c r="F322" s="657"/>
      <c r="G322" s="657"/>
      <c r="H322" s="657"/>
      <c r="I322" s="657"/>
      <c r="J322" s="657"/>
      <c r="K322" s="657"/>
      <c r="L322" s="657"/>
      <c r="M322" s="657"/>
      <c r="N322" s="657"/>
      <c r="O322" s="657"/>
      <c r="P322" s="657"/>
      <c r="Q322" s="657"/>
      <c r="R322" s="657"/>
      <c r="S322" s="657"/>
      <c r="T322" s="657"/>
      <c r="U322" s="657"/>
      <c r="V322" s="657"/>
      <c r="W322" s="657"/>
      <c r="X322" s="657"/>
      <c r="Y322" s="657"/>
      <c r="Z322" s="657"/>
      <c r="AA322" s="66"/>
      <c r="AB322" s="66"/>
      <c r="AC322" s="80"/>
    </row>
    <row r="323" spans="1:68" ht="27" hidden="1" customHeight="1" x14ac:dyDescent="0.25">
      <c r="A323" s="63" t="s">
        <v>537</v>
      </c>
      <c r="B323" s="63" t="s">
        <v>538</v>
      </c>
      <c r="C323" s="36">
        <v>4301011855</v>
      </c>
      <c r="D323" s="658">
        <v>4680115885837</v>
      </c>
      <c r="E323" s="658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134</v>
      </c>
      <c r="L323" s="37" t="s">
        <v>46</v>
      </c>
      <c r="M323" s="38" t="s">
        <v>133</v>
      </c>
      <c r="N323" s="38"/>
      <c r="O323" s="37">
        <v>55</v>
      </c>
      <c r="P323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60"/>
      <c r="R323" s="660"/>
      <c r="S323" s="660"/>
      <c r="T323" s="661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66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hidden="1" customHeight="1" x14ac:dyDescent="0.25">
      <c r="A324" s="63" t="s">
        <v>540</v>
      </c>
      <c r="B324" s="63" t="s">
        <v>541</v>
      </c>
      <c r="C324" s="36">
        <v>4301012212</v>
      </c>
      <c r="D324" s="658">
        <v>4680115887077</v>
      </c>
      <c r="E324" s="658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134</v>
      </c>
      <c r="L324" s="37" t="s">
        <v>46</v>
      </c>
      <c r="M324" s="38" t="s">
        <v>133</v>
      </c>
      <c r="N324" s="38"/>
      <c r="O324" s="37">
        <v>55</v>
      </c>
      <c r="P324" s="77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60"/>
      <c r="R324" s="660"/>
      <c r="S324" s="660"/>
      <c r="T324" s="661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66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543</v>
      </c>
      <c r="B325" s="63" t="s">
        <v>544</v>
      </c>
      <c r="C325" s="36">
        <v>4301012390</v>
      </c>
      <c r="D325" s="658">
        <v>4680115889637</v>
      </c>
      <c r="E325" s="658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134</v>
      </c>
      <c r="L325" s="37" t="s">
        <v>46</v>
      </c>
      <c r="M325" s="38" t="s">
        <v>133</v>
      </c>
      <c r="N325" s="38"/>
      <c r="O325" s="37">
        <v>55</v>
      </c>
      <c r="P325" s="78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60"/>
      <c r="R325" s="660"/>
      <c r="S325" s="660"/>
      <c r="T325" s="661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66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hidden="1" customHeight="1" x14ac:dyDescent="0.25">
      <c r="A326" s="63" t="s">
        <v>546</v>
      </c>
      <c r="B326" s="63" t="s">
        <v>547</v>
      </c>
      <c r="C326" s="36">
        <v>4301012234</v>
      </c>
      <c r="D326" s="658">
        <v>4680115887237</v>
      </c>
      <c r="E326" s="658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134</v>
      </c>
      <c r="L326" s="37" t="s">
        <v>46</v>
      </c>
      <c r="M326" s="38" t="s">
        <v>133</v>
      </c>
      <c r="N326" s="38"/>
      <c r="O326" s="37">
        <v>55</v>
      </c>
      <c r="P326" s="7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60"/>
      <c r="R326" s="660"/>
      <c r="S326" s="660"/>
      <c r="T326" s="661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66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hidden="1" customHeight="1" x14ac:dyDescent="0.25">
      <c r="A327" s="63" t="s">
        <v>549</v>
      </c>
      <c r="B327" s="63" t="s">
        <v>550</v>
      </c>
      <c r="C327" s="36">
        <v>4301011850</v>
      </c>
      <c r="D327" s="658">
        <v>4680115885806</v>
      </c>
      <c r="E327" s="658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134</v>
      </c>
      <c r="L327" s="37" t="s">
        <v>46</v>
      </c>
      <c r="M327" s="38" t="s">
        <v>133</v>
      </c>
      <c r="N327" s="38"/>
      <c r="O327" s="37">
        <v>55</v>
      </c>
      <c r="P327" s="77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60"/>
      <c r="R327" s="660"/>
      <c r="S327" s="660"/>
      <c r="T327" s="661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66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t="27" hidden="1" customHeight="1" x14ac:dyDescent="0.25">
      <c r="A328" s="63" t="s">
        <v>552</v>
      </c>
      <c r="B328" s="63" t="s">
        <v>553</v>
      </c>
      <c r="C328" s="36">
        <v>4301011852</v>
      </c>
      <c r="D328" s="658">
        <v>4680115885844</v>
      </c>
      <c r="E328" s="658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141</v>
      </c>
      <c r="L328" s="37" t="s">
        <v>46</v>
      </c>
      <c r="M328" s="38" t="s">
        <v>133</v>
      </c>
      <c r="N328" s="38"/>
      <c r="O328" s="37">
        <v>55</v>
      </c>
      <c r="P328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60"/>
      <c r="R328" s="660"/>
      <c r="S328" s="660"/>
      <c r="T328" s="661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554</v>
      </c>
      <c r="AG328" s="78"/>
      <c r="AJ328" s="84" t="s">
        <v>46</v>
      </c>
      <c r="AK328" s="84">
        <v>0</v>
      </c>
      <c r="BB328" s="421" t="s">
        <v>66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hidden="1" customHeight="1" x14ac:dyDescent="0.25">
      <c r="A329" s="63" t="s">
        <v>555</v>
      </c>
      <c r="B329" s="63" t="s">
        <v>556</v>
      </c>
      <c r="C329" s="36">
        <v>4301011851</v>
      </c>
      <c r="D329" s="658">
        <v>4680115885820</v>
      </c>
      <c r="E329" s="658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141</v>
      </c>
      <c r="L329" s="37" t="s">
        <v>46</v>
      </c>
      <c r="M329" s="38" t="s">
        <v>133</v>
      </c>
      <c r="N329" s="38"/>
      <c r="O329" s="37">
        <v>55</v>
      </c>
      <c r="P329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60"/>
      <c r="R329" s="660"/>
      <c r="S329" s="660"/>
      <c r="T329" s="661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557</v>
      </c>
      <c r="AG329" s="78"/>
      <c r="AJ329" s="84" t="s">
        <v>46</v>
      </c>
      <c r="AK329" s="84">
        <v>0</v>
      </c>
      <c r="BB329" s="423" t="s">
        <v>66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hidden="1" x14ac:dyDescent="0.2">
      <c r="A330" s="648"/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49"/>
      <c r="P330" s="645" t="s">
        <v>40</v>
      </c>
      <c r="Q330" s="646"/>
      <c r="R330" s="646"/>
      <c r="S330" s="646"/>
      <c r="T330" s="646"/>
      <c r="U330" s="646"/>
      <c r="V330" s="647"/>
      <c r="W330" s="42" t="s">
        <v>39</v>
      </c>
      <c r="X330" s="43">
        <f>IFERROR(X323/H323,"0")+IFERROR(X324/H324,"0")+IFERROR(X325/H325,"0")+IFERROR(X326/H326,"0")+IFERROR(X327/H327,"0")+IFERROR(X328/H328,"0")+IFERROR(X329/H329,"0")</f>
        <v>0</v>
      </c>
      <c r="Y330" s="43">
        <f>IFERROR(Y323/H323,"0")+IFERROR(Y324/H324,"0")+IFERROR(Y325/H325,"0")+IFERROR(Y326/H326,"0")+IFERROR(Y327/H327,"0")+IFERROR(Y328/H328,"0")+IFERROR(Y329/H329,"0")</f>
        <v>0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hidden="1" x14ac:dyDescent="0.2">
      <c r="A331" s="648"/>
      <c r="B331" s="648"/>
      <c r="C331" s="648"/>
      <c r="D331" s="648"/>
      <c r="E331" s="648"/>
      <c r="F331" s="648"/>
      <c r="G331" s="648"/>
      <c r="H331" s="648"/>
      <c r="I331" s="648"/>
      <c r="J331" s="648"/>
      <c r="K331" s="648"/>
      <c r="L331" s="648"/>
      <c r="M331" s="648"/>
      <c r="N331" s="648"/>
      <c r="O331" s="649"/>
      <c r="P331" s="645" t="s">
        <v>40</v>
      </c>
      <c r="Q331" s="646"/>
      <c r="R331" s="646"/>
      <c r="S331" s="646"/>
      <c r="T331" s="646"/>
      <c r="U331" s="646"/>
      <c r="V331" s="647"/>
      <c r="W331" s="42" t="s">
        <v>0</v>
      </c>
      <c r="X331" s="43">
        <f>IFERROR(SUM(X323:X329),"0")</f>
        <v>0</v>
      </c>
      <c r="Y331" s="43">
        <f>IFERROR(SUM(Y323:Y329),"0")</f>
        <v>0</v>
      </c>
      <c r="Z331" s="42"/>
      <c r="AA331" s="67"/>
      <c r="AB331" s="67"/>
      <c r="AC331" s="67"/>
    </row>
    <row r="332" spans="1:68" ht="16.5" hidden="1" customHeight="1" x14ac:dyDescent="0.25">
      <c r="A332" s="664" t="s">
        <v>558</v>
      </c>
      <c r="B332" s="664"/>
      <c r="C332" s="664"/>
      <c r="D332" s="664"/>
      <c r="E332" s="664"/>
      <c r="F332" s="664"/>
      <c r="G332" s="664"/>
      <c r="H332" s="664"/>
      <c r="I332" s="664"/>
      <c r="J332" s="664"/>
      <c r="K332" s="664"/>
      <c r="L332" s="664"/>
      <c r="M332" s="664"/>
      <c r="N332" s="664"/>
      <c r="O332" s="664"/>
      <c r="P332" s="664"/>
      <c r="Q332" s="664"/>
      <c r="R332" s="664"/>
      <c r="S332" s="664"/>
      <c r="T332" s="664"/>
      <c r="U332" s="664"/>
      <c r="V332" s="664"/>
      <c r="W332" s="664"/>
      <c r="X332" s="664"/>
      <c r="Y332" s="664"/>
      <c r="Z332" s="664"/>
      <c r="AA332" s="65"/>
      <c r="AB332" s="65"/>
      <c r="AC332" s="79"/>
    </row>
    <row r="333" spans="1:68" ht="14.25" hidden="1" customHeight="1" x14ac:dyDescent="0.25">
      <c r="A333" s="657" t="s">
        <v>82</v>
      </c>
      <c r="B333" s="657"/>
      <c r="C333" s="657"/>
      <c r="D333" s="657"/>
      <c r="E333" s="657"/>
      <c r="F333" s="657"/>
      <c r="G333" s="657"/>
      <c r="H333" s="657"/>
      <c r="I333" s="657"/>
      <c r="J333" s="657"/>
      <c r="K333" s="657"/>
      <c r="L333" s="657"/>
      <c r="M333" s="657"/>
      <c r="N333" s="657"/>
      <c r="O333" s="657"/>
      <c r="P333" s="657"/>
      <c r="Q333" s="657"/>
      <c r="R333" s="657"/>
      <c r="S333" s="657"/>
      <c r="T333" s="657"/>
      <c r="U333" s="657"/>
      <c r="V333" s="657"/>
      <c r="W333" s="657"/>
      <c r="X333" s="657"/>
      <c r="Y333" s="657"/>
      <c r="Z333" s="657"/>
      <c r="AA333" s="66"/>
      <c r="AB333" s="66"/>
      <c r="AC333" s="80"/>
    </row>
    <row r="334" spans="1:68" ht="27" hidden="1" customHeight="1" x14ac:dyDescent="0.25">
      <c r="A334" s="63" t="s">
        <v>559</v>
      </c>
      <c r="B334" s="63" t="s">
        <v>560</v>
      </c>
      <c r="C334" s="36">
        <v>4301051893</v>
      </c>
      <c r="D334" s="658">
        <v>4680115886186</v>
      </c>
      <c r="E334" s="658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87</v>
      </c>
      <c r="L334" s="37" t="s">
        <v>46</v>
      </c>
      <c r="M334" s="38" t="s">
        <v>86</v>
      </c>
      <c r="N334" s="38"/>
      <c r="O334" s="37">
        <v>45</v>
      </c>
      <c r="P334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60"/>
      <c r="R334" s="660"/>
      <c r="S334" s="660"/>
      <c r="T334" s="66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561</v>
      </c>
      <c r="AG334" s="78"/>
      <c r="AJ334" s="84" t="s">
        <v>46</v>
      </c>
      <c r="AK334" s="84">
        <v>0</v>
      </c>
      <c r="BB334" s="425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562</v>
      </c>
      <c r="B335" s="63" t="s">
        <v>563</v>
      </c>
      <c r="C335" s="36">
        <v>4301051795</v>
      </c>
      <c r="D335" s="658">
        <v>4680115881228</v>
      </c>
      <c r="E335" s="658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87</v>
      </c>
      <c r="L335" s="37" t="s">
        <v>46</v>
      </c>
      <c r="M335" s="38" t="s">
        <v>93</v>
      </c>
      <c r="N335" s="38"/>
      <c r="O335" s="37">
        <v>40</v>
      </c>
      <c r="P335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60"/>
      <c r="R335" s="660"/>
      <c r="S335" s="660"/>
      <c r="T335" s="66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564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565</v>
      </c>
      <c r="B336" s="63" t="s">
        <v>566</v>
      </c>
      <c r="C336" s="36">
        <v>4301051388</v>
      </c>
      <c r="D336" s="658">
        <v>4680115881211</v>
      </c>
      <c r="E336" s="658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87</v>
      </c>
      <c r="L336" s="37" t="s">
        <v>46</v>
      </c>
      <c r="M336" s="38" t="s">
        <v>86</v>
      </c>
      <c r="N336" s="38"/>
      <c r="O336" s="37">
        <v>45</v>
      </c>
      <c r="P336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60"/>
      <c r="R336" s="660"/>
      <c r="S336" s="660"/>
      <c r="T336" s="661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561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48"/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49"/>
      <c r="P337" s="645" t="s">
        <v>40</v>
      </c>
      <c r="Q337" s="646"/>
      <c r="R337" s="646"/>
      <c r="S337" s="646"/>
      <c r="T337" s="646"/>
      <c r="U337" s="646"/>
      <c r="V337" s="647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48"/>
      <c r="B338" s="648"/>
      <c r="C338" s="648"/>
      <c r="D338" s="648"/>
      <c r="E338" s="648"/>
      <c r="F338" s="648"/>
      <c r="G338" s="648"/>
      <c r="H338" s="648"/>
      <c r="I338" s="648"/>
      <c r="J338" s="648"/>
      <c r="K338" s="648"/>
      <c r="L338" s="648"/>
      <c r="M338" s="648"/>
      <c r="N338" s="648"/>
      <c r="O338" s="649"/>
      <c r="P338" s="645" t="s">
        <v>40</v>
      </c>
      <c r="Q338" s="646"/>
      <c r="R338" s="646"/>
      <c r="S338" s="646"/>
      <c r="T338" s="646"/>
      <c r="U338" s="646"/>
      <c r="V338" s="647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hidden="1" customHeight="1" x14ac:dyDescent="0.25">
      <c r="A339" s="664" t="s">
        <v>567</v>
      </c>
      <c r="B339" s="664"/>
      <c r="C339" s="664"/>
      <c r="D339" s="664"/>
      <c r="E339" s="664"/>
      <c r="F339" s="664"/>
      <c r="G339" s="664"/>
      <c r="H339" s="664"/>
      <c r="I339" s="664"/>
      <c r="J339" s="664"/>
      <c r="K339" s="664"/>
      <c r="L339" s="664"/>
      <c r="M339" s="664"/>
      <c r="N339" s="664"/>
      <c r="O339" s="664"/>
      <c r="P339" s="664"/>
      <c r="Q339" s="664"/>
      <c r="R339" s="664"/>
      <c r="S339" s="664"/>
      <c r="T339" s="664"/>
      <c r="U339" s="664"/>
      <c r="V339" s="664"/>
      <c r="W339" s="664"/>
      <c r="X339" s="664"/>
      <c r="Y339" s="664"/>
      <c r="Z339" s="664"/>
      <c r="AA339" s="65"/>
      <c r="AB339" s="65"/>
      <c r="AC339" s="79"/>
    </row>
    <row r="340" spans="1:68" ht="14.25" hidden="1" customHeight="1" x14ac:dyDescent="0.25">
      <c r="A340" s="657" t="s">
        <v>76</v>
      </c>
      <c r="B340" s="657"/>
      <c r="C340" s="657"/>
      <c r="D340" s="657"/>
      <c r="E340" s="657"/>
      <c r="F340" s="657"/>
      <c r="G340" s="657"/>
      <c r="H340" s="657"/>
      <c r="I340" s="657"/>
      <c r="J340" s="657"/>
      <c r="K340" s="657"/>
      <c r="L340" s="657"/>
      <c r="M340" s="657"/>
      <c r="N340" s="657"/>
      <c r="O340" s="657"/>
      <c r="P340" s="657"/>
      <c r="Q340" s="657"/>
      <c r="R340" s="657"/>
      <c r="S340" s="657"/>
      <c r="T340" s="657"/>
      <c r="U340" s="657"/>
      <c r="V340" s="657"/>
      <c r="W340" s="657"/>
      <c r="X340" s="657"/>
      <c r="Y340" s="657"/>
      <c r="Z340" s="657"/>
      <c r="AA340" s="66"/>
      <c r="AB340" s="66"/>
      <c r="AC340" s="80"/>
    </row>
    <row r="341" spans="1:68" ht="27" hidden="1" customHeight="1" x14ac:dyDescent="0.25">
      <c r="A341" s="63" t="s">
        <v>568</v>
      </c>
      <c r="B341" s="63" t="s">
        <v>569</v>
      </c>
      <c r="C341" s="36">
        <v>4301031445</v>
      </c>
      <c r="D341" s="658">
        <v>4680115888319</v>
      </c>
      <c r="E341" s="658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81</v>
      </c>
      <c r="L341" s="37" t="s">
        <v>46</v>
      </c>
      <c r="M341" s="38" t="s">
        <v>80</v>
      </c>
      <c r="N341" s="38"/>
      <c r="O341" s="37">
        <v>45</v>
      </c>
      <c r="P341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60"/>
      <c r="R341" s="660"/>
      <c r="S341" s="660"/>
      <c r="T341" s="66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4301031502</v>
      </c>
      <c r="D342" s="658">
        <v>4680115884700</v>
      </c>
      <c r="E342" s="658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60"/>
      <c r="R342" s="660"/>
      <c r="S342" s="660"/>
      <c r="T342" s="661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574</v>
      </c>
      <c r="B343" s="63" t="s">
        <v>575</v>
      </c>
      <c r="C343" s="36">
        <v>4301031307</v>
      </c>
      <c r="D343" s="658">
        <v>4680115880344</v>
      </c>
      <c r="E343" s="658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60"/>
      <c r="R343" s="660"/>
      <c r="S343" s="660"/>
      <c r="T343" s="661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576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577</v>
      </c>
      <c r="B344" s="63" t="s">
        <v>578</v>
      </c>
      <c r="C344" s="36">
        <v>4301031501</v>
      </c>
      <c r="D344" s="658">
        <v>4680115886919</v>
      </c>
      <c r="E344" s="658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87</v>
      </c>
      <c r="L344" s="37" t="s">
        <v>46</v>
      </c>
      <c r="M344" s="38" t="s">
        <v>80</v>
      </c>
      <c r="N344" s="38"/>
      <c r="O344" s="37">
        <v>40</v>
      </c>
      <c r="P344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60"/>
      <c r="R344" s="660"/>
      <c r="S344" s="660"/>
      <c r="T344" s="661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579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48"/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9"/>
      <c r="P345" s="645" t="s">
        <v>40</v>
      </c>
      <c r="Q345" s="646"/>
      <c r="R345" s="646"/>
      <c r="S345" s="646"/>
      <c r="T345" s="646"/>
      <c r="U345" s="646"/>
      <c r="V345" s="647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48"/>
      <c r="B346" s="648"/>
      <c r="C346" s="648"/>
      <c r="D346" s="648"/>
      <c r="E346" s="648"/>
      <c r="F346" s="648"/>
      <c r="G346" s="648"/>
      <c r="H346" s="648"/>
      <c r="I346" s="648"/>
      <c r="J346" s="648"/>
      <c r="K346" s="648"/>
      <c r="L346" s="648"/>
      <c r="M346" s="648"/>
      <c r="N346" s="648"/>
      <c r="O346" s="649"/>
      <c r="P346" s="645" t="s">
        <v>40</v>
      </c>
      <c r="Q346" s="646"/>
      <c r="R346" s="646"/>
      <c r="S346" s="646"/>
      <c r="T346" s="646"/>
      <c r="U346" s="646"/>
      <c r="V346" s="647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57" t="s">
        <v>82</v>
      </c>
      <c r="B347" s="657"/>
      <c r="C347" s="657"/>
      <c r="D347" s="657"/>
      <c r="E347" s="657"/>
      <c r="F347" s="657"/>
      <c r="G347" s="657"/>
      <c r="H347" s="657"/>
      <c r="I347" s="657"/>
      <c r="J347" s="657"/>
      <c r="K347" s="657"/>
      <c r="L347" s="657"/>
      <c r="M347" s="657"/>
      <c r="N347" s="657"/>
      <c r="O347" s="657"/>
      <c r="P347" s="657"/>
      <c r="Q347" s="657"/>
      <c r="R347" s="657"/>
      <c r="S347" s="657"/>
      <c r="T347" s="657"/>
      <c r="U347" s="657"/>
      <c r="V347" s="657"/>
      <c r="W347" s="657"/>
      <c r="X347" s="657"/>
      <c r="Y347" s="657"/>
      <c r="Z347" s="657"/>
      <c r="AA347" s="66"/>
      <c r="AB347" s="66"/>
      <c r="AC347" s="80"/>
    </row>
    <row r="348" spans="1:68" ht="27" hidden="1" customHeight="1" x14ac:dyDescent="0.25">
      <c r="A348" s="63" t="s">
        <v>580</v>
      </c>
      <c r="B348" s="63" t="s">
        <v>581</v>
      </c>
      <c r="C348" s="36">
        <v>4301051782</v>
      </c>
      <c r="D348" s="658">
        <v>4680115884618</v>
      </c>
      <c r="E348" s="658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141</v>
      </c>
      <c r="L348" s="37" t="s">
        <v>46</v>
      </c>
      <c r="M348" s="38" t="s">
        <v>86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60"/>
      <c r="R348" s="660"/>
      <c r="S348" s="660"/>
      <c r="T348" s="66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583</v>
      </c>
      <c r="B349" s="63" t="s">
        <v>584</v>
      </c>
      <c r="C349" s="36">
        <v>4301052057</v>
      </c>
      <c r="D349" s="658">
        <v>4680115887114</v>
      </c>
      <c r="E349" s="658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141</v>
      </c>
      <c r="L349" s="37" t="s">
        <v>46</v>
      </c>
      <c r="M349" s="38" t="s">
        <v>86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60"/>
      <c r="R349" s="660"/>
      <c r="S349" s="660"/>
      <c r="T349" s="661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585</v>
      </c>
      <c r="AG349" s="78"/>
      <c r="AJ349" s="84" t="s">
        <v>46</v>
      </c>
      <c r="AK349" s="84">
        <v>0</v>
      </c>
      <c r="BB349" s="441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hidden="1" customHeight="1" x14ac:dyDescent="0.25">
      <c r="A350" s="63" t="s">
        <v>586</v>
      </c>
      <c r="B350" s="63" t="s">
        <v>587</v>
      </c>
      <c r="C350" s="36">
        <v>4301052066</v>
      </c>
      <c r="D350" s="658">
        <v>4680115887466</v>
      </c>
      <c r="E350" s="658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134</v>
      </c>
      <c r="L350" s="37" t="s">
        <v>46</v>
      </c>
      <c r="M350" s="38" t="s">
        <v>86</v>
      </c>
      <c r="N350" s="38"/>
      <c r="O350" s="37">
        <v>45</v>
      </c>
      <c r="P350" s="764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60"/>
      <c r="R350" s="660"/>
      <c r="S350" s="660"/>
      <c r="T350" s="661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588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idden="1" x14ac:dyDescent="0.2">
      <c r="A351" s="648"/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49"/>
      <c r="P351" s="645" t="s">
        <v>40</v>
      </c>
      <c r="Q351" s="646"/>
      <c r="R351" s="646"/>
      <c r="S351" s="646"/>
      <c r="T351" s="646"/>
      <c r="U351" s="646"/>
      <c r="V351" s="647"/>
      <c r="W351" s="42" t="s">
        <v>39</v>
      </c>
      <c r="X351" s="43">
        <f>IFERROR(X348/H348,"0")+IFERROR(X349/H349,"0")+IFERROR(X350/H350,"0")</f>
        <v>0</v>
      </c>
      <c r="Y351" s="43">
        <f>IFERROR(Y348/H348,"0")+IFERROR(Y349/H349,"0")+IFERROR(Y350/H350,"0")</f>
        <v>0</v>
      </c>
      <c r="Z351" s="43">
        <f>IFERROR(IF(Z348="",0,Z348),"0")+IFERROR(IF(Z349="",0,Z349),"0")+IFERROR(IF(Z350="",0,Z350),"0")</f>
        <v>0</v>
      </c>
      <c r="AA351" s="67"/>
      <c r="AB351" s="67"/>
      <c r="AC351" s="67"/>
    </row>
    <row r="352" spans="1:68" hidden="1" x14ac:dyDescent="0.2">
      <c r="A352" s="648"/>
      <c r="B352" s="648"/>
      <c r="C352" s="648"/>
      <c r="D352" s="648"/>
      <c r="E352" s="648"/>
      <c r="F352" s="648"/>
      <c r="G352" s="648"/>
      <c r="H352" s="648"/>
      <c r="I352" s="648"/>
      <c r="J352" s="648"/>
      <c r="K352" s="648"/>
      <c r="L352" s="648"/>
      <c r="M352" s="648"/>
      <c r="N352" s="648"/>
      <c r="O352" s="649"/>
      <c r="P352" s="645" t="s">
        <v>40</v>
      </c>
      <c r="Q352" s="646"/>
      <c r="R352" s="646"/>
      <c r="S352" s="646"/>
      <c r="T352" s="646"/>
      <c r="U352" s="646"/>
      <c r="V352" s="647"/>
      <c r="W352" s="42" t="s">
        <v>0</v>
      </c>
      <c r="X352" s="43">
        <f>IFERROR(SUM(X348:X350),"0")</f>
        <v>0</v>
      </c>
      <c r="Y352" s="43">
        <f>IFERROR(SUM(Y348:Y350),"0")</f>
        <v>0</v>
      </c>
      <c r="Z352" s="42"/>
      <c r="AA352" s="67"/>
      <c r="AB352" s="67"/>
      <c r="AC352" s="67"/>
    </row>
    <row r="353" spans="1:68" ht="16.5" hidden="1" customHeight="1" x14ac:dyDescent="0.25">
      <c r="A353" s="664" t="s">
        <v>589</v>
      </c>
      <c r="B353" s="664"/>
      <c r="C353" s="664"/>
      <c r="D353" s="664"/>
      <c r="E353" s="664"/>
      <c r="F353" s="664"/>
      <c r="G353" s="664"/>
      <c r="H353" s="664"/>
      <c r="I353" s="664"/>
      <c r="J353" s="664"/>
      <c r="K353" s="664"/>
      <c r="L353" s="664"/>
      <c r="M353" s="664"/>
      <c r="N353" s="664"/>
      <c r="O353" s="664"/>
      <c r="P353" s="664"/>
      <c r="Q353" s="664"/>
      <c r="R353" s="664"/>
      <c r="S353" s="664"/>
      <c r="T353" s="664"/>
      <c r="U353" s="664"/>
      <c r="V353" s="664"/>
      <c r="W353" s="664"/>
      <c r="X353" s="664"/>
      <c r="Y353" s="664"/>
      <c r="Z353" s="664"/>
      <c r="AA353" s="65"/>
      <c r="AB353" s="65"/>
      <c r="AC353" s="79"/>
    </row>
    <row r="354" spans="1:68" ht="14.25" hidden="1" customHeight="1" x14ac:dyDescent="0.25">
      <c r="A354" s="657" t="s">
        <v>76</v>
      </c>
      <c r="B354" s="657"/>
      <c r="C354" s="657"/>
      <c r="D354" s="657"/>
      <c r="E354" s="657"/>
      <c r="F354" s="657"/>
      <c r="G354" s="657"/>
      <c r="H354" s="657"/>
      <c r="I354" s="657"/>
      <c r="J354" s="657"/>
      <c r="K354" s="657"/>
      <c r="L354" s="657"/>
      <c r="M354" s="657"/>
      <c r="N354" s="657"/>
      <c r="O354" s="657"/>
      <c r="P354" s="657"/>
      <c r="Q354" s="657"/>
      <c r="R354" s="657"/>
      <c r="S354" s="657"/>
      <c r="T354" s="657"/>
      <c r="U354" s="657"/>
      <c r="V354" s="657"/>
      <c r="W354" s="657"/>
      <c r="X354" s="657"/>
      <c r="Y354" s="657"/>
      <c r="Z354" s="657"/>
      <c r="AA354" s="66"/>
      <c r="AB354" s="66"/>
      <c r="AC354" s="80"/>
    </row>
    <row r="355" spans="1:68" ht="37.5" hidden="1" customHeight="1" x14ac:dyDescent="0.25">
      <c r="A355" s="63" t="s">
        <v>590</v>
      </c>
      <c r="B355" s="63" t="s">
        <v>591</v>
      </c>
      <c r="C355" s="36">
        <v>4301031283</v>
      </c>
      <c r="D355" s="658">
        <v>4680115886001</v>
      </c>
      <c r="E355" s="658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141</v>
      </c>
      <c r="L355" s="37" t="s">
        <v>46</v>
      </c>
      <c r="M355" s="38" t="s">
        <v>80</v>
      </c>
      <c r="N355" s="38"/>
      <c r="O355" s="37">
        <v>45</v>
      </c>
      <c r="P355" s="765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60"/>
      <c r="R355" s="660"/>
      <c r="S355" s="660"/>
      <c r="T355" s="661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592</v>
      </c>
      <c r="AG355" s="78"/>
      <c r="AJ355" s="84" t="s">
        <v>46</v>
      </c>
      <c r="AK355" s="84">
        <v>0</v>
      </c>
      <c r="BB355" s="445" t="s">
        <v>66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648"/>
      <c r="B356" s="648"/>
      <c r="C356" s="648"/>
      <c r="D356" s="648"/>
      <c r="E356" s="648"/>
      <c r="F356" s="648"/>
      <c r="G356" s="648"/>
      <c r="H356" s="648"/>
      <c r="I356" s="648"/>
      <c r="J356" s="648"/>
      <c r="K356" s="648"/>
      <c r="L356" s="648"/>
      <c r="M356" s="648"/>
      <c r="N356" s="648"/>
      <c r="O356" s="649"/>
      <c r="P356" s="645" t="s">
        <v>40</v>
      </c>
      <c r="Q356" s="646"/>
      <c r="R356" s="646"/>
      <c r="S356" s="646"/>
      <c r="T356" s="646"/>
      <c r="U356" s="646"/>
      <c r="V356" s="647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648"/>
      <c r="B357" s="648"/>
      <c r="C357" s="648"/>
      <c r="D357" s="648"/>
      <c r="E357" s="648"/>
      <c r="F357" s="648"/>
      <c r="G357" s="648"/>
      <c r="H357" s="648"/>
      <c r="I357" s="648"/>
      <c r="J357" s="648"/>
      <c r="K357" s="648"/>
      <c r="L357" s="648"/>
      <c r="M357" s="648"/>
      <c r="N357" s="648"/>
      <c r="O357" s="649"/>
      <c r="P357" s="645" t="s">
        <v>40</v>
      </c>
      <c r="Q357" s="646"/>
      <c r="R357" s="646"/>
      <c r="S357" s="646"/>
      <c r="T357" s="646"/>
      <c r="U357" s="646"/>
      <c r="V357" s="647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657" t="s">
        <v>82</v>
      </c>
      <c r="B358" s="657"/>
      <c r="C358" s="657"/>
      <c r="D358" s="657"/>
      <c r="E358" s="657"/>
      <c r="F358" s="657"/>
      <c r="G358" s="657"/>
      <c r="H358" s="657"/>
      <c r="I358" s="657"/>
      <c r="J358" s="657"/>
      <c r="K358" s="657"/>
      <c r="L358" s="657"/>
      <c r="M358" s="657"/>
      <c r="N358" s="657"/>
      <c r="O358" s="657"/>
      <c r="P358" s="657"/>
      <c r="Q358" s="657"/>
      <c r="R358" s="657"/>
      <c r="S358" s="657"/>
      <c r="T358" s="657"/>
      <c r="U358" s="657"/>
      <c r="V358" s="657"/>
      <c r="W358" s="657"/>
      <c r="X358" s="657"/>
      <c r="Y358" s="657"/>
      <c r="Z358" s="657"/>
      <c r="AA358" s="66"/>
      <c r="AB358" s="66"/>
      <c r="AC358" s="80"/>
    </row>
    <row r="359" spans="1:68" ht="27" hidden="1" customHeight="1" x14ac:dyDescent="0.25">
      <c r="A359" s="63" t="s">
        <v>593</v>
      </c>
      <c r="B359" s="63" t="s">
        <v>594</v>
      </c>
      <c r="C359" s="36">
        <v>4301051597</v>
      </c>
      <c r="D359" s="658">
        <v>4680115886087</v>
      </c>
      <c r="E359" s="658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134</v>
      </c>
      <c r="L359" s="37" t="s">
        <v>46</v>
      </c>
      <c r="M359" s="38" t="s">
        <v>86</v>
      </c>
      <c r="N359" s="38"/>
      <c r="O359" s="37">
        <v>45</v>
      </c>
      <c r="P359" s="758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60"/>
      <c r="R359" s="660"/>
      <c r="S359" s="660"/>
      <c r="T359" s="661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595</v>
      </c>
      <c r="AG359" s="78"/>
      <c r="AJ359" s="84" t="s">
        <v>46</v>
      </c>
      <c r="AK359" s="84">
        <v>0</v>
      </c>
      <c r="BB359" s="447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648"/>
      <c r="B360" s="648"/>
      <c r="C360" s="648"/>
      <c r="D360" s="648"/>
      <c r="E360" s="648"/>
      <c r="F360" s="648"/>
      <c r="G360" s="648"/>
      <c r="H360" s="648"/>
      <c r="I360" s="648"/>
      <c r="J360" s="648"/>
      <c r="K360" s="648"/>
      <c r="L360" s="648"/>
      <c r="M360" s="648"/>
      <c r="N360" s="648"/>
      <c r="O360" s="649"/>
      <c r="P360" s="645" t="s">
        <v>40</v>
      </c>
      <c r="Q360" s="646"/>
      <c r="R360" s="646"/>
      <c r="S360" s="646"/>
      <c r="T360" s="646"/>
      <c r="U360" s="646"/>
      <c r="V360" s="647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hidden="1" x14ac:dyDescent="0.2">
      <c r="A361" s="648"/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49"/>
      <c r="P361" s="645" t="s">
        <v>40</v>
      </c>
      <c r="Q361" s="646"/>
      <c r="R361" s="646"/>
      <c r="S361" s="646"/>
      <c r="T361" s="646"/>
      <c r="U361" s="646"/>
      <c r="V361" s="647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hidden="1" customHeight="1" x14ac:dyDescent="0.25">
      <c r="A362" s="664" t="s">
        <v>596</v>
      </c>
      <c r="B362" s="664"/>
      <c r="C362" s="664"/>
      <c r="D362" s="664"/>
      <c r="E362" s="664"/>
      <c r="F362" s="664"/>
      <c r="G362" s="664"/>
      <c r="H362" s="664"/>
      <c r="I362" s="664"/>
      <c r="J362" s="664"/>
      <c r="K362" s="664"/>
      <c r="L362" s="664"/>
      <c r="M362" s="664"/>
      <c r="N362" s="664"/>
      <c r="O362" s="664"/>
      <c r="P362" s="664"/>
      <c r="Q362" s="664"/>
      <c r="R362" s="664"/>
      <c r="S362" s="664"/>
      <c r="T362" s="664"/>
      <c r="U362" s="664"/>
      <c r="V362" s="664"/>
      <c r="W362" s="664"/>
      <c r="X362" s="664"/>
      <c r="Y362" s="664"/>
      <c r="Z362" s="664"/>
      <c r="AA362" s="65"/>
      <c r="AB362" s="65"/>
      <c r="AC362" s="79"/>
    </row>
    <row r="363" spans="1:68" ht="14.25" hidden="1" customHeight="1" x14ac:dyDescent="0.25">
      <c r="A363" s="657" t="s">
        <v>129</v>
      </c>
      <c r="B363" s="657"/>
      <c r="C363" s="657"/>
      <c r="D363" s="657"/>
      <c r="E363" s="657"/>
      <c r="F363" s="657"/>
      <c r="G363" s="657"/>
      <c r="H363" s="657"/>
      <c r="I363" s="657"/>
      <c r="J363" s="657"/>
      <c r="K363" s="657"/>
      <c r="L363" s="657"/>
      <c r="M363" s="657"/>
      <c r="N363" s="657"/>
      <c r="O363" s="657"/>
      <c r="P363" s="657"/>
      <c r="Q363" s="657"/>
      <c r="R363" s="657"/>
      <c r="S363" s="657"/>
      <c r="T363" s="657"/>
      <c r="U363" s="657"/>
      <c r="V363" s="657"/>
      <c r="W363" s="657"/>
      <c r="X363" s="657"/>
      <c r="Y363" s="657"/>
      <c r="Z363" s="657"/>
      <c r="AA363" s="66"/>
      <c r="AB363" s="66"/>
      <c r="AC363" s="80"/>
    </row>
    <row r="364" spans="1:68" ht="27" hidden="1" customHeight="1" x14ac:dyDescent="0.25">
      <c r="A364" s="63" t="s">
        <v>597</v>
      </c>
      <c r="B364" s="63" t="s">
        <v>598</v>
      </c>
      <c r="C364" s="36">
        <v>4301012324</v>
      </c>
      <c r="D364" s="658">
        <v>4680115887947</v>
      </c>
      <c r="E364" s="658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134</v>
      </c>
      <c r="L364" s="37" t="s">
        <v>46</v>
      </c>
      <c r="M364" s="38" t="s">
        <v>86</v>
      </c>
      <c r="N364" s="38"/>
      <c r="O364" s="37">
        <v>60</v>
      </c>
      <c r="P36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60"/>
      <c r="R364" s="660"/>
      <c r="S364" s="660"/>
      <c r="T364" s="661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356</v>
      </c>
      <c r="AG364" s="78"/>
      <c r="AJ364" s="84" t="s">
        <v>46</v>
      </c>
      <c r="AK364" s="84">
        <v>0</v>
      </c>
      <c r="BB364" s="44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599</v>
      </c>
      <c r="B365" s="63" t="s">
        <v>600</v>
      </c>
      <c r="C365" s="36">
        <v>4301012325</v>
      </c>
      <c r="D365" s="658">
        <v>4680115887978</v>
      </c>
      <c r="E365" s="658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134</v>
      </c>
      <c r="L365" s="37" t="s">
        <v>46</v>
      </c>
      <c r="M365" s="38" t="s">
        <v>86</v>
      </c>
      <c r="N365" s="38"/>
      <c r="O365" s="37">
        <v>60</v>
      </c>
      <c r="P36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60"/>
      <c r="R365" s="660"/>
      <c r="S365" s="660"/>
      <c r="T365" s="661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0" t="s">
        <v>601</v>
      </c>
      <c r="AG365" s="78"/>
      <c r="AJ365" s="84" t="s">
        <v>46</v>
      </c>
      <c r="AK365" s="84">
        <v>0</v>
      </c>
      <c r="BB365" s="45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602</v>
      </c>
      <c r="B366" s="63" t="s">
        <v>603</v>
      </c>
      <c r="C366" s="36">
        <v>4301012327</v>
      </c>
      <c r="D366" s="658">
        <v>4680115887992</v>
      </c>
      <c r="E366" s="658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134</v>
      </c>
      <c r="L366" s="37" t="s">
        <v>46</v>
      </c>
      <c r="M366" s="38" t="s">
        <v>86</v>
      </c>
      <c r="N366" s="38"/>
      <c r="O366" s="37">
        <v>60</v>
      </c>
      <c r="P366" s="76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60"/>
      <c r="R366" s="660"/>
      <c r="S366" s="660"/>
      <c r="T366" s="661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604</v>
      </c>
      <c r="AG366" s="78"/>
      <c r="AJ366" s="84" t="s">
        <v>46</v>
      </c>
      <c r="AK366" s="84">
        <v>0</v>
      </c>
      <c r="BB366" s="45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648"/>
      <c r="B367" s="648"/>
      <c r="C367" s="648"/>
      <c r="D367" s="648"/>
      <c r="E367" s="648"/>
      <c r="F367" s="648"/>
      <c r="G367" s="648"/>
      <c r="H367" s="648"/>
      <c r="I367" s="648"/>
      <c r="J367" s="648"/>
      <c r="K367" s="648"/>
      <c r="L367" s="648"/>
      <c r="M367" s="648"/>
      <c r="N367" s="648"/>
      <c r="O367" s="649"/>
      <c r="P367" s="645" t="s">
        <v>40</v>
      </c>
      <c r="Q367" s="646"/>
      <c r="R367" s="646"/>
      <c r="S367" s="646"/>
      <c r="T367" s="646"/>
      <c r="U367" s="646"/>
      <c r="V367" s="647"/>
      <c r="W367" s="42" t="s">
        <v>39</v>
      </c>
      <c r="X367" s="43">
        <f>IFERROR(X364/H364,"0")+IFERROR(X365/H365,"0")+IFERROR(X366/H366,"0")</f>
        <v>0</v>
      </c>
      <c r="Y367" s="43">
        <f>IFERROR(Y364/H364,"0")+IFERROR(Y365/H365,"0")+IFERROR(Y366/H366,"0")</f>
        <v>0</v>
      </c>
      <c r="Z367" s="43">
        <f>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48"/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49"/>
      <c r="P368" s="645" t="s">
        <v>40</v>
      </c>
      <c r="Q368" s="646"/>
      <c r="R368" s="646"/>
      <c r="S368" s="646"/>
      <c r="T368" s="646"/>
      <c r="U368" s="646"/>
      <c r="V368" s="647"/>
      <c r="W368" s="42" t="s">
        <v>0</v>
      </c>
      <c r="X368" s="43">
        <f>IFERROR(SUM(X364:X366),"0")</f>
        <v>0</v>
      </c>
      <c r="Y368" s="43">
        <f>IFERROR(SUM(Y364:Y366),"0")</f>
        <v>0</v>
      </c>
      <c r="Z368" s="42"/>
      <c r="AA368" s="67"/>
      <c r="AB368" s="67"/>
      <c r="AC368" s="67"/>
    </row>
    <row r="369" spans="1:68" ht="16.5" hidden="1" customHeight="1" x14ac:dyDescent="0.25">
      <c r="A369" s="664" t="s">
        <v>605</v>
      </c>
      <c r="B369" s="664"/>
      <c r="C369" s="664"/>
      <c r="D369" s="664"/>
      <c r="E369" s="664"/>
      <c r="F369" s="664"/>
      <c r="G369" s="664"/>
      <c r="H369" s="664"/>
      <c r="I369" s="664"/>
      <c r="J369" s="664"/>
      <c r="K369" s="664"/>
      <c r="L369" s="664"/>
      <c r="M369" s="664"/>
      <c r="N369" s="664"/>
      <c r="O369" s="664"/>
      <c r="P369" s="664"/>
      <c r="Q369" s="664"/>
      <c r="R369" s="664"/>
      <c r="S369" s="664"/>
      <c r="T369" s="664"/>
      <c r="U369" s="664"/>
      <c r="V369" s="664"/>
      <c r="W369" s="664"/>
      <c r="X369" s="664"/>
      <c r="Y369" s="664"/>
      <c r="Z369" s="664"/>
      <c r="AA369" s="65"/>
      <c r="AB369" s="65"/>
      <c r="AC369" s="79"/>
    </row>
    <row r="370" spans="1:68" ht="14.25" hidden="1" customHeight="1" x14ac:dyDescent="0.25">
      <c r="A370" s="657" t="s">
        <v>129</v>
      </c>
      <c r="B370" s="657"/>
      <c r="C370" s="657"/>
      <c r="D370" s="657"/>
      <c r="E370" s="657"/>
      <c r="F370" s="657"/>
      <c r="G370" s="657"/>
      <c r="H370" s="657"/>
      <c r="I370" s="657"/>
      <c r="J370" s="657"/>
      <c r="K370" s="657"/>
      <c r="L370" s="657"/>
      <c r="M370" s="657"/>
      <c r="N370" s="657"/>
      <c r="O370" s="657"/>
      <c r="P370" s="657"/>
      <c r="Q370" s="657"/>
      <c r="R370" s="657"/>
      <c r="S370" s="657"/>
      <c r="T370" s="657"/>
      <c r="U370" s="657"/>
      <c r="V370" s="657"/>
      <c r="W370" s="657"/>
      <c r="X370" s="657"/>
      <c r="Y370" s="657"/>
      <c r="Z370" s="657"/>
      <c r="AA370" s="66"/>
      <c r="AB370" s="66"/>
      <c r="AC370" s="80"/>
    </row>
    <row r="371" spans="1:68" ht="27" hidden="1" customHeight="1" x14ac:dyDescent="0.25">
      <c r="A371" s="63" t="s">
        <v>606</v>
      </c>
      <c r="B371" s="63" t="s">
        <v>607</v>
      </c>
      <c r="C371" s="36">
        <v>4301012360</v>
      </c>
      <c r="D371" s="658">
        <v>4680115889293</v>
      </c>
      <c r="E371" s="658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134</v>
      </c>
      <c r="L371" s="37" t="s">
        <v>46</v>
      </c>
      <c r="M371" s="38" t="s">
        <v>133</v>
      </c>
      <c r="N371" s="38"/>
      <c r="O371" s="37">
        <v>55</v>
      </c>
      <c r="P371" s="7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60"/>
      <c r="R371" s="660"/>
      <c r="S371" s="660"/>
      <c r="T371" s="661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608</v>
      </c>
      <c r="AG371" s="78"/>
      <c r="AJ371" s="84" t="s">
        <v>46</v>
      </c>
      <c r="AK371" s="84">
        <v>0</v>
      </c>
      <c r="BB371" s="455" t="s">
        <v>66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hidden="1" customHeight="1" x14ac:dyDescent="0.25">
      <c r="A372" s="63" t="s">
        <v>609</v>
      </c>
      <c r="B372" s="63" t="s">
        <v>610</v>
      </c>
      <c r="C372" s="36">
        <v>4301012235</v>
      </c>
      <c r="D372" s="658">
        <v>4680115887190</v>
      </c>
      <c r="E372" s="658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134</v>
      </c>
      <c r="L372" s="37" t="s">
        <v>46</v>
      </c>
      <c r="M372" s="38" t="s">
        <v>133</v>
      </c>
      <c r="N372" s="38"/>
      <c r="O372" s="37">
        <v>55</v>
      </c>
      <c r="P37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60"/>
      <c r="R372" s="660"/>
      <c r="S372" s="660"/>
      <c r="T372" s="661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611</v>
      </c>
      <c r="AG372" s="78"/>
      <c r="AJ372" s="84" t="s">
        <v>46</v>
      </c>
      <c r="AK372" s="84">
        <v>0</v>
      </c>
      <c r="BB372" s="457" t="s">
        <v>66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612</v>
      </c>
      <c r="B373" s="63" t="s">
        <v>613</v>
      </c>
      <c r="C373" s="36">
        <v>4301012400</v>
      </c>
      <c r="D373" s="658">
        <v>4680115889880</v>
      </c>
      <c r="E373" s="658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134</v>
      </c>
      <c r="L373" s="37" t="s">
        <v>46</v>
      </c>
      <c r="M373" s="38" t="s">
        <v>133</v>
      </c>
      <c r="N373" s="38"/>
      <c r="O373" s="37">
        <v>55</v>
      </c>
      <c r="P373" s="75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60"/>
      <c r="R373" s="660"/>
      <c r="S373" s="660"/>
      <c r="T373" s="661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514</v>
      </c>
      <c r="AG373" s="78"/>
      <c r="AJ373" s="84" t="s">
        <v>46</v>
      </c>
      <c r="AK373" s="84">
        <v>0</v>
      </c>
      <c r="BB373" s="459" t="s">
        <v>66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hidden="1" customHeight="1" x14ac:dyDescent="0.25">
      <c r="A374" s="63" t="s">
        <v>614</v>
      </c>
      <c r="B374" s="63" t="s">
        <v>615</v>
      </c>
      <c r="C374" s="36">
        <v>4301012233</v>
      </c>
      <c r="D374" s="658">
        <v>4680115887138</v>
      </c>
      <c r="E374" s="658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134</v>
      </c>
      <c r="L374" s="37" t="s">
        <v>46</v>
      </c>
      <c r="M374" s="38" t="s">
        <v>133</v>
      </c>
      <c r="N374" s="38"/>
      <c r="O374" s="37">
        <v>55</v>
      </c>
      <c r="P374" s="75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60"/>
      <c r="R374" s="660"/>
      <c r="S374" s="660"/>
      <c r="T374" s="661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0" t="s">
        <v>616</v>
      </c>
      <c r="AG374" s="78"/>
      <c r="AJ374" s="84" t="s">
        <v>46</v>
      </c>
      <c r="AK374" s="84">
        <v>0</v>
      </c>
      <c r="BB374" s="461" t="s">
        <v>66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617</v>
      </c>
      <c r="B375" s="63" t="s">
        <v>618</v>
      </c>
      <c r="C375" s="36">
        <v>4301012016</v>
      </c>
      <c r="D375" s="658">
        <v>4680115885554</v>
      </c>
      <c r="E375" s="658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134</v>
      </c>
      <c r="L375" s="37" t="s">
        <v>46</v>
      </c>
      <c r="M375" s="38" t="s">
        <v>86</v>
      </c>
      <c r="N375" s="38"/>
      <c r="O375" s="37">
        <v>55</v>
      </c>
      <c r="P375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60"/>
      <c r="R375" s="660"/>
      <c r="S375" s="660"/>
      <c r="T375" s="661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2" t="s">
        <v>619</v>
      </c>
      <c r="AG375" s="78"/>
      <c r="AJ375" s="84" t="s">
        <v>46</v>
      </c>
      <c r="AK375" s="84">
        <v>0</v>
      </c>
      <c r="BB375" s="463" t="s">
        <v>66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t="27" hidden="1" customHeight="1" x14ac:dyDescent="0.25">
      <c r="A376" s="63" t="s">
        <v>620</v>
      </c>
      <c r="B376" s="63" t="s">
        <v>621</v>
      </c>
      <c r="C376" s="36">
        <v>4301012236</v>
      </c>
      <c r="D376" s="658">
        <v>4680115887220</v>
      </c>
      <c r="E376" s="658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141</v>
      </c>
      <c r="L376" s="37" t="s">
        <v>46</v>
      </c>
      <c r="M376" s="38" t="s">
        <v>133</v>
      </c>
      <c r="N376" s="38"/>
      <c r="O376" s="37">
        <v>55</v>
      </c>
      <c r="P376" s="75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60"/>
      <c r="R376" s="660"/>
      <c r="S376" s="660"/>
      <c r="T376" s="661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611</v>
      </c>
      <c r="AG376" s="78"/>
      <c r="AJ376" s="84" t="s">
        <v>46</v>
      </c>
      <c r="AK376" s="84">
        <v>0</v>
      </c>
      <c r="BB376" s="465" t="s">
        <v>66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hidden="1" customHeight="1" x14ac:dyDescent="0.25">
      <c r="A377" s="63" t="s">
        <v>622</v>
      </c>
      <c r="B377" s="63" t="s">
        <v>623</v>
      </c>
      <c r="C377" s="36">
        <v>4301011859</v>
      </c>
      <c r="D377" s="658">
        <v>4680115885608</v>
      </c>
      <c r="E377" s="658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141</v>
      </c>
      <c r="L377" s="37" t="s">
        <v>46</v>
      </c>
      <c r="M377" s="38" t="s">
        <v>133</v>
      </c>
      <c r="N377" s="38"/>
      <c r="O377" s="37">
        <v>55</v>
      </c>
      <c r="P377" s="7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60"/>
      <c r="R377" s="660"/>
      <c r="S377" s="660"/>
      <c r="T377" s="661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624</v>
      </c>
      <c r="AG377" s="78"/>
      <c r="AJ377" s="84" t="s">
        <v>46</v>
      </c>
      <c r="AK377" s="84">
        <v>0</v>
      </c>
      <c r="BB377" s="467" t="s">
        <v>66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hidden="1" x14ac:dyDescent="0.2">
      <c r="A378" s="648"/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9"/>
      <c r="P378" s="645" t="s">
        <v>40</v>
      </c>
      <c r="Q378" s="646"/>
      <c r="R378" s="646"/>
      <c r="S378" s="646"/>
      <c r="T378" s="646"/>
      <c r="U378" s="646"/>
      <c r="V378" s="647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648"/>
      <c r="B379" s="648"/>
      <c r="C379" s="648"/>
      <c r="D379" s="648"/>
      <c r="E379" s="648"/>
      <c r="F379" s="648"/>
      <c r="G379" s="648"/>
      <c r="H379" s="648"/>
      <c r="I379" s="648"/>
      <c r="J379" s="648"/>
      <c r="K379" s="648"/>
      <c r="L379" s="648"/>
      <c r="M379" s="648"/>
      <c r="N379" s="648"/>
      <c r="O379" s="649"/>
      <c r="P379" s="645" t="s">
        <v>40</v>
      </c>
      <c r="Q379" s="646"/>
      <c r="R379" s="646"/>
      <c r="S379" s="646"/>
      <c r="T379" s="646"/>
      <c r="U379" s="646"/>
      <c r="V379" s="647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657" t="s">
        <v>76</v>
      </c>
      <c r="B380" s="657"/>
      <c r="C380" s="657"/>
      <c r="D380" s="657"/>
      <c r="E380" s="657"/>
      <c r="F380" s="657"/>
      <c r="G380" s="657"/>
      <c r="H380" s="657"/>
      <c r="I380" s="657"/>
      <c r="J380" s="657"/>
      <c r="K380" s="657"/>
      <c r="L380" s="657"/>
      <c r="M380" s="657"/>
      <c r="N380" s="657"/>
      <c r="O380" s="657"/>
      <c r="P380" s="657"/>
      <c r="Q380" s="657"/>
      <c r="R380" s="657"/>
      <c r="S380" s="657"/>
      <c r="T380" s="657"/>
      <c r="U380" s="657"/>
      <c r="V380" s="657"/>
      <c r="W380" s="657"/>
      <c r="X380" s="657"/>
      <c r="Y380" s="657"/>
      <c r="Z380" s="657"/>
      <c r="AA380" s="66"/>
      <c r="AB380" s="66"/>
      <c r="AC380" s="80"/>
    </row>
    <row r="381" spans="1:68" ht="27" hidden="1" customHeight="1" x14ac:dyDescent="0.25">
      <c r="A381" s="63" t="s">
        <v>625</v>
      </c>
      <c r="B381" s="63" t="s">
        <v>626</v>
      </c>
      <c r="C381" s="36">
        <v>4301030878</v>
      </c>
      <c r="D381" s="658">
        <v>4607091387193</v>
      </c>
      <c r="E381" s="658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141</v>
      </c>
      <c r="L381" s="37" t="s">
        <v>46</v>
      </c>
      <c r="M381" s="38" t="s">
        <v>80</v>
      </c>
      <c r="N381" s="38"/>
      <c r="O381" s="37">
        <v>35</v>
      </c>
      <c r="P381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60"/>
      <c r="R381" s="660"/>
      <c r="S381" s="660"/>
      <c r="T381" s="661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ref="Y381:Y387" si="56"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66</v>
      </c>
      <c r="BM381" s="78">
        <f t="shared" ref="BM381:BM387" si="57">IFERROR(X381*I381/H381,"0")</f>
        <v>0</v>
      </c>
      <c r="BN381" s="78">
        <f t="shared" ref="BN381:BN387" si="58">IFERROR(Y381*I381/H381,"0")</f>
        <v>0</v>
      </c>
      <c r="BO381" s="78">
        <f t="shared" ref="BO381:BO387" si="59">IFERROR(1/J381*(X381/H381),"0")</f>
        <v>0</v>
      </c>
      <c r="BP381" s="78">
        <f t="shared" ref="BP381:BP387" si="60">IFERROR(1/J381*(Y381/H381),"0")</f>
        <v>0</v>
      </c>
    </row>
    <row r="382" spans="1:68" ht="27" hidden="1" customHeight="1" x14ac:dyDescent="0.25">
      <c r="A382" s="63" t="s">
        <v>628</v>
      </c>
      <c r="B382" s="63" t="s">
        <v>629</v>
      </c>
      <c r="C382" s="36">
        <v>4301031153</v>
      </c>
      <c r="D382" s="658">
        <v>4607091387230</v>
      </c>
      <c r="E382" s="658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141</v>
      </c>
      <c r="L382" s="37" t="s">
        <v>46</v>
      </c>
      <c r="M382" s="38" t="s">
        <v>80</v>
      </c>
      <c r="N382" s="38"/>
      <c r="O382" s="37">
        <v>40</v>
      </c>
      <c r="P382" s="74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60"/>
      <c r="R382" s="660"/>
      <c r="S382" s="660"/>
      <c r="T382" s="661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0" t="s">
        <v>630</v>
      </c>
      <c r="AG382" s="78"/>
      <c r="AJ382" s="84" t="s">
        <v>46</v>
      </c>
      <c r="AK382" s="84">
        <v>0</v>
      </c>
      <c r="BB382" s="471" t="s">
        <v>66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631</v>
      </c>
      <c r="B383" s="63" t="s">
        <v>632</v>
      </c>
      <c r="C383" s="36">
        <v>4301031154</v>
      </c>
      <c r="D383" s="658">
        <v>4607091387292</v>
      </c>
      <c r="E383" s="658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141</v>
      </c>
      <c r="L383" s="37" t="s">
        <v>46</v>
      </c>
      <c r="M383" s="38" t="s">
        <v>80</v>
      </c>
      <c r="N383" s="38"/>
      <c r="O383" s="37">
        <v>45</v>
      </c>
      <c r="P383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60"/>
      <c r="R383" s="660"/>
      <c r="S383" s="660"/>
      <c r="T383" s="661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2" t="s">
        <v>633</v>
      </c>
      <c r="AG383" s="78"/>
      <c r="AJ383" s="84" t="s">
        <v>46</v>
      </c>
      <c r="AK383" s="84">
        <v>0</v>
      </c>
      <c r="BB383" s="473" t="s">
        <v>66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634</v>
      </c>
      <c r="B384" s="63" t="s">
        <v>635</v>
      </c>
      <c r="C384" s="36">
        <v>4301031152</v>
      </c>
      <c r="D384" s="658">
        <v>4607091387285</v>
      </c>
      <c r="E384" s="658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81</v>
      </c>
      <c r="L384" s="37" t="s">
        <v>46</v>
      </c>
      <c r="M384" s="38" t="s">
        <v>80</v>
      </c>
      <c r="N384" s="38"/>
      <c r="O384" s="37">
        <v>40</v>
      </c>
      <c r="P384" s="7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60"/>
      <c r="R384" s="660"/>
      <c r="S384" s="660"/>
      <c r="T384" s="661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IFERROR(IF(Y384=0,"",ROUNDUP(Y384/H384,0)*0.00502),"")</f>
        <v/>
      </c>
      <c r="AA384" s="68" t="s">
        <v>46</v>
      </c>
      <c r="AB384" s="69" t="s">
        <v>46</v>
      </c>
      <c r="AC384" s="474" t="s">
        <v>630</v>
      </c>
      <c r="AG384" s="78"/>
      <c r="AJ384" s="84" t="s">
        <v>46</v>
      </c>
      <c r="AK384" s="84">
        <v>0</v>
      </c>
      <c r="BB384" s="475" t="s">
        <v>66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636</v>
      </c>
      <c r="B385" s="63" t="s">
        <v>637</v>
      </c>
      <c r="C385" s="36">
        <v>4301031305</v>
      </c>
      <c r="D385" s="658">
        <v>4607091389845</v>
      </c>
      <c r="E385" s="658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81</v>
      </c>
      <c r="L385" s="37" t="s">
        <v>46</v>
      </c>
      <c r="M385" s="38" t="s">
        <v>80</v>
      </c>
      <c r="N385" s="38"/>
      <c r="O385" s="37">
        <v>40</v>
      </c>
      <c r="P385" s="74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60"/>
      <c r="R385" s="660"/>
      <c r="S385" s="660"/>
      <c r="T385" s="661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IFERROR(IF(Y385=0,"",ROUNDUP(Y385/H385,0)*0.00502),"")</f>
        <v/>
      </c>
      <c r="AA385" s="68" t="s">
        <v>46</v>
      </c>
      <c r="AB385" s="69" t="s">
        <v>46</v>
      </c>
      <c r="AC385" s="476" t="s">
        <v>638</v>
      </c>
      <c r="AG385" s="78"/>
      <c r="AJ385" s="84" t="s">
        <v>46</v>
      </c>
      <c r="AK385" s="84">
        <v>0</v>
      </c>
      <c r="BB385" s="477" t="s">
        <v>66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ht="27" hidden="1" customHeight="1" x14ac:dyDescent="0.25">
      <c r="A386" s="63" t="s">
        <v>639</v>
      </c>
      <c r="B386" s="63" t="s">
        <v>640</v>
      </c>
      <c r="C386" s="36">
        <v>4301031460</v>
      </c>
      <c r="D386" s="658">
        <v>4680115887442</v>
      </c>
      <c r="E386" s="658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141</v>
      </c>
      <c r="L386" s="37" t="s">
        <v>46</v>
      </c>
      <c r="M386" s="38" t="s">
        <v>80</v>
      </c>
      <c r="N386" s="38"/>
      <c r="O386" s="37">
        <v>45</v>
      </c>
      <c r="P386" s="74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60"/>
      <c r="R386" s="660"/>
      <c r="S386" s="660"/>
      <c r="T386" s="661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633</v>
      </c>
      <c r="AG386" s="78"/>
      <c r="AJ386" s="84" t="s">
        <v>46</v>
      </c>
      <c r="AK386" s="84">
        <v>0</v>
      </c>
      <c r="BB386" s="479" t="s">
        <v>66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hidden="1" customHeight="1" x14ac:dyDescent="0.25">
      <c r="A387" s="63" t="s">
        <v>641</v>
      </c>
      <c r="B387" s="63" t="s">
        <v>642</v>
      </c>
      <c r="C387" s="36">
        <v>4301031066</v>
      </c>
      <c r="D387" s="658">
        <v>4607091383836</v>
      </c>
      <c r="E387" s="658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87</v>
      </c>
      <c r="L387" s="37" t="s">
        <v>46</v>
      </c>
      <c r="M387" s="38" t="s">
        <v>80</v>
      </c>
      <c r="N387" s="38"/>
      <c r="O387" s="37">
        <v>40</v>
      </c>
      <c r="P387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60"/>
      <c r="R387" s="660"/>
      <c r="S387" s="660"/>
      <c r="T387" s="661"/>
      <c r="U387" s="39" t="s">
        <v>46</v>
      </c>
      <c r="V387" s="39" t="s">
        <v>46</v>
      </c>
      <c r="W387" s="40" t="s">
        <v>0</v>
      </c>
      <c r="X387" s="58">
        <v>0</v>
      </c>
      <c r="Y387" s="55">
        <f t="shared" si="56"/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0" t="s">
        <v>643</v>
      </c>
      <c r="AG387" s="78"/>
      <c r="AJ387" s="84" t="s">
        <v>46</v>
      </c>
      <c r="AK387" s="84">
        <v>0</v>
      </c>
      <c r="BB387" s="481" t="s">
        <v>66</v>
      </c>
      <c r="BM387" s="78">
        <f t="shared" si="57"/>
        <v>0</v>
      </c>
      <c r="BN387" s="78">
        <f t="shared" si="58"/>
        <v>0</v>
      </c>
      <c r="BO387" s="78">
        <f t="shared" si="59"/>
        <v>0</v>
      </c>
      <c r="BP387" s="78">
        <f t="shared" si="60"/>
        <v>0</v>
      </c>
    </row>
    <row r="388" spans="1:68" hidden="1" x14ac:dyDescent="0.2">
      <c r="A388" s="648"/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9"/>
      <c r="P388" s="645" t="s">
        <v>40</v>
      </c>
      <c r="Q388" s="646"/>
      <c r="R388" s="646"/>
      <c r="S388" s="646"/>
      <c r="T388" s="646"/>
      <c r="U388" s="646"/>
      <c r="V388" s="647"/>
      <c r="W388" s="42" t="s">
        <v>39</v>
      </c>
      <c r="X388" s="43">
        <f>IFERROR(X381/H381,"0")+IFERROR(X382/H382,"0")+IFERROR(X383/H383,"0")+IFERROR(X384/H384,"0")+IFERROR(X385/H385,"0")+IFERROR(X386/H386,"0")+IFERROR(X387/H387,"0")</f>
        <v>0</v>
      </c>
      <c r="Y388" s="43">
        <f>IFERROR(Y381/H381,"0")+IFERROR(Y382/H382,"0")+IFERROR(Y383/H383,"0")+IFERROR(Y384/H384,"0")+IFERROR(Y385/H385,"0")+IFERROR(Y386/H386,"0")+IFERROR(Y387/H387,"0")</f>
        <v>0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648"/>
      <c r="B389" s="648"/>
      <c r="C389" s="648"/>
      <c r="D389" s="648"/>
      <c r="E389" s="648"/>
      <c r="F389" s="648"/>
      <c r="G389" s="648"/>
      <c r="H389" s="648"/>
      <c r="I389" s="648"/>
      <c r="J389" s="648"/>
      <c r="K389" s="648"/>
      <c r="L389" s="648"/>
      <c r="M389" s="648"/>
      <c r="N389" s="648"/>
      <c r="O389" s="649"/>
      <c r="P389" s="645" t="s">
        <v>40</v>
      </c>
      <c r="Q389" s="646"/>
      <c r="R389" s="646"/>
      <c r="S389" s="646"/>
      <c r="T389" s="646"/>
      <c r="U389" s="646"/>
      <c r="V389" s="647"/>
      <c r="W389" s="42" t="s">
        <v>0</v>
      </c>
      <c r="X389" s="43">
        <f>IFERROR(SUM(X381:X387),"0")</f>
        <v>0</v>
      </c>
      <c r="Y389" s="43">
        <f>IFERROR(SUM(Y381:Y387),"0")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57" t="s">
        <v>82</v>
      </c>
      <c r="B390" s="657"/>
      <c r="C390" s="657"/>
      <c r="D390" s="657"/>
      <c r="E390" s="657"/>
      <c r="F390" s="657"/>
      <c r="G390" s="657"/>
      <c r="H390" s="657"/>
      <c r="I390" s="657"/>
      <c r="J390" s="657"/>
      <c r="K390" s="657"/>
      <c r="L390" s="657"/>
      <c r="M390" s="657"/>
      <c r="N390" s="657"/>
      <c r="O390" s="657"/>
      <c r="P390" s="657"/>
      <c r="Q390" s="657"/>
      <c r="R390" s="657"/>
      <c r="S390" s="657"/>
      <c r="T390" s="657"/>
      <c r="U390" s="657"/>
      <c r="V390" s="657"/>
      <c r="W390" s="657"/>
      <c r="X390" s="657"/>
      <c r="Y390" s="657"/>
      <c r="Z390" s="657"/>
      <c r="AA390" s="66"/>
      <c r="AB390" s="66"/>
      <c r="AC390" s="80"/>
    </row>
    <row r="391" spans="1:68" ht="27" hidden="1" customHeight="1" x14ac:dyDescent="0.25">
      <c r="A391" s="63" t="s">
        <v>644</v>
      </c>
      <c r="B391" s="63" t="s">
        <v>645</v>
      </c>
      <c r="C391" s="36">
        <v>4301051100</v>
      </c>
      <c r="D391" s="658">
        <v>4607091387766</v>
      </c>
      <c r="E391" s="658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134</v>
      </c>
      <c r="L391" s="37" t="s">
        <v>46</v>
      </c>
      <c r="M391" s="38" t="s">
        <v>86</v>
      </c>
      <c r="N391" s="38"/>
      <c r="O391" s="37">
        <v>40</v>
      </c>
      <c r="P391" s="7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60"/>
      <c r="R391" s="660"/>
      <c r="S391" s="660"/>
      <c r="T391" s="661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4301051818</v>
      </c>
      <c r="D392" s="658">
        <v>4607091387957</v>
      </c>
      <c r="E392" s="658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134</v>
      </c>
      <c r="L392" s="37" t="s">
        <v>46</v>
      </c>
      <c r="M392" s="38" t="s">
        <v>86</v>
      </c>
      <c r="N392" s="38"/>
      <c r="O392" s="37">
        <v>40</v>
      </c>
      <c r="P392" s="7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60"/>
      <c r="R392" s="660"/>
      <c r="S392" s="660"/>
      <c r="T392" s="66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649</v>
      </c>
      <c r="AG392" s="78"/>
      <c r="AJ392" s="84" t="s">
        <v>46</v>
      </c>
      <c r="AK392" s="84">
        <v>0</v>
      </c>
      <c r="BB392" s="485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650</v>
      </c>
      <c r="B393" s="63" t="s">
        <v>651</v>
      </c>
      <c r="C393" s="36">
        <v>4301051819</v>
      </c>
      <c r="D393" s="658">
        <v>4607091387964</v>
      </c>
      <c r="E393" s="658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134</v>
      </c>
      <c r="L393" s="37" t="s">
        <v>46</v>
      </c>
      <c r="M393" s="38" t="s">
        <v>86</v>
      </c>
      <c r="N393" s="38"/>
      <c r="O393" s="37">
        <v>40</v>
      </c>
      <c r="P393" s="7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60"/>
      <c r="R393" s="660"/>
      <c r="S393" s="660"/>
      <c r="T393" s="66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652</v>
      </c>
      <c r="AG393" s="78"/>
      <c r="AJ393" s="84" t="s">
        <v>46</v>
      </c>
      <c r="AK393" s="84">
        <v>0</v>
      </c>
      <c r="BB393" s="487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653</v>
      </c>
      <c r="B394" s="63" t="s">
        <v>654</v>
      </c>
      <c r="C394" s="36">
        <v>4301051734</v>
      </c>
      <c r="D394" s="658">
        <v>4680115884588</v>
      </c>
      <c r="E394" s="658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87</v>
      </c>
      <c r="L394" s="37" t="s">
        <v>46</v>
      </c>
      <c r="M394" s="38" t="s">
        <v>86</v>
      </c>
      <c r="N394" s="38"/>
      <c r="O394" s="37">
        <v>40</v>
      </c>
      <c r="P394" s="7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60"/>
      <c r="R394" s="660"/>
      <c r="S394" s="660"/>
      <c r="T394" s="66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8" t="s">
        <v>646</v>
      </c>
      <c r="AG394" s="78"/>
      <c r="AJ394" s="84" t="s">
        <v>46</v>
      </c>
      <c r="AK394" s="84">
        <v>0</v>
      </c>
      <c r="BB394" s="489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48"/>
      <c r="B395" s="648"/>
      <c r="C395" s="648"/>
      <c r="D395" s="648"/>
      <c r="E395" s="648"/>
      <c r="F395" s="648"/>
      <c r="G395" s="648"/>
      <c r="H395" s="648"/>
      <c r="I395" s="648"/>
      <c r="J395" s="648"/>
      <c r="K395" s="648"/>
      <c r="L395" s="648"/>
      <c r="M395" s="648"/>
      <c r="N395" s="648"/>
      <c r="O395" s="649"/>
      <c r="P395" s="645" t="s">
        <v>40</v>
      </c>
      <c r="Q395" s="646"/>
      <c r="R395" s="646"/>
      <c r="S395" s="646"/>
      <c r="T395" s="646"/>
      <c r="U395" s="646"/>
      <c r="V395" s="647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48"/>
      <c r="B396" s="648"/>
      <c r="C396" s="648"/>
      <c r="D396" s="648"/>
      <c r="E396" s="648"/>
      <c r="F396" s="648"/>
      <c r="G396" s="648"/>
      <c r="H396" s="648"/>
      <c r="I396" s="648"/>
      <c r="J396" s="648"/>
      <c r="K396" s="648"/>
      <c r="L396" s="648"/>
      <c r="M396" s="648"/>
      <c r="N396" s="648"/>
      <c r="O396" s="649"/>
      <c r="P396" s="645" t="s">
        <v>40</v>
      </c>
      <c r="Q396" s="646"/>
      <c r="R396" s="646"/>
      <c r="S396" s="646"/>
      <c r="T396" s="646"/>
      <c r="U396" s="646"/>
      <c r="V396" s="647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57" t="s">
        <v>183</v>
      </c>
      <c r="B397" s="657"/>
      <c r="C397" s="657"/>
      <c r="D397" s="657"/>
      <c r="E397" s="657"/>
      <c r="F397" s="657"/>
      <c r="G397" s="657"/>
      <c r="H397" s="657"/>
      <c r="I397" s="657"/>
      <c r="J397" s="657"/>
      <c r="K397" s="657"/>
      <c r="L397" s="657"/>
      <c r="M397" s="657"/>
      <c r="N397" s="657"/>
      <c r="O397" s="657"/>
      <c r="P397" s="657"/>
      <c r="Q397" s="657"/>
      <c r="R397" s="657"/>
      <c r="S397" s="657"/>
      <c r="T397" s="657"/>
      <c r="U397" s="657"/>
      <c r="V397" s="657"/>
      <c r="W397" s="657"/>
      <c r="X397" s="657"/>
      <c r="Y397" s="657"/>
      <c r="Z397" s="657"/>
      <c r="AA397" s="66"/>
      <c r="AB397" s="66"/>
      <c r="AC397" s="80"/>
    </row>
    <row r="398" spans="1:68" ht="27" hidden="1" customHeight="1" x14ac:dyDescent="0.25">
      <c r="A398" s="63" t="s">
        <v>655</v>
      </c>
      <c r="B398" s="63" t="s">
        <v>656</v>
      </c>
      <c r="C398" s="36">
        <v>4301060387</v>
      </c>
      <c r="D398" s="658">
        <v>4607091380880</v>
      </c>
      <c r="E398" s="658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134</v>
      </c>
      <c r="L398" s="37" t="s">
        <v>46</v>
      </c>
      <c r="M398" s="38" t="s">
        <v>86</v>
      </c>
      <c r="N398" s="38"/>
      <c r="O398" s="37">
        <v>30</v>
      </c>
      <c r="P398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60"/>
      <c r="R398" s="660"/>
      <c r="S398" s="660"/>
      <c r="T398" s="661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658</v>
      </c>
      <c r="B399" s="63" t="s">
        <v>659</v>
      </c>
      <c r="C399" s="36">
        <v>4301060406</v>
      </c>
      <c r="D399" s="658">
        <v>4607091384482</v>
      </c>
      <c r="E399" s="658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134</v>
      </c>
      <c r="L399" s="37" t="s">
        <v>46</v>
      </c>
      <c r="M399" s="38" t="s">
        <v>86</v>
      </c>
      <c r="N399" s="38"/>
      <c r="O399" s="37">
        <v>30</v>
      </c>
      <c r="P399" s="7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60"/>
      <c r="R399" s="660"/>
      <c r="S399" s="660"/>
      <c r="T399" s="661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660</v>
      </c>
      <c r="AG399" s="78"/>
      <c r="AJ399" s="84" t="s">
        <v>46</v>
      </c>
      <c r="AK399" s="84">
        <v>0</v>
      </c>
      <c r="BB399" s="493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661</v>
      </c>
      <c r="B400" s="63" t="s">
        <v>662</v>
      </c>
      <c r="C400" s="36">
        <v>4301060484</v>
      </c>
      <c r="D400" s="658">
        <v>4607091380897</v>
      </c>
      <c r="E400" s="658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134</v>
      </c>
      <c r="L400" s="37" t="s">
        <v>46</v>
      </c>
      <c r="M400" s="38" t="s">
        <v>93</v>
      </c>
      <c r="N400" s="38"/>
      <c r="O400" s="37">
        <v>30</v>
      </c>
      <c r="P400" s="7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60"/>
      <c r="R400" s="660"/>
      <c r="S400" s="660"/>
      <c r="T400" s="661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94" t="s">
        <v>663</v>
      </c>
      <c r="AG400" s="78"/>
      <c r="AJ400" s="84" t="s">
        <v>46</v>
      </c>
      <c r="AK400" s="84">
        <v>0</v>
      </c>
      <c r="BB400" s="495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8"/>
      <c r="B401" s="648"/>
      <c r="C401" s="648"/>
      <c r="D401" s="648"/>
      <c r="E401" s="648"/>
      <c r="F401" s="648"/>
      <c r="G401" s="648"/>
      <c r="H401" s="648"/>
      <c r="I401" s="648"/>
      <c r="J401" s="648"/>
      <c r="K401" s="648"/>
      <c r="L401" s="648"/>
      <c r="M401" s="648"/>
      <c r="N401" s="648"/>
      <c r="O401" s="649"/>
      <c r="P401" s="645" t="s">
        <v>40</v>
      </c>
      <c r="Q401" s="646"/>
      <c r="R401" s="646"/>
      <c r="S401" s="646"/>
      <c r="T401" s="646"/>
      <c r="U401" s="646"/>
      <c r="V401" s="647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8"/>
      <c r="B402" s="648"/>
      <c r="C402" s="648"/>
      <c r="D402" s="648"/>
      <c r="E402" s="648"/>
      <c r="F402" s="648"/>
      <c r="G402" s="648"/>
      <c r="H402" s="648"/>
      <c r="I402" s="648"/>
      <c r="J402" s="648"/>
      <c r="K402" s="648"/>
      <c r="L402" s="648"/>
      <c r="M402" s="648"/>
      <c r="N402" s="648"/>
      <c r="O402" s="649"/>
      <c r="P402" s="645" t="s">
        <v>40</v>
      </c>
      <c r="Q402" s="646"/>
      <c r="R402" s="646"/>
      <c r="S402" s="646"/>
      <c r="T402" s="646"/>
      <c r="U402" s="646"/>
      <c r="V402" s="647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7" t="s">
        <v>100</v>
      </c>
      <c r="B403" s="657"/>
      <c r="C403" s="657"/>
      <c r="D403" s="657"/>
      <c r="E403" s="657"/>
      <c r="F403" s="657"/>
      <c r="G403" s="657"/>
      <c r="H403" s="657"/>
      <c r="I403" s="657"/>
      <c r="J403" s="657"/>
      <c r="K403" s="657"/>
      <c r="L403" s="657"/>
      <c r="M403" s="657"/>
      <c r="N403" s="657"/>
      <c r="O403" s="657"/>
      <c r="P403" s="657"/>
      <c r="Q403" s="657"/>
      <c r="R403" s="657"/>
      <c r="S403" s="657"/>
      <c r="T403" s="657"/>
      <c r="U403" s="657"/>
      <c r="V403" s="657"/>
      <c r="W403" s="657"/>
      <c r="X403" s="657"/>
      <c r="Y403" s="657"/>
      <c r="Z403" s="657"/>
      <c r="AA403" s="66"/>
      <c r="AB403" s="66"/>
      <c r="AC403" s="80"/>
    </row>
    <row r="404" spans="1:68" ht="27" hidden="1" customHeight="1" x14ac:dyDescent="0.25">
      <c r="A404" s="63" t="s">
        <v>664</v>
      </c>
      <c r="B404" s="63" t="s">
        <v>665</v>
      </c>
      <c r="C404" s="36">
        <v>4301030235</v>
      </c>
      <c r="D404" s="658">
        <v>4607091388381</v>
      </c>
      <c r="E404" s="658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141</v>
      </c>
      <c r="L404" s="37" t="s">
        <v>46</v>
      </c>
      <c r="M404" s="38" t="s">
        <v>262</v>
      </c>
      <c r="N404" s="38"/>
      <c r="O404" s="37">
        <v>180</v>
      </c>
      <c r="P404" s="73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60"/>
      <c r="R404" s="660"/>
      <c r="S404" s="660"/>
      <c r="T404" s="661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6" t="s">
        <v>666</v>
      </c>
      <c r="AG404" s="78"/>
      <c r="AJ404" s="84" t="s">
        <v>46</v>
      </c>
      <c r="AK404" s="84">
        <v>0</v>
      </c>
      <c r="BB404" s="49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667</v>
      </c>
      <c r="B405" s="63" t="s">
        <v>668</v>
      </c>
      <c r="C405" s="36">
        <v>4301030232</v>
      </c>
      <c r="D405" s="658">
        <v>4607091388374</v>
      </c>
      <c r="E405" s="658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141</v>
      </c>
      <c r="L405" s="37" t="s">
        <v>46</v>
      </c>
      <c r="M405" s="38" t="s">
        <v>262</v>
      </c>
      <c r="N405" s="38"/>
      <c r="O405" s="37">
        <v>180</v>
      </c>
      <c r="P405" s="73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60"/>
      <c r="R405" s="660"/>
      <c r="S405" s="660"/>
      <c r="T405" s="661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666</v>
      </c>
      <c r="AG405" s="78"/>
      <c r="AJ405" s="84" t="s">
        <v>46</v>
      </c>
      <c r="AK405" s="84">
        <v>0</v>
      </c>
      <c r="BB405" s="49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669</v>
      </c>
      <c r="B406" s="63" t="s">
        <v>670</v>
      </c>
      <c r="C406" s="36">
        <v>4301032015</v>
      </c>
      <c r="D406" s="658">
        <v>4607091383102</v>
      </c>
      <c r="E406" s="658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87</v>
      </c>
      <c r="L406" s="37" t="s">
        <v>46</v>
      </c>
      <c r="M406" s="38" t="s">
        <v>262</v>
      </c>
      <c r="N406" s="38"/>
      <c r="O406" s="37">
        <v>180</v>
      </c>
      <c r="P406" s="7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60"/>
      <c r="R406" s="660"/>
      <c r="S406" s="660"/>
      <c r="T406" s="661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666</v>
      </c>
      <c r="AG406" s="78"/>
      <c r="AJ406" s="84" t="s">
        <v>46</v>
      </c>
      <c r="AK406" s="84">
        <v>0</v>
      </c>
      <c r="BB406" s="501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671</v>
      </c>
      <c r="B407" s="63" t="s">
        <v>672</v>
      </c>
      <c r="C407" s="36">
        <v>4301030233</v>
      </c>
      <c r="D407" s="658">
        <v>4607091388404</v>
      </c>
      <c r="E407" s="658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87</v>
      </c>
      <c r="L407" s="37" t="s">
        <v>46</v>
      </c>
      <c r="M407" s="38" t="s">
        <v>262</v>
      </c>
      <c r="N407" s="38"/>
      <c r="O407" s="37">
        <v>180</v>
      </c>
      <c r="P407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60"/>
      <c r="R407" s="660"/>
      <c r="S407" s="660"/>
      <c r="T407" s="661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666</v>
      </c>
      <c r="AG407" s="78"/>
      <c r="AJ407" s="84" t="s">
        <v>46</v>
      </c>
      <c r="AK407" s="84">
        <v>0</v>
      </c>
      <c r="BB407" s="503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48"/>
      <c r="B408" s="648"/>
      <c r="C408" s="648"/>
      <c r="D408" s="648"/>
      <c r="E408" s="648"/>
      <c r="F408" s="648"/>
      <c r="G408" s="648"/>
      <c r="H408" s="648"/>
      <c r="I408" s="648"/>
      <c r="J408" s="648"/>
      <c r="K408" s="648"/>
      <c r="L408" s="648"/>
      <c r="M408" s="648"/>
      <c r="N408" s="648"/>
      <c r="O408" s="649"/>
      <c r="P408" s="645" t="s">
        <v>40</v>
      </c>
      <c r="Q408" s="646"/>
      <c r="R408" s="646"/>
      <c r="S408" s="646"/>
      <c r="T408" s="646"/>
      <c r="U408" s="646"/>
      <c r="V408" s="647"/>
      <c r="W408" s="42" t="s">
        <v>39</v>
      </c>
      <c r="X408" s="43">
        <f>IFERROR(X404/H404,"0")+IFERROR(X405/H405,"0")+IFERROR(X406/H406,"0")+IFERROR(X407/H407,"0")</f>
        <v>0</v>
      </c>
      <c r="Y408" s="43">
        <f>IFERROR(Y404/H404,"0")+IFERROR(Y405/H405,"0")+IFERROR(Y406/H406,"0")+IFERROR(Y407/H407,"0")</f>
        <v>0</v>
      </c>
      <c r="Z408" s="43">
        <f>IFERROR(IF(Z404="",0,Z404),"0")+IFERROR(IF(Z405="",0,Z405),"0")+IFERROR(IF(Z406="",0,Z406),"0")+IFERROR(IF(Z407="",0,Z407),"0")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48"/>
      <c r="B409" s="648"/>
      <c r="C409" s="648"/>
      <c r="D409" s="648"/>
      <c r="E409" s="648"/>
      <c r="F409" s="648"/>
      <c r="G409" s="648"/>
      <c r="H409" s="648"/>
      <c r="I409" s="648"/>
      <c r="J409" s="648"/>
      <c r="K409" s="648"/>
      <c r="L409" s="648"/>
      <c r="M409" s="648"/>
      <c r="N409" s="648"/>
      <c r="O409" s="649"/>
      <c r="P409" s="645" t="s">
        <v>40</v>
      </c>
      <c r="Q409" s="646"/>
      <c r="R409" s="646"/>
      <c r="S409" s="646"/>
      <c r="T409" s="646"/>
      <c r="U409" s="646"/>
      <c r="V409" s="647"/>
      <c r="W409" s="42" t="s">
        <v>0</v>
      </c>
      <c r="X409" s="43">
        <f>IFERROR(SUM(X404:X407),"0")</f>
        <v>0</v>
      </c>
      <c r="Y409" s="43">
        <f>IFERROR(SUM(Y404:Y407),"0")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57" t="s">
        <v>673</v>
      </c>
      <c r="B410" s="657"/>
      <c r="C410" s="657"/>
      <c r="D410" s="657"/>
      <c r="E410" s="657"/>
      <c r="F410" s="657"/>
      <c r="G410" s="657"/>
      <c r="H410" s="657"/>
      <c r="I410" s="657"/>
      <c r="J410" s="657"/>
      <c r="K410" s="657"/>
      <c r="L410" s="657"/>
      <c r="M410" s="657"/>
      <c r="N410" s="657"/>
      <c r="O410" s="657"/>
      <c r="P410" s="657"/>
      <c r="Q410" s="657"/>
      <c r="R410" s="657"/>
      <c r="S410" s="657"/>
      <c r="T410" s="657"/>
      <c r="U410" s="657"/>
      <c r="V410" s="657"/>
      <c r="W410" s="657"/>
      <c r="X410" s="657"/>
      <c r="Y410" s="657"/>
      <c r="Z410" s="657"/>
      <c r="AA410" s="66"/>
      <c r="AB410" s="66"/>
      <c r="AC410" s="80"/>
    </row>
    <row r="411" spans="1:68" ht="16.5" hidden="1" customHeight="1" x14ac:dyDescent="0.25">
      <c r="A411" s="63" t="s">
        <v>674</v>
      </c>
      <c r="B411" s="63" t="s">
        <v>675</v>
      </c>
      <c r="C411" s="36">
        <v>4301180007</v>
      </c>
      <c r="D411" s="658">
        <v>4680115881808</v>
      </c>
      <c r="E411" s="658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87</v>
      </c>
      <c r="L411" s="37" t="s">
        <v>46</v>
      </c>
      <c r="M411" s="38" t="s">
        <v>677</v>
      </c>
      <c r="N411" s="38"/>
      <c r="O411" s="37">
        <v>731</v>
      </c>
      <c r="P411" s="72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60"/>
      <c r="R411" s="660"/>
      <c r="S411" s="660"/>
      <c r="T411" s="661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676</v>
      </c>
      <c r="AG411" s="78"/>
      <c r="AJ411" s="84" t="s">
        <v>46</v>
      </c>
      <c r="AK411" s="84">
        <v>0</v>
      </c>
      <c r="BB411" s="505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678</v>
      </c>
      <c r="B412" s="63" t="s">
        <v>679</v>
      </c>
      <c r="C412" s="36">
        <v>4301180006</v>
      </c>
      <c r="D412" s="658">
        <v>4680115881822</v>
      </c>
      <c r="E412" s="658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87</v>
      </c>
      <c r="L412" s="37" t="s">
        <v>46</v>
      </c>
      <c r="M412" s="38" t="s">
        <v>677</v>
      </c>
      <c r="N412" s="38"/>
      <c r="O412" s="37">
        <v>731</v>
      </c>
      <c r="P412" s="7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60"/>
      <c r="R412" s="660"/>
      <c r="S412" s="660"/>
      <c r="T412" s="661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IFERROR(IF(Y412=0,"",ROUNDUP(Y412/H412,0)*0.00474),"")</f>
        <v/>
      </c>
      <c r="AA412" s="68" t="s">
        <v>46</v>
      </c>
      <c r="AB412" s="69" t="s">
        <v>46</v>
      </c>
      <c r="AC412" s="506" t="s">
        <v>676</v>
      </c>
      <c r="AG412" s="78"/>
      <c r="AJ412" s="84" t="s">
        <v>46</v>
      </c>
      <c r="AK412" s="84">
        <v>0</v>
      </c>
      <c r="BB412" s="507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680</v>
      </c>
      <c r="B413" s="63" t="s">
        <v>681</v>
      </c>
      <c r="C413" s="36">
        <v>4301180001</v>
      </c>
      <c r="D413" s="658">
        <v>4680115880016</v>
      </c>
      <c r="E413" s="658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87</v>
      </c>
      <c r="L413" s="37" t="s">
        <v>46</v>
      </c>
      <c r="M413" s="38" t="s">
        <v>677</v>
      </c>
      <c r="N413" s="38"/>
      <c r="O413" s="37">
        <v>731</v>
      </c>
      <c r="P413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60"/>
      <c r="R413" s="660"/>
      <c r="S413" s="660"/>
      <c r="T413" s="661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IFERROR(IF(Y413=0,"",ROUNDUP(Y413/H413,0)*0.00474),"")</f>
        <v/>
      </c>
      <c r="AA413" s="68" t="s">
        <v>46</v>
      </c>
      <c r="AB413" s="69" t="s">
        <v>46</v>
      </c>
      <c r="AC413" s="508" t="s">
        <v>676</v>
      </c>
      <c r="AG413" s="78"/>
      <c r="AJ413" s="84" t="s">
        <v>46</v>
      </c>
      <c r="AK413" s="84">
        <v>0</v>
      </c>
      <c r="BB413" s="509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48"/>
      <c r="B414" s="648"/>
      <c r="C414" s="648"/>
      <c r="D414" s="648"/>
      <c r="E414" s="648"/>
      <c r="F414" s="648"/>
      <c r="G414" s="648"/>
      <c r="H414" s="648"/>
      <c r="I414" s="648"/>
      <c r="J414" s="648"/>
      <c r="K414" s="648"/>
      <c r="L414" s="648"/>
      <c r="M414" s="648"/>
      <c r="N414" s="648"/>
      <c r="O414" s="649"/>
      <c r="P414" s="645" t="s">
        <v>40</v>
      </c>
      <c r="Q414" s="646"/>
      <c r="R414" s="646"/>
      <c r="S414" s="646"/>
      <c r="T414" s="646"/>
      <c r="U414" s="646"/>
      <c r="V414" s="647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48"/>
      <c r="B415" s="648"/>
      <c r="C415" s="648"/>
      <c r="D415" s="648"/>
      <c r="E415" s="648"/>
      <c r="F415" s="648"/>
      <c r="G415" s="648"/>
      <c r="H415" s="648"/>
      <c r="I415" s="648"/>
      <c r="J415" s="648"/>
      <c r="K415" s="648"/>
      <c r="L415" s="648"/>
      <c r="M415" s="648"/>
      <c r="N415" s="648"/>
      <c r="O415" s="649"/>
      <c r="P415" s="645" t="s">
        <v>40</v>
      </c>
      <c r="Q415" s="646"/>
      <c r="R415" s="646"/>
      <c r="S415" s="646"/>
      <c r="T415" s="646"/>
      <c r="U415" s="646"/>
      <c r="V415" s="647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4.25" hidden="1" customHeight="1" x14ac:dyDescent="0.25">
      <c r="A416" s="657" t="s">
        <v>682</v>
      </c>
      <c r="B416" s="657"/>
      <c r="C416" s="657"/>
      <c r="D416" s="657"/>
      <c r="E416" s="657"/>
      <c r="F416" s="657"/>
      <c r="G416" s="657"/>
      <c r="H416" s="657"/>
      <c r="I416" s="657"/>
      <c r="J416" s="657"/>
      <c r="K416" s="657"/>
      <c r="L416" s="657"/>
      <c r="M416" s="657"/>
      <c r="N416" s="657"/>
      <c r="O416" s="657"/>
      <c r="P416" s="657"/>
      <c r="Q416" s="657"/>
      <c r="R416" s="657"/>
      <c r="S416" s="657"/>
      <c r="T416" s="657"/>
      <c r="U416" s="657"/>
      <c r="V416" s="657"/>
      <c r="W416" s="657"/>
      <c r="X416" s="657"/>
      <c r="Y416" s="657"/>
      <c r="Z416" s="657"/>
      <c r="AA416" s="66"/>
      <c r="AB416" s="66"/>
      <c r="AC416" s="80"/>
    </row>
    <row r="417" spans="1:68" ht="27" hidden="1" customHeight="1" x14ac:dyDescent="0.25">
      <c r="A417" s="63" t="s">
        <v>683</v>
      </c>
      <c r="B417" s="63" t="s">
        <v>684</v>
      </c>
      <c r="C417" s="36">
        <v>4301220003</v>
      </c>
      <c r="D417" s="658">
        <v>4680115888678</v>
      </c>
      <c r="E417" s="658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87</v>
      </c>
      <c r="L417" s="37" t="s">
        <v>46</v>
      </c>
      <c r="M417" s="38" t="s">
        <v>677</v>
      </c>
      <c r="N417" s="38"/>
      <c r="O417" s="37">
        <v>1096</v>
      </c>
      <c r="P417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60"/>
      <c r="R417" s="660"/>
      <c r="S417" s="660"/>
      <c r="T417" s="661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685</v>
      </c>
      <c r="AG417" s="78"/>
      <c r="AJ417" s="84" t="s">
        <v>46</v>
      </c>
      <c r="AK417" s="84">
        <v>0</v>
      </c>
      <c r="BB417" s="511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686</v>
      </c>
      <c r="B418" s="63" t="s">
        <v>687</v>
      </c>
      <c r="C418" s="36">
        <v>4301220001</v>
      </c>
      <c r="D418" s="658">
        <v>4680115888654</v>
      </c>
      <c r="E418" s="658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141</v>
      </c>
      <c r="L418" s="37" t="s">
        <v>46</v>
      </c>
      <c r="M418" s="38" t="s">
        <v>677</v>
      </c>
      <c r="N418" s="38"/>
      <c r="O418" s="37">
        <v>1096</v>
      </c>
      <c r="P418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60"/>
      <c r="R418" s="660"/>
      <c r="S418" s="660"/>
      <c r="T418" s="661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IFERROR(IF(Y418=0,"",ROUNDUP(Y418/H418,0)*0.006),"")</f>
        <v/>
      </c>
      <c r="AA418" s="68" t="s">
        <v>46</v>
      </c>
      <c r="AB418" s="69" t="s">
        <v>46</v>
      </c>
      <c r="AC418" s="512" t="s">
        <v>688</v>
      </c>
      <c r="AG418" s="78"/>
      <c r="AJ418" s="84" t="s">
        <v>46</v>
      </c>
      <c r="AK418" s="84">
        <v>0</v>
      </c>
      <c r="BB418" s="513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689</v>
      </c>
      <c r="B419" s="63" t="s">
        <v>690</v>
      </c>
      <c r="C419" s="36">
        <v>4301220002</v>
      </c>
      <c r="D419" s="658">
        <v>4680115888753</v>
      </c>
      <c r="E419" s="658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87</v>
      </c>
      <c r="L419" s="37" t="s">
        <v>46</v>
      </c>
      <c r="M419" s="38" t="s">
        <v>677</v>
      </c>
      <c r="N419" s="38"/>
      <c r="O419" s="37">
        <v>1096</v>
      </c>
      <c r="P419" s="7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60"/>
      <c r="R419" s="660"/>
      <c r="S419" s="660"/>
      <c r="T419" s="66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685</v>
      </c>
      <c r="AG419" s="78"/>
      <c r="AJ419" s="84" t="s">
        <v>46</v>
      </c>
      <c r="AK419" s="84">
        <v>0</v>
      </c>
      <c r="BB419" s="515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48"/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49"/>
      <c r="P420" s="645" t="s">
        <v>40</v>
      </c>
      <c r="Q420" s="646"/>
      <c r="R420" s="646"/>
      <c r="S420" s="646"/>
      <c r="T420" s="646"/>
      <c r="U420" s="646"/>
      <c r="V420" s="647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648"/>
      <c r="B421" s="648"/>
      <c r="C421" s="648"/>
      <c r="D421" s="648"/>
      <c r="E421" s="648"/>
      <c r="F421" s="648"/>
      <c r="G421" s="648"/>
      <c r="H421" s="648"/>
      <c r="I421" s="648"/>
      <c r="J421" s="648"/>
      <c r="K421" s="648"/>
      <c r="L421" s="648"/>
      <c r="M421" s="648"/>
      <c r="N421" s="648"/>
      <c r="O421" s="649"/>
      <c r="P421" s="645" t="s">
        <v>40</v>
      </c>
      <c r="Q421" s="646"/>
      <c r="R421" s="646"/>
      <c r="S421" s="646"/>
      <c r="T421" s="646"/>
      <c r="U421" s="646"/>
      <c r="V421" s="647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4" t="s">
        <v>691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65"/>
      <c r="AB422" s="65"/>
      <c r="AC422" s="79"/>
    </row>
    <row r="423" spans="1:68" ht="14.25" hidden="1" customHeight="1" x14ac:dyDescent="0.25">
      <c r="A423" s="657" t="s">
        <v>82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6"/>
      <c r="AB423" s="66"/>
      <c r="AC423" s="80"/>
    </row>
    <row r="424" spans="1:68" ht="16.5" hidden="1" customHeight="1" x14ac:dyDescent="0.25">
      <c r="A424" s="63" t="s">
        <v>692</v>
      </c>
      <c r="B424" s="63" t="s">
        <v>693</v>
      </c>
      <c r="C424" s="36">
        <v>4301052283</v>
      </c>
      <c r="D424" s="658">
        <v>4660663720026</v>
      </c>
      <c r="E424" s="658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134</v>
      </c>
      <c r="L424" s="37" t="s">
        <v>46</v>
      </c>
      <c r="M424" s="38" t="s">
        <v>86</v>
      </c>
      <c r="N424" s="38"/>
      <c r="O424" s="37">
        <v>40</v>
      </c>
      <c r="P424" s="723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60"/>
      <c r="R424" s="660"/>
      <c r="S424" s="660"/>
      <c r="T424" s="661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695</v>
      </c>
      <c r="B425" s="63" t="s">
        <v>696</v>
      </c>
      <c r="C425" s="36">
        <v>4301052236</v>
      </c>
      <c r="D425" s="658">
        <v>4680115889422</v>
      </c>
      <c r="E425" s="658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134</v>
      </c>
      <c r="L425" s="37" t="s">
        <v>46</v>
      </c>
      <c r="M425" s="38" t="s">
        <v>86</v>
      </c>
      <c r="N425" s="38"/>
      <c r="O425" s="37">
        <v>40</v>
      </c>
      <c r="P425" s="72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60"/>
      <c r="R425" s="660"/>
      <c r="S425" s="660"/>
      <c r="T425" s="661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697</v>
      </c>
      <c r="AG425" s="78"/>
      <c r="AJ425" s="84" t="s">
        <v>46</v>
      </c>
      <c r="AK425" s="84">
        <v>0</v>
      </c>
      <c r="BB425" s="519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hidden="1" customHeight="1" x14ac:dyDescent="0.25">
      <c r="A426" s="63" t="s">
        <v>695</v>
      </c>
      <c r="B426" s="63" t="s">
        <v>698</v>
      </c>
      <c r="C426" s="36">
        <v>4301052284</v>
      </c>
      <c r="D426" s="658">
        <v>4680115889972</v>
      </c>
      <c r="E426" s="658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134</v>
      </c>
      <c r="L426" s="37" t="s">
        <v>46</v>
      </c>
      <c r="M426" s="38" t="s">
        <v>86</v>
      </c>
      <c r="N426" s="38"/>
      <c r="O426" s="37">
        <v>40</v>
      </c>
      <c r="P426" s="725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60"/>
      <c r="R426" s="660"/>
      <c r="S426" s="660"/>
      <c r="T426" s="661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699</v>
      </c>
      <c r="AG426" s="78"/>
      <c r="AJ426" s="84" t="s">
        <v>46</v>
      </c>
      <c r="AK426" s="84">
        <v>0</v>
      </c>
      <c r="BB426" s="521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48"/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9"/>
      <c r="P427" s="645" t="s">
        <v>40</v>
      </c>
      <c r="Q427" s="646"/>
      <c r="R427" s="646"/>
      <c r="S427" s="646"/>
      <c r="T427" s="646"/>
      <c r="U427" s="646"/>
      <c r="V427" s="647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48"/>
      <c r="B428" s="648"/>
      <c r="C428" s="648"/>
      <c r="D428" s="648"/>
      <c r="E428" s="648"/>
      <c r="F428" s="648"/>
      <c r="G428" s="648"/>
      <c r="H428" s="648"/>
      <c r="I428" s="648"/>
      <c r="J428" s="648"/>
      <c r="K428" s="648"/>
      <c r="L428" s="648"/>
      <c r="M428" s="648"/>
      <c r="N428" s="648"/>
      <c r="O428" s="649"/>
      <c r="P428" s="645" t="s">
        <v>40</v>
      </c>
      <c r="Q428" s="646"/>
      <c r="R428" s="646"/>
      <c r="S428" s="646"/>
      <c r="T428" s="646"/>
      <c r="U428" s="646"/>
      <c r="V428" s="647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6.5" hidden="1" customHeight="1" x14ac:dyDescent="0.25">
      <c r="A429" s="664" t="s">
        <v>700</v>
      </c>
      <c r="B429" s="664"/>
      <c r="C429" s="664"/>
      <c r="D429" s="664"/>
      <c r="E429" s="664"/>
      <c r="F429" s="664"/>
      <c r="G429" s="664"/>
      <c r="H429" s="664"/>
      <c r="I429" s="664"/>
      <c r="J429" s="664"/>
      <c r="K429" s="664"/>
      <c r="L429" s="664"/>
      <c r="M429" s="664"/>
      <c r="N429" s="664"/>
      <c r="O429" s="664"/>
      <c r="P429" s="664"/>
      <c r="Q429" s="664"/>
      <c r="R429" s="664"/>
      <c r="S429" s="664"/>
      <c r="T429" s="664"/>
      <c r="U429" s="664"/>
      <c r="V429" s="664"/>
      <c r="W429" s="664"/>
      <c r="X429" s="664"/>
      <c r="Y429" s="664"/>
      <c r="Z429" s="664"/>
      <c r="AA429" s="65"/>
      <c r="AB429" s="65"/>
      <c r="AC429" s="79"/>
    </row>
    <row r="430" spans="1:68" ht="14.25" hidden="1" customHeight="1" x14ac:dyDescent="0.25">
      <c r="A430" s="657" t="s">
        <v>82</v>
      </c>
      <c r="B430" s="657"/>
      <c r="C430" s="657"/>
      <c r="D430" s="657"/>
      <c r="E430" s="657"/>
      <c r="F430" s="657"/>
      <c r="G430" s="657"/>
      <c r="H430" s="657"/>
      <c r="I430" s="657"/>
      <c r="J430" s="657"/>
      <c r="K430" s="657"/>
      <c r="L430" s="657"/>
      <c r="M430" s="657"/>
      <c r="N430" s="657"/>
      <c r="O430" s="657"/>
      <c r="P430" s="657"/>
      <c r="Q430" s="657"/>
      <c r="R430" s="657"/>
      <c r="S430" s="657"/>
      <c r="T430" s="657"/>
      <c r="U430" s="657"/>
      <c r="V430" s="657"/>
      <c r="W430" s="657"/>
      <c r="X430" s="657"/>
      <c r="Y430" s="657"/>
      <c r="Z430" s="657"/>
      <c r="AA430" s="66"/>
      <c r="AB430" s="66"/>
      <c r="AC430" s="80"/>
    </row>
    <row r="431" spans="1:68" ht="27" hidden="1" customHeight="1" x14ac:dyDescent="0.25">
      <c r="A431" s="63" t="s">
        <v>701</v>
      </c>
      <c r="B431" s="63" t="s">
        <v>702</v>
      </c>
      <c r="C431" s="36">
        <v>4301051489</v>
      </c>
      <c r="D431" s="658">
        <v>4607091387919</v>
      </c>
      <c r="E431" s="658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134</v>
      </c>
      <c r="L431" s="37" t="s">
        <v>46</v>
      </c>
      <c r="M431" s="38" t="s">
        <v>93</v>
      </c>
      <c r="N431" s="38"/>
      <c r="O431" s="37">
        <v>45</v>
      </c>
      <c r="P431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60"/>
      <c r="R431" s="660"/>
      <c r="S431" s="660"/>
      <c r="T431" s="661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66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704</v>
      </c>
      <c r="B432" s="63" t="s">
        <v>705</v>
      </c>
      <c r="C432" s="36">
        <v>4301051461</v>
      </c>
      <c r="D432" s="658">
        <v>4680115883604</v>
      </c>
      <c r="E432" s="658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87</v>
      </c>
      <c r="L432" s="37" t="s">
        <v>46</v>
      </c>
      <c r="M432" s="38" t="s">
        <v>86</v>
      </c>
      <c r="N432" s="38"/>
      <c r="O432" s="37">
        <v>45</v>
      </c>
      <c r="P432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60"/>
      <c r="R432" s="660"/>
      <c r="S432" s="660"/>
      <c r="T432" s="661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66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hidden="1" customHeight="1" x14ac:dyDescent="0.25">
      <c r="A433" s="63" t="s">
        <v>707</v>
      </c>
      <c r="B433" s="63" t="s">
        <v>708</v>
      </c>
      <c r="C433" s="36">
        <v>4301051864</v>
      </c>
      <c r="D433" s="658">
        <v>4680115883567</v>
      </c>
      <c r="E433" s="658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87</v>
      </c>
      <c r="L433" s="37" t="s">
        <v>46</v>
      </c>
      <c r="M433" s="38" t="s">
        <v>93</v>
      </c>
      <c r="N433" s="38"/>
      <c r="O433" s="37">
        <v>40</v>
      </c>
      <c r="P433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60"/>
      <c r="R433" s="660"/>
      <c r="S433" s="660"/>
      <c r="T433" s="661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IFERROR(IF(Y433=0,"",ROUNDUP(Y433/H433,0)*0.00651),"")</f>
        <v/>
      </c>
      <c r="AA433" s="68" t="s">
        <v>46</v>
      </c>
      <c r="AB433" s="69" t="s">
        <v>46</v>
      </c>
      <c r="AC433" s="526" t="s">
        <v>709</v>
      </c>
      <c r="AG433" s="78"/>
      <c r="AJ433" s="84" t="s">
        <v>46</v>
      </c>
      <c r="AK433" s="84">
        <v>0</v>
      </c>
      <c r="BB433" s="527" t="s">
        <v>66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idden="1" x14ac:dyDescent="0.2">
      <c r="A434" s="648"/>
      <c r="B434" s="648"/>
      <c r="C434" s="648"/>
      <c r="D434" s="648"/>
      <c r="E434" s="648"/>
      <c r="F434" s="648"/>
      <c r="G434" s="648"/>
      <c r="H434" s="648"/>
      <c r="I434" s="648"/>
      <c r="J434" s="648"/>
      <c r="K434" s="648"/>
      <c r="L434" s="648"/>
      <c r="M434" s="648"/>
      <c r="N434" s="648"/>
      <c r="O434" s="649"/>
      <c r="P434" s="645" t="s">
        <v>40</v>
      </c>
      <c r="Q434" s="646"/>
      <c r="R434" s="646"/>
      <c r="S434" s="646"/>
      <c r="T434" s="646"/>
      <c r="U434" s="646"/>
      <c r="V434" s="647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648"/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9"/>
      <c r="P435" s="645" t="s">
        <v>40</v>
      </c>
      <c r="Q435" s="646"/>
      <c r="R435" s="646"/>
      <c r="S435" s="646"/>
      <c r="T435" s="646"/>
      <c r="U435" s="646"/>
      <c r="V435" s="647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27.75" hidden="1" customHeight="1" x14ac:dyDescent="0.2">
      <c r="A436" s="675" t="s">
        <v>710</v>
      </c>
      <c r="B436" s="675"/>
      <c r="C436" s="675"/>
      <c r="D436" s="675"/>
      <c r="E436" s="675"/>
      <c r="F436" s="675"/>
      <c r="G436" s="675"/>
      <c r="H436" s="675"/>
      <c r="I436" s="675"/>
      <c r="J436" s="675"/>
      <c r="K436" s="675"/>
      <c r="L436" s="675"/>
      <c r="M436" s="675"/>
      <c r="N436" s="675"/>
      <c r="O436" s="675"/>
      <c r="P436" s="675"/>
      <c r="Q436" s="675"/>
      <c r="R436" s="675"/>
      <c r="S436" s="675"/>
      <c r="T436" s="675"/>
      <c r="U436" s="675"/>
      <c r="V436" s="675"/>
      <c r="W436" s="675"/>
      <c r="X436" s="675"/>
      <c r="Y436" s="675"/>
      <c r="Z436" s="675"/>
      <c r="AA436" s="54"/>
      <c r="AB436" s="54"/>
      <c r="AC436" s="54"/>
    </row>
    <row r="437" spans="1:68" ht="16.5" hidden="1" customHeight="1" x14ac:dyDescent="0.25">
      <c r="A437" s="664" t="s">
        <v>711</v>
      </c>
      <c r="B437" s="664"/>
      <c r="C437" s="664"/>
      <c r="D437" s="664"/>
      <c r="E437" s="664"/>
      <c r="F437" s="664"/>
      <c r="G437" s="664"/>
      <c r="H437" s="664"/>
      <c r="I437" s="664"/>
      <c r="J437" s="664"/>
      <c r="K437" s="664"/>
      <c r="L437" s="664"/>
      <c r="M437" s="664"/>
      <c r="N437" s="664"/>
      <c r="O437" s="664"/>
      <c r="P437" s="664"/>
      <c r="Q437" s="664"/>
      <c r="R437" s="664"/>
      <c r="S437" s="664"/>
      <c r="T437" s="664"/>
      <c r="U437" s="664"/>
      <c r="V437" s="664"/>
      <c r="W437" s="664"/>
      <c r="X437" s="664"/>
      <c r="Y437" s="664"/>
      <c r="Z437" s="664"/>
      <c r="AA437" s="65"/>
      <c r="AB437" s="65"/>
      <c r="AC437" s="79"/>
    </row>
    <row r="438" spans="1:68" ht="14.25" hidden="1" customHeight="1" x14ac:dyDescent="0.25">
      <c r="A438" s="657" t="s">
        <v>129</v>
      </c>
      <c r="B438" s="657"/>
      <c r="C438" s="657"/>
      <c r="D438" s="657"/>
      <c r="E438" s="657"/>
      <c r="F438" s="657"/>
      <c r="G438" s="657"/>
      <c r="H438" s="657"/>
      <c r="I438" s="657"/>
      <c r="J438" s="657"/>
      <c r="K438" s="657"/>
      <c r="L438" s="657"/>
      <c r="M438" s="657"/>
      <c r="N438" s="657"/>
      <c r="O438" s="657"/>
      <c r="P438" s="657"/>
      <c r="Q438" s="657"/>
      <c r="R438" s="657"/>
      <c r="S438" s="657"/>
      <c r="T438" s="657"/>
      <c r="U438" s="657"/>
      <c r="V438" s="657"/>
      <c r="W438" s="657"/>
      <c r="X438" s="657"/>
      <c r="Y438" s="657"/>
      <c r="Z438" s="657"/>
      <c r="AA438" s="66"/>
      <c r="AB438" s="66"/>
      <c r="AC438" s="80"/>
    </row>
    <row r="439" spans="1:68" ht="27" hidden="1" customHeight="1" x14ac:dyDescent="0.25">
      <c r="A439" s="63" t="s">
        <v>712</v>
      </c>
      <c r="B439" s="63" t="s">
        <v>713</v>
      </c>
      <c r="C439" s="36">
        <v>4301012332</v>
      </c>
      <c r="D439" s="658">
        <v>4680115888401</v>
      </c>
      <c r="E439" s="658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134</v>
      </c>
      <c r="L439" s="37" t="s">
        <v>46</v>
      </c>
      <c r="M439" s="38" t="s">
        <v>93</v>
      </c>
      <c r="N439" s="38"/>
      <c r="O439" s="37">
        <v>60</v>
      </c>
      <c r="P439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60"/>
      <c r="R439" s="660"/>
      <c r="S439" s="660"/>
      <c r="T439" s="661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ref="Y439:Y446" si="61"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66</v>
      </c>
      <c r="BM439" s="78">
        <f t="shared" ref="BM439:BM446" si="62">IFERROR(X439*I439/H439,"0")</f>
        <v>0</v>
      </c>
      <c r="BN439" s="78">
        <f t="shared" ref="BN439:BN446" si="63">IFERROR(Y439*I439/H439,"0")</f>
        <v>0</v>
      </c>
      <c r="BO439" s="78">
        <f t="shared" ref="BO439:BO446" si="64">IFERROR(1/J439*(X439/H439),"0")</f>
        <v>0</v>
      </c>
      <c r="BP439" s="78">
        <f t="shared" ref="BP439:BP446" si="65">IFERROR(1/J439*(Y439/H439),"0")</f>
        <v>0</v>
      </c>
    </row>
    <row r="440" spans="1:68" ht="37.5" hidden="1" customHeight="1" x14ac:dyDescent="0.25">
      <c r="A440" s="63" t="s">
        <v>715</v>
      </c>
      <c r="B440" s="63" t="s">
        <v>716</v>
      </c>
      <c r="C440" s="36">
        <v>4301011869</v>
      </c>
      <c r="D440" s="658">
        <v>4680115884847</v>
      </c>
      <c r="E440" s="658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134</v>
      </c>
      <c r="L440" s="37" t="s">
        <v>46</v>
      </c>
      <c r="M440" s="38" t="s">
        <v>80</v>
      </c>
      <c r="N440" s="38"/>
      <c r="O440" s="37">
        <v>60</v>
      </c>
      <c r="P440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60"/>
      <c r="R440" s="660"/>
      <c r="S440" s="660"/>
      <c r="T440" s="661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66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hidden="1" customHeight="1" x14ac:dyDescent="0.25">
      <c r="A441" s="63" t="s">
        <v>718</v>
      </c>
      <c r="B441" s="63" t="s">
        <v>719</v>
      </c>
      <c r="C441" s="36">
        <v>4301012083</v>
      </c>
      <c r="D441" s="658">
        <v>4680115884854</v>
      </c>
      <c r="E441" s="658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134</v>
      </c>
      <c r="L441" s="37" t="s">
        <v>46</v>
      </c>
      <c r="M441" s="38" t="s">
        <v>133</v>
      </c>
      <c r="N441" s="38"/>
      <c r="O441" s="37">
        <v>60</v>
      </c>
      <c r="P441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60"/>
      <c r="R441" s="660"/>
      <c r="S441" s="660"/>
      <c r="T441" s="661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66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hidden="1" customHeight="1" x14ac:dyDescent="0.25">
      <c r="A442" s="63" t="s">
        <v>721</v>
      </c>
      <c r="B442" s="63" t="s">
        <v>722</v>
      </c>
      <c r="C442" s="36">
        <v>4301011867</v>
      </c>
      <c r="D442" s="658">
        <v>4680115884830</v>
      </c>
      <c r="E442" s="658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134</v>
      </c>
      <c r="L442" s="37" t="s">
        <v>46</v>
      </c>
      <c r="M442" s="38" t="s">
        <v>80</v>
      </c>
      <c r="N442" s="38"/>
      <c r="O442" s="37">
        <v>60</v>
      </c>
      <c r="P442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60"/>
      <c r="R442" s="660"/>
      <c r="S442" s="660"/>
      <c r="T442" s="661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66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4301012356</v>
      </c>
      <c r="D443" s="658">
        <v>4680115889231</v>
      </c>
      <c r="E443" s="658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134</v>
      </c>
      <c r="L443" s="37" t="s">
        <v>46</v>
      </c>
      <c r="M443" s="38" t="s">
        <v>93</v>
      </c>
      <c r="N443" s="38"/>
      <c r="O443" s="37">
        <v>60</v>
      </c>
      <c r="P443" s="71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60"/>
      <c r="R443" s="660"/>
      <c r="S443" s="660"/>
      <c r="T443" s="661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66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4301011433</v>
      </c>
      <c r="D444" s="658">
        <v>4680115882638</v>
      </c>
      <c r="E444" s="658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141</v>
      </c>
      <c r="L444" s="37" t="s">
        <v>46</v>
      </c>
      <c r="M444" s="38" t="s">
        <v>133</v>
      </c>
      <c r="N444" s="38"/>
      <c r="O444" s="37">
        <v>90</v>
      </c>
      <c r="P444" s="7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60"/>
      <c r="R444" s="660"/>
      <c r="S444" s="660"/>
      <c r="T444" s="661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66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hidden="1" customHeight="1" x14ac:dyDescent="0.25">
      <c r="A445" s="63" t="s">
        <v>730</v>
      </c>
      <c r="B445" s="63" t="s">
        <v>731</v>
      </c>
      <c r="C445" s="36">
        <v>4301011952</v>
      </c>
      <c r="D445" s="658">
        <v>4680115884922</v>
      </c>
      <c r="E445" s="658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141</v>
      </c>
      <c r="L445" s="37" t="s">
        <v>46</v>
      </c>
      <c r="M445" s="38" t="s">
        <v>80</v>
      </c>
      <c r="N445" s="38"/>
      <c r="O445" s="37">
        <v>60</v>
      </c>
      <c r="P445" s="7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60"/>
      <c r="R445" s="660"/>
      <c r="S445" s="660"/>
      <c r="T445" s="661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66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t="37.5" hidden="1" customHeight="1" x14ac:dyDescent="0.25">
      <c r="A446" s="63" t="s">
        <v>733</v>
      </c>
      <c r="B446" s="63" t="s">
        <v>734</v>
      </c>
      <c r="C446" s="36">
        <v>4301011868</v>
      </c>
      <c r="D446" s="658">
        <v>4680115884861</v>
      </c>
      <c r="E446" s="658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141</v>
      </c>
      <c r="L446" s="37" t="s">
        <v>46</v>
      </c>
      <c r="M446" s="38" t="s">
        <v>80</v>
      </c>
      <c r="N446" s="38"/>
      <c r="O446" s="37">
        <v>60</v>
      </c>
      <c r="P446" s="71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60"/>
      <c r="R446" s="660"/>
      <c r="S446" s="660"/>
      <c r="T446" s="661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si="61"/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42" t="s">
        <v>735</v>
      </c>
      <c r="AG446" s="78"/>
      <c r="AJ446" s="84" t="s">
        <v>46</v>
      </c>
      <c r="AK446" s="84">
        <v>0</v>
      </c>
      <c r="BB446" s="543" t="s">
        <v>66</v>
      </c>
      <c r="BM446" s="78">
        <f t="shared" si="62"/>
        <v>0</v>
      </c>
      <c r="BN446" s="78">
        <f t="shared" si="63"/>
        <v>0</v>
      </c>
      <c r="BO446" s="78">
        <f t="shared" si="64"/>
        <v>0</v>
      </c>
      <c r="BP446" s="78">
        <f t="shared" si="65"/>
        <v>0</v>
      </c>
    </row>
    <row r="447" spans="1:68" hidden="1" x14ac:dyDescent="0.2">
      <c r="A447" s="648"/>
      <c r="B447" s="648"/>
      <c r="C447" s="648"/>
      <c r="D447" s="648"/>
      <c r="E447" s="648"/>
      <c r="F447" s="648"/>
      <c r="G447" s="648"/>
      <c r="H447" s="648"/>
      <c r="I447" s="648"/>
      <c r="J447" s="648"/>
      <c r="K447" s="648"/>
      <c r="L447" s="648"/>
      <c r="M447" s="648"/>
      <c r="N447" s="648"/>
      <c r="O447" s="649"/>
      <c r="P447" s="645" t="s">
        <v>40</v>
      </c>
      <c r="Q447" s="646"/>
      <c r="R447" s="646"/>
      <c r="S447" s="646"/>
      <c r="T447" s="646"/>
      <c r="U447" s="646"/>
      <c r="V447" s="647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0</v>
      </c>
      <c r="Y447" s="43">
        <f>IFERROR(Y439/H439,"0")+IFERROR(Y440/H440,"0")+IFERROR(Y441/H441,"0")+IFERROR(Y442/H442,"0")+IFERROR(Y443/H443,"0")+IFERROR(Y444/H444,"0")+IFERROR(Y445/H445,"0")+IFERROR(Y446/H446,"0")</f>
        <v>0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48"/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49"/>
      <c r="P448" s="645" t="s">
        <v>40</v>
      </c>
      <c r="Q448" s="646"/>
      <c r="R448" s="646"/>
      <c r="S448" s="646"/>
      <c r="T448" s="646"/>
      <c r="U448" s="646"/>
      <c r="V448" s="647"/>
      <c r="W448" s="42" t="s">
        <v>0</v>
      </c>
      <c r="X448" s="43">
        <f>IFERROR(SUM(X439:X446),"0")</f>
        <v>0</v>
      </c>
      <c r="Y448" s="43">
        <f>IFERROR(SUM(Y439:Y446),"0")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57" t="s">
        <v>165</v>
      </c>
      <c r="B449" s="657"/>
      <c r="C449" s="657"/>
      <c r="D449" s="657"/>
      <c r="E449" s="657"/>
      <c r="F449" s="657"/>
      <c r="G449" s="657"/>
      <c r="H449" s="657"/>
      <c r="I449" s="657"/>
      <c r="J449" s="657"/>
      <c r="K449" s="657"/>
      <c r="L449" s="657"/>
      <c r="M449" s="657"/>
      <c r="N449" s="657"/>
      <c r="O449" s="657"/>
      <c r="P449" s="657"/>
      <c r="Q449" s="657"/>
      <c r="R449" s="657"/>
      <c r="S449" s="657"/>
      <c r="T449" s="657"/>
      <c r="U449" s="657"/>
      <c r="V449" s="657"/>
      <c r="W449" s="657"/>
      <c r="X449" s="657"/>
      <c r="Y449" s="657"/>
      <c r="Z449" s="657"/>
      <c r="AA449" s="66"/>
      <c r="AB449" s="66"/>
      <c r="AC449" s="80"/>
    </row>
    <row r="450" spans="1:68" ht="27" customHeight="1" x14ac:dyDescent="0.25">
      <c r="A450" s="63" t="s">
        <v>736</v>
      </c>
      <c r="B450" s="63" t="s">
        <v>737</v>
      </c>
      <c r="C450" s="36">
        <v>4301020178</v>
      </c>
      <c r="D450" s="658">
        <v>4607091383980</v>
      </c>
      <c r="E450" s="658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134</v>
      </c>
      <c r="L450" s="37" t="s">
        <v>46</v>
      </c>
      <c r="M450" s="38" t="s">
        <v>133</v>
      </c>
      <c r="N450" s="38"/>
      <c r="O450" s="37">
        <v>50</v>
      </c>
      <c r="P450" s="7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60"/>
      <c r="R450" s="660"/>
      <c r="S450" s="660"/>
      <c r="T450" s="661"/>
      <c r="U450" s="39" t="s">
        <v>46</v>
      </c>
      <c r="V450" s="39" t="s">
        <v>46</v>
      </c>
      <c r="W450" s="40" t="s">
        <v>0</v>
      </c>
      <c r="X450" s="58">
        <v>510</v>
      </c>
      <c r="Y450" s="55">
        <f>IFERROR(IF(X450="",0,CEILING((X450/$H450),1)*$H450),"")</f>
        <v>510</v>
      </c>
      <c r="Z450" s="41">
        <f>IFERROR(IF(Y450=0,"",ROUNDUP(Y450/H450,0)*0.02175),"")</f>
        <v>0.73949999999999994</v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66</v>
      </c>
      <c r="BM450" s="78">
        <f>IFERROR(X450*I450/H450,"0")</f>
        <v>525.98</v>
      </c>
      <c r="BN450" s="78">
        <f>IFERROR(Y450*I450/H450,"0")</f>
        <v>525.98</v>
      </c>
      <c r="BO450" s="78">
        <f>IFERROR(1/J450*(X450/H450),"0")</f>
        <v>0.70833333333333326</v>
      </c>
      <c r="BP450" s="78">
        <f>IFERROR(1/J450*(Y450/H450),"0")</f>
        <v>0.70833333333333326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4301020355</v>
      </c>
      <c r="D451" s="658">
        <v>4680115888425</v>
      </c>
      <c r="E451" s="658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134</v>
      </c>
      <c r="L451" s="37" t="s">
        <v>46</v>
      </c>
      <c r="M451" s="38" t="s">
        <v>133</v>
      </c>
      <c r="N451" s="38"/>
      <c r="O451" s="37">
        <v>50</v>
      </c>
      <c r="P451" s="71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60"/>
      <c r="R451" s="660"/>
      <c r="S451" s="660"/>
      <c r="T451" s="661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IFERROR(IF(Y451=0,"",ROUNDUP(Y451/H451,0)*0.02175),"")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742</v>
      </c>
      <c r="B452" s="63" t="s">
        <v>743</v>
      </c>
      <c r="C452" s="36">
        <v>4301020179</v>
      </c>
      <c r="D452" s="658">
        <v>4607091384178</v>
      </c>
      <c r="E452" s="658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141</v>
      </c>
      <c r="L452" s="37" t="s">
        <v>46</v>
      </c>
      <c r="M452" s="38" t="s">
        <v>133</v>
      </c>
      <c r="N452" s="38"/>
      <c r="O452" s="37">
        <v>50</v>
      </c>
      <c r="P452" s="71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60"/>
      <c r="R452" s="660"/>
      <c r="S452" s="660"/>
      <c r="T452" s="661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8" t="s">
        <v>744</v>
      </c>
      <c r="AG452" s="78"/>
      <c r="AJ452" s="84" t="s">
        <v>46</v>
      </c>
      <c r="AK452" s="84">
        <v>0</v>
      </c>
      <c r="BB452" s="549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48"/>
      <c r="B453" s="648"/>
      <c r="C453" s="648"/>
      <c r="D453" s="648"/>
      <c r="E453" s="648"/>
      <c r="F453" s="648"/>
      <c r="G453" s="648"/>
      <c r="H453" s="648"/>
      <c r="I453" s="648"/>
      <c r="J453" s="648"/>
      <c r="K453" s="648"/>
      <c r="L453" s="648"/>
      <c r="M453" s="648"/>
      <c r="N453" s="648"/>
      <c r="O453" s="649"/>
      <c r="P453" s="645" t="s">
        <v>40</v>
      </c>
      <c r="Q453" s="646"/>
      <c r="R453" s="646"/>
      <c r="S453" s="646"/>
      <c r="T453" s="646"/>
      <c r="U453" s="646"/>
      <c r="V453" s="647"/>
      <c r="W453" s="42" t="s">
        <v>39</v>
      </c>
      <c r="X453" s="43">
        <f>IFERROR(X450/H450,"0")+IFERROR(X451/H451,"0")+IFERROR(X452/H452,"0")</f>
        <v>34</v>
      </c>
      <c r="Y453" s="43">
        <f>IFERROR(Y450/H450,"0")+IFERROR(Y451/H451,"0")+IFERROR(Y452/H452,"0")</f>
        <v>34</v>
      </c>
      <c r="Z453" s="43">
        <f>IFERROR(IF(Z450="",0,Z450),"0")+IFERROR(IF(Z451="",0,Z451),"0")+IFERROR(IF(Z452="",0,Z452),"0")</f>
        <v>0.73949999999999994</v>
      </c>
      <c r="AA453" s="67"/>
      <c r="AB453" s="67"/>
      <c r="AC453" s="67"/>
    </row>
    <row r="454" spans="1:68" x14ac:dyDescent="0.2">
      <c r="A454" s="648"/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9"/>
      <c r="P454" s="645" t="s">
        <v>40</v>
      </c>
      <c r="Q454" s="646"/>
      <c r="R454" s="646"/>
      <c r="S454" s="646"/>
      <c r="T454" s="646"/>
      <c r="U454" s="646"/>
      <c r="V454" s="647"/>
      <c r="W454" s="42" t="s">
        <v>0</v>
      </c>
      <c r="X454" s="43">
        <f>IFERROR(SUM(X450:X452),"0")</f>
        <v>510</v>
      </c>
      <c r="Y454" s="43">
        <f>IFERROR(SUM(Y450:Y452),"0")</f>
        <v>510</v>
      </c>
      <c r="Z454" s="42"/>
      <c r="AA454" s="67"/>
      <c r="AB454" s="67"/>
      <c r="AC454" s="67"/>
    </row>
    <row r="455" spans="1:68" ht="14.25" hidden="1" customHeight="1" x14ac:dyDescent="0.25">
      <c r="A455" s="657" t="s">
        <v>82</v>
      </c>
      <c r="B455" s="657"/>
      <c r="C455" s="657"/>
      <c r="D455" s="657"/>
      <c r="E455" s="657"/>
      <c r="F455" s="657"/>
      <c r="G455" s="657"/>
      <c r="H455" s="657"/>
      <c r="I455" s="657"/>
      <c r="J455" s="657"/>
      <c r="K455" s="657"/>
      <c r="L455" s="657"/>
      <c r="M455" s="657"/>
      <c r="N455" s="657"/>
      <c r="O455" s="657"/>
      <c r="P455" s="657"/>
      <c r="Q455" s="657"/>
      <c r="R455" s="657"/>
      <c r="S455" s="657"/>
      <c r="T455" s="657"/>
      <c r="U455" s="657"/>
      <c r="V455" s="657"/>
      <c r="W455" s="657"/>
      <c r="X455" s="657"/>
      <c r="Y455" s="657"/>
      <c r="Z455" s="657"/>
      <c r="AA455" s="66"/>
      <c r="AB455" s="66"/>
      <c r="AC455" s="80"/>
    </row>
    <row r="456" spans="1:68" ht="27" hidden="1" customHeight="1" x14ac:dyDescent="0.25">
      <c r="A456" s="63" t="s">
        <v>745</v>
      </c>
      <c r="B456" s="63" t="s">
        <v>746</v>
      </c>
      <c r="C456" s="36">
        <v>4301051903</v>
      </c>
      <c r="D456" s="658">
        <v>4607091383928</v>
      </c>
      <c r="E456" s="658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134</v>
      </c>
      <c r="L456" s="37" t="s">
        <v>46</v>
      </c>
      <c r="M456" s="38" t="s">
        <v>86</v>
      </c>
      <c r="N456" s="38"/>
      <c r="O456" s="37">
        <v>40</v>
      </c>
      <c r="P456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60"/>
      <c r="R456" s="660"/>
      <c r="S456" s="660"/>
      <c r="T456" s="661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4301051897</v>
      </c>
      <c r="D457" s="658">
        <v>4607091384260</v>
      </c>
      <c r="E457" s="658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134</v>
      </c>
      <c r="L457" s="37" t="s">
        <v>46</v>
      </c>
      <c r="M457" s="38" t="s">
        <v>86</v>
      </c>
      <c r="N457" s="38"/>
      <c r="O457" s="37">
        <v>40</v>
      </c>
      <c r="P457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60"/>
      <c r="R457" s="660"/>
      <c r="S457" s="660"/>
      <c r="T457" s="661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hidden="1" customHeight="1" x14ac:dyDescent="0.25">
      <c r="A458" s="63" t="s">
        <v>751</v>
      </c>
      <c r="B458" s="63" t="s">
        <v>752</v>
      </c>
      <c r="C458" s="36">
        <v>4301052220</v>
      </c>
      <c r="D458" s="658">
        <v>4680115889538</v>
      </c>
      <c r="E458" s="658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134</v>
      </c>
      <c r="L458" s="37" t="s">
        <v>46</v>
      </c>
      <c r="M458" s="38" t="s">
        <v>86</v>
      </c>
      <c r="N458" s="38"/>
      <c r="O458" s="37">
        <v>45</v>
      </c>
      <c r="P458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60"/>
      <c r="R458" s="660"/>
      <c r="S458" s="660"/>
      <c r="T458" s="661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54" t="s">
        <v>753</v>
      </c>
      <c r="AG458" s="78"/>
      <c r="AJ458" s="84" t="s">
        <v>46</v>
      </c>
      <c r="AK458" s="84">
        <v>0</v>
      </c>
      <c r="BB458" s="55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648"/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49"/>
      <c r="P459" s="645" t="s">
        <v>40</v>
      </c>
      <c r="Q459" s="646"/>
      <c r="R459" s="646"/>
      <c r="S459" s="646"/>
      <c r="T459" s="646"/>
      <c r="U459" s="646"/>
      <c r="V459" s="647"/>
      <c r="W459" s="42" t="s">
        <v>39</v>
      </c>
      <c r="X459" s="43">
        <f>IFERROR(X456/H456,"0")+IFERROR(X457/H457,"0")+IFERROR(X458/H458,"0")</f>
        <v>0</v>
      </c>
      <c r="Y459" s="43">
        <f>IFERROR(Y456/H456,"0")+IFERROR(Y457/H457,"0")+IFERROR(Y458/H458,"0")</f>
        <v>0</v>
      </c>
      <c r="Z459" s="43">
        <f>IFERROR(IF(Z456="",0,Z456),"0")+IFERROR(IF(Z457="",0,Z457),"0")+IFERROR(IF(Z458="",0,Z458),"0")</f>
        <v>0</v>
      </c>
      <c r="AA459" s="67"/>
      <c r="AB459" s="67"/>
      <c r="AC459" s="67"/>
    </row>
    <row r="460" spans="1:68" hidden="1" x14ac:dyDescent="0.2">
      <c r="A460" s="648"/>
      <c r="B460" s="648"/>
      <c r="C460" s="648"/>
      <c r="D460" s="648"/>
      <c r="E460" s="648"/>
      <c r="F460" s="648"/>
      <c r="G460" s="648"/>
      <c r="H460" s="648"/>
      <c r="I460" s="648"/>
      <c r="J460" s="648"/>
      <c r="K460" s="648"/>
      <c r="L460" s="648"/>
      <c r="M460" s="648"/>
      <c r="N460" s="648"/>
      <c r="O460" s="649"/>
      <c r="P460" s="645" t="s">
        <v>40</v>
      </c>
      <c r="Q460" s="646"/>
      <c r="R460" s="646"/>
      <c r="S460" s="646"/>
      <c r="T460" s="646"/>
      <c r="U460" s="646"/>
      <c r="V460" s="647"/>
      <c r="W460" s="42" t="s">
        <v>0</v>
      </c>
      <c r="X460" s="43">
        <f>IFERROR(SUM(X456:X458),"0")</f>
        <v>0</v>
      </c>
      <c r="Y460" s="43">
        <f>IFERROR(SUM(Y456:Y458),"0")</f>
        <v>0</v>
      </c>
      <c r="Z460" s="42"/>
      <c r="AA460" s="67"/>
      <c r="AB460" s="67"/>
      <c r="AC460" s="67"/>
    </row>
    <row r="461" spans="1:68" ht="14.25" hidden="1" customHeight="1" x14ac:dyDescent="0.25">
      <c r="A461" s="657" t="s">
        <v>183</v>
      </c>
      <c r="B461" s="657"/>
      <c r="C461" s="657"/>
      <c r="D461" s="657"/>
      <c r="E461" s="657"/>
      <c r="F461" s="657"/>
      <c r="G461" s="657"/>
      <c r="H461" s="657"/>
      <c r="I461" s="657"/>
      <c r="J461" s="657"/>
      <c r="K461" s="657"/>
      <c r="L461" s="657"/>
      <c r="M461" s="657"/>
      <c r="N461" s="657"/>
      <c r="O461" s="657"/>
      <c r="P461" s="657"/>
      <c r="Q461" s="657"/>
      <c r="R461" s="657"/>
      <c r="S461" s="657"/>
      <c r="T461" s="657"/>
      <c r="U461" s="657"/>
      <c r="V461" s="657"/>
      <c r="W461" s="657"/>
      <c r="X461" s="657"/>
      <c r="Y461" s="657"/>
      <c r="Z461" s="657"/>
      <c r="AA461" s="66"/>
      <c r="AB461" s="66"/>
      <c r="AC461" s="80"/>
    </row>
    <row r="462" spans="1:68" ht="27" hidden="1" customHeight="1" x14ac:dyDescent="0.25">
      <c r="A462" s="63" t="s">
        <v>754</v>
      </c>
      <c r="B462" s="63" t="s">
        <v>755</v>
      </c>
      <c r="C462" s="36">
        <v>4301060537</v>
      </c>
      <c r="D462" s="658">
        <v>4680115889545</v>
      </c>
      <c r="E462" s="658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134</v>
      </c>
      <c r="L462" s="37" t="s">
        <v>46</v>
      </c>
      <c r="M462" s="38" t="s">
        <v>86</v>
      </c>
      <c r="N462" s="38"/>
      <c r="O462" s="37">
        <v>30</v>
      </c>
      <c r="P462" s="70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60"/>
      <c r="R462" s="660"/>
      <c r="S462" s="660"/>
      <c r="T462" s="661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IFERROR(IF(Y462=0,"",ROUNDUP(Y462/H462,0)*0.01196),"")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16.5" hidden="1" customHeight="1" x14ac:dyDescent="0.25">
      <c r="A463" s="63" t="s">
        <v>757</v>
      </c>
      <c r="B463" s="63" t="s">
        <v>758</v>
      </c>
      <c r="C463" s="36">
        <v>4301060524</v>
      </c>
      <c r="D463" s="658">
        <v>4607091384673</v>
      </c>
      <c r="E463" s="658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134</v>
      </c>
      <c r="L463" s="37" t="s">
        <v>46</v>
      </c>
      <c r="M463" s="38" t="s">
        <v>86</v>
      </c>
      <c r="N463" s="38"/>
      <c r="O463" s="37">
        <v>40</v>
      </c>
      <c r="P463" s="7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60"/>
      <c r="R463" s="660"/>
      <c r="S463" s="660"/>
      <c r="T463" s="661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759</v>
      </c>
      <c r="AG463" s="78"/>
      <c r="AJ463" s="84" t="s">
        <v>46</v>
      </c>
      <c r="AK463" s="84">
        <v>0</v>
      </c>
      <c r="BB463" s="559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8"/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9"/>
      <c r="P464" s="645" t="s">
        <v>40</v>
      </c>
      <c r="Q464" s="646"/>
      <c r="R464" s="646"/>
      <c r="S464" s="646"/>
      <c r="T464" s="646"/>
      <c r="U464" s="646"/>
      <c r="V464" s="647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48"/>
      <c r="B465" s="648"/>
      <c r="C465" s="648"/>
      <c r="D465" s="648"/>
      <c r="E465" s="648"/>
      <c r="F465" s="648"/>
      <c r="G465" s="648"/>
      <c r="H465" s="648"/>
      <c r="I465" s="648"/>
      <c r="J465" s="648"/>
      <c r="K465" s="648"/>
      <c r="L465" s="648"/>
      <c r="M465" s="648"/>
      <c r="N465" s="648"/>
      <c r="O465" s="649"/>
      <c r="P465" s="645" t="s">
        <v>40</v>
      </c>
      <c r="Q465" s="646"/>
      <c r="R465" s="646"/>
      <c r="S465" s="646"/>
      <c r="T465" s="646"/>
      <c r="U465" s="646"/>
      <c r="V465" s="647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6.5" hidden="1" customHeight="1" x14ac:dyDescent="0.25">
      <c r="A466" s="664" t="s">
        <v>760</v>
      </c>
      <c r="B466" s="664"/>
      <c r="C466" s="664"/>
      <c r="D466" s="664"/>
      <c r="E466" s="664"/>
      <c r="F466" s="664"/>
      <c r="G466" s="664"/>
      <c r="H466" s="664"/>
      <c r="I466" s="664"/>
      <c r="J466" s="664"/>
      <c r="K466" s="664"/>
      <c r="L466" s="664"/>
      <c r="M466" s="664"/>
      <c r="N466" s="664"/>
      <c r="O466" s="664"/>
      <c r="P466" s="664"/>
      <c r="Q466" s="664"/>
      <c r="R466" s="664"/>
      <c r="S466" s="664"/>
      <c r="T466" s="664"/>
      <c r="U466" s="664"/>
      <c r="V466" s="664"/>
      <c r="W466" s="664"/>
      <c r="X466" s="664"/>
      <c r="Y466" s="664"/>
      <c r="Z466" s="664"/>
      <c r="AA466" s="65"/>
      <c r="AB466" s="65"/>
      <c r="AC466" s="79"/>
    </row>
    <row r="467" spans="1:68" ht="14.25" hidden="1" customHeight="1" x14ac:dyDescent="0.25">
      <c r="A467" s="657" t="s">
        <v>129</v>
      </c>
      <c r="B467" s="657"/>
      <c r="C467" s="657"/>
      <c r="D467" s="657"/>
      <c r="E467" s="657"/>
      <c r="F467" s="657"/>
      <c r="G467" s="657"/>
      <c r="H467" s="657"/>
      <c r="I467" s="657"/>
      <c r="J467" s="657"/>
      <c r="K467" s="657"/>
      <c r="L467" s="657"/>
      <c r="M467" s="657"/>
      <c r="N467" s="657"/>
      <c r="O467" s="657"/>
      <c r="P467" s="657"/>
      <c r="Q467" s="657"/>
      <c r="R467" s="657"/>
      <c r="S467" s="657"/>
      <c r="T467" s="657"/>
      <c r="U467" s="657"/>
      <c r="V467" s="657"/>
      <c r="W467" s="657"/>
      <c r="X467" s="657"/>
      <c r="Y467" s="657"/>
      <c r="Z467" s="657"/>
      <c r="AA467" s="66"/>
      <c r="AB467" s="66"/>
      <c r="AC467" s="80"/>
    </row>
    <row r="468" spans="1:68" ht="27" hidden="1" customHeight="1" x14ac:dyDescent="0.25">
      <c r="A468" s="63" t="s">
        <v>761</v>
      </c>
      <c r="B468" s="63" t="s">
        <v>762</v>
      </c>
      <c r="C468" s="36">
        <v>4301011875</v>
      </c>
      <c r="D468" s="658">
        <v>4680115884885</v>
      </c>
      <c r="E468" s="658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134</v>
      </c>
      <c r="L468" s="37" t="s">
        <v>46</v>
      </c>
      <c r="M468" s="38" t="s">
        <v>80</v>
      </c>
      <c r="N468" s="38"/>
      <c r="O468" s="37">
        <v>60</v>
      </c>
      <c r="P468" s="7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60"/>
      <c r="R468" s="660"/>
      <c r="S468" s="660"/>
      <c r="T468" s="661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37.5" hidden="1" customHeight="1" x14ac:dyDescent="0.25">
      <c r="A469" s="63" t="s">
        <v>764</v>
      </c>
      <c r="B469" s="63" t="s">
        <v>765</v>
      </c>
      <c r="C469" s="36">
        <v>4301011871</v>
      </c>
      <c r="D469" s="658">
        <v>4680115884908</v>
      </c>
      <c r="E469" s="658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141</v>
      </c>
      <c r="L469" s="37" t="s">
        <v>46</v>
      </c>
      <c r="M469" s="38" t="s">
        <v>80</v>
      </c>
      <c r="N469" s="38"/>
      <c r="O469" s="37">
        <v>60</v>
      </c>
      <c r="P469" s="70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60"/>
      <c r="R469" s="660"/>
      <c r="S469" s="660"/>
      <c r="T469" s="661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763</v>
      </c>
      <c r="AG469" s="78"/>
      <c r="AJ469" s="84" t="s">
        <v>46</v>
      </c>
      <c r="AK469" s="84">
        <v>0</v>
      </c>
      <c r="BB469" s="563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48"/>
      <c r="B470" s="648"/>
      <c r="C470" s="648"/>
      <c r="D470" s="648"/>
      <c r="E470" s="648"/>
      <c r="F470" s="648"/>
      <c r="G470" s="648"/>
      <c r="H470" s="648"/>
      <c r="I470" s="648"/>
      <c r="J470" s="648"/>
      <c r="K470" s="648"/>
      <c r="L470" s="648"/>
      <c r="M470" s="648"/>
      <c r="N470" s="648"/>
      <c r="O470" s="649"/>
      <c r="P470" s="645" t="s">
        <v>40</v>
      </c>
      <c r="Q470" s="646"/>
      <c r="R470" s="646"/>
      <c r="S470" s="646"/>
      <c r="T470" s="646"/>
      <c r="U470" s="646"/>
      <c r="V470" s="647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648"/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9"/>
      <c r="P471" s="645" t="s">
        <v>40</v>
      </c>
      <c r="Q471" s="646"/>
      <c r="R471" s="646"/>
      <c r="S471" s="646"/>
      <c r="T471" s="646"/>
      <c r="U471" s="646"/>
      <c r="V471" s="647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657" t="s">
        <v>76</v>
      </c>
      <c r="B472" s="657"/>
      <c r="C472" s="657"/>
      <c r="D472" s="657"/>
      <c r="E472" s="657"/>
      <c r="F472" s="657"/>
      <c r="G472" s="657"/>
      <c r="H472" s="657"/>
      <c r="I472" s="657"/>
      <c r="J472" s="657"/>
      <c r="K472" s="657"/>
      <c r="L472" s="657"/>
      <c r="M472" s="657"/>
      <c r="N472" s="657"/>
      <c r="O472" s="657"/>
      <c r="P472" s="657"/>
      <c r="Q472" s="657"/>
      <c r="R472" s="657"/>
      <c r="S472" s="657"/>
      <c r="T472" s="657"/>
      <c r="U472" s="657"/>
      <c r="V472" s="657"/>
      <c r="W472" s="657"/>
      <c r="X472" s="657"/>
      <c r="Y472" s="657"/>
      <c r="Z472" s="657"/>
      <c r="AA472" s="66"/>
      <c r="AB472" s="66"/>
      <c r="AC472" s="80"/>
    </row>
    <row r="473" spans="1:68" ht="27" hidden="1" customHeight="1" x14ac:dyDescent="0.25">
      <c r="A473" s="63" t="s">
        <v>766</v>
      </c>
      <c r="B473" s="63" t="s">
        <v>767</v>
      </c>
      <c r="C473" s="36">
        <v>4301031533</v>
      </c>
      <c r="D473" s="658">
        <v>4607091384802</v>
      </c>
      <c r="E473" s="658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141</v>
      </c>
      <c r="L473" s="37" t="s">
        <v>46</v>
      </c>
      <c r="M473" s="38" t="s">
        <v>80</v>
      </c>
      <c r="N473" s="38"/>
      <c r="O473" s="37">
        <v>50</v>
      </c>
      <c r="P473" s="704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60"/>
      <c r="R473" s="660"/>
      <c r="S473" s="660"/>
      <c r="T473" s="661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4" t="s">
        <v>768</v>
      </c>
      <c r="AG473" s="78"/>
      <c r="AJ473" s="84" t="s">
        <v>46</v>
      </c>
      <c r="AK473" s="84">
        <v>0</v>
      </c>
      <c r="BB473" s="565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648"/>
      <c r="B474" s="648"/>
      <c r="C474" s="648"/>
      <c r="D474" s="648"/>
      <c r="E474" s="648"/>
      <c r="F474" s="648"/>
      <c r="G474" s="648"/>
      <c r="H474" s="648"/>
      <c r="I474" s="648"/>
      <c r="J474" s="648"/>
      <c r="K474" s="648"/>
      <c r="L474" s="648"/>
      <c r="M474" s="648"/>
      <c r="N474" s="648"/>
      <c r="O474" s="649"/>
      <c r="P474" s="645" t="s">
        <v>40</v>
      </c>
      <c r="Q474" s="646"/>
      <c r="R474" s="646"/>
      <c r="S474" s="646"/>
      <c r="T474" s="646"/>
      <c r="U474" s="646"/>
      <c r="V474" s="647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hidden="1" x14ac:dyDescent="0.2">
      <c r="A475" s="648"/>
      <c r="B475" s="648"/>
      <c r="C475" s="648"/>
      <c r="D475" s="648"/>
      <c r="E475" s="648"/>
      <c r="F475" s="648"/>
      <c r="G475" s="648"/>
      <c r="H475" s="648"/>
      <c r="I475" s="648"/>
      <c r="J475" s="648"/>
      <c r="K475" s="648"/>
      <c r="L475" s="648"/>
      <c r="M475" s="648"/>
      <c r="N475" s="648"/>
      <c r="O475" s="649"/>
      <c r="P475" s="645" t="s">
        <v>40</v>
      </c>
      <c r="Q475" s="646"/>
      <c r="R475" s="646"/>
      <c r="S475" s="646"/>
      <c r="T475" s="646"/>
      <c r="U475" s="646"/>
      <c r="V475" s="647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657" t="s">
        <v>82</v>
      </c>
      <c r="B476" s="657"/>
      <c r="C476" s="657"/>
      <c r="D476" s="657"/>
      <c r="E476" s="657"/>
      <c r="F476" s="657"/>
      <c r="G476" s="657"/>
      <c r="H476" s="657"/>
      <c r="I476" s="657"/>
      <c r="J476" s="657"/>
      <c r="K476" s="657"/>
      <c r="L476" s="657"/>
      <c r="M476" s="657"/>
      <c r="N476" s="657"/>
      <c r="O476" s="657"/>
      <c r="P476" s="657"/>
      <c r="Q476" s="657"/>
      <c r="R476" s="657"/>
      <c r="S476" s="657"/>
      <c r="T476" s="657"/>
      <c r="U476" s="657"/>
      <c r="V476" s="657"/>
      <c r="W476" s="657"/>
      <c r="X476" s="657"/>
      <c r="Y476" s="657"/>
      <c r="Z476" s="657"/>
      <c r="AA476" s="66"/>
      <c r="AB476" s="66"/>
      <c r="AC476" s="80"/>
    </row>
    <row r="477" spans="1:68" ht="27" hidden="1" customHeight="1" x14ac:dyDescent="0.25">
      <c r="A477" s="63" t="s">
        <v>769</v>
      </c>
      <c r="B477" s="63" t="s">
        <v>770</v>
      </c>
      <c r="C477" s="36">
        <v>4301051899</v>
      </c>
      <c r="D477" s="658">
        <v>4607091384246</v>
      </c>
      <c r="E477" s="658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134</v>
      </c>
      <c r="L477" s="37" t="s">
        <v>46</v>
      </c>
      <c r="M477" s="38" t="s">
        <v>86</v>
      </c>
      <c r="N477" s="38"/>
      <c r="O477" s="37">
        <v>40</v>
      </c>
      <c r="P477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60"/>
      <c r="R477" s="660"/>
      <c r="S477" s="660"/>
      <c r="T477" s="661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46</v>
      </c>
      <c r="AB477" s="69" t="s">
        <v>46</v>
      </c>
      <c r="AC477" s="566" t="s">
        <v>771</v>
      </c>
      <c r="AG477" s="78"/>
      <c r="AJ477" s="84" t="s">
        <v>46</v>
      </c>
      <c r="AK477" s="84">
        <v>0</v>
      </c>
      <c r="BB477" s="567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772</v>
      </c>
      <c r="B478" s="63" t="s">
        <v>773</v>
      </c>
      <c r="C478" s="36">
        <v>4301051660</v>
      </c>
      <c r="D478" s="658">
        <v>4607091384253</v>
      </c>
      <c r="E478" s="658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87</v>
      </c>
      <c r="L478" s="37" t="s">
        <v>46</v>
      </c>
      <c r="M478" s="38" t="s">
        <v>86</v>
      </c>
      <c r="N478" s="38"/>
      <c r="O478" s="37">
        <v>40</v>
      </c>
      <c r="P478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60"/>
      <c r="R478" s="660"/>
      <c r="S478" s="660"/>
      <c r="T478" s="661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771</v>
      </c>
      <c r="AG478" s="78"/>
      <c r="AJ478" s="84" t="s">
        <v>46</v>
      </c>
      <c r="AK478" s="84">
        <v>0</v>
      </c>
      <c r="BB478" s="569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772</v>
      </c>
      <c r="B479" s="63" t="s">
        <v>774</v>
      </c>
      <c r="C479" s="36">
        <v>4301052069</v>
      </c>
      <c r="D479" s="658">
        <v>4607091384253</v>
      </c>
      <c r="E479" s="658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87</v>
      </c>
      <c r="L479" s="37" t="s">
        <v>46</v>
      </c>
      <c r="M479" s="38" t="s">
        <v>86</v>
      </c>
      <c r="N479" s="38"/>
      <c r="O479" s="37">
        <v>40</v>
      </c>
      <c r="P479" s="69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60"/>
      <c r="R479" s="660"/>
      <c r="S479" s="660"/>
      <c r="T479" s="661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775</v>
      </c>
      <c r="AG479" s="78"/>
      <c r="AJ479" s="84" t="s">
        <v>46</v>
      </c>
      <c r="AK479" s="84">
        <v>0</v>
      </c>
      <c r="BB479" s="571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8"/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9"/>
      <c r="P480" s="645" t="s">
        <v>40</v>
      </c>
      <c r="Q480" s="646"/>
      <c r="R480" s="646"/>
      <c r="S480" s="646"/>
      <c r="T480" s="646"/>
      <c r="U480" s="646"/>
      <c r="V480" s="647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hidden="1" x14ac:dyDescent="0.2">
      <c r="A481" s="648"/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9"/>
      <c r="P481" s="645" t="s">
        <v>40</v>
      </c>
      <c r="Q481" s="646"/>
      <c r="R481" s="646"/>
      <c r="S481" s="646"/>
      <c r="T481" s="646"/>
      <c r="U481" s="646"/>
      <c r="V481" s="647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hidden="1" customHeight="1" x14ac:dyDescent="0.2">
      <c r="A482" s="675" t="s">
        <v>776</v>
      </c>
      <c r="B482" s="675"/>
      <c r="C482" s="675"/>
      <c r="D482" s="675"/>
      <c r="E482" s="675"/>
      <c r="F482" s="675"/>
      <c r="G482" s="675"/>
      <c r="H482" s="675"/>
      <c r="I482" s="675"/>
      <c r="J482" s="675"/>
      <c r="K482" s="675"/>
      <c r="L482" s="675"/>
      <c r="M482" s="675"/>
      <c r="N482" s="675"/>
      <c r="O482" s="675"/>
      <c r="P482" s="675"/>
      <c r="Q482" s="675"/>
      <c r="R482" s="675"/>
      <c r="S482" s="675"/>
      <c r="T482" s="675"/>
      <c r="U482" s="675"/>
      <c r="V482" s="675"/>
      <c r="W482" s="675"/>
      <c r="X482" s="675"/>
      <c r="Y482" s="675"/>
      <c r="Z482" s="675"/>
      <c r="AA482" s="54"/>
      <c r="AB482" s="54"/>
      <c r="AC482" s="54"/>
    </row>
    <row r="483" spans="1:68" ht="16.5" hidden="1" customHeight="1" x14ac:dyDescent="0.25">
      <c r="A483" s="664" t="s">
        <v>777</v>
      </c>
      <c r="B483" s="664"/>
      <c r="C483" s="664"/>
      <c r="D483" s="664"/>
      <c r="E483" s="664"/>
      <c r="F483" s="664"/>
      <c r="G483" s="664"/>
      <c r="H483" s="664"/>
      <c r="I483" s="664"/>
      <c r="J483" s="664"/>
      <c r="K483" s="664"/>
      <c r="L483" s="664"/>
      <c r="M483" s="664"/>
      <c r="N483" s="664"/>
      <c r="O483" s="664"/>
      <c r="P483" s="664"/>
      <c r="Q483" s="664"/>
      <c r="R483" s="664"/>
      <c r="S483" s="664"/>
      <c r="T483" s="664"/>
      <c r="U483" s="664"/>
      <c r="V483" s="664"/>
      <c r="W483" s="664"/>
      <c r="X483" s="664"/>
      <c r="Y483" s="664"/>
      <c r="Z483" s="664"/>
      <c r="AA483" s="65"/>
      <c r="AB483" s="65"/>
      <c r="AC483" s="79"/>
    </row>
    <row r="484" spans="1:68" ht="14.25" hidden="1" customHeight="1" x14ac:dyDescent="0.25">
      <c r="A484" s="657" t="s">
        <v>76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6"/>
      <c r="AB484" s="66"/>
      <c r="AC484" s="80"/>
    </row>
    <row r="485" spans="1:68" ht="27" hidden="1" customHeight="1" x14ac:dyDescent="0.25">
      <c r="A485" s="63" t="s">
        <v>778</v>
      </c>
      <c r="B485" s="63" t="s">
        <v>779</v>
      </c>
      <c r="C485" s="36">
        <v>4301031405</v>
      </c>
      <c r="D485" s="658">
        <v>4680115886100</v>
      </c>
      <c r="E485" s="658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141</v>
      </c>
      <c r="L485" s="37" t="s">
        <v>46</v>
      </c>
      <c r="M485" s="38" t="s">
        <v>80</v>
      </c>
      <c r="N485" s="38"/>
      <c r="O485" s="37">
        <v>50</v>
      </c>
      <c r="P485" s="70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60"/>
      <c r="R485" s="660"/>
      <c r="S485" s="660"/>
      <c r="T485" s="661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ref="Y485:Y490" si="66"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66</v>
      </c>
      <c r="BM485" s="78">
        <f t="shared" ref="BM485:BM490" si="67">IFERROR(X485*I485/H485,"0")</f>
        <v>0</v>
      </c>
      <c r="BN485" s="78">
        <f t="shared" ref="BN485:BN490" si="68">IFERROR(Y485*I485/H485,"0")</f>
        <v>0</v>
      </c>
      <c r="BO485" s="78">
        <f t="shared" ref="BO485:BO490" si="69">IFERROR(1/J485*(X485/H485),"0")</f>
        <v>0</v>
      </c>
      <c r="BP485" s="78">
        <f t="shared" ref="BP485:BP490" si="70">IFERROR(1/J485*(Y485/H485),"0")</f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4301031402</v>
      </c>
      <c r="D486" s="658">
        <v>4680115886124</v>
      </c>
      <c r="E486" s="658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141</v>
      </c>
      <c r="L486" s="37" t="s">
        <v>46</v>
      </c>
      <c r="M486" s="38" t="s">
        <v>80</v>
      </c>
      <c r="N486" s="38"/>
      <c r="O486" s="37">
        <v>50</v>
      </c>
      <c r="P486" s="70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60"/>
      <c r="R486" s="660"/>
      <c r="S486" s="660"/>
      <c r="T486" s="661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4" t="s">
        <v>783</v>
      </c>
      <c r="AG486" s="78"/>
      <c r="AJ486" s="84" t="s">
        <v>46</v>
      </c>
      <c r="AK486" s="84">
        <v>0</v>
      </c>
      <c r="BB486" s="575" t="s">
        <v>66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784</v>
      </c>
      <c r="B487" s="63" t="s">
        <v>785</v>
      </c>
      <c r="C487" s="36">
        <v>4301031362</v>
      </c>
      <c r="D487" s="658">
        <v>4607091384338</v>
      </c>
      <c r="E487" s="658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81</v>
      </c>
      <c r="L487" s="37" t="s">
        <v>46</v>
      </c>
      <c r="M487" s="38" t="s">
        <v>80</v>
      </c>
      <c r="N487" s="38"/>
      <c r="O487" s="37">
        <v>50</v>
      </c>
      <c r="P487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60"/>
      <c r="R487" s="660"/>
      <c r="S487" s="660"/>
      <c r="T487" s="661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780</v>
      </c>
      <c r="AG487" s="78"/>
      <c r="AJ487" s="84" t="s">
        <v>46</v>
      </c>
      <c r="AK487" s="84">
        <v>0</v>
      </c>
      <c r="BB487" s="577" t="s">
        <v>66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786</v>
      </c>
      <c r="B488" s="63" t="s">
        <v>787</v>
      </c>
      <c r="C488" s="36">
        <v>4301031364</v>
      </c>
      <c r="D488" s="658">
        <v>4680115883161</v>
      </c>
      <c r="E488" s="658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81</v>
      </c>
      <c r="L488" s="37" t="s">
        <v>46</v>
      </c>
      <c r="M488" s="38" t="s">
        <v>80</v>
      </c>
      <c r="N488" s="38"/>
      <c r="O488" s="37">
        <v>50</v>
      </c>
      <c r="P488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60"/>
      <c r="R488" s="660"/>
      <c r="S488" s="660"/>
      <c r="T488" s="661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66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hidden="1" customHeight="1" x14ac:dyDescent="0.25">
      <c r="A489" s="63" t="s">
        <v>789</v>
      </c>
      <c r="B489" s="63" t="s">
        <v>790</v>
      </c>
      <c r="C489" s="36">
        <v>4301031358</v>
      </c>
      <c r="D489" s="658">
        <v>4607091389531</v>
      </c>
      <c r="E489" s="658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60"/>
      <c r="R489" s="660"/>
      <c r="S489" s="660"/>
      <c r="T489" s="661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791</v>
      </c>
      <c r="AG489" s="78"/>
      <c r="AJ489" s="84" t="s">
        <v>46</v>
      </c>
      <c r="AK489" s="84">
        <v>0</v>
      </c>
      <c r="BB489" s="581" t="s">
        <v>66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t="37.5" hidden="1" customHeight="1" x14ac:dyDescent="0.25">
      <c r="A490" s="63" t="s">
        <v>792</v>
      </c>
      <c r="B490" s="63" t="s">
        <v>793</v>
      </c>
      <c r="C490" s="36">
        <v>4301031360</v>
      </c>
      <c r="D490" s="658">
        <v>4607091384345</v>
      </c>
      <c r="E490" s="658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60"/>
      <c r="R490" s="660"/>
      <c r="S490" s="660"/>
      <c r="T490" s="661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6"/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788</v>
      </c>
      <c r="AG490" s="78"/>
      <c r="AJ490" s="84" t="s">
        <v>46</v>
      </c>
      <c r="AK490" s="84">
        <v>0</v>
      </c>
      <c r="BB490" s="583" t="s">
        <v>66</v>
      </c>
      <c r="BM490" s="78">
        <f t="shared" si="67"/>
        <v>0</v>
      </c>
      <c r="BN490" s="78">
        <f t="shared" si="68"/>
        <v>0</v>
      </c>
      <c r="BO490" s="78">
        <f t="shared" si="69"/>
        <v>0</v>
      </c>
      <c r="BP490" s="78">
        <f t="shared" si="70"/>
        <v>0</v>
      </c>
    </row>
    <row r="491" spans="1:68" hidden="1" x14ac:dyDescent="0.2">
      <c r="A491" s="648"/>
      <c r="B491" s="648"/>
      <c r="C491" s="648"/>
      <c r="D491" s="648"/>
      <c r="E491" s="648"/>
      <c r="F491" s="648"/>
      <c r="G491" s="648"/>
      <c r="H491" s="648"/>
      <c r="I491" s="648"/>
      <c r="J491" s="648"/>
      <c r="K491" s="648"/>
      <c r="L491" s="648"/>
      <c r="M491" s="648"/>
      <c r="N491" s="648"/>
      <c r="O491" s="649"/>
      <c r="P491" s="645" t="s">
        <v>40</v>
      </c>
      <c r="Q491" s="646"/>
      <c r="R491" s="646"/>
      <c r="S491" s="646"/>
      <c r="T491" s="646"/>
      <c r="U491" s="646"/>
      <c r="V491" s="647"/>
      <c r="W491" s="42" t="s">
        <v>39</v>
      </c>
      <c r="X491" s="43">
        <f>IFERROR(X485/H485,"0")+IFERROR(X486/H486,"0")+IFERROR(X487/H487,"0")+IFERROR(X488/H488,"0")+IFERROR(X489/H489,"0")+IFERROR(X490/H490,"0")</f>
        <v>0</v>
      </c>
      <c r="Y491" s="43">
        <f>IFERROR(Y485/H485,"0")+IFERROR(Y486/H486,"0")+IFERROR(Y487/H487,"0")+IFERROR(Y488/H488,"0")+IFERROR(Y489/H489,"0")+IFERROR(Y490/H490,"0")</f>
        <v>0</v>
      </c>
      <c r="Z491" s="43">
        <f>IFERROR(IF(Z485="",0,Z485),"0")+IFERROR(IF(Z486="",0,Z486),"0")+IFERROR(IF(Z487="",0,Z487),"0")+IFERROR(IF(Z488="",0,Z488),"0")+IFERROR(IF(Z489="",0,Z489),"0")+IFERROR(IF(Z490="",0,Z490),"0")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8"/>
      <c r="B492" s="648"/>
      <c r="C492" s="648"/>
      <c r="D492" s="648"/>
      <c r="E492" s="648"/>
      <c r="F492" s="648"/>
      <c r="G492" s="648"/>
      <c r="H492" s="648"/>
      <c r="I492" s="648"/>
      <c r="J492" s="648"/>
      <c r="K492" s="648"/>
      <c r="L492" s="648"/>
      <c r="M492" s="648"/>
      <c r="N492" s="648"/>
      <c r="O492" s="649"/>
      <c r="P492" s="645" t="s">
        <v>40</v>
      </c>
      <c r="Q492" s="646"/>
      <c r="R492" s="646"/>
      <c r="S492" s="646"/>
      <c r="T492" s="646"/>
      <c r="U492" s="646"/>
      <c r="V492" s="647"/>
      <c r="W492" s="42" t="s">
        <v>0</v>
      </c>
      <c r="X492" s="43">
        <f>IFERROR(SUM(X485:X490),"0")</f>
        <v>0</v>
      </c>
      <c r="Y492" s="43">
        <f>IFERROR(SUM(Y485:Y490),"0")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657" t="s">
        <v>82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66"/>
      <c r="AB493" s="66"/>
      <c r="AC493" s="80"/>
    </row>
    <row r="494" spans="1:68" ht="27" hidden="1" customHeight="1" x14ac:dyDescent="0.25">
      <c r="A494" s="63" t="s">
        <v>794</v>
      </c>
      <c r="B494" s="63" t="s">
        <v>795</v>
      </c>
      <c r="C494" s="36">
        <v>4301051284</v>
      </c>
      <c r="D494" s="658">
        <v>4607091384352</v>
      </c>
      <c r="E494" s="658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141</v>
      </c>
      <c r="L494" s="37" t="s">
        <v>46</v>
      </c>
      <c r="M494" s="38" t="s">
        <v>86</v>
      </c>
      <c r="N494" s="38"/>
      <c r="O494" s="37">
        <v>45</v>
      </c>
      <c r="P494" s="6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60"/>
      <c r="R494" s="660"/>
      <c r="S494" s="660"/>
      <c r="T494" s="661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796</v>
      </c>
      <c r="AG494" s="78"/>
      <c r="AJ494" s="84" t="s">
        <v>46</v>
      </c>
      <c r="AK494" s="84">
        <v>0</v>
      </c>
      <c r="BB494" s="585" t="s">
        <v>66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48"/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9"/>
      <c r="P495" s="645" t="s">
        <v>40</v>
      </c>
      <c r="Q495" s="646"/>
      <c r="R495" s="646"/>
      <c r="S495" s="646"/>
      <c r="T495" s="646"/>
      <c r="U495" s="646"/>
      <c r="V495" s="647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48"/>
      <c r="B496" s="648"/>
      <c r="C496" s="648"/>
      <c r="D496" s="648"/>
      <c r="E496" s="648"/>
      <c r="F496" s="648"/>
      <c r="G496" s="648"/>
      <c r="H496" s="648"/>
      <c r="I496" s="648"/>
      <c r="J496" s="648"/>
      <c r="K496" s="648"/>
      <c r="L496" s="648"/>
      <c r="M496" s="648"/>
      <c r="N496" s="648"/>
      <c r="O496" s="649"/>
      <c r="P496" s="645" t="s">
        <v>40</v>
      </c>
      <c r="Q496" s="646"/>
      <c r="R496" s="646"/>
      <c r="S496" s="646"/>
      <c r="T496" s="646"/>
      <c r="U496" s="646"/>
      <c r="V496" s="647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hidden="1" customHeight="1" x14ac:dyDescent="0.25">
      <c r="A497" s="664" t="s">
        <v>797</v>
      </c>
      <c r="B497" s="664"/>
      <c r="C497" s="664"/>
      <c r="D497" s="664"/>
      <c r="E497" s="664"/>
      <c r="F497" s="664"/>
      <c r="G497" s="664"/>
      <c r="H497" s="664"/>
      <c r="I497" s="664"/>
      <c r="J497" s="664"/>
      <c r="K497" s="664"/>
      <c r="L497" s="664"/>
      <c r="M497" s="664"/>
      <c r="N497" s="664"/>
      <c r="O497" s="664"/>
      <c r="P497" s="664"/>
      <c r="Q497" s="664"/>
      <c r="R497" s="664"/>
      <c r="S497" s="664"/>
      <c r="T497" s="664"/>
      <c r="U497" s="664"/>
      <c r="V497" s="664"/>
      <c r="W497" s="664"/>
      <c r="X497" s="664"/>
      <c r="Y497" s="664"/>
      <c r="Z497" s="664"/>
      <c r="AA497" s="65"/>
      <c r="AB497" s="65"/>
      <c r="AC497" s="79"/>
    </row>
    <row r="498" spans="1:68" ht="14.25" hidden="1" customHeight="1" x14ac:dyDescent="0.25">
      <c r="A498" s="657" t="s">
        <v>165</v>
      </c>
      <c r="B498" s="657"/>
      <c r="C498" s="657"/>
      <c r="D498" s="657"/>
      <c r="E498" s="657"/>
      <c r="F498" s="657"/>
      <c r="G498" s="657"/>
      <c r="H498" s="657"/>
      <c r="I498" s="657"/>
      <c r="J498" s="657"/>
      <c r="K498" s="657"/>
      <c r="L498" s="657"/>
      <c r="M498" s="657"/>
      <c r="N498" s="657"/>
      <c r="O498" s="657"/>
      <c r="P498" s="657"/>
      <c r="Q498" s="657"/>
      <c r="R498" s="657"/>
      <c r="S498" s="657"/>
      <c r="T498" s="657"/>
      <c r="U498" s="657"/>
      <c r="V498" s="657"/>
      <c r="W498" s="657"/>
      <c r="X498" s="657"/>
      <c r="Y498" s="657"/>
      <c r="Z498" s="657"/>
      <c r="AA498" s="66"/>
      <c r="AB498" s="66"/>
      <c r="AC498" s="80"/>
    </row>
    <row r="499" spans="1:68" ht="27" hidden="1" customHeight="1" x14ac:dyDescent="0.25">
      <c r="A499" s="63" t="s">
        <v>798</v>
      </c>
      <c r="B499" s="63" t="s">
        <v>799</v>
      </c>
      <c r="C499" s="36">
        <v>4301020416</v>
      </c>
      <c r="D499" s="658">
        <v>4680115885240</v>
      </c>
      <c r="E499" s="658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87</v>
      </c>
      <c r="L499" s="37" t="s">
        <v>46</v>
      </c>
      <c r="M499" s="38" t="s">
        <v>80</v>
      </c>
      <c r="N499" s="38"/>
      <c r="O499" s="37">
        <v>40</v>
      </c>
      <c r="P499" s="6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60"/>
      <c r="R499" s="660"/>
      <c r="S499" s="660"/>
      <c r="T499" s="661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800</v>
      </c>
      <c r="AG499" s="78"/>
      <c r="AJ499" s="84" t="s">
        <v>46</v>
      </c>
      <c r="AK499" s="84">
        <v>0</v>
      </c>
      <c r="BB499" s="587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48"/>
      <c r="B500" s="648"/>
      <c r="C500" s="648"/>
      <c r="D500" s="648"/>
      <c r="E500" s="648"/>
      <c r="F500" s="648"/>
      <c r="G500" s="648"/>
      <c r="H500" s="648"/>
      <c r="I500" s="648"/>
      <c r="J500" s="648"/>
      <c r="K500" s="648"/>
      <c r="L500" s="648"/>
      <c r="M500" s="648"/>
      <c r="N500" s="648"/>
      <c r="O500" s="649"/>
      <c r="P500" s="645" t="s">
        <v>40</v>
      </c>
      <c r="Q500" s="646"/>
      <c r="R500" s="646"/>
      <c r="S500" s="646"/>
      <c r="T500" s="646"/>
      <c r="U500" s="646"/>
      <c r="V500" s="647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648"/>
      <c r="B501" s="648"/>
      <c r="C501" s="648"/>
      <c r="D501" s="648"/>
      <c r="E501" s="648"/>
      <c r="F501" s="648"/>
      <c r="G501" s="648"/>
      <c r="H501" s="648"/>
      <c r="I501" s="648"/>
      <c r="J501" s="648"/>
      <c r="K501" s="648"/>
      <c r="L501" s="648"/>
      <c r="M501" s="648"/>
      <c r="N501" s="648"/>
      <c r="O501" s="649"/>
      <c r="P501" s="645" t="s">
        <v>40</v>
      </c>
      <c r="Q501" s="646"/>
      <c r="R501" s="646"/>
      <c r="S501" s="646"/>
      <c r="T501" s="646"/>
      <c r="U501" s="646"/>
      <c r="V501" s="647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657" t="s">
        <v>76</v>
      </c>
      <c r="B502" s="657"/>
      <c r="C502" s="657"/>
      <c r="D502" s="657"/>
      <c r="E502" s="657"/>
      <c r="F502" s="657"/>
      <c r="G502" s="657"/>
      <c r="H502" s="657"/>
      <c r="I502" s="657"/>
      <c r="J502" s="657"/>
      <c r="K502" s="657"/>
      <c r="L502" s="657"/>
      <c r="M502" s="657"/>
      <c r="N502" s="657"/>
      <c r="O502" s="657"/>
      <c r="P502" s="657"/>
      <c r="Q502" s="657"/>
      <c r="R502" s="657"/>
      <c r="S502" s="657"/>
      <c r="T502" s="657"/>
      <c r="U502" s="657"/>
      <c r="V502" s="657"/>
      <c r="W502" s="657"/>
      <c r="X502" s="657"/>
      <c r="Y502" s="657"/>
      <c r="Z502" s="657"/>
      <c r="AA502" s="66"/>
      <c r="AB502" s="66"/>
      <c r="AC502" s="80"/>
    </row>
    <row r="503" spans="1:68" ht="27" hidden="1" customHeight="1" x14ac:dyDescent="0.25">
      <c r="A503" s="63" t="s">
        <v>801</v>
      </c>
      <c r="B503" s="63" t="s">
        <v>802</v>
      </c>
      <c r="C503" s="36">
        <v>4301031407</v>
      </c>
      <c r="D503" s="658">
        <v>4680115886094</v>
      </c>
      <c r="E503" s="658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141</v>
      </c>
      <c r="L503" s="37" t="s">
        <v>46</v>
      </c>
      <c r="M503" s="38" t="s">
        <v>80</v>
      </c>
      <c r="N503" s="38"/>
      <c r="O503" s="37">
        <v>50</v>
      </c>
      <c r="P503" s="68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60"/>
      <c r="R503" s="660"/>
      <c r="S503" s="660"/>
      <c r="T503" s="661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66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4301031373</v>
      </c>
      <c r="D504" s="658">
        <v>4680115880771</v>
      </c>
      <c r="E504" s="658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81</v>
      </c>
      <c r="L504" s="37" t="s">
        <v>46</v>
      </c>
      <c r="M504" s="38" t="s">
        <v>80</v>
      </c>
      <c r="N504" s="38"/>
      <c r="O504" s="37">
        <v>50</v>
      </c>
      <c r="P504" s="69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60"/>
      <c r="R504" s="660"/>
      <c r="S504" s="660"/>
      <c r="T504" s="661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806</v>
      </c>
      <c r="AG504" s="78"/>
      <c r="AJ504" s="84" t="s">
        <v>46</v>
      </c>
      <c r="AK504" s="84">
        <v>0</v>
      </c>
      <c r="BB504" s="591" t="s">
        <v>66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hidden="1" customHeight="1" x14ac:dyDescent="0.25">
      <c r="A505" s="63" t="s">
        <v>807</v>
      </c>
      <c r="B505" s="63" t="s">
        <v>808</v>
      </c>
      <c r="C505" s="36">
        <v>4301031359</v>
      </c>
      <c r="D505" s="658">
        <v>4607091389500</v>
      </c>
      <c r="E505" s="658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81</v>
      </c>
      <c r="L505" s="37" t="s">
        <v>46</v>
      </c>
      <c r="M505" s="38" t="s">
        <v>80</v>
      </c>
      <c r="N505" s="38"/>
      <c r="O505" s="37">
        <v>50</v>
      </c>
      <c r="P505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60"/>
      <c r="R505" s="660"/>
      <c r="S505" s="660"/>
      <c r="T505" s="661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806</v>
      </c>
      <c r="AG505" s="78"/>
      <c r="AJ505" s="84" t="s">
        <v>46</v>
      </c>
      <c r="AK505" s="84">
        <v>0</v>
      </c>
      <c r="BB505" s="593" t="s">
        <v>66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idden="1" x14ac:dyDescent="0.2">
      <c r="A506" s="648"/>
      <c r="B506" s="648"/>
      <c r="C506" s="648"/>
      <c r="D506" s="648"/>
      <c r="E506" s="648"/>
      <c r="F506" s="648"/>
      <c r="G506" s="648"/>
      <c r="H506" s="648"/>
      <c r="I506" s="648"/>
      <c r="J506" s="648"/>
      <c r="K506" s="648"/>
      <c r="L506" s="648"/>
      <c r="M506" s="648"/>
      <c r="N506" s="648"/>
      <c r="O506" s="649"/>
      <c r="P506" s="645" t="s">
        <v>40</v>
      </c>
      <c r="Q506" s="646"/>
      <c r="R506" s="646"/>
      <c r="S506" s="646"/>
      <c r="T506" s="646"/>
      <c r="U506" s="646"/>
      <c r="V506" s="647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648"/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9"/>
      <c r="P507" s="645" t="s">
        <v>40</v>
      </c>
      <c r="Q507" s="646"/>
      <c r="R507" s="646"/>
      <c r="S507" s="646"/>
      <c r="T507" s="646"/>
      <c r="U507" s="646"/>
      <c r="V507" s="647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27.75" hidden="1" customHeight="1" x14ac:dyDescent="0.2">
      <c r="A508" s="675" t="s">
        <v>809</v>
      </c>
      <c r="B508" s="675"/>
      <c r="C508" s="675"/>
      <c r="D508" s="675"/>
      <c r="E508" s="675"/>
      <c r="F508" s="675"/>
      <c r="G508" s="675"/>
      <c r="H508" s="675"/>
      <c r="I508" s="675"/>
      <c r="J508" s="675"/>
      <c r="K508" s="675"/>
      <c r="L508" s="675"/>
      <c r="M508" s="675"/>
      <c r="N508" s="675"/>
      <c r="O508" s="675"/>
      <c r="P508" s="675"/>
      <c r="Q508" s="675"/>
      <c r="R508" s="675"/>
      <c r="S508" s="675"/>
      <c r="T508" s="675"/>
      <c r="U508" s="675"/>
      <c r="V508" s="675"/>
      <c r="W508" s="675"/>
      <c r="X508" s="675"/>
      <c r="Y508" s="675"/>
      <c r="Z508" s="675"/>
      <c r="AA508" s="54"/>
      <c r="AB508" s="54"/>
      <c r="AC508" s="54"/>
    </row>
    <row r="509" spans="1:68" ht="16.5" hidden="1" customHeight="1" x14ac:dyDescent="0.25">
      <c r="A509" s="664" t="s">
        <v>809</v>
      </c>
      <c r="B509" s="664"/>
      <c r="C509" s="664"/>
      <c r="D509" s="664"/>
      <c r="E509" s="664"/>
      <c r="F509" s="664"/>
      <c r="G509" s="664"/>
      <c r="H509" s="664"/>
      <c r="I509" s="664"/>
      <c r="J509" s="664"/>
      <c r="K509" s="664"/>
      <c r="L509" s="664"/>
      <c r="M509" s="664"/>
      <c r="N509" s="664"/>
      <c r="O509" s="664"/>
      <c r="P509" s="664"/>
      <c r="Q509" s="664"/>
      <c r="R509" s="664"/>
      <c r="S509" s="664"/>
      <c r="T509" s="664"/>
      <c r="U509" s="664"/>
      <c r="V509" s="664"/>
      <c r="W509" s="664"/>
      <c r="X509" s="664"/>
      <c r="Y509" s="664"/>
      <c r="Z509" s="664"/>
      <c r="AA509" s="65"/>
      <c r="AB509" s="65"/>
      <c r="AC509" s="79"/>
    </row>
    <row r="510" spans="1:68" ht="14.25" hidden="1" customHeight="1" x14ac:dyDescent="0.25">
      <c r="A510" s="657" t="s">
        <v>129</v>
      </c>
      <c r="B510" s="657"/>
      <c r="C510" s="657"/>
      <c r="D510" s="657"/>
      <c r="E510" s="657"/>
      <c r="F510" s="657"/>
      <c r="G510" s="657"/>
      <c r="H510" s="657"/>
      <c r="I510" s="657"/>
      <c r="J510" s="657"/>
      <c r="K510" s="657"/>
      <c r="L510" s="657"/>
      <c r="M510" s="657"/>
      <c r="N510" s="657"/>
      <c r="O510" s="657"/>
      <c r="P510" s="657"/>
      <c r="Q510" s="657"/>
      <c r="R510" s="657"/>
      <c r="S510" s="657"/>
      <c r="T510" s="657"/>
      <c r="U510" s="657"/>
      <c r="V510" s="657"/>
      <c r="W510" s="657"/>
      <c r="X510" s="657"/>
      <c r="Y510" s="657"/>
      <c r="Z510" s="657"/>
      <c r="AA510" s="66"/>
      <c r="AB510" s="66"/>
      <c r="AC510" s="80"/>
    </row>
    <row r="511" spans="1:68" ht="27" hidden="1" customHeight="1" x14ac:dyDescent="0.25">
      <c r="A511" s="63" t="s">
        <v>810</v>
      </c>
      <c r="B511" s="63" t="s">
        <v>811</v>
      </c>
      <c r="C511" s="36">
        <v>4301011769</v>
      </c>
      <c r="D511" s="658">
        <v>4607091389067</v>
      </c>
      <c r="E511" s="658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134</v>
      </c>
      <c r="L511" s="37" t="s">
        <v>46</v>
      </c>
      <c r="M511" s="38" t="s">
        <v>86</v>
      </c>
      <c r="N511" s="38"/>
      <c r="O511" s="37">
        <v>60</v>
      </c>
      <c r="P511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60"/>
      <c r="R511" s="660"/>
      <c r="S511" s="660"/>
      <c r="T511" s="661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ref="Y511:Y518" si="71"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132</v>
      </c>
      <c r="AG511" s="78"/>
      <c r="AJ511" s="84" t="s">
        <v>46</v>
      </c>
      <c r="AK511" s="84">
        <v>0</v>
      </c>
      <c r="BB511" s="595" t="s">
        <v>66</v>
      </c>
      <c r="BM511" s="78">
        <f t="shared" ref="BM511:BM518" si="72">IFERROR(X511*I511/H511,"0")</f>
        <v>0</v>
      </c>
      <c r="BN511" s="78">
        <f t="shared" ref="BN511:BN518" si="73">IFERROR(Y511*I511/H511,"0")</f>
        <v>0</v>
      </c>
      <c r="BO511" s="78">
        <f t="shared" ref="BO511:BO518" si="74">IFERROR(1/J511*(X511/H511),"0")</f>
        <v>0</v>
      </c>
      <c r="BP511" s="78">
        <f t="shared" ref="BP511:BP518" si="75">IFERROR(1/J511*(Y511/H511),"0")</f>
        <v>0</v>
      </c>
    </row>
    <row r="512" spans="1:68" ht="16.5" hidden="1" customHeight="1" x14ac:dyDescent="0.25">
      <c r="A512" s="63" t="s">
        <v>812</v>
      </c>
      <c r="B512" s="63" t="s">
        <v>813</v>
      </c>
      <c r="C512" s="36">
        <v>4301012380</v>
      </c>
      <c r="D512" s="658">
        <v>4680115889576</v>
      </c>
      <c r="E512" s="658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134</v>
      </c>
      <c r="L512" s="37" t="s">
        <v>46</v>
      </c>
      <c r="M512" s="38" t="s">
        <v>133</v>
      </c>
      <c r="N512" s="38"/>
      <c r="O512" s="37">
        <v>60</v>
      </c>
      <c r="P512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60"/>
      <c r="R512" s="660"/>
      <c r="S512" s="660"/>
      <c r="T512" s="661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66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815</v>
      </c>
      <c r="B513" s="63" t="s">
        <v>816</v>
      </c>
      <c r="C513" s="36">
        <v>4301011961</v>
      </c>
      <c r="D513" s="658">
        <v>4680115885271</v>
      </c>
      <c r="E513" s="658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134</v>
      </c>
      <c r="L513" s="37" t="s">
        <v>46</v>
      </c>
      <c r="M513" s="38" t="s">
        <v>133</v>
      </c>
      <c r="N513" s="38"/>
      <c r="O513" s="37">
        <v>60</v>
      </c>
      <c r="P513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60"/>
      <c r="R513" s="660"/>
      <c r="S513" s="660"/>
      <c r="T513" s="661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66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hidden="1" customHeight="1" x14ac:dyDescent="0.25">
      <c r="A514" s="63" t="s">
        <v>818</v>
      </c>
      <c r="B514" s="63" t="s">
        <v>819</v>
      </c>
      <c r="C514" s="36">
        <v>4301011369</v>
      </c>
      <c r="D514" s="658">
        <v>4680115885226</v>
      </c>
      <c r="E514" s="658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134</v>
      </c>
      <c r="L514" s="37" t="s">
        <v>46</v>
      </c>
      <c r="M514" s="38" t="s">
        <v>133</v>
      </c>
      <c r="N514" s="38"/>
      <c r="O514" s="37">
        <v>60</v>
      </c>
      <c r="P514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60"/>
      <c r="R514" s="660"/>
      <c r="S514" s="660"/>
      <c r="T514" s="661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66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4301011771</v>
      </c>
      <c r="D515" s="658">
        <v>4607091389104</v>
      </c>
      <c r="E515" s="658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134</v>
      </c>
      <c r="L515" s="37" t="s">
        <v>46</v>
      </c>
      <c r="M515" s="38" t="s">
        <v>133</v>
      </c>
      <c r="N515" s="38"/>
      <c r="O515" s="37">
        <v>60</v>
      </c>
      <c r="P515" s="68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60"/>
      <c r="R515" s="660"/>
      <c r="S515" s="660"/>
      <c r="T515" s="661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02" t="s">
        <v>823</v>
      </c>
      <c r="AG515" s="78"/>
      <c r="AJ515" s="84" t="s">
        <v>46</v>
      </c>
      <c r="AK515" s="84">
        <v>0</v>
      </c>
      <c r="BB515" s="603" t="s">
        <v>66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824</v>
      </c>
      <c r="B516" s="63" t="s">
        <v>825</v>
      </c>
      <c r="C516" s="36">
        <v>4301012125</v>
      </c>
      <c r="D516" s="658">
        <v>4680115886391</v>
      </c>
      <c r="E516" s="658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87</v>
      </c>
      <c r="L516" s="37" t="s">
        <v>46</v>
      </c>
      <c r="M516" s="38" t="s">
        <v>86</v>
      </c>
      <c r="N516" s="38"/>
      <c r="O516" s="37">
        <v>60</v>
      </c>
      <c r="P516" s="68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60"/>
      <c r="R516" s="660"/>
      <c r="S516" s="660"/>
      <c r="T516" s="661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132</v>
      </c>
      <c r="AG516" s="78"/>
      <c r="AJ516" s="84" t="s">
        <v>46</v>
      </c>
      <c r="AK516" s="84">
        <v>0</v>
      </c>
      <c r="BB516" s="605" t="s">
        <v>66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826</v>
      </c>
      <c r="B517" s="63" t="s">
        <v>827</v>
      </c>
      <c r="C517" s="36">
        <v>4301012048</v>
      </c>
      <c r="D517" s="658">
        <v>4680115880603</v>
      </c>
      <c r="E517" s="658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141</v>
      </c>
      <c r="L517" s="37" t="s">
        <v>46</v>
      </c>
      <c r="M517" s="38" t="s">
        <v>86</v>
      </c>
      <c r="N517" s="38"/>
      <c r="O517" s="37">
        <v>60</v>
      </c>
      <c r="P517" s="6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60"/>
      <c r="R517" s="660"/>
      <c r="S517" s="660"/>
      <c r="T517" s="661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132</v>
      </c>
      <c r="AG517" s="78"/>
      <c r="AJ517" s="84" t="s">
        <v>46</v>
      </c>
      <c r="AK517" s="84">
        <v>0</v>
      </c>
      <c r="BB517" s="607" t="s">
        <v>66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ht="27" hidden="1" customHeight="1" x14ac:dyDescent="0.25">
      <c r="A518" s="63" t="s">
        <v>828</v>
      </c>
      <c r="B518" s="63" t="s">
        <v>829</v>
      </c>
      <c r="C518" s="36">
        <v>4301012034</v>
      </c>
      <c r="D518" s="658">
        <v>4607091389982</v>
      </c>
      <c r="E518" s="658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141</v>
      </c>
      <c r="L518" s="37" t="s">
        <v>46</v>
      </c>
      <c r="M518" s="38" t="s">
        <v>133</v>
      </c>
      <c r="N518" s="38"/>
      <c r="O518" s="37">
        <v>60</v>
      </c>
      <c r="P518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60"/>
      <c r="R518" s="660"/>
      <c r="S518" s="660"/>
      <c r="T518" s="661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1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08" t="s">
        <v>823</v>
      </c>
      <c r="AG518" s="78"/>
      <c r="AJ518" s="84" t="s">
        <v>46</v>
      </c>
      <c r="AK518" s="84">
        <v>0</v>
      </c>
      <c r="BB518" s="609" t="s">
        <v>66</v>
      </c>
      <c r="BM518" s="78">
        <f t="shared" si="72"/>
        <v>0</v>
      </c>
      <c r="BN518" s="78">
        <f t="shared" si="73"/>
        <v>0</v>
      </c>
      <c r="BO518" s="78">
        <f t="shared" si="74"/>
        <v>0</v>
      </c>
      <c r="BP518" s="78">
        <f t="shared" si="75"/>
        <v>0</v>
      </c>
    </row>
    <row r="519" spans="1:68" hidden="1" x14ac:dyDescent="0.2">
      <c r="A519" s="648"/>
      <c r="B519" s="648"/>
      <c r="C519" s="648"/>
      <c r="D519" s="648"/>
      <c r="E519" s="648"/>
      <c r="F519" s="648"/>
      <c r="G519" s="648"/>
      <c r="H519" s="648"/>
      <c r="I519" s="648"/>
      <c r="J519" s="648"/>
      <c r="K519" s="648"/>
      <c r="L519" s="648"/>
      <c r="M519" s="648"/>
      <c r="N519" s="648"/>
      <c r="O519" s="649"/>
      <c r="P519" s="645" t="s">
        <v>40</v>
      </c>
      <c r="Q519" s="646"/>
      <c r="R519" s="646"/>
      <c r="S519" s="646"/>
      <c r="T519" s="646"/>
      <c r="U519" s="646"/>
      <c r="V519" s="647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0</v>
      </c>
      <c r="Y519" s="43">
        <f>IFERROR(Y511/H511,"0")+IFERROR(Y512/H512,"0")+IFERROR(Y513/H513,"0")+IFERROR(Y514/H514,"0")+IFERROR(Y515/H515,"0")+IFERROR(Y516/H516,"0")+IFERROR(Y517/H517,"0")+IFERROR(Y518/H518,"0")</f>
        <v>0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</v>
      </c>
      <c r="AA519" s="67"/>
      <c r="AB519" s="67"/>
      <c r="AC519" s="67"/>
    </row>
    <row r="520" spans="1:68" hidden="1" x14ac:dyDescent="0.2">
      <c r="A520" s="648"/>
      <c r="B520" s="648"/>
      <c r="C520" s="648"/>
      <c r="D520" s="648"/>
      <c r="E520" s="648"/>
      <c r="F520" s="648"/>
      <c r="G520" s="648"/>
      <c r="H520" s="648"/>
      <c r="I520" s="648"/>
      <c r="J520" s="648"/>
      <c r="K520" s="648"/>
      <c r="L520" s="648"/>
      <c r="M520" s="648"/>
      <c r="N520" s="648"/>
      <c r="O520" s="649"/>
      <c r="P520" s="645" t="s">
        <v>40</v>
      </c>
      <c r="Q520" s="646"/>
      <c r="R520" s="646"/>
      <c r="S520" s="646"/>
      <c r="T520" s="646"/>
      <c r="U520" s="646"/>
      <c r="V520" s="647"/>
      <c r="W520" s="42" t="s">
        <v>0</v>
      </c>
      <c r="X520" s="43">
        <f>IFERROR(SUM(X511:X518),"0")</f>
        <v>0</v>
      </c>
      <c r="Y520" s="43">
        <f>IFERROR(SUM(Y511:Y518),"0")</f>
        <v>0</v>
      </c>
      <c r="Z520" s="42"/>
      <c r="AA520" s="67"/>
      <c r="AB520" s="67"/>
      <c r="AC520" s="67"/>
    </row>
    <row r="521" spans="1:68" ht="14.25" hidden="1" customHeight="1" x14ac:dyDescent="0.25">
      <c r="A521" s="657" t="s">
        <v>165</v>
      </c>
      <c r="B521" s="657"/>
      <c r="C521" s="657"/>
      <c r="D521" s="657"/>
      <c r="E521" s="657"/>
      <c r="F521" s="657"/>
      <c r="G521" s="657"/>
      <c r="H521" s="657"/>
      <c r="I521" s="657"/>
      <c r="J521" s="657"/>
      <c r="K521" s="657"/>
      <c r="L521" s="657"/>
      <c r="M521" s="657"/>
      <c r="N521" s="657"/>
      <c r="O521" s="657"/>
      <c r="P521" s="657"/>
      <c r="Q521" s="657"/>
      <c r="R521" s="657"/>
      <c r="S521" s="657"/>
      <c r="T521" s="657"/>
      <c r="U521" s="657"/>
      <c r="V521" s="657"/>
      <c r="W521" s="657"/>
      <c r="X521" s="657"/>
      <c r="Y521" s="657"/>
      <c r="Z521" s="657"/>
      <c r="AA521" s="66"/>
      <c r="AB521" s="66"/>
      <c r="AC521" s="80"/>
    </row>
    <row r="522" spans="1:68" ht="16.5" hidden="1" customHeight="1" x14ac:dyDescent="0.25">
      <c r="A522" s="63" t="s">
        <v>830</v>
      </c>
      <c r="B522" s="63" t="s">
        <v>831</v>
      </c>
      <c r="C522" s="36">
        <v>4301020334</v>
      </c>
      <c r="D522" s="658">
        <v>4607091388930</v>
      </c>
      <c r="E522" s="658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134</v>
      </c>
      <c r="L522" s="37" t="s">
        <v>46</v>
      </c>
      <c r="M522" s="38" t="s">
        <v>86</v>
      </c>
      <c r="N522" s="38"/>
      <c r="O522" s="37">
        <v>70</v>
      </c>
      <c r="P52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60"/>
      <c r="R522" s="660"/>
      <c r="S522" s="660"/>
      <c r="T522" s="661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10" t="s">
        <v>832</v>
      </c>
      <c r="AG522" s="78"/>
      <c r="AJ522" s="84" t="s">
        <v>46</v>
      </c>
      <c r="AK522" s="84">
        <v>0</v>
      </c>
      <c r="BB522" s="611" t="s">
        <v>66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833</v>
      </c>
      <c r="B523" s="63" t="s">
        <v>834</v>
      </c>
      <c r="C523" s="36">
        <v>4301020374</v>
      </c>
      <c r="D523" s="658">
        <v>4680115886407</v>
      </c>
      <c r="E523" s="658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87</v>
      </c>
      <c r="L523" s="37" t="s">
        <v>46</v>
      </c>
      <c r="M523" s="38" t="s">
        <v>133</v>
      </c>
      <c r="N523" s="38"/>
      <c r="O523" s="37">
        <v>70</v>
      </c>
      <c r="P52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60"/>
      <c r="R523" s="660"/>
      <c r="S523" s="660"/>
      <c r="T523" s="661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832</v>
      </c>
      <c r="AG523" s="78"/>
      <c r="AJ523" s="84" t="s">
        <v>46</v>
      </c>
      <c r="AK523" s="84">
        <v>0</v>
      </c>
      <c r="BB523" s="613" t="s">
        <v>66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hidden="1" customHeight="1" x14ac:dyDescent="0.25">
      <c r="A524" s="63" t="s">
        <v>835</v>
      </c>
      <c r="B524" s="63" t="s">
        <v>836</v>
      </c>
      <c r="C524" s="36">
        <v>4301020385</v>
      </c>
      <c r="D524" s="658">
        <v>4680115880054</v>
      </c>
      <c r="E524" s="658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141</v>
      </c>
      <c r="L524" s="37" t="s">
        <v>46</v>
      </c>
      <c r="M524" s="38" t="s">
        <v>133</v>
      </c>
      <c r="N524" s="38"/>
      <c r="O524" s="37">
        <v>70</v>
      </c>
      <c r="P52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60"/>
      <c r="R524" s="660"/>
      <c r="S524" s="660"/>
      <c r="T524" s="661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832</v>
      </c>
      <c r="AG524" s="78"/>
      <c r="AJ524" s="84" t="s">
        <v>46</v>
      </c>
      <c r="AK524" s="84">
        <v>0</v>
      </c>
      <c r="BB524" s="615" t="s">
        <v>66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idden="1" x14ac:dyDescent="0.2">
      <c r="A525" s="648"/>
      <c r="B525" s="648"/>
      <c r="C525" s="648"/>
      <c r="D525" s="648"/>
      <c r="E525" s="648"/>
      <c r="F525" s="648"/>
      <c r="G525" s="648"/>
      <c r="H525" s="648"/>
      <c r="I525" s="648"/>
      <c r="J525" s="648"/>
      <c r="K525" s="648"/>
      <c r="L525" s="648"/>
      <c r="M525" s="648"/>
      <c r="N525" s="648"/>
      <c r="O525" s="649"/>
      <c r="P525" s="645" t="s">
        <v>40</v>
      </c>
      <c r="Q525" s="646"/>
      <c r="R525" s="646"/>
      <c r="S525" s="646"/>
      <c r="T525" s="646"/>
      <c r="U525" s="646"/>
      <c r="V525" s="647"/>
      <c r="W525" s="42" t="s">
        <v>39</v>
      </c>
      <c r="X525" s="43">
        <f>IFERROR(X522/H522,"0")+IFERROR(X523/H523,"0")+IFERROR(X524/H524,"0")</f>
        <v>0</v>
      </c>
      <c r="Y525" s="43">
        <f>IFERROR(Y522/H522,"0")+IFERROR(Y523/H523,"0")+IFERROR(Y524/H524,"0")</f>
        <v>0</v>
      </c>
      <c r="Z525" s="43">
        <f>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648"/>
      <c r="B526" s="648"/>
      <c r="C526" s="648"/>
      <c r="D526" s="648"/>
      <c r="E526" s="648"/>
      <c r="F526" s="648"/>
      <c r="G526" s="648"/>
      <c r="H526" s="648"/>
      <c r="I526" s="648"/>
      <c r="J526" s="648"/>
      <c r="K526" s="648"/>
      <c r="L526" s="648"/>
      <c r="M526" s="648"/>
      <c r="N526" s="648"/>
      <c r="O526" s="649"/>
      <c r="P526" s="645" t="s">
        <v>40</v>
      </c>
      <c r="Q526" s="646"/>
      <c r="R526" s="646"/>
      <c r="S526" s="646"/>
      <c r="T526" s="646"/>
      <c r="U526" s="646"/>
      <c r="V526" s="647"/>
      <c r="W526" s="42" t="s">
        <v>0</v>
      </c>
      <c r="X526" s="43">
        <f>IFERROR(SUM(X522:X524),"0")</f>
        <v>0</v>
      </c>
      <c r="Y526" s="43">
        <f>IFERROR(SUM(Y522:Y524),"0")</f>
        <v>0</v>
      </c>
      <c r="Z526" s="42"/>
      <c r="AA526" s="67"/>
      <c r="AB526" s="67"/>
      <c r="AC526" s="67"/>
    </row>
    <row r="527" spans="1:68" ht="14.25" hidden="1" customHeight="1" x14ac:dyDescent="0.25">
      <c r="A527" s="657" t="s">
        <v>76</v>
      </c>
      <c r="B527" s="657"/>
      <c r="C527" s="657"/>
      <c r="D527" s="657"/>
      <c r="E527" s="657"/>
      <c r="F527" s="657"/>
      <c r="G527" s="657"/>
      <c r="H527" s="657"/>
      <c r="I527" s="657"/>
      <c r="J527" s="657"/>
      <c r="K527" s="657"/>
      <c r="L527" s="657"/>
      <c r="M527" s="657"/>
      <c r="N527" s="657"/>
      <c r="O527" s="657"/>
      <c r="P527" s="657"/>
      <c r="Q527" s="657"/>
      <c r="R527" s="657"/>
      <c r="S527" s="657"/>
      <c r="T527" s="657"/>
      <c r="U527" s="657"/>
      <c r="V527" s="657"/>
      <c r="W527" s="657"/>
      <c r="X527" s="657"/>
      <c r="Y527" s="657"/>
      <c r="Z527" s="657"/>
      <c r="AA527" s="66"/>
      <c r="AB527" s="66"/>
      <c r="AC527" s="80"/>
    </row>
    <row r="528" spans="1:68" ht="27" hidden="1" customHeight="1" x14ac:dyDescent="0.25">
      <c r="A528" s="63" t="s">
        <v>837</v>
      </c>
      <c r="B528" s="63" t="s">
        <v>838</v>
      </c>
      <c r="C528" s="36">
        <v>4301031349</v>
      </c>
      <c r="D528" s="658">
        <v>4680115883116</v>
      </c>
      <c r="E528" s="658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134</v>
      </c>
      <c r="L528" s="37" t="s">
        <v>46</v>
      </c>
      <c r="M528" s="38" t="s">
        <v>133</v>
      </c>
      <c r="N528" s="38"/>
      <c r="O528" s="37">
        <v>70</v>
      </c>
      <c r="P528" s="6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60"/>
      <c r="R528" s="660"/>
      <c r="S528" s="660"/>
      <c r="T528" s="661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ref="Y528:Y534" si="76">IFERROR(IF(X528="",0,CEILING((X528/$H528),1)*$H528),"")</f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66</v>
      </c>
      <c r="BM528" s="78">
        <f t="shared" ref="BM528:BM534" si="77">IFERROR(X528*I528/H528,"0")</f>
        <v>0</v>
      </c>
      <c r="BN528" s="78">
        <f t="shared" ref="BN528:BN534" si="78">IFERROR(Y528*I528/H528,"0")</f>
        <v>0</v>
      </c>
      <c r="BO528" s="78">
        <f t="shared" ref="BO528:BO534" si="79">IFERROR(1/J528*(X528/H528),"0")</f>
        <v>0</v>
      </c>
      <c r="BP528" s="78">
        <f t="shared" ref="BP528:BP534" si="80">IFERROR(1/J528*(Y528/H528),"0")</f>
        <v>0</v>
      </c>
    </row>
    <row r="529" spans="1:68" ht="27" hidden="1" customHeight="1" x14ac:dyDescent="0.25">
      <c r="A529" s="63" t="s">
        <v>840</v>
      </c>
      <c r="B529" s="63" t="s">
        <v>841</v>
      </c>
      <c r="C529" s="36">
        <v>4301031350</v>
      </c>
      <c r="D529" s="658">
        <v>4680115883093</v>
      </c>
      <c r="E529" s="658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134</v>
      </c>
      <c r="L529" s="37" t="s">
        <v>46</v>
      </c>
      <c r="M529" s="38" t="s">
        <v>80</v>
      </c>
      <c r="N529" s="38"/>
      <c r="O529" s="37">
        <v>70</v>
      </c>
      <c r="P529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60"/>
      <c r="R529" s="660"/>
      <c r="S529" s="660"/>
      <c r="T529" s="661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66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4301031353</v>
      </c>
      <c r="D530" s="658">
        <v>4680115883109</v>
      </c>
      <c r="E530" s="658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134</v>
      </c>
      <c r="L530" s="37" t="s">
        <v>46</v>
      </c>
      <c r="M530" s="38" t="s">
        <v>80</v>
      </c>
      <c r="N530" s="38"/>
      <c r="O530" s="37">
        <v>70</v>
      </c>
      <c r="P530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60"/>
      <c r="R530" s="660"/>
      <c r="S530" s="660"/>
      <c r="T530" s="661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IFERROR(IF(Y530=0,"",ROUNDUP(Y530/H530,0)*0.01196),"")</f>
        <v/>
      </c>
      <c r="AA530" s="68" t="s">
        <v>46</v>
      </c>
      <c r="AB530" s="69" t="s">
        <v>46</v>
      </c>
      <c r="AC530" s="620" t="s">
        <v>845</v>
      </c>
      <c r="AG530" s="78"/>
      <c r="AJ530" s="84" t="s">
        <v>46</v>
      </c>
      <c r="AK530" s="84">
        <v>0</v>
      </c>
      <c r="BB530" s="621" t="s">
        <v>66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846</v>
      </c>
      <c r="B531" s="63" t="s">
        <v>847</v>
      </c>
      <c r="C531" s="36">
        <v>4301031419</v>
      </c>
      <c r="D531" s="658">
        <v>4680115882072</v>
      </c>
      <c r="E531" s="658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141</v>
      </c>
      <c r="L531" s="37" t="s">
        <v>46</v>
      </c>
      <c r="M531" s="38" t="s">
        <v>133</v>
      </c>
      <c r="N531" s="38"/>
      <c r="O531" s="37">
        <v>70</v>
      </c>
      <c r="P531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60"/>
      <c r="R531" s="660"/>
      <c r="S531" s="660"/>
      <c r="T531" s="661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66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848</v>
      </c>
      <c r="B532" s="63" t="s">
        <v>849</v>
      </c>
      <c r="C532" s="36">
        <v>4301031352</v>
      </c>
      <c r="D532" s="658">
        <v>4680115882102</v>
      </c>
      <c r="E532" s="658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141</v>
      </c>
      <c r="L532" s="37" t="s">
        <v>46</v>
      </c>
      <c r="M532" s="38" t="s">
        <v>80</v>
      </c>
      <c r="N532" s="38"/>
      <c r="O532" s="37">
        <v>70</v>
      </c>
      <c r="P532" s="67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60"/>
      <c r="R532" s="660"/>
      <c r="S532" s="660"/>
      <c r="T532" s="661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842</v>
      </c>
      <c r="AG532" s="78"/>
      <c r="AJ532" s="84" t="s">
        <v>46</v>
      </c>
      <c r="AK532" s="84">
        <v>0</v>
      </c>
      <c r="BB532" s="625" t="s">
        <v>66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850</v>
      </c>
      <c r="C533" s="36">
        <v>4301031418</v>
      </c>
      <c r="D533" s="658">
        <v>4680115882102</v>
      </c>
      <c r="E533" s="658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141</v>
      </c>
      <c r="L533" s="37" t="s">
        <v>46</v>
      </c>
      <c r="M533" s="38" t="s">
        <v>80</v>
      </c>
      <c r="N533" s="38"/>
      <c r="O533" s="37">
        <v>70</v>
      </c>
      <c r="P533" s="67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60"/>
      <c r="R533" s="660"/>
      <c r="S533" s="660"/>
      <c r="T533" s="661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66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t="27" hidden="1" customHeight="1" x14ac:dyDescent="0.25">
      <c r="A534" s="63" t="s">
        <v>851</v>
      </c>
      <c r="B534" s="63" t="s">
        <v>852</v>
      </c>
      <c r="C534" s="36">
        <v>4301031417</v>
      </c>
      <c r="D534" s="658">
        <v>4680115882096</v>
      </c>
      <c r="E534" s="658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141</v>
      </c>
      <c r="L534" s="37" t="s">
        <v>46</v>
      </c>
      <c r="M534" s="38" t="s">
        <v>80</v>
      </c>
      <c r="N534" s="38"/>
      <c r="O534" s="37">
        <v>70</v>
      </c>
      <c r="P534" s="67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60"/>
      <c r="R534" s="660"/>
      <c r="S534" s="660"/>
      <c r="T534" s="661"/>
      <c r="U534" s="39" t="s">
        <v>46</v>
      </c>
      <c r="V534" s="39" t="s">
        <v>46</v>
      </c>
      <c r="W534" s="40" t="s">
        <v>0</v>
      </c>
      <c r="X534" s="58">
        <v>0</v>
      </c>
      <c r="Y534" s="55">
        <f t="shared" si="76"/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845</v>
      </c>
      <c r="AG534" s="78"/>
      <c r="AJ534" s="84" t="s">
        <v>46</v>
      </c>
      <c r="AK534" s="84">
        <v>0</v>
      </c>
      <c r="BB534" s="629" t="s">
        <v>66</v>
      </c>
      <c r="BM534" s="78">
        <f t="shared" si="77"/>
        <v>0</v>
      </c>
      <c r="BN534" s="78">
        <f t="shared" si="78"/>
        <v>0</v>
      </c>
      <c r="BO534" s="78">
        <f t="shared" si="79"/>
        <v>0</v>
      </c>
      <c r="BP534" s="78">
        <f t="shared" si="80"/>
        <v>0</v>
      </c>
    </row>
    <row r="535" spans="1:68" hidden="1" x14ac:dyDescent="0.2">
      <c r="A535" s="648"/>
      <c r="B535" s="648"/>
      <c r="C535" s="648"/>
      <c r="D535" s="648"/>
      <c r="E535" s="648"/>
      <c r="F535" s="648"/>
      <c r="G535" s="648"/>
      <c r="H535" s="648"/>
      <c r="I535" s="648"/>
      <c r="J535" s="648"/>
      <c r="K535" s="648"/>
      <c r="L535" s="648"/>
      <c r="M535" s="648"/>
      <c r="N535" s="648"/>
      <c r="O535" s="649"/>
      <c r="P535" s="645" t="s">
        <v>40</v>
      </c>
      <c r="Q535" s="646"/>
      <c r="R535" s="646"/>
      <c r="S535" s="646"/>
      <c r="T535" s="646"/>
      <c r="U535" s="646"/>
      <c r="V535" s="647"/>
      <c r="W535" s="42" t="s">
        <v>39</v>
      </c>
      <c r="X535" s="43">
        <f>IFERROR(X528/H528,"0")+IFERROR(X529/H529,"0")+IFERROR(X530/H530,"0")+IFERROR(X531/H531,"0")+IFERROR(X532/H532,"0")+IFERROR(X533/H533,"0")+IFERROR(X534/H534,"0")</f>
        <v>0</v>
      </c>
      <c r="Y535" s="43">
        <f>IFERROR(Y528/H528,"0")+IFERROR(Y529/H529,"0")+IFERROR(Y530/H530,"0")+IFERROR(Y531/H531,"0")+IFERROR(Y532/H532,"0")+IFERROR(Y533/H533,"0")+IFERROR(Y534/H534,"0")</f>
        <v>0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0</v>
      </c>
      <c r="AA535" s="67"/>
      <c r="AB535" s="67"/>
      <c r="AC535" s="67"/>
    </row>
    <row r="536" spans="1:68" hidden="1" x14ac:dyDescent="0.2">
      <c r="A536" s="648"/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9"/>
      <c r="P536" s="645" t="s">
        <v>40</v>
      </c>
      <c r="Q536" s="646"/>
      <c r="R536" s="646"/>
      <c r="S536" s="646"/>
      <c r="T536" s="646"/>
      <c r="U536" s="646"/>
      <c r="V536" s="647"/>
      <c r="W536" s="42" t="s">
        <v>0</v>
      </c>
      <c r="X536" s="43">
        <f>IFERROR(SUM(X528:X534),"0")</f>
        <v>0</v>
      </c>
      <c r="Y536" s="43">
        <f>IFERROR(SUM(Y528:Y534),"0")</f>
        <v>0</v>
      </c>
      <c r="Z536" s="42"/>
      <c r="AA536" s="67"/>
      <c r="AB536" s="67"/>
      <c r="AC536" s="67"/>
    </row>
    <row r="537" spans="1:68" ht="27.75" hidden="1" customHeight="1" x14ac:dyDescent="0.2">
      <c r="A537" s="675" t="s">
        <v>853</v>
      </c>
      <c r="B537" s="675"/>
      <c r="C537" s="675"/>
      <c r="D537" s="675"/>
      <c r="E537" s="675"/>
      <c r="F537" s="675"/>
      <c r="G537" s="675"/>
      <c r="H537" s="675"/>
      <c r="I537" s="675"/>
      <c r="J537" s="675"/>
      <c r="K537" s="675"/>
      <c r="L537" s="675"/>
      <c r="M537" s="675"/>
      <c r="N537" s="675"/>
      <c r="O537" s="675"/>
      <c r="P537" s="675"/>
      <c r="Q537" s="675"/>
      <c r="R537" s="675"/>
      <c r="S537" s="675"/>
      <c r="T537" s="675"/>
      <c r="U537" s="675"/>
      <c r="V537" s="675"/>
      <c r="W537" s="675"/>
      <c r="X537" s="675"/>
      <c r="Y537" s="675"/>
      <c r="Z537" s="675"/>
      <c r="AA537" s="54"/>
      <c r="AB537" s="54"/>
      <c r="AC537" s="54"/>
    </row>
    <row r="538" spans="1:68" ht="16.5" hidden="1" customHeight="1" x14ac:dyDescent="0.25">
      <c r="A538" s="664" t="s">
        <v>853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5"/>
      <c r="AB538" s="65"/>
      <c r="AC538" s="79"/>
    </row>
    <row r="539" spans="1:68" ht="14.25" hidden="1" customHeight="1" x14ac:dyDescent="0.25">
      <c r="A539" s="657" t="s">
        <v>129</v>
      </c>
      <c r="B539" s="657"/>
      <c r="C539" s="657"/>
      <c r="D539" s="657"/>
      <c r="E539" s="657"/>
      <c r="F539" s="657"/>
      <c r="G539" s="657"/>
      <c r="H539" s="657"/>
      <c r="I539" s="657"/>
      <c r="J539" s="657"/>
      <c r="K539" s="657"/>
      <c r="L539" s="657"/>
      <c r="M539" s="657"/>
      <c r="N539" s="657"/>
      <c r="O539" s="657"/>
      <c r="P539" s="657"/>
      <c r="Q539" s="657"/>
      <c r="R539" s="657"/>
      <c r="S539" s="657"/>
      <c r="T539" s="657"/>
      <c r="U539" s="657"/>
      <c r="V539" s="657"/>
      <c r="W539" s="657"/>
      <c r="X539" s="657"/>
      <c r="Y539" s="657"/>
      <c r="Z539" s="657"/>
      <c r="AA539" s="66"/>
      <c r="AB539" s="66"/>
      <c r="AC539" s="80"/>
    </row>
    <row r="540" spans="1:68" ht="27" hidden="1" customHeight="1" x14ac:dyDescent="0.25">
      <c r="A540" s="63" t="s">
        <v>854</v>
      </c>
      <c r="B540" s="63" t="s">
        <v>855</v>
      </c>
      <c r="C540" s="36">
        <v>4301012386</v>
      </c>
      <c r="D540" s="658">
        <v>4680115889736</v>
      </c>
      <c r="E540" s="658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134</v>
      </c>
      <c r="L540" s="37" t="s">
        <v>46</v>
      </c>
      <c r="M540" s="38" t="s">
        <v>133</v>
      </c>
      <c r="N540" s="38"/>
      <c r="O540" s="37">
        <v>50</v>
      </c>
      <c r="P540" s="666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60"/>
      <c r="R540" s="660"/>
      <c r="S540" s="660"/>
      <c r="T540" s="661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0" t="s">
        <v>856</v>
      </c>
      <c r="AG540" s="78"/>
      <c r="AJ540" s="84" t="s">
        <v>46</v>
      </c>
      <c r="AK540" s="84">
        <v>0</v>
      </c>
      <c r="BB540" s="631" t="s">
        <v>66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48"/>
      <c r="B541" s="648"/>
      <c r="C541" s="648"/>
      <c r="D541" s="648"/>
      <c r="E541" s="648"/>
      <c r="F541" s="648"/>
      <c r="G541" s="648"/>
      <c r="H541" s="648"/>
      <c r="I541" s="648"/>
      <c r="J541" s="648"/>
      <c r="K541" s="648"/>
      <c r="L541" s="648"/>
      <c r="M541" s="648"/>
      <c r="N541" s="648"/>
      <c r="O541" s="649"/>
      <c r="P541" s="645" t="s">
        <v>40</v>
      </c>
      <c r="Q541" s="646"/>
      <c r="R541" s="646"/>
      <c r="S541" s="646"/>
      <c r="T541" s="646"/>
      <c r="U541" s="646"/>
      <c r="V541" s="647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48"/>
      <c r="B542" s="648"/>
      <c r="C542" s="648"/>
      <c r="D542" s="648"/>
      <c r="E542" s="648"/>
      <c r="F542" s="648"/>
      <c r="G542" s="648"/>
      <c r="H542" s="648"/>
      <c r="I542" s="648"/>
      <c r="J542" s="648"/>
      <c r="K542" s="648"/>
      <c r="L542" s="648"/>
      <c r="M542" s="648"/>
      <c r="N542" s="648"/>
      <c r="O542" s="649"/>
      <c r="P542" s="645" t="s">
        <v>40</v>
      </c>
      <c r="Q542" s="646"/>
      <c r="R542" s="646"/>
      <c r="S542" s="646"/>
      <c r="T542" s="646"/>
      <c r="U542" s="646"/>
      <c r="V542" s="647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57" t="s">
        <v>165</v>
      </c>
      <c r="B543" s="657"/>
      <c r="C543" s="657"/>
      <c r="D543" s="657"/>
      <c r="E543" s="657"/>
      <c r="F543" s="657"/>
      <c r="G543" s="657"/>
      <c r="H543" s="657"/>
      <c r="I543" s="657"/>
      <c r="J543" s="657"/>
      <c r="K543" s="657"/>
      <c r="L543" s="657"/>
      <c r="M543" s="657"/>
      <c r="N543" s="657"/>
      <c r="O543" s="657"/>
      <c r="P543" s="657"/>
      <c r="Q543" s="657"/>
      <c r="R543" s="657"/>
      <c r="S543" s="657"/>
      <c r="T543" s="657"/>
      <c r="U543" s="657"/>
      <c r="V543" s="657"/>
      <c r="W543" s="657"/>
      <c r="X543" s="657"/>
      <c r="Y543" s="657"/>
      <c r="Z543" s="657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4301020444</v>
      </c>
      <c r="D544" s="658">
        <v>4680115889781</v>
      </c>
      <c r="E544" s="658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134</v>
      </c>
      <c r="L544" s="37" t="s">
        <v>46</v>
      </c>
      <c r="M544" s="38" t="s">
        <v>86</v>
      </c>
      <c r="N544" s="38"/>
      <c r="O544" s="37">
        <v>50</v>
      </c>
      <c r="P544" s="66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60"/>
      <c r="R544" s="660"/>
      <c r="S544" s="660"/>
      <c r="T544" s="661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738</v>
      </c>
      <c r="AG544" s="78"/>
      <c r="AJ544" s="84" t="s">
        <v>46</v>
      </c>
      <c r="AK544" s="84">
        <v>0</v>
      </c>
      <c r="BB544" s="633" t="s">
        <v>66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48"/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49"/>
      <c r="P545" s="645" t="s">
        <v>40</v>
      </c>
      <c r="Q545" s="646"/>
      <c r="R545" s="646"/>
      <c r="S545" s="646"/>
      <c r="T545" s="646"/>
      <c r="U545" s="646"/>
      <c r="V545" s="647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48"/>
      <c r="B546" s="648"/>
      <c r="C546" s="648"/>
      <c r="D546" s="648"/>
      <c r="E546" s="648"/>
      <c r="F546" s="648"/>
      <c r="G546" s="648"/>
      <c r="H546" s="648"/>
      <c r="I546" s="648"/>
      <c r="J546" s="648"/>
      <c r="K546" s="648"/>
      <c r="L546" s="648"/>
      <c r="M546" s="648"/>
      <c r="N546" s="648"/>
      <c r="O546" s="649"/>
      <c r="P546" s="645" t="s">
        <v>40</v>
      </c>
      <c r="Q546" s="646"/>
      <c r="R546" s="646"/>
      <c r="S546" s="646"/>
      <c r="T546" s="646"/>
      <c r="U546" s="646"/>
      <c r="V546" s="647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57" t="s">
        <v>76</v>
      </c>
      <c r="B547" s="657"/>
      <c r="C547" s="657"/>
      <c r="D547" s="657"/>
      <c r="E547" s="657"/>
      <c r="F547" s="657"/>
      <c r="G547" s="657"/>
      <c r="H547" s="657"/>
      <c r="I547" s="657"/>
      <c r="J547" s="657"/>
      <c r="K547" s="657"/>
      <c r="L547" s="657"/>
      <c r="M547" s="657"/>
      <c r="N547" s="657"/>
      <c r="O547" s="657"/>
      <c r="P547" s="657"/>
      <c r="Q547" s="657"/>
      <c r="R547" s="657"/>
      <c r="S547" s="657"/>
      <c r="T547" s="657"/>
      <c r="U547" s="657"/>
      <c r="V547" s="657"/>
      <c r="W547" s="657"/>
      <c r="X547" s="657"/>
      <c r="Y547" s="657"/>
      <c r="Z547" s="657"/>
      <c r="AA547" s="66"/>
      <c r="AB547" s="66"/>
      <c r="AC547" s="80"/>
    </row>
    <row r="548" spans="1:68" ht="27" hidden="1" customHeight="1" x14ac:dyDescent="0.25">
      <c r="A548" s="63" t="s">
        <v>859</v>
      </c>
      <c r="B548" s="63" t="s">
        <v>860</v>
      </c>
      <c r="C548" s="36">
        <v>4301031523</v>
      </c>
      <c r="D548" s="658">
        <v>4680115889774</v>
      </c>
      <c r="E548" s="658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141</v>
      </c>
      <c r="L548" s="37" t="s">
        <v>46</v>
      </c>
      <c r="M548" s="38" t="s">
        <v>80</v>
      </c>
      <c r="N548" s="38"/>
      <c r="O548" s="37">
        <v>40</v>
      </c>
      <c r="P548" s="66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60"/>
      <c r="R548" s="660"/>
      <c r="S548" s="660"/>
      <c r="T548" s="661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IFERROR(IF(Y548=0,"",ROUNDUP(Y548/H548,0)*0.00902),"")</f>
        <v/>
      </c>
      <c r="AA548" s="68" t="s">
        <v>46</v>
      </c>
      <c r="AB548" s="69" t="s">
        <v>46</v>
      </c>
      <c r="AC548" s="634" t="s">
        <v>861</v>
      </c>
      <c r="AG548" s="78"/>
      <c r="AJ548" s="84" t="s">
        <v>46</v>
      </c>
      <c r="AK548" s="84">
        <v>0</v>
      </c>
      <c r="BB548" s="635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8"/>
      <c r="B549" s="648"/>
      <c r="C549" s="648"/>
      <c r="D549" s="648"/>
      <c r="E549" s="648"/>
      <c r="F549" s="648"/>
      <c r="G549" s="648"/>
      <c r="H549" s="648"/>
      <c r="I549" s="648"/>
      <c r="J549" s="648"/>
      <c r="K549" s="648"/>
      <c r="L549" s="648"/>
      <c r="M549" s="648"/>
      <c r="N549" s="648"/>
      <c r="O549" s="649"/>
      <c r="P549" s="645" t="s">
        <v>40</v>
      </c>
      <c r="Q549" s="646"/>
      <c r="R549" s="646"/>
      <c r="S549" s="646"/>
      <c r="T549" s="646"/>
      <c r="U549" s="646"/>
      <c r="V549" s="647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8"/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9"/>
      <c r="P550" s="645" t="s">
        <v>40</v>
      </c>
      <c r="Q550" s="646"/>
      <c r="R550" s="646"/>
      <c r="S550" s="646"/>
      <c r="T550" s="646"/>
      <c r="U550" s="646"/>
      <c r="V550" s="647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57" t="s">
        <v>82</v>
      </c>
      <c r="B551" s="657"/>
      <c r="C551" s="657"/>
      <c r="D551" s="657"/>
      <c r="E551" s="657"/>
      <c r="F551" s="657"/>
      <c r="G551" s="657"/>
      <c r="H551" s="657"/>
      <c r="I551" s="657"/>
      <c r="J551" s="657"/>
      <c r="K551" s="657"/>
      <c r="L551" s="657"/>
      <c r="M551" s="657"/>
      <c r="N551" s="657"/>
      <c r="O551" s="657"/>
      <c r="P551" s="657"/>
      <c r="Q551" s="657"/>
      <c r="R551" s="657"/>
      <c r="S551" s="657"/>
      <c r="T551" s="657"/>
      <c r="U551" s="657"/>
      <c r="V551" s="657"/>
      <c r="W551" s="657"/>
      <c r="X551" s="657"/>
      <c r="Y551" s="657"/>
      <c r="Z551" s="657"/>
      <c r="AA551" s="66"/>
      <c r="AB551" s="66"/>
      <c r="AC551" s="80"/>
    </row>
    <row r="552" spans="1:68" ht="27" hidden="1" customHeight="1" x14ac:dyDescent="0.25">
      <c r="A552" s="63" t="s">
        <v>862</v>
      </c>
      <c r="B552" s="63" t="s">
        <v>863</v>
      </c>
      <c r="C552" s="36">
        <v>4301052282</v>
      </c>
      <c r="D552" s="658">
        <v>4680115889811</v>
      </c>
      <c r="E552" s="658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134</v>
      </c>
      <c r="L552" s="37" t="s">
        <v>46</v>
      </c>
      <c r="M552" s="38" t="s">
        <v>86</v>
      </c>
      <c r="N552" s="38"/>
      <c r="O552" s="37">
        <v>45</v>
      </c>
      <c r="P552" s="65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60"/>
      <c r="R552" s="660"/>
      <c r="S552" s="660"/>
      <c r="T552" s="661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36" t="s">
        <v>864</v>
      </c>
      <c r="AG552" s="78"/>
      <c r="AJ552" s="84" t="s">
        <v>46</v>
      </c>
      <c r="AK552" s="84">
        <v>0</v>
      </c>
      <c r="BB552" s="637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48"/>
      <c r="B553" s="648"/>
      <c r="C553" s="648"/>
      <c r="D553" s="648"/>
      <c r="E553" s="648"/>
      <c r="F553" s="648"/>
      <c r="G553" s="648"/>
      <c r="H553" s="648"/>
      <c r="I553" s="648"/>
      <c r="J553" s="648"/>
      <c r="K553" s="648"/>
      <c r="L553" s="648"/>
      <c r="M553" s="648"/>
      <c r="N553" s="648"/>
      <c r="O553" s="649"/>
      <c r="P553" s="645" t="s">
        <v>40</v>
      </c>
      <c r="Q553" s="646"/>
      <c r="R553" s="646"/>
      <c r="S553" s="646"/>
      <c r="T553" s="646"/>
      <c r="U553" s="646"/>
      <c r="V553" s="647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48"/>
      <c r="B554" s="648"/>
      <c r="C554" s="648"/>
      <c r="D554" s="648"/>
      <c r="E554" s="648"/>
      <c r="F554" s="648"/>
      <c r="G554" s="648"/>
      <c r="H554" s="648"/>
      <c r="I554" s="648"/>
      <c r="J554" s="648"/>
      <c r="K554" s="648"/>
      <c r="L554" s="648"/>
      <c r="M554" s="648"/>
      <c r="N554" s="648"/>
      <c r="O554" s="649"/>
      <c r="P554" s="645" t="s">
        <v>40</v>
      </c>
      <c r="Q554" s="646"/>
      <c r="R554" s="646"/>
      <c r="S554" s="646"/>
      <c r="T554" s="646"/>
      <c r="U554" s="646"/>
      <c r="V554" s="647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4.25" hidden="1" customHeight="1" x14ac:dyDescent="0.25">
      <c r="A555" s="657" t="s">
        <v>183</v>
      </c>
      <c r="B555" s="657"/>
      <c r="C555" s="657"/>
      <c r="D555" s="657"/>
      <c r="E555" s="657"/>
      <c r="F555" s="657"/>
      <c r="G555" s="657"/>
      <c r="H555" s="657"/>
      <c r="I555" s="657"/>
      <c r="J555" s="657"/>
      <c r="K555" s="657"/>
      <c r="L555" s="657"/>
      <c r="M555" s="657"/>
      <c r="N555" s="657"/>
      <c r="O555" s="657"/>
      <c r="P555" s="657"/>
      <c r="Q555" s="657"/>
      <c r="R555" s="657"/>
      <c r="S555" s="657"/>
      <c r="T555" s="657"/>
      <c r="U555" s="657"/>
      <c r="V555" s="657"/>
      <c r="W555" s="657"/>
      <c r="X555" s="657"/>
      <c r="Y555" s="657"/>
      <c r="Z555" s="657"/>
      <c r="AA555" s="66"/>
      <c r="AB555" s="66"/>
      <c r="AC555" s="80"/>
    </row>
    <row r="556" spans="1:68" ht="27" hidden="1" customHeight="1" x14ac:dyDescent="0.25">
      <c r="A556" s="63" t="s">
        <v>865</v>
      </c>
      <c r="B556" s="63" t="s">
        <v>866</v>
      </c>
      <c r="C556" s="36">
        <v>4301060543</v>
      </c>
      <c r="D556" s="658">
        <v>4680115889804</v>
      </c>
      <c r="E556" s="658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134</v>
      </c>
      <c r="L556" s="37" t="s">
        <v>46</v>
      </c>
      <c r="M556" s="38" t="s">
        <v>86</v>
      </c>
      <c r="N556" s="38"/>
      <c r="O556" s="37">
        <v>40</v>
      </c>
      <c r="P556" s="66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60"/>
      <c r="R556" s="660"/>
      <c r="S556" s="660"/>
      <c r="T556" s="661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66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hidden="1" customHeight="1" x14ac:dyDescent="0.25">
      <c r="A557" s="63" t="s">
        <v>868</v>
      </c>
      <c r="B557" s="63" t="s">
        <v>869</v>
      </c>
      <c r="C557" s="36">
        <v>4301060544</v>
      </c>
      <c r="D557" s="658">
        <v>4680115889828</v>
      </c>
      <c r="E557" s="658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134</v>
      </c>
      <c r="L557" s="37" t="s">
        <v>46</v>
      </c>
      <c r="M557" s="38" t="s">
        <v>86</v>
      </c>
      <c r="N557" s="38"/>
      <c r="O557" s="37">
        <v>40</v>
      </c>
      <c r="P557" s="66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60"/>
      <c r="R557" s="660"/>
      <c r="S557" s="660"/>
      <c r="T557" s="661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870</v>
      </c>
      <c r="AG557" s="78"/>
      <c r="AJ557" s="84" t="s">
        <v>46</v>
      </c>
      <c r="AK557" s="84">
        <v>0</v>
      </c>
      <c r="BB557" s="641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48"/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9"/>
      <c r="P558" s="645" t="s">
        <v>40</v>
      </c>
      <c r="Q558" s="646"/>
      <c r="R558" s="646"/>
      <c r="S558" s="646"/>
      <c r="T558" s="646"/>
      <c r="U558" s="646"/>
      <c r="V558" s="647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hidden="1" x14ac:dyDescent="0.2">
      <c r="A559" s="648"/>
      <c r="B559" s="648"/>
      <c r="C559" s="648"/>
      <c r="D559" s="648"/>
      <c r="E559" s="648"/>
      <c r="F559" s="648"/>
      <c r="G559" s="648"/>
      <c r="H559" s="648"/>
      <c r="I559" s="648"/>
      <c r="J559" s="648"/>
      <c r="K559" s="648"/>
      <c r="L559" s="648"/>
      <c r="M559" s="648"/>
      <c r="N559" s="648"/>
      <c r="O559" s="649"/>
      <c r="P559" s="645" t="s">
        <v>40</v>
      </c>
      <c r="Q559" s="646"/>
      <c r="R559" s="646"/>
      <c r="S559" s="646"/>
      <c r="T559" s="646"/>
      <c r="U559" s="646"/>
      <c r="V559" s="647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hidden="1" customHeight="1" x14ac:dyDescent="0.25">
      <c r="A560" s="664" t="s">
        <v>871</v>
      </c>
      <c r="B560" s="664"/>
      <c r="C560" s="664"/>
      <c r="D560" s="664"/>
      <c r="E560" s="664"/>
      <c r="F560" s="664"/>
      <c r="G560" s="664"/>
      <c r="H560" s="664"/>
      <c r="I560" s="664"/>
      <c r="J560" s="664"/>
      <c r="K560" s="664"/>
      <c r="L560" s="664"/>
      <c r="M560" s="664"/>
      <c r="N560" s="664"/>
      <c r="O560" s="664"/>
      <c r="P560" s="664"/>
      <c r="Q560" s="664"/>
      <c r="R560" s="664"/>
      <c r="S560" s="664"/>
      <c r="T560" s="664"/>
      <c r="U560" s="664"/>
      <c r="V560" s="664"/>
      <c r="W560" s="664"/>
      <c r="X560" s="664"/>
      <c r="Y560" s="664"/>
      <c r="Z560" s="664"/>
      <c r="AA560" s="65"/>
      <c r="AB560" s="65"/>
      <c r="AC560" s="79"/>
    </row>
    <row r="561" spans="1:68" ht="14.25" hidden="1" customHeight="1" x14ac:dyDescent="0.25">
      <c r="A561" s="657" t="s">
        <v>165</v>
      </c>
      <c r="B561" s="657"/>
      <c r="C561" s="657"/>
      <c r="D561" s="657"/>
      <c r="E561" s="657"/>
      <c r="F561" s="657"/>
      <c r="G561" s="657"/>
      <c r="H561" s="657"/>
      <c r="I561" s="657"/>
      <c r="J561" s="657"/>
      <c r="K561" s="657"/>
      <c r="L561" s="657"/>
      <c r="M561" s="657"/>
      <c r="N561" s="657"/>
      <c r="O561" s="657"/>
      <c r="P561" s="657"/>
      <c r="Q561" s="657"/>
      <c r="R561" s="657"/>
      <c r="S561" s="657"/>
      <c r="T561" s="657"/>
      <c r="U561" s="657"/>
      <c r="V561" s="657"/>
      <c r="W561" s="657"/>
      <c r="X561" s="657"/>
      <c r="Y561" s="657"/>
      <c r="Z561" s="657"/>
      <c r="AA561" s="66"/>
      <c r="AB561" s="66"/>
      <c r="AC561" s="80"/>
    </row>
    <row r="562" spans="1:68" ht="27" hidden="1" customHeight="1" x14ac:dyDescent="0.25">
      <c r="A562" s="63" t="s">
        <v>872</v>
      </c>
      <c r="B562" s="63" t="s">
        <v>873</v>
      </c>
      <c r="C562" s="36">
        <v>4301020441</v>
      </c>
      <c r="D562" s="658">
        <v>4680115889798</v>
      </c>
      <c r="E562" s="658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134</v>
      </c>
      <c r="L562" s="37" t="s">
        <v>46</v>
      </c>
      <c r="M562" s="38" t="s">
        <v>133</v>
      </c>
      <c r="N562" s="38"/>
      <c r="O562" s="37">
        <v>50</v>
      </c>
      <c r="P562" s="66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60"/>
      <c r="R562" s="660"/>
      <c r="S562" s="660"/>
      <c r="T562" s="661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874</v>
      </c>
      <c r="AG562" s="78"/>
      <c r="AJ562" s="84" t="s">
        <v>46</v>
      </c>
      <c r="AK562" s="84">
        <v>0</v>
      </c>
      <c r="BB562" s="643" t="s">
        <v>66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hidden="1" x14ac:dyDescent="0.2">
      <c r="A563" s="648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648"/>
      <c r="O563" s="649"/>
      <c r="P563" s="645" t="s">
        <v>40</v>
      </c>
      <c r="Q563" s="646"/>
      <c r="R563" s="646"/>
      <c r="S563" s="646"/>
      <c r="T563" s="646"/>
      <c r="U563" s="646"/>
      <c r="V563" s="647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hidden="1" x14ac:dyDescent="0.2">
      <c r="A564" s="648"/>
      <c r="B564" s="648"/>
      <c r="C564" s="648"/>
      <c r="D564" s="648"/>
      <c r="E564" s="648"/>
      <c r="F564" s="648"/>
      <c r="G564" s="648"/>
      <c r="H564" s="648"/>
      <c r="I564" s="648"/>
      <c r="J564" s="648"/>
      <c r="K564" s="648"/>
      <c r="L564" s="648"/>
      <c r="M564" s="648"/>
      <c r="N564" s="648"/>
      <c r="O564" s="649"/>
      <c r="P564" s="645" t="s">
        <v>40</v>
      </c>
      <c r="Q564" s="646"/>
      <c r="R564" s="646"/>
      <c r="S564" s="646"/>
      <c r="T564" s="646"/>
      <c r="U564" s="646"/>
      <c r="V564" s="647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">
      <c r="A565" s="648"/>
      <c r="B565" s="648"/>
      <c r="C565" s="648"/>
      <c r="D565" s="648"/>
      <c r="E565" s="648"/>
      <c r="F565" s="648"/>
      <c r="G565" s="648"/>
      <c r="H565" s="648"/>
      <c r="I565" s="648"/>
      <c r="J565" s="648"/>
      <c r="K565" s="648"/>
      <c r="L565" s="648"/>
      <c r="M565" s="648"/>
      <c r="N565" s="648"/>
      <c r="O565" s="653"/>
      <c r="P565" s="650" t="s">
        <v>33</v>
      </c>
      <c r="Q565" s="651"/>
      <c r="R565" s="651"/>
      <c r="S565" s="651"/>
      <c r="T565" s="651"/>
      <c r="U565" s="651"/>
      <c r="V565" s="652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510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510</v>
      </c>
      <c r="Z565" s="42"/>
      <c r="AA565" s="67"/>
      <c r="AB565" s="67"/>
      <c r="AC565" s="67"/>
    </row>
    <row r="566" spans="1:68" x14ac:dyDescent="0.2">
      <c r="A566" s="648"/>
      <c r="B566" s="648"/>
      <c r="C566" s="648"/>
      <c r="D566" s="648"/>
      <c r="E566" s="648"/>
      <c r="F566" s="648"/>
      <c r="G566" s="648"/>
      <c r="H566" s="648"/>
      <c r="I566" s="648"/>
      <c r="J566" s="648"/>
      <c r="K566" s="648"/>
      <c r="L566" s="648"/>
      <c r="M566" s="648"/>
      <c r="N566" s="648"/>
      <c r="O566" s="653"/>
      <c r="P566" s="650" t="s">
        <v>34</v>
      </c>
      <c r="Q566" s="651"/>
      <c r="R566" s="651"/>
      <c r="S566" s="651"/>
      <c r="T566" s="651"/>
      <c r="U566" s="651"/>
      <c r="V566" s="652"/>
      <c r="W566" s="42" t="s">
        <v>0</v>
      </c>
      <c r="X566" s="43">
        <f>IFERROR(SUM(BM22:BM562),"0")</f>
        <v>525.98</v>
      </c>
      <c r="Y566" s="43">
        <f>IFERROR(SUM(BN22:BN562),"0")</f>
        <v>525.98</v>
      </c>
      <c r="Z566" s="42"/>
      <c r="AA566" s="67"/>
      <c r="AB566" s="67"/>
      <c r="AC566" s="67"/>
    </row>
    <row r="567" spans="1:68" x14ac:dyDescent="0.2">
      <c r="A567" s="648"/>
      <c r="B567" s="648"/>
      <c r="C567" s="648"/>
      <c r="D567" s="648"/>
      <c r="E567" s="648"/>
      <c r="F567" s="648"/>
      <c r="G567" s="648"/>
      <c r="H567" s="648"/>
      <c r="I567" s="648"/>
      <c r="J567" s="648"/>
      <c r="K567" s="648"/>
      <c r="L567" s="648"/>
      <c r="M567" s="648"/>
      <c r="N567" s="648"/>
      <c r="O567" s="653"/>
      <c r="P567" s="650" t="s">
        <v>35</v>
      </c>
      <c r="Q567" s="651"/>
      <c r="R567" s="651"/>
      <c r="S567" s="651"/>
      <c r="T567" s="651"/>
      <c r="U567" s="651"/>
      <c r="V567" s="652"/>
      <c r="W567" s="42" t="s">
        <v>20</v>
      </c>
      <c r="X567" s="44">
        <f>ROUNDUP(SUM(BO22:BO562),0)</f>
        <v>1</v>
      </c>
      <c r="Y567" s="44">
        <f>ROUNDUP(SUM(BP22:BP562),0)</f>
        <v>1</v>
      </c>
      <c r="Z567" s="42"/>
      <c r="AA567" s="67"/>
      <c r="AB567" s="67"/>
      <c r="AC567" s="67"/>
    </row>
    <row r="568" spans="1:68" x14ac:dyDescent="0.2">
      <c r="A568" s="648"/>
      <c r="B568" s="648"/>
      <c r="C568" s="648"/>
      <c r="D568" s="648"/>
      <c r="E568" s="648"/>
      <c r="F568" s="648"/>
      <c r="G568" s="648"/>
      <c r="H568" s="648"/>
      <c r="I568" s="648"/>
      <c r="J568" s="648"/>
      <c r="K568" s="648"/>
      <c r="L568" s="648"/>
      <c r="M568" s="648"/>
      <c r="N568" s="648"/>
      <c r="O568" s="653"/>
      <c r="P568" s="650" t="s">
        <v>36</v>
      </c>
      <c r="Q568" s="651"/>
      <c r="R568" s="651"/>
      <c r="S568" s="651"/>
      <c r="T568" s="651"/>
      <c r="U568" s="651"/>
      <c r="V568" s="652"/>
      <c r="W568" s="42" t="s">
        <v>0</v>
      </c>
      <c r="X568" s="43">
        <f>GrossWeightTotal+PalletQtyTotal*25</f>
        <v>550.98</v>
      </c>
      <c r="Y568" s="43">
        <f>GrossWeightTotalR+PalletQtyTotalR*25</f>
        <v>550.98</v>
      </c>
      <c r="Z568" s="42"/>
      <c r="AA568" s="67"/>
      <c r="AB568" s="67"/>
      <c r="AC568" s="67"/>
    </row>
    <row r="569" spans="1:68" x14ac:dyDescent="0.2">
      <c r="A569" s="648"/>
      <c r="B569" s="648"/>
      <c r="C569" s="648"/>
      <c r="D569" s="648"/>
      <c r="E569" s="648"/>
      <c r="F569" s="648"/>
      <c r="G569" s="648"/>
      <c r="H569" s="648"/>
      <c r="I569" s="648"/>
      <c r="J569" s="648"/>
      <c r="K569" s="648"/>
      <c r="L569" s="648"/>
      <c r="M569" s="648"/>
      <c r="N569" s="648"/>
      <c r="O569" s="653"/>
      <c r="P569" s="650" t="s">
        <v>37</v>
      </c>
      <c r="Q569" s="651"/>
      <c r="R569" s="651"/>
      <c r="S569" s="651"/>
      <c r="T569" s="651"/>
      <c r="U569" s="651"/>
      <c r="V569" s="652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34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34</v>
      </c>
      <c r="Z569" s="42"/>
      <c r="AA569" s="67"/>
      <c r="AB569" s="67"/>
      <c r="AC569" s="67"/>
    </row>
    <row r="570" spans="1:68" ht="14.25" hidden="1" x14ac:dyDescent="0.2">
      <c r="A570" s="648"/>
      <c r="B570" s="648"/>
      <c r="C570" s="648"/>
      <c r="D570" s="648"/>
      <c r="E570" s="648"/>
      <c r="F570" s="648"/>
      <c r="G570" s="648"/>
      <c r="H570" s="648"/>
      <c r="I570" s="648"/>
      <c r="J570" s="648"/>
      <c r="K570" s="648"/>
      <c r="L570" s="648"/>
      <c r="M570" s="648"/>
      <c r="N570" s="648"/>
      <c r="O570" s="653"/>
      <c r="P570" s="650" t="s">
        <v>38</v>
      </c>
      <c r="Q570" s="651"/>
      <c r="R570" s="651"/>
      <c r="S570" s="651"/>
      <c r="T570" s="651"/>
      <c r="U570" s="651"/>
      <c r="V570" s="652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0.73949999999999994</v>
      </c>
      <c r="AA570" s="67"/>
      <c r="AB570" s="67"/>
      <c r="AC570" s="67"/>
    </row>
    <row r="571" spans="1:68" ht="13.5" thickBot="1" x14ac:dyDescent="0.25"/>
    <row r="572" spans="1:68" ht="27" thickTop="1" thickBot="1" x14ac:dyDescent="0.25">
      <c r="A572" s="46" t="s">
        <v>9</v>
      </c>
      <c r="B572" s="85" t="s">
        <v>75</v>
      </c>
      <c r="C572" s="85" t="s">
        <v>45</v>
      </c>
      <c r="D572" s="644" t="s">
        <v>127</v>
      </c>
      <c r="E572" s="644" t="s">
        <v>127</v>
      </c>
      <c r="F572" s="644" t="s">
        <v>127</v>
      </c>
      <c r="G572" s="644" t="s">
        <v>127</v>
      </c>
      <c r="H572" s="644" t="s">
        <v>127</v>
      </c>
      <c r="I572" s="644" t="s">
        <v>127</v>
      </c>
      <c r="J572" s="644" t="s">
        <v>127</v>
      </c>
      <c r="K572" s="644" t="s">
        <v>347</v>
      </c>
      <c r="L572" s="644" t="s">
        <v>347</v>
      </c>
      <c r="M572" s="644" t="s">
        <v>347</v>
      </c>
      <c r="N572" s="654"/>
      <c r="O572" s="644" t="s">
        <v>347</v>
      </c>
      <c r="P572" s="644" t="s">
        <v>347</v>
      </c>
      <c r="Q572" s="644" t="s">
        <v>347</v>
      </c>
      <c r="R572" s="644" t="s">
        <v>347</v>
      </c>
      <c r="S572" s="644" t="s">
        <v>347</v>
      </c>
      <c r="T572" s="644" t="s">
        <v>347</v>
      </c>
      <c r="U572" s="644" t="s">
        <v>347</v>
      </c>
      <c r="V572" s="644" t="s">
        <v>347</v>
      </c>
      <c r="W572" s="644" t="s">
        <v>347</v>
      </c>
      <c r="X572" s="644" t="s">
        <v>710</v>
      </c>
      <c r="Y572" s="644" t="s">
        <v>710</v>
      </c>
      <c r="Z572" s="644" t="s">
        <v>776</v>
      </c>
      <c r="AA572" s="644" t="s">
        <v>776</v>
      </c>
      <c r="AB572" s="85" t="s">
        <v>809</v>
      </c>
      <c r="AC572" s="644" t="s">
        <v>853</v>
      </c>
      <c r="AD572" s="644" t="s">
        <v>853</v>
      </c>
      <c r="AF572" s="1"/>
    </row>
    <row r="573" spans="1:68" ht="14.25" customHeight="1" thickTop="1" x14ac:dyDescent="0.2">
      <c r="A573" s="655" t="s">
        <v>10</v>
      </c>
      <c r="B573" s="644" t="s">
        <v>75</v>
      </c>
      <c r="C573" s="644" t="s">
        <v>111</v>
      </c>
      <c r="D573" s="644" t="s">
        <v>128</v>
      </c>
      <c r="E573" s="644" t="s">
        <v>144</v>
      </c>
      <c r="F573" s="644" t="s">
        <v>191</v>
      </c>
      <c r="G573" s="644" t="s">
        <v>215</v>
      </c>
      <c r="H573" s="644" t="s">
        <v>258</v>
      </c>
      <c r="I573" s="644" t="s">
        <v>271</v>
      </c>
      <c r="J573" s="644" t="s">
        <v>127</v>
      </c>
      <c r="K573" s="644" t="s">
        <v>348</v>
      </c>
      <c r="L573" s="644" t="s">
        <v>369</v>
      </c>
      <c r="M573" s="644" t="s">
        <v>432</v>
      </c>
      <c r="N573" s="1"/>
      <c r="O573" s="644" t="s">
        <v>501</v>
      </c>
      <c r="P573" s="644" t="s">
        <v>536</v>
      </c>
      <c r="Q573" s="644" t="s">
        <v>558</v>
      </c>
      <c r="R573" s="644" t="s">
        <v>567</v>
      </c>
      <c r="S573" s="644" t="s">
        <v>589</v>
      </c>
      <c r="T573" s="644" t="s">
        <v>596</v>
      </c>
      <c r="U573" s="644" t="s">
        <v>605</v>
      </c>
      <c r="V573" s="644" t="s">
        <v>691</v>
      </c>
      <c r="W573" s="644" t="s">
        <v>700</v>
      </c>
      <c r="X573" s="644" t="s">
        <v>711</v>
      </c>
      <c r="Y573" s="644" t="s">
        <v>760</v>
      </c>
      <c r="Z573" s="644" t="s">
        <v>777</v>
      </c>
      <c r="AA573" s="644" t="s">
        <v>797</v>
      </c>
      <c r="AB573" s="644" t="s">
        <v>809</v>
      </c>
      <c r="AC573" s="644" t="s">
        <v>853</v>
      </c>
      <c r="AD573" s="644" t="s">
        <v>871</v>
      </c>
      <c r="AF573" s="1"/>
    </row>
    <row r="574" spans="1:68" ht="13.5" thickBot="1" x14ac:dyDescent="0.25">
      <c r="A574" s="656"/>
      <c r="B574" s="644"/>
      <c r="C574" s="644"/>
      <c r="D574" s="644"/>
      <c r="E574" s="644"/>
      <c r="F574" s="644"/>
      <c r="G574" s="644"/>
      <c r="H574" s="644"/>
      <c r="I574" s="644"/>
      <c r="J574" s="644"/>
      <c r="K574" s="644"/>
      <c r="L574" s="644"/>
      <c r="M574" s="644"/>
      <c r="N574" s="1"/>
      <c r="O574" s="644"/>
      <c r="P574" s="644"/>
      <c r="Q574" s="644"/>
      <c r="R574" s="644"/>
      <c r="S574" s="644"/>
      <c r="T574" s="644"/>
      <c r="U574" s="644"/>
      <c r="V574" s="644"/>
      <c r="W574" s="644"/>
      <c r="X574" s="644"/>
      <c r="Y574" s="644"/>
      <c r="Z574" s="644"/>
      <c r="AA574" s="644"/>
      <c r="AB574" s="644"/>
      <c r="AC574" s="644"/>
      <c r="AD574" s="644"/>
      <c r="AF574" s="1"/>
    </row>
    <row r="575" spans="1:68" ht="18" thickTop="1" thickBot="1" x14ac:dyDescent="0.25">
      <c r="A575" s="46" t="s">
        <v>13</v>
      </c>
      <c r="B575" s="52">
        <f>IFERROR(Y22*1,"0")+IFERROR(Y26*1,"0")+IFERROR(Y27*1,"0")+IFERROR(Y28*1,"0")+IFERROR(Y29*1,"0")+IFERROR(Y30*1,"0")+IFERROR(Y34*1,"0")+IFERROR(Y35*1,"0")</f>
        <v>0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0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5" s="52">
        <f>IFERROR(Y89*1,"0")+IFERROR(Y90*1,"0")+IFERROR(Y91*1,"0")+IFERROR(Y92*1,"0")+IFERROR(Y93*1,"0")+IFERROR(Y94*1,"0")+IFERROR(Y98*1,"0")+IFERROR(Y99*1,"0")+IFERROR(Y100*1,"0")+IFERROR(Y101*1,"0")</f>
        <v>0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0</v>
      </c>
      <c r="H575" s="52">
        <f>IFERROR(Y136*1,"0")+IFERROR(Y137*1,"0")+IFERROR(Y141*1,"0")+IFERROR(Y142*1,"0")+IFERROR(Y146*1,"0")+IFERROR(Y147*1,"0")</f>
        <v>0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0</v>
      </c>
      <c r="K575" s="52">
        <f>IFERROR(Y205*1,"0")+IFERROR(Y206*1,"0")+IFERROR(Y207*1,"0")+IFERROR(Y208*1,"0")+IFERROR(Y209*1,"0")+IFERROR(Y210*1,"0")+IFERROR(Y211*1,"0")</f>
        <v>0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52">
        <f>IFERROR(Y323*1,"0")+IFERROR(Y324*1,"0")+IFERROR(Y325*1,"0")+IFERROR(Y326*1,"0")+IFERROR(Y327*1,"0")+IFERROR(Y328*1,"0")+IFERROR(Y329*1,"0")</f>
        <v>0</v>
      </c>
      <c r="Q575" s="52">
        <f>IFERROR(Y334*1,"0")+IFERROR(Y335*1,"0")+IFERROR(Y336*1,"0")</f>
        <v>0</v>
      </c>
      <c r="R575" s="52">
        <f>IFERROR(Y341*1,"0")+IFERROR(Y342*1,"0")+IFERROR(Y343*1,"0")+IFERROR(Y344*1,"0")+IFERROR(Y348*1,"0")+IFERROR(Y349*1,"0")+IFERROR(Y350*1,"0")</f>
        <v>0</v>
      </c>
      <c r="S575" s="52">
        <f>IFERROR(Y355*1,"0")+IFERROR(Y359*1,"0")</f>
        <v>0</v>
      </c>
      <c r="T575" s="52">
        <f>IFERROR(Y364*1,"0")+IFERROR(Y365*1,"0")+IFERROR(Y366*1,"0")</f>
        <v>0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0</v>
      </c>
      <c r="V575" s="52">
        <f>IFERROR(Y424*1,"0")+IFERROR(Y425*1,"0")+IFERROR(Y426*1,"0")</f>
        <v>0</v>
      </c>
      <c r="W575" s="52">
        <f>IFERROR(Y431*1,"0")+IFERROR(Y432*1,"0")+IFERROR(Y433*1,"0")</f>
        <v>0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510</v>
      </c>
      <c r="Y575" s="52">
        <f>IFERROR(Y468*1,"0")+IFERROR(Y469*1,"0")+IFERROR(Y473*1,"0")+IFERROR(Y477*1,"0")+IFERROR(Y478*1,"0")+IFERROR(Y479*1,"0")</f>
        <v>0</v>
      </c>
      <c r="Z575" s="52">
        <f>IFERROR(Y485*1,"0")+IFERROR(Y486*1,"0")+IFERROR(Y487*1,"0")+IFERROR(Y488*1,"0")+IFERROR(Y489*1,"0")+IFERROR(Y490*1,"0")+IFERROR(Y494*1,"0")</f>
        <v>0</v>
      </c>
      <c r="AA575" s="52">
        <f>IFERROR(Y499*1,"0")+IFERROR(Y503*1,"0")+IFERROR(Y504*1,"0")+IFERROR(Y505*1,"0")</f>
        <v>0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0</v>
      </c>
      <c r="AC575" s="52">
        <f>IFERROR(Y540*1,"0")+IFERROR(Y544*1,"0")+IFERROR(Y548*1,"0")+IFERROR(Y552*1,"0")+IFERROR(Y556*1,"0")+IFERROR(Y557*1,"0")</f>
        <v>0</v>
      </c>
      <c r="AD575" s="52">
        <f>IFERROR(Y562*1,"0")</f>
        <v>0</v>
      </c>
      <c r="AF575" s="1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34,00"/>
        <filter val="510,00"/>
        <filter val="525,98"/>
        <filter val="550,98"/>
      </filters>
    </filterColumn>
    <filterColumn colId="29" showButton="0"/>
    <filterColumn colId="30" showButton="0"/>
  </autoFilter>
  <dataConsolidate/>
  <mergeCells count="100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U573:U574"/>
    <mergeCell ref="V573:V574"/>
    <mergeCell ref="W573:W574"/>
    <mergeCell ref="X573:X574"/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  <mergeCell ref="F573:F574"/>
    <mergeCell ref="G573:G574"/>
    <mergeCell ref="H573:H574"/>
    <mergeCell ref="I573:I57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">
      <c r="B8" s="53" t="s">
        <v>884</v>
      </c>
      <c r="C8" s="53" t="s">
        <v>885</v>
      </c>
      <c r="D8" s="53" t="s">
        <v>886</v>
      </c>
      <c r="E8" s="53" t="s">
        <v>46</v>
      </c>
    </row>
    <row r="9" spans="2:8" x14ac:dyDescent="0.2">
      <c r="B9" s="53" t="s">
        <v>887</v>
      </c>
      <c r="C9" s="53" t="s">
        <v>888</v>
      </c>
      <c r="D9" s="53" t="s">
        <v>889</v>
      </c>
      <c r="E9" s="53" t="s">
        <v>46</v>
      </c>
    </row>
    <row r="10" spans="2:8" x14ac:dyDescent="0.2">
      <c r="B10" s="53" t="s">
        <v>890</v>
      </c>
      <c r="C10" s="53" t="s">
        <v>891</v>
      </c>
      <c r="D10" s="53" t="s">
        <v>892</v>
      </c>
      <c r="E10" s="53" t="s">
        <v>46</v>
      </c>
    </row>
    <row r="11" spans="2:8" x14ac:dyDescent="0.2">
      <c r="B11" s="53" t="s">
        <v>893</v>
      </c>
      <c r="C11" s="53" t="s">
        <v>894</v>
      </c>
      <c r="D11" s="53" t="s">
        <v>895</v>
      </c>
      <c r="E11" s="53" t="s">
        <v>46</v>
      </c>
    </row>
    <row r="13" spans="2:8" x14ac:dyDescent="0.2">
      <c r="B13" s="53" t="s">
        <v>896</v>
      </c>
      <c r="C13" s="53" t="s">
        <v>879</v>
      </c>
      <c r="D13" s="53" t="s">
        <v>46</v>
      </c>
      <c r="E13" s="53" t="s">
        <v>46</v>
      </c>
    </row>
    <row r="15" spans="2:8" x14ac:dyDescent="0.2">
      <c r="B15" s="53" t="s">
        <v>897</v>
      </c>
      <c r="C15" s="53" t="s">
        <v>882</v>
      </c>
      <c r="D15" s="53" t="s">
        <v>46</v>
      </c>
      <c r="E15" s="53" t="s">
        <v>46</v>
      </c>
    </row>
    <row r="17" spans="2:5" x14ac:dyDescent="0.2">
      <c r="B17" s="53" t="s">
        <v>898</v>
      </c>
      <c r="C17" s="53" t="s">
        <v>885</v>
      </c>
      <c r="D17" s="53" t="s">
        <v>46</v>
      </c>
      <c r="E17" s="53" t="s">
        <v>46</v>
      </c>
    </row>
    <row r="19" spans="2:5" x14ac:dyDescent="0.2">
      <c r="B19" s="53" t="s">
        <v>899</v>
      </c>
      <c r="C19" s="53" t="s">
        <v>888</v>
      </c>
      <c r="D19" s="53" t="s">
        <v>46</v>
      </c>
      <c r="E19" s="53" t="s">
        <v>46</v>
      </c>
    </row>
    <row r="21" spans="2:5" x14ac:dyDescent="0.2">
      <c r="B21" s="53" t="s">
        <v>900</v>
      </c>
      <c r="C21" s="53" t="s">
        <v>891</v>
      </c>
      <c r="D21" s="53" t="s">
        <v>46</v>
      </c>
      <c r="E21" s="53" t="s">
        <v>46</v>
      </c>
    </row>
    <row r="23" spans="2:5" x14ac:dyDescent="0.2">
      <c r="B23" s="53" t="s">
        <v>901</v>
      </c>
      <c r="C23" s="53" t="s">
        <v>894</v>
      </c>
      <c r="D23" s="53" t="s">
        <v>46</v>
      </c>
      <c r="E23" s="53" t="s">
        <v>46</v>
      </c>
    </row>
    <row r="25" spans="2:5" x14ac:dyDescent="0.2">
      <c r="B25" s="53" t="s">
        <v>902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903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904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905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909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910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911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912</v>
      </c>
      <c r="C35" s="53" t="s">
        <v>46</v>
      </c>
      <c r="D35" s="53" t="s">
        <v>46</v>
      </c>
      <c r="E35" s="53" t="s">
        <v>46</v>
      </c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2026-10-26T11:46:06Z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