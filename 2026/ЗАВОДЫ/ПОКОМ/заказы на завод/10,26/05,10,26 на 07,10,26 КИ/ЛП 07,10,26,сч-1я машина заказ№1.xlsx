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A05A32A-09F2-4688-9E77-BE9E8939169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Y542" i="2" s="1"/>
  <c r="P540" i="2"/>
  <c r="X538" i="2"/>
  <c r="X537" i="2"/>
  <c r="BO536" i="2"/>
  <c r="BM536" i="2"/>
  <c r="Y536" i="2"/>
  <c r="P536" i="2"/>
  <c r="X532" i="2"/>
  <c r="X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N527" i="2" s="1"/>
  <c r="P527" i="2"/>
  <c r="BO526" i="2"/>
  <c r="BM526" i="2"/>
  <c r="Y526" i="2"/>
  <c r="BN526" i="2" s="1"/>
  <c r="P526" i="2"/>
  <c r="BO525" i="2"/>
  <c r="BM525" i="2"/>
  <c r="Y525" i="2"/>
  <c r="Z525" i="2" s="1"/>
  <c r="P525" i="2"/>
  <c r="BO524" i="2"/>
  <c r="BM524" i="2"/>
  <c r="Y524" i="2"/>
  <c r="P524" i="2"/>
  <c r="X522" i="2"/>
  <c r="X521" i="2"/>
  <c r="BO520" i="2"/>
  <c r="BM520" i="2"/>
  <c r="Y520" i="2"/>
  <c r="Z520" i="2" s="1"/>
  <c r="P520" i="2"/>
  <c r="BO519" i="2"/>
  <c r="BM519" i="2"/>
  <c r="Y519" i="2"/>
  <c r="BP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P506" i="2"/>
  <c r="X502" i="2"/>
  <c r="X501" i="2"/>
  <c r="BO500" i="2"/>
  <c r="BM500" i="2"/>
  <c r="Y500" i="2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X495" i="2"/>
  <c r="BO494" i="2"/>
  <c r="BM494" i="2"/>
  <c r="Y494" i="2"/>
  <c r="Y495" i="2" s="1"/>
  <c r="P494" i="2"/>
  <c r="X491" i="2"/>
  <c r="X490" i="2"/>
  <c r="BO489" i="2"/>
  <c r="BM489" i="2"/>
  <c r="Y489" i="2"/>
  <c r="P489" i="2"/>
  <c r="BO488" i="2"/>
  <c r="BM488" i="2"/>
  <c r="Y488" i="2"/>
  <c r="P488" i="2"/>
  <c r="X486" i="2"/>
  <c r="X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Z480" i="2" s="1"/>
  <c r="P480" i="2"/>
  <c r="BO479" i="2"/>
  <c r="BM479" i="2"/>
  <c r="Y479" i="2"/>
  <c r="P479" i="2"/>
  <c r="X475" i="2"/>
  <c r="X474" i="2"/>
  <c r="BO473" i="2"/>
  <c r="BM473" i="2"/>
  <c r="Y473" i="2"/>
  <c r="P473" i="2"/>
  <c r="BO472" i="2"/>
  <c r="BM472" i="2"/>
  <c r="Y472" i="2"/>
  <c r="BP472" i="2" s="1"/>
  <c r="P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P462" i="2"/>
  <c r="X459" i="2"/>
  <c r="X458" i="2"/>
  <c r="BO457" i="2"/>
  <c r="BM457" i="2"/>
  <c r="Y457" i="2"/>
  <c r="BN457" i="2" s="1"/>
  <c r="P457" i="2"/>
  <c r="BO456" i="2"/>
  <c r="BM456" i="2"/>
  <c r="Y456" i="2"/>
  <c r="Z456" i="2" s="1"/>
  <c r="P456" i="2"/>
  <c r="X454" i="2"/>
  <c r="X453" i="2"/>
  <c r="BO452" i="2"/>
  <c r="BM452" i="2"/>
  <c r="Y452" i="2"/>
  <c r="P452" i="2"/>
  <c r="BO451" i="2"/>
  <c r="BM451" i="2"/>
  <c r="Y451" i="2"/>
  <c r="BP451" i="2" s="1"/>
  <c r="P451" i="2"/>
  <c r="BO450" i="2"/>
  <c r="BM450" i="2"/>
  <c r="Y450" i="2"/>
  <c r="Z450" i="2" s="1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P444" i="2"/>
  <c r="X442" i="2"/>
  <c r="X441" i="2"/>
  <c r="BO440" i="2"/>
  <c r="BM440" i="2"/>
  <c r="Y440" i="2"/>
  <c r="BN440" i="2" s="1"/>
  <c r="P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Z434" i="2" s="1"/>
  <c r="P434" i="2"/>
  <c r="BO433" i="2"/>
  <c r="BM433" i="2"/>
  <c r="Y433" i="2"/>
  <c r="Z433" i="2" s="1"/>
  <c r="P433" i="2"/>
  <c r="X429" i="2"/>
  <c r="X428" i="2"/>
  <c r="BO427" i="2"/>
  <c r="BM427" i="2"/>
  <c r="Y427" i="2"/>
  <c r="P427" i="2"/>
  <c r="BO426" i="2"/>
  <c r="BM426" i="2"/>
  <c r="Y426" i="2"/>
  <c r="BP426" i="2" s="1"/>
  <c r="P426" i="2"/>
  <c r="BO425" i="2"/>
  <c r="BM425" i="2"/>
  <c r="Y425" i="2"/>
  <c r="P425" i="2"/>
  <c r="X422" i="2"/>
  <c r="X421" i="2"/>
  <c r="BO420" i="2"/>
  <c r="BM420" i="2"/>
  <c r="Y420" i="2"/>
  <c r="Z420" i="2" s="1"/>
  <c r="P420" i="2"/>
  <c r="BO419" i="2"/>
  <c r="BM419" i="2"/>
  <c r="Y419" i="2"/>
  <c r="P419" i="2"/>
  <c r="X416" i="2"/>
  <c r="X415" i="2"/>
  <c r="BO414" i="2"/>
  <c r="BM414" i="2"/>
  <c r="Y414" i="2"/>
  <c r="Z414" i="2" s="1"/>
  <c r="P414" i="2"/>
  <c r="BO413" i="2"/>
  <c r="BM413" i="2"/>
  <c r="Y413" i="2"/>
  <c r="BP413" i="2" s="1"/>
  <c r="P413" i="2"/>
  <c r="BO412" i="2"/>
  <c r="BM412" i="2"/>
  <c r="Y412" i="2"/>
  <c r="P412" i="2"/>
  <c r="X410" i="2"/>
  <c r="X409" i="2"/>
  <c r="BO408" i="2"/>
  <c r="BM408" i="2"/>
  <c r="Y408" i="2"/>
  <c r="Z408" i="2" s="1"/>
  <c r="P408" i="2"/>
  <c r="BO407" i="2"/>
  <c r="BM407" i="2"/>
  <c r="Y407" i="2"/>
  <c r="P407" i="2"/>
  <c r="BO406" i="2"/>
  <c r="BM406" i="2"/>
  <c r="Y406" i="2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BN400" i="2" s="1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BO393" i="2"/>
  <c r="BM393" i="2"/>
  <c r="Y393" i="2"/>
  <c r="BP393" i="2" s="1"/>
  <c r="P393" i="2"/>
  <c r="X391" i="2"/>
  <c r="X390" i="2"/>
  <c r="BO389" i="2"/>
  <c r="BM389" i="2"/>
  <c r="Y389" i="2"/>
  <c r="BN389" i="2" s="1"/>
  <c r="P389" i="2"/>
  <c r="BO388" i="2"/>
  <c r="BM388" i="2"/>
  <c r="Y388" i="2"/>
  <c r="Z388" i="2" s="1"/>
  <c r="P388" i="2"/>
  <c r="BO387" i="2"/>
  <c r="BM387" i="2"/>
  <c r="Y387" i="2"/>
  <c r="Z387" i="2" s="1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X374" i="2"/>
  <c r="X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N369" i="2" s="1"/>
  <c r="P369" i="2"/>
  <c r="BO368" i="2"/>
  <c r="BM368" i="2"/>
  <c r="Y368" i="2"/>
  <c r="Z368" i="2" s="1"/>
  <c r="P368" i="2"/>
  <c r="BO367" i="2"/>
  <c r="BM367" i="2"/>
  <c r="Y367" i="2"/>
  <c r="Z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Y363" i="2" s="1"/>
  <c r="P359" i="2"/>
  <c r="X356" i="2"/>
  <c r="X355" i="2"/>
  <c r="BO354" i="2"/>
  <c r="BM354" i="2"/>
  <c r="Y354" i="2"/>
  <c r="P354" i="2"/>
  <c r="BO353" i="2"/>
  <c r="BM353" i="2"/>
  <c r="Y353" i="2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X342" i="2"/>
  <c r="X341" i="2"/>
  <c r="BO340" i="2"/>
  <c r="BM340" i="2"/>
  <c r="Y340" i="2"/>
  <c r="BN340" i="2" s="1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BN333" i="2" s="1"/>
  <c r="P333" i="2"/>
  <c r="BO332" i="2"/>
  <c r="BM332" i="2"/>
  <c r="Y332" i="2"/>
  <c r="Z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P328" i="2" s="1"/>
  <c r="P328" i="2"/>
  <c r="X325" i="2"/>
  <c r="X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P314" i="2"/>
  <c r="X312" i="2"/>
  <c r="X311" i="2"/>
  <c r="BO310" i="2"/>
  <c r="BM310" i="2"/>
  <c r="Y310" i="2"/>
  <c r="BN310" i="2" s="1"/>
  <c r="P310" i="2"/>
  <c r="BO309" i="2"/>
  <c r="BM309" i="2"/>
  <c r="Y309" i="2"/>
  <c r="Z309" i="2" s="1"/>
  <c r="P309" i="2"/>
  <c r="BO308" i="2"/>
  <c r="BM308" i="2"/>
  <c r="Y308" i="2"/>
  <c r="Z308" i="2" s="1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BP305" i="2" s="1"/>
  <c r="P305" i="2"/>
  <c r="BO304" i="2"/>
  <c r="BM304" i="2"/>
  <c r="Y304" i="2"/>
  <c r="BP304" i="2" s="1"/>
  <c r="P304" i="2"/>
  <c r="X301" i="2"/>
  <c r="X300" i="2"/>
  <c r="BO299" i="2"/>
  <c r="BM299" i="2"/>
  <c r="Y299" i="2"/>
  <c r="BN299" i="2" s="1"/>
  <c r="P299" i="2"/>
  <c r="BO298" i="2"/>
  <c r="BM298" i="2"/>
  <c r="Y298" i="2"/>
  <c r="Z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Z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N279" i="2" s="1"/>
  <c r="P279" i="2"/>
  <c r="BO278" i="2"/>
  <c r="BM278" i="2"/>
  <c r="Y278" i="2"/>
  <c r="Z278" i="2" s="1"/>
  <c r="P278" i="2"/>
  <c r="BO277" i="2"/>
  <c r="BM277" i="2"/>
  <c r="Y277" i="2"/>
  <c r="Z277" i="2" s="1"/>
  <c r="P277" i="2"/>
  <c r="BO276" i="2"/>
  <c r="BM276" i="2"/>
  <c r="Y276" i="2"/>
  <c r="P276" i="2"/>
  <c r="BO275" i="2"/>
  <c r="BM275" i="2"/>
  <c r="Y275" i="2"/>
  <c r="BN275" i="2" s="1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P263" i="2"/>
  <c r="BO262" i="2"/>
  <c r="BM262" i="2"/>
  <c r="Y262" i="2"/>
  <c r="Z262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P253" i="2" s="1"/>
  <c r="P253" i="2"/>
  <c r="BO252" i="2"/>
  <c r="BM252" i="2"/>
  <c r="Y252" i="2"/>
  <c r="P252" i="2"/>
  <c r="BO251" i="2"/>
  <c r="BM251" i="2"/>
  <c r="Y251" i="2"/>
  <c r="BP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N246" i="2" s="1"/>
  <c r="P246" i="2"/>
  <c r="BO245" i="2"/>
  <c r="BM245" i="2"/>
  <c r="Y245" i="2"/>
  <c r="Z245" i="2" s="1"/>
  <c r="P245" i="2"/>
  <c r="BO244" i="2"/>
  <c r="BM244" i="2"/>
  <c r="Y244" i="2"/>
  <c r="Z244" i="2" s="1"/>
  <c r="P244" i="2"/>
  <c r="BO243" i="2"/>
  <c r="BM243" i="2"/>
  <c r="Y243" i="2"/>
  <c r="P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X237" i="2"/>
  <c r="X236" i="2"/>
  <c r="BO235" i="2"/>
  <c r="BM235" i="2"/>
  <c r="Y235" i="2"/>
  <c r="Z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Z221" i="2" s="1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BP212" i="2" s="1"/>
  <c r="P212" i="2"/>
  <c r="BO211" i="2"/>
  <c r="BM211" i="2"/>
  <c r="Y211" i="2"/>
  <c r="BN211" i="2" s="1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Z206" i="2" s="1"/>
  <c r="P206" i="2"/>
  <c r="X202" i="2"/>
  <c r="X201" i="2"/>
  <c r="BO200" i="2"/>
  <c r="BM200" i="2"/>
  <c r="Y200" i="2"/>
  <c r="Y201" i="2" s="1"/>
  <c r="P200" i="2"/>
  <c r="X198" i="2"/>
  <c r="X197" i="2"/>
  <c r="BO196" i="2"/>
  <c r="BM196" i="2"/>
  <c r="Y196" i="2"/>
  <c r="Z196" i="2" s="1"/>
  <c r="Z197" i="2" s="1"/>
  <c r="P196" i="2"/>
  <c r="X194" i="2"/>
  <c r="X193" i="2"/>
  <c r="BO192" i="2"/>
  <c r="BM192" i="2"/>
  <c r="Y192" i="2"/>
  <c r="BN192" i="2" s="1"/>
  <c r="P192" i="2"/>
  <c r="BO191" i="2"/>
  <c r="BM191" i="2"/>
  <c r="Y191" i="2"/>
  <c r="Z191" i="2" s="1"/>
  <c r="P191" i="2"/>
  <c r="BO190" i="2"/>
  <c r="BM190" i="2"/>
  <c r="Y190" i="2"/>
  <c r="Y194" i="2" s="1"/>
  <c r="P190" i="2"/>
  <c r="X188" i="2"/>
  <c r="X187" i="2"/>
  <c r="BO186" i="2"/>
  <c r="BM186" i="2"/>
  <c r="Y186" i="2"/>
  <c r="BN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Z176" i="2" s="1"/>
  <c r="P176" i="2"/>
  <c r="X174" i="2"/>
  <c r="X173" i="2"/>
  <c r="BO172" i="2"/>
  <c r="BM172" i="2"/>
  <c r="Y172" i="2"/>
  <c r="BN172" i="2" s="1"/>
  <c r="P172" i="2"/>
  <c r="BO171" i="2"/>
  <c r="BM171" i="2"/>
  <c r="Y171" i="2"/>
  <c r="Z171" i="2" s="1"/>
  <c r="P171" i="2"/>
  <c r="X169" i="2"/>
  <c r="X168" i="2"/>
  <c r="BO167" i="2"/>
  <c r="BM167" i="2"/>
  <c r="Y167" i="2"/>
  <c r="BN167" i="2" s="1"/>
  <c r="P167" i="2"/>
  <c r="BO166" i="2"/>
  <c r="BM166" i="2"/>
  <c r="Y166" i="2"/>
  <c r="BN166" i="2" s="1"/>
  <c r="P166" i="2"/>
  <c r="BO165" i="2"/>
  <c r="BM165" i="2"/>
  <c r="Y165" i="2"/>
  <c r="P165" i="2"/>
  <c r="BO164" i="2"/>
  <c r="BM164" i="2"/>
  <c r="Y164" i="2"/>
  <c r="BP164" i="2" s="1"/>
  <c r="P164" i="2"/>
  <c r="X161" i="2"/>
  <c r="X160" i="2"/>
  <c r="BO159" i="2"/>
  <c r="BM159" i="2"/>
  <c r="Y159" i="2"/>
  <c r="Z159" i="2" s="1"/>
  <c r="Z160" i="2" s="1"/>
  <c r="P159" i="2"/>
  <c r="X157" i="2"/>
  <c r="X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BP144" i="2" s="1"/>
  <c r="P144" i="2"/>
  <c r="X142" i="2"/>
  <c r="X141" i="2"/>
  <c r="BO140" i="2"/>
  <c r="BM140" i="2"/>
  <c r="Y140" i="2"/>
  <c r="BP140" i="2" s="1"/>
  <c r="P140" i="2"/>
  <c r="BO139" i="2"/>
  <c r="BM139" i="2"/>
  <c r="Y139" i="2"/>
  <c r="BP139" i="2" s="1"/>
  <c r="P139" i="2"/>
  <c r="X137" i="2"/>
  <c r="X136" i="2"/>
  <c r="BO135" i="2"/>
  <c r="BM135" i="2"/>
  <c r="Y135" i="2"/>
  <c r="BP135" i="2" s="1"/>
  <c r="P135" i="2"/>
  <c r="BO134" i="2"/>
  <c r="BM134" i="2"/>
  <c r="Y134" i="2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BN125" i="2" s="1"/>
  <c r="P125" i="2"/>
  <c r="BO124" i="2"/>
  <c r="BM124" i="2"/>
  <c r="Y124" i="2"/>
  <c r="Z124" i="2" s="1"/>
  <c r="P124" i="2"/>
  <c r="BO123" i="2"/>
  <c r="BM123" i="2"/>
  <c r="Y123" i="2"/>
  <c r="P123" i="2"/>
  <c r="BO122" i="2"/>
  <c r="BM122" i="2"/>
  <c r="Y122" i="2"/>
  <c r="Y127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Z104" i="2" s="1"/>
  <c r="P104" i="2"/>
  <c r="X101" i="2"/>
  <c r="X100" i="2"/>
  <c r="BO99" i="2"/>
  <c r="BM99" i="2"/>
  <c r="Y99" i="2"/>
  <c r="BN99" i="2" s="1"/>
  <c r="P99" i="2"/>
  <c r="BO98" i="2"/>
  <c r="BM98" i="2"/>
  <c r="Y98" i="2"/>
  <c r="P98" i="2"/>
  <c r="BO97" i="2"/>
  <c r="BM97" i="2"/>
  <c r="Y97" i="2"/>
  <c r="BP97" i="2" s="1"/>
  <c r="P97" i="2"/>
  <c r="BO96" i="2"/>
  <c r="BM96" i="2"/>
  <c r="Y96" i="2"/>
  <c r="BP96" i="2" s="1"/>
  <c r="P96" i="2"/>
  <c r="X94" i="2"/>
  <c r="X93" i="2"/>
  <c r="BO92" i="2"/>
  <c r="BM92" i="2"/>
  <c r="Y92" i="2"/>
  <c r="Z92" i="2" s="1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BO87" i="2"/>
  <c r="BM87" i="2"/>
  <c r="Y87" i="2"/>
  <c r="BP87" i="2" s="1"/>
  <c r="P87" i="2"/>
  <c r="X84" i="2"/>
  <c r="X83" i="2"/>
  <c r="BO82" i="2"/>
  <c r="BM82" i="2"/>
  <c r="Y82" i="2"/>
  <c r="BN82" i="2" s="1"/>
  <c r="P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BN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P22" i="2"/>
  <c r="H10" i="2"/>
  <c r="A9" i="2"/>
  <c r="F10" i="2" s="1"/>
  <c r="D7" i="2"/>
  <c r="Q6" i="2"/>
  <c r="P2" i="2"/>
  <c r="I571" i="2" l="1"/>
  <c r="H571" i="2"/>
  <c r="Z97" i="2"/>
  <c r="BN97" i="2"/>
  <c r="Z105" i="2"/>
  <c r="Z294" i="2"/>
  <c r="BN294" i="2"/>
  <c r="Z304" i="2"/>
  <c r="BN304" i="2"/>
  <c r="X565" i="2"/>
  <c r="Z28" i="2"/>
  <c r="BP211" i="2"/>
  <c r="Z402" i="2"/>
  <c r="BN402" i="2"/>
  <c r="Z50" i="2"/>
  <c r="Z172" i="2"/>
  <c r="Z173" i="2" s="1"/>
  <c r="Z253" i="2"/>
  <c r="BN253" i="2"/>
  <c r="Z349" i="2"/>
  <c r="BN349" i="2"/>
  <c r="Z463" i="2"/>
  <c r="X562" i="2"/>
  <c r="Z38" i="2"/>
  <c r="BP70" i="2"/>
  <c r="Z118" i="2"/>
  <c r="BN118" i="2"/>
  <c r="Z200" i="2"/>
  <c r="Z201" i="2" s="1"/>
  <c r="BN200" i="2"/>
  <c r="BP200" i="2"/>
  <c r="Z233" i="2"/>
  <c r="BN233" i="2"/>
  <c r="BP275" i="2"/>
  <c r="Z330" i="2"/>
  <c r="BN330" i="2"/>
  <c r="Z376" i="2"/>
  <c r="BN376" i="2"/>
  <c r="Z438" i="2"/>
  <c r="BN438" i="2"/>
  <c r="BP526" i="2"/>
  <c r="B571" i="2"/>
  <c r="X563" i="2"/>
  <c r="X561" i="2"/>
  <c r="Z30" i="2"/>
  <c r="Y43" i="2"/>
  <c r="Z61" i="2"/>
  <c r="Z90" i="2"/>
  <c r="BN90" i="2"/>
  <c r="Z109" i="2"/>
  <c r="Z144" i="2"/>
  <c r="BN144" i="2"/>
  <c r="Z145" i="2"/>
  <c r="Y146" i="2"/>
  <c r="Y147" i="2"/>
  <c r="Z185" i="2"/>
  <c r="BN185" i="2"/>
  <c r="Z208" i="2"/>
  <c r="BN208" i="2"/>
  <c r="BP226" i="2"/>
  <c r="Z272" i="2"/>
  <c r="BN272" i="2"/>
  <c r="Z307" i="2"/>
  <c r="BN307" i="2"/>
  <c r="BP340" i="2"/>
  <c r="Z366" i="2"/>
  <c r="BN366" i="2"/>
  <c r="Z393" i="2"/>
  <c r="BP445" i="2"/>
  <c r="Z514" i="2"/>
  <c r="BN514" i="2"/>
  <c r="Z552" i="2"/>
  <c r="Y51" i="2"/>
  <c r="Z57" i="2"/>
  <c r="BN57" i="2"/>
  <c r="Z58" i="2"/>
  <c r="Z63" i="2"/>
  <c r="BN63" i="2"/>
  <c r="Z87" i="2"/>
  <c r="BN87" i="2"/>
  <c r="Z107" i="2"/>
  <c r="BN107" i="2"/>
  <c r="BP110" i="2"/>
  <c r="BP124" i="2"/>
  <c r="Z155" i="2"/>
  <c r="BN155" i="2"/>
  <c r="Z164" i="2"/>
  <c r="BN164" i="2"/>
  <c r="Y168" i="2"/>
  <c r="BP181" i="2"/>
  <c r="Z192" i="2"/>
  <c r="Z210" i="2"/>
  <c r="Z223" i="2"/>
  <c r="BN223" i="2"/>
  <c r="Z224" i="2"/>
  <c r="Z230" i="2"/>
  <c r="BN230" i="2"/>
  <c r="Z240" i="2"/>
  <c r="BN240" i="2"/>
  <c r="Z241" i="2"/>
  <c r="Z257" i="2"/>
  <c r="Z258" i="2" s="1"/>
  <c r="Z274" i="2"/>
  <c r="Z283" i="2"/>
  <c r="BN283" i="2"/>
  <c r="Z286" i="2"/>
  <c r="BN286" i="2"/>
  <c r="Z339" i="2"/>
  <c r="BP361" i="2"/>
  <c r="BP372" i="2"/>
  <c r="BN28" i="2"/>
  <c r="BP31" i="2"/>
  <c r="Z40" i="2"/>
  <c r="BN40" i="2"/>
  <c r="Z400" i="2"/>
  <c r="Z426" i="2"/>
  <c r="BN426" i="2"/>
  <c r="Z436" i="2"/>
  <c r="Z440" i="2"/>
  <c r="BP450" i="2"/>
  <c r="Z467" i="2"/>
  <c r="Z468" i="2" s="1"/>
  <c r="BN467" i="2"/>
  <c r="BP467" i="2"/>
  <c r="Y468" i="2"/>
  <c r="BP494" i="2"/>
  <c r="Z540" i="2"/>
  <c r="Z541" i="2" s="1"/>
  <c r="Y541" i="2"/>
  <c r="BP71" i="2"/>
  <c r="BN75" i="2"/>
  <c r="BP75" i="2"/>
  <c r="Y78" i="2"/>
  <c r="BN80" i="2"/>
  <c r="BP88" i="2"/>
  <c r="Y94" i="2"/>
  <c r="BN91" i="2"/>
  <c r="Y100" i="2"/>
  <c r="BP98" i="2"/>
  <c r="Y101" i="2"/>
  <c r="BP125" i="2"/>
  <c r="BN129" i="2"/>
  <c r="BP129" i="2"/>
  <c r="Y130" i="2"/>
  <c r="Y131" i="2"/>
  <c r="Y136" i="2"/>
  <c r="Y137" i="2"/>
  <c r="BN151" i="2"/>
  <c r="BP165" i="2"/>
  <c r="BP166" i="2"/>
  <c r="Y169" i="2"/>
  <c r="BN176" i="2"/>
  <c r="BP176" i="2"/>
  <c r="BP182" i="2"/>
  <c r="BP186" i="2"/>
  <c r="Y214" i="2"/>
  <c r="BP217" i="2"/>
  <c r="Y218" i="2"/>
  <c r="BN225" i="2"/>
  <c r="BP227" i="2"/>
  <c r="BP231" i="2"/>
  <c r="BN234" i="2"/>
  <c r="BP234" i="2"/>
  <c r="BN235" i="2"/>
  <c r="BP235" i="2"/>
  <c r="BN252" i="2"/>
  <c r="BP252" i="2"/>
  <c r="BN262" i="2"/>
  <c r="BP262" i="2"/>
  <c r="Y265" i="2"/>
  <c r="BN267" i="2"/>
  <c r="BP267" i="2"/>
  <c r="Y270" i="2"/>
  <c r="BN268" i="2"/>
  <c r="BP268" i="2"/>
  <c r="Y269" i="2"/>
  <c r="BP273" i="2"/>
  <c r="BN273" i="2"/>
  <c r="Z273" i="2"/>
  <c r="BP276" i="2"/>
  <c r="BN276" i="2"/>
  <c r="Z276" i="2"/>
  <c r="BN285" i="2"/>
  <c r="BP285" i="2"/>
  <c r="BN306" i="2"/>
  <c r="BP306" i="2"/>
  <c r="BN329" i="2"/>
  <c r="BP329" i="2"/>
  <c r="BN346" i="2"/>
  <c r="Z346" i="2"/>
  <c r="BP353" i="2"/>
  <c r="Z353" i="2"/>
  <c r="BN359" i="2"/>
  <c r="Y362" i="2"/>
  <c r="BN367" i="2"/>
  <c r="BP367" i="2"/>
  <c r="BN368" i="2"/>
  <c r="BP368" i="2"/>
  <c r="BN370" i="2"/>
  <c r="Y373" i="2"/>
  <c r="BN377" i="2"/>
  <c r="BP377" i="2"/>
  <c r="BN378" i="2"/>
  <c r="BP378" i="2"/>
  <c r="BN380" i="2"/>
  <c r="BN394" i="2"/>
  <c r="Z394" i="2"/>
  <c r="BP394" i="2"/>
  <c r="U571" i="2"/>
  <c r="Y422" i="2"/>
  <c r="Y421" i="2"/>
  <c r="BP419" i="2"/>
  <c r="BN419" i="2"/>
  <c r="Z419" i="2"/>
  <c r="Z421" i="2" s="1"/>
  <c r="BN434" i="2"/>
  <c r="BP434" i="2"/>
  <c r="Z435" i="2"/>
  <c r="BP435" i="2"/>
  <c r="BP439" i="2"/>
  <c r="Z439" i="2"/>
  <c r="BN446" i="2"/>
  <c r="Z446" i="2"/>
  <c r="Y447" i="2"/>
  <c r="BP446" i="2"/>
  <c r="Z473" i="2"/>
  <c r="BP473" i="2"/>
  <c r="Y571" i="2"/>
  <c r="BP479" i="2"/>
  <c r="BN479" i="2"/>
  <c r="Z479" i="2"/>
  <c r="Y490" i="2"/>
  <c r="Y491" i="2"/>
  <c r="BP489" i="2"/>
  <c r="BN489" i="2"/>
  <c r="Z489" i="2"/>
  <c r="BP512" i="2"/>
  <c r="BN512" i="2"/>
  <c r="Z512" i="2"/>
  <c r="BP513" i="2"/>
  <c r="Z513" i="2"/>
  <c r="Y537" i="2"/>
  <c r="BP536" i="2"/>
  <c r="BN536" i="2"/>
  <c r="Z536" i="2"/>
  <c r="Z537" i="2" s="1"/>
  <c r="Y549" i="2"/>
  <c r="BP548" i="2"/>
  <c r="BN548" i="2"/>
  <c r="Z548" i="2"/>
  <c r="Z549" i="2" s="1"/>
  <c r="Z22" i="2"/>
  <c r="Z24" i="2" s="1"/>
  <c r="BN22" i="2"/>
  <c r="BP22" i="2"/>
  <c r="BN23" i="2"/>
  <c r="BP23" i="2"/>
  <c r="Y24" i="2"/>
  <c r="Y25" i="2"/>
  <c r="Z29" i="2"/>
  <c r="BN29" i="2"/>
  <c r="BP30" i="2"/>
  <c r="BP37" i="2"/>
  <c r="BP38" i="2"/>
  <c r="Z41" i="2"/>
  <c r="BN41" i="2"/>
  <c r="Y52" i="2"/>
  <c r="BP49" i="2"/>
  <c r="BP50" i="2"/>
  <c r="E571" i="2"/>
  <c r="BN55" i="2"/>
  <c r="BP55" i="2"/>
  <c r="BP60" i="2"/>
  <c r="BP61" i="2"/>
  <c r="Z67" i="2"/>
  <c r="BN67" i="2"/>
  <c r="Z68" i="2"/>
  <c r="Z71" i="2"/>
  <c r="BN81" i="2"/>
  <c r="BP81" i="2"/>
  <c r="Y83" i="2"/>
  <c r="Y84" i="2"/>
  <c r="F571" i="2"/>
  <c r="Z88" i="2"/>
  <c r="BP89" i="2"/>
  <c r="BN92" i="2"/>
  <c r="BP92" i="2"/>
  <c r="Y93" i="2"/>
  <c r="Z96" i="2"/>
  <c r="BN96" i="2"/>
  <c r="Z98" i="2"/>
  <c r="BP99" i="2"/>
  <c r="BP104" i="2"/>
  <c r="BP105" i="2"/>
  <c r="Z108" i="2"/>
  <c r="BN108" i="2"/>
  <c r="BP109" i="2"/>
  <c r="Z111" i="2"/>
  <c r="BN111" i="2"/>
  <c r="BN112" i="2"/>
  <c r="Z117" i="2"/>
  <c r="BN117" i="2"/>
  <c r="Z122" i="2"/>
  <c r="Y126" i="2"/>
  <c r="Z125" i="2"/>
  <c r="Z134" i="2"/>
  <c r="BN134" i="2"/>
  <c r="BP134" i="2"/>
  <c r="BN135" i="2"/>
  <c r="Z140" i="2"/>
  <c r="BN140" i="2"/>
  <c r="BN153" i="2"/>
  <c r="BP153" i="2"/>
  <c r="BN159" i="2"/>
  <c r="BP159" i="2"/>
  <c r="Y160" i="2"/>
  <c r="Y161" i="2"/>
  <c r="J571" i="2"/>
  <c r="Z165" i="2"/>
  <c r="Z166" i="2"/>
  <c r="BP167" i="2"/>
  <c r="BP171" i="2"/>
  <c r="BP172" i="2"/>
  <c r="Y173" i="2"/>
  <c r="Z178" i="2"/>
  <c r="BN178" i="2"/>
  <c r="Z179" i="2"/>
  <c r="Z182" i="2"/>
  <c r="Z184" i="2"/>
  <c r="BN184" i="2"/>
  <c r="Z186" i="2"/>
  <c r="BP191" i="2"/>
  <c r="BP192" i="2"/>
  <c r="BN196" i="2"/>
  <c r="BP196" i="2"/>
  <c r="Y197" i="2"/>
  <c r="Y198" i="2"/>
  <c r="Y202" i="2"/>
  <c r="Y213" i="2"/>
  <c r="BP206" i="2"/>
  <c r="Z209" i="2"/>
  <c r="BN209" i="2"/>
  <c r="BP210" i="2"/>
  <c r="Z212" i="2"/>
  <c r="BN212" i="2"/>
  <c r="Z217" i="2"/>
  <c r="Z218" i="2" s="1"/>
  <c r="BN221" i="2"/>
  <c r="BP221" i="2"/>
  <c r="Y236" i="2"/>
  <c r="Z227" i="2"/>
  <c r="Z229" i="2"/>
  <c r="BN229" i="2"/>
  <c r="Z231" i="2"/>
  <c r="BP232" i="2"/>
  <c r="Z239" i="2"/>
  <c r="BN239" i="2"/>
  <c r="BP243" i="2"/>
  <c r="BN243" i="2"/>
  <c r="Z243" i="2"/>
  <c r="Y254" i="2"/>
  <c r="Y255" i="2"/>
  <c r="Z251" i="2"/>
  <c r="Y281" i="2"/>
  <c r="BN284" i="2"/>
  <c r="Z284" i="2"/>
  <c r="BN287" i="2"/>
  <c r="BP287" i="2"/>
  <c r="BN288" i="2"/>
  <c r="BP288" i="2"/>
  <c r="BN290" i="2"/>
  <c r="BN305" i="2"/>
  <c r="Z305" i="2"/>
  <c r="BN308" i="2"/>
  <c r="BP308" i="2"/>
  <c r="BN309" i="2"/>
  <c r="BP309" i="2"/>
  <c r="Y311" i="2"/>
  <c r="Y312" i="2"/>
  <c r="Y316" i="2"/>
  <c r="Y315" i="2"/>
  <c r="BP314" i="2"/>
  <c r="BN314" i="2"/>
  <c r="Z314" i="2"/>
  <c r="Z315" i="2" s="1"/>
  <c r="BP318" i="2"/>
  <c r="Y320" i="2"/>
  <c r="Y319" i="2"/>
  <c r="Z318" i="2"/>
  <c r="Z319" i="2" s="1"/>
  <c r="BN328" i="2"/>
  <c r="Z328" i="2"/>
  <c r="BN331" i="2"/>
  <c r="BP331" i="2"/>
  <c r="BN332" i="2"/>
  <c r="BP332" i="2"/>
  <c r="Y334" i="2"/>
  <c r="Y335" i="2"/>
  <c r="Q571" i="2"/>
  <c r="Y342" i="2"/>
  <c r="BP338" i="2"/>
  <c r="BN338" i="2"/>
  <c r="Z338" i="2"/>
  <c r="BP346" i="2"/>
  <c r="BP348" i="2"/>
  <c r="BN348" i="2"/>
  <c r="Z348" i="2"/>
  <c r="Y532" i="2"/>
  <c r="Y531" i="2"/>
  <c r="BP524" i="2"/>
  <c r="BN524" i="2"/>
  <c r="Z524" i="2"/>
  <c r="BP241" i="2"/>
  <c r="Y249" i="2"/>
  <c r="BN244" i="2"/>
  <c r="BP244" i="2"/>
  <c r="BN245" i="2"/>
  <c r="BP245" i="2"/>
  <c r="BN247" i="2"/>
  <c r="BP257" i="2"/>
  <c r="Y258" i="2"/>
  <c r="BP274" i="2"/>
  <c r="BN277" i="2"/>
  <c r="BP277" i="2"/>
  <c r="BN278" i="2"/>
  <c r="BP278" i="2"/>
  <c r="Y280" i="2"/>
  <c r="BN292" i="2"/>
  <c r="BP292" i="2"/>
  <c r="BN298" i="2"/>
  <c r="BP298" i="2"/>
  <c r="Y300" i="2"/>
  <c r="Y301" i="2"/>
  <c r="O571" i="2"/>
  <c r="BN323" i="2"/>
  <c r="BP339" i="2"/>
  <c r="Y351" i="2"/>
  <c r="Y355" i="2"/>
  <c r="BN354" i="2"/>
  <c r="T571" i="2"/>
  <c r="Y383" i="2"/>
  <c r="Z382" i="2"/>
  <c r="BP382" i="2"/>
  <c r="Y391" i="2"/>
  <c r="Y390" i="2"/>
  <c r="BP386" i="2"/>
  <c r="BN386" i="2"/>
  <c r="Z386" i="2"/>
  <c r="Y397" i="2"/>
  <c r="Z399" i="2"/>
  <c r="BP399" i="2"/>
  <c r="BP406" i="2"/>
  <c r="Y409" i="2"/>
  <c r="BN406" i="2"/>
  <c r="Z406" i="2"/>
  <c r="BP407" i="2"/>
  <c r="Z407" i="2"/>
  <c r="Y416" i="2"/>
  <c r="Y415" i="2"/>
  <c r="BN412" i="2"/>
  <c r="BP427" i="2"/>
  <c r="Z427" i="2"/>
  <c r="BP452" i="2"/>
  <c r="BN452" i="2"/>
  <c r="Z452" i="2"/>
  <c r="BN456" i="2"/>
  <c r="BP456" i="2"/>
  <c r="Y458" i="2"/>
  <c r="Y459" i="2"/>
  <c r="X571" i="2"/>
  <c r="Y465" i="2"/>
  <c r="Y464" i="2"/>
  <c r="Z462" i="2"/>
  <c r="Z464" i="2" s="1"/>
  <c r="Z571" i="2"/>
  <c r="Z494" i="2"/>
  <c r="Z495" i="2" s="1"/>
  <c r="BP500" i="2"/>
  <c r="BN500" i="2"/>
  <c r="Z500" i="2"/>
  <c r="AA571" i="2"/>
  <c r="BN506" i="2"/>
  <c r="BP506" i="2"/>
  <c r="BN508" i="2"/>
  <c r="Y522" i="2"/>
  <c r="Y521" i="2"/>
  <c r="BN518" i="2"/>
  <c r="BN528" i="2"/>
  <c r="BN387" i="2"/>
  <c r="BP387" i="2"/>
  <c r="BN388" i="2"/>
  <c r="BP388" i="2"/>
  <c r="BP400" i="2"/>
  <c r="BN408" i="2"/>
  <c r="BP408" i="2"/>
  <c r="BN414" i="2"/>
  <c r="BP414" i="2"/>
  <c r="BN420" i="2"/>
  <c r="BP420" i="2"/>
  <c r="Y429" i="2"/>
  <c r="W571" i="2"/>
  <c r="BP436" i="2"/>
  <c r="BP440" i="2"/>
  <c r="Y448" i="2"/>
  <c r="BN444" i="2"/>
  <c r="BP444" i="2"/>
  <c r="BP463" i="2"/>
  <c r="Y475" i="2"/>
  <c r="BN471" i="2"/>
  <c r="Y474" i="2"/>
  <c r="BN480" i="2"/>
  <c r="BP480" i="2"/>
  <c r="BN481" i="2"/>
  <c r="BP481" i="2"/>
  <c r="Y485" i="2"/>
  <c r="BN483" i="2"/>
  <c r="BN498" i="2"/>
  <c r="BN510" i="2"/>
  <c r="BN525" i="2"/>
  <c r="BP525" i="2"/>
  <c r="Y545" i="2"/>
  <c r="J9" i="2"/>
  <c r="Z409" i="2"/>
  <c r="BN76" i="2"/>
  <c r="BN48" i="2"/>
  <c r="BN59" i="2"/>
  <c r="BP27" i="2"/>
  <c r="Z37" i="2"/>
  <c r="BP39" i="2"/>
  <c r="Z49" i="2"/>
  <c r="Z55" i="2"/>
  <c r="BN98" i="2"/>
  <c r="Y120" i="2"/>
  <c r="BN37" i="2"/>
  <c r="BN60" i="2"/>
  <c r="BN70" i="2"/>
  <c r="Z80" i="2"/>
  <c r="BP82" i="2"/>
  <c r="Z91" i="2"/>
  <c r="BN104" i="2"/>
  <c r="Z112" i="2"/>
  <c r="BN124" i="2"/>
  <c r="Z135" i="2"/>
  <c r="BP150" i="2"/>
  <c r="BN171" i="2"/>
  <c r="BN181" i="2"/>
  <c r="BN191" i="2"/>
  <c r="BN226" i="2"/>
  <c r="BP246" i="2"/>
  <c r="BP279" i="2"/>
  <c r="BP289" i="2"/>
  <c r="BP299" i="2"/>
  <c r="BP310" i="2"/>
  <c r="BP322" i="2"/>
  <c r="BP333" i="2"/>
  <c r="BN345" i="2"/>
  <c r="Y356" i="2"/>
  <c r="BP369" i="2"/>
  <c r="BP379" i="2"/>
  <c r="BP389" i="2"/>
  <c r="BN399" i="2"/>
  <c r="Y410" i="2"/>
  <c r="BN435" i="2"/>
  <c r="BN445" i="2"/>
  <c r="BP457" i="2"/>
  <c r="BP482" i="2"/>
  <c r="BP507" i="2"/>
  <c r="Y516" i="2"/>
  <c r="BP527" i="2"/>
  <c r="Y554" i="2"/>
  <c r="K571" i="2"/>
  <c r="Y156" i="2"/>
  <c r="Y295" i="2"/>
  <c r="BN361" i="2"/>
  <c r="BN372" i="2"/>
  <c r="BN382" i="2"/>
  <c r="BN450" i="2"/>
  <c r="Y453" i="2"/>
  <c r="BN473" i="2"/>
  <c r="Y486" i="2"/>
  <c r="Y501" i="2"/>
  <c r="BN520" i="2"/>
  <c r="BN530" i="2"/>
  <c r="BN544" i="2"/>
  <c r="L571" i="2"/>
  <c r="Y538" i="2"/>
  <c r="Y550" i="2"/>
  <c r="M571" i="2"/>
  <c r="F9" i="2"/>
  <c r="Z247" i="2"/>
  <c r="Z290" i="2"/>
  <c r="Z323" i="2"/>
  <c r="Z359" i="2"/>
  <c r="Z370" i="2"/>
  <c r="Z380" i="2"/>
  <c r="Z412" i="2"/>
  <c r="Y441" i="2"/>
  <c r="Z471" i="2"/>
  <c r="Z483" i="2"/>
  <c r="BP498" i="2"/>
  <c r="Z508" i="2"/>
  <c r="BP510" i="2"/>
  <c r="Z518" i="2"/>
  <c r="BP520" i="2"/>
  <c r="Z528" i="2"/>
  <c r="BP530" i="2"/>
  <c r="BP544" i="2"/>
  <c r="Y555" i="2"/>
  <c r="Z151" i="2"/>
  <c r="Y187" i="2"/>
  <c r="H9" i="2"/>
  <c r="Z31" i="2"/>
  <c r="BN47" i="2"/>
  <c r="BN58" i="2"/>
  <c r="BN68" i="2"/>
  <c r="Z89" i="2"/>
  <c r="Z99" i="2"/>
  <c r="Z110" i="2"/>
  <c r="BN122" i="2"/>
  <c r="BN145" i="2"/>
  <c r="Y157" i="2"/>
  <c r="Z167" i="2"/>
  <c r="BN179" i="2"/>
  <c r="Z211" i="2"/>
  <c r="BN224" i="2"/>
  <c r="Z232" i="2"/>
  <c r="Z242" i="2"/>
  <c r="Z252" i="2"/>
  <c r="Z275" i="2"/>
  <c r="Z285" i="2"/>
  <c r="Y296" i="2"/>
  <c r="Z306" i="2"/>
  <c r="BN318" i="2"/>
  <c r="Z329" i="2"/>
  <c r="Z340" i="2"/>
  <c r="BN353" i="2"/>
  <c r="Z395" i="2"/>
  <c r="BN407" i="2"/>
  <c r="BN433" i="2"/>
  <c r="Y454" i="2"/>
  <c r="Z488" i="2"/>
  <c r="Y502" i="2"/>
  <c r="BN513" i="2"/>
  <c r="P571" i="2"/>
  <c r="A10" i="2"/>
  <c r="BP47" i="2"/>
  <c r="Z56" i="2"/>
  <c r="Z76" i="2"/>
  <c r="Z77" i="2" s="1"/>
  <c r="BN89" i="2"/>
  <c r="Y113" i="2"/>
  <c r="Y188" i="2"/>
  <c r="Z222" i="2"/>
  <c r="BN242" i="2"/>
  <c r="Z263" i="2"/>
  <c r="Z264" i="2" s="1"/>
  <c r="Z293" i="2"/>
  <c r="BN395" i="2"/>
  <c r="BP433" i="2"/>
  <c r="Y442" i="2"/>
  <c r="Z451" i="2"/>
  <c r="BN488" i="2"/>
  <c r="Z499" i="2"/>
  <c r="Z511" i="2"/>
  <c r="Z558" i="2"/>
  <c r="Z559" i="2" s="1"/>
  <c r="R571" i="2"/>
  <c r="BP122" i="2"/>
  <c r="Z154" i="2"/>
  <c r="Z177" i="2"/>
  <c r="Y64" i="2"/>
  <c r="Y141" i="2"/>
  <c r="BN206" i="2"/>
  <c r="BN217" i="2"/>
  <c r="BN257" i="2"/>
  <c r="Z268" i="2"/>
  <c r="Z269" i="2" s="1"/>
  <c r="BP359" i="2"/>
  <c r="Y403" i="2"/>
  <c r="BP412" i="2"/>
  <c r="BP471" i="2"/>
  <c r="BN494" i="2"/>
  <c r="Z506" i="2"/>
  <c r="BP518" i="2"/>
  <c r="Z526" i="2"/>
  <c r="BN540" i="2"/>
  <c r="BN552" i="2"/>
  <c r="S571" i="2"/>
  <c r="BN56" i="2"/>
  <c r="BN177" i="2"/>
  <c r="BN222" i="2"/>
  <c r="BN263" i="2"/>
  <c r="BN293" i="2"/>
  <c r="Y374" i="2"/>
  <c r="Y384" i="2"/>
  <c r="BP395" i="2"/>
  <c r="BN451" i="2"/>
  <c r="BP488" i="2"/>
  <c r="BN499" i="2"/>
  <c r="BN511" i="2"/>
  <c r="Y546" i="2"/>
  <c r="BN558" i="2"/>
  <c r="BN154" i="2"/>
  <c r="Z59" i="2"/>
  <c r="Y114" i="2"/>
  <c r="Z180" i="2"/>
  <c r="Z190" i="2"/>
  <c r="Z225" i="2"/>
  <c r="Y248" i="2"/>
  <c r="Y324" i="2"/>
  <c r="Z354" i="2"/>
  <c r="Z444" i="2"/>
  <c r="BP540" i="2"/>
  <c r="Z48" i="2"/>
  <c r="Z69" i="2"/>
  <c r="Z123" i="2"/>
  <c r="Z126" i="2" s="1"/>
  <c r="Y32" i="2"/>
  <c r="Y65" i="2"/>
  <c r="BP76" i="2"/>
  <c r="Y142" i="2"/>
  <c r="Z152" i="2"/>
  <c r="BN165" i="2"/>
  <c r="BP222" i="2"/>
  <c r="BP263" i="2"/>
  <c r="Z291" i="2"/>
  <c r="Y341" i="2"/>
  <c r="Z360" i="2"/>
  <c r="Z371" i="2"/>
  <c r="Z381" i="2"/>
  <c r="BN393" i="2"/>
  <c r="Y396" i="2"/>
  <c r="Y404" i="2"/>
  <c r="Z413" i="2"/>
  <c r="BN427" i="2"/>
  <c r="BN439" i="2"/>
  <c r="BN462" i="2"/>
  <c r="Z472" i="2"/>
  <c r="Z484" i="2"/>
  <c r="Z509" i="2"/>
  <c r="Z519" i="2"/>
  <c r="Z529" i="2"/>
  <c r="BP558" i="2"/>
  <c r="C571" i="2"/>
  <c r="V571" i="2"/>
  <c r="Y193" i="2"/>
  <c r="D571" i="2"/>
  <c r="BN123" i="2"/>
  <c r="BN180" i="2"/>
  <c r="BN190" i="2"/>
  <c r="Z27" i="2"/>
  <c r="Z39" i="2"/>
  <c r="Z62" i="2"/>
  <c r="Y77" i="2"/>
  <c r="Z106" i="2"/>
  <c r="Z116" i="2"/>
  <c r="Z139" i="2"/>
  <c r="BN152" i="2"/>
  <c r="Z183" i="2"/>
  <c r="Z207" i="2"/>
  <c r="Z228" i="2"/>
  <c r="Y264" i="2"/>
  <c r="BN291" i="2"/>
  <c r="Y325" i="2"/>
  <c r="Z347" i="2"/>
  <c r="BN360" i="2"/>
  <c r="BN371" i="2"/>
  <c r="BN381" i="2"/>
  <c r="Z401" i="2"/>
  <c r="BN413" i="2"/>
  <c r="Z425" i="2"/>
  <c r="Z437" i="2"/>
  <c r="BP462" i="2"/>
  <c r="BN472" i="2"/>
  <c r="BN484" i="2"/>
  <c r="BN509" i="2"/>
  <c r="BN519" i="2"/>
  <c r="BN529" i="2"/>
  <c r="Z553" i="2"/>
  <c r="Y559" i="2"/>
  <c r="Y33" i="2"/>
  <c r="BP48" i="2"/>
  <c r="BP69" i="2"/>
  <c r="BP123" i="2"/>
  <c r="BP190" i="2"/>
  <c r="BP354" i="2"/>
  <c r="Y72" i="2"/>
  <c r="Y42" i="2"/>
  <c r="BN62" i="2"/>
  <c r="Y73" i="2"/>
  <c r="Z82" i="2"/>
  <c r="BN106" i="2"/>
  <c r="BN116" i="2"/>
  <c r="Y119" i="2"/>
  <c r="BN139" i="2"/>
  <c r="Z150" i="2"/>
  <c r="Y174" i="2"/>
  <c r="BN183" i="2"/>
  <c r="BN207" i="2"/>
  <c r="BN228" i="2"/>
  <c r="Z246" i="2"/>
  <c r="Z279" i="2"/>
  <c r="Z289" i="2"/>
  <c r="Z299" i="2"/>
  <c r="Z300" i="2" s="1"/>
  <c r="Z310" i="2"/>
  <c r="Z322" i="2"/>
  <c r="Z333" i="2"/>
  <c r="BN347" i="2"/>
  <c r="Y350" i="2"/>
  <c r="Z369" i="2"/>
  <c r="Z379" i="2"/>
  <c r="Z389" i="2"/>
  <c r="BN401" i="2"/>
  <c r="BN425" i="2"/>
  <c r="Y428" i="2"/>
  <c r="BN437" i="2"/>
  <c r="Z457" i="2"/>
  <c r="Z458" i="2" s="1"/>
  <c r="Z482" i="2"/>
  <c r="Y496" i="2"/>
  <c r="Z507" i="2"/>
  <c r="Z527" i="2"/>
  <c r="BN553" i="2"/>
  <c r="G571" i="2"/>
  <c r="Y515" i="2"/>
  <c r="Y560" i="2"/>
  <c r="BN150" i="2"/>
  <c r="Y237" i="2"/>
  <c r="Z345" i="2"/>
  <c r="BP425" i="2"/>
  <c r="BN482" i="2"/>
  <c r="AB571" i="2"/>
  <c r="BN251" i="2"/>
  <c r="Z334" i="2" l="1"/>
  <c r="Z403" i="2"/>
  <c r="Z51" i="2"/>
  <c r="Z311" i="2"/>
  <c r="Z554" i="2"/>
  <c r="Z428" i="2"/>
  <c r="Z236" i="2"/>
  <c r="Z141" i="2"/>
  <c r="Z113" i="2"/>
  <c r="Z32" i="2"/>
  <c r="Z447" i="2"/>
  <c r="Z254" i="2"/>
  <c r="Z168" i="2"/>
  <c r="Z93" i="2"/>
  <c r="X564" i="2"/>
  <c r="Z146" i="2"/>
  <c r="Z390" i="2"/>
  <c r="Z119" i="2"/>
  <c r="Z501" i="2"/>
  <c r="Z490" i="2"/>
  <c r="Z396" i="2"/>
  <c r="Z100" i="2"/>
  <c r="Z350" i="2"/>
  <c r="Z485" i="2"/>
  <c r="Z373" i="2"/>
  <c r="Z324" i="2"/>
  <c r="Z441" i="2"/>
  <c r="Z213" i="2"/>
  <c r="Z72" i="2"/>
  <c r="Z355" i="2"/>
  <c r="Z193" i="2"/>
  <c r="Z453" i="2"/>
  <c r="Z341" i="2"/>
  <c r="Z280" i="2"/>
  <c r="Z136" i="2"/>
  <c r="Z383" i="2"/>
  <c r="Y565" i="2"/>
  <c r="Z531" i="2"/>
  <c r="Z515" i="2"/>
  <c r="Z187" i="2"/>
  <c r="Z248" i="2"/>
  <c r="Z521" i="2"/>
  <c r="Y563" i="2"/>
  <c r="Y561" i="2"/>
  <c r="Z295" i="2"/>
  <c r="Y562" i="2"/>
  <c r="Z64" i="2"/>
  <c r="Z42" i="2"/>
  <c r="Z474" i="2"/>
  <c r="Z415" i="2"/>
  <c r="Z156" i="2"/>
  <c r="Z83" i="2"/>
  <c r="Z362" i="2"/>
  <c r="Y564" i="2" l="1"/>
  <c r="Z566" i="2"/>
</calcChain>
</file>

<file path=xl/sharedStrings.xml><?xml version="1.0" encoding="utf-8"?>
<sst xmlns="http://schemas.openxmlformats.org/spreadsheetml/2006/main" count="4321" uniqueCount="902">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</sst>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 t="s">
        <v>901</v>
      </c>
      <c r="I5" s="1004"/>
      <c r="J5" s="1004"/>
      <c r="K5" s="1004"/>
      <c r="L5" s="1004"/>
      <c r="M5" s="1004"/>
      <c r="N5" s="72"/>
      <c r="P5" s="27" t="s">
        <v>4</v>
      </c>
      <c r="Q5" s="1006">
        <v>46302</v>
      </c>
      <c r="R5" s="1006"/>
      <c r="T5" s="1007" t="s">
        <v>3</v>
      </c>
      <c r="U5" s="1008"/>
      <c r="V5" s="1009" t="s">
        <v>877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 t="s">
        <v>884</v>
      </c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Среда</v>
      </c>
      <c r="R6" s="1012"/>
      <c r="T6" s="1013" t="s">
        <v>5</v>
      </c>
      <c r="U6" s="1014"/>
      <c r="V6" s="1015" t="s">
        <v>70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 t="str">
        <f>IFERROR(VLOOKUP(DeliveryAddress,Table,3,0),1)</f>
        <v>3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58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0.5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71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55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72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73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74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75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61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59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66</v>
      </c>
      <c r="L17" s="958" t="s">
        <v>64</v>
      </c>
      <c r="M17" s="958" t="s">
        <v>2</v>
      </c>
      <c r="N17" s="958" t="s">
        <v>63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56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60</v>
      </c>
      <c r="AB17" s="964" t="s">
        <v>19</v>
      </c>
      <c r="AC17" s="964" t="s">
        <v>65</v>
      </c>
      <c r="AD17" s="966" t="s">
        <v>57</v>
      </c>
      <c r="AE17" s="967"/>
      <c r="AF17" s="968"/>
      <c r="AG17" s="82"/>
      <c r="BD17" s="81" t="s">
        <v>62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0" t="s">
        <v>76</v>
      </c>
      <c r="B19" s="680"/>
      <c r="C19" s="680"/>
      <c r="D19" s="680"/>
      <c r="E19" s="680"/>
      <c r="F19" s="680"/>
      <c r="G19" s="680"/>
      <c r="H19" s="680"/>
      <c r="I19" s="680"/>
      <c r="J19" s="680"/>
      <c r="K19" s="680"/>
      <c r="L19" s="680"/>
      <c r="M19" s="680"/>
      <c r="N19" s="680"/>
      <c r="O19" s="680"/>
      <c r="P19" s="680"/>
      <c r="Q19" s="680"/>
      <c r="R19" s="680"/>
      <c r="S19" s="680"/>
      <c r="T19" s="680"/>
      <c r="U19" s="680"/>
      <c r="V19" s="680"/>
      <c r="W19" s="680"/>
      <c r="X19" s="680"/>
      <c r="Y19" s="680"/>
      <c r="Z19" s="680"/>
      <c r="AA19" s="54"/>
      <c r="AB19" s="54"/>
      <c r="AC19" s="54"/>
    </row>
    <row r="20" spans="1:68" ht="16.5" hidden="1" customHeight="1" x14ac:dyDescent="0.25">
      <c r="A20" s="665" t="s">
        <v>76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5"/>
      <c r="AB20" s="65"/>
      <c r="AC20" s="79"/>
    </row>
    <row r="21" spans="1:68" ht="14.25" hidden="1" customHeight="1" x14ac:dyDescent="0.25">
      <c r="A21" s="666" t="s">
        <v>77</v>
      </c>
      <c r="B21" s="666"/>
      <c r="C21" s="666"/>
      <c r="D21" s="666"/>
      <c r="E21" s="666"/>
      <c r="F21" s="666"/>
      <c r="G21" s="666"/>
      <c r="H21" s="666"/>
      <c r="I21" s="666"/>
      <c r="J21" s="666"/>
      <c r="K21" s="666"/>
      <c r="L21" s="666"/>
      <c r="M21" s="666"/>
      <c r="N21" s="666"/>
      <c r="O21" s="666"/>
      <c r="P21" s="666"/>
      <c r="Q21" s="666"/>
      <c r="R21" s="666"/>
      <c r="S21" s="666"/>
      <c r="T21" s="666"/>
      <c r="U21" s="666"/>
      <c r="V21" s="666"/>
      <c r="W21" s="666"/>
      <c r="X21" s="666"/>
      <c r="Y21" s="666"/>
      <c r="Z21" s="66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7">
        <v>4680115886643</v>
      </c>
      <c r="E22" s="66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9"/>
      <c r="R22" s="669"/>
      <c r="S22" s="669"/>
      <c r="T22" s="67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7">
        <v>4680115889071</v>
      </c>
      <c r="E23" s="66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9"/>
      <c r="R23" s="669"/>
      <c r="S23" s="669"/>
      <c r="T23" s="67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3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4"/>
      <c r="P24" s="660" t="s">
        <v>40</v>
      </c>
      <c r="Q24" s="661"/>
      <c r="R24" s="661"/>
      <c r="S24" s="661"/>
      <c r="T24" s="661"/>
      <c r="U24" s="661"/>
      <c r="V24" s="66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4"/>
      <c r="P25" s="660" t="s">
        <v>40</v>
      </c>
      <c r="Q25" s="661"/>
      <c r="R25" s="661"/>
      <c r="S25" s="661"/>
      <c r="T25" s="661"/>
      <c r="U25" s="661"/>
      <c r="V25" s="66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6" t="s">
        <v>86</v>
      </c>
      <c r="B26" s="666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  <c r="R26" s="666"/>
      <c r="S26" s="666"/>
      <c r="T26" s="666"/>
      <c r="U26" s="666"/>
      <c r="V26" s="666"/>
      <c r="W26" s="666"/>
      <c r="X26" s="666"/>
      <c r="Y26" s="666"/>
      <c r="Z26" s="66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7">
        <v>4680115885912</v>
      </c>
      <c r="E27" s="66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9"/>
      <c r="R27" s="669"/>
      <c r="S27" s="669"/>
      <c r="T27" s="67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7">
        <v>4607091388237</v>
      </c>
      <c r="E28" s="66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9"/>
      <c r="R28" s="669"/>
      <c r="S28" s="669"/>
      <c r="T28" s="67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7">
        <v>4680115887350</v>
      </c>
      <c r="E29" s="66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9"/>
      <c r="R29" s="669"/>
      <c r="S29" s="669"/>
      <c r="T29" s="67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7">
        <v>4680115885905</v>
      </c>
      <c r="E30" s="66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9"/>
      <c r="R30" s="669"/>
      <c r="S30" s="669"/>
      <c r="T30" s="67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7">
        <v>4680115887619</v>
      </c>
      <c r="E31" s="66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9"/>
      <c r="R31" s="669"/>
      <c r="S31" s="669"/>
      <c r="T31" s="67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4"/>
      <c r="P32" s="660" t="s">
        <v>40</v>
      </c>
      <c r="Q32" s="661"/>
      <c r="R32" s="661"/>
      <c r="S32" s="661"/>
      <c r="T32" s="661"/>
      <c r="U32" s="661"/>
      <c r="V32" s="66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4"/>
      <c r="P33" s="660" t="s">
        <v>40</v>
      </c>
      <c r="Q33" s="661"/>
      <c r="R33" s="661"/>
      <c r="S33" s="661"/>
      <c r="T33" s="661"/>
      <c r="U33" s="661"/>
      <c r="V33" s="66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0" t="s">
        <v>45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54"/>
      <c r="AB34" s="54"/>
      <c r="AC34" s="54"/>
    </row>
    <row r="35" spans="1:68" ht="16.5" hidden="1" customHeight="1" x14ac:dyDescent="0.25">
      <c r="A35" s="665" t="s">
        <v>104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5"/>
      <c r="AB35" s="65"/>
      <c r="AC35" s="79"/>
    </row>
    <row r="36" spans="1:68" ht="14.25" hidden="1" customHeight="1" x14ac:dyDescent="0.25">
      <c r="A36" s="666" t="s">
        <v>86</v>
      </c>
      <c r="B36" s="666"/>
      <c r="C36" s="666"/>
      <c r="D36" s="666"/>
      <c r="E36" s="666"/>
      <c r="F36" s="666"/>
      <c r="G36" s="666"/>
      <c r="H36" s="666"/>
      <c r="I36" s="666"/>
      <c r="J36" s="666"/>
      <c r="K36" s="666"/>
      <c r="L36" s="666"/>
      <c r="M36" s="666"/>
      <c r="N36" s="666"/>
      <c r="O36" s="666"/>
      <c r="P36" s="666"/>
      <c r="Q36" s="666"/>
      <c r="R36" s="666"/>
      <c r="S36" s="666"/>
      <c r="T36" s="666"/>
      <c r="U36" s="666"/>
      <c r="V36" s="666"/>
      <c r="W36" s="666"/>
      <c r="X36" s="666"/>
      <c r="Y36" s="666"/>
      <c r="Z36" s="66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7">
        <v>4680115889354</v>
      </c>
      <c r="E37" s="66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9"/>
      <c r="R37" s="669"/>
      <c r="S37" s="669"/>
      <c r="T37" s="67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7">
        <v>4680115888463</v>
      </c>
      <c r="E38" s="66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9"/>
      <c r="R38" s="669"/>
      <c r="S38" s="669"/>
      <c r="T38" s="67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7">
        <v>4680115889590</v>
      </c>
      <c r="E39" s="66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9"/>
      <c r="R39" s="669"/>
      <c r="S39" s="669"/>
      <c r="T39" s="67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7">
        <v>4680115888272</v>
      </c>
      <c r="E40" s="66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9"/>
      <c r="R40" s="669"/>
      <c r="S40" s="669"/>
      <c r="T40" s="67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7">
        <v>4680115888364</v>
      </c>
      <c r="E41" s="66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9"/>
      <c r="R41" s="669"/>
      <c r="S41" s="669"/>
      <c r="T41" s="67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3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64"/>
      <c r="P42" s="660" t="s">
        <v>40</v>
      </c>
      <c r="Q42" s="661"/>
      <c r="R42" s="661"/>
      <c r="S42" s="661"/>
      <c r="T42" s="661"/>
      <c r="U42" s="661"/>
      <c r="V42" s="66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4"/>
      <c r="P43" s="660" t="s">
        <v>40</v>
      </c>
      <c r="Q43" s="661"/>
      <c r="R43" s="661"/>
      <c r="S43" s="661"/>
      <c r="T43" s="661"/>
      <c r="U43" s="661"/>
      <c r="V43" s="66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0" t="s">
        <v>120</v>
      </c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0"/>
      <c r="P44" s="680"/>
      <c r="Q44" s="680"/>
      <c r="R44" s="680"/>
      <c r="S44" s="680"/>
      <c r="T44" s="680"/>
      <c r="U44" s="680"/>
      <c r="V44" s="680"/>
      <c r="W44" s="680"/>
      <c r="X44" s="680"/>
      <c r="Y44" s="680"/>
      <c r="Z44" s="680"/>
      <c r="AA44" s="54"/>
      <c r="AB44" s="54"/>
      <c r="AC44" s="54"/>
    </row>
    <row r="45" spans="1:68" ht="16.5" hidden="1" customHeight="1" x14ac:dyDescent="0.25">
      <c r="A45" s="665" t="s">
        <v>121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5"/>
      <c r="AB45" s="65"/>
      <c r="AC45" s="79"/>
    </row>
    <row r="46" spans="1:68" ht="14.25" hidden="1" customHeight="1" x14ac:dyDescent="0.25">
      <c r="A46" s="666" t="s">
        <v>122</v>
      </c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7">
        <v>4607091385670</v>
      </c>
      <c r="E47" s="66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9"/>
      <c r="R47" s="669"/>
      <c r="S47" s="669"/>
      <c r="T47" s="670"/>
      <c r="U47" s="39" t="s">
        <v>46</v>
      </c>
      <c r="V47" s="39" t="s">
        <v>46</v>
      </c>
      <c r="W47" s="40" t="s">
        <v>0</v>
      </c>
      <c r="X47" s="58">
        <v>60</v>
      </c>
      <c r="Y47" s="55">
        <f>IFERROR(IF(X47="",0,CEILING((X47/$H47),1)*$H47),"")</f>
        <v>64.800000000000011</v>
      </c>
      <c r="Z47" s="41">
        <f>IFERROR(IF(Y47=0,"",ROUNDUP(Y47/H47,0)*0.01898),"")</f>
        <v>0.11388000000000001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62.277777777777779</v>
      </c>
      <c r="BN47" s="78">
        <f>IFERROR(Y47*I47/H47,"0")</f>
        <v>67.260000000000005</v>
      </c>
      <c r="BO47" s="78">
        <f>IFERROR(1/J47*(X47/H47),"0")</f>
        <v>8.6805555555555552E-2</v>
      </c>
      <c r="BP47" s="78">
        <f>IFERROR(1/J47*(Y47/H47),"0")</f>
        <v>9.3750000000000014E-2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7">
        <v>4680115887725</v>
      </c>
      <c r="E48" s="66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9"/>
      <c r="R48" s="669"/>
      <c r="S48" s="669"/>
      <c r="T48" s="67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7">
        <v>4607091385687</v>
      </c>
      <c r="E49" s="66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9"/>
      <c r="R49" s="669"/>
      <c r="S49" s="669"/>
      <c r="T49" s="670"/>
      <c r="U49" s="39" t="s">
        <v>46</v>
      </c>
      <c r="V49" s="39" t="s">
        <v>46</v>
      </c>
      <c r="W49" s="40" t="s">
        <v>0</v>
      </c>
      <c r="X49" s="58">
        <v>32</v>
      </c>
      <c r="Y49" s="55">
        <f>IFERROR(IF(X49="",0,CEILING((X49/$H49),1)*$H49),"")</f>
        <v>32</v>
      </c>
      <c r="Z49" s="41">
        <f>IFERROR(IF(Y49=0,"",ROUNDUP(Y49/H49,0)*0.00902),"")</f>
        <v>7.2160000000000002E-2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33.520000000000003</v>
      </c>
      <c r="BN49" s="78">
        <f>IFERROR(Y49*I49/H49,"0")</f>
        <v>33.520000000000003</v>
      </c>
      <c r="BO49" s="78">
        <f>IFERROR(1/J49*(X49/H49),"0")</f>
        <v>6.0606060606060608E-2</v>
      </c>
      <c r="BP49" s="78">
        <f>IFERROR(1/J49*(Y49/H49),"0")</f>
        <v>6.0606060606060608E-2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7">
        <v>4680115882539</v>
      </c>
      <c r="E50" s="66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9"/>
      <c r="R50" s="669"/>
      <c r="S50" s="669"/>
      <c r="T50" s="67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3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64"/>
      <c r="P51" s="660" t="s">
        <v>40</v>
      </c>
      <c r="Q51" s="661"/>
      <c r="R51" s="661"/>
      <c r="S51" s="661"/>
      <c r="T51" s="661"/>
      <c r="U51" s="661"/>
      <c r="V51" s="662"/>
      <c r="W51" s="42" t="s">
        <v>39</v>
      </c>
      <c r="X51" s="43">
        <f>IFERROR(X47/H47,"0")+IFERROR(X48/H48,"0")+IFERROR(X49/H49,"0")+IFERROR(X50/H50,"0")</f>
        <v>13.555555555555555</v>
      </c>
      <c r="Y51" s="43">
        <f>IFERROR(Y47/H47,"0")+IFERROR(Y48/H48,"0")+IFERROR(Y49/H49,"0")+IFERROR(Y50/H50,"0")</f>
        <v>14</v>
      </c>
      <c r="Z51" s="43">
        <f>IFERROR(IF(Z47="",0,Z47),"0")+IFERROR(IF(Z48="",0,Z48),"0")+IFERROR(IF(Z49="",0,Z49),"0")+IFERROR(IF(Z50="",0,Z50),"0")</f>
        <v>0.18604000000000001</v>
      </c>
      <c r="AA51" s="67"/>
      <c r="AB51" s="67"/>
      <c r="AC51" s="67"/>
    </row>
    <row r="52" spans="1:68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4"/>
      <c r="P52" s="660" t="s">
        <v>40</v>
      </c>
      <c r="Q52" s="661"/>
      <c r="R52" s="661"/>
      <c r="S52" s="661"/>
      <c r="T52" s="661"/>
      <c r="U52" s="661"/>
      <c r="V52" s="662"/>
      <c r="W52" s="42" t="s">
        <v>0</v>
      </c>
      <c r="X52" s="43">
        <f>IFERROR(SUM(X47:X50),"0")</f>
        <v>92</v>
      </c>
      <c r="Y52" s="43">
        <f>IFERROR(SUM(Y47:Y50),"0")</f>
        <v>96.800000000000011</v>
      </c>
      <c r="Z52" s="42"/>
      <c r="AA52" s="67"/>
      <c r="AB52" s="67"/>
      <c r="AC52" s="67"/>
    </row>
    <row r="53" spans="1:68" ht="16.5" hidden="1" customHeight="1" x14ac:dyDescent="0.25">
      <c r="A53" s="665" t="s">
        <v>137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5"/>
      <c r="AB53" s="65"/>
      <c r="AC53" s="79"/>
    </row>
    <row r="54" spans="1:68" ht="14.25" hidden="1" customHeight="1" x14ac:dyDescent="0.25">
      <c r="A54" s="666" t="s">
        <v>122</v>
      </c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7">
        <v>4680115885882</v>
      </c>
      <c r="E55" s="66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9"/>
      <c r="R55" s="669"/>
      <c r="S55" s="669"/>
      <c r="T55" s="67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67">
        <v>4680115881426</v>
      </c>
      <c r="E56" s="66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9"/>
      <c r="R56" s="669"/>
      <c r="S56" s="669"/>
      <c r="T56" s="670"/>
      <c r="U56" s="39" t="s">
        <v>46</v>
      </c>
      <c r="V56" s="39" t="s">
        <v>46</v>
      </c>
      <c r="W56" s="40" t="s">
        <v>0</v>
      </c>
      <c r="X56" s="58">
        <v>80</v>
      </c>
      <c r="Y56" s="55">
        <f t="shared" si="0"/>
        <v>86.4</v>
      </c>
      <c r="Z56" s="41">
        <f>IFERROR(IF(Y56=0,"",ROUNDUP(Y56/H56,0)*0.01898),"")</f>
        <v>0.15184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83.037037037037038</v>
      </c>
      <c r="BN56" s="78">
        <f t="shared" si="2"/>
        <v>89.68</v>
      </c>
      <c r="BO56" s="78">
        <f t="shared" si="3"/>
        <v>0.11574074074074073</v>
      </c>
      <c r="BP56" s="78">
        <f t="shared" si="4"/>
        <v>0.125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7">
        <v>4680115881426</v>
      </c>
      <c r="E57" s="66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9"/>
      <c r="R57" s="669"/>
      <c r="S57" s="669"/>
      <c r="T57" s="67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7">
        <v>4680115880283</v>
      </c>
      <c r="E58" s="66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9"/>
      <c r="R58" s="669"/>
      <c r="S58" s="669"/>
      <c r="T58" s="67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7">
        <v>4680115881525</v>
      </c>
      <c r="E59" s="66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9"/>
      <c r="R59" s="669"/>
      <c r="S59" s="669"/>
      <c r="T59" s="67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7">
        <v>4680115881525</v>
      </c>
      <c r="E60" s="66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9"/>
      <c r="R60" s="669"/>
      <c r="S60" s="669"/>
      <c r="T60" s="67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7">
        <v>4680115885899</v>
      </c>
      <c r="E61" s="66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9"/>
      <c r="R61" s="669"/>
      <c r="S61" s="669"/>
      <c r="T61" s="67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67">
        <v>4680115881419</v>
      </c>
      <c r="E62" s="66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9"/>
      <c r="R62" s="669"/>
      <c r="S62" s="669"/>
      <c r="T62" s="670"/>
      <c r="U62" s="39" t="s">
        <v>46</v>
      </c>
      <c r="V62" s="39" t="s">
        <v>46</v>
      </c>
      <c r="W62" s="40" t="s">
        <v>0</v>
      </c>
      <c r="X62" s="58">
        <v>45</v>
      </c>
      <c r="Y62" s="55">
        <f t="shared" si="0"/>
        <v>45</v>
      </c>
      <c r="Z62" s="41">
        <f>IFERROR(IF(Y62=0,"",ROUNDUP(Y62/H62,0)*0.00902),"")</f>
        <v>9.0200000000000002E-2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46.900000000000006</v>
      </c>
      <c r="BN62" s="78">
        <f t="shared" si="2"/>
        <v>46.900000000000006</v>
      </c>
      <c r="BO62" s="78">
        <f t="shared" si="3"/>
        <v>7.575757575757576E-2</v>
      </c>
      <c r="BP62" s="78">
        <f t="shared" si="4"/>
        <v>7.575757575757576E-2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7">
        <v>4680115881419</v>
      </c>
      <c r="E63" s="66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9"/>
      <c r="R63" s="669"/>
      <c r="S63" s="669"/>
      <c r="T63" s="67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663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4"/>
      <c r="P64" s="660" t="s">
        <v>40</v>
      </c>
      <c r="Q64" s="661"/>
      <c r="R64" s="661"/>
      <c r="S64" s="661"/>
      <c r="T64" s="661"/>
      <c r="U64" s="661"/>
      <c r="V64" s="662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17.407407407407405</v>
      </c>
      <c r="Y64" s="43">
        <f>IFERROR(Y55/H55,"0")+IFERROR(Y56/H56,"0")+IFERROR(Y57/H57,"0")+IFERROR(Y58/H58,"0")+IFERROR(Y59/H59,"0")+IFERROR(Y60/H60,"0")+IFERROR(Y61/H61,"0")+IFERROR(Y62/H62,"0")+IFERROR(Y63/H63,"0")</f>
        <v>18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0.24204000000000001</v>
      </c>
      <c r="AA64" s="67"/>
      <c r="AB64" s="67"/>
      <c r="AC64" s="67"/>
    </row>
    <row r="65" spans="1:68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4"/>
      <c r="P65" s="660" t="s">
        <v>40</v>
      </c>
      <c r="Q65" s="661"/>
      <c r="R65" s="661"/>
      <c r="S65" s="661"/>
      <c r="T65" s="661"/>
      <c r="U65" s="661"/>
      <c r="V65" s="662"/>
      <c r="W65" s="42" t="s">
        <v>0</v>
      </c>
      <c r="X65" s="43">
        <f>IFERROR(SUM(X55:X63),"0")</f>
        <v>125</v>
      </c>
      <c r="Y65" s="43">
        <f>IFERROR(SUM(Y55:Y63),"0")</f>
        <v>131.4</v>
      </c>
      <c r="Z65" s="42"/>
      <c r="AA65" s="67"/>
      <c r="AB65" s="67"/>
      <c r="AC65" s="67"/>
    </row>
    <row r="66" spans="1:68" ht="14.25" hidden="1" customHeight="1" x14ac:dyDescent="0.25">
      <c r="A66" s="666" t="s">
        <v>159</v>
      </c>
      <c r="B66" s="666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667">
        <v>4680115881440</v>
      </c>
      <c r="E67" s="66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9"/>
      <c r="R67" s="669"/>
      <c r="S67" s="669"/>
      <c r="T67" s="670"/>
      <c r="U67" s="39" t="s">
        <v>46</v>
      </c>
      <c r="V67" s="39" t="s">
        <v>46</v>
      </c>
      <c r="W67" s="40" t="s">
        <v>0</v>
      </c>
      <c r="X67" s="58">
        <v>80</v>
      </c>
      <c r="Y67" s="55">
        <f>IFERROR(IF(X67="",0,CEILING((X67/$H67),1)*$H67),"")</f>
        <v>86.4</v>
      </c>
      <c r="Z67" s="41">
        <f>IFERROR(IF(Y67=0,"",ROUNDUP(Y67/H67,0)*0.01898),"")</f>
        <v>0.15184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83.037037037037038</v>
      </c>
      <c r="BN67" s="78">
        <f>IFERROR(Y67*I67/H67,"0")</f>
        <v>89.68</v>
      </c>
      <c r="BO67" s="78">
        <f>IFERROR(1/J67*(X67/H67),"0")</f>
        <v>0.11574074074074073</v>
      </c>
      <c r="BP67" s="78">
        <f>IFERROR(1/J67*(Y67/H67),"0")</f>
        <v>0.125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7">
        <v>4680115881440</v>
      </c>
      <c r="E68" s="66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9"/>
      <c r="R68" s="669"/>
      <c r="S68" s="669"/>
      <c r="T68" s="67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7">
        <v>4680115885950</v>
      </c>
      <c r="E69" s="66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9"/>
      <c r="R69" s="669"/>
      <c r="S69" s="669"/>
      <c r="T69" s="67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7">
        <v>4680115887688</v>
      </c>
      <c r="E70" s="66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9"/>
      <c r="R70" s="669"/>
      <c r="S70" s="669"/>
      <c r="T70" s="67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4301020389</v>
      </c>
      <c r="D71" s="667">
        <v>4680115881433</v>
      </c>
      <c r="E71" s="66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9"/>
      <c r="R71" s="669"/>
      <c r="S71" s="669"/>
      <c r="T71" s="670"/>
      <c r="U71" s="39" t="s">
        <v>46</v>
      </c>
      <c r="V71" s="39" t="s">
        <v>46</v>
      </c>
      <c r="W71" s="40" t="s">
        <v>0</v>
      </c>
      <c r="X71" s="58">
        <v>32.4</v>
      </c>
      <c r="Y71" s="55">
        <f>IFERROR(IF(X71="",0,CEILING((X71/$H71),1)*$H71),"")</f>
        <v>32.400000000000006</v>
      </c>
      <c r="Z71" s="41">
        <f>IFERROR(IF(Y71=0,"",ROUNDUP(Y71/H71,0)*0.00651),"")</f>
        <v>7.8119999999999995E-2</v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34.559999999999995</v>
      </c>
      <c r="BN71" s="78">
        <f>IFERROR(Y71*I71/H71,"0")</f>
        <v>34.56</v>
      </c>
      <c r="BO71" s="78">
        <f>IFERROR(1/J71*(X71/H71),"0")</f>
        <v>6.5934065934065936E-2</v>
      </c>
      <c r="BP71" s="78">
        <f>IFERROR(1/J71*(Y71/H71),"0")</f>
        <v>6.593406593406595E-2</v>
      </c>
    </row>
    <row r="72" spans="1:68" x14ac:dyDescent="0.2">
      <c r="A72" s="663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4"/>
      <c r="P72" s="660" t="s">
        <v>40</v>
      </c>
      <c r="Q72" s="661"/>
      <c r="R72" s="661"/>
      <c r="S72" s="661"/>
      <c r="T72" s="661"/>
      <c r="U72" s="661"/>
      <c r="V72" s="662"/>
      <c r="W72" s="42" t="s">
        <v>39</v>
      </c>
      <c r="X72" s="43">
        <f>IFERROR(X67/H67,"0")+IFERROR(X68/H68,"0")+IFERROR(X69/H69,"0")+IFERROR(X70/H70,"0")+IFERROR(X71/H71,"0")</f>
        <v>19.407407407407405</v>
      </c>
      <c r="Y72" s="43">
        <f>IFERROR(Y67/H67,"0")+IFERROR(Y68/H68,"0")+IFERROR(Y69/H69,"0")+IFERROR(Y70/H70,"0")+IFERROR(Y71/H71,"0")</f>
        <v>20</v>
      </c>
      <c r="Z72" s="43">
        <f>IFERROR(IF(Z67="",0,Z67),"0")+IFERROR(IF(Z68="",0,Z68),"0")+IFERROR(IF(Z69="",0,Z69),"0")+IFERROR(IF(Z70="",0,Z70),"0")+IFERROR(IF(Z71="",0,Z71),"0")</f>
        <v>0.22996</v>
      </c>
      <c r="AA72" s="67"/>
      <c r="AB72" s="67"/>
      <c r="AC72" s="67"/>
    </row>
    <row r="73" spans="1:68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4"/>
      <c r="P73" s="660" t="s">
        <v>40</v>
      </c>
      <c r="Q73" s="661"/>
      <c r="R73" s="661"/>
      <c r="S73" s="661"/>
      <c r="T73" s="661"/>
      <c r="U73" s="661"/>
      <c r="V73" s="662"/>
      <c r="W73" s="42" t="s">
        <v>0</v>
      </c>
      <c r="X73" s="43">
        <f>IFERROR(SUM(X67:X71),"0")</f>
        <v>112.4</v>
      </c>
      <c r="Y73" s="43">
        <f>IFERROR(SUM(Y67:Y71),"0")</f>
        <v>118.80000000000001</v>
      </c>
      <c r="Z73" s="42"/>
      <c r="AA73" s="67"/>
      <c r="AB73" s="67"/>
      <c r="AC73" s="67"/>
    </row>
    <row r="74" spans="1:68" ht="14.25" hidden="1" customHeight="1" x14ac:dyDescent="0.25">
      <c r="A74" s="666" t="s">
        <v>86</v>
      </c>
      <c r="B74" s="666"/>
      <c r="C74" s="666"/>
      <c r="D74" s="666"/>
      <c r="E74" s="6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667">
        <v>4680115884311</v>
      </c>
      <c r="E75" s="66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9"/>
      <c r="R75" s="669"/>
      <c r="S75" s="669"/>
      <c r="T75" s="67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7">
        <v>4680115884403</v>
      </c>
      <c r="E76" s="66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9"/>
      <c r="R76" s="669"/>
      <c r="S76" s="669"/>
      <c r="T76" s="67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3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4"/>
      <c r="P77" s="660" t="s">
        <v>40</v>
      </c>
      <c r="Q77" s="661"/>
      <c r="R77" s="661"/>
      <c r="S77" s="661"/>
      <c r="T77" s="661"/>
      <c r="U77" s="661"/>
      <c r="V77" s="662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64"/>
      <c r="P78" s="660" t="s">
        <v>40</v>
      </c>
      <c r="Q78" s="661"/>
      <c r="R78" s="661"/>
      <c r="S78" s="661"/>
      <c r="T78" s="661"/>
      <c r="U78" s="661"/>
      <c r="V78" s="662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6" t="s">
        <v>178</v>
      </c>
      <c r="B79" s="666"/>
      <c r="C79" s="666"/>
      <c r="D79" s="666"/>
      <c r="E79" s="666"/>
      <c r="F79" s="666"/>
      <c r="G79" s="666"/>
      <c r="H79" s="666"/>
      <c r="I79" s="666"/>
      <c r="J79" s="666"/>
      <c r="K79" s="666"/>
      <c r="L79" s="666"/>
      <c r="M79" s="666"/>
      <c r="N79" s="666"/>
      <c r="O79" s="666"/>
      <c r="P79" s="666"/>
      <c r="Q79" s="666"/>
      <c r="R79" s="666"/>
      <c r="S79" s="666"/>
      <c r="T79" s="666"/>
      <c r="U79" s="666"/>
      <c r="V79" s="666"/>
      <c r="W79" s="666"/>
      <c r="X79" s="666"/>
      <c r="Y79" s="666"/>
      <c r="Z79" s="666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667">
        <v>4680115881532</v>
      </c>
      <c r="E80" s="66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9"/>
      <c r="R80" s="669"/>
      <c r="S80" s="669"/>
      <c r="T80" s="67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7">
        <v>4680115881532</v>
      </c>
      <c r="E81" s="66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9"/>
      <c r="R81" s="669"/>
      <c r="S81" s="669"/>
      <c r="T81" s="67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7">
        <v>4680115881464</v>
      </c>
      <c r="E82" s="66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9"/>
      <c r="R82" s="669"/>
      <c r="S82" s="669"/>
      <c r="T82" s="67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63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4"/>
      <c r="P83" s="660" t="s">
        <v>40</v>
      </c>
      <c r="Q83" s="661"/>
      <c r="R83" s="661"/>
      <c r="S83" s="661"/>
      <c r="T83" s="661"/>
      <c r="U83" s="661"/>
      <c r="V83" s="662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4"/>
      <c r="P84" s="660" t="s">
        <v>40</v>
      </c>
      <c r="Q84" s="661"/>
      <c r="R84" s="661"/>
      <c r="S84" s="661"/>
      <c r="T84" s="661"/>
      <c r="U84" s="661"/>
      <c r="V84" s="662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65" t="s">
        <v>186</v>
      </c>
      <c r="B85" s="665"/>
      <c r="C85" s="665"/>
      <c r="D85" s="665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5"/>
      <c r="AB85" s="65"/>
      <c r="AC85" s="79"/>
    </row>
    <row r="86" spans="1:68" ht="14.25" hidden="1" customHeight="1" x14ac:dyDescent="0.25">
      <c r="A86" s="666" t="s">
        <v>122</v>
      </c>
      <c r="B86" s="666"/>
      <c r="C86" s="666"/>
      <c r="D86" s="666"/>
      <c r="E86" s="666"/>
      <c r="F86" s="666"/>
      <c r="G86" s="666"/>
      <c r="H86" s="666"/>
      <c r="I86" s="666"/>
      <c r="J86" s="666"/>
      <c r="K86" s="666"/>
      <c r="L86" s="666"/>
      <c r="M86" s="666"/>
      <c r="N86" s="666"/>
      <c r="O86" s="666"/>
      <c r="P86" s="666"/>
      <c r="Q86" s="666"/>
      <c r="R86" s="666"/>
      <c r="S86" s="666"/>
      <c r="T86" s="666"/>
      <c r="U86" s="666"/>
      <c r="V86" s="666"/>
      <c r="W86" s="666"/>
      <c r="X86" s="666"/>
      <c r="Y86" s="666"/>
      <c r="Z86" s="666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667">
        <v>4680115881327</v>
      </c>
      <c r="E87" s="66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9"/>
      <c r="R87" s="669"/>
      <c r="S87" s="669"/>
      <c r="T87" s="670"/>
      <c r="U87" s="39" t="s">
        <v>46</v>
      </c>
      <c r="V87" s="39" t="s">
        <v>46</v>
      </c>
      <c r="W87" s="40" t="s">
        <v>0</v>
      </c>
      <c r="X87" s="58">
        <v>20</v>
      </c>
      <c r="Y87" s="55">
        <f t="shared" ref="Y87:Y92" si="5">IFERROR(IF(X87="",0,CEILING((X87/$H87),1)*$H87),"")</f>
        <v>21.6</v>
      </c>
      <c r="Z87" s="41">
        <f>IFERROR(IF(Y87=0,"",ROUNDUP(Y87/H87,0)*0.01898),"")</f>
        <v>3.7960000000000001E-2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20.75925925925926</v>
      </c>
      <c r="BN87" s="78">
        <f t="shared" ref="BN87:BN92" si="7">IFERROR(Y87*I87/H87,"0")</f>
        <v>22.42</v>
      </c>
      <c r="BO87" s="78">
        <f t="shared" ref="BO87:BO92" si="8">IFERROR(1/J87*(X87/H87),"0")</f>
        <v>2.8935185185185182E-2</v>
      </c>
      <c r="BP87" s="78">
        <f t="shared" ref="BP87:BP92" si="9">IFERROR(1/J87*(Y87/H87),"0")</f>
        <v>3.125E-2</v>
      </c>
    </row>
    <row r="88" spans="1:68" ht="27" hidden="1" customHeight="1" x14ac:dyDescent="0.25">
      <c r="A88" s="63" t="s">
        <v>187</v>
      </c>
      <c r="B88" s="63" t="s">
        <v>190</v>
      </c>
      <c r="C88" s="36">
        <v>4301012251</v>
      </c>
      <c r="D88" s="667">
        <v>4680115881327</v>
      </c>
      <c r="E88" s="66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92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69"/>
      <c r="R88" s="669"/>
      <c r="S88" s="669"/>
      <c r="T88" s="67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667">
        <v>4680115887732</v>
      </c>
      <c r="E89" s="66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92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9"/>
      <c r="R89" s="669"/>
      <c r="S89" s="669"/>
      <c r="T89" s="67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67">
        <v>4680115881518</v>
      </c>
      <c r="E90" s="66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9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9"/>
      <c r="R90" s="669"/>
      <c r="S90" s="669"/>
      <c r="T90" s="67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667">
        <v>4680115881518</v>
      </c>
      <c r="E91" s="66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9"/>
      <c r="R91" s="669"/>
      <c r="S91" s="669"/>
      <c r="T91" s="67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197</v>
      </c>
      <c r="B92" s="63" t="s">
        <v>198</v>
      </c>
      <c r="C92" s="36">
        <v>4301012250</v>
      </c>
      <c r="D92" s="667">
        <v>4680115881303</v>
      </c>
      <c r="E92" s="66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9"/>
      <c r="R92" s="669"/>
      <c r="S92" s="669"/>
      <c r="T92" s="670"/>
      <c r="U92" s="39" t="s">
        <v>46</v>
      </c>
      <c r="V92" s="39" t="s">
        <v>46</v>
      </c>
      <c r="W92" s="40" t="s">
        <v>0</v>
      </c>
      <c r="X92" s="58">
        <v>9</v>
      </c>
      <c r="Y92" s="55">
        <f t="shared" si="5"/>
        <v>9</v>
      </c>
      <c r="Z92" s="41">
        <f>IFERROR(IF(Y92=0,"",ROUNDUP(Y92/H92,0)*0.00902),"")</f>
        <v>1.804E-2</v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9.3800000000000008</v>
      </c>
      <c r="BN92" s="78">
        <f t="shared" si="7"/>
        <v>9.3800000000000008</v>
      </c>
      <c r="BO92" s="78">
        <f t="shared" si="8"/>
        <v>1.5151515151515152E-2</v>
      </c>
      <c r="BP92" s="78">
        <f t="shared" si="9"/>
        <v>1.5151515151515152E-2</v>
      </c>
    </row>
    <row r="93" spans="1:68" x14ac:dyDescent="0.2">
      <c r="A93" s="663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64"/>
      <c r="P93" s="660" t="s">
        <v>40</v>
      </c>
      <c r="Q93" s="661"/>
      <c r="R93" s="661"/>
      <c r="S93" s="661"/>
      <c r="T93" s="661"/>
      <c r="U93" s="661"/>
      <c r="V93" s="662"/>
      <c r="W93" s="42" t="s">
        <v>39</v>
      </c>
      <c r="X93" s="43">
        <f>IFERROR(X87/H87,"0")+IFERROR(X88/H88,"0")+IFERROR(X89/H89,"0")+IFERROR(X90/H90,"0")+IFERROR(X91/H91,"0")+IFERROR(X92/H92,"0")</f>
        <v>3.8518518518518516</v>
      </c>
      <c r="Y93" s="43">
        <f>IFERROR(Y87/H87,"0")+IFERROR(Y88/H88,"0")+IFERROR(Y89/H89,"0")+IFERROR(Y90/H90,"0")+IFERROR(Y91/H91,"0")+IFERROR(Y92/H92,"0")</f>
        <v>4</v>
      </c>
      <c r="Z93" s="43">
        <f>IFERROR(IF(Z87="",0,Z87),"0")+IFERROR(IF(Z88="",0,Z88),"0")+IFERROR(IF(Z89="",0,Z89),"0")+IFERROR(IF(Z90="",0,Z90),"0")+IFERROR(IF(Z91="",0,Z91),"0")+IFERROR(IF(Z92="",0,Z92),"0")</f>
        <v>5.6000000000000001E-2</v>
      </c>
      <c r="AA93" s="67"/>
      <c r="AB93" s="67"/>
      <c r="AC93" s="67"/>
    </row>
    <row r="94" spans="1:68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4"/>
      <c r="P94" s="660" t="s">
        <v>40</v>
      </c>
      <c r="Q94" s="661"/>
      <c r="R94" s="661"/>
      <c r="S94" s="661"/>
      <c r="T94" s="661"/>
      <c r="U94" s="661"/>
      <c r="V94" s="662"/>
      <c r="W94" s="42" t="s">
        <v>0</v>
      </c>
      <c r="X94" s="43">
        <f>IFERROR(SUM(X87:X92),"0")</f>
        <v>29</v>
      </c>
      <c r="Y94" s="43">
        <f>IFERROR(SUM(Y87:Y92),"0")</f>
        <v>30.6</v>
      </c>
      <c r="Z94" s="42"/>
      <c r="AA94" s="67"/>
      <c r="AB94" s="67"/>
      <c r="AC94" s="67"/>
    </row>
    <row r="95" spans="1:68" ht="14.25" hidden="1" customHeight="1" x14ac:dyDescent="0.25">
      <c r="A95" s="666" t="s">
        <v>86</v>
      </c>
      <c r="B95" s="666"/>
      <c r="C95" s="666"/>
      <c r="D95" s="666"/>
      <c r="E95" s="666"/>
      <c r="F95" s="666"/>
      <c r="G95" s="666"/>
      <c r="H95" s="666"/>
      <c r="I95" s="666"/>
      <c r="J95" s="666"/>
      <c r="K95" s="666"/>
      <c r="L95" s="666"/>
      <c r="M95" s="666"/>
      <c r="N95" s="666"/>
      <c r="O95" s="666"/>
      <c r="P95" s="666"/>
      <c r="Q95" s="666"/>
      <c r="R95" s="666"/>
      <c r="S95" s="666"/>
      <c r="T95" s="666"/>
      <c r="U95" s="666"/>
      <c r="V95" s="666"/>
      <c r="W95" s="666"/>
      <c r="X95" s="666"/>
      <c r="Y95" s="666"/>
      <c r="Z95" s="666"/>
      <c r="AA95" s="66"/>
      <c r="AB95" s="66"/>
      <c r="AC95" s="80"/>
    </row>
    <row r="96" spans="1:68" ht="27" hidden="1" customHeight="1" x14ac:dyDescent="0.25">
      <c r="A96" s="63" t="s">
        <v>199</v>
      </c>
      <c r="B96" s="63" t="s">
        <v>200</v>
      </c>
      <c r="C96" s="36">
        <v>4301052101</v>
      </c>
      <c r="D96" s="667">
        <v>4607091386967</v>
      </c>
      <c r="E96" s="66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9"/>
      <c r="R96" s="669"/>
      <c r="S96" s="669"/>
      <c r="T96" s="67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667">
        <v>4680115884953</v>
      </c>
      <c r="E97" s="66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9"/>
      <c r="R97" s="669"/>
      <c r="S97" s="669"/>
      <c r="T97" s="67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hidden="1" customHeight="1" x14ac:dyDescent="0.25">
      <c r="A98" s="63" t="s">
        <v>205</v>
      </c>
      <c r="B98" s="63" t="s">
        <v>206</v>
      </c>
      <c r="C98" s="36">
        <v>4301052094</v>
      </c>
      <c r="D98" s="667">
        <v>4607091385731</v>
      </c>
      <c r="E98" s="66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9"/>
      <c r="R98" s="669"/>
      <c r="S98" s="669"/>
      <c r="T98" s="67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667">
        <v>4680115880894</v>
      </c>
      <c r="E99" s="66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9"/>
      <c r="R99" s="669"/>
      <c r="S99" s="669"/>
      <c r="T99" s="67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idden="1" x14ac:dyDescent="0.2">
      <c r="A100" s="663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64"/>
      <c r="P100" s="660" t="s">
        <v>40</v>
      </c>
      <c r="Q100" s="661"/>
      <c r="R100" s="661"/>
      <c r="S100" s="661"/>
      <c r="T100" s="661"/>
      <c r="U100" s="661"/>
      <c r="V100" s="662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4"/>
      <c r="P101" s="660" t="s">
        <v>40</v>
      </c>
      <c r="Q101" s="661"/>
      <c r="R101" s="661"/>
      <c r="S101" s="661"/>
      <c r="T101" s="661"/>
      <c r="U101" s="661"/>
      <c r="V101" s="662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hidden="1" customHeight="1" x14ac:dyDescent="0.25">
      <c r="A102" s="665" t="s">
        <v>210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5"/>
      <c r="AB102" s="65"/>
      <c r="AC102" s="79"/>
    </row>
    <row r="103" spans="1:68" ht="14.25" hidden="1" customHeight="1" x14ac:dyDescent="0.25">
      <c r="A103" s="666" t="s">
        <v>122</v>
      </c>
      <c r="B103" s="666"/>
      <c r="C103" s="666"/>
      <c r="D103" s="666"/>
      <c r="E103" s="666"/>
      <c r="F103" s="666"/>
      <c r="G103" s="666"/>
      <c r="H103" s="666"/>
      <c r="I103" s="666"/>
      <c r="J103" s="666"/>
      <c r="K103" s="666"/>
      <c r="L103" s="666"/>
      <c r="M103" s="666"/>
      <c r="N103" s="666"/>
      <c r="O103" s="666"/>
      <c r="P103" s="666"/>
      <c r="Q103" s="666"/>
      <c r="R103" s="666"/>
      <c r="S103" s="666"/>
      <c r="T103" s="666"/>
      <c r="U103" s="666"/>
      <c r="V103" s="666"/>
      <c r="W103" s="666"/>
      <c r="X103" s="666"/>
      <c r="Y103" s="666"/>
      <c r="Z103" s="666"/>
      <c r="AA103" s="66"/>
      <c r="AB103" s="66"/>
      <c r="AC103" s="80"/>
    </row>
    <row r="104" spans="1:68" ht="37.5" customHeight="1" x14ac:dyDescent="0.25">
      <c r="A104" s="63" t="s">
        <v>211</v>
      </c>
      <c r="B104" s="63" t="s">
        <v>212</v>
      </c>
      <c r="C104" s="36">
        <v>4301011514</v>
      </c>
      <c r="D104" s="667">
        <v>4680115882133</v>
      </c>
      <c r="E104" s="66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9"/>
      <c r="R104" s="669"/>
      <c r="S104" s="669"/>
      <c r="T104" s="670"/>
      <c r="U104" s="39" t="s">
        <v>46</v>
      </c>
      <c r="V104" s="39" t="s">
        <v>46</v>
      </c>
      <c r="W104" s="40" t="s">
        <v>0</v>
      </c>
      <c r="X104" s="58">
        <v>20</v>
      </c>
      <c r="Y104" s="55">
        <f t="shared" ref="Y104:Y112" si="10">IFERROR(IF(X104="",0,CEILING((X104/$H104),1)*$H104),"")</f>
        <v>21.6</v>
      </c>
      <c r="Z104" s="41">
        <f>IFERROR(IF(Y104=0,"",ROUNDUP(Y104/H104,0)*0.01898),"")</f>
        <v>3.7960000000000001E-2</v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20.75925925925926</v>
      </c>
      <c r="BN104" s="78">
        <f t="shared" ref="BN104:BN112" si="12">IFERROR(Y104*I104/H104,"0")</f>
        <v>22.42</v>
      </c>
      <c r="BO104" s="78">
        <f t="shared" ref="BO104:BO112" si="13">IFERROR(1/J104*(X104/H104),"0")</f>
        <v>2.8935185185185182E-2</v>
      </c>
      <c r="BP104" s="78">
        <f t="shared" ref="BP104:BP112" si="14">IFERROR(1/J104*(Y104/H104),"0")</f>
        <v>3.125E-2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667">
        <v>4680115882133</v>
      </c>
      <c r="E105" s="66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91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9"/>
      <c r="R105" s="669"/>
      <c r="S105" s="669"/>
      <c r="T105" s="67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667">
        <v>4680115887718</v>
      </c>
      <c r="E106" s="66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9"/>
      <c r="R106" s="669"/>
      <c r="S106" s="669"/>
      <c r="T106" s="67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4301011417</v>
      </c>
      <c r="D107" s="667">
        <v>4680115880269</v>
      </c>
      <c r="E107" s="66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9"/>
      <c r="R107" s="669"/>
      <c r="S107" s="669"/>
      <c r="T107" s="670"/>
      <c r="U107" s="39" t="s">
        <v>46</v>
      </c>
      <c r="V107" s="39" t="s">
        <v>46</v>
      </c>
      <c r="W107" s="40" t="s">
        <v>0</v>
      </c>
      <c r="X107" s="58">
        <v>7.5</v>
      </c>
      <c r="Y107" s="55">
        <f t="shared" si="10"/>
        <v>7.5</v>
      </c>
      <c r="Z107" s="41">
        <f>IFERROR(IF(Y107=0,"",ROUNDUP(Y107/H107,0)*0.00902),"")</f>
        <v>1.804E-2</v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7.88</v>
      </c>
      <c r="BN107" s="78">
        <f t="shared" si="12"/>
        <v>7.88</v>
      </c>
      <c r="BO107" s="78">
        <f t="shared" si="13"/>
        <v>1.5151515151515152E-2</v>
      </c>
      <c r="BP107" s="78">
        <f t="shared" si="14"/>
        <v>1.5151515151515152E-2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667">
        <v>4680115880269</v>
      </c>
      <c r="E108" s="66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1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9"/>
      <c r="R108" s="669"/>
      <c r="S108" s="669"/>
      <c r="T108" s="67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222</v>
      </c>
      <c r="B109" s="63" t="s">
        <v>223</v>
      </c>
      <c r="C109" s="36">
        <v>4301012254</v>
      </c>
      <c r="D109" s="667">
        <v>4680115880429</v>
      </c>
      <c r="E109" s="66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1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9"/>
      <c r="R109" s="669"/>
      <c r="S109" s="669"/>
      <c r="T109" s="67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7">
        <v>4680115881457</v>
      </c>
      <c r="E110" s="66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9"/>
      <c r="R110" s="669"/>
      <c r="S110" s="669"/>
      <c r="T110" s="67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667">
        <v>4680115881457</v>
      </c>
      <c r="E111" s="66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9"/>
      <c r="R111" s="669"/>
      <c r="S111" s="669"/>
      <c r="T111" s="67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667">
        <v>4680115889477</v>
      </c>
      <c r="E112" s="66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90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9"/>
      <c r="R112" s="669"/>
      <c r="S112" s="669"/>
      <c r="T112" s="67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63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4"/>
      <c r="P113" s="660" t="s">
        <v>40</v>
      </c>
      <c r="Q113" s="661"/>
      <c r="R113" s="661"/>
      <c r="S113" s="661"/>
      <c r="T113" s="661"/>
      <c r="U113" s="661"/>
      <c r="V113" s="66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3.8518518518518516</v>
      </c>
      <c r="Y113" s="43">
        <f>IFERROR(Y104/H104,"0")+IFERROR(Y105/H105,"0")+IFERROR(Y106/H106,"0")+IFERROR(Y107/H107,"0")+IFERROR(Y108/H108,"0")+IFERROR(Y109/H109,"0")+IFERROR(Y110/H110,"0")+IFERROR(Y111/H111,"0")+IFERROR(Y112/H112,"0")</f>
        <v>4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5.6000000000000001E-2</v>
      </c>
      <c r="AA113" s="67"/>
      <c r="AB113" s="67"/>
      <c r="AC113" s="67"/>
    </row>
    <row r="114" spans="1:68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4"/>
      <c r="P114" s="660" t="s">
        <v>40</v>
      </c>
      <c r="Q114" s="661"/>
      <c r="R114" s="661"/>
      <c r="S114" s="661"/>
      <c r="T114" s="661"/>
      <c r="U114" s="661"/>
      <c r="V114" s="662"/>
      <c r="W114" s="42" t="s">
        <v>0</v>
      </c>
      <c r="X114" s="43">
        <f>IFERROR(SUM(X104:X112),"0")</f>
        <v>27.5</v>
      </c>
      <c r="Y114" s="43">
        <f>IFERROR(SUM(Y104:Y112),"0")</f>
        <v>29.1</v>
      </c>
      <c r="Z114" s="42"/>
      <c r="AA114" s="67"/>
      <c r="AB114" s="67"/>
      <c r="AC114" s="67"/>
    </row>
    <row r="115" spans="1:68" ht="14.25" hidden="1" customHeight="1" x14ac:dyDescent="0.25">
      <c r="A115" s="666" t="s">
        <v>159</v>
      </c>
      <c r="B115" s="666"/>
      <c r="C115" s="666"/>
      <c r="D115" s="666"/>
      <c r="E115" s="666"/>
      <c r="F115" s="666"/>
      <c r="G115" s="666"/>
      <c r="H115" s="666"/>
      <c r="I115" s="666"/>
      <c r="J115" s="666"/>
      <c r="K115" s="666"/>
      <c r="L115" s="666"/>
      <c r="M115" s="666"/>
      <c r="N115" s="666"/>
      <c r="O115" s="666"/>
      <c r="P115" s="666"/>
      <c r="Q115" s="666"/>
      <c r="R115" s="666"/>
      <c r="S115" s="666"/>
      <c r="T115" s="666"/>
      <c r="U115" s="666"/>
      <c r="V115" s="666"/>
      <c r="W115" s="666"/>
      <c r="X115" s="666"/>
      <c r="Y115" s="666"/>
      <c r="Z115" s="666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667">
        <v>4680115881488</v>
      </c>
      <c r="E116" s="66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90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9"/>
      <c r="R116" s="669"/>
      <c r="S116" s="669"/>
      <c r="T116" s="67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667">
        <v>4680115882775</v>
      </c>
      <c r="E117" s="66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9"/>
      <c r="R117" s="669"/>
      <c r="S117" s="669"/>
      <c r="T117" s="67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667">
        <v>4680115880658</v>
      </c>
      <c r="E118" s="66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9"/>
      <c r="R118" s="669"/>
      <c r="S118" s="669"/>
      <c r="T118" s="67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3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4"/>
      <c r="P119" s="660" t="s">
        <v>40</v>
      </c>
      <c r="Q119" s="661"/>
      <c r="R119" s="661"/>
      <c r="S119" s="661"/>
      <c r="T119" s="661"/>
      <c r="U119" s="661"/>
      <c r="V119" s="662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4"/>
      <c r="P120" s="660" t="s">
        <v>40</v>
      </c>
      <c r="Q120" s="661"/>
      <c r="R120" s="661"/>
      <c r="S120" s="661"/>
      <c r="T120" s="661"/>
      <c r="U120" s="661"/>
      <c r="V120" s="662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6" t="s">
        <v>86</v>
      </c>
      <c r="B121" s="666"/>
      <c r="C121" s="666"/>
      <c r="D121" s="666"/>
      <c r="E121" s="666"/>
      <c r="F121" s="666"/>
      <c r="G121" s="666"/>
      <c r="H121" s="666"/>
      <c r="I121" s="666"/>
      <c r="J121" s="666"/>
      <c r="K121" s="666"/>
      <c r="L121" s="666"/>
      <c r="M121" s="666"/>
      <c r="N121" s="666"/>
      <c r="O121" s="666"/>
      <c r="P121" s="666"/>
      <c r="Q121" s="666"/>
      <c r="R121" s="666"/>
      <c r="S121" s="666"/>
      <c r="T121" s="666"/>
      <c r="U121" s="666"/>
      <c r="V121" s="666"/>
      <c r="W121" s="666"/>
      <c r="X121" s="666"/>
      <c r="Y121" s="666"/>
      <c r="Z121" s="666"/>
      <c r="AA121" s="66"/>
      <c r="AB121" s="66"/>
      <c r="AC121" s="80"/>
    </row>
    <row r="122" spans="1:68" ht="27" hidden="1" customHeight="1" x14ac:dyDescent="0.25">
      <c r="A122" s="63" t="s">
        <v>237</v>
      </c>
      <c r="B122" s="63" t="s">
        <v>238</v>
      </c>
      <c r="C122" s="36">
        <v>4301052088</v>
      </c>
      <c r="D122" s="667">
        <v>4607091385168</v>
      </c>
      <c r="E122" s="66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9"/>
      <c r="R122" s="669"/>
      <c r="S122" s="669"/>
      <c r="T122" s="67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667">
        <v>4607091383256</v>
      </c>
      <c r="E123" s="66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9"/>
      <c r="R123" s="669"/>
      <c r="S123" s="669"/>
      <c r="T123" s="67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242</v>
      </c>
      <c r="B124" s="63" t="s">
        <v>243</v>
      </c>
      <c r="C124" s="36">
        <v>4301052086</v>
      </c>
      <c r="D124" s="667">
        <v>4607091385748</v>
      </c>
      <c r="E124" s="66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90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9"/>
      <c r="R124" s="669"/>
      <c r="S124" s="669"/>
      <c r="T124" s="67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667">
        <v>4680115884533</v>
      </c>
      <c r="E125" s="66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90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9"/>
      <c r="R125" s="669"/>
      <c r="S125" s="669"/>
      <c r="T125" s="67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63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4"/>
      <c r="P126" s="660" t="s">
        <v>40</v>
      </c>
      <c r="Q126" s="661"/>
      <c r="R126" s="661"/>
      <c r="S126" s="661"/>
      <c r="T126" s="661"/>
      <c r="U126" s="661"/>
      <c r="V126" s="662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4"/>
      <c r="P127" s="660" t="s">
        <v>40</v>
      </c>
      <c r="Q127" s="661"/>
      <c r="R127" s="661"/>
      <c r="S127" s="661"/>
      <c r="T127" s="661"/>
      <c r="U127" s="661"/>
      <c r="V127" s="662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666" t="s">
        <v>178</v>
      </c>
      <c r="B128" s="666"/>
      <c r="C128" s="666"/>
      <c r="D128" s="666"/>
      <c r="E128" s="666"/>
      <c r="F128" s="666"/>
      <c r="G128" s="666"/>
      <c r="H128" s="666"/>
      <c r="I128" s="666"/>
      <c r="J128" s="666"/>
      <c r="K128" s="666"/>
      <c r="L128" s="666"/>
      <c r="M128" s="666"/>
      <c r="N128" s="666"/>
      <c r="O128" s="666"/>
      <c r="P128" s="666"/>
      <c r="Q128" s="666"/>
      <c r="R128" s="666"/>
      <c r="S128" s="666"/>
      <c r="T128" s="666"/>
      <c r="U128" s="666"/>
      <c r="V128" s="666"/>
      <c r="W128" s="666"/>
      <c r="X128" s="666"/>
      <c r="Y128" s="666"/>
      <c r="Z128" s="666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667">
        <v>4680115880238</v>
      </c>
      <c r="E129" s="66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90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9"/>
      <c r="R129" s="669"/>
      <c r="S129" s="669"/>
      <c r="T129" s="67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63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4"/>
      <c r="P130" s="660" t="s">
        <v>40</v>
      </c>
      <c r="Q130" s="661"/>
      <c r="R130" s="661"/>
      <c r="S130" s="661"/>
      <c r="T130" s="661"/>
      <c r="U130" s="661"/>
      <c r="V130" s="662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4"/>
      <c r="P131" s="660" t="s">
        <v>40</v>
      </c>
      <c r="Q131" s="661"/>
      <c r="R131" s="661"/>
      <c r="S131" s="661"/>
      <c r="T131" s="661"/>
      <c r="U131" s="661"/>
      <c r="V131" s="662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65" t="s">
        <v>250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5"/>
      <c r="AB132" s="65"/>
      <c r="AC132" s="79"/>
    </row>
    <row r="133" spans="1:68" ht="14.25" hidden="1" customHeight="1" x14ac:dyDescent="0.25">
      <c r="A133" s="666" t="s">
        <v>122</v>
      </c>
      <c r="B133" s="666"/>
      <c r="C133" s="666"/>
      <c r="D133" s="666"/>
      <c r="E133" s="666"/>
      <c r="F133" s="666"/>
      <c r="G133" s="666"/>
      <c r="H133" s="666"/>
      <c r="I133" s="666"/>
      <c r="J133" s="666"/>
      <c r="K133" s="666"/>
      <c r="L133" s="666"/>
      <c r="M133" s="666"/>
      <c r="N133" s="666"/>
      <c r="O133" s="666"/>
      <c r="P133" s="666"/>
      <c r="Q133" s="666"/>
      <c r="R133" s="666"/>
      <c r="S133" s="666"/>
      <c r="T133" s="666"/>
      <c r="U133" s="666"/>
      <c r="V133" s="666"/>
      <c r="W133" s="666"/>
      <c r="X133" s="666"/>
      <c r="Y133" s="666"/>
      <c r="Z133" s="666"/>
      <c r="AA133" s="66"/>
      <c r="AB133" s="66"/>
      <c r="AC133" s="80"/>
    </row>
    <row r="134" spans="1:68" ht="27" customHeight="1" x14ac:dyDescent="0.25">
      <c r="A134" s="63" t="s">
        <v>251</v>
      </c>
      <c r="B134" s="63" t="s">
        <v>252</v>
      </c>
      <c r="C134" s="36">
        <v>4301011562</v>
      </c>
      <c r="D134" s="667">
        <v>4680115882577</v>
      </c>
      <c r="E134" s="66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8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9"/>
      <c r="R134" s="669"/>
      <c r="S134" s="669"/>
      <c r="T134" s="670"/>
      <c r="U134" s="39" t="s">
        <v>46</v>
      </c>
      <c r="V134" s="39" t="s">
        <v>46</v>
      </c>
      <c r="W134" s="40" t="s">
        <v>0</v>
      </c>
      <c r="X134" s="58">
        <v>6.4</v>
      </c>
      <c r="Y134" s="55">
        <f>IFERROR(IF(X134="",0,CEILING((X134/$H134),1)*$H134),"")</f>
        <v>6.4</v>
      </c>
      <c r="Z134" s="41">
        <f>IFERROR(IF(Y134=0,"",ROUNDUP(Y134/H134,0)*0.00651),"")</f>
        <v>1.302E-2</v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6.76</v>
      </c>
      <c r="BN134" s="78">
        <f>IFERROR(Y134*I134/H134,"0")</f>
        <v>6.76</v>
      </c>
      <c r="BO134" s="78">
        <f>IFERROR(1/J134*(X134/H134),"0")</f>
        <v>1.098901098901099E-2</v>
      </c>
      <c r="BP134" s="78">
        <f>IFERROR(1/J134*(Y134/H134),"0")</f>
        <v>1.098901098901099E-2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667">
        <v>4680115882577</v>
      </c>
      <c r="E135" s="66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8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9"/>
      <c r="R135" s="669"/>
      <c r="S135" s="669"/>
      <c r="T135" s="67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63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4"/>
      <c r="P136" s="660" t="s">
        <v>40</v>
      </c>
      <c r="Q136" s="661"/>
      <c r="R136" s="661"/>
      <c r="S136" s="661"/>
      <c r="T136" s="661"/>
      <c r="U136" s="661"/>
      <c r="V136" s="662"/>
      <c r="W136" s="42" t="s">
        <v>39</v>
      </c>
      <c r="X136" s="43">
        <f>IFERROR(X134/H134,"0")+IFERROR(X135/H135,"0")</f>
        <v>2</v>
      </c>
      <c r="Y136" s="43">
        <f>IFERROR(Y134/H134,"0")+IFERROR(Y135/H135,"0")</f>
        <v>2</v>
      </c>
      <c r="Z136" s="43">
        <f>IFERROR(IF(Z134="",0,Z134),"0")+IFERROR(IF(Z135="",0,Z135),"0")</f>
        <v>1.302E-2</v>
      </c>
      <c r="AA136" s="67"/>
      <c r="AB136" s="67"/>
      <c r="AC136" s="67"/>
    </row>
    <row r="137" spans="1:68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4"/>
      <c r="P137" s="660" t="s">
        <v>40</v>
      </c>
      <c r="Q137" s="661"/>
      <c r="R137" s="661"/>
      <c r="S137" s="661"/>
      <c r="T137" s="661"/>
      <c r="U137" s="661"/>
      <c r="V137" s="662"/>
      <c r="W137" s="42" t="s">
        <v>0</v>
      </c>
      <c r="X137" s="43">
        <f>IFERROR(SUM(X134:X135),"0")</f>
        <v>6.4</v>
      </c>
      <c r="Y137" s="43">
        <f>IFERROR(SUM(Y134:Y135),"0")</f>
        <v>6.4</v>
      </c>
      <c r="Z137" s="42"/>
      <c r="AA137" s="67"/>
      <c r="AB137" s="67"/>
      <c r="AC137" s="67"/>
    </row>
    <row r="138" spans="1:68" ht="14.25" hidden="1" customHeight="1" x14ac:dyDescent="0.25">
      <c r="A138" s="666" t="s">
        <v>77</v>
      </c>
      <c r="B138" s="666"/>
      <c r="C138" s="666"/>
      <c r="D138" s="666"/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6"/>
      <c r="AB138" s="66"/>
      <c r="AC138" s="80"/>
    </row>
    <row r="139" spans="1:68" ht="27" hidden="1" customHeight="1" x14ac:dyDescent="0.25">
      <c r="A139" s="63" t="s">
        <v>256</v>
      </c>
      <c r="B139" s="63" t="s">
        <v>257</v>
      </c>
      <c r="C139" s="36">
        <v>4301031234</v>
      </c>
      <c r="D139" s="667">
        <v>4680115883444</v>
      </c>
      <c r="E139" s="66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9"/>
      <c r="R139" s="669"/>
      <c r="S139" s="669"/>
      <c r="T139" s="67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667">
        <v>4680115883444</v>
      </c>
      <c r="E140" s="66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9"/>
      <c r="R140" s="669"/>
      <c r="S140" s="669"/>
      <c r="T140" s="67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63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4"/>
      <c r="P141" s="660" t="s">
        <v>40</v>
      </c>
      <c r="Q141" s="661"/>
      <c r="R141" s="661"/>
      <c r="S141" s="661"/>
      <c r="T141" s="661"/>
      <c r="U141" s="661"/>
      <c r="V141" s="662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4"/>
      <c r="P142" s="660" t="s">
        <v>40</v>
      </c>
      <c r="Q142" s="661"/>
      <c r="R142" s="661"/>
      <c r="S142" s="661"/>
      <c r="T142" s="661"/>
      <c r="U142" s="661"/>
      <c r="V142" s="662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66" t="s">
        <v>86</v>
      </c>
      <c r="B143" s="666"/>
      <c r="C143" s="666"/>
      <c r="D143" s="666"/>
      <c r="E143" s="666"/>
      <c r="F143" s="666"/>
      <c r="G143" s="666"/>
      <c r="H143" s="666"/>
      <c r="I143" s="666"/>
      <c r="J143" s="666"/>
      <c r="K143" s="666"/>
      <c r="L143" s="666"/>
      <c r="M143" s="666"/>
      <c r="N143" s="666"/>
      <c r="O143" s="666"/>
      <c r="P143" s="666"/>
      <c r="Q143" s="666"/>
      <c r="R143" s="666"/>
      <c r="S143" s="666"/>
      <c r="T143" s="666"/>
      <c r="U143" s="666"/>
      <c r="V143" s="666"/>
      <c r="W143" s="666"/>
      <c r="X143" s="666"/>
      <c r="Y143" s="666"/>
      <c r="Z143" s="666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667">
        <v>4680115882584</v>
      </c>
      <c r="E144" s="66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9"/>
      <c r="R144" s="669"/>
      <c r="S144" s="669"/>
      <c r="T144" s="67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667">
        <v>4680115882584</v>
      </c>
      <c r="E145" s="66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9"/>
      <c r="R145" s="669"/>
      <c r="S145" s="669"/>
      <c r="T145" s="67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63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4"/>
      <c r="P146" s="660" t="s">
        <v>40</v>
      </c>
      <c r="Q146" s="661"/>
      <c r="R146" s="661"/>
      <c r="S146" s="661"/>
      <c r="T146" s="661"/>
      <c r="U146" s="661"/>
      <c r="V146" s="66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4"/>
      <c r="P147" s="660" t="s">
        <v>40</v>
      </c>
      <c r="Q147" s="661"/>
      <c r="R147" s="661"/>
      <c r="S147" s="661"/>
      <c r="T147" s="661"/>
      <c r="U147" s="661"/>
      <c r="V147" s="66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65" t="s">
        <v>263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5"/>
      <c r="AB148" s="65"/>
      <c r="AC148" s="79"/>
    </row>
    <row r="149" spans="1:68" ht="14.25" hidden="1" customHeight="1" x14ac:dyDescent="0.25">
      <c r="A149" s="666" t="s">
        <v>86</v>
      </c>
      <c r="B149" s="666"/>
      <c r="C149" s="666"/>
      <c r="D149" s="666"/>
      <c r="E149" s="666"/>
      <c r="F149" s="666"/>
      <c r="G149" s="666"/>
      <c r="H149" s="666"/>
      <c r="I149" s="666"/>
      <c r="J149" s="666"/>
      <c r="K149" s="666"/>
      <c r="L149" s="666"/>
      <c r="M149" s="666"/>
      <c r="N149" s="666"/>
      <c r="O149" s="666"/>
      <c r="P149" s="666"/>
      <c r="Q149" s="666"/>
      <c r="R149" s="666"/>
      <c r="S149" s="666"/>
      <c r="T149" s="666"/>
      <c r="U149" s="666"/>
      <c r="V149" s="666"/>
      <c r="W149" s="666"/>
      <c r="X149" s="666"/>
      <c r="Y149" s="666"/>
      <c r="Z149" s="666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667">
        <v>4680115888203</v>
      </c>
      <c r="E150" s="66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9"/>
      <c r="R150" s="669"/>
      <c r="S150" s="669"/>
      <c r="T150" s="67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667">
        <v>4680115888180</v>
      </c>
      <c r="E151" s="66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9"/>
      <c r="R151" s="669"/>
      <c r="S151" s="669"/>
      <c r="T151" s="67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667">
        <v>4680115888180</v>
      </c>
      <c r="E152" s="66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9"/>
      <c r="R152" s="669"/>
      <c r="S152" s="669"/>
      <c r="T152" s="67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667">
        <v>4680115888197</v>
      </c>
      <c r="E153" s="66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9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9"/>
      <c r="R153" s="669"/>
      <c r="S153" s="669"/>
      <c r="T153" s="67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667">
        <v>4680115888210</v>
      </c>
      <c r="E154" s="66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9"/>
      <c r="R154" s="669"/>
      <c r="S154" s="669"/>
      <c r="T154" s="67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667">
        <v>4680115888210</v>
      </c>
      <c r="E155" s="66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9"/>
      <c r="R155" s="669"/>
      <c r="S155" s="669"/>
      <c r="T155" s="67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663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4"/>
      <c r="P156" s="660" t="s">
        <v>40</v>
      </c>
      <c r="Q156" s="661"/>
      <c r="R156" s="661"/>
      <c r="S156" s="661"/>
      <c r="T156" s="661"/>
      <c r="U156" s="661"/>
      <c r="V156" s="662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4"/>
      <c r="P157" s="660" t="s">
        <v>40</v>
      </c>
      <c r="Q157" s="661"/>
      <c r="R157" s="661"/>
      <c r="S157" s="661"/>
      <c r="T157" s="661"/>
      <c r="U157" s="661"/>
      <c r="V157" s="662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6" t="s">
        <v>278</v>
      </c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667">
        <v>4680115889132</v>
      </c>
      <c r="E159" s="66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8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9"/>
      <c r="R159" s="669"/>
      <c r="S159" s="669"/>
      <c r="T159" s="67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63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4"/>
      <c r="P160" s="660" t="s">
        <v>40</v>
      </c>
      <c r="Q160" s="661"/>
      <c r="R160" s="661"/>
      <c r="S160" s="661"/>
      <c r="T160" s="661"/>
      <c r="U160" s="661"/>
      <c r="V160" s="66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4"/>
      <c r="P161" s="660" t="s">
        <v>40</v>
      </c>
      <c r="Q161" s="661"/>
      <c r="R161" s="661"/>
      <c r="S161" s="661"/>
      <c r="T161" s="661"/>
      <c r="U161" s="661"/>
      <c r="V161" s="66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5" t="s">
        <v>120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5"/>
      <c r="AB162" s="65"/>
      <c r="AC162" s="79"/>
    </row>
    <row r="163" spans="1:68" ht="14.25" hidden="1" customHeight="1" x14ac:dyDescent="0.25">
      <c r="A163" s="666" t="s">
        <v>122</v>
      </c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667">
        <v>4680115887374</v>
      </c>
      <c r="E164" s="66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8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9"/>
      <c r="R164" s="669"/>
      <c r="S164" s="669"/>
      <c r="T164" s="67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667">
        <v>4607091384604</v>
      </c>
      <c r="E165" s="66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9"/>
      <c r="R165" s="669"/>
      <c r="S165" s="669"/>
      <c r="T165" s="67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667">
        <v>4607091384604</v>
      </c>
      <c r="E166" s="66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8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9"/>
      <c r="R166" s="669"/>
      <c r="S166" s="669"/>
      <c r="T166" s="67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667">
        <v>4680115888876</v>
      </c>
      <c r="E167" s="66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8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9"/>
      <c r="R167" s="669"/>
      <c r="S167" s="669"/>
      <c r="T167" s="67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63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4"/>
      <c r="P168" s="660" t="s">
        <v>40</v>
      </c>
      <c r="Q168" s="661"/>
      <c r="R168" s="661"/>
      <c r="S168" s="661"/>
      <c r="T168" s="661"/>
      <c r="U168" s="661"/>
      <c r="V168" s="662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4"/>
      <c r="P169" s="660" t="s">
        <v>40</v>
      </c>
      <c r="Q169" s="661"/>
      <c r="R169" s="661"/>
      <c r="S169" s="661"/>
      <c r="T169" s="661"/>
      <c r="U169" s="661"/>
      <c r="V169" s="662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66" t="s">
        <v>159</v>
      </c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667">
        <v>4680115887695</v>
      </c>
      <c r="E171" s="66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8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9"/>
      <c r="R171" s="669"/>
      <c r="S171" s="669"/>
      <c r="T171" s="67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667">
        <v>4680115889491</v>
      </c>
      <c r="E172" s="66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8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9"/>
      <c r="R172" s="669"/>
      <c r="S172" s="669"/>
      <c r="T172" s="67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63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4"/>
      <c r="P173" s="660" t="s">
        <v>40</v>
      </c>
      <c r="Q173" s="661"/>
      <c r="R173" s="661"/>
      <c r="S173" s="661"/>
      <c r="T173" s="661"/>
      <c r="U173" s="661"/>
      <c r="V173" s="662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4"/>
      <c r="P174" s="660" t="s">
        <v>40</v>
      </c>
      <c r="Q174" s="661"/>
      <c r="R174" s="661"/>
      <c r="S174" s="661"/>
      <c r="T174" s="661"/>
      <c r="U174" s="661"/>
      <c r="V174" s="662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66" t="s">
        <v>77</v>
      </c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"/>
      <c r="AB175" s="66"/>
      <c r="AC175" s="80"/>
    </row>
    <row r="176" spans="1:68" ht="27" hidden="1" customHeight="1" x14ac:dyDescent="0.25">
      <c r="A176" s="63" t="s">
        <v>301</v>
      </c>
      <c r="B176" s="63" t="s">
        <v>302</v>
      </c>
      <c r="C176" s="36">
        <v>4301031496</v>
      </c>
      <c r="D176" s="667">
        <v>4680115887428</v>
      </c>
      <c r="E176" s="66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9"/>
      <c r="R176" s="669"/>
      <c r="S176" s="669"/>
      <c r="T176" s="67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customHeight="1" x14ac:dyDescent="0.25">
      <c r="A177" s="63" t="s">
        <v>304</v>
      </c>
      <c r="B177" s="63" t="s">
        <v>305</v>
      </c>
      <c r="C177" s="36">
        <v>4301031509</v>
      </c>
      <c r="D177" s="667">
        <v>4680115889170</v>
      </c>
      <c r="E177" s="66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9"/>
      <c r="R177" s="669"/>
      <c r="S177" s="669"/>
      <c r="T177" s="670"/>
      <c r="U177" s="39" t="s">
        <v>46</v>
      </c>
      <c r="V177" s="39" t="s">
        <v>46</v>
      </c>
      <c r="W177" s="40" t="s">
        <v>0</v>
      </c>
      <c r="X177" s="58">
        <v>8</v>
      </c>
      <c r="Y177" s="55">
        <f t="shared" si="21"/>
        <v>10.5</v>
      </c>
      <c r="Z177" s="41">
        <f>IFERROR(IF(Y177=0,"",ROUNDUP(Y177/H177,0)*0.00902),"")</f>
        <v>2.7060000000000001E-2</v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8.6057142857142868</v>
      </c>
      <c r="BN177" s="78">
        <f t="shared" si="23"/>
        <v>11.295</v>
      </c>
      <c r="BO177" s="78">
        <f t="shared" si="24"/>
        <v>1.7316017316017316E-2</v>
      </c>
      <c r="BP177" s="78">
        <f t="shared" si="25"/>
        <v>2.2727272727272728E-2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667">
        <v>4680115887398</v>
      </c>
      <c r="E178" s="66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7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9"/>
      <c r="R178" s="669"/>
      <c r="S178" s="669"/>
      <c r="T178" s="67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4301031520</v>
      </c>
      <c r="D179" s="667">
        <v>4680115887336</v>
      </c>
      <c r="E179" s="66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7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9"/>
      <c r="R179" s="669"/>
      <c r="S179" s="669"/>
      <c r="T179" s="67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667">
        <v>4680115887787</v>
      </c>
      <c r="E180" s="66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7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9"/>
      <c r="R180" s="669"/>
      <c r="S180" s="669"/>
      <c r="T180" s="67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667">
        <v>4680115887787</v>
      </c>
      <c r="E181" s="66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7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9"/>
      <c r="R181" s="669"/>
      <c r="S181" s="669"/>
      <c r="T181" s="67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667">
        <v>4680115887503</v>
      </c>
      <c r="E182" s="66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9"/>
      <c r="R182" s="669"/>
      <c r="S182" s="669"/>
      <c r="T182" s="67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667">
        <v>4680115887763</v>
      </c>
      <c r="E183" s="66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9"/>
      <c r="R183" s="669"/>
      <c r="S183" s="669"/>
      <c r="T183" s="67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667">
        <v>4680115887480</v>
      </c>
      <c r="E184" s="66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9"/>
      <c r="R184" s="669"/>
      <c r="S184" s="669"/>
      <c r="T184" s="67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667">
        <v>4680115888067</v>
      </c>
      <c r="E185" s="66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9"/>
      <c r="R185" s="669"/>
      <c r="S185" s="669"/>
      <c r="T185" s="67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667">
        <v>4680115887435</v>
      </c>
      <c r="E186" s="66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9"/>
      <c r="R186" s="669"/>
      <c r="S186" s="669"/>
      <c r="T186" s="67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x14ac:dyDescent="0.2">
      <c r="A187" s="663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4"/>
      <c r="P187" s="660" t="s">
        <v>40</v>
      </c>
      <c r="Q187" s="661"/>
      <c r="R187" s="661"/>
      <c r="S187" s="661"/>
      <c r="T187" s="661"/>
      <c r="U187" s="661"/>
      <c r="V187" s="662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2.2857142857142856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3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2.7060000000000001E-2</v>
      </c>
      <c r="AA187" s="67"/>
      <c r="AB187" s="67"/>
      <c r="AC187" s="67"/>
    </row>
    <row r="188" spans="1:68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4"/>
      <c r="P188" s="660" t="s">
        <v>40</v>
      </c>
      <c r="Q188" s="661"/>
      <c r="R188" s="661"/>
      <c r="S188" s="661"/>
      <c r="T188" s="661"/>
      <c r="U188" s="661"/>
      <c r="V188" s="662"/>
      <c r="W188" s="42" t="s">
        <v>0</v>
      </c>
      <c r="X188" s="43">
        <f>IFERROR(SUM(X176:X186),"0")</f>
        <v>8</v>
      </c>
      <c r="Y188" s="43">
        <f>IFERROR(SUM(Y176:Y186),"0")</f>
        <v>10.5</v>
      </c>
      <c r="Z188" s="42"/>
      <c r="AA188" s="67"/>
      <c r="AB188" s="67"/>
      <c r="AC188" s="67"/>
    </row>
    <row r="189" spans="1:68" ht="14.25" hidden="1" customHeight="1" x14ac:dyDescent="0.25">
      <c r="A189" s="666" t="s">
        <v>86</v>
      </c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667">
        <v>4680115888395</v>
      </c>
      <c r="E190" s="66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9"/>
      <c r="R190" s="669"/>
      <c r="S190" s="669"/>
      <c r="T190" s="67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667">
        <v>4680115888371</v>
      </c>
      <c r="E191" s="66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6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9"/>
      <c r="R191" s="669"/>
      <c r="S191" s="669"/>
      <c r="T191" s="67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667">
        <v>4680115887459</v>
      </c>
      <c r="E192" s="66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9"/>
      <c r="R192" s="669"/>
      <c r="S192" s="669"/>
      <c r="T192" s="67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63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4"/>
      <c r="P193" s="660" t="s">
        <v>40</v>
      </c>
      <c r="Q193" s="661"/>
      <c r="R193" s="661"/>
      <c r="S193" s="661"/>
      <c r="T193" s="661"/>
      <c r="U193" s="661"/>
      <c r="V193" s="662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4"/>
      <c r="P194" s="660" t="s">
        <v>40</v>
      </c>
      <c r="Q194" s="661"/>
      <c r="R194" s="661"/>
      <c r="S194" s="661"/>
      <c r="T194" s="661"/>
      <c r="U194" s="661"/>
      <c r="V194" s="662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66" t="s">
        <v>278</v>
      </c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667">
        <v>4680115889026</v>
      </c>
      <c r="E196" s="66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9"/>
      <c r="R196" s="669"/>
      <c r="S196" s="669"/>
      <c r="T196" s="67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63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4"/>
      <c r="P197" s="660" t="s">
        <v>40</v>
      </c>
      <c r="Q197" s="661"/>
      <c r="R197" s="661"/>
      <c r="S197" s="661"/>
      <c r="T197" s="661"/>
      <c r="U197" s="661"/>
      <c r="V197" s="662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4"/>
      <c r="P198" s="660" t="s">
        <v>40</v>
      </c>
      <c r="Q198" s="661"/>
      <c r="R198" s="661"/>
      <c r="S198" s="661"/>
      <c r="T198" s="661"/>
      <c r="U198" s="661"/>
      <c r="V198" s="662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6" t="s">
        <v>342</v>
      </c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667">
        <v>4680115889033</v>
      </c>
      <c r="E200" s="66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9"/>
      <c r="R200" s="669"/>
      <c r="S200" s="669"/>
      <c r="T200" s="67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63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4"/>
      <c r="P201" s="660" t="s">
        <v>40</v>
      </c>
      <c r="Q201" s="661"/>
      <c r="R201" s="661"/>
      <c r="S201" s="661"/>
      <c r="T201" s="661"/>
      <c r="U201" s="661"/>
      <c r="V201" s="66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4"/>
      <c r="P202" s="660" t="s">
        <v>40</v>
      </c>
      <c r="Q202" s="661"/>
      <c r="R202" s="661"/>
      <c r="S202" s="661"/>
      <c r="T202" s="661"/>
      <c r="U202" s="661"/>
      <c r="V202" s="66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80" t="s">
        <v>346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54"/>
      <c r="AB203" s="54"/>
      <c r="AC203" s="54"/>
    </row>
    <row r="204" spans="1:68" ht="16.5" hidden="1" customHeight="1" x14ac:dyDescent="0.25">
      <c r="A204" s="665" t="s">
        <v>347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5"/>
      <c r="AB204" s="65"/>
      <c r="AC204" s="79"/>
    </row>
    <row r="205" spans="1:68" ht="14.25" hidden="1" customHeight="1" x14ac:dyDescent="0.25">
      <c r="A205" s="666" t="s">
        <v>122</v>
      </c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667">
        <v>4607091383423</v>
      </c>
      <c r="E206" s="66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6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9"/>
      <c r="R206" s="669"/>
      <c r="S206" s="669"/>
      <c r="T206" s="67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667">
        <v>4680115888760</v>
      </c>
      <c r="E207" s="66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9"/>
      <c r="R207" s="669"/>
      <c r="S207" s="669"/>
      <c r="T207" s="67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667">
        <v>4680115888807</v>
      </c>
      <c r="E208" s="66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9"/>
      <c r="R208" s="669"/>
      <c r="S208" s="669"/>
      <c r="T208" s="67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667">
        <v>4680115888852</v>
      </c>
      <c r="E209" s="66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9"/>
      <c r="R209" s="669"/>
      <c r="S209" s="669"/>
      <c r="T209" s="67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667">
        <v>4680115886957</v>
      </c>
      <c r="E210" s="66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9"/>
      <c r="R210" s="669"/>
      <c r="S210" s="669"/>
      <c r="T210" s="67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667">
        <v>4680115885660</v>
      </c>
      <c r="E211" s="66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6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9"/>
      <c r="R211" s="669"/>
      <c r="S211" s="669"/>
      <c r="T211" s="67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667">
        <v>4680115886773</v>
      </c>
      <c r="E212" s="66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9"/>
      <c r="R212" s="669"/>
      <c r="S212" s="669"/>
      <c r="T212" s="67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663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4"/>
      <c r="P213" s="660" t="s">
        <v>40</v>
      </c>
      <c r="Q213" s="661"/>
      <c r="R213" s="661"/>
      <c r="S213" s="661"/>
      <c r="T213" s="661"/>
      <c r="U213" s="661"/>
      <c r="V213" s="66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4"/>
      <c r="P214" s="660" t="s">
        <v>40</v>
      </c>
      <c r="Q214" s="661"/>
      <c r="R214" s="661"/>
      <c r="S214" s="661"/>
      <c r="T214" s="661"/>
      <c r="U214" s="661"/>
      <c r="V214" s="66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5" t="s">
        <v>368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5"/>
      <c r="AB215" s="65"/>
      <c r="AC215" s="79"/>
    </row>
    <row r="216" spans="1:68" ht="14.25" hidden="1" customHeight="1" x14ac:dyDescent="0.25">
      <c r="A216" s="666" t="s">
        <v>159</v>
      </c>
      <c r="B216" s="666"/>
      <c r="C216" s="666"/>
      <c r="D216" s="666"/>
      <c r="E216" s="666"/>
      <c r="F216" s="666"/>
      <c r="G216" s="666"/>
      <c r="H216" s="666"/>
      <c r="I216" s="666"/>
      <c r="J216" s="666"/>
      <c r="K216" s="666"/>
      <c r="L216" s="666"/>
      <c r="M216" s="666"/>
      <c r="N216" s="666"/>
      <c r="O216" s="666"/>
      <c r="P216" s="666"/>
      <c r="Q216" s="666"/>
      <c r="R216" s="666"/>
      <c r="S216" s="666"/>
      <c r="T216" s="666"/>
      <c r="U216" s="666"/>
      <c r="V216" s="666"/>
      <c r="W216" s="666"/>
      <c r="X216" s="666"/>
      <c r="Y216" s="666"/>
      <c r="Z216" s="666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667">
        <v>4680115886223</v>
      </c>
      <c r="E217" s="66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9"/>
      <c r="R217" s="669"/>
      <c r="S217" s="669"/>
      <c r="T217" s="67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63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4"/>
      <c r="P218" s="660" t="s">
        <v>40</v>
      </c>
      <c r="Q218" s="661"/>
      <c r="R218" s="661"/>
      <c r="S218" s="661"/>
      <c r="T218" s="661"/>
      <c r="U218" s="661"/>
      <c r="V218" s="66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4"/>
      <c r="P219" s="660" t="s">
        <v>40</v>
      </c>
      <c r="Q219" s="661"/>
      <c r="R219" s="661"/>
      <c r="S219" s="661"/>
      <c r="T219" s="661"/>
      <c r="U219" s="661"/>
      <c r="V219" s="66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6" t="s">
        <v>77</v>
      </c>
      <c r="B220" s="666"/>
      <c r="C220" s="666"/>
      <c r="D220" s="666"/>
      <c r="E220" s="666"/>
      <c r="F220" s="666"/>
      <c r="G220" s="666"/>
      <c r="H220" s="666"/>
      <c r="I220" s="666"/>
      <c r="J220" s="666"/>
      <c r="K220" s="666"/>
      <c r="L220" s="666"/>
      <c r="M220" s="666"/>
      <c r="N220" s="666"/>
      <c r="O220" s="666"/>
      <c r="P220" s="666"/>
      <c r="Q220" s="666"/>
      <c r="R220" s="666"/>
      <c r="S220" s="666"/>
      <c r="T220" s="666"/>
      <c r="U220" s="666"/>
      <c r="V220" s="666"/>
      <c r="W220" s="666"/>
      <c r="X220" s="666"/>
      <c r="Y220" s="666"/>
      <c r="Z220" s="666"/>
      <c r="AA220" s="66"/>
      <c r="AB220" s="66"/>
      <c r="AC220" s="80"/>
    </row>
    <row r="221" spans="1:68" ht="27" hidden="1" customHeight="1" x14ac:dyDescent="0.25">
      <c r="A221" s="63" t="s">
        <v>372</v>
      </c>
      <c r="B221" s="63" t="s">
        <v>373</v>
      </c>
      <c r="C221" s="36">
        <v>4301031191</v>
      </c>
      <c r="D221" s="667">
        <v>4680115880993</v>
      </c>
      <c r="E221" s="66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9"/>
      <c r="R221" s="669"/>
      <c r="S221" s="669"/>
      <c r="T221" s="67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667">
        <v>4680115881761</v>
      </c>
      <c r="E222" s="66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9"/>
      <c r="R222" s="669"/>
      <c r="S222" s="669"/>
      <c r="T222" s="67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378</v>
      </c>
      <c r="B223" s="63" t="s">
        <v>379</v>
      </c>
      <c r="C223" s="36">
        <v>4301031201</v>
      </c>
      <c r="D223" s="667">
        <v>4680115881563</v>
      </c>
      <c r="E223" s="66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9"/>
      <c r="R223" s="669"/>
      <c r="S223" s="669"/>
      <c r="T223" s="67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667">
        <v>4680115887565</v>
      </c>
      <c r="E224" s="66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9"/>
      <c r="R224" s="669"/>
      <c r="S224" s="669"/>
      <c r="T224" s="67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667">
        <v>4680115880986</v>
      </c>
      <c r="E225" s="66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9"/>
      <c r="R225" s="669"/>
      <c r="S225" s="669"/>
      <c r="T225" s="67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667">
        <v>4680115887213</v>
      </c>
      <c r="E226" s="66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9"/>
      <c r="R226" s="669"/>
      <c r="S226" s="669"/>
      <c r="T226" s="67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667">
        <v>4680115881785</v>
      </c>
      <c r="E227" s="66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9"/>
      <c r="R227" s="669"/>
      <c r="S227" s="669"/>
      <c r="T227" s="67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667">
        <v>4680115888432</v>
      </c>
      <c r="E228" s="66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9"/>
      <c r="R228" s="669"/>
      <c r="S228" s="669"/>
      <c r="T228" s="67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667">
        <v>4680115888104</v>
      </c>
      <c r="E229" s="66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9"/>
      <c r="R229" s="669"/>
      <c r="S229" s="669"/>
      <c r="T229" s="67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667">
        <v>4680115886537</v>
      </c>
      <c r="E230" s="66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9"/>
      <c r="R230" s="669"/>
      <c r="S230" s="669"/>
      <c r="T230" s="67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667">
        <v>4680115887596</v>
      </c>
      <c r="E231" s="66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9"/>
      <c r="R231" s="669"/>
      <c r="S231" s="669"/>
      <c r="T231" s="67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667">
        <v>4680115881679</v>
      </c>
      <c r="E232" s="66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9"/>
      <c r="R232" s="669"/>
      <c r="S232" s="669"/>
      <c r="T232" s="67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667">
        <v>4680115880191</v>
      </c>
      <c r="E233" s="66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9"/>
      <c r="R233" s="669"/>
      <c r="S233" s="669"/>
      <c r="T233" s="67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667">
        <v>4680115880191</v>
      </c>
      <c r="E234" s="66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4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9"/>
      <c r="R234" s="669"/>
      <c r="S234" s="669"/>
      <c r="T234" s="67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667">
        <v>4680115883963</v>
      </c>
      <c r="E235" s="66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9"/>
      <c r="R235" s="669"/>
      <c r="S235" s="669"/>
      <c r="T235" s="67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hidden="1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4"/>
      <c r="P236" s="660" t="s">
        <v>40</v>
      </c>
      <c r="Q236" s="661"/>
      <c r="R236" s="661"/>
      <c r="S236" s="661"/>
      <c r="T236" s="661"/>
      <c r="U236" s="661"/>
      <c r="V236" s="662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hidden="1" x14ac:dyDescent="0.2">
      <c r="A237" s="663"/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4"/>
      <c r="P237" s="660" t="s">
        <v>40</v>
      </c>
      <c r="Q237" s="661"/>
      <c r="R237" s="661"/>
      <c r="S237" s="661"/>
      <c r="T237" s="661"/>
      <c r="U237" s="661"/>
      <c r="V237" s="662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hidden="1" customHeight="1" x14ac:dyDescent="0.25">
      <c r="A238" s="666" t="s">
        <v>86</v>
      </c>
      <c r="B238" s="666"/>
      <c r="C238" s="666"/>
      <c r="D238" s="666"/>
      <c r="E238" s="666"/>
      <c r="F238" s="666"/>
      <c r="G238" s="666"/>
      <c r="H238" s="666"/>
      <c r="I238" s="666"/>
      <c r="J238" s="666"/>
      <c r="K238" s="666"/>
      <c r="L238" s="666"/>
      <c r="M238" s="666"/>
      <c r="N238" s="666"/>
      <c r="O238" s="666"/>
      <c r="P238" s="666"/>
      <c r="Q238" s="666"/>
      <c r="R238" s="666"/>
      <c r="S238" s="666"/>
      <c r="T238" s="666"/>
      <c r="U238" s="666"/>
      <c r="V238" s="666"/>
      <c r="W238" s="666"/>
      <c r="X238" s="666"/>
      <c r="Y238" s="666"/>
      <c r="Z238" s="666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667">
        <v>4680115888692</v>
      </c>
      <c r="E239" s="66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9"/>
      <c r="R239" s="669"/>
      <c r="S239" s="669"/>
      <c r="T239" s="67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667">
        <v>4680115888692</v>
      </c>
      <c r="E240" s="66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9"/>
      <c r="R240" s="669"/>
      <c r="S240" s="669"/>
      <c r="T240" s="67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667">
        <v>4680115888722</v>
      </c>
      <c r="E241" s="66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9"/>
      <c r="R241" s="669"/>
      <c r="S241" s="669"/>
      <c r="T241" s="67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667">
        <v>4680115888722</v>
      </c>
      <c r="E242" s="66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9"/>
      <c r="R242" s="669"/>
      <c r="S242" s="669"/>
      <c r="T242" s="67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667">
        <v>4680115888951</v>
      </c>
      <c r="E243" s="66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9"/>
      <c r="R243" s="669"/>
      <c r="S243" s="669"/>
      <c r="T243" s="67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667">
        <v>4680115888951</v>
      </c>
      <c r="E244" s="66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3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9"/>
      <c r="R244" s="669"/>
      <c r="S244" s="669"/>
      <c r="T244" s="67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667">
        <v>4680115888975</v>
      </c>
      <c r="E245" s="66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9"/>
      <c r="R245" s="669"/>
      <c r="S245" s="669"/>
      <c r="T245" s="67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667">
        <v>4680115888982</v>
      </c>
      <c r="E246" s="66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9"/>
      <c r="R246" s="669"/>
      <c r="S246" s="669"/>
      <c r="T246" s="67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667">
        <v>4680115888982</v>
      </c>
      <c r="E247" s="66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2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9"/>
      <c r="R247" s="669"/>
      <c r="S247" s="669"/>
      <c r="T247" s="67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4"/>
      <c r="P248" s="660" t="s">
        <v>40</v>
      </c>
      <c r="Q248" s="661"/>
      <c r="R248" s="661"/>
      <c r="S248" s="661"/>
      <c r="T248" s="661"/>
      <c r="U248" s="661"/>
      <c r="V248" s="662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3"/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4"/>
      <c r="P249" s="660" t="s">
        <v>40</v>
      </c>
      <c r="Q249" s="661"/>
      <c r="R249" s="661"/>
      <c r="S249" s="661"/>
      <c r="T249" s="661"/>
      <c r="U249" s="661"/>
      <c r="V249" s="662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6" t="s">
        <v>278</v>
      </c>
      <c r="B250" s="666"/>
      <c r="C250" s="666"/>
      <c r="D250" s="666"/>
      <c r="E250" s="666"/>
      <c r="F250" s="666"/>
      <c r="G250" s="666"/>
      <c r="H250" s="666"/>
      <c r="I250" s="666"/>
      <c r="J250" s="666"/>
      <c r="K250" s="666"/>
      <c r="L250" s="666"/>
      <c r="M250" s="666"/>
      <c r="N250" s="666"/>
      <c r="O250" s="666"/>
      <c r="P250" s="666"/>
      <c r="Q250" s="666"/>
      <c r="R250" s="666"/>
      <c r="S250" s="666"/>
      <c r="T250" s="666"/>
      <c r="U250" s="666"/>
      <c r="V250" s="666"/>
      <c r="W250" s="666"/>
      <c r="X250" s="666"/>
      <c r="Y250" s="666"/>
      <c r="Z250" s="666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667">
        <v>4680115886780</v>
      </c>
      <c r="E251" s="66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9"/>
      <c r="R251" s="669"/>
      <c r="S251" s="669"/>
      <c r="T251" s="67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667">
        <v>4680115886742</v>
      </c>
      <c r="E252" s="66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9"/>
      <c r="R252" s="669"/>
      <c r="S252" s="669"/>
      <c r="T252" s="67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667">
        <v>4680115886766</v>
      </c>
      <c r="E253" s="66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9"/>
      <c r="R253" s="669"/>
      <c r="S253" s="669"/>
      <c r="T253" s="67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4"/>
      <c r="P254" s="660" t="s">
        <v>40</v>
      </c>
      <c r="Q254" s="661"/>
      <c r="R254" s="661"/>
      <c r="S254" s="661"/>
      <c r="T254" s="661"/>
      <c r="U254" s="661"/>
      <c r="V254" s="66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3"/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4"/>
      <c r="P255" s="660" t="s">
        <v>40</v>
      </c>
      <c r="Q255" s="661"/>
      <c r="R255" s="661"/>
      <c r="S255" s="661"/>
      <c r="T255" s="661"/>
      <c r="U255" s="661"/>
      <c r="V255" s="66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6" t="s">
        <v>439</v>
      </c>
      <c r="B256" s="666"/>
      <c r="C256" s="666"/>
      <c r="D256" s="666"/>
      <c r="E256" s="666"/>
      <c r="F256" s="666"/>
      <c r="G256" s="666"/>
      <c r="H256" s="666"/>
      <c r="I256" s="666"/>
      <c r="J256" s="666"/>
      <c r="K256" s="666"/>
      <c r="L256" s="666"/>
      <c r="M256" s="666"/>
      <c r="N256" s="666"/>
      <c r="O256" s="666"/>
      <c r="P256" s="666"/>
      <c r="Q256" s="666"/>
      <c r="R256" s="666"/>
      <c r="S256" s="666"/>
      <c r="T256" s="666"/>
      <c r="U256" s="666"/>
      <c r="V256" s="666"/>
      <c r="W256" s="666"/>
      <c r="X256" s="666"/>
      <c r="Y256" s="666"/>
      <c r="Z256" s="666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667">
        <v>4680115886797</v>
      </c>
      <c r="E257" s="66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9"/>
      <c r="R257" s="669"/>
      <c r="S257" s="669"/>
      <c r="T257" s="67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4"/>
      <c r="P258" s="660" t="s">
        <v>40</v>
      </c>
      <c r="Q258" s="661"/>
      <c r="R258" s="661"/>
      <c r="S258" s="661"/>
      <c r="T258" s="661"/>
      <c r="U258" s="661"/>
      <c r="V258" s="66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3"/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4"/>
      <c r="P259" s="660" t="s">
        <v>40</v>
      </c>
      <c r="Q259" s="661"/>
      <c r="R259" s="661"/>
      <c r="S259" s="661"/>
      <c r="T259" s="661"/>
      <c r="U259" s="661"/>
      <c r="V259" s="66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5" t="s">
        <v>442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5"/>
      <c r="AB260" s="65"/>
      <c r="AC260" s="79"/>
    </row>
    <row r="261" spans="1:68" ht="14.25" hidden="1" customHeight="1" x14ac:dyDescent="0.25">
      <c r="A261" s="666" t="s">
        <v>122</v>
      </c>
      <c r="B261" s="666"/>
      <c r="C261" s="666"/>
      <c r="D261" s="666"/>
      <c r="E261" s="666"/>
      <c r="F261" s="666"/>
      <c r="G261" s="666"/>
      <c r="H261" s="666"/>
      <c r="I261" s="666"/>
      <c r="J261" s="666"/>
      <c r="K261" s="666"/>
      <c r="L261" s="666"/>
      <c r="M261" s="666"/>
      <c r="N261" s="666"/>
      <c r="O261" s="666"/>
      <c r="P261" s="666"/>
      <c r="Q261" s="666"/>
      <c r="R261" s="666"/>
      <c r="S261" s="666"/>
      <c r="T261" s="666"/>
      <c r="U261" s="666"/>
      <c r="V261" s="666"/>
      <c r="W261" s="666"/>
      <c r="X261" s="666"/>
      <c r="Y261" s="666"/>
      <c r="Z261" s="666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667">
        <v>4680115881402</v>
      </c>
      <c r="E262" s="66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9"/>
      <c r="R262" s="669"/>
      <c r="S262" s="669"/>
      <c r="T262" s="67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667">
        <v>4680115881396</v>
      </c>
      <c r="E263" s="66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9"/>
      <c r="R263" s="669"/>
      <c r="S263" s="669"/>
      <c r="T263" s="67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64"/>
      <c r="P264" s="660" t="s">
        <v>40</v>
      </c>
      <c r="Q264" s="661"/>
      <c r="R264" s="661"/>
      <c r="S264" s="661"/>
      <c r="T264" s="661"/>
      <c r="U264" s="661"/>
      <c r="V264" s="66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3"/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4"/>
      <c r="P265" s="660" t="s">
        <v>40</v>
      </c>
      <c r="Q265" s="661"/>
      <c r="R265" s="661"/>
      <c r="S265" s="661"/>
      <c r="T265" s="661"/>
      <c r="U265" s="661"/>
      <c r="V265" s="66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6" t="s">
        <v>159</v>
      </c>
      <c r="B266" s="666"/>
      <c r="C266" s="666"/>
      <c r="D266" s="666"/>
      <c r="E266" s="666"/>
      <c r="F266" s="666"/>
      <c r="G266" s="666"/>
      <c r="H266" s="666"/>
      <c r="I266" s="666"/>
      <c r="J266" s="666"/>
      <c r="K266" s="666"/>
      <c r="L266" s="666"/>
      <c r="M266" s="666"/>
      <c r="N266" s="666"/>
      <c r="O266" s="666"/>
      <c r="P266" s="666"/>
      <c r="Q266" s="666"/>
      <c r="R266" s="666"/>
      <c r="S266" s="666"/>
      <c r="T266" s="666"/>
      <c r="U266" s="666"/>
      <c r="V266" s="666"/>
      <c r="W266" s="666"/>
      <c r="X266" s="666"/>
      <c r="Y266" s="666"/>
      <c r="Z266" s="666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667">
        <v>4680115882935</v>
      </c>
      <c r="E267" s="66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9"/>
      <c r="R267" s="669"/>
      <c r="S267" s="669"/>
      <c r="T267" s="67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667">
        <v>4680115880764</v>
      </c>
      <c r="E268" s="66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9"/>
      <c r="R268" s="669"/>
      <c r="S268" s="669"/>
      <c r="T268" s="67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64"/>
      <c r="P269" s="660" t="s">
        <v>40</v>
      </c>
      <c r="Q269" s="661"/>
      <c r="R269" s="661"/>
      <c r="S269" s="661"/>
      <c r="T269" s="661"/>
      <c r="U269" s="661"/>
      <c r="V269" s="66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3"/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4"/>
      <c r="P270" s="660" t="s">
        <v>40</v>
      </c>
      <c r="Q270" s="661"/>
      <c r="R270" s="661"/>
      <c r="S270" s="661"/>
      <c r="T270" s="661"/>
      <c r="U270" s="661"/>
      <c r="V270" s="66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6" t="s">
        <v>77</v>
      </c>
      <c r="B271" s="666"/>
      <c r="C271" s="666"/>
      <c r="D271" s="666"/>
      <c r="E271" s="666"/>
      <c r="F271" s="666"/>
      <c r="G271" s="666"/>
      <c r="H271" s="666"/>
      <c r="I271" s="666"/>
      <c r="J271" s="666"/>
      <c r="K271" s="666"/>
      <c r="L271" s="666"/>
      <c r="M271" s="666"/>
      <c r="N271" s="666"/>
      <c r="O271" s="666"/>
      <c r="P271" s="666"/>
      <c r="Q271" s="666"/>
      <c r="R271" s="666"/>
      <c r="S271" s="666"/>
      <c r="T271" s="666"/>
      <c r="U271" s="666"/>
      <c r="V271" s="666"/>
      <c r="W271" s="666"/>
      <c r="X271" s="666"/>
      <c r="Y271" s="666"/>
      <c r="Z271" s="666"/>
      <c r="AA271" s="66"/>
      <c r="AB271" s="66"/>
      <c r="AC271" s="80"/>
    </row>
    <row r="272" spans="1:68" ht="27" hidden="1" customHeight="1" x14ac:dyDescent="0.25">
      <c r="A272" s="63" t="s">
        <v>453</v>
      </c>
      <c r="B272" s="63" t="s">
        <v>454</v>
      </c>
      <c r="C272" s="36">
        <v>4301031224</v>
      </c>
      <c r="D272" s="667">
        <v>4680115882683</v>
      </c>
      <c r="E272" s="66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9"/>
      <c r="R272" s="669"/>
      <c r="S272" s="669"/>
      <c r="T272" s="67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4301031230</v>
      </c>
      <c r="D273" s="667">
        <v>4680115882690</v>
      </c>
      <c r="E273" s="66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9"/>
      <c r="R273" s="669"/>
      <c r="S273" s="669"/>
      <c r="T273" s="67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459</v>
      </c>
      <c r="B274" s="63" t="s">
        <v>460</v>
      </c>
      <c r="C274" s="36">
        <v>4301031220</v>
      </c>
      <c r="D274" s="667">
        <v>4680115882669</v>
      </c>
      <c r="E274" s="66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9"/>
      <c r="R274" s="669"/>
      <c r="S274" s="669"/>
      <c r="T274" s="67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462</v>
      </c>
      <c r="B275" s="63" t="s">
        <v>463</v>
      </c>
      <c r="C275" s="36">
        <v>4301031221</v>
      </c>
      <c r="D275" s="667">
        <v>4680115882676</v>
      </c>
      <c r="E275" s="66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9"/>
      <c r="R275" s="669"/>
      <c r="S275" s="669"/>
      <c r="T275" s="67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465</v>
      </c>
      <c r="B276" s="63" t="s">
        <v>466</v>
      </c>
      <c r="C276" s="36">
        <v>4301031223</v>
      </c>
      <c r="D276" s="667">
        <v>4680115884014</v>
      </c>
      <c r="E276" s="66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9"/>
      <c r="R276" s="669"/>
      <c r="S276" s="669"/>
      <c r="T276" s="67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4301031222</v>
      </c>
      <c r="D277" s="667">
        <v>4680115884007</v>
      </c>
      <c r="E277" s="66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9"/>
      <c r="R277" s="669"/>
      <c r="S277" s="669"/>
      <c r="T277" s="67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4301031229</v>
      </c>
      <c r="D278" s="667">
        <v>4680115884038</v>
      </c>
      <c r="E278" s="66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9"/>
      <c r="R278" s="669"/>
      <c r="S278" s="669"/>
      <c r="T278" s="67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4301031225</v>
      </c>
      <c r="D279" s="667">
        <v>4680115884021</v>
      </c>
      <c r="E279" s="66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9"/>
      <c r="R279" s="669"/>
      <c r="S279" s="669"/>
      <c r="T279" s="67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4"/>
      <c r="P280" s="660" t="s">
        <v>40</v>
      </c>
      <c r="Q280" s="661"/>
      <c r="R280" s="661"/>
      <c r="S280" s="661"/>
      <c r="T280" s="661"/>
      <c r="U280" s="661"/>
      <c r="V280" s="66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3"/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4"/>
      <c r="P281" s="660" t="s">
        <v>40</v>
      </c>
      <c r="Q281" s="661"/>
      <c r="R281" s="661"/>
      <c r="S281" s="661"/>
      <c r="T281" s="661"/>
      <c r="U281" s="661"/>
      <c r="V281" s="66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6" t="s">
        <v>86</v>
      </c>
      <c r="B282" s="666"/>
      <c r="C282" s="666"/>
      <c r="D282" s="666"/>
      <c r="E282" s="666"/>
      <c r="F282" s="666"/>
      <c r="G282" s="666"/>
      <c r="H282" s="666"/>
      <c r="I282" s="666"/>
      <c r="J282" s="666"/>
      <c r="K282" s="666"/>
      <c r="L282" s="666"/>
      <c r="M282" s="666"/>
      <c r="N282" s="666"/>
      <c r="O282" s="666"/>
      <c r="P282" s="666"/>
      <c r="Q282" s="666"/>
      <c r="R282" s="666"/>
      <c r="S282" s="666"/>
      <c r="T282" s="666"/>
      <c r="U282" s="666"/>
      <c r="V282" s="666"/>
      <c r="W282" s="666"/>
      <c r="X282" s="666"/>
      <c r="Y282" s="666"/>
      <c r="Z282" s="666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667">
        <v>4680115881594</v>
      </c>
      <c r="E283" s="66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9"/>
      <c r="R283" s="669"/>
      <c r="S283" s="669"/>
      <c r="T283" s="67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667">
        <v>4680115881617</v>
      </c>
      <c r="E284" s="66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9"/>
      <c r="R284" s="669"/>
      <c r="S284" s="669"/>
      <c r="T284" s="67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667">
        <v>4680115880573</v>
      </c>
      <c r="E285" s="66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9"/>
      <c r="R285" s="669"/>
      <c r="S285" s="669"/>
      <c r="T285" s="67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482</v>
      </c>
      <c r="B286" s="63" t="s">
        <v>483</v>
      </c>
      <c r="C286" s="36">
        <v>4301051407</v>
      </c>
      <c r="D286" s="667">
        <v>4680115882195</v>
      </c>
      <c r="E286" s="66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9"/>
      <c r="R286" s="669"/>
      <c r="S286" s="669"/>
      <c r="T286" s="67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667">
        <v>4680115882607</v>
      </c>
      <c r="E287" s="66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9"/>
      <c r="R287" s="669"/>
      <c r="S287" s="669"/>
      <c r="T287" s="67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667">
        <v>4680115882607</v>
      </c>
      <c r="E288" s="66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9"/>
      <c r="R288" s="669"/>
      <c r="S288" s="669"/>
      <c r="T288" s="67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489</v>
      </c>
      <c r="B289" s="63" t="s">
        <v>490</v>
      </c>
      <c r="C289" s="36">
        <v>4301051666</v>
      </c>
      <c r="D289" s="667">
        <v>4680115880092</v>
      </c>
      <c r="E289" s="66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9"/>
      <c r="R289" s="669"/>
      <c r="S289" s="669"/>
      <c r="T289" s="67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667">
        <v>4680115889064</v>
      </c>
      <c r="E290" s="66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9"/>
      <c r="R290" s="669"/>
      <c r="S290" s="669"/>
      <c r="T290" s="67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493</v>
      </c>
      <c r="B291" s="63" t="s">
        <v>494</v>
      </c>
      <c r="C291" s="36">
        <v>4301051668</v>
      </c>
      <c r="D291" s="667">
        <v>4680115880221</v>
      </c>
      <c r="E291" s="66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9"/>
      <c r="R291" s="669"/>
      <c r="S291" s="669"/>
      <c r="T291" s="67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4301051945</v>
      </c>
      <c r="D292" s="667">
        <v>4680115880504</v>
      </c>
      <c r="E292" s="66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9"/>
      <c r="R292" s="669"/>
      <c r="S292" s="669"/>
      <c r="T292" s="67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4301051410</v>
      </c>
      <c r="D293" s="667">
        <v>4680115882164</v>
      </c>
      <c r="E293" s="66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9"/>
      <c r="R293" s="669"/>
      <c r="S293" s="669"/>
      <c r="T293" s="67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667">
        <v>4680115888340</v>
      </c>
      <c r="E294" s="66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9"/>
      <c r="R294" s="669"/>
      <c r="S294" s="669"/>
      <c r="T294" s="67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64"/>
      <c r="P295" s="660" t="s">
        <v>40</v>
      </c>
      <c r="Q295" s="661"/>
      <c r="R295" s="661"/>
      <c r="S295" s="661"/>
      <c r="T295" s="661"/>
      <c r="U295" s="661"/>
      <c r="V295" s="66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3"/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4"/>
      <c r="P296" s="660" t="s">
        <v>40</v>
      </c>
      <c r="Q296" s="661"/>
      <c r="R296" s="661"/>
      <c r="S296" s="661"/>
      <c r="T296" s="661"/>
      <c r="U296" s="661"/>
      <c r="V296" s="66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6" t="s">
        <v>178</v>
      </c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667">
        <v>4680115880818</v>
      </c>
      <c r="E298" s="66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9"/>
      <c r="R298" s="669"/>
      <c r="S298" s="669"/>
      <c r="T298" s="67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667">
        <v>4680115880801</v>
      </c>
      <c r="E299" s="66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9"/>
      <c r="R299" s="669"/>
      <c r="S299" s="669"/>
      <c r="T299" s="67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64"/>
      <c r="P300" s="660" t="s">
        <v>40</v>
      </c>
      <c r="Q300" s="661"/>
      <c r="R300" s="661"/>
      <c r="S300" s="661"/>
      <c r="T300" s="661"/>
      <c r="U300" s="661"/>
      <c r="V300" s="66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3"/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4"/>
      <c r="P301" s="660" t="s">
        <v>40</v>
      </c>
      <c r="Q301" s="661"/>
      <c r="R301" s="661"/>
      <c r="S301" s="661"/>
      <c r="T301" s="661"/>
      <c r="U301" s="661"/>
      <c r="V301" s="66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5" t="s">
        <v>510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5"/>
      <c r="AB302" s="65"/>
      <c r="AC302" s="79"/>
    </row>
    <row r="303" spans="1:68" ht="14.25" hidden="1" customHeight="1" x14ac:dyDescent="0.25">
      <c r="A303" s="666" t="s">
        <v>122</v>
      </c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667">
        <v>4680115884137</v>
      </c>
      <c r="E304" s="66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9"/>
      <c r="R304" s="669"/>
      <c r="S304" s="669"/>
      <c r="T304" s="67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667">
        <v>4680115884236</v>
      </c>
      <c r="E305" s="66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9"/>
      <c r="R305" s="669"/>
      <c r="S305" s="669"/>
      <c r="T305" s="67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667">
        <v>4680115884175</v>
      </c>
      <c r="E306" s="66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9"/>
      <c r="R306" s="669"/>
      <c r="S306" s="669"/>
      <c r="T306" s="67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667">
        <v>4680115884144</v>
      </c>
      <c r="E307" s="66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9"/>
      <c r="R307" s="669"/>
      <c r="S307" s="669"/>
      <c r="T307" s="67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667">
        <v>4680115886551</v>
      </c>
      <c r="E308" s="66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9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9"/>
      <c r="R308" s="669"/>
      <c r="S308" s="669"/>
      <c r="T308" s="67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667">
        <v>4680115887282</v>
      </c>
      <c r="E309" s="66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9"/>
      <c r="R309" s="669"/>
      <c r="S309" s="669"/>
      <c r="T309" s="67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667">
        <v>4680115884205</v>
      </c>
      <c r="E310" s="66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9"/>
      <c r="R310" s="669"/>
      <c r="S310" s="669"/>
      <c r="T310" s="67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64"/>
      <c r="P311" s="660" t="s">
        <v>40</v>
      </c>
      <c r="Q311" s="661"/>
      <c r="R311" s="661"/>
      <c r="S311" s="661"/>
      <c r="T311" s="661"/>
      <c r="U311" s="661"/>
      <c r="V311" s="66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3"/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4"/>
      <c r="P312" s="660" t="s">
        <v>40</v>
      </c>
      <c r="Q312" s="661"/>
      <c r="R312" s="661"/>
      <c r="S312" s="661"/>
      <c r="T312" s="661"/>
      <c r="U312" s="661"/>
      <c r="V312" s="66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6" t="s">
        <v>159</v>
      </c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667">
        <v>4680115885981</v>
      </c>
      <c r="E314" s="66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9"/>
      <c r="R314" s="669"/>
      <c r="S314" s="669"/>
      <c r="T314" s="67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64"/>
      <c r="P315" s="660" t="s">
        <v>40</v>
      </c>
      <c r="Q315" s="661"/>
      <c r="R315" s="661"/>
      <c r="S315" s="661"/>
      <c r="T315" s="661"/>
      <c r="U315" s="661"/>
      <c r="V315" s="66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3"/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4"/>
      <c r="P316" s="660" t="s">
        <v>40</v>
      </c>
      <c r="Q316" s="661"/>
      <c r="R316" s="661"/>
      <c r="S316" s="661"/>
      <c r="T316" s="661"/>
      <c r="U316" s="661"/>
      <c r="V316" s="66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6" t="s">
        <v>532</v>
      </c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667">
        <v>4680115886803</v>
      </c>
      <c r="E318" s="66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9"/>
      <c r="R318" s="669"/>
      <c r="S318" s="669"/>
      <c r="T318" s="67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4"/>
      <c r="P319" s="660" t="s">
        <v>40</v>
      </c>
      <c r="Q319" s="661"/>
      <c r="R319" s="661"/>
      <c r="S319" s="661"/>
      <c r="T319" s="661"/>
      <c r="U319" s="661"/>
      <c r="V319" s="66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3"/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4"/>
      <c r="P320" s="660" t="s">
        <v>40</v>
      </c>
      <c r="Q320" s="661"/>
      <c r="R320" s="661"/>
      <c r="S320" s="661"/>
      <c r="T320" s="661"/>
      <c r="U320" s="661"/>
      <c r="V320" s="66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6" t="s">
        <v>342</v>
      </c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667">
        <v>4680115886681</v>
      </c>
      <c r="E322" s="66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9"/>
      <c r="R322" s="669"/>
      <c r="S322" s="669"/>
      <c r="T322" s="67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540</v>
      </c>
      <c r="B323" s="63" t="s">
        <v>541</v>
      </c>
      <c r="C323" s="36">
        <v>4301041007</v>
      </c>
      <c r="D323" s="667">
        <v>4680115886735</v>
      </c>
      <c r="E323" s="66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669"/>
      <c r="R323" s="669"/>
      <c r="S323" s="669"/>
      <c r="T323" s="67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63"/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4"/>
      <c r="P324" s="660" t="s">
        <v>40</v>
      </c>
      <c r="Q324" s="661"/>
      <c r="R324" s="661"/>
      <c r="S324" s="661"/>
      <c r="T324" s="661"/>
      <c r="U324" s="661"/>
      <c r="V324" s="662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663"/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4"/>
      <c r="P325" s="660" t="s">
        <v>40</v>
      </c>
      <c r="Q325" s="661"/>
      <c r="R325" s="661"/>
      <c r="S325" s="661"/>
      <c r="T325" s="661"/>
      <c r="U325" s="661"/>
      <c r="V325" s="662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65" t="s">
        <v>542</v>
      </c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5"/>
      <c r="AB326" s="65"/>
      <c r="AC326" s="79"/>
    </row>
    <row r="327" spans="1:68" ht="14.25" hidden="1" customHeight="1" x14ac:dyDescent="0.25">
      <c r="A327" s="666" t="s">
        <v>122</v>
      </c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"/>
      <c r="AB327" s="66"/>
      <c r="AC327" s="80"/>
    </row>
    <row r="328" spans="1:68" ht="27" hidden="1" customHeight="1" x14ac:dyDescent="0.25">
      <c r="A328" s="63" t="s">
        <v>543</v>
      </c>
      <c r="B328" s="63" t="s">
        <v>544</v>
      </c>
      <c r="C328" s="36">
        <v>4301012390</v>
      </c>
      <c r="D328" s="667">
        <v>4680115889637</v>
      </c>
      <c r="E328" s="66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9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69"/>
      <c r="R328" s="669"/>
      <c r="S328" s="669"/>
      <c r="T328" s="67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customHeight="1" x14ac:dyDescent="0.25">
      <c r="A329" s="63" t="s">
        <v>547</v>
      </c>
      <c r="B329" s="63" t="s">
        <v>548</v>
      </c>
      <c r="C329" s="36">
        <v>4301011855</v>
      </c>
      <c r="D329" s="667">
        <v>4680115885837</v>
      </c>
      <c r="E329" s="66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9"/>
      <c r="R329" s="669"/>
      <c r="S329" s="669"/>
      <c r="T329" s="670"/>
      <c r="U329" s="39" t="s">
        <v>46</v>
      </c>
      <c r="V329" s="39" t="s">
        <v>46</v>
      </c>
      <c r="W329" s="40" t="s">
        <v>0</v>
      </c>
      <c r="X329" s="58">
        <v>30</v>
      </c>
      <c r="Y329" s="55">
        <f t="shared" si="58"/>
        <v>32.400000000000006</v>
      </c>
      <c r="Z329" s="41">
        <f>IFERROR(IF(Y329=0,"",ROUNDUP(Y329/H329,0)*0.01898),"")</f>
        <v>5.6940000000000004E-2</v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31.138888888888889</v>
      </c>
      <c r="BN329" s="78">
        <f t="shared" si="60"/>
        <v>33.630000000000003</v>
      </c>
      <c r="BO329" s="78">
        <f t="shared" si="61"/>
        <v>4.3402777777777776E-2</v>
      </c>
      <c r="BP329" s="78">
        <f t="shared" si="62"/>
        <v>4.6875000000000007E-2</v>
      </c>
    </row>
    <row r="330" spans="1:68" ht="37.5" hidden="1" customHeight="1" x14ac:dyDescent="0.25">
      <c r="A330" s="63" t="s">
        <v>550</v>
      </c>
      <c r="B330" s="63" t="s">
        <v>551</v>
      </c>
      <c r="C330" s="36">
        <v>4301012234</v>
      </c>
      <c r="D330" s="667">
        <v>4680115887237</v>
      </c>
      <c r="E330" s="66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9"/>
      <c r="R330" s="669"/>
      <c r="S330" s="669"/>
      <c r="T330" s="67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customHeight="1" x14ac:dyDescent="0.25">
      <c r="A331" s="63" t="s">
        <v>553</v>
      </c>
      <c r="B331" s="63" t="s">
        <v>554</v>
      </c>
      <c r="C331" s="36">
        <v>4301011850</v>
      </c>
      <c r="D331" s="667">
        <v>4680115885806</v>
      </c>
      <c r="E331" s="66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9"/>
      <c r="R331" s="669"/>
      <c r="S331" s="669"/>
      <c r="T331" s="670"/>
      <c r="U331" s="39" t="s">
        <v>46</v>
      </c>
      <c r="V331" s="39" t="s">
        <v>46</v>
      </c>
      <c r="W331" s="40" t="s">
        <v>0</v>
      </c>
      <c r="X331" s="58">
        <v>40</v>
      </c>
      <c r="Y331" s="55">
        <f t="shared" si="58"/>
        <v>43.2</v>
      </c>
      <c r="Z331" s="41">
        <f>IFERROR(IF(Y331=0,"",ROUNDUP(Y331/H331,0)*0.01898),"")</f>
        <v>7.5920000000000001E-2</v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41.518518518518519</v>
      </c>
      <c r="BN331" s="78">
        <f t="shared" si="60"/>
        <v>44.84</v>
      </c>
      <c r="BO331" s="78">
        <f t="shared" si="61"/>
        <v>5.7870370370370364E-2</v>
      </c>
      <c r="BP331" s="78">
        <f t="shared" si="62"/>
        <v>6.25E-2</v>
      </c>
    </row>
    <row r="332" spans="1:68" ht="27" customHeight="1" x14ac:dyDescent="0.25">
      <c r="A332" s="63" t="s">
        <v>556</v>
      </c>
      <c r="B332" s="63" t="s">
        <v>557</v>
      </c>
      <c r="C332" s="36">
        <v>4301011852</v>
      </c>
      <c r="D332" s="667">
        <v>4680115885844</v>
      </c>
      <c r="E332" s="66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9"/>
      <c r="R332" s="669"/>
      <c r="S332" s="669"/>
      <c r="T332" s="670"/>
      <c r="U332" s="39" t="s">
        <v>46</v>
      </c>
      <c r="V332" s="39" t="s">
        <v>46</v>
      </c>
      <c r="W332" s="40" t="s">
        <v>0</v>
      </c>
      <c r="X332" s="58">
        <v>8</v>
      </c>
      <c r="Y332" s="55">
        <f t="shared" si="58"/>
        <v>8</v>
      </c>
      <c r="Z332" s="41">
        <f>IFERROR(IF(Y332=0,"",ROUNDUP(Y332/H332,0)*0.00902),"")</f>
        <v>1.804E-2</v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8.3800000000000008</v>
      </c>
      <c r="BN332" s="78">
        <f t="shared" si="60"/>
        <v>8.3800000000000008</v>
      </c>
      <c r="BO332" s="78">
        <f t="shared" si="61"/>
        <v>1.5151515151515152E-2</v>
      </c>
      <c r="BP332" s="78">
        <f t="shared" si="62"/>
        <v>1.5151515151515152E-2</v>
      </c>
    </row>
    <row r="333" spans="1:68" ht="37.5" customHeight="1" x14ac:dyDescent="0.25">
      <c r="A333" s="63" t="s">
        <v>559</v>
      </c>
      <c r="B333" s="63" t="s">
        <v>560</v>
      </c>
      <c r="C333" s="36">
        <v>4301011851</v>
      </c>
      <c r="D333" s="667">
        <v>4680115885820</v>
      </c>
      <c r="E333" s="66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9"/>
      <c r="R333" s="669"/>
      <c r="S333" s="669"/>
      <c r="T333" s="670"/>
      <c r="U333" s="39" t="s">
        <v>46</v>
      </c>
      <c r="V333" s="39" t="s">
        <v>46</v>
      </c>
      <c r="W333" s="40" t="s">
        <v>0</v>
      </c>
      <c r="X333" s="58">
        <v>8</v>
      </c>
      <c r="Y333" s="55">
        <f t="shared" si="58"/>
        <v>8</v>
      </c>
      <c r="Z333" s="41">
        <f>IFERROR(IF(Y333=0,"",ROUNDUP(Y333/H333,0)*0.00902),"")</f>
        <v>1.804E-2</v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8.3800000000000008</v>
      </c>
      <c r="BN333" s="78">
        <f t="shared" si="60"/>
        <v>8.3800000000000008</v>
      </c>
      <c r="BO333" s="78">
        <f t="shared" si="61"/>
        <v>1.5151515151515152E-2</v>
      </c>
      <c r="BP333" s="78">
        <f t="shared" si="62"/>
        <v>1.5151515151515152E-2</v>
      </c>
    </row>
    <row r="334" spans="1:68" x14ac:dyDescent="0.2">
      <c r="A334" s="663"/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4"/>
      <c r="P334" s="660" t="s">
        <v>40</v>
      </c>
      <c r="Q334" s="661"/>
      <c r="R334" s="661"/>
      <c r="S334" s="661"/>
      <c r="T334" s="661"/>
      <c r="U334" s="661"/>
      <c r="V334" s="662"/>
      <c r="W334" s="42" t="s">
        <v>39</v>
      </c>
      <c r="X334" s="43">
        <f>IFERROR(X328/H328,"0")+IFERROR(X329/H329,"0")+IFERROR(X330/H330,"0")+IFERROR(X331/H331,"0")+IFERROR(X332/H332,"0")+IFERROR(X333/H333,"0")</f>
        <v>10.481481481481481</v>
      </c>
      <c r="Y334" s="43">
        <f>IFERROR(Y328/H328,"0")+IFERROR(Y329/H329,"0")+IFERROR(Y330/H330,"0")+IFERROR(Y331/H331,"0")+IFERROR(Y332/H332,"0")+IFERROR(Y333/H333,"0")</f>
        <v>11</v>
      </c>
      <c r="Z334" s="43">
        <f>IFERROR(IF(Z328="",0,Z328),"0")+IFERROR(IF(Z329="",0,Z329),"0")+IFERROR(IF(Z330="",0,Z330),"0")+IFERROR(IF(Z331="",0,Z331),"0")+IFERROR(IF(Z332="",0,Z332),"0")+IFERROR(IF(Z333="",0,Z333),"0")</f>
        <v>0.16894000000000001</v>
      </c>
      <c r="AA334" s="67"/>
      <c r="AB334" s="67"/>
      <c r="AC334" s="67"/>
    </row>
    <row r="335" spans="1:68" x14ac:dyDescent="0.2">
      <c r="A335" s="663"/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4"/>
      <c r="P335" s="660" t="s">
        <v>40</v>
      </c>
      <c r="Q335" s="661"/>
      <c r="R335" s="661"/>
      <c r="S335" s="661"/>
      <c r="T335" s="661"/>
      <c r="U335" s="661"/>
      <c r="V335" s="662"/>
      <c r="W335" s="42" t="s">
        <v>0</v>
      </c>
      <c r="X335" s="43">
        <f>IFERROR(SUM(X328:X333),"0")</f>
        <v>86</v>
      </c>
      <c r="Y335" s="43">
        <f>IFERROR(SUM(Y328:Y333),"0")</f>
        <v>91.600000000000009</v>
      </c>
      <c r="Z335" s="42"/>
      <c r="AA335" s="67"/>
      <c r="AB335" s="67"/>
      <c r="AC335" s="67"/>
    </row>
    <row r="336" spans="1:68" ht="16.5" hidden="1" customHeight="1" x14ac:dyDescent="0.25">
      <c r="A336" s="665" t="s">
        <v>562</v>
      </c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5"/>
      <c r="AB336" s="65"/>
      <c r="AC336" s="79"/>
    </row>
    <row r="337" spans="1:68" ht="14.25" hidden="1" customHeight="1" x14ac:dyDescent="0.25">
      <c r="A337" s="666" t="s">
        <v>86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"/>
      <c r="AB337" s="66"/>
      <c r="AC337" s="80"/>
    </row>
    <row r="338" spans="1:68" ht="27" hidden="1" customHeight="1" x14ac:dyDescent="0.25">
      <c r="A338" s="63" t="s">
        <v>563</v>
      </c>
      <c r="B338" s="63" t="s">
        <v>564</v>
      </c>
      <c r="C338" s="36">
        <v>4301051893</v>
      </c>
      <c r="D338" s="667">
        <v>4680115886186</v>
      </c>
      <c r="E338" s="66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9"/>
      <c r="R338" s="669"/>
      <c r="S338" s="669"/>
      <c r="T338" s="67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4301051795</v>
      </c>
      <c r="D339" s="667">
        <v>4680115881228</v>
      </c>
      <c r="E339" s="66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9"/>
      <c r="R339" s="669"/>
      <c r="S339" s="669"/>
      <c r="T339" s="67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569</v>
      </c>
      <c r="B340" s="63" t="s">
        <v>570</v>
      </c>
      <c r="C340" s="36">
        <v>4301051388</v>
      </c>
      <c r="D340" s="667">
        <v>4680115881211</v>
      </c>
      <c r="E340" s="66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9"/>
      <c r="R340" s="669"/>
      <c r="S340" s="669"/>
      <c r="T340" s="67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3"/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4"/>
      <c r="P341" s="660" t="s">
        <v>40</v>
      </c>
      <c r="Q341" s="661"/>
      <c r="R341" s="661"/>
      <c r="S341" s="661"/>
      <c r="T341" s="661"/>
      <c r="U341" s="661"/>
      <c r="V341" s="66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3"/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4"/>
      <c r="P342" s="660" t="s">
        <v>40</v>
      </c>
      <c r="Q342" s="661"/>
      <c r="R342" s="661"/>
      <c r="S342" s="661"/>
      <c r="T342" s="661"/>
      <c r="U342" s="661"/>
      <c r="V342" s="66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5" t="s">
        <v>571</v>
      </c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5"/>
      <c r="AB343" s="65"/>
      <c r="AC343" s="79"/>
    </row>
    <row r="344" spans="1:68" ht="14.25" hidden="1" customHeight="1" x14ac:dyDescent="0.25">
      <c r="A344" s="666" t="s">
        <v>77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"/>
      <c r="AB344" s="66"/>
      <c r="AC344" s="80"/>
    </row>
    <row r="345" spans="1:68" ht="27" hidden="1" customHeight="1" x14ac:dyDescent="0.25">
      <c r="A345" s="63" t="s">
        <v>572</v>
      </c>
      <c r="B345" s="63" t="s">
        <v>573</v>
      </c>
      <c r="C345" s="36">
        <v>4301031445</v>
      </c>
      <c r="D345" s="667">
        <v>4680115888319</v>
      </c>
      <c r="E345" s="66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9"/>
      <c r="R345" s="669"/>
      <c r="S345" s="669"/>
      <c r="T345" s="67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4301031502</v>
      </c>
      <c r="D346" s="667">
        <v>4680115884700</v>
      </c>
      <c r="E346" s="66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9"/>
      <c r="R346" s="669"/>
      <c r="S346" s="669"/>
      <c r="T346" s="67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4301031307</v>
      </c>
      <c r="D347" s="667">
        <v>4680115880344</v>
      </c>
      <c r="E347" s="66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9"/>
      <c r="R347" s="669"/>
      <c r="S347" s="669"/>
      <c r="T347" s="67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4301031501</v>
      </c>
      <c r="D348" s="667">
        <v>4680115886919</v>
      </c>
      <c r="E348" s="66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8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9"/>
      <c r="R348" s="669"/>
      <c r="S348" s="669"/>
      <c r="T348" s="67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4301031246</v>
      </c>
      <c r="D349" s="667">
        <v>4680115883970</v>
      </c>
      <c r="E349" s="66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8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9"/>
      <c r="R349" s="669"/>
      <c r="S349" s="669"/>
      <c r="T349" s="67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3"/>
      <c r="B350" s="663"/>
      <c r="C350" s="663"/>
      <c r="D350" s="663"/>
      <c r="E350" s="663"/>
      <c r="F350" s="663"/>
      <c r="G350" s="663"/>
      <c r="H350" s="663"/>
      <c r="I350" s="663"/>
      <c r="J350" s="663"/>
      <c r="K350" s="663"/>
      <c r="L350" s="663"/>
      <c r="M350" s="663"/>
      <c r="N350" s="663"/>
      <c r="O350" s="664"/>
      <c r="P350" s="660" t="s">
        <v>40</v>
      </c>
      <c r="Q350" s="661"/>
      <c r="R350" s="661"/>
      <c r="S350" s="661"/>
      <c r="T350" s="661"/>
      <c r="U350" s="661"/>
      <c r="V350" s="66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3"/>
      <c r="B351" s="663"/>
      <c r="C351" s="663"/>
      <c r="D351" s="663"/>
      <c r="E351" s="663"/>
      <c r="F351" s="663"/>
      <c r="G351" s="663"/>
      <c r="H351" s="663"/>
      <c r="I351" s="663"/>
      <c r="J351" s="663"/>
      <c r="K351" s="663"/>
      <c r="L351" s="663"/>
      <c r="M351" s="663"/>
      <c r="N351" s="663"/>
      <c r="O351" s="664"/>
      <c r="P351" s="660" t="s">
        <v>40</v>
      </c>
      <c r="Q351" s="661"/>
      <c r="R351" s="661"/>
      <c r="S351" s="661"/>
      <c r="T351" s="661"/>
      <c r="U351" s="661"/>
      <c r="V351" s="66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6" t="s">
        <v>86</v>
      </c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"/>
      <c r="AB352" s="66"/>
      <c r="AC352" s="80"/>
    </row>
    <row r="353" spans="1:68" ht="27" hidden="1" customHeight="1" x14ac:dyDescent="0.25">
      <c r="A353" s="63" t="s">
        <v>586</v>
      </c>
      <c r="B353" s="63" t="s">
        <v>587</v>
      </c>
      <c r="C353" s="36">
        <v>4301051782</v>
      </c>
      <c r="D353" s="667">
        <v>4680115884618</v>
      </c>
      <c r="E353" s="66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9"/>
      <c r="R353" s="669"/>
      <c r="S353" s="669"/>
      <c r="T353" s="67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589</v>
      </c>
      <c r="B354" s="63" t="s">
        <v>590</v>
      </c>
      <c r="C354" s="36">
        <v>4301052057</v>
      </c>
      <c r="D354" s="667">
        <v>4680115887114</v>
      </c>
      <c r="E354" s="66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9"/>
      <c r="R354" s="669"/>
      <c r="S354" s="669"/>
      <c r="T354" s="67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3"/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4"/>
      <c r="P355" s="660" t="s">
        <v>40</v>
      </c>
      <c r="Q355" s="661"/>
      <c r="R355" s="661"/>
      <c r="S355" s="661"/>
      <c r="T355" s="661"/>
      <c r="U355" s="661"/>
      <c r="V355" s="66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3"/>
      <c r="B356" s="663"/>
      <c r="C356" s="663"/>
      <c r="D356" s="663"/>
      <c r="E356" s="663"/>
      <c r="F356" s="663"/>
      <c r="G356" s="663"/>
      <c r="H356" s="663"/>
      <c r="I356" s="663"/>
      <c r="J356" s="663"/>
      <c r="K356" s="663"/>
      <c r="L356" s="663"/>
      <c r="M356" s="663"/>
      <c r="N356" s="663"/>
      <c r="O356" s="664"/>
      <c r="P356" s="660" t="s">
        <v>40</v>
      </c>
      <c r="Q356" s="661"/>
      <c r="R356" s="661"/>
      <c r="S356" s="661"/>
      <c r="T356" s="661"/>
      <c r="U356" s="661"/>
      <c r="V356" s="66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5" t="s">
        <v>592</v>
      </c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5"/>
      <c r="AB357" s="65"/>
      <c r="AC357" s="79"/>
    </row>
    <row r="358" spans="1:68" ht="14.25" hidden="1" customHeight="1" x14ac:dyDescent="0.25">
      <c r="A358" s="666" t="s">
        <v>122</v>
      </c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"/>
      <c r="AB358" s="66"/>
      <c r="AC358" s="80"/>
    </row>
    <row r="359" spans="1:68" ht="27" hidden="1" customHeight="1" x14ac:dyDescent="0.25">
      <c r="A359" s="63" t="s">
        <v>593</v>
      </c>
      <c r="B359" s="63" t="s">
        <v>594</v>
      </c>
      <c r="C359" s="36">
        <v>4301012324</v>
      </c>
      <c r="D359" s="667">
        <v>4680115887947</v>
      </c>
      <c r="E359" s="66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9"/>
      <c r="R359" s="669"/>
      <c r="S359" s="669"/>
      <c r="T359" s="67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595</v>
      </c>
      <c r="B360" s="63" t="s">
        <v>596</v>
      </c>
      <c r="C360" s="36">
        <v>4301012325</v>
      </c>
      <c r="D360" s="667">
        <v>4680115887978</v>
      </c>
      <c r="E360" s="66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9"/>
      <c r="R360" s="669"/>
      <c r="S360" s="669"/>
      <c r="T360" s="67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598</v>
      </c>
      <c r="B361" s="63" t="s">
        <v>599</v>
      </c>
      <c r="C361" s="36">
        <v>4301012327</v>
      </c>
      <c r="D361" s="667">
        <v>4680115887992</v>
      </c>
      <c r="E361" s="66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9"/>
      <c r="R361" s="669"/>
      <c r="S361" s="669"/>
      <c r="T361" s="67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3"/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4"/>
      <c r="P362" s="660" t="s">
        <v>40</v>
      </c>
      <c r="Q362" s="661"/>
      <c r="R362" s="661"/>
      <c r="S362" s="661"/>
      <c r="T362" s="661"/>
      <c r="U362" s="661"/>
      <c r="V362" s="66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3"/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4"/>
      <c r="P363" s="660" t="s">
        <v>40</v>
      </c>
      <c r="Q363" s="661"/>
      <c r="R363" s="661"/>
      <c r="S363" s="661"/>
      <c r="T363" s="661"/>
      <c r="U363" s="661"/>
      <c r="V363" s="66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5" t="s">
        <v>601</v>
      </c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5"/>
      <c r="AB364" s="65"/>
      <c r="AC364" s="79"/>
    </row>
    <row r="365" spans="1:68" ht="14.25" hidden="1" customHeight="1" x14ac:dyDescent="0.25">
      <c r="A365" s="666" t="s">
        <v>122</v>
      </c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"/>
      <c r="AB365" s="66"/>
      <c r="AC365" s="80"/>
    </row>
    <row r="366" spans="1:68" ht="27" hidden="1" customHeight="1" x14ac:dyDescent="0.25">
      <c r="A366" s="63" t="s">
        <v>602</v>
      </c>
      <c r="B366" s="63" t="s">
        <v>603</v>
      </c>
      <c r="C366" s="36">
        <v>4301012400</v>
      </c>
      <c r="D366" s="667">
        <v>4680115889880</v>
      </c>
      <c r="E366" s="66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69"/>
      <c r="R366" s="669"/>
      <c r="S366" s="669"/>
      <c r="T366" s="67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67">
        <v>4680115889293</v>
      </c>
      <c r="E367" s="66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69"/>
      <c r="R367" s="669"/>
      <c r="S367" s="669"/>
      <c r="T367" s="67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customHeight="1" x14ac:dyDescent="0.25">
      <c r="A368" s="63" t="s">
        <v>607</v>
      </c>
      <c r="B368" s="63" t="s">
        <v>608</v>
      </c>
      <c r="C368" s="36">
        <v>4301012235</v>
      </c>
      <c r="D368" s="667">
        <v>4680115887190</v>
      </c>
      <c r="E368" s="66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69"/>
      <c r="R368" s="669"/>
      <c r="S368" s="669"/>
      <c r="T368" s="670"/>
      <c r="U368" s="39" t="s">
        <v>46</v>
      </c>
      <c r="V368" s="39" t="s">
        <v>46</v>
      </c>
      <c r="W368" s="40" t="s">
        <v>0</v>
      </c>
      <c r="X368" s="58">
        <v>20</v>
      </c>
      <c r="Y368" s="55">
        <f t="shared" si="63"/>
        <v>21.6</v>
      </c>
      <c r="Z368" s="41">
        <f>IFERROR(IF(Y368=0,"",ROUNDUP(Y368/H368,0)*0.01898),"")</f>
        <v>3.7960000000000001E-2</v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20.75925925925926</v>
      </c>
      <c r="BN368" s="78">
        <f t="shared" si="65"/>
        <v>22.42</v>
      </c>
      <c r="BO368" s="78">
        <f t="shared" si="66"/>
        <v>2.8935185185185182E-2</v>
      </c>
      <c r="BP368" s="78">
        <f t="shared" si="67"/>
        <v>3.125E-2</v>
      </c>
    </row>
    <row r="369" spans="1:68" ht="37.5" customHeight="1" x14ac:dyDescent="0.25">
      <c r="A369" s="63" t="s">
        <v>610</v>
      </c>
      <c r="B369" s="63" t="s">
        <v>611</v>
      </c>
      <c r="C369" s="36">
        <v>4301012233</v>
      </c>
      <c r="D369" s="667">
        <v>4680115887138</v>
      </c>
      <c r="E369" s="66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7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69"/>
      <c r="R369" s="669"/>
      <c r="S369" s="669"/>
      <c r="T369" s="670"/>
      <c r="U369" s="39" t="s">
        <v>46</v>
      </c>
      <c r="V369" s="39" t="s">
        <v>46</v>
      </c>
      <c r="W369" s="40" t="s">
        <v>0</v>
      </c>
      <c r="X369" s="58">
        <v>30</v>
      </c>
      <c r="Y369" s="55">
        <f t="shared" si="63"/>
        <v>32.400000000000006</v>
      </c>
      <c r="Z369" s="41">
        <f>IFERROR(IF(Y369=0,"",ROUNDUP(Y369/H369,0)*0.01898),"")</f>
        <v>5.6940000000000004E-2</v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31.138888888888889</v>
      </c>
      <c r="BN369" s="78">
        <f t="shared" si="65"/>
        <v>33.630000000000003</v>
      </c>
      <c r="BO369" s="78">
        <f t="shared" si="66"/>
        <v>4.3402777777777776E-2</v>
      </c>
      <c r="BP369" s="78">
        <f t="shared" si="67"/>
        <v>4.6875000000000007E-2</v>
      </c>
    </row>
    <row r="370" spans="1:68" ht="27" customHeight="1" x14ac:dyDescent="0.25">
      <c r="A370" s="63" t="s">
        <v>613</v>
      </c>
      <c r="B370" s="63" t="s">
        <v>614</v>
      </c>
      <c r="C370" s="36">
        <v>4301012016</v>
      </c>
      <c r="D370" s="667">
        <v>4680115885554</v>
      </c>
      <c r="E370" s="66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69"/>
      <c r="R370" s="669"/>
      <c r="S370" s="669"/>
      <c r="T370" s="670"/>
      <c r="U370" s="39" t="s">
        <v>46</v>
      </c>
      <c r="V370" s="39" t="s">
        <v>46</v>
      </c>
      <c r="W370" s="40" t="s">
        <v>0</v>
      </c>
      <c r="X370" s="58">
        <v>150</v>
      </c>
      <c r="Y370" s="55">
        <f t="shared" si="63"/>
        <v>151.20000000000002</v>
      </c>
      <c r="Z370" s="41">
        <f>IFERROR(IF(Y370=0,"",ROUNDUP(Y370/H370,0)*0.01898),"")</f>
        <v>0.26572000000000001</v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155.69444444444446</v>
      </c>
      <c r="BN370" s="78">
        <f t="shared" si="65"/>
        <v>156.94</v>
      </c>
      <c r="BO370" s="78">
        <f t="shared" si="66"/>
        <v>0.21701388888888887</v>
      </c>
      <c r="BP370" s="78">
        <f t="shared" si="67"/>
        <v>0.21875</v>
      </c>
    </row>
    <row r="371" spans="1:68" ht="27" customHeight="1" x14ac:dyDescent="0.25">
      <c r="A371" s="63" t="s">
        <v>616</v>
      </c>
      <c r="B371" s="63" t="s">
        <v>617</v>
      </c>
      <c r="C371" s="36">
        <v>4301012236</v>
      </c>
      <c r="D371" s="667">
        <v>4680115887220</v>
      </c>
      <c r="E371" s="66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69"/>
      <c r="R371" s="669"/>
      <c r="S371" s="669"/>
      <c r="T371" s="670"/>
      <c r="U371" s="39" t="s">
        <v>46</v>
      </c>
      <c r="V371" s="39" t="s">
        <v>46</v>
      </c>
      <c r="W371" s="40" t="s">
        <v>0</v>
      </c>
      <c r="X371" s="58">
        <v>4</v>
      </c>
      <c r="Y371" s="55">
        <f t="shared" si="63"/>
        <v>4</v>
      </c>
      <c r="Z371" s="41">
        <f>IFERROR(IF(Y371=0,"",ROUNDUP(Y371/H371,0)*0.00902),"")</f>
        <v>9.0200000000000002E-3</v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4.1900000000000004</v>
      </c>
      <c r="BN371" s="78">
        <f t="shared" si="65"/>
        <v>4.1900000000000004</v>
      </c>
      <c r="BO371" s="78">
        <f t="shared" si="66"/>
        <v>7.575757575757576E-3</v>
      </c>
      <c r="BP371" s="78">
        <f t="shared" si="67"/>
        <v>7.575757575757576E-3</v>
      </c>
    </row>
    <row r="372" spans="1:68" ht="27" customHeight="1" x14ac:dyDescent="0.25">
      <c r="A372" s="63" t="s">
        <v>618</v>
      </c>
      <c r="B372" s="63" t="s">
        <v>619</v>
      </c>
      <c r="C372" s="36">
        <v>4301011859</v>
      </c>
      <c r="D372" s="667">
        <v>4680115885608</v>
      </c>
      <c r="E372" s="66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69"/>
      <c r="R372" s="669"/>
      <c r="S372" s="669"/>
      <c r="T372" s="670"/>
      <c r="U372" s="39" t="s">
        <v>46</v>
      </c>
      <c r="V372" s="39" t="s">
        <v>46</v>
      </c>
      <c r="W372" s="40" t="s">
        <v>0</v>
      </c>
      <c r="X372" s="58">
        <v>32</v>
      </c>
      <c r="Y372" s="55">
        <f t="shared" si="63"/>
        <v>32</v>
      </c>
      <c r="Z372" s="41">
        <f>IFERROR(IF(Y372=0,"",ROUNDUP(Y372/H372,0)*0.00902),"")</f>
        <v>7.2160000000000002E-2</v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33.520000000000003</v>
      </c>
      <c r="BN372" s="78">
        <f t="shared" si="65"/>
        <v>33.520000000000003</v>
      </c>
      <c r="BO372" s="78">
        <f t="shared" si="66"/>
        <v>6.0606060606060608E-2</v>
      </c>
      <c r="BP372" s="78">
        <f t="shared" si="67"/>
        <v>6.0606060606060608E-2</v>
      </c>
    </row>
    <row r="373" spans="1:68" x14ac:dyDescent="0.2">
      <c r="A373" s="663"/>
      <c r="B373" s="663"/>
      <c r="C373" s="663"/>
      <c r="D373" s="663"/>
      <c r="E373" s="663"/>
      <c r="F373" s="663"/>
      <c r="G373" s="663"/>
      <c r="H373" s="663"/>
      <c r="I373" s="663"/>
      <c r="J373" s="663"/>
      <c r="K373" s="663"/>
      <c r="L373" s="663"/>
      <c r="M373" s="663"/>
      <c r="N373" s="663"/>
      <c r="O373" s="664"/>
      <c r="P373" s="660" t="s">
        <v>40</v>
      </c>
      <c r="Q373" s="661"/>
      <c r="R373" s="661"/>
      <c r="S373" s="661"/>
      <c r="T373" s="661"/>
      <c r="U373" s="661"/>
      <c r="V373" s="662"/>
      <c r="W373" s="42" t="s">
        <v>39</v>
      </c>
      <c r="X373" s="43">
        <f>IFERROR(X366/H366,"0")+IFERROR(X367/H367,"0")+IFERROR(X368/H368,"0")+IFERROR(X369/H369,"0")+IFERROR(X370/H370,"0")+IFERROR(X371/H371,"0")+IFERROR(X372/H372,"0")</f>
        <v>27.518518518518519</v>
      </c>
      <c r="Y373" s="43">
        <f>IFERROR(Y366/H366,"0")+IFERROR(Y367/H367,"0")+IFERROR(Y368/H368,"0")+IFERROR(Y369/H369,"0")+IFERROR(Y370/H370,"0")+IFERROR(Y371/H371,"0")+IFERROR(Y372/H372,"0")</f>
        <v>28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0.44180000000000008</v>
      </c>
      <c r="AA373" s="67"/>
      <c r="AB373" s="67"/>
      <c r="AC373" s="67"/>
    </row>
    <row r="374" spans="1:68" x14ac:dyDescent="0.2">
      <c r="A374" s="663"/>
      <c r="B374" s="663"/>
      <c r="C374" s="663"/>
      <c r="D374" s="663"/>
      <c r="E374" s="663"/>
      <c r="F374" s="663"/>
      <c r="G374" s="663"/>
      <c r="H374" s="663"/>
      <c r="I374" s="663"/>
      <c r="J374" s="663"/>
      <c r="K374" s="663"/>
      <c r="L374" s="663"/>
      <c r="M374" s="663"/>
      <c r="N374" s="663"/>
      <c r="O374" s="664"/>
      <c r="P374" s="660" t="s">
        <v>40</v>
      </c>
      <c r="Q374" s="661"/>
      <c r="R374" s="661"/>
      <c r="S374" s="661"/>
      <c r="T374" s="661"/>
      <c r="U374" s="661"/>
      <c r="V374" s="662"/>
      <c r="W374" s="42" t="s">
        <v>0</v>
      </c>
      <c r="X374" s="43">
        <f>IFERROR(SUM(X366:X372),"0")</f>
        <v>236</v>
      </c>
      <c r="Y374" s="43">
        <f>IFERROR(SUM(Y366:Y372),"0")</f>
        <v>241.20000000000002</v>
      </c>
      <c r="Z374" s="42"/>
      <c r="AA374" s="67"/>
      <c r="AB374" s="67"/>
      <c r="AC374" s="67"/>
    </row>
    <row r="375" spans="1:68" ht="14.25" hidden="1" customHeight="1" x14ac:dyDescent="0.25">
      <c r="A375" s="666" t="s">
        <v>77</v>
      </c>
      <c r="B375" s="666"/>
      <c r="C375" s="666"/>
      <c r="D375" s="666"/>
      <c r="E375" s="666"/>
      <c r="F375" s="666"/>
      <c r="G375" s="666"/>
      <c r="H375" s="666"/>
      <c r="I375" s="666"/>
      <c r="J375" s="666"/>
      <c r="K375" s="666"/>
      <c r="L375" s="666"/>
      <c r="M375" s="666"/>
      <c r="N375" s="666"/>
      <c r="O375" s="666"/>
      <c r="P375" s="666"/>
      <c r="Q375" s="666"/>
      <c r="R375" s="666"/>
      <c r="S375" s="666"/>
      <c r="T375" s="666"/>
      <c r="U375" s="666"/>
      <c r="V375" s="666"/>
      <c r="W375" s="666"/>
      <c r="X375" s="666"/>
      <c r="Y375" s="666"/>
      <c r="Z375" s="666"/>
      <c r="AA375" s="66"/>
      <c r="AB375" s="66"/>
      <c r="AC375" s="80"/>
    </row>
    <row r="376" spans="1:68" ht="27" customHeight="1" x14ac:dyDescent="0.25">
      <c r="A376" s="63" t="s">
        <v>621</v>
      </c>
      <c r="B376" s="63" t="s">
        <v>622</v>
      </c>
      <c r="C376" s="36">
        <v>4301030878</v>
      </c>
      <c r="D376" s="667">
        <v>4607091387193</v>
      </c>
      <c r="E376" s="66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7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69"/>
      <c r="R376" s="669"/>
      <c r="S376" s="669"/>
      <c r="T376" s="670"/>
      <c r="U376" s="39" t="s">
        <v>46</v>
      </c>
      <c r="V376" s="39" t="s">
        <v>46</v>
      </c>
      <c r="W376" s="40" t="s">
        <v>0</v>
      </c>
      <c r="X376" s="58">
        <v>40</v>
      </c>
      <c r="Y376" s="55">
        <f t="shared" ref="Y376:Y382" si="68">IFERROR(IF(X376="",0,CEILING((X376/$H376),1)*$H376),"")</f>
        <v>42</v>
      </c>
      <c r="Z376" s="41">
        <f>IFERROR(IF(Y376=0,"",ROUNDUP(Y376/H376,0)*0.00902),"")</f>
        <v>9.0200000000000002E-2</v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42.38095238095238</v>
      </c>
      <c r="BN376" s="78">
        <f t="shared" ref="BN376:BN382" si="70">IFERROR(Y376*I376/H376,"0")</f>
        <v>44.5</v>
      </c>
      <c r="BO376" s="78">
        <f t="shared" ref="BO376:BO382" si="71">IFERROR(1/J376*(X376/H376),"0")</f>
        <v>7.2150072150072145E-2</v>
      </c>
      <c r="BP376" s="78">
        <f t="shared" ref="BP376:BP382" si="72">IFERROR(1/J376*(Y376/H376),"0")</f>
        <v>7.575757575757576E-2</v>
      </c>
    </row>
    <row r="377" spans="1:68" ht="27" customHeight="1" x14ac:dyDescent="0.25">
      <c r="A377" s="63" t="s">
        <v>624</v>
      </c>
      <c r="B377" s="63" t="s">
        <v>625</v>
      </c>
      <c r="C377" s="36">
        <v>4301031153</v>
      </c>
      <c r="D377" s="667">
        <v>4607091387230</v>
      </c>
      <c r="E377" s="66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7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69"/>
      <c r="R377" s="669"/>
      <c r="S377" s="669"/>
      <c r="T377" s="670"/>
      <c r="U377" s="39" t="s">
        <v>46</v>
      </c>
      <c r="V377" s="39" t="s">
        <v>46</v>
      </c>
      <c r="W377" s="40" t="s">
        <v>0</v>
      </c>
      <c r="X377" s="58">
        <v>32</v>
      </c>
      <c r="Y377" s="55">
        <f t="shared" si="68"/>
        <v>33.6</v>
      </c>
      <c r="Z377" s="41">
        <f>IFERROR(IF(Y377=0,"",ROUNDUP(Y377/H377,0)*0.00902),"")</f>
        <v>7.2160000000000002E-2</v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33.904761904761905</v>
      </c>
      <c r="BN377" s="78">
        <f t="shared" si="70"/>
        <v>35.6</v>
      </c>
      <c r="BO377" s="78">
        <f t="shared" si="71"/>
        <v>5.772005772005772E-2</v>
      </c>
      <c r="BP377" s="78">
        <f t="shared" si="72"/>
        <v>6.0606060606060608E-2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4301031154</v>
      </c>
      <c r="D378" s="667">
        <v>4607091387292</v>
      </c>
      <c r="E378" s="66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69"/>
      <c r="R378" s="669"/>
      <c r="S378" s="669"/>
      <c r="T378" s="67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customHeight="1" x14ac:dyDescent="0.25">
      <c r="A379" s="63" t="s">
        <v>630</v>
      </c>
      <c r="B379" s="63" t="s">
        <v>631</v>
      </c>
      <c r="C379" s="36">
        <v>4301031152</v>
      </c>
      <c r="D379" s="667">
        <v>4607091387285</v>
      </c>
      <c r="E379" s="66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69"/>
      <c r="R379" s="669"/>
      <c r="S379" s="669"/>
      <c r="T379" s="670"/>
      <c r="U379" s="39" t="s">
        <v>46</v>
      </c>
      <c r="V379" s="39" t="s">
        <v>46</v>
      </c>
      <c r="W379" s="40" t="s">
        <v>0</v>
      </c>
      <c r="X379" s="58">
        <v>18.899999999999999</v>
      </c>
      <c r="Y379" s="55">
        <f t="shared" si="68"/>
        <v>18.900000000000002</v>
      </c>
      <c r="Z379" s="41">
        <f>IFERROR(IF(Y379=0,"",ROUNDUP(Y379/H379,0)*0.00502),"")</f>
        <v>4.5179999999999998E-2</v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20.069999999999997</v>
      </c>
      <c r="BN379" s="78">
        <f t="shared" si="70"/>
        <v>20.07</v>
      </c>
      <c r="BO379" s="78">
        <f t="shared" si="71"/>
        <v>3.8461538461538457E-2</v>
      </c>
      <c r="BP379" s="78">
        <f t="shared" si="72"/>
        <v>3.8461538461538464E-2</v>
      </c>
    </row>
    <row r="380" spans="1:68" ht="27" customHeight="1" x14ac:dyDescent="0.25">
      <c r="A380" s="63" t="s">
        <v>632</v>
      </c>
      <c r="B380" s="63" t="s">
        <v>633</v>
      </c>
      <c r="C380" s="36">
        <v>4301031305</v>
      </c>
      <c r="D380" s="667">
        <v>4607091389845</v>
      </c>
      <c r="E380" s="66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69"/>
      <c r="R380" s="669"/>
      <c r="S380" s="669"/>
      <c r="T380" s="670"/>
      <c r="U380" s="39" t="s">
        <v>46</v>
      </c>
      <c r="V380" s="39" t="s">
        <v>46</v>
      </c>
      <c r="W380" s="40" t="s">
        <v>0</v>
      </c>
      <c r="X380" s="58">
        <v>10.5</v>
      </c>
      <c r="Y380" s="55">
        <f t="shared" si="68"/>
        <v>10.5</v>
      </c>
      <c r="Z380" s="41">
        <f>IFERROR(IF(Y380=0,"",ROUNDUP(Y380/H380,0)*0.00502),"")</f>
        <v>2.5100000000000001E-2</v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11</v>
      </c>
      <c r="BN380" s="78">
        <f t="shared" si="70"/>
        <v>11</v>
      </c>
      <c r="BO380" s="78">
        <f t="shared" si="71"/>
        <v>2.1367521367521368E-2</v>
      </c>
      <c r="BP380" s="78">
        <f t="shared" si="72"/>
        <v>2.1367521367521368E-2</v>
      </c>
    </row>
    <row r="381" spans="1:68" ht="27" hidden="1" customHeight="1" x14ac:dyDescent="0.25">
      <c r="A381" s="63" t="s">
        <v>635</v>
      </c>
      <c r="B381" s="63" t="s">
        <v>636</v>
      </c>
      <c r="C381" s="36">
        <v>4301031460</v>
      </c>
      <c r="D381" s="667">
        <v>4680115887442</v>
      </c>
      <c r="E381" s="66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69"/>
      <c r="R381" s="669"/>
      <c r="S381" s="669"/>
      <c r="T381" s="67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4301031066</v>
      </c>
      <c r="D382" s="667">
        <v>4607091383836</v>
      </c>
      <c r="E382" s="66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69"/>
      <c r="R382" s="669"/>
      <c r="S382" s="669"/>
      <c r="T382" s="67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x14ac:dyDescent="0.2">
      <c r="A383" s="663"/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4"/>
      <c r="P383" s="660" t="s">
        <v>40</v>
      </c>
      <c r="Q383" s="661"/>
      <c r="R383" s="661"/>
      <c r="S383" s="661"/>
      <c r="T383" s="661"/>
      <c r="U383" s="661"/>
      <c r="V383" s="662"/>
      <c r="W383" s="42" t="s">
        <v>39</v>
      </c>
      <c r="X383" s="43">
        <f>IFERROR(X376/H376,"0")+IFERROR(X377/H377,"0")+IFERROR(X378/H378,"0")+IFERROR(X379/H379,"0")+IFERROR(X380/H380,"0")+IFERROR(X381/H381,"0")+IFERROR(X382/H382,"0")</f>
        <v>31.142857142857139</v>
      </c>
      <c r="Y383" s="43">
        <f>IFERROR(Y376/H376,"0")+IFERROR(Y377/H377,"0")+IFERROR(Y378/H378,"0")+IFERROR(Y379/H379,"0")+IFERROR(Y380/H380,"0")+IFERROR(Y381/H381,"0")+IFERROR(Y382/H382,"0")</f>
        <v>32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0.23264000000000001</v>
      </c>
      <c r="AA383" s="67"/>
      <c r="AB383" s="67"/>
      <c r="AC383" s="67"/>
    </row>
    <row r="384" spans="1:68" x14ac:dyDescent="0.2">
      <c r="A384" s="663"/>
      <c r="B384" s="663"/>
      <c r="C384" s="663"/>
      <c r="D384" s="663"/>
      <c r="E384" s="663"/>
      <c r="F384" s="663"/>
      <c r="G384" s="663"/>
      <c r="H384" s="663"/>
      <c r="I384" s="663"/>
      <c r="J384" s="663"/>
      <c r="K384" s="663"/>
      <c r="L384" s="663"/>
      <c r="M384" s="663"/>
      <c r="N384" s="663"/>
      <c r="O384" s="664"/>
      <c r="P384" s="660" t="s">
        <v>40</v>
      </c>
      <c r="Q384" s="661"/>
      <c r="R384" s="661"/>
      <c r="S384" s="661"/>
      <c r="T384" s="661"/>
      <c r="U384" s="661"/>
      <c r="V384" s="662"/>
      <c r="W384" s="42" t="s">
        <v>0</v>
      </c>
      <c r="X384" s="43">
        <f>IFERROR(SUM(X376:X382),"0")</f>
        <v>101.4</v>
      </c>
      <c r="Y384" s="43">
        <f>IFERROR(SUM(Y376:Y382),"0")</f>
        <v>105</v>
      </c>
      <c r="Z384" s="42"/>
      <c r="AA384" s="67"/>
      <c r="AB384" s="67"/>
      <c r="AC384" s="67"/>
    </row>
    <row r="385" spans="1:68" ht="14.25" hidden="1" customHeight="1" x14ac:dyDescent="0.25">
      <c r="A385" s="666" t="s">
        <v>86</v>
      </c>
      <c r="B385" s="666"/>
      <c r="C385" s="666"/>
      <c r="D385" s="666"/>
      <c r="E385" s="666"/>
      <c r="F385" s="666"/>
      <c r="G385" s="666"/>
      <c r="H385" s="666"/>
      <c r="I385" s="666"/>
      <c r="J385" s="666"/>
      <c r="K385" s="666"/>
      <c r="L385" s="666"/>
      <c r="M385" s="666"/>
      <c r="N385" s="666"/>
      <c r="O385" s="666"/>
      <c r="P385" s="666"/>
      <c r="Q385" s="666"/>
      <c r="R385" s="666"/>
      <c r="S385" s="666"/>
      <c r="T385" s="666"/>
      <c r="U385" s="666"/>
      <c r="V385" s="666"/>
      <c r="W385" s="666"/>
      <c r="X385" s="666"/>
      <c r="Y385" s="666"/>
      <c r="Z385" s="666"/>
      <c r="AA385" s="66"/>
      <c r="AB385" s="66"/>
      <c r="AC385" s="80"/>
    </row>
    <row r="386" spans="1:68" ht="27" customHeight="1" x14ac:dyDescent="0.25">
      <c r="A386" s="63" t="s">
        <v>640</v>
      </c>
      <c r="B386" s="63" t="s">
        <v>641</v>
      </c>
      <c r="C386" s="36">
        <v>4301051100</v>
      </c>
      <c r="D386" s="667">
        <v>4607091387766</v>
      </c>
      <c r="E386" s="66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69"/>
      <c r="R386" s="669"/>
      <c r="S386" s="669"/>
      <c r="T386" s="670"/>
      <c r="U386" s="39" t="s">
        <v>46</v>
      </c>
      <c r="V386" s="39" t="s">
        <v>46</v>
      </c>
      <c r="W386" s="40" t="s">
        <v>0</v>
      </c>
      <c r="X386" s="58">
        <v>700</v>
      </c>
      <c r="Y386" s="55">
        <f>IFERROR(IF(X386="",0,CEILING((X386/$H386),1)*$H386),"")</f>
        <v>702</v>
      </c>
      <c r="Z386" s="41">
        <f>IFERROR(IF(Y386=0,"",ROUNDUP(Y386/H386,0)*0.01898),"")</f>
        <v>1.7081999999999999</v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743.79487179487182</v>
      </c>
      <c r="BN386" s="78">
        <f>IFERROR(Y386*I386/H386,"0")</f>
        <v>745.92000000000007</v>
      </c>
      <c r="BO386" s="78">
        <f>IFERROR(1/J386*(X386/H386),"0")</f>
        <v>1.4022435897435899</v>
      </c>
      <c r="BP386" s="78">
        <f>IFERROR(1/J386*(Y386/H386),"0")</f>
        <v>1.40625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4301051818</v>
      </c>
      <c r="D387" s="667">
        <v>4607091387957</v>
      </c>
      <c r="E387" s="66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69"/>
      <c r="R387" s="669"/>
      <c r="S387" s="669"/>
      <c r="T387" s="67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4301051819</v>
      </c>
      <c r="D388" s="667">
        <v>4607091387964</v>
      </c>
      <c r="E388" s="66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69"/>
      <c r="R388" s="669"/>
      <c r="S388" s="669"/>
      <c r="T388" s="67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649</v>
      </c>
      <c r="B389" s="63" t="s">
        <v>650</v>
      </c>
      <c r="C389" s="36">
        <v>4301051734</v>
      </c>
      <c r="D389" s="667">
        <v>4680115884588</v>
      </c>
      <c r="E389" s="66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7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69"/>
      <c r="R389" s="669"/>
      <c r="S389" s="669"/>
      <c r="T389" s="670"/>
      <c r="U389" s="39" t="s">
        <v>46</v>
      </c>
      <c r="V389" s="39" t="s">
        <v>46</v>
      </c>
      <c r="W389" s="40" t="s">
        <v>0</v>
      </c>
      <c r="X389" s="58">
        <v>9</v>
      </c>
      <c r="Y389" s="55">
        <f>IFERROR(IF(X389="",0,CEILING((X389/$H389),1)*$H389),"")</f>
        <v>9</v>
      </c>
      <c r="Z389" s="41">
        <f>IFERROR(IF(Y389=0,"",ROUNDUP(Y389/H389,0)*0.00651),"")</f>
        <v>1.9529999999999999E-2</v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9.7379999999999995</v>
      </c>
      <c r="BN389" s="78">
        <f>IFERROR(Y389*I389/H389,"0")</f>
        <v>9.7379999999999995</v>
      </c>
      <c r="BO389" s="78">
        <f>IFERROR(1/J389*(X389/H389),"0")</f>
        <v>1.6483516483516484E-2</v>
      </c>
      <c r="BP389" s="78">
        <f>IFERROR(1/J389*(Y389/H389),"0")</f>
        <v>1.6483516483516484E-2</v>
      </c>
    </row>
    <row r="390" spans="1:68" x14ac:dyDescent="0.2">
      <c r="A390" s="663"/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4"/>
      <c r="P390" s="660" t="s">
        <v>40</v>
      </c>
      <c r="Q390" s="661"/>
      <c r="R390" s="661"/>
      <c r="S390" s="661"/>
      <c r="T390" s="661"/>
      <c r="U390" s="661"/>
      <c r="V390" s="662"/>
      <c r="W390" s="42" t="s">
        <v>39</v>
      </c>
      <c r="X390" s="43">
        <f>IFERROR(X386/H386,"0")+IFERROR(X387/H387,"0")+IFERROR(X388/H388,"0")+IFERROR(X389/H389,"0")</f>
        <v>92.743589743589752</v>
      </c>
      <c r="Y390" s="43">
        <f>IFERROR(Y386/H386,"0")+IFERROR(Y387/H387,"0")+IFERROR(Y388/H388,"0")+IFERROR(Y389/H389,"0")</f>
        <v>93</v>
      </c>
      <c r="Z390" s="43">
        <f>IFERROR(IF(Z386="",0,Z386),"0")+IFERROR(IF(Z387="",0,Z387),"0")+IFERROR(IF(Z388="",0,Z388),"0")+IFERROR(IF(Z389="",0,Z389),"0")</f>
        <v>1.72773</v>
      </c>
      <c r="AA390" s="67"/>
      <c r="AB390" s="67"/>
      <c r="AC390" s="67"/>
    </row>
    <row r="391" spans="1:68" x14ac:dyDescent="0.2">
      <c r="A391" s="663"/>
      <c r="B391" s="663"/>
      <c r="C391" s="663"/>
      <c r="D391" s="663"/>
      <c r="E391" s="663"/>
      <c r="F391" s="663"/>
      <c r="G391" s="663"/>
      <c r="H391" s="663"/>
      <c r="I391" s="663"/>
      <c r="J391" s="663"/>
      <c r="K391" s="663"/>
      <c r="L391" s="663"/>
      <c r="M391" s="663"/>
      <c r="N391" s="663"/>
      <c r="O391" s="664"/>
      <c r="P391" s="660" t="s">
        <v>40</v>
      </c>
      <c r="Q391" s="661"/>
      <c r="R391" s="661"/>
      <c r="S391" s="661"/>
      <c r="T391" s="661"/>
      <c r="U391" s="661"/>
      <c r="V391" s="662"/>
      <c r="W391" s="42" t="s">
        <v>0</v>
      </c>
      <c r="X391" s="43">
        <f>IFERROR(SUM(X386:X389),"0")</f>
        <v>709</v>
      </c>
      <c r="Y391" s="43">
        <f>IFERROR(SUM(Y386:Y389),"0")</f>
        <v>711</v>
      </c>
      <c r="Z391" s="42"/>
      <c r="AA391" s="67"/>
      <c r="AB391" s="67"/>
      <c r="AC391" s="67"/>
    </row>
    <row r="392" spans="1:68" ht="14.25" hidden="1" customHeight="1" x14ac:dyDescent="0.25">
      <c r="A392" s="666" t="s">
        <v>178</v>
      </c>
      <c r="B392" s="666"/>
      <c r="C392" s="666"/>
      <c r="D392" s="666"/>
      <c r="E392" s="666"/>
      <c r="F392" s="666"/>
      <c r="G392" s="666"/>
      <c r="H392" s="666"/>
      <c r="I392" s="666"/>
      <c r="J392" s="666"/>
      <c r="K392" s="666"/>
      <c r="L392" s="666"/>
      <c r="M392" s="666"/>
      <c r="N392" s="666"/>
      <c r="O392" s="666"/>
      <c r="P392" s="666"/>
      <c r="Q392" s="666"/>
      <c r="R392" s="666"/>
      <c r="S392" s="666"/>
      <c r="T392" s="666"/>
      <c r="U392" s="666"/>
      <c r="V392" s="666"/>
      <c r="W392" s="666"/>
      <c r="X392" s="666"/>
      <c r="Y392" s="666"/>
      <c r="Z392" s="666"/>
      <c r="AA392" s="66"/>
      <c r="AB392" s="66"/>
      <c r="AC392" s="80"/>
    </row>
    <row r="393" spans="1:68" ht="27" hidden="1" customHeight="1" x14ac:dyDescent="0.25">
      <c r="A393" s="63" t="s">
        <v>651</v>
      </c>
      <c r="B393" s="63" t="s">
        <v>652</v>
      </c>
      <c r="C393" s="36">
        <v>4301060387</v>
      </c>
      <c r="D393" s="667">
        <v>4607091380880</v>
      </c>
      <c r="E393" s="66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69"/>
      <c r="R393" s="669"/>
      <c r="S393" s="669"/>
      <c r="T393" s="67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4301060406</v>
      </c>
      <c r="D394" s="667">
        <v>4607091384482</v>
      </c>
      <c r="E394" s="66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69"/>
      <c r="R394" s="669"/>
      <c r="S394" s="669"/>
      <c r="T394" s="670"/>
      <c r="U394" s="39" t="s">
        <v>46</v>
      </c>
      <c r="V394" s="39" t="s">
        <v>46</v>
      </c>
      <c r="W394" s="40" t="s">
        <v>0</v>
      </c>
      <c r="X394" s="58">
        <v>65</v>
      </c>
      <c r="Y394" s="55">
        <f>IFERROR(IF(X394="",0,CEILING((X394/$H394),1)*$H394),"")</f>
        <v>70.2</v>
      </c>
      <c r="Z394" s="41">
        <f>IFERROR(IF(Y394=0,"",ROUNDUP(Y394/H394,0)*0.01898),"")</f>
        <v>0.17082</v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69.116666666666674</v>
      </c>
      <c r="BN394" s="78">
        <f>IFERROR(Y394*I394/H394,"0")</f>
        <v>74.646000000000015</v>
      </c>
      <c r="BO394" s="78">
        <f>IFERROR(1/J394*(X394/H394),"0")</f>
        <v>0.13020833333333334</v>
      </c>
      <c r="BP394" s="78">
        <f>IFERROR(1/J394*(Y394/H394),"0")</f>
        <v>0.140625</v>
      </c>
    </row>
    <row r="395" spans="1:68" ht="27" customHeight="1" x14ac:dyDescent="0.25">
      <c r="A395" s="63" t="s">
        <v>657</v>
      </c>
      <c r="B395" s="63" t="s">
        <v>658</v>
      </c>
      <c r="C395" s="36">
        <v>4301060484</v>
      </c>
      <c r="D395" s="667">
        <v>4607091380897</v>
      </c>
      <c r="E395" s="66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69"/>
      <c r="R395" s="669"/>
      <c r="S395" s="669"/>
      <c r="T395" s="670"/>
      <c r="U395" s="39" t="s">
        <v>46</v>
      </c>
      <c r="V395" s="39" t="s">
        <v>46</v>
      </c>
      <c r="W395" s="40" t="s">
        <v>0</v>
      </c>
      <c r="X395" s="58">
        <v>24</v>
      </c>
      <c r="Y395" s="55">
        <f>IFERROR(IF(X395="",0,CEILING((X395/$H395),1)*$H395),"")</f>
        <v>25.200000000000003</v>
      </c>
      <c r="Z395" s="41">
        <f>IFERROR(IF(Y395=0,"",ROUNDUP(Y395/H395,0)*0.01898),"")</f>
        <v>5.6940000000000004E-2</v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25.411428571428573</v>
      </c>
      <c r="BN395" s="78">
        <f>IFERROR(Y395*I395/H395,"0")</f>
        <v>26.682000000000002</v>
      </c>
      <c r="BO395" s="78">
        <f>IFERROR(1/J395*(X395/H395),"0")</f>
        <v>4.4642857142857144E-2</v>
      </c>
      <c r="BP395" s="78">
        <f>IFERROR(1/J395*(Y395/H395),"0")</f>
        <v>4.6875E-2</v>
      </c>
    </row>
    <row r="396" spans="1:68" x14ac:dyDescent="0.2">
      <c r="A396" s="663"/>
      <c r="B396" s="663"/>
      <c r="C396" s="663"/>
      <c r="D396" s="663"/>
      <c r="E396" s="663"/>
      <c r="F396" s="663"/>
      <c r="G396" s="663"/>
      <c r="H396" s="663"/>
      <c r="I396" s="663"/>
      <c r="J396" s="663"/>
      <c r="K396" s="663"/>
      <c r="L396" s="663"/>
      <c r="M396" s="663"/>
      <c r="N396" s="663"/>
      <c r="O396" s="664"/>
      <c r="P396" s="660" t="s">
        <v>40</v>
      </c>
      <c r="Q396" s="661"/>
      <c r="R396" s="661"/>
      <c r="S396" s="661"/>
      <c r="T396" s="661"/>
      <c r="U396" s="661"/>
      <c r="V396" s="662"/>
      <c r="W396" s="42" t="s">
        <v>39</v>
      </c>
      <c r="X396" s="43">
        <f>IFERROR(X393/H393,"0")+IFERROR(X394/H394,"0")+IFERROR(X395/H395,"0")</f>
        <v>11.190476190476192</v>
      </c>
      <c r="Y396" s="43">
        <f>IFERROR(Y393/H393,"0")+IFERROR(Y394/H394,"0")+IFERROR(Y395/H395,"0")</f>
        <v>12</v>
      </c>
      <c r="Z396" s="43">
        <f>IFERROR(IF(Z393="",0,Z393),"0")+IFERROR(IF(Z394="",0,Z394),"0")+IFERROR(IF(Z395="",0,Z395),"0")</f>
        <v>0.22776000000000002</v>
      </c>
      <c r="AA396" s="67"/>
      <c r="AB396" s="67"/>
      <c r="AC396" s="67"/>
    </row>
    <row r="397" spans="1:68" x14ac:dyDescent="0.2">
      <c r="A397" s="663"/>
      <c r="B397" s="663"/>
      <c r="C397" s="663"/>
      <c r="D397" s="663"/>
      <c r="E397" s="663"/>
      <c r="F397" s="663"/>
      <c r="G397" s="663"/>
      <c r="H397" s="663"/>
      <c r="I397" s="663"/>
      <c r="J397" s="663"/>
      <c r="K397" s="663"/>
      <c r="L397" s="663"/>
      <c r="M397" s="663"/>
      <c r="N397" s="663"/>
      <c r="O397" s="664"/>
      <c r="P397" s="660" t="s">
        <v>40</v>
      </c>
      <c r="Q397" s="661"/>
      <c r="R397" s="661"/>
      <c r="S397" s="661"/>
      <c r="T397" s="661"/>
      <c r="U397" s="661"/>
      <c r="V397" s="662"/>
      <c r="W397" s="42" t="s">
        <v>0</v>
      </c>
      <c r="X397" s="43">
        <f>IFERROR(SUM(X393:X395),"0")</f>
        <v>89</v>
      </c>
      <c r="Y397" s="43">
        <f>IFERROR(SUM(Y393:Y395),"0")</f>
        <v>95.4</v>
      </c>
      <c r="Z397" s="42"/>
      <c r="AA397" s="67"/>
      <c r="AB397" s="67"/>
      <c r="AC397" s="67"/>
    </row>
    <row r="398" spans="1:68" ht="14.25" hidden="1" customHeight="1" x14ac:dyDescent="0.25">
      <c r="A398" s="666" t="s">
        <v>278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6"/>
      <c r="AB398" s="66"/>
      <c r="AC398" s="80"/>
    </row>
    <row r="399" spans="1:68" ht="27" hidden="1" customHeight="1" x14ac:dyDescent="0.25">
      <c r="A399" s="63" t="s">
        <v>660</v>
      </c>
      <c r="B399" s="63" t="s">
        <v>661</v>
      </c>
      <c r="C399" s="36">
        <v>4301030235</v>
      </c>
      <c r="D399" s="667">
        <v>4607091388381</v>
      </c>
      <c r="E399" s="66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7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69"/>
      <c r="R399" s="669"/>
      <c r="S399" s="669"/>
      <c r="T399" s="67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4301030232</v>
      </c>
      <c r="D400" s="667">
        <v>4607091388374</v>
      </c>
      <c r="E400" s="66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7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69"/>
      <c r="R400" s="669"/>
      <c r="S400" s="669"/>
      <c r="T400" s="67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4301032015</v>
      </c>
      <c r="D401" s="667">
        <v>4607091383102</v>
      </c>
      <c r="E401" s="66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7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69"/>
      <c r="R401" s="669"/>
      <c r="S401" s="669"/>
      <c r="T401" s="67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667</v>
      </c>
      <c r="B402" s="63" t="s">
        <v>668</v>
      </c>
      <c r="C402" s="36">
        <v>4301030233</v>
      </c>
      <c r="D402" s="667">
        <v>4607091388404</v>
      </c>
      <c r="E402" s="66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69"/>
      <c r="R402" s="669"/>
      <c r="S402" s="669"/>
      <c r="T402" s="670"/>
      <c r="U402" s="39" t="s">
        <v>46</v>
      </c>
      <c r="V402" s="39" t="s">
        <v>46</v>
      </c>
      <c r="W402" s="40" t="s">
        <v>0</v>
      </c>
      <c r="X402" s="58">
        <v>2.5499999999999998</v>
      </c>
      <c r="Y402" s="55">
        <f>IFERROR(IF(X402="",0,CEILING((X402/$H402),1)*$H402),"")</f>
        <v>2.5499999999999998</v>
      </c>
      <c r="Z402" s="41">
        <f>IFERROR(IF(Y402=0,"",ROUNDUP(Y402/H402,0)*0.00651),"")</f>
        <v>6.5100000000000002E-3</v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2.88</v>
      </c>
      <c r="BN402" s="78">
        <f>IFERROR(Y402*I402/H402,"0")</f>
        <v>2.88</v>
      </c>
      <c r="BO402" s="78">
        <f>IFERROR(1/J402*(X402/H402),"0")</f>
        <v>5.4945054945054949E-3</v>
      </c>
      <c r="BP402" s="78">
        <f>IFERROR(1/J402*(Y402/H402),"0")</f>
        <v>5.4945054945054949E-3</v>
      </c>
    </row>
    <row r="403" spans="1:68" x14ac:dyDescent="0.2">
      <c r="A403" s="663"/>
      <c r="B403" s="663"/>
      <c r="C403" s="663"/>
      <c r="D403" s="663"/>
      <c r="E403" s="663"/>
      <c r="F403" s="663"/>
      <c r="G403" s="663"/>
      <c r="H403" s="663"/>
      <c r="I403" s="663"/>
      <c r="J403" s="663"/>
      <c r="K403" s="663"/>
      <c r="L403" s="663"/>
      <c r="M403" s="663"/>
      <c r="N403" s="663"/>
      <c r="O403" s="664"/>
      <c r="P403" s="660" t="s">
        <v>40</v>
      </c>
      <c r="Q403" s="661"/>
      <c r="R403" s="661"/>
      <c r="S403" s="661"/>
      <c r="T403" s="661"/>
      <c r="U403" s="661"/>
      <c r="V403" s="662"/>
      <c r="W403" s="42" t="s">
        <v>39</v>
      </c>
      <c r="X403" s="43">
        <f>IFERROR(X399/H399,"0")+IFERROR(X400/H400,"0")+IFERROR(X401/H401,"0")+IFERROR(X402/H402,"0")</f>
        <v>1</v>
      </c>
      <c r="Y403" s="43">
        <f>IFERROR(Y399/H399,"0")+IFERROR(Y400/H400,"0")+IFERROR(Y401/H401,"0")+IFERROR(Y402/H402,"0")</f>
        <v>1</v>
      </c>
      <c r="Z403" s="43">
        <f>IFERROR(IF(Z399="",0,Z399),"0")+IFERROR(IF(Z400="",0,Z400),"0")+IFERROR(IF(Z401="",0,Z401),"0")+IFERROR(IF(Z402="",0,Z402),"0")</f>
        <v>6.5100000000000002E-3</v>
      </c>
      <c r="AA403" s="67"/>
      <c r="AB403" s="67"/>
      <c r="AC403" s="67"/>
    </row>
    <row r="404" spans="1:68" x14ac:dyDescent="0.2">
      <c r="A404" s="663"/>
      <c r="B404" s="663"/>
      <c r="C404" s="663"/>
      <c r="D404" s="663"/>
      <c r="E404" s="663"/>
      <c r="F404" s="663"/>
      <c r="G404" s="663"/>
      <c r="H404" s="663"/>
      <c r="I404" s="663"/>
      <c r="J404" s="663"/>
      <c r="K404" s="663"/>
      <c r="L404" s="663"/>
      <c r="M404" s="663"/>
      <c r="N404" s="663"/>
      <c r="O404" s="664"/>
      <c r="P404" s="660" t="s">
        <v>40</v>
      </c>
      <c r="Q404" s="661"/>
      <c r="R404" s="661"/>
      <c r="S404" s="661"/>
      <c r="T404" s="661"/>
      <c r="U404" s="661"/>
      <c r="V404" s="662"/>
      <c r="W404" s="42" t="s">
        <v>0</v>
      </c>
      <c r="X404" s="43">
        <f>IFERROR(SUM(X399:X402),"0")</f>
        <v>2.5499999999999998</v>
      </c>
      <c r="Y404" s="43">
        <f>IFERROR(SUM(Y399:Y402),"0")</f>
        <v>2.5499999999999998</v>
      </c>
      <c r="Z404" s="42"/>
      <c r="AA404" s="67"/>
      <c r="AB404" s="67"/>
      <c r="AC404" s="67"/>
    </row>
    <row r="405" spans="1:68" ht="14.25" hidden="1" customHeight="1" x14ac:dyDescent="0.25">
      <c r="A405" s="666" t="s">
        <v>669</v>
      </c>
      <c r="B405" s="666"/>
      <c r="C405" s="666"/>
      <c r="D405" s="666"/>
      <c r="E405" s="666"/>
      <c r="F405" s="666"/>
      <c r="G405" s="666"/>
      <c r="H405" s="666"/>
      <c r="I405" s="666"/>
      <c r="J405" s="666"/>
      <c r="K405" s="666"/>
      <c r="L405" s="666"/>
      <c r="M405" s="666"/>
      <c r="N405" s="666"/>
      <c r="O405" s="666"/>
      <c r="P405" s="666"/>
      <c r="Q405" s="666"/>
      <c r="R405" s="666"/>
      <c r="S405" s="666"/>
      <c r="T405" s="666"/>
      <c r="U405" s="666"/>
      <c r="V405" s="666"/>
      <c r="W405" s="666"/>
      <c r="X405" s="666"/>
      <c r="Y405" s="666"/>
      <c r="Z405" s="666"/>
      <c r="AA405" s="66"/>
      <c r="AB405" s="66"/>
      <c r="AC405" s="80"/>
    </row>
    <row r="406" spans="1:68" ht="16.5" hidden="1" customHeight="1" x14ac:dyDescent="0.25">
      <c r="A406" s="63" t="s">
        <v>670</v>
      </c>
      <c r="B406" s="63" t="s">
        <v>671</v>
      </c>
      <c r="C406" s="36">
        <v>4301180007</v>
      </c>
      <c r="D406" s="667">
        <v>4680115881808</v>
      </c>
      <c r="E406" s="66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7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69"/>
      <c r="R406" s="669"/>
      <c r="S406" s="669"/>
      <c r="T406" s="67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4301180006</v>
      </c>
      <c r="D407" s="667">
        <v>4680115881822</v>
      </c>
      <c r="E407" s="66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7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69"/>
      <c r="R407" s="669"/>
      <c r="S407" s="669"/>
      <c r="T407" s="67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4301180001</v>
      </c>
      <c r="D408" s="667">
        <v>4680115880016</v>
      </c>
      <c r="E408" s="66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69"/>
      <c r="R408" s="669"/>
      <c r="S408" s="669"/>
      <c r="T408" s="67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63"/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4"/>
      <c r="P409" s="660" t="s">
        <v>40</v>
      </c>
      <c r="Q409" s="661"/>
      <c r="R409" s="661"/>
      <c r="S409" s="661"/>
      <c r="T409" s="661"/>
      <c r="U409" s="661"/>
      <c r="V409" s="66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63"/>
      <c r="B410" s="663"/>
      <c r="C410" s="663"/>
      <c r="D410" s="663"/>
      <c r="E410" s="663"/>
      <c r="F410" s="663"/>
      <c r="G410" s="663"/>
      <c r="H410" s="663"/>
      <c r="I410" s="663"/>
      <c r="J410" s="663"/>
      <c r="K410" s="663"/>
      <c r="L410" s="663"/>
      <c r="M410" s="663"/>
      <c r="N410" s="663"/>
      <c r="O410" s="664"/>
      <c r="P410" s="660" t="s">
        <v>40</v>
      </c>
      <c r="Q410" s="661"/>
      <c r="R410" s="661"/>
      <c r="S410" s="661"/>
      <c r="T410" s="661"/>
      <c r="U410" s="661"/>
      <c r="V410" s="66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666" t="s">
        <v>678</v>
      </c>
      <c r="B411" s="666"/>
      <c r="C411" s="666"/>
      <c r="D411" s="666"/>
      <c r="E411" s="666"/>
      <c r="F411" s="666"/>
      <c r="G411" s="666"/>
      <c r="H411" s="666"/>
      <c r="I411" s="666"/>
      <c r="J411" s="666"/>
      <c r="K411" s="666"/>
      <c r="L411" s="666"/>
      <c r="M411" s="666"/>
      <c r="N411" s="666"/>
      <c r="O411" s="666"/>
      <c r="P411" s="666"/>
      <c r="Q411" s="666"/>
      <c r="R411" s="666"/>
      <c r="S411" s="666"/>
      <c r="T411" s="666"/>
      <c r="U411" s="666"/>
      <c r="V411" s="666"/>
      <c r="W411" s="666"/>
      <c r="X411" s="666"/>
      <c r="Y411" s="666"/>
      <c r="Z411" s="666"/>
      <c r="AA411" s="66"/>
      <c r="AB411" s="66"/>
      <c r="AC411" s="80"/>
    </row>
    <row r="412" spans="1:68" ht="27" hidden="1" customHeight="1" x14ac:dyDescent="0.25">
      <c r="A412" s="63" t="s">
        <v>679</v>
      </c>
      <c r="B412" s="63" t="s">
        <v>680</v>
      </c>
      <c r="C412" s="36">
        <v>4301220003</v>
      </c>
      <c r="D412" s="667">
        <v>4680115888678</v>
      </c>
      <c r="E412" s="66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7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69"/>
      <c r="R412" s="669"/>
      <c r="S412" s="669"/>
      <c r="T412" s="67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4301220001</v>
      </c>
      <c r="D413" s="667">
        <v>4680115888654</v>
      </c>
      <c r="E413" s="66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7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69"/>
      <c r="R413" s="669"/>
      <c r="S413" s="669"/>
      <c r="T413" s="67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685</v>
      </c>
      <c r="B414" s="63" t="s">
        <v>686</v>
      </c>
      <c r="C414" s="36">
        <v>4301220002</v>
      </c>
      <c r="D414" s="667">
        <v>4680115888753</v>
      </c>
      <c r="E414" s="66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7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69"/>
      <c r="R414" s="669"/>
      <c r="S414" s="669"/>
      <c r="T414" s="67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63"/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4"/>
      <c r="P415" s="660" t="s">
        <v>40</v>
      </c>
      <c r="Q415" s="661"/>
      <c r="R415" s="661"/>
      <c r="S415" s="661"/>
      <c r="T415" s="661"/>
      <c r="U415" s="661"/>
      <c r="V415" s="662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63"/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4"/>
      <c r="P416" s="660" t="s">
        <v>40</v>
      </c>
      <c r="Q416" s="661"/>
      <c r="R416" s="661"/>
      <c r="S416" s="661"/>
      <c r="T416" s="661"/>
      <c r="U416" s="661"/>
      <c r="V416" s="662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5" t="s">
        <v>687</v>
      </c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5"/>
      <c r="AB417" s="65"/>
      <c r="AC417" s="79"/>
    </row>
    <row r="418" spans="1:68" ht="14.25" hidden="1" customHeight="1" x14ac:dyDescent="0.25">
      <c r="A418" s="666" t="s">
        <v>86</v>
      </c>
      <c r="B418" s="666"/>
      <c r="C418" s="666"/>
      <c r="D418" s="666"/>
      <c r="E418" s="666"/>
      <c r="F418" s="666"/>
      <c r="G418" s="666"/>
      <c r="H418" s="666"/>
      <c r="I418" s="666"/>
      <c r="J418" s="666"/>
      <c r="K418" s="666"/>
      <c r="L418" s="666"/>
      <c r="M418" s="666"/>
      <c r="N418" s="666"/>
      <c r="O418" s="666"/>
      <c r="P418" s="666"/>
      <c r="Q418" s="666"/>
      <c r="R418" s="666"/>
      <c r="S418" s="666"/>
      <c r="T418" s="666"/>
      <c r="U418" s="666"/>
      <c r="V418" s="666"/>
      <c r="W418" s="666"/>
      <c r="X418" s="666"/>
      <c r="Y418" s="666"/>
      <c r="Z418" s="666"/>
      <c r="AA418" s="66"/>
      <c r="AB418" s="66"/>
      <c r="AC418" s="80"/>
    </row>
    <row r="419" spans="1:68" ht="16.5" hidden="1" customHeight="1" x14ac:dyDescent="0.25">
      <c r="A419" s="63" t="s">
        <v>688</v>
      </c>
      <c r="B419" s="63" t="s">
        <v>689</v>
      </c>
      <c r="C419" s="36">
        <v>4301052235</v>
      </c>
      <c r="D419" s="667">
        <v>4680115889415</v>
      </c>
      <c r="E419" s="66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69"/>
      <c r="R419" s="669"/>
      <c r="S419" s="669"/>
      <c r="T419" s="67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691</v>
      </c>
      <c r="B420" s="63" t="s">
        <v>692</v>
      </c>
      <c r="C420" s="36">
        <v>4301052236</v>
      </c>
      <c r="D420" s="667">
        <v>4680115889422</v>
      </c>
      <c r="E420" s="66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7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69"/>
      <c r="R420" s="669"/>
      <c r="S420" s="669"/>
      <c r="T420" s="67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3"/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4"/>
      <c r="P421" s="660" t="s">
        <v>40</v>
      </c>
      <c r="Q421" s="661"/>
      <c r="R421" s="661"/>
      <c r="S421" s="661"/>
      <c r="T421" s="661"/>
      <c r="U421" s="661"/>
      <c r="V421" s="662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63"/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4"/>
      <c r="P422" s="660" t="s">
        <v>40</v>
      </c>
      <c r="Q422" s="661"/>
      <c r="R422" s="661"/>
      <c r="S422" s="661"/>
      <c r="T422" s="661"/>
      <c r="U422" s="661"/>
      <c r="V422" s="662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665" t="s">
        <v>694</v>
      </c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5"/>
      <c r="AB423" s="65"/>
      <c r="AC423" s="79"/>
    </row>
    <row r="424" spans="1:68" ht="14.25" hidden="1" customHeight="1" x14ac:dyDescent="0.25">
      <c r="A424" s="666" t="s">
        <v>86</v>
      </c>
      <c r="B424" s="666"/>
      <c r="C424" s="666"/>
      <c r="D424" s="666"/>
      <c r="E424" s="666"/>
      <c r="F424" s="666"/>
      <c r="G424" s="666"/>
      <c r="H424" s="666"/>
      <c r="I424" s="666"/>
      <c r="J424" s="666"/>
      <c r="K424" s="666"/>
      <c r="L424" s="666"/>
      <c r="M424" s="666"/>
      <c r="N424" s="666"/>
      <c r="O424" s="666"/>
      <c r="P424" s="666"/>
      <c r="Q424" s="666"/>
      <c r="R424" s="666"/>
      <c r="S424" s="666"/>
      <c r="T424" s="666"/>
      <c r="U424" s="666"/>
      <c r="V424" s="666"/>
      <c r="W424" s="666"/>
      <c r="X424" s="666"/>
      <c r="Y424" s="666"/>
      <c r="Z424" s="666"/>
      <c r="AA424" s="66"/>
      <c r="AB424" s="66"/>
      <c r="AC424" s="80"/>
    </row>
    <row r="425" spans="1:68" ht="27" hidden="1" customHeight="1" x14ac:dyDescent="0.25">
      <c r="A425" s="63" t="s">
        <v>695</v>
      </c>
      <c r="B425" s="63" t="s">
        <v>696</v>
      </c>
      <c r="C425" s="36">
        <v>4301051489</v>
      </c>
      <c r="D425" s="667">
        <v>4607091387919</v>
      </c>
      <c r="E425" s="66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69"/>
      <c r="R425" s="669"/>
      <c r="S425" s="669"/>
      <c r="T425" s="67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698</v>
      </c>
      <c r="B426" s="63" t="s">
        <v>699</v>
      </c>
      <c r="C426" s="36">
        <v>4301051461</v>
      </c>
      <c r="D426" s="667">
        <v>4680115883604</v>
      </c>
      <c r="E426" s="66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69"/>
      <c r="R426" s="669"/>
      <c r="S426" s="669"/>
      <c r="T426" s="670"/>
      <c r="U426" s="39" t="s">
        <v>46</v>
      </c>
      <c r="V426" s="39" t="s">
        <v>46</v>
      </c>
      <c r="W426" s="40" t="s">
        <v>0</v>
      </c>
      <c r="X426" s="58">
        <v>27.3</v>
      </c>
      <c r="Y426" s="55">
        <f>IFERROR(IF(X426="",0,CEILING((X426/$H426),1)*$H426),"")</f>
        <v>27.3</v>
      </c>
      <c r="Z426" s="41">
        <f>IFERROR(IF(Y426=0,"",ROUNDUP(Y426/H426,0)*0.00651),"")</f>
        <v>8.4629999999999997E-2</v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30.575999999999997</v>
      </c>
      <c r="BN426" s="78">
        <f>IFERROR(Y426*I426/H426,"0")</f>
        <v>30.575999999999997</v>
      </c>
      <c r="BO426" s="78">
        <f>IFERROR(1/J426*(X426/H426),"0")</f>
        <v>7.1428571428571438E-2</v>
      </c>
      <c r="BP426" s="78">
        <f>IFERROR(1/J426*(Y426/H426),"0")</f>
        <v>7.1428571428571438E-2</v>
      </c>
    </row>
    <row r="427" spans="1:68" ht="27" customHeight="1" x14ac:dyDescent="0.25">
      <c r="A427" s="63" t="s">
        <v>701</v>
      </c>
      <c r="B427" s="63" t="s">
        <v>702</v>
      </c>
      <c r="C427" s="36">
        <v>4301051864</v>
      </c>
      <c r="D427" s="667">
        <v>4680115883567</v>
      </c>
      <c r="E427" s="66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69"/>
      <c r="R427" s="669"/>
      <c r="S427" s="669"/>
      <c r="T427" s="670"/>
      <c r="U427" s="39" t="s">
        <v>46</v>
      </c>
      <c r="V427" s="39" t="s">
        <v>46</v>
      </c>
      <c r="W427" s="40" t="s">
        <v>0</v>
      </c>
      <c r="X427" s="58">
        <v>27.3</v>
      </c>
      <c r="Y427" s="55">
        <f>IFERROR(IF(X427="",0,CEILING((X427/$H427),1)*$H427),"")</f>
        <v>27.3</v>
      </c>
      <c r="Z427" s="41">
        <f>IFERROR(IF(Y427=0,"",ROUNDUP(Y427/H427,0)*0.00651),"")</f>
        <v>8.4629999999999997E-2</v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30.419999999999998</v>
      </c>
      <c r="BN427" s="78">
        <f>IFERROR(Y427*I427/H427,"0")</f>
        <v>30.419999999999998</v>
      </c>
      <c r="BO427" s="78">
        <f>IFERROR(1/J427*(X427/H427),"0")</f>
        <v>7.1428571428571438E-2</v>
      </c>
      <c r="BP427" s="78">
        <f>IFERROR(1/J427*(Y427/H427),"0")</f>
        <v>7.1428571428571438E-2</v>
      </c>
    </row>
    <row r="428" spans="1:68" x14ac:dyDescent="0.2">
      <c r="A428" s="663"/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4"/>
      <c r="P428" s="660" t="s">
        <v>40</v>
      </c>
      <c r="Q428" s="661"/>
      <c r="R428" s="661"/>
      <c r="S428" s="661"/>
      <c r="T428" s="661"/>
      <c r="U428" s="661"/>
      <c r="V428" s="662"/>
      <c r="W428" s="42" t="s">
        <v>39</v>
      </c>
      <c r="X428" s="43">
        <f>IFERROR(X425/H425,"0")+IFERROR(X426/H426,"0")+IFERROR(X427/H427,"0")</f>
        <v>26</v>
      </c>
      <c r="Y428" s="43">
        <f>IFERROR(Y425/H425,"0")+IFERROR(Y426/H426,"0")+IFERROR(Y427/H427,"0")</f>
        <v>26</v>
      </c>
      <c r="Z428" s="43">
        <f>IFERROR(IF(Z425="",0,Z425),"0")+IFERROR(IF(Z426="",0,Z426),"0")+IFERROR(IF(Z427="",0,Z427),"0")</f>
        <v>0.16925999999999999</v>
      </c>
      <c r="AA428" s="67"/>
      <c r="AB428" s="67"/>
      <c r="AC428" s="67"/>
    </row>
    <row r="429" spans="1:68" x14ac:dyDescent="0.2">
      <c r="A429" s="663"/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4"/>
      <c r="P429" s="660" t="s">
        <v>40</v>
      </c>
      <c r="Q429" s="661"/>
      <c r="R429" s="661"/>
      <c r="S429" s="661"/>
      <c r="T429" s="661"/>
      <c r="U429" s="661"/>
      <c r="V429" s="662"/>
      <c r="W429" s="42" t="s">
        <v>0</v>
      </c>
      <c r="X429" s="43">
        <f>IFERROR(SUM(X425:X427),"0")</f>
        <v>54.6</v>
      </c>
      <c r="Y429" s="43">
        <f>IFERROR(SUM(Y425:Y427),"0")</f>
        <v>54.6</v>
      </c>
      <c r="Z429" s="42"/>
      <c r="AA429" s="67"/>
      <c r="AB429" s="67"/>
      <c r="AC429" s="67"/>
    </row>
    <row r="430" spans="1:68" ht="27.75" hidden="1" customHeight="1" x14ac:dyDescent="0.2">
      <c r="A430" s="680" t="s">
        <v>704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54"/>
      <c r="AB430" s="54"/>
      <c r="AC430" s="54"/>
    </row>
    <row r="431" spans="1:68" ht="16.5" hidden="1" customHeight="1" x14ac:dyDescent="0.25">
      <c r="A431" s="665" t="s">
        <v>705</v>
      </c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5"/>
      <c r="AB431" s="65"/>
      <c r="AC431" s="79"/>
    </row>
    <row r="432" spans="1:68" ht="14.25" hidden="1" customHeight="1" x14ac:dyDescent="0.25">
      <c r="A432" s="666" t="s">
        <v>122</v>
      </c>
      <c r="B432" s="666"/>
      <c r="C432" s="666"/>
      <c r="D432" s="666"/>
      <c r="E432" s="666"/>
      <c r="F432" s="666"/>
      <c r="G432" s="666"/>
      <c r="H432" s="666"/>
      <c r="I432" s="666"/>
      <c r="J432" s="666"/>
      <c r="K432" s="666"/>
      <c r="L432" s="666"/>
      <c r="M432" s="666"/>
      <c r="N432" s="666"/>
      <c r="O432" s="666"/>
      <c r="P432" s="666"/>
      <c r="Q432" s="666"/>
      <c r="R432" s="666"/>
      <c r="S432" s="666"/>
      <c r="T432" s="666"/>
      <c r="U432" s="666"/>
      <c r="V432" s="666"/>
      <c r="W432" s="666"/>
      <c r="X432" s="666"/>
      <c r="Y432" s="666"/>
      <c r="Z432" s="666"/>
      <c r="AA432" s="66"/>
      <c r="AB432" s="66"/>
      <c r="AC432" s="80"/>
    </row>
    <row r="433" spans="1:68" ht="27" hidden="1" customHeight="1" x14ac:dyDescent="0.25">
      <c r="A433" s="63" t="s">
        <v>706</v>
      </c>
      <c r="B433" s="63" t="s">
        <v>707</v>
      </c>
      <c r="C433" s="36">
        <v>4301012332</v>
      </c>
      <c r="D433" s="667">
        <v>4680115888401</v>
      </c>
      <c r="E433" s="66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69"/>
      <c r="R433" s="669"/>
      <c r="S433" s="669"/>
      <c r="T433" s="67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73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0</v>
      </c>
      <c r="BN433" s="78">
        <f t="shared" ref="BN433:BN440" si="75">IFERROR(Y433*I433/H433,"0")</f>
        <v>0</v>
      </c>
      <c r="BO433" s="78">
        <f t="shared" ref="BO433:BO440" si="76">IFERROR(1/J433*(X433/H433),"0")</f>
        <v>0</v>
      </c>
      <c r="BP433" s="78">
        <f t="shared" ref="BP433:BP440" si="77">IFERROR(1/J433*(Y433/H433),"0")</f>
        <v>0</v>
      </c>
    </row>
    <row r="434" spans="1:68" ht="37.5" customHeight="1" x14ac:dyDescent="0.25">
      <c r="A434" s="63" t="s">
        <v>709</v>
      </c>
      <c r="B434" s="63" t="s">
        <v>710</v>
      </c>
      <c r="C434" s="36">
        <v>4301011869</v>
      </c>
      <c r="D434" s="667">
        <v>4680115884847</v>
      </c>
      <c r="E434" s="66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69"/>
      <c r="R434" s="669"/>
      <c r="S434" s="669"/>
      <c r="T434" s="670"/>
      <c r="U434" s="39" t="s">
        <v>46</v>
      </c>
      <c r="V434" s="39" t="s">
        <v>46</v>
      </c>
      <c r="W434" s="40" t="s">
        <v>0</v>
      </c>
      <c r="X434" s="58">
        <v>45</v>
      </c>
      <c r="Y434" s="55">
        <f t="shared" si="73"/>
        <v>45</v>
      </c>
      <c r="Z434" s="41">
        <f>IFERROR(IF(Y434=0,"",ROUNDUP(Y434/H434,0)*0.02175),"")</f>
        <v>6.5250000000000002E-2</v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46.41</v>
      </c>
      <c r="BN434" s="78">
        <f t="shared" si="75"/>
        <v>46.41</v>
      </c>
      <c r="BO434" s="78">
        <f t="shared" si="76"/>
        <v>6.25E-2</v>
      </c>
      <c r="BP434" s="78">
        <f t="shared" si="77"/>
        <v>6.25E-2</v>
      </c>
    </row>
    <row r="435" spans="1:68" ht="27" customHeight="1" x14ac:dyDescent="0.25">
      <c r="A435" s="63" t="s">
        <v>712</v>
      </c>
      <c r="B435" s="63" t="s">
        <v>713</v>
      </c>
      <c r="C435" s="36">
        <v>4301012083</v>
      </c>
      <c r="D435" s="667">
        <v>4680115884854</v>
      </c>
      <c r="E435" s="66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69"/>
      <c r="R435" s="669"/>
      <c r="S435" s="669"/>
      <c r="T435" s="670"/>
      <c r="U435" s="39" t="s">
        <v>46</v>
      </c>
      <c r="V435" s="39" t="s">
        <v>46</v>
      </c>
      <c r="W435" s="40" t="s">
        <v>0</v>
      </c>
      <c r="X435" s="58">
        <v>210</v>
      </c>
      <c r="Y435" s="55">
        <f t="shared" si="73"/>
        <v>210</v>
      </c>
      <c r="Z435" s="41">
        <f>IFERROR(IF(Y435=0,"",ROUNDUP(Y435/H435,0)*0.02175),"")</f>
        <v>0.30449999999999999</v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216.58</v>
      </c>
      <c r="BN435" s="78">
        <f t="shared" si="75"/>
        <v>216.58</v>
      </c>
      <c r="BO435" s="78">
        <f t="shared" si="76"/>
        <v>0.29166666666666663</v>
      </c>
      <c r="BP435" s="78">
        <f t="shared" si="77"/>
        <v>0.29166666666666663</v>
      </c>
    </row>
    <row r="436" spans="1:68" ht="27" hidden="1" customHeight="1" x14ac:dyDescent="0.25">
      <c r="A436" s="63" t="s">
        <v>715</v>
      </c>
      <c r="B436" s="63" t="s">
        <v>716</v>
      </c>
      <c r="C436" s="36">
        <v>4301011867</v>
      </c>
      <c r="D436" s="667">
        <v>4680115884830</v>
      </c>
      <c r="E436" s="66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7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69"/>
      <c r="R436" s="669"/>
      <c r="S436" s="669"/>
      <c r="T436" s="670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customHeight="1" x14ac:dyDescent="0.25">
      <c r="A437" s="63" t="s">
        <v>718</v>
      </c>
      <c r="B437" s="63" t="s">
        <v>719</v>
      </c>
      <c r="C437" s="36">
        <v>4301012356</v>
      </c>
      <c r="D437" s="667">
        <v>4680115889231</v>
      </c>
      <c r="E437" s="66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72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69"/>
      <c r="R437" s="669"/>
      <c r="S437" s="669"/>
      <c r="T437" s="670"/>
      <c r="U437" s="39" t="s">
        <v>46</v>
      </c>
      <c r="V437" s="39" t="s">
        <v>46</v>
      </c>
      <c r="W437" s="40" t="s">
        <v>0</v>
      </c>
      <c r="X437" s="58">
        <v>450</v>
      </c>
      <c r="Y437" s="55">
        <f t="shared" si="73"/>
        <v>450</v>
      </c>
      <c r="Z437" s="41">
        <f>IFERROR(IF(Y437=0,"",ROUNDUP(Y437/H437,0)*0.02175),"")</f>
        <v>0.65249999999999997</v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464.1</v>
      </c>
      <c r="BN437" s="78">
        <f t="shared" si="75"/>
        <v>464.1</v>
      </c>
      <c r="BO437" s="78">
        <f t="shared" si="76"/>
        <v>0.625</v>
      </c>
      <c r="BP437" s="78">
        <f t="shared" si="77"/>
        <v>0.625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4301011433</v>
      </c>
      <c r="D438" s="667">
        <v>4680115882638</v>
      </c>
      <c r="E438" s="66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7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69"/>
      <c r="R438" s="669"/>
      <c r="S438" s="669"/>
      <c r="T438" s="67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724</v>
      </c>
      <c r="B439" s="63" t="s">
        <v>725</v>
      </c>
      <c r="C439" s="36">
        <v>4301011952</v>
      </c>
      <c r="D439" s="667">
        <v>4680115884922</v>
      </c>
      <c r="E439" s="66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69"/>
      <c r="R439" s="669"/>
      <c r="S439" s="669"/>
      <c r="T439" s="67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customHeight="1" x14ac:dyDescent="0.25">
      <c r="A440" s="63" t="s">
        <v>727</v>
      </c>
      <c r="B440" s="63" t="s">
        <v>728</v>
      </c>
      <c r="C440" s="36">
        <v>4301011868</v>
      </c>
      <c r="D440" s="667">
        <v>4680115884861</v>
      </c>
      <c r="E440" s="66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69"/>
      <c r="R440" s="669"/>
      <c r="S440" s="669"/>
      <c r="T440" s="670"/>
      <c r="U440" s="39" t="s">
        <v>46</v>
      </c>
      <c r="V440" s="39" t="s">
        <v>46</v>
      </c>
      <c r="W440" s="40" t="s">
        <v>0</v>
      </c>
      <c r="X440" s="58">
        <v>10</v>
      </c>
      <c r="Y440" s="55">
        <f t="shared" si="73"/>
        <v>10</v>
      </c>
      <c r="Z440" s="41">
        <f>IFERROR(IF(Y440=0,"",ROUNDUP(Y440/H440,0)*0.00902),"")</f>
        <v>1.804E-2</v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10.38</v>
      </c>
      <c r="BN440" s="78">
        <f t="shared" si="75"/>
        <v>10.38</v>
      </c>
      <c r="BO440" s="78">
        <f t="shared" si="76"/>
        <v>1.5151515151515152E-2</v>
      </c>
      <c r="BP440" s="78">
        <f t="shared" si="77"/>
        <v>1.5151515151515152E-2</v>
      </c>
    </row>
    <row r="441" spans="1:68" x14ac:dyDescent="0.2">
      <c r="A441" s="663"/>
      <c r="B441" s="663"/>
      <c r="C441" s="663"/>
      <c r="D441" s="663"/>
      <c r="E441" s="663"/>
      <c r="F441" s="663"/>
      <c r="G441" s="663"/>
      <c r="H441" s="663"/>
      <c r="I441" s="663"/>
      <c r="J441" s="663"/>
      <c r="K441" s="663"/>
      <c r="L441" s="663"/>
      <c r="M441" s="663"/>
      <c r="N441" s="663"/>
      <c r="O441" s="664"/>
      <c r="P441" s="660" t="s">
        <v>40</v>
      </c>
      <c r="Q441" s="661"/>
      <c r="R441" s="661"/>
      <c r="S441" s="661"/>
      <c r="T441" s="661"/>
      <c r="U441" s="661"/>
      <c r="V441" s="662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49</v>
      </c>
      <c r="Y441" s="43">
        <f>IFERROR(Y433/H433,"0")+IFERROR(Y434/H434,"0")+IFERROR(Y435/H435,"0")+IFERROR(Y436/H436,"0")+IFERROR(Y437/H437,"0")+IFERROR(Y438/H438,"0")+IFERROR(Y439/H439,"0")+IFERROR(Y440/H440,"0")</f>
        <v>49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1.0402900000000002</v>
      </c>
      <c r="AA441" s="67"/>
      <c r="AB441" s="67"/>
      <c r="AC441" s="67"/>
    </row>
    <row r="442" spans="1:68" x14ac:dyDescent="0.2">
      <c r="A442" s="663"/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4"/>
      <c r="P442" s="660" t="s">
        <v>40</v>
      </c>
      <c r="Q442" s="661"/>
      <c r="R442" s="661"/>
      <c r="S442" s="661"/>
      <c r="T442" s="661"/>
      <c r="U442" s="661"/>
      <c r="V442" s="662"/>
      <c r="W442" s="42" t="s">
        <v>0</v>
      </c>
      <c r="X442" s="43">
        <f>IFERROR(SUM(X433:X440),"0")</f>
        <v>715</v>
      </c>
      <c r="Y442" s="43">
        <f>IFERROR(SUM(Y433:Y440),"0")</f>
        <v>715</v>
      </c>
      <c r="Z442" s="42"/>
      <c r="AA442" s="67"/>
      <c r="AB442" s="67"/>
      <c r="AC442" s="67"/>
    </row>
    <row r="443" spans="1:68" ht="14.25" hidden="1" customHeight="1" x14ac:dyDescent="0.25">
      <c r="A443" s="666" t="s">
        <v>159</v>
      </c>
      <c r="B443" s="666"/>
      <c r="C443" s="666"/>
      <c r="D443" s="666"/>
      <c r="E443" s="666"/>
      <c r="F443" s="666"/>
      <c r="G443" s="666"/>
      <c r="H443" s="666"/>
      <c r="I443" s="666"/>
      <c r="J443" s="666"/>
      <c r="K443" s="666"/>
      <c r="L443" s="666"/>
      <c r="M443" s="666"/>
      <c r="N443" s="666"/>
      <c r="O443" s="666"/>
      <c r="P443" s="666"/>
      <c r="Q443" s="666"/>
      <c r="R443" s="666"/>
      <c r="S443" s="666"/>
      <c r="T443" s="666"/>
      <c r="U443" s="666"/>
      <c r="V443" s="666"/>
      <c r="W443" s="666"/>
      <c r="X443" s="666"/>
      <c r="Y443" s="666"/>
      <c r="Z443" s="666"/>
      <c r="AA443" s="66"/>
      <c r="AB443" s="66"/>
      <c r="AC443" s="80"/>
    </row>
    <row r="444" spans="1:68" ht="27" customHeight="1" x14ac:dyDescent="0.25">
      <c r="A444" s="63" t="s">
        <v>730</v>
      </c>
      <c r="B444" s="63" t="s">
        <v>731</v>
      </c>
      <c r="C444" s="36">
        <v>4301020178</v>
      </c>
      <c r="D444" s="667">
        <v>4607091383980</v>
      </c>
      <c r="E444" s="66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69"/>
      <c r="R444" s="669"/>
      <c r="S444" s="669"/>
      <c r="T444" s="670"/>
      <c r="U444" s="39" t="s">
        <v>46</v>
      </c>
      <c r="V444" s="39" t="s">
        <v>46</v>
      </c>
      <c r="W444" s="40" t="s">
        <v>0</v>
      </c>
      <c r="X444" s="58">
        <v>350</v>
      </c>
      <c r="Y444" s="55">
        <f>IFERROR(IF(X444="",0,CEILING((X444/$H444),1)*$H444),"")</f>
        <v>360</v>
      </c>
      <c r="Z444" s="41">
        <f>IFERROR(IF(Y444=0,"",ROUNDUP(Y444/H444,0)*0.02175),"")</f>
        <v>0.52200000000000002</v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360.96666666666664</v>
      </c>
      <c r="BN444" s="78">
        <f>IFERROR(Y444*I444/H444,"0")</f>
        <v>371.28</v>
      </c>
      <c r="BO444" s="78">
        <f>IFERROR(1/J444*(X444/H444),"0")</f>
        <v>0.48611111111111105</v>
      </c>
      <c r="BP444" s="78">
        <f>IFERROR(1/J444*(Y444/H444),"0")</f>
        <v>0.5</v>
      </c>
    </row>
    <row r="445" spans="1:68" ht="27" hidden="1" customHeight="1" x14ac:dyDescent="0.25">
      <c r="A445" s="63" t="s">
        <v>733</v>
      </c>
      <c r="B445" s="63" t="s">
        <v>734</v>
      </c>
      <c r="C445" s="36">
        <v>4301020355</v>
      </c>
      <c r="D445" s="667">
        <v>4680115888425</v>
      </c>
      <c r="E445" s="66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72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69"/>
      <c r="R445" s="669"/>
      <c r="S445" s="669"/>
      <c r="T445" s="67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customHeight="1" x14ac:dyDescent="0.25">
      <c r="A446" s="63" t="s">
        <v>736</v>
      </c>
      <c r="B446" s="63" t="s">
        <v>737</v>
      </c>
      <c r="C446" s="36">
        <v>4301020179</v>
      </c>
      <c r="D446" s="667">
        <v>4607091384178</v>
      </c>
      <c r="E446" s="66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72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69"/>
      <c r="R446" s="669"/>
      <c r="S446" s="669"/>
      <c r="T446" s="670"/>
      <c r="U446" s="39" t="s">
        <v>46</v>
      </c>
      <c r="V446" s="39" t="s">
        <v>46</v>
      </c>
      <c r="W446" s="40" t="s">
        <v>0</v>
      </c>
      <c r="X446" s="58">
        <v>4</v>
      </c>
      <c r="Y446" s="55">
        <f>IFERROR(IF(X446="",0,CEILING((X446/$H446),1)*$H446),"")</f>
        <v>4</v>
      </c>
      <c r="Z446" s="41">
        <f>IFERROR(IF(Y446=0,"",ROUNDUP(Y446/H446,0)*0.00902),"")</f>
        <v>9.0200000000000002E-3</v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4.1900000000000004</v>
      </c>
      <c r="BN446" s="78">
        <f>IFERROR(Y446*I446/H446,"0")</f>
        <v>4.1900000000000004</v>
      </c>
      <c r="BO446" s="78">
        <f>IFERROR(1/J446*(X446/H446),"0")</f>
        <v>7.575757575757576E-3</v>
      </c>
      <c r="BP446" s="78">
        <f>IFERROR(1/J446*(Y446/H446),"0")</f>
        <v>7.575757575757576E-3</v>
      </c>
    </row>
    <row r="447" spans="1:68" x14ac:dyDescent="0.2">
      <c r="A447" s="663"/>
      <c r="B447" s="663"/>
      <c r="C447" s="663"/>
      <c r="D447" s="663"/>
      <c r="E447" s="663"/>
      <c r="F447" s="663"/>
      <c r="G447" s="663"/>
      <c r="H447" s="663"/>
      <c r="I447" s="663"/>
      <c r="J447" s="663"/>
      <c r="K447" s="663"/>
      <c r="L447" s="663"/>
      <c r="M447" s="663"/>
      <c r="N447" s="663"/>
      <c r="O447" s="664"/>
      <c r="P447" s="660" t="s">
        <v>40</v>
      </c>
      <c r="Q447" s="661"/>
      <c r="R447" s="661"/>
      <c r="S447" s="661"/>
      <c r="T447" s="661"/>
      <c r="U447" s="661"/>
      <c r="V447" s="662"/>
      <c r="W447" s="42" t="s">
        <v>39</v>
      </c>
      <c r="X447" s="43">
        <f>IFERROR(X444/H444,"0")+IFERROR(X445/H445,"0")+IFERROR(X446/H446,"0")</f>
        <v>24.333333333333332</v>
      </c>
      <c r="Y447" s="43">
        <f>IFERROR(Y444/H444,"0")+IFERROR(Y445/H445,"0")+IFERROR(Y446/H446,"0")</f>
        <v>25</v>
      </c>
      <c r="Z447" s="43">
        <f>IFERROR(IF(Z444="",0,Z444),"0")+IFERROR(IF(Z445="",0,Z445),"0")+IFERROR(IF(Z446="",0,Z446),"0")</f>
        <v>0.53102000000000005</v>
      </c>
      <c r="AA447" s="67"/>
      <c r="AB447" s="67"/>
      <c r="AC447" s="67"/>
    </row>
    <row r="448" spans="1:68" x14ac:dyDescent="0.2">
      <c r="A448" s="663"/>
      <c r="B448" s="663"/>
      <c r="C448" s="663"/>
      <c r="D448" s="663"/>
      <c r="E448" s="663"/>
      <c r="F448" s="663"/>
      <c r="G448" s="663"/>
      <c r="H448" s="663"/>
      <c r="I448" s="663"/>
      <c r="J448" s="663"/>
      <c r="K448" s="663"/>
      <c r="L448" s="663"/>
      <c r="M448" s="663"/>
      <c r="N448" s="663"/>
      <c r="O448" s="664"/>
      <c r="P448" s="660" t="s">
        <v>40</v>
      </c>
      <c r="Q448" s="661"/>
      <c r="R448" s="661"/>
      <c r="S448" s="661"/>
      <c r="T448" s="661"/>
      <c r="U448" s="661"/>
      <c r="V448" s="662"/>
      <c r="W448" s="42" t="s">
        <v>0</v>
      </c>
      <c r="X448" s="43">
        <f>IFERROR(SUM(X444:X446),"0")</f>
        <v>354</v>
      </c>
      <c r="Y448" s="43">
        <f>IFERROR(SUM(Y444:Y446),"0")</f>
        <v>364</v>
      </c>
      <c r="Z448" s="42"/>
      <c r="AA448" s="67"/>
      <c r="AB448" s="67"/>
      <c r="AC448" s="67"/>
    </row>
    <row r="449" spans="1:68" ht="14.25" hidden="1" customHeight="1" x14ac:dyDescent="0.25">
      <c r="A449" s="666" t="s">
        <v>86</v>
      </c>
      <c r="B449" s="666"/>
      <c r="C449" s="666"/>
      <c r="D449" s="666"/>
      <c r="E449" s="666"/>
      <c r="F449" s="666"/>
      <c r="G449" s="666"/>
      <c r="H449" s="666"/>
      <c r="I449" s="666"/>
      <c r="J449" s="666"/>
      <c r="K449" s="666"/>
      <c r="L449" s="666"/>
      <c r="M449" s="666"/>
      <c r="N449" s="666"/>
      <c r="O449" s="666"/>
      <c r="P449" s="666"/>
      <c r="Q449" s="666"/>
      <c r="R449" s="666"/>
      <c r="S449" s="666"/>
      <c r="T449" s="666"/>
      <c r="U449" s="666"/>
      <c r="V449" s="666"/>
      <c r="W449" s="666"/>
      <c r="X449" s="666"/>
      <c r="Y449" s="666"/>
      <c r="Z449" s="666"/>
      <c r="AA449" s="66"/>
      <c r="AB449" s="66"/>
      <c r="AC449" s="80"/>
    </row>
    <row r="450" spans="1:68" ht="27" hidden="1" customHeight="1" x14ac:dyDescent="0.25">
      <c r="A450" s="63" t="s">
        <v>739</v>
      </c>
      <c r="B450" s="63" t="s">
        <v>740</v>
      </c>
      <c r="C450" s="36">
        <v>4301051903</v>
      </c>
      <c r="D450" s="667">
        <v>4607091383928</v>
      </c>
      <c r="E450" s="66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69"/>
      <c r="R450" s="669"/>
      <c r="S450" s="669"/>
      <c r="T450" s="67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4301051897</v>
      </c>
      <c r="D451" s="667">
        <v>4607091384260</v>
      </c>
      <c r="E451" s="66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69"/>
      <c r="R451" s="669"/>
      <c r="S451" s="669"/>
      <c r="T451" s="67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745</v>
      </c>
      <c r="B452" s="63" t="s">
        <v>746</v>
      </c>
      <c r="C452" s="36">
        <v>4301052220</v>
      </c>
      <c r="D452" s="667">
        <v>4680115889538</v>
      </c>
      <c r="E452" s="66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7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69"/>
      <c r="R452" s="669"/>
      <c r="S452" s="669"/>
      <c r="T452" s="67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663"/>
      <c r="B453" s="663"/>
      <c r="C453" s="663"/>
      <c r="D453" s="663"/>
      <c r="E453" s="663"/>
      <c r="F453" s="663"/>
      <c r="G453" s="663"/>
      <c r="H453" s="663"/>
      <c r="I453" s="663"/>
      <c r="J453" s="663"/>
      <c r="K453" s="663"/>
      <c r="L453" s="663"/>
      <c r="M453" s="663"/>
      <c r="N453" s="663"/>
      <c r="O453" s="664"/>
      <c r="P453" s="660" t="s">
        <v>40</v>
      </c>
      <c r="Q453" s="661"/>
      <c r="R453" s="661"/>
      <c r="S453" s="661"/>
      <c r="T453" s="661"/>
      <c r="U453" s="661"/>
      <c r="V453" s="662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63"/>
      <c r="B454" s="663"/>
      <c r="C454" s="663"/>
      <c r="D454" s="663"/>
      <c r="E454" s="663"/>
      <c r="F454" s="663"/>
      <c r="G454" s="663"/>
      <c r="H454" s="663"/>
      <c r="I454" s="663"/>
      <c r="J454" s="663"/>
      <c r="K454" s="663"/>
      <c r="L454" s="663"/>
      <c r="M454" s="663"/>
      <c r="N454" s="663"/>
      <c r="O454" s="664"/>
      <c r="P454" s="660" t="s">
        <v>40</v>
      </c>
      <c r="Q454" s="661"/>
      <c r="R454" s="661"/>
      <c r="S454" s="661"/>
      <c r="T454" s="661"/>
      <c r="U454" s="661"/>
      <c r="V454" s="662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66" t="s">
        <v>178</v>
      </c>
      <c r="B455" s="666"/>
      <c r="C455" s="666"/>
      <c r="D455" s="666"/>
      <c r="E455" s="666"/>
      <c r="F455" s="666"/>
      <c r="G455" s="666"/>
      <c r="H455" s="666"/>
      <c r="I455" s="666"/>
      <c r="J455" s="666"/>
      <c r="K455" s="666"/>
      <c r="L455" s="666"/>
      <c r="M455" s="666"/>
      <c r="N455" s="666"/>
      <c r="O455" s="666"/>
      <c r="P455" s="666"/>
      <c r="Q455" s="666"/>
      <c r="R455" s="666"/>
      <c r="S455" s="666"/>
      <c r="T455" s="666"/>
      <c r="U455" s="666"/>
      <c r="V455" s="666"/>
      <c r="W455" s="666"/>
      <c r="X455" s="666"/>
      <c r="Y455" s="666"/>
      <c r="Z455" s="666"/>
      <c r="AA455" s="66"/>
      <c r="AB455" s="66"/>
      <c r="AC455" s="80"/>
    </row>
    <row r="456" spans="1:68" ht="27" hidden="1" customHeight="1" x14ac:dyDescent="0.25">
      <c r="A456" s="63" t="s">
        <v>748</v>
      </c>
      <c r="B456" s="63" t="s">
        <v>749</v>
      </c>
      <c r="C456" s="36">
        <v>4301060537</v>
      </c>
      <c r="D456" s="667">
        <v>4680115889545</v>
      </c>
      <c r="E456" s="66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69"/>
      <c r="R456" s="669"/>
      <c r="S456" s="669"/>
      <c r="T456" s="67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751</v>
      </c>
      <c r="B457" s="63" t="s">
        <v>752</v>
      </c>
      <c r="C457" s="36">
        <v>4301060524</v>
      </c>
      <c r="D457" s="667">
        <v>4607091384673</v>
      </c>
      <c r="E457" s="66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69"/>
      <c r="R457" s="669"/>
      <c r="S457" s="669"/>
      <c r="T457" s="67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63"/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4"/>
      <c r="P458" s="660" t="s">
        <v>40</v>
      </c>
      <c r="Q458" s="661"/>
      <c r="R458" s="661"/>
      <c r="S458" s="661"/>
      <c r="T458" s="661"/>
      <c r="U458" s="661"/>
      <c r="V458" s="66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63"/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4"/>
      <c r="P459" s="660" t="s">
        <v>40</v>
      </c>
      <c r="Q459" s="661"/>
      <c r="R459" s="661"/>
      <c r="S459" s="661"/>
      <c r="T459" s="661"/>
      <c r="U459" s="661"/>
      <c r="V459" s="66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665" t="s">
        <v>754</v>
      </c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5"/>
      <c r="AB460" s="65"/>
      <c r="AC460" s="79"/>
    </row>
    <row r="461" spans="1:68" ht="14.25" hidden="1" customHeight="1" x14ac:dyDescent="0.25">
      <c r="A461" s="666" t="s">
        <v>122</v>
      </c>
      <c r="B461" s="666"/>
      <c r="C461" s="666"/>
      <c r="D461" s="666"/>
      <c r="E461" s="666"/>
      <c r="F461" s="666"/>
      <c r="G461" s="666"/>
      <c r="H461" s="666"/>
      <c r="I461" s="666"/>
      <c r="J461" s="666"/>
      <c r="K461" s="666"/>
      <c r="L461" s="666"/>
      <c r="M461" s="666"/>
      <c r="N461" s="666"/>
      <c r="O461" s="666"/>
      <c r="P461" s="666"/>
      <c r="Q461" s="666"/>
      <c r="R461" s="666"/>
      <c r="S461" s="666"/>
      <c r="T461" s="666"/>
      <c r="U461" s="666"/>
      <c r="V461" s="666"/>
      <c r="W461" s="666"/>
      <c r="X461" s="666"/>
      <c r="Y461" s="666"/>
      <c r="Z461" s="666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4301011875</v>
      </c>
      <c r="D462" s="667">
        <v>4680115884885</v>
      </c>
      <c r="E462" s="66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7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69"/>
      <c r="R462" s="669"/>
      <c r="S462" s="669"/>
      <c r="T462" s="67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758</v>
      </c>
      <c r="B463" s="63" t="s">
        <v>759</v>
      </c>
      <c r="C463" s="36">
        <v>4301011871</v>
      </c>
      <c r="D463" s="667">
        <v>4680115884908</v>
      </c>
      <c r="E463" s="66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72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69"/>
      <c r="R463" s="669"/>
      <c r="S463" s="669"/>
      <c r="T463" s="67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3"/>
      <c r="B464" s="663"/>
      <c r="C464" s="663"/>
      <c r="D464" s="663"/>
      <c r="E464" s="663"/>
      <c r="F464" s="663"/>
      <c r="G464" s="663"/>
      <c r="H464" s="663"/>
      <c r="I464" s="663"/>
      <c r="J464" s="663"/>
      <c r="K464" s="663"/>
      <c r="L464" s="663"/>
      <c r="M464" s="663"/>
      <c r="N464" s="663"/>
      <c r="O464" s="664"/>
      <c r="P464" s="660" t="s">
        <v>40</v>
      </c>
      <c r="Q464" s="661"/>
      <c r="R464" s="661"/>
      <c r="S464" s="661"/>
      <c r="T464" s="661"/>
      <c r="U464" s="661"/>
      <c r="V464" s="662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63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64"/>
      <c r="P465" s="660" t="s">
        <v>40</v>
      </c>
      <c r="Q465" s="661"/>
      <c r="R465" s="661"/>
      <c r="S465" s="661"/>
      <c r="T465" s="661"/>
      <c r="U465" s="661"/>
      <c r="V465" s="662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6" t="s">
        <v>77</v>
      </c>
      <c r="B466" s="666"/>
      <c r="C466" s="666"/>
      <c r="D466" s="666"/>
      <c r="E466" s="666"/>
      <c r="F466" s="666"/>
      <c r="G466" s="666"/>
      <c r="H466" s="666"/>
      <c r="I466" s="666"/>
      <c r="J466" s="666"/>
      <c r="K466" s="666"/>
      <c r="L466" s="666"/>
      <c r="M466" s="666"/>
      <c r="N466" s="666"/>
      <c r="O466" s="666"/>
      <c r="P466" s="666"/>
      <c r="Q466" s="666"/>
      <c r="R466" s="666"/>
      <c r="S466" s="666"/>
      <c r="T466" s="666"/>
      <c r="U466" s="666"/>
      <c r="V466" s="666"/>
      <c r="W466" s="666"/>
      <c r="X466" s="666"/>
      <c r="Y466" s="666"/>
      <c r="Z466" s="666"/>
      <c r="AA466" s="66"/>
      <c r="AB466" s="66"/>
      <c r="AC466" s="80"/>
    </row>
    <row r="467" spans="1:68" ht="27" hidden="1" customHeight="1" x14ac:dyDescent="0.25">
      <c r="A467" s="63" t="s">
        <v>760</v>
      </c>
      <c r="B467" s="63" t="s">
        <v>761</v>
      </c>
      <c r="C467" s="36">
        <v>4301031457</v>
      </c>
      <c r="D467" s="667">
        <v>4607091384802</v>
      </c>
      <c r="E467" s="66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69"/>
      <c r="R467" s="669"/>
      <c r="S467" s="669"/>
      <c r="T467" s="67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63"/>
      <c r="B468" s="663"/>
      <c r="C468" s="663"/>
      <c r="D468" s="663"/>
      <c r="E468" s="663"/>
      <c r="F468" s="663"/>
      <c r="G468" s="663"/>
      <c r="H468" s="663"/>
      <c r="I468" s="663"/>
      <c r="J468" s="663"/>
      <c r="K468" s="663"/>
      <c r="L468" s="663"/>
      <c r="M468" s="663"/>
      <c r="N468" s="663"/>
      <c r="O468" s="664"/>
      <c r="P468" s="660" t="s">
        <v>40</v>
      </c>
      <c r="Q468" s="661"/>
      <c r="R468" s="661"/>
      <c r="S468" s="661"/>
      <c r="T468" s="661"/>
      <c r="U468" s="661"/>
      <c r="V468" s="66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63"/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4"/>
      <c r="P469" s="660" t="s">
        <v>40</v>
      </c>
      <c r="Q469" s="661"/>
      <c r="R469" s="661"/>
      <c r="S469" s="661"/>
      <c r="T469" s="661"/>
      <c r="U469" s="661"/>
      <c r="V469" s="66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66" t="s">
        <v>86</v>
      </c>
      <c r="B470" s="666"/>
      <c r="C470" s="666"/>
      <c r="D470" s="666"/>
      <c r="E470" s="666"/>
      <c r="F470" s="666"/>
      <c r="G470" s="666"/>
      <c r="H470" s="666"/>
      <c r="I470" s="666"/>
      <c r="J470" s="666"/>
      <c r="K470" s="666"/>
      <c r="L470" s="666"/>
      <c r="M470" s="666"/>
      <c r="N470" s="666"/>
      <c r="O470" s="666"/>
      <c r="P470" s="666"/>
      <c r="Q470" s="666"/>
      <c r="R470" s="666"/>
      <c r="S470" s="666"/>
      <c r="T470" s="666"/>
      <c r="U470" s="666"/>
      <c r="V470" s="666"/>
      <c r="W470" s="666"/>
      <c r="X470" s="666"/>
      <c r="Y470" s="666"/>
      <c r="Z470" s="666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4301051899</v>
      </c>
      <c r="D471" s="667">
        <v>4607091384246</v>
      </c>
      <c r="E471" s="66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69"/>
      <c r="R471" s="669"/>
      <c r="S471" s="669"/>
      <c r="T471" s="67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4301051660</v>
      </c>
      <c r="D472" s="667">
        <v>4607091384253</v>
      </c>
      <c r="E472" s="66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69"/>
      <c r="R472" s="669"/>
      <c r="S472" s="669"/>
      <c r="T472" s="67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766</v>
      </c>
      <c r="B473" s="63" t="s">
        <v>768</v>
      </c>
      <c r="C473" s="36">
        <v>4301052069</v>
      </c>
      <c r="D473" s="667">
        <v>4607091384253</v>
      </c>
      <c r="E473" s="66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71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69"/>
      <c r="R473" s="669"/>
      <c r="S473" s="669"/>
      <c r="T473" s="67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63"/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4"/>
      <c r="P474" s="660" t="s">
        <v>40</v>
      </c>
      <c r="Q474" s="661"/>
      <c r="R474" s="661"/>
      <c r="S474" s="661"/>
      <c r="T474" s="661"/>
      <c r="U474" s="661"/>
      <c r="V474" s="662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663"/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4"/>
      <c r="P475" s="660" t="s">
        <v>40</v>
      </c>
      <c r="Q475" s="661"/>
      <c r="R475" s="661"/>
      <c r="S475" s="661"/>
      <c r="T475" s="661"/>
      <c r="U475" s="661"/>
      <c r="V475" s="662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680" t="s">
        <v>770</v>
      </c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0"/>
      <c r="P476" s="680"/>
      <c r="Q476" s="680"/>
      <c r="R476" s="680"/>
      <c r="S476" s="680"/>
      <c r="T476" s="680"/>
      <c r="U476" s="680"/>
      <c r="V476" s="680"/>
      <c r="W476" s="680"/>
      <c r="X476" s="680"/>
      <c r="Y476" s="680"/>
      <c r="Z476" s="680"/>
      <c r="AA476" s="54"/>
      <c r="AB476" s="54"/>
      <c r="AC476" s="54"/>
    </row>
    <row r="477" spans="1:68" ht="16.5" hidden="1" customHeight="1" x14ac:dyDescent="0.25">
      <c r="A477" s="665" t="s">
        <v>771</v>
      </c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5"/>
      <c r="AB477" s="65"/>
      <c r="AC477" s="79"/>
    </row>
    <row r="478" spans="1:68" ht="14.25" hidden="1" customHeight="1" x14ac:dyDescent="0.25">
      <c r="A478" s="666" t="s">
        <v>77</v>
      </c>
      <c r="B478" s="666"/>
      <c r="C478" s="666"/>
      <c r="D478" s="666"/>
      <c r="E478" s="666"/>
      <c r="F478" s="666"/>
      <c r="G478" s="666"/>
      <c r="H478" s="666"/>
      <c r="I478" s="666"/>
      <c r="J478" s="666"/>
      <c r="K478" s="666"/>
      <c r="L478" s="666"/>
      <c r="M478" s="666"/>
      <c r="N478" s="666"/>
      <c r="O478" s="666"/>
      <c r="P478" s="666"/>
      <c r="Q478" s="666"/>
      <c r="R478" s="666"/>
      <c r="S478" s="666"/>
      <c r="T478" s="666"/>
      <c r="U478" s="666"/>
      <c r="V478" s="666"/>
      <c r="W478" s="666"/>
      <c r="X478" s="666"/>
      <c r="Y478" s="666"/>
      <c r="Z478" s="666"/>
      <c r="AA478" s="66"/>
      <c r="AB478" s="66"/>
      <c r="AC478" s="80"/>
    </row>
    <row r="479" spans="1:68" ht="27" hidden="1" customHeight="1" x14ac:dyDescent="0.25">
      <c r="A479" s="63" t="s">
        <v>772</v>
      </c>
      <c r="B479" s="63" t="s">
        <v>773</v>
      </c>
      <c r="C479" s="36">
        <v>4301031405</v>
      </c>
      <c r="D479" s="667">
        <v>4680115886100</v>
      </c>
      <c r="E479" s="66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69"/>
      <c r="R479" s="669"/>
      <c r="S479" s="669"/>
      <c r="T479" s="67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8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0</v>
      </c>
      <c r="BN479" s="78">
        <f t="shared" ref="BN479:BN484" si="80">IFERROR(Y479*I479/H479,"0")</f>
        <v>0</v>
      </c>
      <c r="BO479" s="78">
        <f t="shared" ref="BO479:BO484" si="81">IFERROR(1/J479*(X479/H479),"0")</f>
        <v>0</v>
      </c>
      <c r="BP479" s="78">
        <f t="shared" ref="BP479:BP484" si="82">IFERROR(1/J479*(Y479/H479),"0")</f>
        <v>0</v>
      </c>
    </row>
    <row r="480" spans="1:68" ht="27" hidden="1" customHeight="1" x14ac:dyDescent="0.25">
      <c r="A480" s="63" t="s">
        <v>775</v>
      </c>
      <c r="B480" s="63" t="s">
        <v>776</v>
      </c>
      <c r="C480" s="36">
        <v>4301031402</v>
      </c>
      <c r="D480" s="667">
        <v>4680115886124</v>
      </c>
      <c r="E480" s="66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69"/>
      <c r="R480" s="669"/>
      <c r="S480" s="669"/>
      <c r="T480" s="67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778</v>
      </c>
      <c r="B481" s="63" t="s">
        <v>779</v>
      </c>
      <c r="C481" s="36">
        <v>4301031362</v>
      </c>
      <c r="D481" s="667">
        <v>4607091384338</v>
      </c>
      <c r="E481" s="66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69"/>
      <c r="R481" s="669"/>
      <c r="S481" s="669"/>
      <c r="T481" s="67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4301031364</v>
      </c>
      <c r="D482" s="667">
        <v>4680115883161</v>
      </c>
      <c r="E482" s="66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69"/>
      <c r="R482" s="669"/>
      <c r="S482" s="669"/>
      <c r="T482" s="67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4301031358</v>
      </c>
      <c r="D483" s="667">
        <v>4607091389531</v>
      </c>
      <c r="E483" s="66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69"/>
      <c r="R483" s="669"/>
      <c r="S483" s="669"/>
      <c r="T483" s="67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hidden="1" customHeight="1" x14ac:dyDescent="0.25">
      <c r="A484" s="63" t="s">
        <v>786</v>
      </c>
      <c r="B484" s="63" t="s">
        <v>787</v>
      </c>
      <c r="C484" s="36">
        <v>4301031360</v>
      </c>
      <c r="D484" s="667">
        <v>4607091384345</v>
      </c>
      <c r="E484" s="66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69"/>
      <c r="R484" s="669"/>
      <c r="S484" s="669"/>
      <c r="T484" s="67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hidden="1" x14ac:dyDescent="0.2">
      <c r="A485" s="663"/>
      <c r="B485" s="663"/>
      <c r="C485" s="663"/>
      <c r="D485" s="663"/>
      <c r="E485" s="663"/>
      <c r="F485" s="663"/>
      <c r="G485" s="663"/>
      <c r="H485" s="663"/>
      <c r="I485" s="663"/>
      <c r="J485" s="663"/>
      <c r="K485" s="663"/>
      <c r="L485" s="663"/>
      <c r="M485" s="663"/>
      <c r="N485" s="663"/>
      <c r="O485" s="664"/>
      <c r="P485" s="660" t="s">
        <v>40</v>
      </c>
      <c r="Q485" s="661"/>
      <c r="R485" s="661"/>
      <c r="S485" s="661"/>
      <c r="T485" s="661"/>
      <c r="U485" s="661"/>
      <c r="V485" s="662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663"/>
      <c r="B486" s="663"/>
      <c r="C486" s="663"/>
      <c r="D486" s="663"/>
      <c r="E486" s="663"/>
      <c r="F486" s="663"/>
      <c r="G486" s="663"/>
      <c r="H486" s="663"/>
      <c r="I486" s="663"/>
      <c r="J486" s="663"/>
      <c r="K486" s="663"/>
      <c r="L486" s="663"/>
      <c r="M486" s="663"/>
      <c r="N486" s="663"/>
      <c r="O486" s="664"/>
      <c r="P486" s="660" t="s">
        <v>40</v>
      </c>
      <c r="Q486" s="661"/>
      <c r="R486" s="661"/>
      <c r="S486" s="661"/>
      <c r="T486" s="661"/>
      <c r="U486" s="661"/>
      <c r="V486" s="662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66" t="s">
        <v>86</v>
      </c>
      <c r="B487" s="666"/>
      <c r="C487" s="666"/>
      <c r="D487" s="666"/>
      <c r="E487" s="666"/>
      <c r="F487" s="666"/>
      <c r="G487" s="666"/>
      <c r="H487" s="666"/>
      <c r="I487" s="666"/>
      <c r="J487" s="666"/>
      <c r="K487" s="666"/>
      <c r="L487" s="666"/>
      <c r="M487" s="666"/>
      <c r="N487" s="666"/>
      <c r="O487" s="666"/>
      <c r="P487" s="666"/>
      <c r="Q487" s="666"/>
      <c r="R487" s="666"/>
      <c r="S487" s="666"/>
      <c r="T487" s="666"/>
      <c r="U487" s="666"/>
      <c r="V487" s="666"/>
      <c r="W487" s="666"/>
      <c r="X487" s="666"/>
      <c r="Y487" s="666"/>
      <c r="Z487" s="666"/>
      <c r="AA487" s="66"/>
      <c r="AB487" s="66"/>
      <c r="AC487" s="80"/>
    </row>
    <row r="488" spans="1:68" ht="27" hidden="1" customHeight="1" x14ac:dyDescent="0.25">
      <c r="A488" s="63" t="s">
        <v>788</v>
      </c>
      <c r="B488" s="63" t="s">
        <v>789</v>
      </c>
      <c r="C488" s="36">
        <v>4301051284</v>
      </c>
      <c r="D488" s="667">
        <v>4607091384352</v>
      </c>
      <c r="E488" s="66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69"/>
      <c r="R488" s="669"/>
      <c r="S488" s="669"/>
      <c r="T488" s="67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791</v>
      </c>
      <c r="B489" s="63" t="s">
        <v>792</v>
      </c>
      <c r="C489" s="36">
        <v>4301051431</v>
      </c>
      <c r="D489" s="667">
        <v>4607091389654</v>
      </c>
      <c r="E489" s="66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69"/>
      <c r="R489" s="669"/>
      <c r="S489" s="669"/>
      <c r="T489" s="67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3"/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4"/>
      <c r="P490" s="660" t="s">
        <v>40</v>
      </c>
      <c r="Q490" s="661"/>
      <c r="R490" s="661"/>
      <c r="S490" s="661"/>
      <c r="T490" s="661"/>
      <c r="U490" s="661"/>
      <c r="V490" s="662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3"/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4"/>
      <c r="P491" s="660" t="s">
        <v>40</v>
      </c>
      <c r="Q491" s="661"/>
      <c r="R491" s="661"/>
      <c r="S491" s="661"/>
      <c r="T491" s="661"/>
      <c r="U491" s="661"/>
      <c r="V491" s="662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65" t="s">
        <v>794</v>
      </c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5"/>
      <c r="AB492" s="65"/>
      <c r="AC492" s="79"/>
    </row>
    <row r="493" spans="1:68" ht="14.25" hidden="1" customHeight="1" x14ac:dyDescent="0.25">
      <c r="A493" s="666" t="s">
        <v>159</v>
      </c>
      <c r="B493" s="666"/>
      <c r="C493" s="666"/>
      <c r="D493" s="666"/>
      <c r="E493" s="666"/>
      <c r="F493" s="666"/>
      <c r="G493" s="666"/>
      <c r="H493" s="666"/>
      <c r="I493" s="666"/>
      <c r="J493" s="666"/>
      <c r="K493" s="666"/>
      <c r="L493" s="666"/>
      <c r="M493" s="666"/>
      <c r="N493" s="666"/>
      <c r="O493" s="666"/>
      <c r="P493" s="666"/>
      <c r="Q493" s="666"/>
      <c r="R493" s="666"/>
      <c r="S493" s="666"/>
      <c r="T493" s="666"/>
      <c r="U493" s="666"/>
      <c r="V493" s="666"/>
      <c r="W493" s="666"/>
      <c r="X493" s="666"/>
      <c r="Y493" s="666"/>
      <c r="Z493" s="666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4301020416</v>
      </c>
      <c r="D494" s="667">
        <v>4680115885240</v>
      </c>
      <c r="E494" s="66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7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69"/>
      <c r="R494" s="669"/>
      <c r="S494" s="669"/>
      <c r="T494" s="67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63"/>
      <c r="B495" s="663"/>
      <c r="C495" s="663"/>
      <c r="D495" s="663"/>
      <c r="E495" s="663"/>
      <c r="F495" s="663"/>
      <c r="G495" s="663"/>
      <c r="H495" s="663"/>
      <c r="I495" s="663"/>
      <c r="J495" s="663"/>
      <c r="K495" s="663"/>
      <c r="L495" s="663"/>
      <c r="M495" s="663"/>
      <c r="N495" s="663"/>
      <c r="O495" s="664"/>
      <c r="P495" s="660" t="s">
        <v>40</v>
      </c>
      <c r="Q495" s="661"/>
      <c r="R495" s="661"/>
      <c r="S495" s="661"/>
      <c r="T495" s="661"/>
      <c r="U495" s="661"/>
      <c r="V495" s="662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63"/>
      <c r="B496" s="663"/>
      <c r="C496" s="663"/>
      <c r="D496" s="663"/>
      <c r="E496" s="663"/>
      <c r="F496" s="663"/>
      <c r="G496" s="663"/>
      <c r="H496" s="663"/>
      <c r="I496" s="663"/>
      <c r="J496" s="663"/>
      <c r="K496" s="663"/>
      <c r="L496" s="663"/>
      <c r="M496" s="663"/>
      <c r="N496" s="663"/>
      <c r="O496" s="664"/>
      <c r="P496" s="660" t="s">
        <v>40</v>
      </c>
      <c r="Q496" s="661"/>
      <c r="R496" s="661"/>
      <c r="S496" s="661"/>
      <c r="T496" s="661"/>
      <c r="U496" s="661"/>
      <c r="V496" s="662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66" t="s">
        <v>77</v>
      </c>
      <c r="B497" s="666"/>
      <c r="C497" s="666"/>
      <c r="D497" s="666"/>
      <c r="E497" s="666"/>
      <c r="F497" s="666"/>
      <c r="G497" s="666"/>
      <c r="H497" s="666"/>
      <c r="I497" s="666"/>
      <c r="J497" s="666"/>
      <c r="K497" s="666"/>
      <c r="L497" s="666"/>
      <c r="M497" s="666"/>
      <c r="N497" s="666"/>
      <c r="O497" s="666"/>
      <c r="P497" s="666"/>
      <c r="Q497" s="666"/>
      <c r="R497" s="666"/>
      <c r="S497" s="666"/>
      <c r="T497" s="666"/>
      <c r="U497" s="666"/>
      <c r="V497" s="666"/>
      <c r="W497" s="666"/>
      <c r="X497" s="666"/>
      <c r="Y497" s="666"/>
      <c r="Z497" s="666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4301031407</v>
      </c>
      <c r="D498" s="667">
        <v>4680115886094</v>
      </c>
      <c r="E498" s="66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7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69"/>
      <c r="R498" s="669"/>
      <c r="S498" s="669"/>
      <c r="T498" s="67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4301031373</v>
      </c>
      <c r="D499" s="667">
        <v>4680115880771</v>
      </c>
      <c r="E499" s="66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69"/>
      <c r="R499" s="669"/>
      <c r="S499" s="669"/>
      <c r="T499" s="67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4301031359</v>
      </c>
      <c r="D500" s="667">
        <v>4607091389500</v>
      </c>
      <c r="E500" s="66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69"/>
      <c r="R500" s="669"/>
      <c r="S500" s="669"/>
      <c r="T500" s="670"/>
      <c r="U500" s="39" t="s">
        <v>46</v>
      </c>
      <c r="V500" s="39" t="s">
        <v>46</v>
      </c>
      <c r="W500" s="40" t="s">
        <v>0</v>
      </c>
      <c r="X500" s="58">
        <v>2.1</v>
      </c>
      <c r="Y500" s="55">
        <f>IFERROR(IF(X500="",0,CEILING((X500/$H500),1)*$H500),"")</f>
        <v>2.1</v>
      </c>
      <c r="Z500" s="41">
        <f>IFERROR(IF(Y500=0,"",ROUNDUP(Y500/H500,0)*0.00502),"")</f>
        <v>5.0200000000000002E-3</v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2.23</v>
      </c>
      <c r="BN500" s="78">
        <f>IFERROR(Y500*I500/H500,"0")</f>
        <v>2.23</v>
      </c>
      <c r="BO500" s="78">
        <f>IFERROR(1/J500*(X500/H500),"0")</f>
        <v>4.2735042735042739E-3</v>
      </c>
      <c r="BP500" s="78">
        <f>IFERROR(1/J500*(Y500/H500),"0")</f>
        <v>4.2735042735042739E-3</v>
      </c>
    </row>
    <row r="501" spans="1:68" x14ac:dyDescent="0.2">
      <c r="A501" s="663"/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4"/>
      <c r="P501" s="660" t="s">
        <v>40</v>
      </c>
      <c r="Q501" s="661"/>
      <c r="R501" s="661"/>
      <c r="S501" s="661"/>
      <c r="T501" s="661"/>
      <c r="U501" s="661"/>
      <c r="V501" s="662"/>
      <c r="W501" s="42" t="s">
        <v>39</v>
      </c>
      <c r="X501" s="43">
        <f>IFERROR(X498/H498,"0")+IFERROR(X499/H499,"0")+IFERROR(X500/H500,"0")</f>
        <v>1</v>
      </c>
      <c r="Y501" s="43">
        <f>IFERROR(Y498/H498,"0")+IFERROR(Y499/H499,"0")+IFERROR(Y500/H500,"0")</f>
        <v>1</v>
      </c>
      <c r="Z501" s="43">
        <f>IFERROR(IF(Z498="",0,Z498),"0")+IFERROR(IF(Z499="",0,Z499),"0")+IFERROR(IF(Z500="",0,Z500),"0")</f>
        <v>5.0200000000000002E-3</v>
      </c>
      <c r="AA501" s="67"/>
      <c r="AB501" s="67"/>
      <c r="AC501" s="67"/>
    </row>
    <row r="502" spans="1:68" x14ac:dyDescent="0.2">
      <c r="A502" s="663"/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4"/>
      <c r="P502" s="660" t="s">
        <v>40</v>
      </c>
      <c r="Q502" s="661"/>
      <c r="R502" s="661"/>
      <c r="S502" s="661"/>
      <c r="T502" s="661"/>
      <c r="U502" s="661"/>
      <c r="V502" s="662"/>
      <c r="W502" s="42" t="s">
        <v>0</v>
      </c>
      <c r="X502" s="43">
        <f>IFERROR(SUM(X498:X500),"0")</f>
        <v>2.1</v>
      </c>
      <c r="Y502" s="43">
        <f>IFERROR(SUM(Y498:Y500),"0")</f>
        <v>2.1</v>
      </c>
      <c r="Z502" s="42"/>
      <c r="AA502" s="67"/>
      <c r="AB502" s="67"/>
      <c r="AC502" s="67"/>
    </row>
    <row r="503" spans="1:68" ht="27.75" hidden="1" customHeight="1" x14ac:dyDescent="0.2">
      <c r="A503" s="680" t="s">
        <v>806</v>
      </c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0"/>
      <c r="P503" s="680"/>
      <c r="Q503" s="680"/>
      <c r="R503" s="680"/>
      <c r="S503" s="680"/>
      <c r="T503" s="680"/>
      <c r="U503" s="680"/>
      <c r="V503" s="680"/>
      <c r="W503" s="680"/>
      <c r="X503" s="680"/>
      <c r="Y503" s="680"/>
      <c r="Z503" s="680"/>
      <c r="AA503" s="54"/>
      <c r="AB503" s="54"/>
      <c r="AC503" s="54"/>
    </row>
    <row r="504" spans="1:68" ht="16.5" hidden="1" customHeight="1" x14ac:dyDescent="0.25">
      <c r="A504" s="665" t="s">
        <v>806</v>
      </c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5"/>
      <c r="AB504" s="65"/>
      <c r="AC504" s="79"/>
    </row>
    <row r="505" spans="1:68" ht="14.25" hidden="1" customHeight="1" x14ac:dyDescent="0.25">
      <c r="A505" s="666" t="s">
        <v>122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66"/>
      <c r="AB505" s="66"/>
      <c r="AC505" s="80"/>
    </row>
    <row r="506" spans="1:68" ht="27" customHeight="1" x14ac:dyDescent="0.25">
      <c r="A506" s="63" t="s">
        <v>807</v>
      </c>
      <c r="B506" s="63" t="s">
        <v>808</v>
      </c>
      <c r="C506" s="36">
        <v>4301011769</v>
      </c>
      <c r="D506" s="667">
        <v>4607091389067</v>
      </c>
      <c r="E506" s="66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69"/>
      <c r="R506" s="669"/>
      <c r="S506" s="669"/>
      <c r="T506" s="670"/>
      <c r="U506" s="39" t="s">
        <v>46</v>
      </c>
      <c r="V506" s="39" t="s">
        <v>46</v>
      </c>
      <c r="W506" s="40" t="s">
        <v>0</v>
      </c>
      <c r="X506" s="58">
        <v>20</v>
      </c>
      <c r="Y506" s="55">
        <f t="shared" ref="Y506:Y514" si="83">IFERROR(IF(X506="",0,CEILING((X506/$H506),1)*$H506),"")</f>
        <v>21.12</v>
      </c>
      <c r="Z506" s="41">
        <f t="shared" ref="Z506:Z511" si="84">IFERROR(IF(Y506=0,"",ROUNDUP(Y506/H506,0)*0.01196),"")</f>
        <v>4.7840000000000001E-2</v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21.325757575757574</v>
      </c>
      <c r="BN506" s="78">
        <f t="shared" ref="BN506:BN514" si="86">IFERROR(Y506*I506/H506,"0")</f>
        <v>22.52</v>
      </c>
      <c r="BO506" s="78">
        <f t="shared" ref="BO506:BO514" si="87">IFERROR(1/J506*(X506/H506),"0")</f>
        <v>3.6421911421911424E-2</v>
      </c>
      <c r="BP506" s="78">
        <f t="shared" ref="BP506:BP514" si="88">IFERROR(1/J506*(Y506/H506),"0")</f>
        <v>3.8461538461538464E-2</v>
      </c>
    </row>
    <row r="507" spans="1:68" ht="16.5" hidden="1" customHeight="1" x14ac:dyDescent="0.25">
      <c r="A507" s="63" t="s">
        <v>809</v>
      </c>
      <c r="B507" s="63" t="s">
        <v>810</v>
      </c>
      <c r="C507" s="36">
        <v>4301012380</v>
      </c>
      <c r="D507" s="667">
        <v>4680115889576</v>
      </c>
      <c r="E507" s="66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70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69"/>
      <c r="R507" s="669"/>
      <c r="S507" s="669"/>
      <c r="T507" s="67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customHeight="1" x14ac:dyDescent="0.25">
      <c r="A508" s="63" t="s">
        <v>812</v>
      </c>
      <c r="B508" s="63" t="s">
        <v>813</v>
      </c>
      <c r="C508" s="36">
        <v>4301011961</v>
      </c>
      <c r="D508" s="667">
        <v>4680115885271</v>
      </c>
      <c r="E508" s="66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69"/>
      <c r="R508" s="669"/>
      <c r="S508" s="669"/>
      <c r="T508" s="670"/>
      <c r="U508" s="39" t="s">
        <v>46</v>
      </c>
      <c r="V508" s="39" t="s">
        <v>46</v>
      </c>
      <c r="W508" s="40" t="s">
        <v>0</v>
      </c>
      <c r="X508" s="58">
        <v>10</v>
      </c>
      <c r="Y508" s="55">
        <f t="shared" si="83"/>
        <v>10.56</v>
      </c>
      <c r="Z508" s="41">
        <f t="shared" si="84"/>
        <v>2.392E-2</v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10.662878787878787</v>
      </c>
      <c r="BN508" s="78">
        <f t="shared" si="86"/>
        <v>11.26</v>
      </c>
      <c r="BO508" s="78">
        <f t="shared" si="87"/>
        <v>1.8210955710955712E-2</v>
      </c>
      <c r="BP508" s="78">
        <f t="shared" si="88"/>
        <v>1.9230769230769232E-2</v>
      </c>
    </row>
    <row r="509" spans="1:68" ht="27" customHeight="1" x14ac:dyDescent="0.25">
      <c r="A509" s="63" t="s">
        <v>815</v>
      </c>
      <c r="B509" s="63" t="s">
        <v>816</v>
      </c>
      <c r="C509" s="36">
        <v>4301011369</v>
      </c>
      <c r="D509" s="667">
        <v>4680115885226</v>
      </c>
      <c r="E509" s="66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69"/>
      <c r="R509" s="669"/>
      <c r="S509" s="669"/>
      <c r="T509" s="670"/>
      <c r="U509" s="39" t="s">
        <v>46</v>
      </c>
      <c r="V509" s="39" t="s">
        <v>46</v>
      </c>
      <c r="W509" s="40" t="s">
        <v>0</v>
      </c>
      <c r="X509" s="58">
        <v>10</v>
      </c>
      <c r="Y509" s="55">
        <f t="shared" si="83"/>
        <v>10.56</v>
      </c>
      <c r="Z509" s="41">
        <f t="shared" si="84"/>
        <v>2.392E-2</v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10.662878787878787</v>
      </c>
      <c r="BN509" s="78">
        <f t="shared" si="86"/>
        <v>11.26</v>
      </c>
      <c r="BO509" s="78">
        <f t="shared" si="87"/>
        <v>1.8210955710955712E-2</v>
      </c>
      <c r="BP509" s="78">
        <f t="shared" si="88"/>
        <v>1.9230769230769232E-2</v>
      </c>
    </row>
    <row r="510" spans="1:68" ht="16.5" hidden="1" customHeight="1" x14ac:dyDescent="0.25">
      <c r="A510" s="63" t="s">
        <v>818</v>
      </c>
      <c r="B510" s="63" t="s">
        <v>819</v>
      </c>
      <c r="C510" s="36">
        <v>4301011797</v>
      </c>
      <c r="D510" s="667">
        <v>4680115884502</v>
      </c>
      <c r="E510" s="66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6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69"/>
      <c r="R510" s="669"/>
      <c r="S510" s="669"/>
      <c r="T510" s="67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4301011771</v>
      </c>
      <c r="D511" s="667">
        <v>4607091389104</v>
      </c>
      <c r="E511" s="66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6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69"/>
      <c r="R511" s="669"/>
      <c r="S511" s="669"/>
      <c r="T511" s="670"/>
      <c r="U511" s="39" t="s">
        <v>46</v>
      </c>
      <c r="V511" s="39" t="s">
        <v>46</v>
      </c>
      <c r="W511" s="40" t="s">
        <v>0</v>
      </c>
      <c r="X511" s="58">
        <v>20</v>
      </c>
      <c r="Y511" s="55">
        <f t="shared" si="83"/>
        <v>21.12</v>
      </c>
      <c r="Z511" s="41">
        <f t="shared" si="84"/>
        <v>4.7840000000000001E-2</v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21.325757575757574</v>
      </c>
      <c r="BN511" s="78">
        <f t="shared" si="86"/>
        <v>22.52</v>
      </c>
      <c r="BO511" s="78">
        <f t="shared" si="87"/>
        <v>3.6421911421911424E-2</v>
      </c>
      <c r="BP511" s="78">
        <f t="shared" si="88"/>
        <v>3.8461538461538464E-2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4301012125</v>
      </c>
      <c r="D512" s="667">
        <v>4680115886391</v>
      </c>
      <c r="E512" s="66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69"/>
      <c r="R512" s="669"/>
      <c r="S512" s="669"/>
      <c r="T512" s="67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4301012048</v>
      </c>
      <c r="D513" s="667">
        <v>4680115880603</v>
      </c>
      <c r="E513" s="66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6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69"/>
      <c r="R513" s="669"/>
      <c r="S513" s="669"/>
      <c r="T513" s="67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4301012034</v>
      </c>
      <c r="D514" s="667">
        <v>4607091389982</v>
      </c>
      <c r="E514" s="66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6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69"/>
      <c r="R514" s="669"/>
      <c r="S514" s="669"/>
      <c r="T514" s="67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x14ac:dyDescent="0.2">
      <c r="A515" s="663"/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4"/>
      <c r="P515" s="660" t="s">
        <v>40</v>
      </c>
      <c r="Q515" s="661"/>
      <c r="R515" s="661"/>
      <c r="S515" s="661"/>
      <c r="T515" s="661"/>
      <c r="U515" s="661"/>
      <c r="V515" s="662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11.363636363636363</v>
      </c>
      <c r="Y515" s="43">
        <f>IFERROR(Y506/H506,"0")+IFERROR(Y507/H507,"0")+IFERROR(Y508/H508,"0")+IFERROR(Y509/H509,"0")+IFERROR(Y510/H510,"0")+IFERROR(Y511/H511,"0")+IFERROR(Y512/H512,"0")+IFERROR(Y513/H513,"0")+IFERROR(Y514/H514,"0")</f>
        <v>12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0.14352000000000001</v>
      </c>
      <c r="AA515" s="67"/>
      <c r="AB515" s="67"/>
      <c r="AC515" s="67"/>
    </row>
    <row r="516" spans="1:68" x14ac:dyDescent="0.2">
      <c r="A516" s="663"/>
      <c r="B516" s="663"/>
      <c r="C516" s="663"/>
      <c r="D516" s="663"/>
      <c r="E516" s="663"/>
      <c r="F516" s="663"/>
      <c r="G516" s="663"/>
      <c r="H516" s="663"/>
      <c r="I516" s="663"/>
      <c r="J516" s="663"/>
      <c r="K516" s="663"/>
      <c r="L516" s="663"/>
      <c r="M516" s="663"/>
      <c r="N516" s="663"/>
      <c r="O516" s="664"/>
      <c r="P516" s="660" t="s">
        <v>40</v>
      </c>
      <c r="Q516" s="661"/>
      <c r="R516" s="661"/>
      <c r="S516" s="661"/>
      <c r="T516" s="661"/>
      <c r="U516" s="661"/>
      <c r="V516" s="662"/>
      <c r="W516" s="42" t="s">
        <v>0</v>
      </c>
      <c r="X516" s="43">
        <f>IFERROR(SUM(X506:X514),"0")</f>
        <v>60</v>
      </c>
      <c r="Y516" s="43">
        <f>IFERROR(SUM(Y506:Y514),"0")</f>
        <v>63.36</v>
      </c>
      <c r="Z516" s="42"/>
      <c r="AA516" s="67"/>
      <c r="AB516" s="67"/>
      <c r="AC516" s="67"/>
    </row>
    <row r="517" spans="1:68" ht="14.25" hidden="1" customHeight="1" x14ac:dyDescent="0.25">
      <c r="A517" s="666" t="s">
        <v>159</v>
      </c>
      <c r="B517" s="666"/>
      <c r="C517" s="666"/>
      <c r="D517" s="666"/>
      <c r="E517" s="666"/>
      <c r="F517" s="666"/>
      <c r="G517" s="666"/>
      <c r="H517" s="666"/>
      <c r="I517" s="666"/>
      <c r="J517" s="666"/>
      <c r="K517" s="666"/>
      <c r="L517" s="666"/>
      <c r="M517" s="666"/>
      <c r="N517" s="666"/>
      <c r="O517" s="666"/>
      <c r="P517" s="666"/>
      <c r="Q517" s="666"/>
      <c r="R517" s="666"/>
      <c r="S517" s="666"/>
      <c r="T517" s="666"/>
      <c r="U517" s="666"/>
      <c r="V517" s="666"/>
      <c r="W517" s="666"/>
      <c r="X517" s="666"/>
      <c r="Y517" s="666"/>
      <c r="Z517" s="666"/>
      <c r="AA517" s="66"/>
      <c r="AB517" s="66"/>
      <c r="AC517" s="80"/>
    </row>
    <row r="518" spans="1:68" ht="16.5" customHeight="1" x14ac:dyDescent="0.25">
      <c r="A518" s="63" t="s">
        <v>830</v>
      </c>
      <c r="B518" s="63" t="s">
        <v>831</v>
      </c>
      <c r="C518" s="36">
        <v>4301020334</v>
      </c>
      <c r="D518" s="667">
        <v>4607091388930</v>
      </c>
      <c r="E518" s="66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69"/>
      <c r="R518" s="669"/>
      <c r="S518" s="669"/>
      <c r="T518" s="670"/>
      <c r="U518" s="39" t="s">
        <v>46</v>
      </c>
      <c r="V518" s="39" t="s">
        <v>46</v>
      </c>
      <c r="W518" s="40" t="s">
        <v>0</v>
      </c>
      <c r="X518" s="58">
        <v>35</v>
      </c>
      <c r="Y518" s="55">
        <f>IFERROR(IF(X518="",0,CEILING((X518/$H518),1)*$H518),"")</f>
        <v>36.96</v>
      </c>
      <c r="Z518" s="41">
        <f>IFERROR(IF(Y518=0,"",ROUNDUP(Y518/H518,0)*0.01196),"")</f>
        <v>8.3720000000000003E-2</v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37.320075757575751</v>
      </c>
      <c r="BN518" s="78">
        <f>IFERROR(Y518*I518/H518,"0")</f>
        <v>39.409999999999997</v>
      </c>
      <c r="BO518" s="78">
        <f>IFERROR(1/J518*(X518/H518),"0")</f>
        <v>6.3738344988344992E-2</v>
      </c>
      <c r="BP518" s="78">
        <f>IFERROR(1/J518*(Y518/H518),"0")</f>
        <v>6.7307692307692318E-2</v>
      </c>
    </row>
    <row r="519" spans="1:68" ht="16.5" hidden="1" customHeight="1" x14ac:dyDescent="0.25">
      <c r="A519" s="63" t="s">
        <v>833</v>
      </c>
      <c r="B519" s="63" t="s">
        <v>834</v>
      </c>
      <c r="C519" s="36">
        <v>4301020374</v>
      </c>
      <c r="D519" s="667">
        <v>4680115886407</v>
      </c>
      <c r="E519" s="66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6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69"/>
      <c r="R519" s="669"/>
      <c r="S519" s="669"/>
      <c r="T519" s="67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4301020385</v>
      </c>
      <c r="D520" s="667">
        <v>4680115880054</v>
      </c>
      <c r="E520" s="66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69"/>
      <c r="R520" s="669"/>
      <c r="S520" s="669"/>
      <c r="T520" s="67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663"/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4"/>
      <c r="P521" s="660" t="s">
        <v>40</v>
      </c>
      <c r="Q521" s="661"/>
      <c r="R521" s="661"/>
      <c r="S521" s="661"/>
      <c r="T521" s="661"/>
      <c r="U521" s="661"/>
      <c r="V521" s="662"/>
      <c r="W521" s="42" t="s">
        <v>39</v>
      </c>
      <c r="X521" s="43">
        <f>IFERROR(X518/H518,"0")+IFERROR(X519/H519,"0")+IFERROR(X520/H520,"0")</f>
        <v>6.6287878787878789</v>
      </c>
      <c r="Y521" s="43">
        <f>IFERROR(Y518/H518,"0")+IFERROR(Y519/H519,"0")+IFERROR(Y520/H520,"0")</f>
        <v>7</v>
      </c>
      <c r="Z521" s="43">
        <f>IFERROR(IF(Z518="",0,Z518),"0")+IFERROR(IF(Z519="",0,Z519),"0")+IFERROR(IF(Z520="",0,Z520),"0")</f>
        <v>8.3720000000000003E-2</v>
      </c>
      <c r="AA521" s="67"/>
      <c r="AB521" s="67"/>
      <c r="AC521" s="67"/>
    </row>
    <row r="522" spans="1:68" x14ac:dyDescent="0.2">
      <c r="A522" s="663"/>
      <c r="B522" s="663"/>
      <c r="C522" s="663"/>
      <c r="D522" s="663"/>
      <c r="E522" s="663"/>
      <c r="F522" s="663"/>
      <c r="G522" s="663"/>
      <c r="H522" s="663"/>
      <c r="I522" s="663"/>
      <c r="J522" s="663"/>
      <c r="K522" s="663"/>
      <c r="L522" s="663"/>
      <c r="M522" s="663"/>
      <c r="N522" s="663"/>
      <c r="O522" s="664"/>
      <c r="P522" s="660" t="s">
        <v>40</v>
      </c>
      <c r="Q522" s="661"/>
      <c r="R522" s="661"/>
      <c r="S522" s="661"/>
      <c r="T522" s="661"/>
      <c r="U522" s="661"/>
      <c r="V522" s="662"/>
      <c r="W522" s="42" t="s">
        <v>0</v>
      </c>
      <c r="X522" s="43">
        <f>IFERROR(SUM(X518:X520),"0")</f>
        <v>35</v>
      </c>
      <c r="Y522" s="43">
        <f>IFERROR(SUM(Y518:Y520),"0")</f>
        <v>36.96</v>
      </c>
      <c r="Z522" s="42"/>
      <c r="AA522" s="67"/>
      <c r="AB522" s="67"/>
      <c r="AC522" s="67"/>
    </row>
    <row r="523" spans="1:68" ht="14.25" hidden="1" customHeight="1" x14ac:dyDescent="0.25">
      <c r="A523" s="666" t="s">
        <v>77</v>
      </c>
      <c r="B523" s="666"/>
      <c r="C523" s="666"/>
      <c r="D523" s="666"/>
      <c r="E523" s="666"/>
      <c r="F523" s="666"/>
      <c r="G523" s="666"/>
      <c r="H523" s="666"/>
      <c r="I523" s="666"/>
      <c r="J523" s="666"/>
      <c r="K523" s="666"/>
      <c r="L523" s="666"/>
      <c r="M523" s="666"/>
      <c r="N523" s="666"/>
      <c r="O523" s="666"/>
      <c r="P523" s="666"/>
      <c r="Q523" s="666"/>
      <c r="R523" s="666"/>
      <c r="S523" s="666"/>
      <c r="T523" s="666"/>
      <c r="U523" s="666"/>
      <c r="V523" s="666"/>
      <c r="W523" s="666"/>
      <c r="X523" s="666"/>
      <c r="Y523" s="666"/>
      <c r="Z523" s="666"/>
      <c r="AA523" s="66"/>
      <c r="AB523" s="66"/>
      <c r="AC523" s="80"/>
    </row>
    <row r="524" spans="1:68" ht="27" customHeight="1" x14ac:dyDescent="0.25">
      <c r="A524" s="63" t="s">
        <v>837</v>
      </c>
      <c r="B524" s="63" t="s">
        <v>838</v>
      </c>
      <c r="C524" s="36">
        <v>4301031349</v>
      </c>
      <c r="D524" s="667">
        <v>4680115883116</v>
      </c>
      <c r="E524" s="66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69"/>
      <c r="R524" s="669"/>
      <c r="S524" s="669"/>
      <c r="T524" s="670"/>
      <c r="U524" s="39" t="s">
        <v>46</v>
      </c>
      <c r="V524" s="39" t="s">
        <v>46</v>
      </c>
      <c r="W524" s="40" t="s">
        <v>0</v>
      </c>
      <c r="X524" s="58">
        <v>10</v>
      </c>
      <c r="Y524" s="55">
        <f t="shared" ref="Y524:Y530" si="89">IFERROR(IF(X524="",0,CEILING((X524/$H524),1)*$H524),"")</f>
        <v>10.56</v>
      </c>
      <c r="Z524" s="41">
        <f>IFERROR(IF(Y524=0,"",ROUNDUP(Y524/H524,0)*0.01196),"")</f>
        <v>2.392E-2</v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10.662878787878787</v>
      </c>
      <c r="BN524" s="78">
        <f t="shared" ref="BN524:BN530" si="91">IFERROR(Y524*I524/H524,"0")</f>
        <v>11.26</v>
      </c>
      <c r="BO524" s="78">
        <f t="shared" ref="BO524:BO530" si="92">IFERROR(1/J524*(X524/H524),"0")</f>
        <v>1.8210955710955712E-2</v>
      </c>
      <c r="BP524" s="78">
        <f t="shared" ref="BP524:BP530" si="93">IFERROR(1/J524*(Y524/H524),"0")</f>
        <v>1.9230769230769232E-2</v>
      </c>
    </row>
    <row r="525" spans="1:68" ht="27" customHeight="1" x14ac:dyDescent="0.25">
      <c r="A525" s="63" t="s">
        <v>840</v>
      </c>
      <c r="B525" s="63" t="s">
        <v>841</v>
      </c>
      <c r="C525" s="36">
        <v>4301031350</v>
      </c>
      <c r="D525" s="667">
        <v>4680115883093</v>
      </c>
      <c r="E525" s="66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69"/>
      <c r="R525" s="669"/>
      <c r="S525" s="669"/>
      <c r="T525" s="670"/>
      <c r="U525" s="39" t="s">
        <v>46</v>
      </c>
      <c r="V525" s="39" t="s">
        <v>46</v>
      </c>
      <c r="W525" s="40" t="s">
        <v>0</v>
      </c>
      <c r="X525" s="58">
        <v>5</v>
      </c>
      <c r="Y525" s="55">
        <f t="shared" si="89"/>
        <v>5.28</v>
      </c>
      <c r="Z525" s="41">
        <f>IFERROR(IF(Y525=0,"",ROUNDUP(Y525/H525,0)*0.01196),"")</f>
        <v>1.196E-2</v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5.3314393939393936</v>
      </c>
      <c r="BN525" s="78">
        <f t="shared" si="91"/>
        <v>5.63</v>
      </c>
      <c r="BO525" s="78">
        <f t="shared" si="92"/>
        <v>9.1054778554778559E-3</v>
      </c>
      <c r="BP525" s="78">
        <f t="shared" si="93"/>
        <v>9.6153846153846159E-3</v>
      </c>
    </row>
    <row r="526" spans="1:68" ht="27" customHeight="1" x14ac:dyDescent="0.25">
      <c r="A526" s="63" t="s">
        <v>843</v>
      </c>
      <c r="B526" s="63" t="s">
        <v>844</v>
      </c>
      <c r="C526" s="36">
        <v>4301031353</v>
      </c>
      <c r="D526" s="667">
        <v>4680115883109</v>
      </c>
      <c r="E526" s="66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6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69"/>
      <c r="R526" s="669"/>
      <c r="S526" s="669"/>
      <c r="T526" s="670"/>
      <c r="U526" s="39" t="s">
        <v>46</v>
      </c>
      <c r="V526" s="39" t="s">
        <v>46</v>
      </c>
      <c r="W526" s="40" t="s">
        <v>0</v>
      </c>
      <c r="X526" s="58">
        <v>25</v>
      </c>
      <c r="Y526" s="55">
        <f t="shared" si="89"/>
        <v>26.400000000000002</v>
      </c>
      <c r="Z526" s="41">
        <f>IFERROR(IF(Y526=0,"",ROUNDUP(Y526/H526,0)*0.01196),"")</f>
        <v>5.9799999999999999E-2</v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26.657196969696969</v>
      </c>
      <c r="BN526" s="78">
        <f t="shared" si="91"/>
        <v>28.15</v>
      </c>
      <c r="BO526" s="78">
        <f t="shared" si="92"/>
        <v>4.5527389277389273E-2</v>
      </c>
      <c r="BP526" s="78">
        <f t="shared" si="93"/>
        <v>4.807692307692308E-2</v>
      </c>
    </row>
    <row r="527" spans="1:68" ht="27" hidden="1" customHeight="1" x14ac:dyDescent="0.25">
      <c r="A527" s="63" t="s">
        <v>846</v>
      </c>
      <c r="B527" s="63" t="s">
        <v>847</v>
      </c>
      <c r="C527" s="36">
        <v>4301031419</v>
      </c>
      <c r="D527" s="667">
        <v>4680115882072</v>
      </c>
      <c r="E527" s="66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6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69"/>
      <c r="R527" s="669"/>
      <c r="S527" s="669"/>
      <c r="T527" s="67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4301031352</v>
      </c>
      <c r="D528" s="667">
        <v>4680115882102</v>
      </c>
      <c r="E528" s="66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69"/>
      <c r="R528" s="669"/>
      <c r="S528" s="669"/>
      <c r="T528" s="67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850</v>
      </c>
      <c r="C529" s="36">
        <v>4301031418</v>
      </c>
      <c r="D529" s="667">
        <v>4680115882102</v>
      </c>
      <c r="E529" s="66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69"/>
      <c r="R529" s="669"/>
      <c r="S529" s="669"/>
      <c r="T529" s="67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851</v>
      </c>
      <c r="B530" s="63" t="s">
        <v>852</v>
      </c>
      <c r="C530" s="36">
        <v>4301031417</v>
      </c>
      <c r="D530" s="667">
        <v>4680115882096</v>
      </c>
      <c r="E530" s="66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6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69"/>
      <c r="R530" s="669"/>
      <c r="S530" s="669"/>
      <c r="T530" s="67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x14ac:dyDescent="0.2">
      <c r="A531" s="663"/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4"/>
      <c r="P531" s="660" t="s">
        <v>40</v>
      </c>
      <c r="Q531" s="661"/>
      <c r="R531" s="661"/>
      <c r="S531" s="661"/>
      <c r="T531" s="661"/>
      <c r="U531" s="661"/>
      <c r="V531" s="662"/>
      <c r="W531" s="42" t="s">
        <v>39</v>
      </c>
      <c r="X531" s="43">
        <f>IFERROR(X524/H524,"0")+IFERROR(X525/H525,"0")+IFERROR(X526/H526,"0")+IFERROR(X527/H527,"0")+IFERROR(X528/H528,"0")+IFERROR(X529/H529,"0")+IFERROR(X530/H530,"0")</f>
        <v>7.5757575757575752</v>
      </c>
      <c r="Y531" s="43">
        <f>IFERROR(Y524/H524,"0")+IFERROR(Y525/H525,"0")+IFERROR(Y526/H526,"0")+IFERROR(Y527/H527,"0")+IFERROR(Y528/H528,"0")+IFERROR(Y529/H529,"0")+IFERROR(Y530/H530,"0")</f>
        <v>8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9.5680000000000001E-2</v>
      </c>
      <c r="AA531" s="67"/>
      <c r="AB531" s="67"/>
      <c r="AC531" s="67"/>
    </row>
    <row r="532" spans="1:68" x14ac:dyDescent="0.2">
      <c r="A532" s="663"/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4"/>
      <c r="P532" s="660" t="s">
        <v>40</v>
      </c>
      <c r="Q532" s="661"/>
      <c r="R532" s="661"/>
      <c r="S532" s="661"/>
      <c r="T532" s="661"/>
      <c r="U532" s="661"/>
      <c r="V532" s="662"/>
      <c r="W532" s="42" t="s">
        <v>0</v>
      </c>
      <c r="X532" s="43">
        <f>IFERROR(SUM(X524:X530),"0")</f>
        <v>40</v>
      </c>
      <c r="Y532" s="43">
        <f>IFERROR(SUM(Y524:Y530),"0")</f>
        <v>42.24</v>
      </c>
      <c r="Z532" s="42"/>
      <c r="AA532" s="67"/>
      <c r="AB532" s="67"/>
      <c r="AC532" s="67"/>
    </row>
    <row r="533" spans="1:68" ht="27.75" hidden="1" customHeight="1" x14ac:dyDescent="0.2">
      <c r="A533" s="680" t="s">
        <v>853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54"/>
      <c r="AB533" s="54"/>
      <c r="AC533" s="54"/>
    </row>
    <row r="534" spans="1:68" ht="16.5" hidden="1" customHeight="1" x14ac:dyDescent="0.25">
      <c r="A534" s="665" t="s">
        <v>853</v>
      </c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5"/>
      <c r="AB534" s="65"/>
      <c r="AC534" s="79"/>
    </row>
    <row r="535" spans="1:68" ht="14.25" hidden="1" customHeight="1" x14ac:dyDescent="0.25">
      <c r="A535" s="666" t="s">
        <v>122</v>
      </c>
      <c r="B535" s="666"/>
      <c r="C535" s="666"/>
      <c r="D535" s="666"/>
      <c r="E535" s="666"/>
      <c r="F535" s="666"/>
      <c r="G535" s="666"/>
      <c r="H535" s="666"/>
      <c r="I535" s="666"/>
      <c r="J535" s="666"/>
      <c r="K535" s="666"/>
      <c r="L535" s="666"/>
      <c r="M535" s="666"/>
      <c r="N535" s="666"/>
      <c r="O535" s="666"/>
      <c r="P535" s="666"/>
      <c r="Q535" s="666"/>
      <c r="R535" s="666"/>
      <c r="S535" s="666"/>
      <c r="T535" s="666"/>
      <c r="U535" s="666"/>
      <c r="V535" s="666"/>
      <c r="W535" s="666"/>
      <c r="X535" s="666"/>
      <c r="Y535" s="666"/>
      <c r="Z535" s="666"/>
      <c r="AA535" s="66"/>
      <c r="AB535" s="66"/>
      <c r="AC535" s="80"/>
    </row>
    <row r="536" spans="1:68" ht="27" customHeight="1" x14ac:dyDescent="0.25">
      <c r="A536" s="63" t="s">
        <v>854</v>
      </c>
      <c r="B536" s="63" t="s">
        <v>855</v>
      </c>
      <c r="C536" s="36">
        <v>4301012386</v>
      </c>
      <c r="D536" s="667">
        <v>4680115889736</v>
      </c>
      <c r="E536" s="66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8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669"/>
      <c r="R536" s="669"/>
      <c r="S536" s="669"/>
      <c r="T536" s="670"/>
      <c r="U536" s="39" t="s">
        <v>46</v>
      </c>
      <c r="V536" s="39" t="s">
        <v>46</v>
      </c>
      <c r="W536" s="40" t="s">
        <v>0</v>
      </c>
      <c r="X536" s="58">
        <v>10</v>
      </c>
      <c r="Y536" s="55">
        <f>IFERROR(IF(X536="",0,CEILING((X536/$H536),1)*$H536),"")</f>
        <v>12</v>
      </c>
      <c r="Z536" s="41">
        <f>IFERROR(IF(Y536=0,"",ROUNDUP(Y536/H536,0)*0.01898),"")</f>
        <v>1.898E-2</v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10.341666666666667</v>
      </c>
      <c r="BN536" s="78">
        <f>IFERROR(Y536*I536/H536,"0")</f>
        <v>12.410000000000002</v>
      </c>
      <c r="BO536" s="78">
        <f>IFERROR(1/J536*(X536/H536),"0")</f>
        <v>1.3020833333333334E-2</v>
      </c>
      <c r="BP536" s="78">
        <f>IFERROR(1/J536*(Y536/H536),"0")</f>
        <v>1.5625E-2</v>
      </c>
    </row>
    <row r="537" spans="1:68" x14ac:dyDescent="0.2">
      <c r="A537" s="663"/>
      <c r="B537" s="663"/>
      <c r="C537" s="663"/>
      <c r="D537" s="663"/>
      <c r="E537" s="663"/>
      <c r="F537" s="663"/>
      <c r="G537" s="663"/>
      <c r="H537" s="663"/>
      <c r="I537" s="663"/>
      <c r="J537" s="663"/>
      <c r="K537" s="663"/>
      <c r="L537" s="663"/>
      <c r="M537" s="663"/>
      <c r="N537" s="663"/>
      <c r="O537" s="664"/>
      <c r="P537" s="660" t="s">
        <v>40</v>
      </c>
      <c r="Q537" s="661"/>
      <c r="R537" s="661"/>
      <c r="S537" s="661"/>
      <c r="T537" s="661"/>
      <c r="U537" s="661"/>
      <c r="V537" s="662"/>
      <c r="W537" s="42" t="s">
        <v>39</v>
      </c>
      <c r="X537" s="43">
        <f>IFERROR(X536/H536,"0")</f>
        <v>0.83333333333333337</v>
      </c>
      <c r="Y537" s="43">
        <f>IFERROR(Y536/H536,"0")</f>
        <v>1</v>
      </c>
      <c r="Z537" s="43">
        <f>IFERROR(IF(Z536="",0,Z536),"0")</f>
        <v>1.898E-2</v>
      </c>
      <c r="AA537" s="67"/>
      <c r="AB537" s="67"/>
      <c r="AC537" s="67"/>
    </row>
    <row r="538" spans="1:68" x14ac:dyDescent="0.2">
      <c r="A538" s="663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64"/>
      <c r="P538" s="660" t="s">
        <v>40</v>
      </c>
      <c r="Q538" s="661"/>
      <c r="R538" s="661"/>
      <c r="S538" s="661"/>
      <c r="T538" s="661"/>
      <c r="U538" s="661"/>
      <c r="V538" s="662"/>
      <c r="W538" s="42" t="s">
        <v>0</v>
      </c>
      <c r="X538" s="43">
        <f>IFERROR(SUM(X536:X536),"0")</f>
        <v>10</v>
      </c>
      <c r="Y538" s="43">
        <f>IFERROR(SUM(Y536:Y536),"0")</f>
        <v>12</v>
      </c>
      <c r="Z538" s="42"/>
      <c r="AA538" s="67"/>
      <c r="AB538" s="67"/>
      <c r="AC538" s="67"/>
    </row>
    <row r="539" spans="1:68" ht="14.25" hidden="1" customHeight="1" x14ac:dyDescent="0.25">
      <c r="A539" s="666" t="s">
        <v>159</v>
      </c>
      <c r="B539" s="666"/>
      <c r="C539" s="666"/>
      <c r="D539" s="666"/>
      <c r="E539" s="666"/>
      <c r="F539" s="666"/>
      <c r="G539" s="666"/>
      <c r="H539" s="666"/>
      <c r="I539" s="666"/>
      <c r="J539" s="666"/>
      <c r="K539" s="666"/>
      <c r="L539" s="666"/>
      <c r="M539" s="666"/>
      <c r="N539" s="666"/>
      <c r="O539" s="666"/>
      <c r="P539" s="666"/>
      <c r="Q539" s="666"/>
      <c r="R539" s="666"/>
      <c r="S539" s="666"/>
      <c r="T539" s="666"/>
      <c r="U539" s="666"/>
      <c r="V539" s="666"/>
      <c r="W539" s="666"/>
      <c r="X539" s="666"/>
      <c r="Y539" s="666"/>
      <c r="Z539" s="666"/>
      <c r="AA539" s="66"/>
      <c r="AB539" s="66"/>
      <c r="AC539" s="80"/>
    </row>
    <row r="540" spans="1:68" ht="27" hidden="1" customHeight="1" x14ac:dyDescent="0.25">
      <c r="A540" s="63" t="s">
        <v>857</v>
      </c>
      <c r="B540" s="63" t="s">
        <v>858</v>
      </c>
      <c r="C540" s="36">
        <v>4301020444</v>
      </c>
      <c r="D540" s="667">
        <v>4680115889781</v>
      </c>
      <c r="E540" s="66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68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69"/>
      <c r="R540" s="669"/>
      <c r="S540" s="669"/>
      <c r="T540" s="67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3"/>
      <c r="B541" s="663"/>
      <c r="C541" s="663"/>
      <c r="D541" s="663"/>
      <c r="E541" s="663"/>
      <c r="F541" s="663"/>
      <c r="G541" s="663"/>
      <c r="H541" s="663"/>
      <c r="I541" s="663"/>
      <c r="J541" s="663"/>
      <c r="K541" s="663"/>
      <c r="L541" s="663"/>
      <c r="M541" s="663"/>
      <c r="N541" s="663"/>
      <c r="O541" s="664"/>
      <c r="P541" s="660" t="s">
        <v>40</v>
      </c>
      <c r="Q541" s="661"/>
      <c r="R541" s="661"/>
      <c r="S541" s="661"/>
      <c r="T541" s="661"/>
      <c r="U541" s="661"/>
      <c r="V541" s="662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3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64"/>
      <c r="P542" s="660" t="s">
        <v>40</v>
      </c>
      <c r="Q542" s="661"/>
      <c r="R542" s="661"/>
      <c r="S542" s="661"/>
      <c r="T542" s="661"/>
      <c r="U542" s="661"/>
      <c r="V542" s="662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6" t="s">
        <v>77</v>
      </c>
      <c r="B543" s="666"/>
      <c r="C543" s="666"/>
      <c r="D543" s="666"/>
      <c r="E543" s="666"/>
      <c r="F543" s="666"/>
      <c r="G543" s="666"/>
      <c r="H543" s="666"/>
      <c r="I543" s="666"/>
      <c r="J543" s="666"/>
      <c r="K543" s="666"/>
      <c r="L543" s="666"/>
      <c r="M543" s="666"/>
      <c r="N543" s="666"/>
      <c r="O543" s="666"/>
      <c r="P543" s="666"/>
      <c r="Q543" s="666"/>
      <c r="R543" s="666"/>
      <c r="S543" s="666"/>
      <c r="T543" s="666"/>
      <c r="U543" s="666"/>
      <c r="V543" s="666"/>
      <c r="W543" s="666"/>
      <c r="X543" s="666"/>
      <c r="Y543" s="666"/>
      <c r="Z543" s="666"/>
      <c r="AA543" s="66"/>
      <c r="AB543" s="66"/>
      <c r="AC543" s="80"/>
    </row>
    <row r="544" spans="1:68" ht="27" hidden="1" customHeight="1" x14ac:dyDescent="0.25">
      <c r="A544" s="63" t="s">
        <v>859</v>
      </c>
      <c r="B544" s="63" t="s">
        <v>860</v>
      </c>
      <c r="C544" s="36">
        <v>4301031500</v>
      </c>
      <c r="D544" s="667">
        <v>4640242180595</v>
      </c>
      <c r="E544" s="66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69"/>
      <c r="R544" s="669"/>
      <c r="S544" s="669"/>
      <c r="T544" s="67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3"/>
      <c r="B545" s="663"/>
      <c r="C545" s="663"/>
      <c r="D545" s="663"/>
      <c r="E545" s="663"/>
      <c r="F545" s="663"/>
      <c r="G545" s="663"/>
      <c r="H545" s="663"/>
      <c r="I545" s="663"/>
      <c r="J545" s="663"/>
      <c r="K545" s="663"/>
      <c r="L545" s="663"/>
      <c r="M545" s="663"/>
      <c r="N545" s="663"/>
      <c r="O545" s="664"/>
      <c r="P545" s="660" t="s">
        <v>40</v>
      </c>
      <c r="Q545" s="661"/>
      <c r="R545" s="661"/>
      <c r="S545" s="661"/>
      <c r="T545" s="661"/>
      <c r="U545" s="661"/>
      <c r="V545" s="662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3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64"/>
      <c r="P546" s="660" t="s">
        <v>40</v>
      </c>
      <c r="Q546" s="661"/>
      <c r="R546" s="661"/>
      <c r="S546" s="661"/>
      <c r="T546" s="661"/>
      <c r="U546" s="661"/>
      <c r="V546" s="662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6" t="s">
        <v>86</v>
      </c>
      <c r="B547" s="666"/>
      <c r="C547" s="666"/>
      <c r="D547" s="666"/>
      <c r="E547" s="666"/>
      <c r="F547" s="666"/>
      <c r="G547" s="666"/>
      <c r="H547" s="666"/>
      <c r="I547" s="666"/>
      <c r="J547" s="666"/>
      <c r="K547" s="666"/>
      <c r="L547" s="666"/>
      <c r="M547" s="666"/>
      <c r="N547" s="666"/>
      <c r="O547" s="666"/>
      <c r="P547" s="666"/>
      <c r="Q547" s="666"/>
      <c r="R547" s="666"/>
      <c r="S547" s="666"/>
      <c r="T547" s="666"/>
      <c r="U547" s="666"/>
      <c r="V547" s="666"/>
      <c r="W547" s="666"/>
      <c r="X547" s="666"/>
      <c r="Y547" s="666"/>
      <c r="Z547" s="666"/>
      <c r="AA547" s="66"/>
      <c r="AB547" s="66"/>
      <c r="AC547" s="80"/>
    </row>
    <row r="548" spans="1:68" ht="27" hidden="1" customHeight="1" x14ac:dyDescent="0.25">
      <c r="A548" s="63" t="s">
        <v>862</v>
      </c>
      <c r="B548" s="63" t="s">
        <v>863</v>
      </c>
      <c r="C548" s="36">
        <v>4301052282</v>
      </c>
      <c r="D548" s="667">
        <v>4680115889811</v>
      </c>
      <c r="E548" s="66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67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69"/>
      <c r="R548" s="669"/>
      <c r="S548" s="669"/>
      <c r="T548" s="67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63"/>
      <c r="B549" s="663"/>
      <c r="C549" s="663"/>
      <c r="D549" s="663"/>
      <c r="E549" s="663"/>
      <c r="F549" s="663"/>
      <c r="G549" s="663"/>
      <c r="H549" s="663"/>
      <c r="I549" s="663"/>
      <c r="J549" s="663"/>
      <c r="K549" s="663"/>
      <c r="L549" s="663"/>
      <c r="M549" s="663"/>
      <c r="N549" s="663"/>
      <c r="O549" s="664"/>
      <c r="P549" s="660" t="s">
        <v>40</v>
      </c>
      <c r="Q549" s="661"/>
      <c r="R549" s="661"/>
      <c r="S549" s="661"/>
      <c r="T549" s="661"/>
      <c r="U549" s="661"/>
      <c r="V549" s="662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63"/>
      <c r="B550" s="663"/>
      <c r="C550" s="663"/>
      <c r="D550" s="663"/>
      <c r="E550" s="663"/>
      <c r="F550" s="663"/>
      <c r="G550" s="663"/>
      <c r="H550" s="663"/>
      <c r="I550" s="663"/>
      <c r="J550" s="663"/>
      <c r="K550" s="663"/>
      <c r="L550" s="663"/>
      <c r="M550" s="663"/>
      <c r="N550" s="663"/>
      <c r="O550" s="664"/>
      <c r="P550" s="660" t="s">
        <v>40</v>
      </c>
      <c r="Q550" s="661"/>
      <c r="R550" s="661"/>
      <c r="S550" s="661"/>
      <c r="T550" s="661"/>
      <c r="U550" s="661"/>
      <c r="V550" s="662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66" t="s">
        <v>178</v>
      </c>
      <c r="B551" s="666"/>
      <c r="C551" s="666"/>
      <c r="D551" s="666"/>
      <c r="E551" s="666"/>
      <c r="F551" s="666"/>
      <c r="G551" s="666"/>
      <c r="H551" s="666"/>
      <c r="I551" s="666"/>
      <c r="J551" s="666"/>
      <c r="K551" s="666"/>
      <c r="L551" s="666"/>
      <c r="M551" s="666"/>
      <c r="N551" s="666"/>
      <c r="O551" s="666"/>
      <c r="P551" s="666"/>
      <c r="Q551" s="666"/>
      <c r="R551" s="666"/>
      <c r="S551" s="666"/>
      <c r="T551" s="666"/>
      <c r="U551" s="666"/>
      <c r="V551" s="666"/>
      <c r="W551" s="666"/>
      <c r="X551" s="666"/>
      <c r="Y551" s="666"/>
      <c r="Z551" s="666"/>
      <c r="AA551" s="66"/>
      <c r="AB551" s="66"/>
      <c r="AC551" s="80"/>
    </row>
    <row r="552" spans="1:68" ht="27" hidden="1" customHeight="1" x14ac:dyDescent="0.25">
      <c r="A552" s="63" t="s">
        <v>865</v>
      </c>
      <c r="B552" s="63" t="s">
        <v>866</v>
      </c>
      <c r="C552" s="36">
        <v>4301060543</v>
      </c>
      <c r="D552" s="667">
        <v>4680115889804</v>
      </c>
      <c r="E552" s="66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69"/>
      <c r="R552" s="669"/>
      <c r="S552" s="669"/>
      <c r="T552" s="67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868</v>
      </c>
      <c r="B553" s="63" t="s">
        <v>869</v>
      </c>
      <c r="C553" s="36">
        <v>4301060544</v>
      </c>
      <c r="D553" s="667">
        <v>4680115889828</v>
      </c>
      <c r="E553" s="66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67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69"/>
      <c r="R553" s="669"/>
      <c r="S553" s="669"/>
      <c r="T553" s="67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3"/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4"/>
      <c r="P554" s="660" t="s">
        <v>40</v>
      </c>
      <c r="Q554" s="661"/>
      <c r="R554" s="661"/>
      <c r="S554" s="661"/>
      <c r="T554" s="661"/>
      <c r="U554" s="661"/>
      <c r="V554" s="662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3"/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4"/>
      <c r="P555" s="660" t="s">
        <v>40</v>
      </c>
      <c r="Q555" s="661"/>
      <c r="R555" s="661"/>
      <c r="S555" s="661"/>
      <c r="T555" s="661"/>
      <c r="U555" s="661"/>
      <c r="V555" s="662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65" t="s">
        <v>871</v>
      </c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5"/>
      <c r="AB556" s="65"/>
      <c r="AC556" s="79"/>
    </row>
    <row r="557" spans="1:68" ht="14.25" hidden="1" customHeight="1" x14ac:dyDescent="0.25">
      <c r="A557" s="666" t="s">
        <v>159</v>
      </c>
      <c r="B557" s="666"/>
      <c r="C557" s="666"/>
      <c r="D557" s="666"/>
      <c r="E557" s="666"/>
      <c r="F557" s="666"/>
      <c r="G557" s="666"/>
      <c r="H557" s="666"/>
      <c r="I557" s="666"/>
      <c r="J557" s="666"/>
      <c r="K557" s="666"/>
      <c r="L557" s="666"/>
      <c r="M557" s="666"/>
      <c r="N557" s="666"/>
      <c r="O557" s="666"/>
      <c r="P557" s="666"/>
      <c r="Q557" s="666"/>
      <c r="R557" s="666"/>
      <c r="S557" s="666"/>
      <c r="T557" s="666"/>
      <c r="U557" s="666"/>
      <c r="V557" s="666"/>
      <c r="W557" s="666"/>
      <c r="X557" s="666"/>
      <c r="Y557" s="666"/>
      <c r="Z557" s="666"/>
      <c r="AA557" s="66"/>
      <c r="AB557" s="66"/>
      <c r="AC557" s="80"/>
    </row>
    <row r="558" spans="1:68" ht="27" hidden="1" customHeight="1" x14ac:dyDescent="0.25">
      <c r="A558" s="63" t="s">
        <v>872</v>
      </c>
      <c r="B558" s="63" t="s">
        <v>873</v>
      </c>
      <c r="C558" s="36">
        <v>4301020441</v>
      </c>
      <c r="D558" s="667">
        <v>4680115889798</v>
      </c>
      <c r="E558" s="66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69"/>
      <c r="R558" s="669"/>
      <c r="S558" s="669"/>
      <c r="T558" s="67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664"/>
      <c r="P559" s="660" t="s">
        <v>40</v>
      </c>
      <c r="Q559" s="661"/>
      <c r="R559" s="661"/>
      <c r="S559" s="661"/>
      <c r="T559" s="661"/>
      <c r="U559" s="661"/>
      <c r="V559" s="662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664"/>
      <c r="P560" s="660" t="s">
        <v>40</v>
      </c>
      <c r="Q560" s="661"/>
      <c r="R560" s="661"/>
      <c r="S560" s="661"/>
      <c r="T560" s="661"/>
      <c r="U560" s="661"/>
      <c r="V560" s="662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674"/>
      <c r="P561" s="671" t="s">
        <v>33</v>
      </c>
      <c r="Q561" s="672"/>
      <c r="R561" s="672"/>
      <c r="S561" s="672"/>
      <c r="T561" s="672"/>
      <c r="U561" s="672"/>
      <c r="V561" s="67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2894.9499999999994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2960.6099999999997</v>
      </c>
      <c r="Z561" s="42"/>
      <c r="AA561" s="67"/>
      <c r="AB561" s="67"/>
      <c r="AC561" s="67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674"/>
      <c r="P562" s="671" t="s">
        <v>34</v>
      </c>
      <c r="Q562" s="672"/>
      <c r="R562" s="672"/>
      <c r="S562" s="672"/>
      <c r="T562" s="672"/>
      <c r="U562" s="672"/>
      <c r="V562" s="673"/>
      <c r="W562" s="42" t="s">
        <v>0</v>
      </c>
      <c r="X562" s="43">
        <f>IFERROR(SUM(BM22:BM558),"0")</f>
        <v>3030.6359629444642</v>
      </c>
      <c r="Y562" s="43">
        <f>IFERROR(SUM(BN22:BN558),"0")</f>
        <v>3099.3070000000012</v>
      </c>
      <c r="Z562" s="42"/>
      <c r="AA562" s="67"/>
      <c r="AB562" s="67"/>
      <c r="AC562" s="67"/>
    </row>
    <row r="563" spans="1:32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674"/>
      <c r="P563" s="671" t="s">
        <v>35</v>
      </c>
      <c r="Q563" s="672"/>
      <c r="R563" s="672"/>
      <c r="S563" s="672"/>
      <c r="T563" s="672"/>
      <c r="U563" s="672"/>
      <c r="V563" s="673"/>
      <c r="W563" s="42" t="s">
        <v>20</v>
      </c>
      <c r="X563" s="44">
        <f>ROUNDUP(SUM(BO22:BO558),0)</f>
        <v>5</v>
      </c>
      <c r="Y563" s="44">
        <f>ROUNDUP(SUM(BP22:BP558),0)</f>
        <v>5</v>
      </c>
      <c r="Z563" s="42"/>
      <c r="AA563" s="67"/>
      <c r="AB563" s="67"/>
      <c r="AC563" s="67"/>
    </row>
    <row r="564" spans="1:32" x14ac:dyDescent="0.2">
      <c r="A564" s="663"/>
      <c r="B564" s="663"/>
      <c r="C564" s="663"/>
      <c r="D564" s="663"/>
      <c r="E564" s="663"/>
      <c r="F564" s="663"/>
      <c r="G564" s="663"/>
      <c r="H564" s="663"/>
      <c r="I564" s="663"/>
      <c r="J564" s="663"/>
      <c r="K564" s="663"/>
      <c r="L564" s="663"/>
      <c r="M564" s="663"/>
      <c r="N564" s="663"/>
      <c r="O564" s="674"/>
      <c r="P564" s="671" t="s">
        <v>36</v>
      </c>
      <c r="Q564" s="672"/>
      <c r="R564" s="672"/>
      <c r="S564" s="672"/>
      <c r="T564" s="672"/>
      <c r="U564" s="672"/>
      <c r="V564" s="673"/>
      <c r="W564" s="42" t="s">
        <v>0</v>
      </c>
      <c r="X564" s="43">
        <f>GrossWeightTotal+PalletQtyTotal*25</f>
        <v>3155.6359629444642</v>
      </c>
      <c r="Y564" s="43">
        <f>GrossWeightTotalR+PalletQtyTotalR*25</f>
        <v>3224.3070000000012</v>
      </c>
      <c r="Z564" s="42"/>
      <c r="AA564" s="67"/>
      <c r="AB564" s="67"/>
      <c r="AC564" s="67"/>
    </row>
    <row r="565" spans="1:32" x14ac:dyDescent="0.2">
      <c r="A565" s="663"/>
      <c r="B565" s="663"/>
      <c r="C565" s="663"/>
      <c r="D565" s="663"/>
      <c r="E565" s="663"/>
      <c r="F565" s="663"/>
      <c r="G565" s="663"/>
      <c r="H565" s="663"/>
      <c r="I565" s="663"/>
      <c r="J565" s="663"/>
      <c r="K565" s="663"/>
      <c r="L565" s="663"/>
      <c r="M565" s="663"/>
      <c r="N565" s="663"/>
      <c r="O565" s="674"/>
      <c r="P565" s="671" t="s">
        <v>37</v>
      </c>
      <c r="Q565" s="672"/>
      <c r="R565" s="672"/>
      <c r="S565" s="672"/>
      <c r="T565" s="672"/>
      <c r="U565" s="672"/>
      <c r="V565" s="67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363.17155992155989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371</v>
      </c>
      <c r="Z565" s="42"/>
      <c r="AA565" s="67"/>
      <c r="AB565" s="67"/>
      <c r="AC565" s="67"/>
    </row>
    <row r="566" spans="1:32" ht="14.25" hidden="1" x14ac:dyDescent="0.2">
      <c r="A566" s="663"/>
      <c r="B566" s="663"/>
      <c r="C566" s="663"/>
      <c r="D566" s="663"/>
      <c r="E566" s="663"/>
      <c r="F566" s="663"/>
      <c r="G566" s="663"/>
      <c r="H566" s="663"/>
      <c r="I566" s="663"/>
      <c r="J566" s="663"/>
      <c r="K566" s="663"/>
      <c r="L566" s="663"/>
      <c r="M566" s="663"/>
      <c r="N566" s="663"/>
      <c r="O566" s="674"/>
      <c r="P566" s="671" t="s">
        <v>38</v>
      </c>
      <c r="Q566" s="672"/>
      <c r="R566" s="672"/>
      <c r="S566" s="672"/>
      <c r="T566" s="672"/>
      <c r="U566" s="672"/>
      <c r="V566" s="67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5.7029899999999998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76</v>
      </c>
      <c r="C568" s="85" t="s">
        <v>45</v>
      </c>
      <c r="D568" s="656" t="s">
        <v>120</v>
      </c>
      <c r="E568" s="656" t="s">
        <v>120</v>
      </c>
      <c r="F568" s="656" t="s">
        <v>120</v>
      </c>
      <c r="G568" s="656" t="s">
        <v>120</v>
      </c>
      <c r="H568" s="656" t="s">
        <v>120</v>
      </c>
      <c r="I568" s="656" t="s">
        <v>120</v>
      </c>
      <c r="J568" s="656" t="s">
        <v>120</v>
      </c>
      <c r="K568" s="656" t="s">
        <v>346</v>
      </c>
      <c r="L568" s="656" t="s">
        <v>346</v>
      </c>
      <c r="M568" s="656" t="s">
        <v>346</v>
      </c>
      <c r="N568" s="657"/>
      <c r="O568" s="656" t="s">
        <v>346</v>
      </c>
      <c r="P568" s="656" t="s">
        <v>346</v>
      </c>
      <c r="Q568" s="656" t="s">
        <v>346</v>
      </c>
      <c r="R568" s="656" t="s">
        <v>346</v>
      </c>
      <c r="S568" s="656" t="s">
        <v>346</v>
      </c>
      <c r="T568" s="656" t="s">
        <v>346</v>
      </c>
      <c r="U568" s="656" t="s">
        <v>346</v>
      </c>
      <c r="V568" s="656" t="s">
        <v>346</v>
      </c>
      <c r="W568" s="656" t="s">
        <v>704</v>
      </c>
      <c r="X568" s="656" t="s">
        <v>704</v>
      </c>
      <c r="Y568" s="656" t="s">
        <v>770</v>
      </c>
      <c r="Z568" s="656" t="s">
        <v>770</v>
      </c>
      <c r="AA568" s="85" t="s">
        <v>806</v>
      </c>
      <c r="AB568" s="656" t="s">
        <v>853</v>
      </c>
      <c r="AC568" s="656" t="s">
        <v>853</v>
      </c>
      <c r="AF568" s="1"/>
    </row>
    <row r="569" spans="1:32" ht="14.25" customHeight="1" thickTop="1" x14ac:dyDescent="0.2">
      <c r="A569" s="658" t="s">
        <v>10</v>
      </c>
      <c r="B569" s="656" t="s">
        <v>76</v>
      </c>
      <c r="C569" s="656" t="s">
        <v>104</v>
      </c>
      <c r="D569" s="656" t="s">
        <v>121</v>
      </c>
      <c r="E569" s="656" t="s">
        <v>137</v>
      </c>
      <c r="F569" s="656" t="s">
        <v>186</v>
      </c>
      <c r="G569" s="656" t="s">
        <v>210</v>
      </c>
      <c r="H569" s="656" t="s">
        <v>250</v>
      </c>
      <c r="I569" s="656" t="s">
        <v>263</v>
      </c>
      <c r="J569" s="656" t="s">
        <v>120</v>
      </c>
      <c r="K569" s="656" t="s">
        <v>347</v>
      </c>
      <c r="L569" s="656" t="s">
        <v>368</v>
      </c>
      <c r="M569" s="656" t="s">
        <v>442</v>
      </c>
      <c r="N569" s="1"/>
      <c r="O569" s="656" t="s">
        <v>510</v>
      </c>
      <c r="P569" s="656" t="s">
        <v>542</v>
      </c>
      <c r="Q569" s="656" t="s">
        <v>562</v>
      </c>
      <c r="R569" s="656" t="s">
        <v>571</v>
      </c>
      <c r="S569" s="656" t="s">
        <v>592</v>
      </c>
      <c r="T569" s="656" t="s">
        <v>601</v>
      </c>
      <c r="U569" s="656" t="s">
        <v>687</v>
      </c>
      <c r="V569" s="656" t="s">
        <v>694</v>
      </c>
      <c r="W569" s="656" t="s">
        <v>705</v>
      </c>
      <c r="X569" s="656" t="s">
        <v>754</v>
      </c>
      <c r="Y569" s="656" t="s">
        <v>771</v>
      </c>
      <c r="Z569" s="656" t="s">
        <v>794</v>
      </c>
      <c r="AA569" s="656" t="s">
        <v>806</v>
      </c>
      <c r="AB569" s="656" t="s">
        <v>853</v>
      </c>
      <c r="AC569" s="656" t="s">
        <v>871</v>
      </c>
      <c r="AF569" s="1"/>
    </row>
    <row r="570" spans="1:32" ht="13.5" thickBot="1" x14ac:dyDescent="0.25">
      <c r="A570" s="659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96.800000000000011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250.20000000000002</v>
      </c>
      <c r="F571" s="52">
        <f>IFERROR(Y87*1,"0")+IFERROR(Y88*1,"0")+IFERROR(Y89*1,"0")+IFERROR(Y90*1,"0")+IFERROR(Y91*1,"0")+IFERROR(Y92*1,"0")+IFERROR(Y96*1,"0")+IFERROR(Y97*1,"0")+IFERROR(Y98*1,"0")+IFERROR(Y99*1,"0")</f>
        <v>30.6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29.1</v>
      </c>
      <c r="H571" s="52">
        <f>IFERROR(Y134*1,"0")+IFERROR(Y135*1,"0")+IFERROR(Y139*1,"0")+IFERROR(Y140*1,"0")+IFERROR(Y144*1,"0")+IFERROR(Y145*1,"0")</f>
        <v>6.4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10.5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91.600000000000009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1155.1500000000001</v>
      </c>
      <c r="U571" s="52">
        <f>IFERROR(Y419*1,"0")+IFERROR(Y420*1,"0")</f>
        <v>0</v>
      </c>
      <c r="V571" s="52">
        <f>IFERROR(Y425*1,"0")+IFERROR(Y426*1,"0")+IFERROR(Y427*1,"0")</f>
        <v>54.6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1079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2.1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142.56</v>
      </c>
      <c r="AB571" s="52">
        <f>IFERROR(Y536*1,"0")+IFERROR(Y540*1,"0")+IFERROR(Y544*1,"0")+IFERROR(Y548*1,"0")+IFERROR(Y552*1,"0")+IFERROR(Y553*1,"0")</f>
        <v>12</v>
      </c>
      <c r="AC571" s="52">
        <f>IFERROR(Y558*1,"0")</f>
        <v>0</v>
      </c>
      <c r="AF571" s="1"/>
    </row>
  </sheetData>
  <sheetProtection algorithmName="SHA-512" hashValue="pnZ/IRlb/lNqPDCm0RjFPVfUveNI8DXsIaBZk0lU8Iuyhi14528TxjgEnoaxQJFNSrFRQ7MKQtSnCbGZq9eseA==" saltValue="7bAl3R9LqMLlOECriBvNkw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,00"/>
        <filter val="10,00"/>
        <filter val="10,48"/>
        <filter val="10,50"/>
        <filter val="101,40"/>
        <filter val="11,19"/>
        <filter val="11,36"/>
        <filter val="112,40"/>
        <filter val="125,00"/>
        <filter val="13,56"/>
        <filter val="150,00"/>
        <filter val="17,41"/>
        <filter val="18,90"/>
        <filter val="19,41"/>
        <filter val="2 894,95"/>
        <filter val="2,00"/>
        <filter val="2,10"/>
        <filter val="2,29"/>
        <filter val="2,55"/>
        <filter val="20,00"/>
        <filter val="210,00"/>
        <filter val="236,00"/>
        <filter val="24,00"/>
        <filter val="24,33"/>
        <filter val="25,00"/>
        <filter val="26,00"/>
        <filter val="27,30"/>
        <filter val="27,50"/>
        <filter val="27,52"/>
        <filter val="29,00"/>
        <filter val="3 030,64"/>
        <filter val="3 155,64"/>
        <filter val="3,85"/>
        <filter val="30,00"/>
        <filter val="31,14"/>
        <filter val="32,00"/>
        <filter val="32,40"/>
        <filter val="35,00"/>
        <filter val="350,00"/>
        <filter val="354,00"/>
        <filter val="363,17"/>
        <filter val="4,00"/>
        <filter val="40,00"/>
        <filter val="45,00"/>
        <filter val="450,00"/>
        <filter val="49,00"/>
        <filter val="5"/>
        <filter val="5,00"/>
        <filter val="54,60"/>
        <filter val="6,40"/>
        <filter val="6,63"/>
        <filter val="60,00"/>
        <filter val="65,00"/>
        <filter val="7,50"/>
        <filter val="7,58"/>
        <filter val="700,00"/>
        <filter val="709,00"/>
        <filter val="715,00"/>
        <filter val="8,00"/>
        <filter val="80,00"/>
        <filter val="86,00"/>
        <filter val="89,00"/>
        <filter val="9,00"/>
        <filter val="92,00"/>
        <filter val="92,74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10" spans="2:8" x14ac:dyDescent="0.2">
      <c r="B10" s="53" t="s">
        <v>887</v>
      </c>
      <c r="C10" s="53" t="s">
        <v>879</v>
      </c>
      <c r="D10" s="53" t="s">
        <v>46</v>
      </c>
      <c r="E10" s="53" t="s">
        <v>46</v>
      </c>
    </row>
    <row r="12" spans="2:8" x14ac:dyDescent="0.2">
      <c r="B12" s="53" t="s">
        <v>888</v>
      </c>
      <c r="C12" s="53" t="s">
        <v>882</v>
      </c>
      <c r="D12" s="53" t="s">
        <v>46</v>
      </c>
      <c r="E12" s="53" t="s">
        <v>46</v>
      </c>
    </row>
    <row r="14" spans="2:8" x14ac:dyDescent="0.2">
      <c r="B14" s="53" t="s">
        <v>889</v>
      </c>
      <c r="C14" s="53" t="s">
        <v>885</v>
      </c>
      <c r="D14" s="53" t="s">
        <v>46</v>
      </c>
      <c r="E14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898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899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900</v>
      </c>
      <c r="C26" s="53" t="s">
        <v>46</v>
      </c>
      <c r="D26" s="53" t="s">
        <v>46</v>
      </c>
      <c r="E26" s="53" t="s">
        <v>46</v>
      </c>
    </row>
  </sheetData>
  <sheetProtection algorithmName="SHA-512" hashValue="2syPltsRXu5czZg5l/R2ta4k6I6l7YbuBj3b5D9s6qL6RMbrQfadriM1VSqf3X2C0MRLgT3PPOhdn276/FTP9A==" saltValue="mSeW5raE5CppuwddvnhZe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2026-10-05T11:11:40Z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