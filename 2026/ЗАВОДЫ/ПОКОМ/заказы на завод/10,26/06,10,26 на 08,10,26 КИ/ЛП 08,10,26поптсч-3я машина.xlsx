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0A2F92-0552-4C32-B564-234C7F3DEF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P536" i="2"/>
  <c r="BO536" i="2"/>
  <c r="BN536" i="2"/>
  <c r="BM536" i="2"/>
  <c r="Z536" i="2"/>
  <c r="Z537" i="2" s="1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P526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P514" i="2"/>
  <c r="BO513" i="2"/>
  <c r="BM513" i="2"/>
  <c r="Z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P481" i="2"/>
  <c r="BO481" i="2"/>
  <c r="BM481" i="2"/>
  <c r="Y481" i="2"/>
  <c r="P481" i="2"/>
  <c r="BO480" i="2"/>
  <c r="BM480" i="2"/>
  <c r="Y480" i="2"/>
  <c r="Z480" i="2" s="1"/>
  <c r="P480" i="2"/>
  <c r="BP479" i="2"/>
  <c r="BO479" i="2"/>
  <c r="BN479" i="2"/>
  <c r="BM479" i="2"/>
  <c r="Z479" i="2"/>
  <c r="Y479" i="2"/>
  <c r="P479" i="2"/>
  <c r="X475" i="2"/>
  <c r="X474" i="2"/>
  <c r="BP473" i="2"/>
  <c r="BO473" i="2"/>
  <c r="BM473" i="2"/>
  <c r="Y473" i="2"/>
  <c r="Z473" i="2" s="1"/>
  <c r="P473" i="2"/>
  <c r="BO472" i="2"/>
  <c r="BM472" i="2"/>
  <c r="Y472" i="2"/>
  <c r="BP472" i="2" s="1"/>
  <c r="P472" i="2"/>
  <c r="BO471" i="2"/>
  <c r="BM471" i="2"/>
  <c r="Y471" i="2"/>
  <c r="Y475" i="2" s="1"/>
  <c r="P471" i="2"/>
  <c r="X469" i="2"/>
  <c r="X468" i="2"/>
  <c r="BO467" i="2"/>
  <c r="BM467" i="2"/>
  <c r="Y467" i="2"/>
  <c r="P467" i="2"/>
  <c r="X465" i="2"/>
  <c r="X464" i="2"/>
  <c r="BO463" i="2"/>
  <c r="BM463" i="2"/>
  <c r="Y463" i="2"/>
  <c r="BN463" i="2" s="1"/>
  <c r="P463" i="2"/>
  <c r="BO462" i="2"/>
  <c r="BM462" i="2"/>
  <c r="Y462" i="2"/>
  <c r="Y464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P452" i="2"/>
  <c r="BO451" i="2"/>
  <c r="BM451" i="2"/>
  <c r="Y451" i="2"/>
  <c r="BP451" i="2" s="1"/>
  <c r="P451" i="2"/>
  <c r="BP450" i="2"/>
  <c r="BO450" i="2"/>
  <c r="BM450" i="2"/>
  <c r="Y450" i="2"/>
  <c r="Z450" i="2" s="1"/>
  <c r="P450" i="2"/>
  <c r="X448" i="2"/>
  <c r="X447" i="2"/>
  <c r="BO446" i="2"/>
  <c r="BM446" i="2"/>
  <c r="Y446" i="2"/>
  <c r="BN446" i="2" s="1"/>
  <c r="P446" i="2"/>
  <c r="BO445" i="2"/>
  <c r="BM445" i="2"/>
  <c r="Y445" i="2"/>
  <c r="P445" i="2"/>
  <c r="BO444" i="2"/>
  <c r="BM444" i="2"/>
  <c r="Y444" i="2"/>
  <c r="P444" i="2"/>
  <c r="X442" i="2"/>
  <c r="X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N436" i="2" s="1"/>
  <c r="P436" i="2"/>
  <c r="BP435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Z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Z400" i="2"/>
  <c r="Y400" i="2"/>
  <c r="BN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Y383" i="2" s="1"/>
  <c r="P376" i="2"/>
  <c r="X374" i="2"/>
  <c r="X373" i="2"/>
  <c r="BP372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Z346" i="2"/>
  <c r="Y346" i="2"/>
  <c r="BN346" i="2" s="1"/>
  <c r="P346" i="2"/>
  <c r="BO345" i="2"/>
  <c r="BM345" i="2"/>
  <c r="Y345" i="2"/>
  <c r="BP345" i="2" s="1"/>
  <c r="P345" i="2"/>
  <c r="Y342" i="2"/>
  <c r="X342" i="2"/>
  <c r="X341" i="2"/>
  <c r="BO340" i="2"/>
  <c r="BM340" i="2"/>
  <c r="Y340" i="2"/>
  <c r="P340" i="2"/>
  <c r="BP339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P329" i="2"/>
  <c r="BO329" i="2"/>
  <c r="BM329" i="2"/>
  <c r="Y329" i="2"/>
  <c r="BN329" i="2" s="1"/>
  <c r="P329" i="2"/>
  <c r="BO328" i="2"/>
  <c r="BM328" i="2"/>
  <c r="Y328" i="2"/>
  <c r="P328" i="2"/>
  <c r="X325" i="2"/>
  <c r="X324" i="2"/>
  <c r="BO323" i="2"/>
  <c r="BM323" i="2"/>
  <c r="Y323" i="2"/>
  <c r="P323" i="2"/>
  <c r="BO322" i="2"/>
  <c r="BM322" i="2"/>
  <c r="Y322" i="2"/>
  <c r="BN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P306" i="2"/>
  <c r="BO306" i="2"/>
  <c r="BM306" i="2"/>
  <c r="Y306" i="2"/>
  <c r="BN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N294" i="2"/>
  <c r="BM294" i="2"/>
  <c r="Z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P276" i="2"/>
  <c r="BO276" i="2"/>
  <c r="BN276" i="2"/>
  <c r="BM276" i="2"/>
  <c r="Z276" i="2"/>
  <c r="Y276" i="2"/>
  <c r="P276" i="2"/>
  <c r="BO275" i="2"/>
  <c r="BM275" i="2"/>
  <c r="Y275" i="2"/>
  <c r="P275" i="2"/>
  <c r="BP274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Y265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Y255" i="2"/>
  <c r="X255" i="2"/>
  <c r="X254" i="2"/>
  <c r="BO253" i="2"/>
  <c r="BM253" i="2"/>
  <c r="Y253" i="2"/>
  <c r="P253" i="2"/>
  <c r="BO252" i="2"/>
  <c r="BM252" i="2"/>
  <c r="Y252" i="2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P243" i="2"/>
  <c r="BP242" i="2"/>
  <c r="BO242" i="2"/>
  <c r="BM242" i="2"/>
  <c r="Y242" i="2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P234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P230" i="2"/>
  <c r="BO230" i="2"/>
  <c r="BM230" i="2"/>
  <c r="Y230" i="2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BN227" i="2" s="1"/>
  <c r="P227" i="2"/>
  <c r="BP226" i="2"/>
  <c r="BO226" i="2"/>
  <c r="BM226" i="2"/>
  <c r="Y226" i="2"/>
  <c r="Z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P200" i="2"/>
  <c r="BO200" i="2"/>
  <c r="BN200" i="2"/>
  <c r="BM200" i="2"/>
  <c r="Z200" i="2"/>
  <c r="Z201" i="2" s="1"/>
  <c r="Y200" i="2"/>
  <c r="Y201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N192" i="2" s="1"/>
  <c r="P192" i="2"/>
  <c r="BO191" i="2"/>
  <c r="BM191" i="2"/>
  <c r="Y191" i="2"/>
  <c r="P191" i="2"/>
  <c r="BO190" i="2"/>
  <c r="BM190" i="2"/>
  <c r="Y190" i="2"/>
  <c r="Y194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Z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Z166" i="2"/>
  <c r="Y166" i="2"/>
  <c r="BN166" i="2" s="1"/>
  <c r="P166" i="2"/>
  <c r="BO165" i="2"/>
  <c r="BM165" i="2"/>
  <c r="Y165" i="2"/>
  <c r="P165" i="2"/>
  <c r="BO164" i="2"/>
  <c r="BM164" i="2"/>
  <c r="Y164" i="2"/>
  <c r="BN164" i="2" s="1"/>
  <c r="P164" i="2"/>
  <c r="X161" i="2"/>
  <c r="Y160" i="2"/>
  <c r="X160" i="2"/>
  <c r="BO159" i="2"/>
  <c r="BM159" i="2"/>
  <c r="Y159" i="2"/>
  <c r="Z159" i="2" s="1"/>
  <c r="Z160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I571" i="2" s="1"/>
  <c r="P150" i="2"/>
  <c r="X147" i="2"/>
  <c r="X146" i="2"/>
  <c r="BO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BN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Y130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P125" i="2"/>
  <c r="BP124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Z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P111" i="2"/>
  <c r="BO111" i="2"/>
  <c r="BN111" i="2"/>
  <c r="BM111" i="2"/>
  <c r="Z111" i="2"/>
  <c r="Y111" i="2"/>
  <c r="P111" i="2"/>
  <c r="BO110" i="2"/>
  <c r="BM110" i="2"/>
  <c r="Y110" i="2"/>
  <c r="P110" i="2"/>
  <c r="BO109" i="2"/>
  <c r="BM109" i="2"/>
  <c r="Z109" i="2"/>
  <c r="Y109" i="2"/>
  <c r="BN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BN99" i="2" s="1"/>
  <c r="P99" i="2"/>
  <c r="BO98" i="2"/>
  <c r="BM98" i="2"/>
  <c r="Y98" i="2"/>
  <c r="Y100" i="2" s="1"/>
  <c r="P98" i="2"/>
  <c r="BO97" i="2"/>
  <c r="BM97" i="2"/>
  <c r="Y97" i="2"/>
  <c r="BP97" i="2" s="1"/>
  <c r="P97" i="2"/>
  <c r="BO96" i="2"/>
  <c r="BM96" i="2"/>
  <c r="Z96" i="2"/>
  <c r="Y96" i="2"/>
  <c r="BN96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X65" i="2"/>
  <c r="X64" i="2"/>
  <c r="BP63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Z58" i="2"/>
  <c r="Y58" i="2"/>
  <c r="BP58" i="2" s="1"/>
  <c r="P58" i="2"/>
  <c r="BO57" i="2"/>
  <c r="BN57" i="2"/>
  <c r="BM57" i="2"/>
  <c r="Z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Z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Z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561" i="2" s="1"/>
  <c r="X24" i="2"/>
  <c r="BO23" i="2"/>
  <c r="BM23" i="2"/>
  <c r="Y23" i="2"/>
  <c r="Z23" i="2" s="1"/>
  <c r="P23" i="2"/>
  <c r="BO22" i="2"/>
  <c r="BM22" i="2"/>
  <c r="X562" i="2" s="1"/>
  <c r="Y22" i="2"/>
  <c r="B571" i="2" s="1"/>
  <c r="P22" i="2"/>
  <c r="H10" i="2"/>
  <c r="A9" i="2"/>
  <c r="F10" i="2" s="1"/>
  <c r="D7" i="2"/>
  <c r="Q6" i="2"/>
  <c r="P2" i="2"/>
  <c r="BP22" i="2" l="1"/>
  <c r="BN23" i="2"/>
  <c r="BP28" i="2"/>
  <c r="BP29" i="2"/>
  <c r="BP68" i="2"/>
  <c r="Z68" i="2"/>
  <c r="BN87" i="2"/>
  <c r="Z87" i="2"/>
  <c r="BN107" i="2"/>
  <c r="BN110" i="2"/>
  <c r="BP110" i="2"/>
  <c r="BN125" i="2"/>
  <c r="Z125" i="2"/>
  <c r="BP224" i="2"/>
  <c r="Z224" i="2"/>
  <c r="BN233" i="2"/>
  <c r="BN235" i="2"/>
  <c r="Y258" i="2"/>
  <c r="BN273" i="2"/>
  <c r="BN275" i="2"/>
  <c r="BP275" i="2"/>
  <c r="BN285" i="2"/>
  <c r="BP285" i="2"/>
  <c r="BN290" i="2"/>
  <c r="BP307" i="2"/>
  <c r="BN307" i="2"/>
  <c r="Z307" i="2"/>
  <c r="Y316" i="2"/>
  <c r="Y315" i="2"/>
  <c r="BN314" i="2"/>
  <c r="BN330" i="2"/>
  <c r="Z361" i="2"/>
  <c r="BP361" i="2"/>
  <c r="BN368" i="2"/>
  <c r="BN376" i="2"/>
  <c r="BN406" i="2"/>
  <c r="Y416" i="2"/>
  <c r="Y415" i="2"/>
  <c r="BN414" i="2"/>
  <c r="BP452" i="2"/>
  <c r="BN452" i="2"/>
  <c r="Z452" i="2"/>
  <c r="BN456" i="2"/>
  <c r="Y495" i="2"/>
  <c r="Z494" i="2"/>
  <c r="Z495" i="2" s="1"/>
  <c r="BN500" i="2"/>
  <c r="Z22" i="2"/>
  <c r="Y24" i="2"/>
  <c r="Z28" i="2"/>
  <c r="Z29" i="2"/>
  <c r="Z30" i="2"/>
  <c r="Z40" i="2"/>
  <c r="BN40" i="2"/>
  <c r="Z50" i="2"/>
  <c r="Z61" i="2"/>
  <c r="BN63" i="2"/>
  <c r="Z63" i="2"/>
  <c r="BP87" i="2"/>
  <c r="BN88" i="2"/>
  <c r="Z88" i="2"/>
  <c r="BN92" i="2"/>
  <c r="Z104" i="2"/>
  <c r="BP104" i="2"/>
  <c r="BN112" i="2"/>
  <c r="BP145" i="2"/>
  <c r="Z145" i="2"/>
  <c r="BP155" i="2"/>
  <c r="Z155" i="2"/>
  <c r="BN176" i="2"/>
  <c r="BN185" i="2"/>
  <c r="BP208" i="2"/>
  <c r="BN208" i="2"/>
  <c r="Z208" i="2"/>
  <c r="BN211" i="2"/>
  <c r="BP211" i="2"/>
  <c r="BN221" i="2"/>
  <c r="BN230" i="2"/>
  <c r="Z230" i="2"/>
  <c r="BN240" i="2"/>
  <c r="BP243" i="2"/>
  <c r="BN243" i="2"/>
  <c r="Z243" i="2"/>
  <c r="BN252" i="2"/>
  <c r="BP252" i="2"/>
  <c r="BN267" i="2"/>
  <c r="BN277" i="2"/>
  <c r="BN305" i="2"/>
  <c r="Z305" i="2"/>
  <c r="BP318" i="2"/>
  <c r="Y319" i="2"/>
  <c r="Z318" i="2"/>
  <c r="Z319" i="2" s="1"/>
  <c r="BN328" i="2"/>
  <c r="Z328" i="2"/>
  <c r="BN340" i="2"/>
  <c r="BP340" i="2"/>
  <c r="BN348" i="2"/>
  <c r="Z382" i="2"/>
  <c r="BP382" i="2"/>
  <c r="Z399" i="2"/>
  <c r="BP399" i="2"/>
  <c r="U571" i="2"/>
  <c r="BP419" i="2"/>
  <c r="BN419" i="2"/>
  <c r="Z419" i="2"/>
  <c r="Y421" i="2"/>
  <c r="BN434" i="2"/>
  <c r="BP439" i="2"/>
  <c r="Z439" i="2"/>
  <c r="BN471" i="2"/>
  <c r="Y474" i="2"/>
  <c r="BN480" i="2"/>
  <c r="BN483" i="2"/>
  <c r="BN512" i="2"/>
  <c r="BN528" i="2"/>
  <c r="Y549" i="2"/>
  <c r="BP548" i="2"/>
  <c r="BN548" i="2"/>
  <c r="Z548" i="2"/>
  <c r="Z549" i="2" s="1"/>
  <c r="BN81" i="2"/>
  <c r="Y94" i="2"/>
  <c r="BN90" i="2"/>
  <c r="BP96" i="2"/>
  <c r="BN97" i="2"/>
  <c r="BP118" i="2"/>
  <c r="Y127" i="2"/>
  <c r="BN129" i="2"/>
  <c r="H571" i="2"/>
  <c r="BN144" i="2"/>
  <c r="BN159" i="2"/>
  <c r="Y168" i="2"/>
  <c r="BN184" i="2"/>
  <c r="BN209" i="2"/>
  <c r="Y218" i="2"/>
  <c r="BN223" i="2"/>
  <c r="BN239" i="2"/>
  <c r="BN244" i="2"/>
  <c r="BN247" i="2"/>
  <c r="BN262" i="2"/>
  <c r="Y270" i="2"/>
  <c r="BN272" i="2"/>
  <c r="BN283" i="2"/>
  <c r="BN287" i="2"/>
  <c r="BN298" i="2"/>
  <c r="BN309" i="2"/>
  <c r="BN332" i="2"/>
  <c r="Y373" i="2"/>
  <c r="BN366" i="2"/>
  <c r="BN378" i="2"/>
  <c r="BN387" i="2"/>
  <c r="BN420" i="2"/>
  <c r="BN489" i="2"/>
  <c r="BN508" i="2"/>
  <c r="Y136" i="2"/>
  <c r="BP178" i="2"/>
  <c r="BN178" i="2"/>
  <c r="Z178" i="2"/>
  <c r="BN186" i="2"/>
  <c r="Z186" i="2"/>
  <c r="BN241" i="2"/>
  <c r="Z241" i="2"/>
  <c r="O571" i="2"/>
  <c r="Y312" i="2"/>
  <c r="BN304" i="2"/>
  <c r="Y311" i="2"/>
  <c r="BP304" i="2"/>
  <c r="Z304" i="2"/>
  <c r="BP323" i="2"/>
  <c r="BN323" i="2"/>
  <c r="Z388" i="2"/>
  <c r="BN388" i="2"/>
  <c r="Z525" i="2"/>
  <c r="BN525" i="2"/>
  <c r="BP71" i="2"/>
  <c r="BP75" i="2"/>
  <c r="BP98" i="2"/>
  <c r="Y101" i="2"/>
  <c r="BP165" i="2"/>
  <c r="BN22" i="2"/>
  <c r="BP23" i="2"/>
  <c r="Y25" i="2"/>
  <c r="BP30" i="2"/>
  <c r="Z41" i="2"/>
  <c r="BP41" i="2"/>
  <c r="Y52" i="2"/>
  <c r="BP49" i="2"/>
  <c r="BP61" i="2"/>
  <c r="Z67" i="2"/>
  <c r="Z71" i="2"/>
  <c r="BP81" i="2"/>
  <c r="Y84" i="2"/>
  <c r="BP92" i="2"/>
  <c r="Z98" i="2"/>
  <c r="BP99" i="2"/>
  <c r="Z108" i="2"/>
  <c r="BP108" i="2"/>
  <c r="Z117" i="2"/>
  <c r="BP117" i="2"/>
  <c r="Z122" i="2"/>
  <c r="Y126" i="2"/>
  <c r="Z134" i="2"/>
  <c r="BP134" i="2"/>
  <c r="BN135" i="2"/>
  <c r="Z140" i="2"/>
  <c r="BP140" i="2"/>
  <c r="BP144" i="2"/>
  <c r="Y147" i="2"/>
  <c r="Z165" i="2"/>
  <c r="Z171" i="2"/>
  <c r="Y173" i="2"/>
  <c r="BP171" i="2"/>
  <c r="BN182" i="2"/>
  <c r="Z182" i="2"/>
  <c r="BN212" i="2"/>
  <c r="BP212" i="2"/>
  <c r="Z212" i="2"/>
  <c r="BN232" i="2"/>
  <c r="BP232" i="2"/>
  <c r="BN274" i="2"/>
  <c r="Z274" i="2"/>
  <c r="Y281" i="2"/>
  <c r="BN286" i="2"/>
  <c r="BP286" i="2"/>
  <c r="Z286" i="2"/>
  <c r="Y300" i="2"/>
  <c r="BN339" i="2"/>
  <c r="Z339" i="2"/>
  <c r="BN349" i="2"/>
  <c r="BP349" i="2"/>
  <c r="Z349" i="2"/>
  <c r="BN426" i="2"/>
  <c r="BP426" i="2"/>
  <c r="Z426" i="2"/>
  <c r="Z498" i="2"/>
  <c r="BN498" i="2"/>
  <c r="Z510" i="2"/>
  <c r="BN510" i="2"/>
  <c r="Y545" i="2"/>
  <c r="BP552" i="2"/>
  <c r="Z552" i="2"/>
  <c r="X563" i="2"/>
  <c r="X565" i="2"/>
  <c r="BP31" i="2"/>
  <c r="Y43" i="2"/>
  <c r="Y51" i="2"/>
  <c r="BP70" i="2"/>
  <c r="BN75" i="2"/>
  <c r="Y78" i="2"/>
  <c r="BN80" i="2"/>
  <c r="BP88" i="2"/>
  <c r="Z90" i="2"/>
  <c r="BN91" i="2"/>
  <c r="Z97" i="2"/>
  <c r="Z107" i="2"/>
  <c r="BP125" i="2"/>
  <c r="BP129" i="2"/>
  <c r="Y131" i="2"/>
  <c r="Y137" i="2"/>
  <c r="Z144" i="2"/>
  <c r="Z146" i="2" s="1"/>
  <c r="Y214" i="2"/>
  <c r="BP225" i="2"/>
  <c r="BN225" i="2"/>
  <c r="Z234" i="2"/>
  <c r="BN234" i="2"/>
  <c r="Z245" i="2"/>
  <c r="BN245" i="2"/>
  <c r="BN438" i="2"/>
  <c r="BP438" i="2"/>
  <c r="Z438" i="2"/>
  <c r="Y448" i="2"/>
  <c r="Y447" i="2"/>
  <c r="Z445" i="2"/>
  <c r="BP445" i="2"/>
  <c r="Z481" i="2"/>
  <c r="BN481" i="2"/>
  <c r="BP38" i="2"/>
  <c r="BP50" i="2"/>
  <c r="E571" i="2"/>
  <c r="BP55" i="2"/>
  <c r="BP60" i="2"/>
  <c r="BN67" i="2"/>
  <c r="Y83" i="2"/>
  <c r="F571" i="2"/>
  <c r="BP89" i="2"/>
  <c r="Y93" i="2"/>
  <c r="BP105" i="2"/>
  <c r="BP109" i="2"/>
  <c r="BN134" i="2"/>
  <c r="BP151" i="2"/>
  <c r="BN151" i="2"/>
  <c r="Z153" i="2"/>
  <c r="BN153" i="2"/>
  <c r="J571" i="2"/>
  <c r="Y169" i="2"/>
  <c r="BP164" i="2"/>
  <c r="Z164" i="2"/>
  <c r="BN167" i="2"/>
  <c r="BP167" i="2"/>
  <c r="BP186" i="2"/>
  <c r="Z191" i="2"/>
  <c r="BP191" i="2"/>
  <c r="BN229" i="2"/>
  <c r="BP229" i="2"/>
  <c r="Z229" i="2"/>
  <c r="BP241" i="2"/>
  <c r="BN253" i="2"/>
  <c r="BP253" i="2"/>
  <c r="Z253" i="2"/>
  <c r="Z278" i="2"/>
  <c r="BN278" i="2"/>
  <c r="Z292" i="2"/>
  <c r="BN292" i="2"/>
  <c r="BP388" i="2"/>
  <c r="BP393" i="2"/>
  <c r="Z393" i="2"/>
  <c r="BN402" i="2"/>
  <c r="BP402" i="2"/>
  <c r="Z402" i="2"/>
  <c r="Z408" i="2"/>
  <c r="Z409" i="2" s="1"/>
  <c r="BN408" i="2"/>
  <c r="BN440" i="2"/>
  <c r="Z440" i="2"/>
  <c r="Y469" i="2"/>
  <c r="Y468" i="2"/>
  <c r="BN467" i="2"/>
  <c r="BP467" i="2"/>
  <c r="Z467" i="2"/>
  <c r="Z468" i="2" s="1"/>
  <c r="BN514" i="2"/>
  <c r="BP514" i="2"/>
  <c r="Z514" i="2"/>
  <c r="BP525" i="2"/>
  <c r="Y531" i="2"/>
  <c r="Y542" i="2"/>
  <c r="Y541" i="2"/>
  <c r="Z540" i="2"/>
  <c r="Z541" i="2" s="1"/>
  <c r="BP172" i="2"/>
  <c r="BP192" i="2"/>
  <c r="BP196" i="2"/>
  <c r="Y198" i="2"/>
  <c r="Y213" i="2"/>
  <c r="BP206" i="2"/>
  <c r="BP210" i="2"/>
  <c r="Y236" i="2"/>
  <c r="Y254" i="2"/>
  <c r="BP251" i="2"/>
  <c r="BP268" i="2"/>
  <c r="BP284" i="2"/>
  <c r="BP288" i="2"/>
  <c r="BP308" i="2"/>
  <c r="BP331" i="2"/>
  <c r="Y334" i="2"/>
  <c r="Q571" i="2"/>
  <c r="BP367" i="2"/>
  <c r="BP377" i="2"/>
  <c r="BP394" i="2"/>
  <c r="BP446" i="2"/>
  <c r="Y458" i="2"/>
  <c r="X571" i="2"/>
  <c r="Y491" i="2"/>
  <c r="AA571" i="2"/>
  <c r="BP506" i="2"/>
  <c r="Y532" i="2"/>
  <c r="BN155" i="2"/>
  <c r="BP166" i="2"/>
  <c r="Z172" i="2"/>
  <c r="BP176" i="2"/>
  <c r="BP181" i="2"/>
  <c r="Z185" i="2"/>
  <c r="Z192" i="2"/>
  <c r="Z206" i="2"/>
  <c r="Z210" i="2"/>
  <c r="BP217" i="2"/>
  <c r="Z223" i="2"/>
  <c r="BP227" i="2"/>
  <c r="BP231" i="2"/>
  <c r="Z233" i="2"/>
  <c r="BP235" i="2"/>
  <c r="Z240" i="2"/>
  <c r="Y249" i="2"/>
  <c r="BP244" i="2"/>
  <c r="Z251" i="2"/>
  <c r="BP257" i="2"/>
  <c r="Z273" i="2"/>
  <c r="BP277" i="2"/>
  <c r="Y280" i="2"/>
  <c r="Z284" i="2"/>
  <c r="BP298" i="2"/>
  <c r="Y301" i="2"/>
  <c r="Z314" i="2"/>
  <c r="Z315" i="2" s="1"/>
  <c r="BP314" i="2"/>
  <c r="Y320" i="2"/>
  <c r="Z338" i="2"/>
  <c r="BP338" i="2"/>
  <c r="Y351" i="2"/>
  <c r="Z348" i="2"/>
  <c r="Z353" i="2"/>
  <c r="Y355" i="2"/>
  <c r="Y391" i="2"/>
  <c r="BP387" i="2"/>
  <c r="Z394" i="2"/>
  <c r="BP400" i="2"/>
  <c r="Z406" i="2"/>
  <c r="Y409" i="2"/>
  <c r="BP414" i="2"/>
  <c r="BP420" i="2"/>
  <c r="Y422" i="2"/>
  <c r="W571" i="2"/>
  <c r="BP436" i="2"/>
  <c r="Z446" i="2"/>
  <c r="Z462" i="2"/>
  <c r="BP463" i="2"/>
  <c r="Y465" i="2"/>
  <c r="BP480" i="2"/>
  <c r="Y485" i="2"/>
  <c r="Z489" i="2"/>
  <c r="Z500" i="2"/>
  <c r="Z512" i="2"/>
  <c r="Y521" i="2"/>
  <c r="Z524" i="2"/>
  <c r="BP524" i="2"/>
  <c r="BP159" i="2"/>
  <c r="Y161" i="2"/>
  <c r="Z184" i="2"/>
  <c r="BN196" i="2"/>
  <c r="Y197" i="2"/>
  <c r="Y202" i="2"/>
  <c r="Z209" i="2"/>
  <c r="Z217" i="2"/>
  <c r="Z218" i="2" s="1"/>
  <c r="BP221" i="2"/>
  <c r="Z227" i="2"/>
  <c r="Z231" i="2"/>
  <c r="Z239" i="2"/>
  <c r="Z257" i="2"/>
  <c r="Z258" i="2" s="1"/>
  <c r="BP262" i="2"/>
  <c r="BP267" i="2"/>
  <c r="BN268" i="2"/>
  <c r="Y269" i="2"/>
  <c r="Z272" i="2"/>
  <c r="Z283" i="2"/>
  <c r="BP287" i="2"/>
  <c r="BN288" i="2"/>
  <c r="BP305" i="2"/>
  <c r="BN308" i="2"/>
  <c r="BP309" i="2"/>
  <c r="BP328" i="2"/>
  <c r="Z330" i="2"/>
  <c r="BN331" i="2"/>
  <c r="BP332" i="2"/>
  <c r="Y335" i="2"/>
  <c r="BP346" i="2"/>
  <c r="BN359" i="2"/>
  <c r="Y362" i="2"/>
  <c r="Z366" i="2"/>
  <c r="BP366" i="2"/>
  <c r="BN367" i="2"/>
  <c r="BP368" i="2"/>
  <c r="BN370" i="2"/>
  <c r="Z376" i="2"/>
  <c r="BP376" i="2"/>
  <c r="BN377" i="2"/>
  <c r="BP378" i="2"/>
  <c r="BN380" i="2"/>
  <c r="Y397" i="2"/>
  <c r="BN412" i="2"/>
  <c r="Z433" i="2"/>
  <c r="BP434" i="2"/>
  <c r="Z436" i="2"/>
  <c r="BP456" i="2"/>
  <c r="Y459" i="2"/>
  <c r="Z463" i="2"/>
  <c r="Y571" i="2"/>
  <c r="Z571" i="2"/>
  <c r="BP494" i="2"/>
  <c r="BN506" i="2"/>
  <c r="BN518" i="2"/>
  <c r="BP444" i="2"/>
  <c r="BN444" i="2"/>
  <c r="BP386" i="2"/>
  <c r="Y390" i="2"/>
  <c r="T571" i="2"/>
  <c r="BN386" i="2"/>
  <c r="Z386" i="2"/>
  <c r="J9" i="2"/>
  <c r="Z24" i="2"/>
  <c r="X56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10" i="2"/>
  <c r="BN122" i="2"/>
  <c r="BN145" i="2"/>
  <c r="Y157" i="2"/>
  <c r="Z167" i="2"/>
  <c r="Z168" i="2" s="1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Z341" i="2" s="1"/>
  <c r="BN353" i="2"/>
  <c r="Z395" i="2"/>
  <c r="Z396" i="2" s="1"/>
  <c r="BN407" i="2"/>
  <c r="BN433" i="2"/>
  <c r="Y454" i="2"/>
  <c r="Z488" i="2"/>
  <c r="Z490" i="2" s="1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01" i="2" s="1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225" i="2"/>
  <c r="Y248" i="2"/>
  <c r="Y324" i="2"/>
  <c r="Z354" i="2"/>
  <c r="Z355" i="2" s="1"/>
  <c r="Z444" i="2"/>
  <c r="BP540" i="2"/>
  <c r="Z48" i="2"/>
  <c r="Z69" i="2"/>
  <c r="Z72" i="2" s="1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Z383" i="2" s="1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39" i="2"/>
  <c r="Z141" i="2" s="1"/>
  <c r="BN152" i="2"/>
  <c r="Z183" i="2"/>
  <c r="Z207" i="2"/>
  <c r="Z228" i="2"/>
  <c r="Y264" i="2"/>
  <c r="BN291" i="2"/>
  <c r="Y325" i="2"/>
  <c r="Z347" i="2"/>
  <c r="BN360" i="2"/>
  <c r="BN371" i="2"/>
  <c r="BN381" i="2"/>
  <c r="Z401" i="2"/>
  <c r="Z403" i="2" s="1"/>
  <c r="BN413" i="2"/>
  <c r="Z425" i="2"/>
  <c r="Z437" i="2"/>
  <c r="BP462" i="2"/>
  <c r="BN472" i="2"/>
  <c r="BN484" i="2"/>
  <c r="BN509" i="2"/>
  <c r="BN519" i="2"/>
  <c r="BN529" i="2"/>
  <c r="Z553" i="2"/>
  <c r="Z554" i="2" s="1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33" i="2"/>
  <c r="Z334" i="2" s="1"/>
  <c r="BN347" i="2"/>
  <c r="Y350" i="2"/>
  <c r="Z369" i="2"/>
  <c r="Z379" i="2"/>
  <c r="Z389" i="2"/>
  <c r="BN401" i="2"/>
  <c r="BN425" i="2"/>
  <c r="Y428" i="2"/>
  <c r="BN437" i="2"/>
  <c r="Z457" i="2"/>
  <c r="Z458" i="2" s="1"/>
  <c r="Z482" i="2"/>
  <c r="Z485" i="2" s="1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280" i="2" l="1"/>
  <c r="Z100" i="2"/>
  <c r="Z311" i="2"/>
  <c r="Y561" i="2"/>
  <c r="Z236" i="2"/>
  <c r="Z113" i="2"/>
  <c r="Z126" i="2"/>
  <c r="Z51" i="2"/>
  <c r="Z447" i="2"/>
  <c r="Z254" i="2"/>
  <c r="Z213" i="2"/>
  <c r="Z93" i="2"/>
  <c r="Z173" i="2"/>
  <c r="Z119" i="2"/>
  <c r="Z193" i="2"/>
  <c r="Z515" i="2"/>
  <c r="Z187" i="2"/>
  <c r="Z248" i="2"/>
  <c r="Z521" i="2"/>
  <c r="Z136" i="2"/>
  <c r="Z350" i="2"/>
  <c r="Z441" i="2"/>
  <c r="Z428" i="2"/>
  <c r="Z32" i="2"/>
  <c r="Z295" i="2"/>
  <c r="Y562" i="2"/>
  <c r="Z373" i="2"/>
  <c r="Z324" i="2"/>
  <c r="Y565" i="2"/>
  <c r="Z531" i="2"/>
  <c r="Z390" i="2"/>
  <c r="Z464" i="2"/>
  <c r="Y563" i="2"/>
  <c r="Z64" i="2"/>
  <c r="Z42" i="2"/>
  <c r="Z474" i="2"/>
  <c r="Z415" i="2"/>
  <c r="Z156" i="2"/>
  <c r="Z83" i="2"/>
  <c r="Z362" i="2"/>
  <c r="Y564" i="2" l="1"/>
  <c r="Z566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<sst xmlns="http://schemas.openxmlformats.org/spreadsheetml/2006/main" count="4321" uniqueCount="902">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</sst>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386" sqref="AA38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901</v>
      </c>
      <c r="I5" s="661"/>
      <c r="J5" s="661"/>
      <c r="K5" s="661"/>
      <c r="L5" s="661"/>
      <c r="M5" s="661"/>
      <c r="N5" s="72"/>
      <c r="P5" s="27" t="s">
        <v>4</v>
      </c>
      <c r="Q5" s="663">
        <v>46303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884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Четверг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3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0.5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7000</v>
      </c>
      <c r="Y386" s="55">
        <f>IFERROR(IF(X386="",0,CEILING((X386/$H386),1)*$H386),"")</f>
        <v>7004.4</v>
      </c>
      <c r="Z386" s="41">
        <f>IFERROR(IF(Y386=0,"",ROUNDUP(Y386/H386,0)*0.01898),"")</f>
        <v>17.044039999999999</v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7437.9487179487178</v>
      </c>
      <c r="BN386" s="78">
        <f>IFERROR(Y386*I386/H386,"0")</f>
        <v>7442.6239999999998</v>
      </c>
      <c r="BO386" s="78">
        <f>IFERROR(1/J386*(X386/H386),"0")</f>
        <v>14.022435897435898</v>
      </c>
      <c r="BP386" s="78">
        <f>IFERROR(1/J386*(Y386/H386),"0")</f>
        <v>14.03125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897.43589743589746</v>
      </c>
      <c r="Y390" s="43">
        <f>IFERROR(Y386/H386,"0")+IFERROR(Y387/H387,"0")+IFERROR(Y388/H388,"0")+IFERROR(Y389/H389,"0")</f>
        <v>898</v>
      </c>
      <c r="Z390" s="43">
        <f>IFERROR(IF(Z386="",0,Z386),"0")+IFERROR(IF(Z387="",0,Z387),"0")+IFERROR(IF(Z388="",0,Z388),"0")+IFERROR(IF(Z389="",0,Z389),"0")</f>
        <v>17.044039999999999</v>
      </c>
      <c r="AA390" s="67"/>
      <c r="AB390" s="67"/>
      <c r="AC390" s="67"/>
    </row>
    <row r="391" spans="1:68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7000</v>
      </c>
      <c r="Y391" s="43">
        <f>IFERROR(SUM(Y386:Y389),"0")</f>
        <v>7004.4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hidden="1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5000</v>
      </c>
      <c r="Y437" s="55">
        <f t="shared" si="73"/>
        <v>5010</v>
      </c>
      <c r="Z437" s="41">
        <f>IFERROR(IF(Y437=0,"",ROUNDUP(Y437/H437,0)*0.02175),"")</f>
        <v>7.2644999999999991</v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5156.666666666667</v>
      </c>
      <c r="BN437" s="78">
        <f t="shared" si="75"/>
        <v>5166.9799999999996</v>
      </c>
      <c r="BO437" s="78">
        <f t="shared" si="76"/>
        <v>6.9444444444444438</v>
      </c>
      <c r="BP437" s="78">
        <f t="shared" si="77"/>
        <v>6.958333333333333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333.33333333333331</v>
      </c>
      <c r="Y441" s="43">
        <f>IFERROR(Y433/H433,"0")+IFERROR(Y434/H434,"0")+IFERROR(Y435/H435,"0")+IFERROR(Y436/H436,"0")+IFERROR(Y437/H437,"0")+IFERROR(Y438/H438,"0")+IFERROR(Y439/H439,"0")+IFERROR(Y440/H440,"0")</f>
        <v>334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7.2644999999999991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5000</v>
      </c>
      <c r="Y442" s="43">
        <f>IFERROR(SUM(Y433:Y440),"0")</f>
        <v>5010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6000</v>
      </c>
      <c r="Y444" s="55">
        <f>IFERROR(IF(X444="",0,CEILING((X444/$H444),1)*$H444),"")</f>
        <v>6000</v>
      </c>
      <c r="Z444" s="41">
        <f>IFERROR(IF(Y444=0,"",ROUNDUP(Y444/H444,0)*0.02175),"")</f>
        <v>8.6999999999999993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6188</v>
      </c>
      <c r="BN444" s="78">
        <f>IFERROR(Y444*I444/H444,"0")</f>
        <v>6188</v>
      </c>
      <c r="BO444" s="78">
        <f>IFERROR(1/J444*(X444/H444),"0")</f>
        <v>8.3333333333333321</v>
      </c>
      <c r="BP444" s="78">
        <f>IFERROR(1/J444*(Y444/H444),"0")</f>
        <v>8.3333333333333321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400</v>
      </c>
      <c r="Y447" s="43">
        <f>IFERROR(Y444/H444,"0")+IFERROR(Y445/H445,"0")+IFERROR(Y446/H446,"0")</f>
        <v>400</v>
      </c>
      <c r="Z447" s="43">
        <f>IFERROR(IF(Z444="",0,Z444),"0")+IFERROR(IF(Z445="",0,Z445),"0")+IFERROR(IF(Z446="",0,Z446),"0")</f>
        <v>8.6999999999999993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6000</v>
      </c>
      <c r="Y448" s="43">
        <f>IFERROR(SUM(Y444:Y446),"0")</f>
        <v>6000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18000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18014.400000000001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18782.615384615383</v>
      </c>
      <c r="Y562" s="43">
        <f>IFERROR(SUM(BN22:BN558),"0")</f>
        <v>18797.603999999999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30</v>
      </c>
      <c r="Y563" s="44">
        <f>ROUNDUP(SUM(BP22:BP558),0)</f>
        <v>30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19532.615384615383</v>
      </c>
      <c r="Y564" s="43">
        <f>GrossWeightTotalR+PalletQtyTotalR*25</f>
        <v>19547.603999999999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1630.7692307692307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1632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33.008539999999996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7004.4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11010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30,77"/>
        <filter val="18 000,00"/>
        <filter val="18 782,62"/>
        <filter val="19 532,62"/>
        <filter val="30"/>
        <filter val="333,33"/>
        <filter val="400,00"/>
        <filter val="5 000,00"/>
        <filter val="6 000,00"/>
        <filter val="7 000,00"/>
        <filter val="897,44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2026-10-06T12:54:46Z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