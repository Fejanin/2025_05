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D499A3-FC03-47D2-85A0-3E444A729F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2" i="2" s="1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N514" i="2" s="1"/>
  <c r="P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N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BP494" i="2" s="1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N479" i="2" s="1"/>
  <c r="P479" i="2"/>
  <c r="X475" i="2"/>
  <c r="X474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Y475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Z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N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BN446" i="2" s="1"/>
  <c r="P446" i="2"/>
  <c r="BO445" i="2"/>
  <c r="BM445" i="2"/>
  <c r="Y445" i="2"/>
  <c r="Z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P439" i="2" s="1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Z433" i="2" s="1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P419" i="2"/>
  <c r="BO419" i="2"/>
  <c r="BN419" i="2"/>
  <c r="BM419" i="2"/>
  <c r="Z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X410" i="2"/>
  <c r="X409" i="2"/>
  <c r="BO408" i="2"/>
  <c r="BM408" i="2"/>
  <c r="Y408" i="2"/>
  <c r="Z408" i="2" s="1"/>
  <c r="P408" i="2"/>
  <c r="BO407" i="2"/>
  <c r="BM407" i="2"/>
  <c r="Z407" i="2"/>
  <c r="Y407" i="2"/>
  <c r="BP407" i="2" s="1"/>
  <c r="P407" i="2"/>
  <c r="BO406" i="2"/>
  <c r="BN406" i="2"/>
  <c r="BM406" i="2"/>
  <c r="Z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BN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N366" i="2" s="1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X356" i="2"/>
  <c r="X355" i="2"/>
  <c r="BO354" i="2"/>
  <c r="BM354" i="2"/>
  <c r="Y354" i="2"/>
  <c r="Y355" i="2" s="1"/>
  <c r="P354" i="2"/>
  <c r="BO353" i="2"/>
  <c r="BM353" i="2"/>
  <c r="Z353" i="2"/>
  <c r="Y353" i="2"/>
  <c r="BP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Z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BN329" i="2" s="1"/>
  <c r="P329" i="2"/>
  <c r="BO328" i="2"/>
  <c r="BM328" i="2"/>
  <c r="Z328" i="2"/>
  <c r="Y328" i="2"/>
  <c r="BN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Y320" i="2"/>
  <c r="X320" i="2"/>
  <c r="Y319" i="2"/>
  <c r="X319" i="2"/>
  <c r="BO318" i="2"/>
  <c r="BM318" i="2"/>
  <c r="Z318" i="2"/>
  <c r="Z319" i="2" s="1"/>
  <c r="Y318" i="2"/>
  <c r="BP318" i="2" s="1"/>
  <c r="P318" i="2"/>
  <c r="X316" i="2"/>
  <c r="Y315" i="2"/>
  <c r="X315" i="2"/>
  <c r="BP314" i="2"/>
  <c r="BO314" i="2"/>
  <c r="BN314" i="2"/>
  <c r="BM314" i="2"/>
  <c r="Z314" i="2"/>
  <c r="Z315" i="2" s="1"/>
  <c r="Y314" i="2"/>
  <c r="Y316" i="2" s="1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N305" i="2" s="1"/>
  <c r="P305" i="2"/>
  <c r="BO304" i="2"/>
  <c r="BM304" i="2"/>
  <c r="Y304" i="2"/>
  <c r="P304" i="2"/>
  <c r="Y301" i="2"/>
  <c r="X301" i="2"/>
  <c r="X300" i="2"/>
  <c r="BO299" i="2"/>
  <c r="BM299" i="2"/>
  <c r="Y299" i="2"/>
  <c r="BN299" i="2" s="1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P286" i="2"/>
  <c r="BO285" i="2"/>
  <c r="BM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BP277" i="2" s="1"/>
  <c r="P277" i="2"/>
  <c r="BP276" i="2"/>
  <c r="BO276" i="2"/>
  <c r="BN276" i="2"/>
  <c r="BM276" i="2"/>
  <c r="Z276" i="2"/>
  <c r="Y276" i="2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Y265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P253" i="2"/>
  <c r="BO252" i="2"/>
  <c r="BM252" i="2"/>
  <c r="Y252" i="2"/>
  <c r="P252" i="2"/>
  <c r="BO251" i="2"/>
  <c r="BM251" i="2"/>
  <c r="Z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P245" i="2"/>
  <c r="BO245" i="2"/>
  <c r="BM245" i="2"/>
  <c r="Y245" i="2"/>
  <c r="P245" i="2"/>
  <c r="BO244" i="2"/>
  <c r="BM244" i="2"/>
  <c r="Y244" i="2"/>
  <c r="Z244" i="2" s="1"/>
  <c r="P244" i="2"/>
  <c r="BP243" i="2"/>
  <c r="BO243" i="2"/>
  <c r="BN243" i="2"/>
  <c r="BM243" i="2"/>
  <c r="Z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N227" i="2" s="1"/>
  <c r="P227" i="2"/>
  <c r="BP226" i="2"/>
  <c r="BO226" i="2"/>
  <c r="BM226" i="2"/>
  <c r="Y226" i="2"/>
  <c r="Z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X194" i="2"/>
  <c r="X193" i="2"/>
  <c r="BP192" i="2"/>
  <c r="BO192" i="2"/>
  <c r="BM192" i="2"/>
  <c r="Y192" i="2"/>
  <c r="P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Z186" i="2"/>
  <c r="Y186" i="2"/>
  <c r="BN186" i="2" s="1"/>
  <c r="P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X161" i="2"/>
  <c r="Y160" i="2"/>
  <c r="X160" i="2"/>
  <c r="BO159" i="2"/>
  <c r="BM159" i="2"/>
  <c r="Y159" i="2"/>
  <c r="Z159" i="2" s="1"/>
  <c r="Z160" i="2" s="1"/>
  <c r="P159" i="2"/>
  <c r="X157" i="2"/>
  <c r="X156" i="2"/>
  <c r="BO155" i="2"/>
  <c r="BN155" i="2"/>
  <c r="BM155" i="2"/>
  <c r="Z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P140" i="2"/>
  <c r="BO140" i="2"/>
  <c r="BN140" i="2"/>
  <c r="BM140" i="2"/>
  <c r="Z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Z134" i="2"/>
  <c r="Y134" i="2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N125" i="2" s="1"/>
  <c r="P125" i="2"/>
  <c r="BP124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BP107" i="2"/>
  <c r="BO107" i="2"/>
  <c r="BN107" i="2"/>
  <c r="BM107" i="2"/>
  <c r="Z107" i="2"/>
  <c r="Y107" i="2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Z104" i="2" s="1"/>
  <c r="P104" i="2"/>
  <c r="X101" i="2"/>
  <c r="X100" i="2"/>
  <c r="BP99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Z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Z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P37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P22" i="2"/>
  <c r="BO22" i="2"/>
  <c r="BN22" i="2"/>
  <c r="BM22" i="2"/>
  <c r="Z22" i="2"/>
  <c r="Y22" i="2"/>
  <c r="P22" i="2"/>
  <c r="H10" i="2"/>
  <c r="A9" i="2"/>
  <c r="F10" i="2" s="1"/>
  <c r="D7" i="2"/>
  <c r="Q6" i="2"/>
  <c r="P2" i="2"/>
  <c r="BP41" i="2" l="1"/>
  <c r="BN41" i="2"/>
  <c r="Z41" i="2"/>
  <c r="BP68" i="2"/>
  <c r="Z68" i="2"/>
  <c r="BP90" i="2"/>
  <c r="BN90" i="2"/>
  <c r="Z90" i="2"/>
  <c r="BN92" i="2"/>
  <c r="BN109" i="2"/>
  <c r="Z109" i="2"/>
  <c r="BP129" i="2"/>
  <c r="Y131" i="2"/>
  <c r="BN172" i="2"/>
  <c r="Z172" i="2"/>
  <c r="Z191" i="2"/>
  <c r="BP191" i="2"/>
  <c r="BP209" i="2"/>
  <c r="BN209" i="2"/>
  <c r="Z209" i="2"/>
  <c r="BP230" i="2"/>
  <c r="BN230" i="2"/>
  <c r="Z230" i="2"/>
  <c r="BN244" i="2"/>
  <c r="BN247" i="2"/>
  <c r="BN252" i="2"/>
  <c r="BP252" i="2"/>
  <c r="BN267" i="2"/>
  <c r="Z278" i="2"/>
  <c r="BN278" i="2"/>
  <c r="BP29" i="2"/>
  <c r="BN29" i="2"/>
  <c r="Z29" i="2"/>
  <c r="BN55" i="2"/>
  <c r="BN61" i="2"/>
  <c r="Z61" i="2"/>
  <c r="BN105" i="2"/>
  <c r="Z105" i="2"/>
  <c r="BP118" i="2"/>
  <c r="BN118" i="2"/>
  <c r="Z118" i="2"/>
  <c r="BN135" i="2"/>
  <c r="BP144" i="2"/>
  <c r="Y146" i="2"/>
  <c r="BP145" i="2"/>
  <c r="Z145" i="2"/>
  <c r="BN151" i="2"/>
  <c r="BP184" i="2"/>
  <c r="BN184" i="2"/>
  <c r="Z184" i="2"/>
  <c r="Z196" i="2"/>
  <c r="Z197" i="2" s="1"/>
  <c r="Y197" i="2"/>
  <c r="BN196" i="2"/>
  <c r="Y219" i="2"/>
  <c r="Y218" i="2"/>
  <c r="Z217" i="2"/>
  <c r="Z218" i="2" s="1"/>
  <c r="BP224" i="2"/>
  <c r="Z224" i="2"/>
  <c r="BP240" i="2"/>
  <c r="BN240" i="2"/>
  <c r="Z240" i="2"/>
  <c r="Y255" i="2"/>
  <c r="Y258" i="2"/>
  <c r="BN290" i="2"/>
  <c r="BN308" i="2"/>
  <c r="BN323" i="2"/>
  <c r="BN380" i="2"/>
  <c r="BN408" i="2"/>
  <c r="Y464" i="2"/>
  <c r="BN508" i="2"/>
  <c r="BN80" i="2"/>
  <c r="BN91" i="2"/>
  <c r="Y101" i="2"/>
  <c r="Y127" i="2"/>
  <c r="BN159" i="2"/>
  <c r="BN223" i="2"/>
  <c r="BN235" i="2"/>
  <c r="BN262" i="2"/>
  <c r="Y270" i="2"/>
  <c r="BP285" i="2"/>
  <c r="BN287" i="2"/>
  <c r="Z305" i="2"/>
  <c r="BP329" i="2"/>
  <c r="BN332" i="2"/>
  <c r="Z338" i="2"/>
  <c r="BN338" i="2"/>
  <c r="Y351" i="2"/>
  <c r="Z348" i="2"/>
  <c r="BN348" i="2"/>
  <c r="BN368" i="2"/>
  <c r="BN387" i="2"/>
  <c r="BP399" i="2"/>
  <c r="Y409" i="2"/>
  <c r="Z427" i="2"/>
  <c r="Z446" i="2"/>
  <c r="BN483" i="2"/>
  <c r="Z500" i="2"/>
  <c r="BN500" i="2"/>
  <c r="Z524" i="2"/>
  <c r="BP526" i="2"/>
  <c r="Z552" i="2"/>
  <c r="BP23" i="2"/>
  <c r="Y25" i="2"/>
  <c r="BP30" i="2"/>
  <c r="BP81" i="2"/>
  <c r="Y84" i="2"/>
  <c r="BP88" i="2"/>
  <c r="Z153" i="2"/>
  <c r="BN153" i="2"/>
  <c r="Y168" i="2"/>
  <c r="BP165" i="2"/>
  <c r="Y169" i="2"/>
  <c r="Y201" i="2"/>
  <c r="BN200" i="2"/>
  <c r="BP200" i="2"/>
  <c r="Z200" i="2"/>
  <c r="Z201" i="2" s="1"/>
  <c r="BN241" i="2"/>
  <c r="Z241" i="2"/>
  <c r="BN286" i="2"/>
  <c r="BP286" i="2"/>
  <c r="Z286" i="2"/>
  <c r="Z298" i="2"/>
  <c r="Y300" i="2"/>
  <c r="BN298" i="2"/>
  <c r="Y312" i="2"/>
  <c r="B571" i="2"/>
  <c r="BN28" i="2"/>
  <c r="Z30" i="2"/>
  <c r="BP31" i="2"/>
  <c r="Y43" i="2"/>
  <c r="Z40" i="2"/>
  <c r="BP40" i="2"/>
  <c r="Y51" i="2"/>
  <c r="BP50" i="2"/>
  <c r="BP61" i="2"/>
  <c r="BN75" i="2"/>
  <c r="Y78" i="2"/>
  <c r="Z88" i="2"/>
  <c r="BN97" i="2"/>
  <c r="Y100" i="2"/>
  <c r="BP98" i="2"/>
  <c r="Z108" i="2"/>
  <c r="BP108" i="2"/>
  <c r="BN111" i="2"/>
  <c r="Z117" i="2"/>
  <c r="BP117" i="2"/>
  <c r="Z122" i="2"/>
  <c r="Y126" i="2"/>
  <c r="Z165" i="2"/>
  <c r="BP178" i="2"/>
  <c r="Z178" i="2"/>
  <c r="BN178" i="2"/>
  <c r="Z181" i="2"/>
  <c r="BP181" i="2"/>
  <c r="BP185" i="2"/>
  <c r="Z185" i="2"/>
  <c r="BN185" i="2"/>
  <c r="BN192" i="2"/>
  <c r="Z192" i="2"/>
  <c r="Y202" i="2"/>
  <c r="Z234" i="2"/>
  <c r="BN234" i="2"/>
  <c r="Z245" i="2"/>
  <c r="BN245" i="2"/>
  <c r="BN330" i="2"/>
  <c r="BP330" i="2"/>
  <c r="Z330" i="2"/>
  <c r="BN23" i="2"/>
  <c r="Y24" i="2"/>
  <c r="BP38" i="2"/>
  <c r="BN81" i="2"/>
  <c r="Y83" i="2"/>
  <c r="F571" i="2"/>
  <c r="BP87" i="2"/>
  <c r="Y94" i="2"/>
  <c r="BP125" i="2"/>
  <c r="Z129" i="2"/>
  <c r="Z130" i="2" s="1"/>
  <c r="Y130" i="2"/>
  <c r="BN129" i="2"/>
  <c r="BN166" i="2"/>
  <c r="Z166" i="2"/>
  <c r="Z171" i="2"/>
  <c r="Z173" i="2" s="1"/>
  <c r="Y173" i="2"/>
  <c r="BP171" i="2"/>
  <c r="BN211" i="2"/>
  <c r="BP211" i="2"/>
  <c r="BP225" i="2"/>
  <c r="BN225" i="2"/>
  <c r="BN232" i="2"/>
  <c r="BP232" i="2"/>
  <c r="Z277" i="2"/>
  <c r="BN277" i="2"/>
  <c r="BP294" i="2"/>
  <c r="BN294" i="2"/>
  <c r="Z294" i="2"/>
  <c r="BN307" i="2"/>
  <c r="BP307" i="2"/>
  <c r="Z307" i="2"/>
  <c r="Z28" i="2"/>
  <c r="Z38" i="2"/>
  <c r="BP60" i="2"/>
  <c r="Z67" i="2"/>
  <c r="Z72" i="2" s="1"/>
  <c r="BP70" i="2"/>
  <c r="BP75" i="2"/>
  <c r="Z87" i="2"/>
  <c r="BP92" i="2"/>
  <c r="Z97" i="2"/>
  <c r="BP105" i="2"/>
  <c r="BP109" i="2"/>
  <c r="Z111" i="2"/>
  <c r="BN112" i="2"/>
  <c r="Z125" i="2"/>
  <c r="I571" i="2"/>
  <c r="BP153" i="2"/>
  <c r="BN167" i="2"/>
  <c r="BP167" i="2"/>
  <c r="Y214" i="2"/>
  <c r="BN208" i="2"/>
  <c r="BP208" i="2"/>
  <c r="Z208" i="2"/>
  <c r="Z221" i="2"/>
  <c r="BN221" i="2"/>
  <c r="BN229" i="2"/>
  <c r="BP229" i="2"/>
  <c r="Z229" i="2"/>
  <c r="BP241" i="2"/>
  <c r="BN253" i="2"/>
  <c r="BP253" i="2"/>
  <c r="Z253" i="2"/>
  <c r="BP298" i="2"/>
  <c r="BP172" i="2"/>
  <c r="BP182" i="2"/>
  <c r="BP186" i="2"/>
  <c r="Y194" i="2"/>
  <c r="BN239" i="2"/>
  <c r="Y254" i="2"/>
  <c r="BP251" i="2"/>
  <c r="BP268" i="2"/>
  <c r="BN273" i="2"/>
  <c r="BN283" i="2"/>
  <c r="BP284" i="2"/>
  <c r="BP288" i="2"/>
  <c r="BN304" i="2"/>
  <c r="BP305" i="2"/>
  <c r="BP309" i="2"/>
  <c r="BP328" i="2"/>
  <c r="BP346" i="2"/>
  <c r="BN349" i="2"/>
  <c r="Y362" i="2"/>
  <c r="Z366" i="2"/>
  <c r="BP366" i="2"/>
  <c r="BP372" i="2"/>
  <c r="BP378" i="2"/>
  <c r="BP388" i="2"/>
  <c r="Z400" i="2"/>
  <c r="BN402" i="2"/>
  <c r="U571" i="2"/>
  <c r="BN426" i="2"/>
  <c r="Z438" i="2"/>
  <c r="BP438" i="2"/>
  <c r="Z440" i="2"/>
  <c r="BP446" i="2"/>
  <c r="BP456" i="2"/>
  <c r="BP473" i="2"/>
  <c r="BP481" i="2"/>
  <c r="BN489" i="2"/>
  <c r="Z494" i="2"/>
  <c r="Z495" i="2" s="1"/>
  <c r="BP506" i="2"/>
  <c r="Z514" i="2"/>
  <c r="BP514" i="2"/>
  <c r="Z548" i="2"/>
  <c r="Z549" i="2" s="1"/>
  <c r="BP548" i="2"/>
  <c r="BP196" i="2"/>
  <c r="Y198" i="2"/>
  <c r="Y213" i="2"/>
  <c r="BP206" i="2"/>
  <c r="BP210" i="2"/>
  <c r="BP227" i="2"/>
  <c r="BP231" i="2"/>
  <c r="BP235" i="2"/>
  <c r="Y249" i="2"/>
  <c r="BP244" i="2"/>
  <c r="BP257" i="2"/>
  <c r="BP278" i="2"/>
  <c r="O571" i="2"/>
  <c r="BP339" i="2"/>
  <c r="Y342" i="2"/>
  <c r="BN354" i="2"/>
  <c r="BP408" i="2"/>
  <c r="BN414" i="2"/>
  <c r="Y415" i="2"/>
  <c r="BN420" i="2"/>
  <c r="Y421" i="2"/>
  <c r="BP436" i="2"/>
  <c r="BP463" i="2"/>
  <c r="Y465" i="2"/>
  <c r="Y491" i="2"/>
  <c r="Y495" i="2"/>
  <c r="BN510" i="2"/>
  <c r="Y137" i="2"/>
  <c r="BP159" i="2"/>
  <c r="Y161" i="2"/>
  <c r="Z206" i="2"/>
  <c r="Z210" i="2"/>
  <c r="BP217" i="2"/>
  <c r="Z227" i="2"/>
  <c r="Z231" i="2"/>
  <c r="Z239" i="2"/>
  <c r="Z257" i="2"/>
  <c r="Z258" i="2" s="1"/>
  <c r="BP262" i="2"/>
  <c r="BP267" i="2"/>
  <c r="BN268" i="2"/>
  <c r="Y269" i="2"/>
  <c r="Z273" i="2"/>
  <c r="Z283" i="2"/>
  <c r="BP287" i="2"/>
  <c r="BN288" i="2"/>
  <c r="Z304" i="2"/>
  <c r="BP304" i="2"/>
  <c r="BP308" i="2"/>
  <c r="BN309" i="2"/>
  <c r="Y311" i="2"/>
  <c r="BP332" i="2"/>
  <c r="Q571" i="2"/>
  <c r="Z339" i="2"/>
  <c r="BP340" i="2"/>
  <c r="BP345" i="2"/>
  <c r="Z349" i="2"/>
  <c r="Y363" i="2"/>
  <c r="BP361" i="2"/>
  <c r="BP368" i="2"/>
  <c r="BN370" i="2"/>
  <c r="BN378" i="2"/>
  <c r="BP382" i="2"/>
  <c r="Y391" i="2"/>
  <c r="BP387" i="2"/>
  <c r="BN388" i="2"/>
  <c r="Z402" i="2"/>
  <c r="Y416" i="2"/>
  <c r="Z426" i="2"/>
  <c r="BN434" i="2"/>
  <c r="Z436" i="2"/>
  <c r="BP445" i="2"/>
  <c r="BN456" i="2"/>
  <c r="Z463" i="2"/>
  <c r="Z464" i="2" s="1"/>
  <c r="BN481" i="2"/>
  <c r="Z489" i="2"/>
  <c r="Y531" i="2"/>
  <c r="Z540" i="2"/>
  <c r="Z541" i="2" s="1"/>
  <c r="Y541" i="2"/>
  <c r="BN548" i="2"/>
  <c r="BP400" i="2"/>
  <c r="BP414" i="2"/>
  <c r="BP420" i="2"/>
  <c r="Y422" i="2"/>
  <c r="BP440" i="2"/>
  <c r="BN528" i="2"/>
  <c r="BN67" i="2"/>
  <c r="BP367" i="2"/>
  <c r="Y335" i="2"/>
  <c r="BP331" i="2"/>
  <c r="Y334" i="2"/>
  <c r="BN331" i="2"/>
  <c r="BP386" i="2"/>
  <c r="BN386" i="2"/>
  <c r="Y390" i="2"/>
  <c r="Z386" i="2"/>
  <c r="BN377" i="2"/>
  <c r="Z376" i="2"/>
  <c r="BP376" i="2"/>
  <c r="BN63" i="2"/>
  <c r="BN57" i="2"/>
  <c r="E571" i="2"/>
  <c r="Z57" i="2"/>
  <c r="BP104" i="2"/>
  <c r="Y93" i="2"/>
  <c r="BN87" i="2"/>
  <c r="Y52" i="2"/>
  <c r="BP49" i="2"/>
  <c r="BP71" i="2"/>
  <c r="Z71" i="2"/>
  <c r="BP525" i="2"/>
  <c r="BN525" i="2"/>
  <c r="BP524" i="2"/>
  <c r="BN367" i="2"/>
  <c r="Y373" i="2"/>
  <c r="Y136" i="2"/>
  <c r="BP134" i="2"/>
  <c r="BN134" i="2"/>
  <c r="BN144" i="2"/>
  <c r="H571" i="2"/>
  <c r="Z144" i="2"/>
  <c r="Z146" i="2" s="1"/>
  <c r="Y147" i="2"/>
  <c r="Y459" i="2"/>
  <c r="Y458" i="2"/>
  <c r="BP467" i="2"/>
  <c r="BN467" i="2"/>
  <c r="Z467" i="2"/>
  <c r="Z468" i="2" s="1"/>
  <c r="Y468" i="2"/>
  <c r="Z479" i="2"/>
  <c r="BP479" i="2"/>
  <c r="BN176" i="2"/>
  <c r="BP176" i="2"/>
  <c r="J571" i="2"/>
  <c r="Z179" i="2"/>
  <c r="Z272" i="2"/>
  <c r="BP272" i="2"/>
  <c r="Y447" i="2"/>
  <c r="BN480" i="2"/>
  <c r="Y485" i="2"/>
  <c r="Y571" i="2"/>
  <c r="BP480" i="2"/>
  <c r="BP275" i="2"/>
  <c r="BP274" i="2"/>
  <c r="Y280" i="2"/>
  <c r="Z274" i="2"/>
  <c r="Y281" i="2"/>
  <c r="BN292" i="2"/>
  <c r="BP292" i="2"/>
  <c r="BN471" i="2"/>
  <c r="Y474" i="2"/>
  <c r="X571" i="2"/>
  <c r="BP450" i="2"/>
  <c r="Y545" i="2"/>
  <c r="Y236" i="2"/>
  <c r="Z223" i="2"/>
  <c r="BP377" i="2"/>
  <c r="Y383" i="2"/>
  <c r="Y532" i="2"/>
  <c r="Z393" i="2"/>
  <c r="T571" i="2"/>
  <c r="Z394" i="2"/>
  <c r="X563" i="2"/>
  <c r="Y397" i="2"/>
  <c r="BP394" i="2"/>
  <c r="BP435" i="2"/>
  <c r="BP434" i="2"/>
  <c r="X562" i="2"/>
  <c r="AA571" i="2"/>
  <c r="W571" i="2"/>
  <c r="X561" i="2"/>
  <c r="BN444" i="2"/>
  <c r="BP444" i="2"/>
  <c r="X565" i="2"/>
  <c r="BN518" i="2"/>
  <c r="Y521" i="2"/>
  <c r="Z571" i="2"/>
  <c r="BN498" i="2"/>
  <c r="J9" i="2"/>
  <c r="Z24" i="2"/>
  <c r="Z409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Z168" i="2" s="1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Z341" i="2" s="1"/>
  <c r="BN353" i="2"/>
  <c r="Z395" i="2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Z447" i="2" s="1"/>
  <c r="BP540" i="2"/>
  <c r="Z48" i="2"/>
  <c r="Z51" i="2" s="1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Z141" i="2" s="1"/>
  <c r="BN152" i="2"/>
  <c r="Z183" i="2"/>
  <c r="Z207" i="2"/>
  <c r="Z213" i="2" s="1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Z554" i="2" s="1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24" i="2" s="1"/>
  <c r="Z333" i="2"/>
  <c r="Z334" i="2" s="1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11" i="2" l="1"/>
  <c r="Z428" i="2"/>
  <c r="Z403" i="2"/>
  <c r="Z113" i="2"/>
  <c r="Z32" i="2"/>
  <c r="Z126" i="2"/>
  <c r="Z373" i="2"/>
  <c r="Z531" i="2"/>
  <c r="Z236" i="2"/>
  <c r="Z254" i="2"/>
  <c r="Z93" i="2"/>
  <c r="Z350" i="2"/>
  <c r="Z441" i="2"/>
  <c r="Z119" i="2"/>
  <c r="Z187" i="2"/>
  <c r="Z248" i="2"/>
  <c r="Z521" i="2"/>
  <c r="Z383" i="2"/>
  <c r="Z515" i="2"/>
  <c r="Z485" i="2"/>
  <c r="Z280" i="2"/>
  <c r="Z295" i="2"/>
  <c r="X564" i="2"/>
  <c r="Z396" i="2"/>
  <c r="Y563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<sst xmlns="http://schemas.openxmlformats.org/spreadsheetml/2006/main" count="4321" uniqueCount="902">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</sst>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46303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Четверг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80</v>
      </c>
      <c r="Y49" s="55">
        <f>IFERROR(IF(X49="",0,CEILING((X49/$H49),1)*$H49),"")</f>
        <v>80</v>
      </c>
      <c r="Z49" s="41">
        <f>IFERROR(IF(Y49=0,"",ROUNDUP(Y49/H49,0)*0.00902),"")</f>
        <v>0.1804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83.800000000000011</v>
      </c>
      <c r="BN49" s="78">
        <f>IFERROR(Y49*I49/H49,"0")</f>
        <v>83.800000000000011</v>
      </c>
      <c r="BO49" s="78">
        <f>IFERROR(1/J49*(X49/H49),"0")</f>
        <v>0.15151515151515152</v>
      </c>
      <c r="BP49" s="78">
        <f>IFERROR(1/J49*(Y49/H49),"0")</f>
        <v>0.15151515151515152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0.1804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80</v>
      </c>
      <c r="Y52" s="43">
        <f>IFERROR(SUM(Y47:Y50),"0")</f>
        <v>80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200</v>
      </c>
      <c r="Y57" s="55">
        <f t="shared" si="0"/>
        <v>205.20000000000002</v>
      </c>
      <c r="Z57" s="41">
        <f>IFERROR(IF(Y57=0,"",ROUNDUP(Y57/H57,0)*0.01898),"")</f>
        <v>0.36062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207.59259259259258</v>
      </c>
      <c r="BN57" s="78">
        <f t="shared" si="2"/>
        <v>212.99</v>
      </c>
      <c r="BO57" s="78">
        <f t="shared" si="3"/>
        <v>0.28935185185185186</v>
      </c>
      <c r="BP57" s="78">
        <f t="shared" si="4"/>
        <v>0.296875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135</v>
      </c>
      <c r="Y63" s="55">
        <f t="shared" si="0"/>
        <v>135</v>
      </c>
      <c r="Z63" s="41">
        <f>IFERROR(IF(Y63=0,"",ROUNDUP(Y63/H63,0)*0.00902),"")</f>
        <v>0.27060000000000001</v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140.70000000000002</v>
      </c>
      <c r="BN63" s="78">
        <f t="shared" si="2"/>
        <v>140.70000000000002</v>
      </c>
      <c r="BO63" s="78">
        <f t="shared" si="3"/>
        <v>0.22727272727272729</v>
      </c>
      <c r="BP63" s="78">
        <f t="shared" si="4"/>
        <v>0.22727272727272729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48.518518518518519</v>
      </c>
      <c r="Y64" s="43">
        <f>IFERROR(Y55/H55,"0")+IFERROR(Y56/H56,"0")+IFERROR(Y57/H57,"0")+IFERROR(Y58/H58,"0")+IFERROR(Y59/H59,"0")+IFERROR(Y60/H60,"0")+IFERROR(Y61/H61,"0")+IFERROR(Y62/H62,"0")+IFERROR(Y63/H63,"0")</f>
        <v>49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0.63122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335</v>
      </c>
      <c r="Y65" s="43">
        <f>IFERROR(SUM(Y55:Y63),"0")</f>
        <v>340.20000000000005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600</v>
      </c>
      <c r="Y67" s="55">
        <f>IFERROR(IF(X67="",0,CEILING((X67/$H67),1)*$H67),"")</f>
        <v>604.80000000000007</v>
      </c>
      <c r="Z67" s="41">
        <f>IFERROR(IF(Y67=0,"",ROUNDUP(Y67/H67,0)*0.01898),"")</f>
        <v>1.06288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622.77777777777783</v>
      </c>
      <c r="BN67" s="78">
        <f>IFERROR(Y67*I67/H67,"0")</f>
        <v>627.76</v>
      </c>
      <c r="BO67" s="78">
        <f>IFERROR(1/J67*(X67/H67),"0")</f>
        <v>0.86805555555555547</v>
      </c>
      <c r="BP67" s="78">
        <f>IFERROR(1/J67*(Y67/H67),"0")</f>
        <v>0.875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54</v>
      </c>
      <c r="Y71" s="55">
        <f>IFERROR(IF(X71="",0,CEILING((X71/$H71),1)*$H71),"")</f>
        <v>54</v>
      </c>
      <c r="Z71" s="41">
        <f>IFERROR(IF(Y71=0,"",ROUNDUP(Y71/H71,0)*0.00651),"")</f>
        <v>0.13020000000000001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57.599999999999987</v>
      </c>
      <c r="BN71" s="78">
        <f>IFERROR(Y71*I71/H71,"0")</f>
        <v>57.599999999999987</v>
      </c>
      <c r="BO71" s="78">
        <f>IFERROR(1/J71*(X71/H71),"0")</f>
        <v>0.1098901098901099</v>
      </c>
      <c r="BP71" s="78">
        <f>IFERROR(1/J71*(Y71/H71),"0")</f>
        <v>0.1098901098901099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75.555555555555543</v>
      </c>
      <c r="Y72" s="43">
        <f>IFERROR(Y67/H67,"0")+IFERROR(Y68/H68,"0")+IFERROR(Y69/H69,"0")+IFERROR(Y70/H70,"0")+IFERROR(Y71/H71,"0")</f>
        <v>76</v>
      </c>
      <c r="Z72" s="43">
        <f>IFERROR(IF(Z67="",0,Z67),"0")+IFERROR(IF(Z68="",0,Z68),"0")+IFERROR(IF(Z69="",0,Z69),"0")+IFERROR(IF(Z70="",0,Z70),"0")+IFERROR(IF(Z71="",0,Z71),"0")</f>
        <v>1.1930800000000001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654</v>
      </c>
      <c r="Y73" s="43">
        <f>IFERROR(SUM(Y67:Y71),"0")</f>
        <v>658.80000000000007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50</v>
      </c>
      <c r="Y87" s="55">
        <f t="shared" ref="Y87:Y92" si="5">IFERROR(IF(X87="",0,CEILING((X87/$H87),1)*$H87),"")</f>
        <v>54</v>
      </c>
      <c r="Z87" s="41">
        <f>IFERROR(IF(Y87=0,"",ROUNDUP(Y87/H87,0)*0.01898),"")</f>
        <v>9.4899999999999998E-2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51.898148148148145</v>
      </c>
      <c r="BN87" s="78">
        <f t="shared" ref="BN87:BN92" si="7">IFERROR(Y87*I87/H87,"0")</f>
        <v>56.05</v>
      </c>
      <c r="BO87" s="78">
        <f t="shared" ref="BO87:BO92" si="8">IFERROR(1/J87*(X87/H87),"0")</f>
        <v>7.2337962962962965E-2</v>
      </c>
      <c r="BP87" s="78">
        <f t="shared" ref="BP87:BP92" si="9">IFERROR(1/J87*(Y87/H87),"0")</f>
        <v>7.8125E-2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4.6296296296296298</v>
      </c>
      <c r="Y93" s="43">
        <f>IFERROR(Y87/H87,"0")+IFERROR(Y88/H88,"0")+IFERROR(Y89/H89,"0")+IFERROR(Y90/H90,"0")+IFERROR(Y91/H91,"0")+IFERROR(Y92/H92,"0")</f>
        <v>5</v>
      </c>
      <c r="Z93" s="43">
        <f>IFERROR(IF(Z87="",0,Z87),"0")+IFERROR(IF(Z88="",0,Z88),"0")+IFERROR(IF(Z89="",0,Z89),"0")+IFERROR(IF(Z90="",0,Z90),"0")+IFERROR(IF(Z91="",0,Z91),"0")+IFERROR(IF(Z92="",0,Z92),"0")</f>
        <v>9.4899999999999998E-2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50</v>
      </c>
      <c r="Y94" s="43">
        <f>IFERROR(SUM(Y87:Y92),"0")</f>
        <v>54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50</v>
      </c>
      <c r="Y104" s="55">
        <f t="shared" ref="Y104:Y112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51.898148148148145</v>
      </c>
      <c r="BN104" s="78">
        <f t="shared" ref="BN104:BN112" si="12">IFERROR(Y104*I104/H104,"0")</f>
        <v>56.05</v>
      </c>
      <c r="BO104" s="78">
        <f t="shared" ref="BO104:BO112" si="13">IFERROR(1/J104*(X104/H104),"0")</f>
        <v>7.2337962962962965E-2</v>
      </c>
      <c r="BP104" s="78">
        <f t="shared" ref="BP104:BP112" si="14">IFERROR(1/J104*(Y104/H104),"0")</f>
        <v>7.8125E-2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4.6296296296296298</v>
      </c>
      <c r="Y113" s="43">
        <f>IFERROR(Y104/H104,"0")+IFERROR(Y105/H105,"0")+IFERROR(Y106/H106,"0")+IFERROR(Y107/H107,"0")+IFERROR(Y108/H108,"0")+IFERROR(Y109/H109,"0")+IFERROR(Y110/H110,"0")+IFERROR(Y111/H111,"0")+IFERROR(Y112/H112,"0")</f>
        <v>5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9.4899999999999998E-2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50</v>
      </c>
      <c r="Y114" s="43">
        <f>IFERROR(SUM(Y104:Y112),"0")</f>
        <v>54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9</v>
      </c>
      <c r="Y134" s="55">
        <f>IFERROR(IF(X134="",0,CEILING((X134/$H134),1)*$H134),"")</f>
        <v>9.6000000000000014</v>
      </c>
      <c r="Z134" s="41">
        <f>IFERROR(IF(Y134=0,"",ROUNDUP(Y134/H134,0)*0.00651),"")</f>
        <v>1.9529999999999999E-2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9.5062499999999996</v>
      </c>
      <c r="BN134" s="78">
        <f>IFERROR(Y134*I134/H134,"0")</f>
        <v>10.139999999999999</v>
      </c>
      <c r="BO134" s="78">
        <f>IFERROR(1/J134*(X134/H134),"0")</f>
        <v>1.5453296703296704E-2</v>
      </c>
      <c r="BP134" s="78">
        <f>IFERROR(1/J134*(Y134/H134),"0")</f>
        <v>1.6483516483516487E-2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2.8125</v>
      </c>
      <c r="Y136" s="43">
        <f>IFERROR(Y134/H134,"0")+IFERROR(Y135/H135,"0")</f>
        <v>3.0000000000000004</v>
      </c>
      <c r="Z136" s="43">
        <f>IFERROR(IF(Z134="",0,Z134),"0")+IFERROR(IF(Z135="",0,Z135),"0")</f>
        <v>1.9529999999999999E-2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9</v>
      </c>
      <c r="Y137" s="43">
        <f>IFERROR(SUM(Y134:Y135),"0")</f>
        <v>9.6000000000000014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10</v>
      </c>
      <c r="Y144" s="55">
        <f>IFERROR(IF(X144="",0,CEILING((X144/$H144),1)*$H144),"")</f>
        <v>10.56</v>
      </c>
      <c r="Z144" s="41">
        <f>IFERROR(IF(Y144=0,"",ROUNDUP(Y144/H144,0)*0.00651),"")</f>
        <v>2.6040000000000001E-2</v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11.015151515151514</v>
      </c>
      <c r="BN144" s="78">
        <f>IFERROR(Y144*I144/H144,"0")</f>
        <v>11.632</v>
      </c>
      <c r="BO144" s="78">
        <f>IFERROR(1/J144*(X144/H144),"0")</f>
        <v>2.0812520812520812E-2</v>
      </c>
      <c r="BP144" s="78">
        <f>IFERROR(1/J144*(Y144/H144),"0")</f>
        <v>2.197802197802198E-2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3.7878787878787876</v>
      </c>
      <c r="Y146" s="43">
        <f>IFERROR(Y144/H144,"0")+IFERROR(Y145/H145,"0")</f>
        <v>4</v>
      </c>
      <c r="Z146" s="43">
        <f>IFERROR(IF(Z144="",0,Z144),"0")+IFERROR(IF(Z145="",0,Z145),"0")</f>
        <v>2.6040000000000001E-2</v>
      </c>
      <c r="AA146" s="67"/>
      <c r="AB146" s="67"/>
      <c r="AC146" s="67"/>
    </row>
    <row r="147" spans="1:68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10</v>
      </c>
      <c r="Y147" s="43">
        <f>IFERROR(SUM(Y144:Y145),"0")</f>
        <v>10.56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30</v>
      </c>
      <c r="Y176" s="55">
        <f t="shared" ref="Y176:Y186" si="21">IFERROR(IF(X176="",0,CEILING((X176/$H176),1)*$H176),"")</f>
        <v>31.5</v>
      </c>
      <c r="Z176" s="41">
        <f>IFERROR(IF(Y176=0,"",ROUNDUP(Y176/H176,0)*0.00902),"")</f>
        <v>8.1180000000000002E-2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31.62857142857143</v>
      </c>
      <c r="BN176" s="78">
        <f t="shared" ref="BN176:BN186" si="23">IFERROR(Y176*I176/H176,"0")</f>
        <v>33.21</v>
      </c>
      <c r="BO176" s="78">
        <f t="shared" ref="BO176:BO186" si="24">IFERROR(1/J176*(X176/H176),"0")</f>
        <v>6.4935064935064929E-2</v>
      </c>
      <c r="BP176" s="78">
        <f t="shared" ref="BP176:BP186" si="25">IFERROR(1/J176*(Y176/H176),"0")</f>
        <v>6.8181818181818177E-2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40</v>
      </c>
      <c r="Y179" s="55">
        <f t="shared" si="21"/>
        <v>42</v>
      </c>
      <c r="Z179" s="41">
        <f>IFERROR(IF(Y179=0,"",ROUNDUP(Y179/H179,0)*0.00902),"")</f>
        <v>0.10824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42.171428571428571</v>
      </c>
      <c r="BN179" s="78">
        <f t="shared" si="23"/>
        <v>44.279999999999994</v>
      </c>
      <c r="BO179" s="78">
        <f t="shared" si="24"/>
        <v>8.658008658008659E-2</v>
      </c>
      <c r="BP179" s="78">
        <f t="shared" si="25"/>
        <v>9.0909090909090912E-2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21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0.18942000000000001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70</v>
      </c>
      <c r="Y188" s="43">
        <f>IFERROR(SUM(Y176:Y186),"0")</f>
        <v>73.5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100</v>
      </c>
      <c r="Y223" s="55">
        <f t="shared" si="32"/>
        <v>100.80000000000001</v>
      </c>
      <c r="Z223" s="41">
        <f>IFERROR(IF(Y223=0,"",ROUNDUP(Y223/H223,0)*0.00902),"")</f>
        <v>0.21648000000000001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104.5238095238095</v>
      </c>
      <c r="BN223" s="78">
        <f t="shared" si="34"/>
        <v>105.36</v>
      </c>
      <c r="BO223" s="78">
        <f t="shared" si="35"/>
        <v>0.18037518037518038</v>
      </c>
      <c r="BP223" s="78">
        <f t="shared" si="36"/>
        <v>0.18181818181818182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23.80952380952381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24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0.21648000000000001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100</v>
      </c>
      <c r="Y237" s="43">
        <f>IFERROR(SUM(Y221:Y235),"0")</f>
        <v>100.80000000000001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380</v>
      </c>
      <c r="Y272" s="55">
        <f t="shared" ref="Y272:Y279" si="43">IFERROR(IF(X272="",0,CEILING((X272/$H272),1)*$H272),"")</f>
        <v>383.40000000000003</v>
      </c>
      <c r="Z272" s="41">
        <f>IFERROR(IF(Y272=0,"",ROUNDUP(Y272/H272,0)*0.00902),"")</f>
        <v>0.64041999999999999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393.37037037037032</v>
      </c>
      <c r="BN272" s="78">
        <f t="shared" ref="BN272:BN279" si="45">IFERROR(Y272*I272/H272,"0")</f>
        <v>396.89</v>
      </c>
      <c r="BO272" s="78">
        <f t="shared" ref="BO272:BO279" si="46">IFERROR(1/J272*(X272/H272),"0")</f>
        <v>0.53310886644219979</v>
      </c>
      <c r="BP272" s="78">
        <f t="shared" ref="BP272:BP279" si="47">IFERROR(1/J272*(Y272/H272),"0")</f>
        <v>0.53787878787878785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330</v>
      </c>
      <c r="Y273" s="55">
        <f t="shared" si="43"/>
        <v>334.8</v>
      </c>
      <c r="Z273" s="41">
        <f>IFERROR(IF(Y273=0,"",ROUNDUP(Y273/H273,0)*0.00902),"")</f>
        <v>0.55923999999999996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341.61111111111109</v>
      </c>
      <c r="BN273" s="78">
        <f t="shared" si="45"/>
        <v>346.58</v>
      </c>
      <c r="BO273" s="78">
        <f t="shared" si="46"/>
        <v>0.46296296296296297</v>
      </c>
      <c r="BP273" s="78">
        <f t="shared" si="47"/>
        <v>0.46969696969696972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570</v>
      </c>
      <c r="Y274" s="55">
        <f t="shared" si="43"/>
        <v>572.40000000000009</v>
      </c>
      <c r="Z274" s="41">
        <f>IFERROR(IF(Y274=0,"",ROUNDUP(Y274/H274,0)*0.00902),"")</f>
        <v>0.95612000000000008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590.05555555555543</v>
      </c>
      <c r="BN274" s="78">
        <f t="shared" si="45"/>
        <v>592.54000000000008</v>
      </c>
      <c r="BO274" s="78">
        <f t="shared" si="46"/>
        <v>0.79966329966329963</v>
      </c>
      <c r="BP274" s="78">
        <f t="shared" si="47"/>
        <v>0.80303030303030321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630</v>
      </c>
      <c r="Y275" s="55">
        <f t="shared" si="43"/>
        <v>631.80000000000007</v>
      </c>
      <c r="Z275" s="41">
        <f>IFERROR(IF(Y275=0,"",ROUNDUP(Y275/H275,0)*0.00902),"")</f>
        <v>1.0553399999999999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652.16666666666663</v>
      </c>
      <c r="BN275" s="78">
        <f t="shared" si="45"/>
        <v>654.03</v>
      </c>
      <c r="BO275" s="78">
        <f t="shared" si="46"/>
        <v>0.88383838383838376</v>
      </c>
      <c r="BP275" s="78">
        <f t="shared" si="47"/>
        <v>0.88636363636363635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353.7037037037037</v>
      </c>
      <c r="Y280" s="43">
        <f>IFERROR(Y272/H272,"0")+IFERROR(Y273/H273,"0")+IFERROR(Y274/H274,"0")+IFERROR(Y275/H275,"0")+IFERROR(Y276/H276,"0")+IFERROR(Y277/H277,"0")+IFERROR(Y278/H278,"0")+IFERROR(Y279/H279,"0")</f>
        <v>356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3.2111200000000002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1910</v>
      </c>
      <c r="Y281" s="43">
        <f>IFERROR(SUM(Y272:Y279),"0")</f>
        <v>1922.4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180</v>
      </c>
      <c r="Y285" s="55">
        <f t="shared" si="48"/>
        <v>182.7</v>
      </c>
      <c r="Z285" s="41">
        <f>IFERROR(IF(Y285=0,"",ROUNDUP(Y285/H285,0)*0.01898),"")</f>
        <v>0.39857999999999999</v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190.22068965517244</v>
      </c>
      <c r="BN285" s="78">
        <f t="shared" si="50"/>
        <v>193.07400000000001</v>
      </c>
      <c r="BO285" s="78">
        <f t="shared" si="51"/>
        <v>0.32327586206896552</v>
      </c>
      <c r="BP285" s="78">
        <f t="shared" si="52"/>
        <v>0.328125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192</v>
      </c>
      <c r="Y289" s="55">
        <f t="shared" si="48"/>
        <v>192</v>
      </c>
      <c r="Z289" s="41">
        <f>IFERROR(IF(Y289=0,"",ROUNDUP(Y289/H289,0)*0.00651),"")</f>
        <v>0.52080000000000004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212.16000000000003</v>
      </c>
      <c r="BN289" s="78">
        <f t="shared" si="50"/>
        <v>212.16000000000003</v>
      </c>
      <c r="BO289" s="78">
        <f t="shared" si="51"/>
        <v>0.43956043956043961</v>
      </c>
      <c r="BP289" s="78">
        <f t="shared" si="52"/>
        <v>0.43956043956043961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96</v>
      </c>
      <c r="Y292" s="55">
        <f t="shared" si="48"/>
        <v>96</v>
      </c>
      <c r="Z292" s="41">
        <f>IFERROR(IF(Y292=0,"",ROUNDUP(Y292/H292,0)*0.00651),"")</f>
        <v>0.26040000000000002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106.08000000000001</v>
      </c>
      <c r="BN292" s="78">
        <f t="shared" si="50"/>
        <v>106.08000000000001</v>
      </c>
      <c r="BO292" s="78">
        <f t="shared" si="51"/>
        <v>0.2197802197802198</v>
      </c>
      <c r="BP292" s="78">
        <f t="shared" si="52"/>
        <v>0.2197802197802198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190</v>
      </c>
      <c r="Y293" s="55">
        <f t="shared" si="48"/>
        <v>192</v>
      </c>
      <c r="Z293" s="41">
        <f>IFERROR(IF(Y293=0,"",ROUNDUP(Y293/H293,0)*0.00651),"")</f>
        <v>0.52080000000000004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210.42500000000001</v>
      </c>
      <c r="BN293" s="78">
        <f t="shared" si="50"/>
        <v>212.64000000000001</v>
      </c>
      <c r="BO293" s="78">
        <f t="shared" si="51"/>
        <v>0.43498168498168505</v>
      </c>
      <c r="BP293" s="78">
        <f t="shared" si="52"/>
        <v>0.43956043956043961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219.85632183908046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221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1.70058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658</v>
      </c>
      <c r="Y296" s="43">
        <f>IFERROR(SUM(Y283:Y294),"0")</f>
        <v>662.7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50</v>
      </c>
      <c r="Y331" s="55">
        <f t="shared" si="58"/>
        <v>54</v>
      </c>
      <c r="Z331" s="41">
        <f>IFERROR(IF(Y331=0,"",ROUNDUP(Y331/H331,0)*0.01898),"")</f>
        <v>9.4899999999999998E-2</v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51.898148148148145</v>
      </c>
      <c r="BN331" s="78">
        <f t="shared" si="60"/>
        <v>56.05</v>
      </c>
      <c r="BO331" s="78">
        <f t="shared" si="61"/>
        <v>7.2337962962962965E-2</v>
      </c>
      <c r="BP331" s="78">
        <f t="shared" si="62"/>
        <v>7.8125E-2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4.6296296296296298</v>
      </c>
      <c r="Y334" s="43">
        <f>IFERROR(Y328/H328,"0")+IFERROR(Y329/H329,"0")+IFERROR(Y330/H330,"0")+IFERROR(Y331/H331,"0")+IFERROR(Y332/H332,"0")+IFERROR(Y333/H333,"0")</f>
        <v>5</v>
      </c>
      <c r="Z334" s="43">
        <f>IFERROR(IF(Z328="",0,Z328),"0")+IFERROR(IF(Z329="",0,Z329),"0")+IFERROR(IF(Z330="",0,Z330),"0")+IFERROR(IF(Z331="",0,Z331),"0")+IFERROR(IF(Z332="",0,Z332),"0")+IFERROR(IF(Z333="",0,Z333),"0")</f>
        <v>9.4899999999999998E-2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50</v>
      </c>
      <c r="Y335" s="43">
        <f>IFERROR(SUM(Y328:Y333),"0")</f>
        <v>54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1200</v>
      </c>
      <c r="Y367" s="55">
        <f t="shared" si="63"/>
        <v>1209.6000000000001</v>
      </c>
      <c r="Z367" s="41">
        <f>IFERROR(IF(Y367=0,"",ROUNDUP(Y367/H367,0)*0.01898),"")</f>
        <v>2.1257600000000001</v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1245.5555555555557</v>
      </c>
      <c r="BN367" s="78">
        <f t="shared" si="65"/>
        <v>1255.52</v>
      </c>
      <c r="BO367" s="78">
        <f t="shared" si="66"/>
        <v>1.7361111111111109</v>
      </c>
      <c r="BP367" s="78">
        <f t="shared" si="67"/>
        <v>1.75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111.1111111111111</v>
      </c>
      <c r="Y373" s="43">
        <f>IFERROR(Y366/H366,"0")+IFERROR(Y367/H367,"0")+IFERROR(Y368/H368,"0")+IFERROR(Y369/H369,"0")+IFERROR(Y370/H370,"0")+IFERROR(Y371/H371,"0")+IFERROR(Y372/H372,"0")</f>
        <v>112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2.1257600000000001</v>
      </c>
      <c r="AA373" s="67"/>
      <c r="AB373" s="67"/>
      <c r="AC373" s="67"/>
    </row>
    <row r="374" spans="1:68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1200</v>
      </c>
      <c r="Y374" s="43">
        <f>IFERROR(SUM(Y366:Y372),"0")</f>
        <v>1209.6000000000001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15</v>
      </c>
      <c r="Y376" s="55">
        <f t="shared" ref="Y376:Y382" si="68">IFERROR(IF(X376="",0,CEILING((X376/$H376),1)*$H376),"")</f>
        <v>16.8</v>
      </c>
      <c r="Z376" s="41">
        <f>IFERROR(IF(Y376=0,"",ROUNDUP(Y376/H376,0)*0.00902),"")</f>
        <v>3.6080000000000001E-2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15.892857142857142</v>
      </c>
      <c r="BN376" s="78">
        <f t="shared" ref="BN376:BN382" si="70">IFERROR(Y376*I376/H376,"0")</f>
        <v>17.8</v>
      </c>
      <c r="BO376" s="78">
        <f t="shared" ref="BO376:BO382" si="71">IFERROR(1/J376*(X376/H376),"0")</f>
        <v>2.7056277056277056E-2</v>
      </c>
      <c r="BP376" s="78">
        <f t="shared" ref="BP376:BP382" si="72">IFERROR(1/J376*(Y376/H376),"0")</f>
        <v>3.0303030303030304E-2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85</v>
      </c>
      <c r="Y377" s="55">
        <f t="shared" si="68"/>
        <v>88.2</v>
      </c>
      <c r="Z377" s="41">
        <f>IFERROR(IF(Y377=0,"",ROUNDUP(Y377/H377,0)*0.00902),"")</f>
        <v>0.18942000000000001</v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90.05952380952381</v>
      </c>
      <c r="BN377" s="78">
        <f t="shared" si="70"/>
        <v>93.45</v>
      </c>
      <c r="BO377" s="78">
        <f t="shared" si="71"/>
        <v>0.15331890331890333</v>
      </c>
      <c r="BP377" s="78">
        <f t="shared" si="72"/>
        <v>0.15909090909090909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23.80952380952381</v>
      </c>
      <c r="Y383" s="43">
        <f>IFERROR(Y376/H376,"0")+IFERROR(Y377/H377,"0")+IFERROR(Y378/H378,"0")+IFERROR(Y379/H379,"0")+IFERROR(Y380/H380,"0")+IFERROR(Y381/H381,"0")+IFERROR(Y382/H382,"0")</f>
        <v>25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0.22550000000000001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100</v>
      </c>
      <c r="Y384" s="43">
        <f>IFERROR(SUM(Y376:Y382),"0")</f>
        <v>105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1500</v>
      </c>
      <c r="Y386" s="55">
        <f>IFERROR(IF(X386="",0,CEILING((X386/$H386),1)*$H386),"")</f>
        <v>1505.3999999999999</v>
      </c>
      <c r="Z386" s="41">
        <f>IFERROR(IF(Y386=0,"",ROUNDUP(Y386/H386,0)*0.01898),"")</f>
        <v>3.6631400000000003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1593.8461538461538</v>
      </c>
      <c r="BN386" s="78">
        <f>IFERROR(Y386*I386/H386,"0")</f>
        <v>1599.5840000000001</v>
      </c>
      <c r="BO386" s="78">
        <f>IFERROR(1/J386*(X386/H386),"0")</f>
        <v>3.0048076923076925</v>
      </c>
      <c r="BP386" s="78">
        <f>IFERROR(1/J386*(Y386/H386),"0")</f>
        <v>3.015625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192.30769230769232</v>
      </c>
      <c r="Y390" s="43">
        <f>IFERROR(Y386/H386,"0")+IFERROR(Y387/H387,"0")+IFERROR(Y388/H388,"0")+IFERROR(Y389/H389,"0")</f>
        <v>193</v>
      </c>
      <c r="Z390" s="43">
        <f>IFERROR(IF(Z386="",0,Z386),"0")+IFERROR(IF(Z387="",0,Z387),"0")+IFERROR(IF(Z388="",0,Z388),"0")+IFERROR(IF(Z389="",0,Z389),"0")</f>
        <v>3.6631400000000003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1500</v>
      </c>
      <c r="Y391" s="43">
        <f>IFERROR(SUM(Y386:Y389),"0")</f>
        <v>1505.3999999999999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100.80000000000001</v>
      </c>
      <c r="Z393" s="41">
        <f>IFERROR(IF(Y393=0,"",ROUNDUP(Y393/H393,0)*0.01898),"")</f>
        <v>0.22776000000000002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105.88095238095238</v>
      </c>
      <c r="BN393" s="78">
        <f>IFERROR(Y393*I393/H393,"0")</f>
        <v>106.72800000000001</v>
      </c>
      <c r="BO393" s="78">
        <f>IFERROR(1/J393*(X393/H393),"0")</f>
        <v>0.18601190476190477</v>
      </c>
      <c r="BP393" s="78">
        <f>IFERROR(1/J393*(Y393/H393),"0")</f>
        <v>0.1875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220</v>
      </c>
      <c r="Y394" s="55">
        <f>IFERROR(IF(X394="",0,CEILING((X394/$H394),1)*$H394),"")</f>
        <v>226.2</v>
      </c>
      <c r="Z394" s="41">
        <f>IFERROR(IF(Y394=0,"",ROUNDUP(Y394/H394,0)*0.01898),"")</f>
        <v>0.55042000000000002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233.93333333333334</v>
      </c>
      <c r="BN394" s="78">
        <f>IFERROR(Y394*I394/H394,"0")</f>
        <v>240.52600000000001</v>
      </c>
      <c r="BO394" s="78">
        <f>IFERROR(1/J394*(X394/H394),"0")</f>
        <v>0.44070512820512819</v>
      </c>
      <c r="BP394" s="78">
        <f>IFERROR(1/J394*(Y394/H394),"0")</f>
        <v>0.453125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250</v>
      </c>
      <c r="Y395" s="55">
        <f>IFERROR(IF(X395="",0,CEILING((X395/$H395),1)*$H395),"")</f>
        <v>252</v>
      </c>
      <c r="Z395" s="41">
        <f>IFERROR(IF(Y395=0,"",ROUNDUP(Y395/H395,0)*0.01898),"")</f>
        <v>0.56940000000000002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264.70238095238096</v>
      </c>
      <c r="BN395" s="78">
        <f>IFERROR(Y395*I395/H395,"0")</f>
        <v>266.82</v>
      </c>
      <c r="BO395" s="78">
        <f>IFERROR(1/J395*(X395/H395),"0")</f>
        <v>0.46502976190476186</v>
      </c>
      <c r="BP395" s="78">
        <f>IFERROR(1/J395*(Y395/H395),"0")</f>
        <v>0.46875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69.871794871794862</v>
      </c>
      <c r="Y396" s="43">
        <f>IFERROR(Y393/H393,"0")+IFERROR(Y394/H394,"0")+IFERROR(Y395/H395,"0")</f>
        <v>71</v>
      </c>
      <c r="Z396" s="43">
        <f>IFERROR(IF(Z393="",0,Z393),"0")+IFERROR(IF(Z394="",0,Z394),"0")+IFERROR(IF(Z395="",0,Z395),"0")</f>
        <v>1.3475800000000002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570</v>
      </c>
      <c r="Y397" s="43">
        <f>IFERROR(SUM(Y393:Y395),"0")</f>
        <v>579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1200</v>
      </c>
      <c r="Y434" s="55">
        <f t="shared" si="73"/>
        <v>1200</v>
      </c>
      <c r="Z434" s="41">
        <f>IFERROR(IF(Y434=0,"",ROUNDUP(Y434/H434,0)*0.02175),"")</f>
        <v>1.7399999999999998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1237.5999999999999</v>
      </c>
      <c r="BN434" s="78">
        <f t="shared" si="75"/>
        <v>1237.5999999999999</v>
      </c>
      <c r="BO434" s="78">
        <f t="shared" si="76"/>
        <v>1.6666666666666665</v>
      </c>
      <c r="BP434" s="78">
        <f t="shared" si="77"/>
        <v>1.6666666666666665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1300</v>
      </c>
      <c r="Y435" s="55">
        <f t="shared" si="73"/>
        <v>1305</v>
      </c>
      <c r="Z435" s="41">
        <f>IFERROR(IF(Y435=0,"",ROUNDUP(Y435/H435,0)*0.02175),"")</f>
        <v>1.8922499999999998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1340.7333333333333</v>
      </c>
      <c r="BN435" s="78">
        <f t="shared" si="75"/>
        <v>1345.89</v>
      </c>
      <c r="BO435" s="78">
        <f t="shared" si="76"/>
        <v>1.8055555555555556</v>
      </c>
      <c r="BP435" s="78">
        <f t="shared" si="77"/>
        <v>1.8125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2750</v>
      </c>
      <c r="Y437" s="55">
        <f t="shared" si="73"/>
        <v>2760</v>
      </c>
      <c r="Z437" s="41">
        <f>IFERROR(IF(Y437=0,"",ROUNDUP(Y437/H437,0)*0.02175),"")</f>
        <v>4.0019999999999998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2836.1666666666665</v>
      </c>
      <c r="BN437" s="78">
        <f t="shared" si="75"/>
        <v>2846.4800000000005</v>
      </c>
      <c r="BO437" s="78">
        <f t="shared" si="76"/>
        <v>3.8194444444444446</v>
      </c>
      <c r="BP437" s="78">
        <f t="shared" si="77"/>
        <v>3.833333333333333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350</v>
      </c>
      <c r="Y441" s="43">
        <f>IFERROR(Y433/H433,"0")+IFERROR(Y434/H434,"0")+IFERROR(Y435/H435,"0")+IFERROR(Y436/H436,"0")+IFERROR(Y437/H437,"0")+IFERROR(Y438/H438,"0")+IFERROR(Y439/H439,"0")+IFERROR(Y440/H440,"0")</f>
        <v>351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7.6342499999999998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5250</v>
      </c>
      <c r="Y442" s="43">
        <f>IFERROR(SUM(Y433:Y440),"0")</f>
        <v>5265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2400</v>
      </c>
      <c r="Y444" s="55">
        <f>IFERROR(IF(X444="",0,CEILING((X444/$H444),1)*$H444),"")</f>
        <v>2400</v>
      </c>
      <c r="Z444" s="41">
        <f>IFERROR(IF(Y444=0,"",ROUNDUP(Y444/H444,0)*0.02175),"")</f>
        <v>3.4799999999999995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2475.1999999999998</v>
      </c>
      <c r="BN444" s="78">
        <f>IFERROR(Y444*I444/H444,"0")</f>
        <v>2475.1999999999998</v>
      </c>
      <c r="BO444" s="78">
        <f>IFERROR(1/J444*(X444/H444),"0")</f>
        <v>3.333333333333333</v>
      </c>
      <c r="BP444" s="78">
        <f>IFERROR(1/J444*(Y444/H444),"0")</f>
        <v>3.333333333333333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160</v>
      </c>
      <c r="Y447" s="43">
        <f>IFERROR(Y444/H444,"0")+IFERROR(Y445/H445,"0")+IFERROR(Y446/H446,"0")</f>
        <v>160</v>
      </c>
      <c r="Z447" s="43">
        <f>IFERROR(IF(Z444="",0,Z444),"0")+IFERROR(IF(Z445="",0,Z445),"0")+IFERROR(IF(Z446="",0,Z446),"0")</f>
        <v>3.4799999999999995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2400</v>
      </c>
      <c r="Y448" s="43">
        <f>IFERROR(SUM(Y444:Y446),"0")</f>
        <v>2400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1000</v>
      </c>
      <c r="Y450" s="55">
        <f>IFERROR(IF(X450="",0,CEILING((X450/$H450),1)*$H450),"")</f>
        <v>1008</v>
      </c>
      <c r="Z450" s="41">
        <f>IFERROR(IF(Y450=0,"",ROUNDUP(Y450/H450,0)*0.01898),"")</f>
        <v>2.1257600000000001</v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1055.5555555555557</v>
      </c>
      <c r="BN450" s="78">
        <f>IFERROR(Y450*I450/H450,"0")</f>
        <v>1064</v>
      </c>
      <c r="BO450" s="78">
        <f>IFERROR(1/J450*(X450/H450),"0")</f>
        <v>1.7361111111111112</v>
      </c>
      <c r="BP450" s="78">
        <f>IFERROR(1/J450*(Y450/H450),"0")</f>
        <v>1.75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111.11111111111111</v>
      </c>
      <c r="Y453" s="43">
        <f>IFERROR(Y450/H450,"0")+IFERROR(Y451/H451,"0")+IFERROR(Y452/H452,"0")</f>
        <v>112</v>
      </c>
      <c r="Z453" s="43">
        <f>IFERROR(IF(Z450="",0,Z450),"0")+IFERROR(IF(Z451="",0,Z451),"0")+IFERROR(IF(Z452="",0,Z452),"0")</f>
        <v>2.1257600000000001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1000</v>
      </c>
      <c r="Y454" s="43">
        <f>IFERROR(SUM(Y450:Y452),"0")</f>
        <v>1008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30</v>
      </c>
      <c r="Y457" s="55">
        <f>IFERROR(IF(X457="",0,CEILING((X457/$H457),1)*$H457),"")</f>
        <v>36</v>
      </c>
      <c r="Z457" s="41">
        <f>IFERROR(IF(Y457=0,"",ROUNDUP(Y457/H457,0)*0.01898),"")</f>
        <v>7.5920000000000001E-2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31.646666666666665</v>
      </c>
      <c r="BN457" s="78">
        <f>IFERROR(Y457*I457/H457,"0")</f>
        <v>37.975999999999999</v>
      </c>
      <c r="BO457" s="78">
        <f>IFERROR(1/J457*(X457/H457),"0")</f>
        <v>5.2083333333333336E-2</v>
      </c>
      <c r="BP457" s="78">
        <f>IFERROR(1/J457*(Y457/H457),"0")</f>
        <v>6.25E-2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3.3333333333333335</v>
      </c>
      <c r="Y458" s="43">
        <f>IFERROR(Y456/H456,"0")+IFERROR(Y457/H457,"0")</f>
        <v>4</v>
      </c>
      <c r="Z458" s="43">
        <f>IFERROR(IF(Z456="",0,Z456),"0")+IFERROR(IF(Z457="",0,Z457),"0")</f>
        <v>7.5920000000000001E-2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30</v>
      </c>
      <c r="Y467" s="55">
        <f>IFERROR(IF(X467="",0,CEILING((X467/$H467),1)*$H467),"")</f>
        <v>33.6</v>
      </c>
      <c r="Z467" s="41">
        <f>IFERROR(IF(Y467=0,"",ROUNDUP(Y467/H467,0)*0.00902),"")</f>
        <v>7.2160000000000002E-2</v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31.785714285714285</v>
      </c>
      <c r="BN467" s="78">
        <f>IFERROR(Y467*I467/H467,"0")</f>
        <v>35.6</v>
      </c>
      <c r="BO467" s="78">
        <f>IFERROR(1/J467*(X467/H467),"0")</f>
        <v>5.4112554112554112E-2</v>
      </c>
      <c r="BP467" s="78">
        <f>IFERROR(1/J467*(Y467/H467),"0")</f>
        <v>6.0606060606060608E-2</v>
      </c>
    </row>
    <row r="468" spans="1:68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7.1428571428571423</v>
      </c>
      <c r="Y468" s="43">
        <f>IFERROR(Y467/H467,"0")</f>
        <v>8</v>
      </c>
      <c r="Z468" s="43">
        <f>IFERROR(IF(Z467="",0,Z467),"0")</f>
        <v>7.2160000000000002E-2</v>
      </c>
      <c r="AA468" s="67"/>
      <c r="AB468" s="67"/>
      <c r="AC468" s="67"/>
    </row>
    <row r="469" spans="1:68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30</v>
      </c>
      <c r="Y469" s="43">
        <f>IFERROR(SUM(Y467:Y467),"0")</f>
        <v>33.6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340</v>
      </c>
      <c r="Y471" s="55">
        <f>IFERROR(IF(X471="",0,CEILING((X471/$H471),1)*$H471),"")</f>
        <v>342</v>
      </c>
      <c r="Z471" s="41">
        <f>IFERROR(IF(Y471=0,"",ROUNDUP(Y471/H471,0)*0.01898),"")</f>
        <v>0.72123999999999999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358.66222222222223</v>
      </c>
      <c r="BN471" s="78">
        <f>IFERROR(Y471*I471/H471,"0")</f>
        <v>360.77199999999999</v>
      </c>
      <c r="BO471" s="78">
        <f>IFERROR(1/J471*(X471/H471),"0")</f>
        <v>0.59027777777777779</v>
      </c>
      <c r="BP471" s="78">
        <f>IFERROR(1/J471*(Y471/H471),"0")</f>
        <v>0.59375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37.777777777777779</v>
      </c>
      <c r="Y474" s="43">
        <f>IFERROR(Y471/H471,"0")+IFERROR(Y472/H472,"0")+IFERROR(Y473/H473,"0")</f>
        <v>38</v>
      </c>
      <c r="Z474" s="43">
        <f>IFERROR(IF(Z471="",0,Z471),"0")+IFERROR(IF(Z472="",0,Z472),"0")+IFERROR(IF(Z473="",0,Z473),"0")</f>
        <v>0.72123999999999999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340</v>
      </c>
      <c r="Y475" s="43">
        <f>IFERROR(SUM(Y471:Y473),"0")</f>
        <v>342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40</v>
      </c>
      <c r="Y479" s="55">
        <f t="shared" ref="Y479:Y484" si="78">IFERROR(IF(X479="",0,CEILING((X479/$H479),1)*$H479),"")</f>
        <v>43.2</v>
      </c>
      <c r="Z479" s="41">
        <f>IFERROR(IF(Y479=0,"",ROUNDUP(Y479/H479,0)*0.00902),"")</f>
        <v>7.2160000000000002E-2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41.407407407407405</v>
      </c>
      <c r="BN479" s="78">
        <f t="shared" ref="BN479:BN484" si="80">IFERROR(Y479*I479/H479,"0")</f>
        <v>44.72</v>
      </c>
      <c r="BO479" s="78">
        <f t="shared" ref="BO479:BO484" si="81">IFERROR(1/J479*(X479/H479),"0")</f>
        <v>5.6116722783389444E-2</v>
      </c>
      <c r="BP479" s="78">
        <f t="shared" ref="BP479:BP484" si="82">IFERROR(1/J479*(Y479/H479),"0")</f>
        <v>6.0606060606060608E-2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200</v>
      </c>
      <c r="Y480" s="55">
        <f t="shared" si="78"/>
        <v>205.20000000000002</v>
      </c>
      <c r="Z480" s="41">
        <f>IFERROR(IF(Y480=0,"",ROUNDUP(Y480/H480,0)*0.00902),"")</f>
        <v>0.34276000000000001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207.03703703703701</v>
      </c>
      <c r="BN480" s="78">
        <f t="shared" si="80"/>
        <v>212.42</v>
      </c>
      <c r="BO480" s="78">
        <f t="shared" si="81"/>
        <v>0.28058361391694725</v>
      </c>
      <c r="BP480" s="78">
        <f t="shared" si="82"/>
        <v>0.2878787878787879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44.444444444444443</v>
      </c>
      <c r="Y485" s="43">
        <f>IFERROR(Y479/H479,"0")+IFERROR(Y480/H480,"0")+IFERROR(Y481/H481,"0")+IFERROR(Y482/H482,"0")+IFERROR(Y483/H483,"0")+IFERROR(Y484/H484,"0")</f>
        <v>46</v>
      </c>
      <c r="Z485" s="43">
        <f>IFERROR(IF(Z479="",0,Z479),"0")+IFERROR(IF(Z480="",0,Z480),"0")+IFERROR(IF(Z481="",0,Z481),"0")+IFERROR(IF(Z482="",0,Z482),"0")+IFERROR(IF(Z483="",0,Z483),"0")+IFERROR(IF(Z484="",0,Z484),"0")</f>
        <v>0.41492000000000001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240</v>
      </c>
      <c r="Y486" s="43">
        <f>IFERROR(SUM(Y479:Y484),"0")</f>
        <v>248.40000000000003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220</v>
      </c>
      <c r="Y498" s="55">
        <f>IFERROR(IF(X498="",0,CEILING((X498/$H498),1)*$H498),"")</f>
        <v>221.4</v>
      </c>
      <c r="Z498" s="41">
        <f>IFERROR(IF(Y498=0,"",ROUNDUP(Y498/H498,0)*0.00902),"")</f>
        <v>0.36982000000000004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227.7407407407407</v>
      </c>
      <c r="BN498" s="78">
        <f>IFERROR(Y498*I498/H498,"0")</f>
        <v>229.18999999999997</v>
      </c>
      <c r="BO498" s="78">
        <f>IFERROR(1/J498*(X498/H498),"0")</f>
        <v>0.30864197530864196</v>
      </c>
      <c r="BP498" s="78">
        <f>IFERROR(1/J498*(Y498/H498),"0")</f>
        <v>0.31060606060606061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40.74074074074074</v>
      </c>
      <c r="Y501" s="43">
        <f>IFERROR(Y498/H498,"0")+IFERROR(Y499/H499,"0")+IFERROR(Y500/H500,"0")</f>
        <v>41</v>
      </c>
      <c r="Z501" s="43">
        <f>IFERROR(IF(Z498="",0,Z498),"0")+IFERROR(IF(Z499="",0,Z499),"0")+IFERROR(IF(Z500="",0,Z500),"0")</f>
        <v>0.36982000000000004</v>
      </c>
      <c r="AA501" s="67"/>
      <c r="AB501" s="67"/>
      <c r="AC501" s="67"/>
    </row>
    <row r="502" spans="1:68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220</v>
      </c>
      <c r="Y502" s="43">
        <f>IFERROR(SUM(Y498:Y500),"0")</f>
        <v>221.4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150</v>
      </c>
      <c r="Y509" s="55">
        <f t="shared" si="83"/>
        <v>153.12</v>
      </c>
      <c r="Z509" s="41">
        <f t="shared" si="84"/>
        <v>0.34683999999999998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159.94318181818181</v>
      </c>
      <c r="BN509" s="78">
        <f t="shared" si="86"/>
        <v>163.26999999999998</v>
      </c>
      <c r="BO509" s="78">
        <f t="shared" si="87"/>
        <v>0.27316433566433568</v>
      </c>
      <c r="BP509" s="78">
        <f t="shared" si="88"/>
        <v>0.27884615384615385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83"/>
        <v>253.44</v>
      </c>
      <c r="Z511" s="41">
        <f t="shared" si="84"/>
        <v>0.57408000000000003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266.57196969696969</v>
      </c>
      <c r="BN511" s="78">
        <f t="shared" si="86"/>
        <v>270.23999999999995</v>
      </c>
      <c r="BO511" s="78">
        <f t="shared" si="87"/>
        <v>0.45527389277389274</v>
      </c>
      <c r="BP511" s="78">
        <f t="shared" si="88"/>
        <v>0.46153846153846156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75.757575757575751</v>
      </c>
      <c r="Y515" s="43">
        <f>IFERROR(Y506/H506,"0")+IFERROR(Y507/H507,"0")+IFERROR(Y508/H508,"0")+IFERROR(Y509/H509,"0")+IFERROR(Y510/H510,"0")+IFERROR(Y511/H511,"0")+IFERROR(Y512/H512,"0")+IFERROR(Y513/H513,"0")+IFERROR(Y514/H514,"0")</f>
        <v>77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0.92091999999999996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400</v>
      </c>
      <c r="Y516" s="43">
        <f>IFERROR(SUM(Y506:Y514),"0")</f>
        <v>406.56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260</v>
      </c>
      <c r="Y518" s="55">
        <f>IFERROR(IF(X518="",0,CEILING((X518/$H518),1)*$H518),"")</f>
        <v>264</v>
      </c>
      <c r="Z518" s="41">
        <f>IFERROR(IF(Y518=0,"",ROUNDUP(Y518/H518,0)*0.01196),"")</f>
        <v>0.59799999999999998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277.23484848484844</v>
      </c>
      <c r="BN518" s="78">
        <f>IFERROR(Y518*I518/H518,"0")</f>
        <v>281.5</v>
      </c>
      <c r="BO518" s="78">
        <f>IFERROR(1/J518*(X518/H518),"0")</f>
        <v>0.47348484848484851</v>
      </c>
      <c r="BP518" s="78">
        <f>IFERROR(1/J518*(Y518/H518),"0")</f>
        <v>0.48076923076923078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49.242424242424242</v>
      </c>
      <c r="Y521" s="43">
        <f>IFERROR(Y518/H518,"0")+IFERROR(Y519/H519,"0")+IFERROR(Y520/H520,"0")</f>
        <v>50</v>
      </c>
      <c r="Z521" s="43">
        <f>IFERROR(IF(Z518="",0,Z518),"0")+IFERROR(IF(Z519="",0,Z519),"0")+IFERROR(IF(Z520="",0,Z520),"0")</f>
        <v>0.59799999999999998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260</v>
      </c>
      <c r="Y522" s="43">
        <f>IFERROR(SUM(Y518:Y520),"0")</f>
        <v>264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175</v>
      </c>
      <c r="Y524" s="55">
        <f t="shared" ref="Y524:Y530" si="89">IFERROR(IF(X524="",0,CEILING((X524/$H524),1)*$H524),"")</f>
        <v>179.52</v>
      </c>
      <c r="Z524" s="41">
        <f>IFERROR(IF(Y524=0,"",ROUNDUP(Y524/H524,0)*0.01196),"")</f>
        <v>0.40664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186.60037878787878</v>
      </c>
      <c r="BN524" s="78">
        <f t="shared" ref="BN524:BN530" si="91">IFERROR(Y524*I524/H524,"0")</f>
        <v>191.42000000000002</v>
      </c>
      <c r="BO524" s="78">
        <f t="shared" ref="BO524:BO530" si="92">IFERROR(1/J524*(X524/H524),"0")</f>
        <v>0.31869172494172493</v>
      </c>
      <c r="BP524" s="78">
        <f t="shared" ref="BP524:BP530" si="93">IFERROR(1/J524*(Y524/H524),"0")</f>
        <v>0.32692307692307693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si="89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53.314393939393938</v>
      </c>
      <c r="BN525" s="78">
        <f t="shared" si="91"/>
        <v>56.3</v>
      </c>
      <c r="BO525" s="78">
        <f t="shared" si="92"/>
        <v>9.1054778554778545E-2</v>
      </c>
      <c r="BP525" s="78">
        <f t="shared" si="93"/>
        <v>9.6153846153846159E-2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60</v>
      </c>
      <c r="Y526" s="55">
        <f t="shared" si="89"/>
        <v>63.36</v>
      </c>
      <c r="Z526" s="41">
        <f>IFERROR(IF(Y526=0,"",ROUNDUP(Y526/H526,0)*0.01196),"")</f>
        <v>0.14352000000000001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63.977272727272727</v>
      </c>
      <c r="BN526" s="78">
        <f t="shared" si="91"/>
        <v>67.559999999999988</v>
      </c>
      <c r="BO526" s="78">
        <f t="shared" si="92"/>
        <v>0.10926573426573427</v>
      </c>
      <c r="BP526" s="78">
        <f t="shared" si="93"/>
        <v>0.11538461538461539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53.97727272727272</v>
      </c>
      <c r="Y531" s="43">
        <f>IFERROR(Y524/H524,"0")+IFERROR(Y525/H525,"0")+IFERROR(Y526/H526,"0")+IFERROR(Y527/H527,"0")+IFERROR(Y528/H528,"0")+IFERROR(Y529/H529,"0")+IFERROR(Y530/H530,"0")</f>
        <v>56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0.66976000000000002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285</v>
      </c>
      <c r="Y532" s="43">
        <f>IFERROR(SUM(Y524:Y530),"0")</f>
        <v>295.68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260</v>
      </c>
      <c r="Y544" s="55">
        <f>IFERROR(IF(X544="",0,CEILING((X544/$H544),1)*$H544),"")</f>
        <v>260.40000000000003</v>
      </c>
      <c r="Z544" s="41">
        <f>IFERROR(IF(Y544=0,"",ROUNDUP(Y544/H544,0)*0.00902),"")</f>
        <v>0.55923999999999996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275.47619047619048</v>
      </c>
      <c r="BN544" s="78">
        <f>IFERROR(Y544*I544/H544,"0")</f>
        <v>275.90000000000003</v>
      </c>
      <c r="BO544" s="78">
        <f>IFERROR(1/J544*(X544/H544),"0")</f>
        <v>0.46897546897546899</v>
      </c>
      <c r="BP544" s="78">
        <f>IFERROR(1/J544*(Y544/H544),"0")</f>
        <v>0.46969696969696978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61.904761904761905</v>
      </c>
      <c r="Y545" s="43">
        <f>IFERROR(Y544/H544,"0")</f>
        <v>62.000000000000007</v>
      </c>
      <c r="Z545" s="43">
        <f>IFERROR(IF(Z544="",0,Z544),"0")</f>
        <v>0.55923999999999996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260</v>
      </c>
      <c r="Y546" s="43">
        <f>IFERROR(SUM(Y544:Y544),"0")</f>
        <v>260.40000000000003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18061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18200.600000000006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18839.623756079483</v>
      </c>
      <c r="Y562" s="43">
        <f>IFERROR(SUM(BN22:BN558),"0")</f>
        <v>18986.081999999999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29</v>
      </c>
      <c r="Y563" s="44">
        <f>ROUNDUP(SUM(BP22:BP558),0)</f>
        <v>29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19564.623756079483</v>
      </c>
      <c r="Y564" s="43">
        <f>GrossWeightTotalR+PalletQtyTotalR*25</f>
        <v>19711.081999999999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2174.4653123855705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2195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32.65654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80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999.00000000000011</v>
      </c>
      <c r="F571" s="52">
        <f>IFERROR(Y87*1,"0")+IFERROR(Y88*1,"0")+IFERROR(Y89*1,"0")+IFERROR(Y90*1,"0")+IFERROR(Y91*1,"0")+IFERROR(Y92*1,"0")+IFERROR(Y96*1,"0")+IFERROR(Y97*1,"0")+IFERROR(Y98*1,"0")+IFERROR(Y99*1,"0")</f>
        <v>54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54</v>
      </c>
      <c r="H571" s="52">
        <f>IFERROR(Y134*1,"0")+IFERROR(Y135*1,"0")+IFERROR(Y139*1,"0")+IFERROR(Y140*1,"0")+IFERROR(Y144*1,"0")+IFERROR(Y145*1,"0")</f>
        <v>20.160000000000004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73.5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100.80000000000001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2585.1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54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3399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8709</v>
      </c>
      <c r="X571" s="52">
        <f>IFERROR(Y462*1,"0")+IFERROR(Y463*1,"0")+IFERROR(Y467*1,"0")+IFERROR(Y471*1,"0")+IFERROR(Y472*1,"0")+IFERROR(Y473*1,"0")</f>
        <v>375.6</v>
      </c>
      <c r="Y571" s="52">
        <f>IFERROR(Y479*1,"0")+IFERROR(Y480*1,"0")+IFERROR(Y481*1,"0")+IFERROR(Y482*1,"0")+IFERROR(Y483*1,"0")+IFERROR(Y484*1,"0")+IFERROR(Y488*1,"0")+IFERROR(Y489*1,"0")</f>
        <v>248.40000000000003</v>
      </c>
      <c r="Z571" s="52">
        <f>IFERROR(Y494*1,"0")+IFERROR(Y498*1,"0")+IFERROR(Y499*1,"0")+IFERROR(Y500*1,"0")</f>
        <v>221.4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966.2399999999999</v>
      </c>
      <c r="AB571" s="52">
        <f>IFERROR(Y536*1,"0")+IFERROR(Y540*1,"0")+IFERROR(Y544*1,"0")+IFERROR(Y548*1,"0")+IFERROR(Y552*1,"0")+IFERROR(Y553*1,"0")</f>
        <v>260.40000000000003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0,00"/>
        <filter val="1 500,00"/>
        <filter val="1 910,00"/>
        <filter val="10,00"/>
        <filter val="100,00"/>
        <filter val="111,11"/>
        <filter val="135,00"/>
        <filter val="15,00"/>
        <filter val="150,00"/>
        <filter val="160,00"/>
        <filter val="175,00"/>
        <filter val="18 061,00"/>
        <filter val="18 839,62"/>
        <filter val="180,00"/>
        <filter val="19 564,62"/>
        <filter val="190,00"/>
        <filter val="192,00"/>
        <filter val="192,31"/>
        <filter val="2 174,47"/>
        <filter val="2 400,00"/>
        <filter val="2 750,00"/>
        <filter val="2,81"/>
        <filter val="20,00"/>
        <filter val="200,00"/>
        <filter val="219,86"/>
        <filter val="220,00"/>
        <filter val="23,81"/>
        <filter val="240,00"/>
        <filter val="250,00"/>
        <filter val="260,00"/>
        <filter val="285,00"/>
        <filter val="29"/>
        <filter val="3,33"/>
        <filter val="3,79"/>
        <filter val="30,00"/>
        <filter val="330,00"/>
        <filter val="335,00"/>
        <filter val="340,00"/>
        <filter val="350,00"/>
        <filter val="353,70"/>
        <filter val="37,78"/>
        <filter val="380,00"/>
        <filter val="4,63"/>
        <filter val="40,00"/>
        <filter val="40,74"/>
        <filter val="400,00"/>
        <filter val="44,44"/>
        <filter val="48,52"/>
        <filter val="49,24"/>
        <filter val="5 250,00"/>
        <filter val="50,00"/>
        <filter val="53,98"/>
        <filter val="54,00"/>
        <filter val="570,00"/>
        <filter val="60,00"/>
        <filter val="600,00"/>
        <filter val="61,90"/>
        <filter val="630,00"/>
        <filter val="654,00"/>
        <filter val="658,00"/>
        <filter val="69,87"/>
        <filter val="7,14"/>
        <filter val="70,00"/>
        <filter val="75,56"/>
        <filter val="75,76"/>
        <filter val="80,00"/>
        <filter val="85,00"/>
        <filter val="9,00"/>
        <filter val="96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2026-10-06T12:52:32Z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