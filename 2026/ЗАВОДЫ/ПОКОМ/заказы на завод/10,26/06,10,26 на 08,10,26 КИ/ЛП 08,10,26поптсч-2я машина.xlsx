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0B44FE5-CB7A-48BA-83AE-76B5EECC6BF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BP494" i="2" s="1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X475" i="2"/>
  <c r="X474" i="2"/>
  <c r="BP473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Y475" i="2" s="1"/>
  <c r="P471" i="2"/>
  <c r="X469" i="2"/>
  <c r="Y468" i="2"/>
  <c r="X468" i="2"/>
  <c r="BO467" i="2"/>
  <c r="BM467" i="2"/>
  <c r="Y467" i="2"/>
  <c r="Y469" i="2" s="1"/>
  <c r="P467" i="2"/>
  <c r="X465" i="2"/>
  <c r="Y464" i="2"/>
  <c r="X464" i="2"/>
  <c r="BO463" i="2"/>
  <c r="BM463" i="2"/>
  <c r="Z463" i="2"/>
  <c r="Y463" i="2"/>
  <c r="BN463" i="2" s="1"/>
  <c r="P463" i="2"/>
  <c r="BO462" i="2"/>
  <c r="BM462" i="2"/>
  <c r="Y462" i="2"/>
  <c r="Y465" i="2" s="1"/>
  <c r="P462" i="2"/>
  <c r="X459" i="2"/>
  <c r="X458" i="2"/>
  <c r="BO457" i="2"/>
  <c r="BM457" i="2"/>
  <c r="Y457" i="2"/>
  <c r="BN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P451" i="2" s="1"/>
  <c r="P451" i="2"/>
  <c r="BP450" i="2"/>
  <c r="BO450" i="2"/>
  <c r="BM450" i="2"/>
  <c r="Y450" i="2"/>
  <c r="Z450" i="2" s="1"/>
  <c r="P450" i="2"/>
  <c r="X448" i="2"/>
  <c r="X447" i="2"/>
  <c r="BO446" i="2"/>
  <c r="BM446" i="2"/>
  <c r="Y446" i="2"/>
  <c r="BN446" i="2" s="1"/>
  <c r="P446" i="2"/>
  <c r="BP445" i="2"/>
  <c r="BO445" i="2"/>
  <c r="BM445" i="2"/>
  <c r="Y445" i="2"/>
  <c r="Z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Z433" i="2" s="1"/>
  <c r="P433" i="2"/>
  <c r="X429" i="2"/>
  <c r="X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Y429" i="2" s="1"/>
  <c r="P425" i="2"/>
  <c r="X422" i="2"/>
  <c r="X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N412" i="2" s="1"/>
  <c r="P412" i="2"/>
  <c r="X410" i="2"/>
  <c r="X409" i="2"/>
  <c r="BO408" i="2"/>
  <c r="BM408" i="2"/>
  <c r="Y408" i="2"/>
  <c r="Z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BN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X391" i="2"/>
  <c r="X390" i="2"/>
  <c r="BO389" i="2"/>
  <c r="BM389" i="2"/>
  <c r="Y389" i="2"/>
  <c r="BN389" i="2" s="1"/>
  <c r="P389" i="2"/>
  <c r="BP388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BN386" i="2" s="1"/>
  <c r="P386" i="2"/>
  <c r="X384" i="2"/>
  <c r="X383" i="2"/>
  <c r="BP382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P378" i="2"/>
  <c r="BP377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P361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Z339" i="2"/>
  <c r="Y339" i="2"/>
  <c r="BN339" i="2" s="1"/>
  <c r="P339" i="2"/>
  <c r="BO338" i="2"/>
  <c r="BM338" i="2"/>
  <c r="Y338" i="2"/>
  <c r="BN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P331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Z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N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P308" i="2"/>
  <c r="BO307" i="2"/>
  <c r="BM307" i="2"/>
  <c r="Y307" i="2"/>
  <c r="BP307" i="2" s="1"/>
  <c r="P307" i="2"/>
  <c r="BP306" i="2"/>
  <c r="BO306" i="2"/>
  <c r="BM306" i="2"/>
  <c r="Y306" i="2"/>
  <c r="BN306" i="2" s="1"/>
  <c r="P306" i="2"/>
  <c r="BO305" i="2"/>
  <c r="BM305" i="2"/>
  <c r="Y305" i="2"/>
  <c r="P305" i="2"/>
  <c r="BO304" i="2"/>
  <c r="BM304" i="2"/>
  <c r="Z304" i="2"/>
  <c r="Y304" i="2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Z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Z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Y265" i="2" s="1"/>
  <c r="P263" i="2"/>
  <c r="BO262" i="2"/>
  <c r="BM262" i="2"/>
  <c r="Y262" i="2"/>
  <c r="Z262" i="2" s="1"/>
  <c r="P262" i="2"/>
  <c r="X259" i="2"/>
  <c r="X258" i="2"/>
  <c r="BO257" i="2"/>
  <c r="BM257" i="2"/>
  <c r="Y257" i="2"/>
  <c r="BP257" i="2" s="1"/>
  <c r="P257" i="2"/>
  <c r="X255" i="2"/>
  <c r="X254" i="2"/>
  <c r="BO253" i="2"/>
  <c r="BM253" i="2"/>
  <c r="Z253" i="2"/>
  <c r="Y253" i="2"/>
  <c r="BN253" i="2" s="1"/>
  <c r="P253" i="2"/>
  <c r="BO252" i="2"/>
  <c r="BM252" i="2"/>
  <c r="Y252" i="2"/>
  <c r="P252" i="2"/>
  <c r="BO251" i="2"/>
  <c r="BM251" i="2"/>
  <c r="Z251" i="2"/>
  <c r="Y251" i="2"/>
  <c r="P251" i="2"/>
  <c r="X249" i="2"/>
  <c r="X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Z245" i="2" s="1"/>
  <c r="P245" i="2"/>
  <c r="BP244" i="2"/>
  <c r="BO244" i="2"/>
  <c r="BM244" i="2"/>
  <c r="Y244" i="2"/>
  <c r="P244" i="2"/>
  <c r="BO243" i="2"/>
  <c r="BM243" i="2"/>
  <c r="Y243" i="2"/>
  <c r="BP243" i="2" s="1"/>
  <c r="P243" i="2"/>
  <c r="BP242" i="2"/>
  <c r="BO242" i="2"/>
  <c r="BM242" i="2"/>
  <c r="Y242" i="2"/>
  <c r="P242" i="2"/>
  <c r="BO241" i="2"/>
  <c r="BM241" i="2"/>
  <c r="Y241" i="2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P235" i="2"/>
  <c r="BO235" i="2"/>
  <c r="BM235" i="2"/>
  <c r="Y235" i="2"/>
  <c r="P235" i="2"/>
  <c r="BO234" i="2"/>
  <c r="BM234" i="2"/>
  <c r="Y234" i="2"/>
  <c r="Z234" i="2" s="1"/>
  <c r="P234" i="2"/>
  <c r="BO233" i="2"/>
  <c r="BM233" i="2"/>
  <c r="Z233" i="2"/>
  <c r="Y233" i="2"/>
  <c r="BN233" i="2" s="1"/>
  <c r="P233" i="2"/>
  <c r="BO232" i="2"/>
  <c r="BM232" i="2"/>
  <c r="Y232" i="2"/>
  <c r="P232" i="2"/>
  <c r="BP231" i="2"/>
  <c r="BO231" i="2"/>
  <c r="BM231" i="2"/>
  <c r="Y231" i="2"/>
  <c r="P231" i="2"/>
  <c r="BO230" i="2"/>
  <c r="BM230" i="2"/>
  <c r="Y230" i="2"/>
  <c r="BP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P212" i="2"/>
  <c r="BP211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P196" i="2"/>
  <c r="X194" i="2"/>
  <c r="X193" i="2"/>
  <c r="BO192" i="2"/>
  <c r="BM192" i="2"/>
  <c r="Z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Z172" i="2"/>
  <c r="Y172" i="2"/>
  <c r="P172" i="2"/>
  <c r="BO171" i="2"/>
  <c r="BM171" i="2"/>
  <c r="Y171" i="2"/>
  <c r="P171" i="2"/>
  <c r="X169" i="2"/>
  <c r="X168" i="2"/>
  <c r="BP167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Z165" i="2"/>
  <c r="Y165" i="2"/>
  <c r="P165" i="2"/>
  <c r="BO164" i="2"/>
  <c r="BM164" i="2"/>
  <c r="Y164" i="2"/>
  <c r="BN164" i="2" s="1"/>
  <c r="P164" i="2"/>
  <c r="X161" i="2"/>
  <c r="Y160" i="2"/>
  <c r="X160" i="2"/>
  <c r="BO159" i="2"/>
  <c r="BM159" i="2"/>
  <c r="Y159" i="2"/>
  <c r="Z159" i="2" s="1"/>
  <c r="Z160" i="2" s="1"/>
  <c r="P159" i="2"/>
  <c r="X157" i="2"/>
  <c r="X156" i="2"/>
  <c r="BO155" i="2"/>
  <c r="BN155" i="2"/>
  <c r="BM155" i="2"/>
  <c r="Z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Y144" i="2"/>
  <c r="P144" i="2"/>
  <c r="X142" i="2"/>
  <c r="X141" i="2"/>
  <c r="BP140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Y130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Y126" i="2" s="1"/>
  <c r="P123" i="2"/>
  <c r="BO122" i="2"/>
  <c r="BM122" i="2"/>
  <c r="Z122" i="2"/>
  <c r="Y122" i="2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Z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BN99" i="2" s="1"/>
  <c r="P99" i="2"/>
  <c r="BO98" i="2"/>
  <c r="BM98" i="2"/>
  <c r="Y98" i="2"/>
  <c r="P98" i="2"/>
  <c r="BO97" i="2"/>
  <c r="BM97" i="2"/>
  <c r="Z97" i="2"/>
  <c r="Y97" i="2"/>
  <c r="BN97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F571" i="2" s="1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Y78" i="2" s="1"/>
  <c r="P76" i="2"/>
  <c r="BO75" i="2"/>
  <c r="BM75" i="2"/>
  <c r="Y75" i="2"/>
  <c r="Z75" i="2" s="1"/>
  <c r="P75" i="2"/>
  <c r="X73" i="2"/>
  <c r="X72" i="2"/>
  <c r="BO71" i="2"/>
  <c r="BM71" i="2"/>
  <c r="Y71" i="2"/>
  <c r="P71" i="2"/>
  <c r="BP70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P61" i="2"/>
  <c r="BP60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Z38" i="2"/>
  <c r="Y38" i="2"/>
  <c r="BN38" i="2" s="1"/>
  <c r="P38" i="2"/>
  <c r="BO37" i="2"/>
  <c r="BM37" i="2"/>
  <c r="Y37" i="2"/>
  <c r="BP37" i="2" s="1"/>
  <c r="P37" i="2"/>
  <c r="X33" i="2"/>
  <c r="X32" i="2"/>
  <c r="BP31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N41" i="2" l="1"/>
  <c r="Z41" i="2"/>
  <c r="BN61" i="2"/>
  <c r="Z61" i="2"/>
  <c r="BN91" i="2"/>
  <c r="Y147" i="2"/>
  <c r="Z144" i="2"/>
  <c r="Z146" i="2" s="1"/>
  <c r="Z171" i="2"/>
  <c r="BP171" i="2"/>
  <c r="BN186" i="2"/>
  <c r="Z186" i="2"/>
  <c r="BN234" i="2"/>
  <c r="BN241" i="2"/>
  <c r="Z241" i="2"/>
  <c r="BN267" i="2"/>
  <c r="BN287" i="2"/>
  <c r="BN307" i="2"/>
  <c r="BN330" i="2"/>
  <c r="BN340" i="2"/>
  <c r="BP340" i="2"/>
  <c r="Z372" i="2"/>
  <c r="BP372" i="2"/>
  <c r="BN29" i="2"/>
  <c r="BP41" i="2"/>
  <c r="BP57" i="2"/>
  <c r="Z57" i="2"/>
  <c r="BN71" i="2"/>
  <c r="Z71" i="2"/>
  <c r="BN80" i="2"/>
  <c r="BP118" i="2"/>
  <c r="BN118" i="2"/>
  <c r="Z118" i="2"/>
  <c r="BN140" i="2"/>
  <c r="Z140" i="2"/>
  <c r="Z181" i="2"/>
  <c r="BP181" i="2"/>
  <c r="Y198" i="2"/>
  <c r="BP196" i="2"/>
  <c r="BN208" i="2"/>
  <c r="BP212" i="2"/>
  <c r="BN212" i="2"/>
  <c r="Z212" i="2"/>
  <c r="BN225" i="2"/>
  <c r="BN230" i="2"/>
  <c r="BN232" i="2"/>
  <c r="BP232" i="2"/>
  <c r="BN243" i="2"/>
  <c r="BN245" i="2"/>
  <c r="BN252" i="2"/>
  <c r="BP252" i="2"/>
  <c r="BP283" i="2"/>
  <c r="BN283" i="2"/>
  <c r="Z283" i="2"/>
  <c r="BP294" i="2"/>
  <c r="BN294" i="2"/>
  <c r="Z294" i="2"/>
  <c r="BN298" i="2"/>
  <c r="BN305" i="2"/>
  <c r="Z305" i="2"/>
  <c r="BP318" i="2"/>
  <c r="Y320" i="2"/>
  <c r="Y319" i="2"/>
  <c r="Z318" i="2"/>
  <c r="Z319" i="2" s="1"/>
  <c r="BN346" i="2"/>
  <c r="Z346" i="2"/>
  <c r="BN349" i="2"/>
  <c r="Z349" i="2"/>
  <c r="BP380" i="2"/>
  <c r="BN380" i="2"/>
  <c r="BN387" i="2"/>
  <c r="BN408" i="2"/>
  <c r="BN438" i="2"/>
  <c r="BN483" i="2"/>
  <c r="BN506" i="2"/>
  <c r="BN514" i="2"/>
  <c r="BP536" i="2"/>
  <c r="BN75" i="2"/>
  <c r="BN81" i="2"/>
  <c r="BP97" i="2"/>
  <c r="BP107" i="2"/>
  <c r="BN108" i="2"/>
  <c r="Y127" i="2"/>
  <c r="BN129" i="2"/>
  <c r="BN135" i="2"/>
  <c r="BN151" i="2"/>
  <c r="BN159" i="2"/>
  <c r="BN200" i="2"/>
  <c r="BN221" i="2"/>
  <c r="BP253" i="2"/>
  <c r="BN262" i="2"/>
  <c r="BN278" i="2"/>
  <c r="BN290" i="2"/>
  <c r="BN309" i="2"/>
  <c r="BP399" i="2"/>
  <c r="BN402" i="2"/>
  <c r="Z406" i="2"/>
  <c r="Z409" i="2" s="1"/>
  <c r="BN406" i="2"/>
  <c r="Y409" i="2"/>
  <c r="BN434" i="2"/>
  <c r="Y448" i="2"/>
  <c r="Z446" i="2"/>
  <c r="Y459" i="2"/>
  <c r="BN467" i="2"/>
  <c r="BN480" i="2"/>
  <c r="BN489" i="2"/>
  <c r="BN500" i="2"/>
  <c r="BN512" i="2"/>
  <c r="BN525" i="2"/>
  <c r="Z536" i="2"/>
  <c r="Z537" i="2" s="1"/>
  <c r="Z548" i="2"/>
  <c r="Z549" i="2" s="1"/>
  <c r="BN548" i="2"/>
  <c r="BP548" i="2"/>
  <c r="B571" i="2"/>
  <c r="Z30" i="2"/>
  <c r="Y43" i="2"/>
  <c r="Z40" i="2"/>
  <c r="BP40" i="2"/>
  <c r="BP50" i="2"/>
  <c r="BP55" i="2"/>
  <c r="BN67" i="2"/>
  <c r="Z68" i="2"/>
  <c r="BP75" i="2"/>
  <c r="Z88" i="2"/>
  <c r="BN92" i="2"/>
  <c r="Y100" i="2"/>
  <c r="BP98" i="2"/>
  <c r="Y101" i="2"/>
  <c r="Z105" i="2"/>
  <c r="Z109" i="2"/>
  <c r="BP110" i="2"/>
  <c r="BP112" i="2"/>
  <c r="BN112" i="2"/>
  <c r="H571" i="2"/>
  <c r="BN134" i="2"/>
  <c r="BP134" i="2"/>
  <c r="Y169" i="2"/>
  <c r="Z226" i="2"/>
  <c r="BP226" i="2"/>
  <c r="BN227" i="2"/>
  <c r="Z227" i="2"/>
  <c r="BP272" i="2"/>
  <c r="Z272" i="2"/>
  <c r="BP276" i="2"/>
  <c r="Z276" i="2"/>
  <c r="BN284" i="2"/>
  <c r="Z284" i="2"/>
  <c r="Z288" i="2"/>
  <c r="BN288" i="2"/>
  <c r="Y300" i="2"/>
  <c r="Z308" i="2"/>
  <c r="BN308" i="2"/>
  <c r="BP329" i="2"/>
  <c r="BP349" i="2"/>
  <c r="Y355" i="2"/>
  <c r="BN354" i="2"/>
  <c r="Z378" i="2"/>
  <c r="BN378" i="2"/>
  <c r="BP407" i="2"/>
  <c r="Z407" i="2"/>
  <c r="U571" i="2"/>
  <c r="Y421" i="2"/>
  <c r="BP419" i="2"/>
  <c r="Z419" i="2"/>
  <c r="BN436" i="2"/>
  <c r="Z436" i="2"/>
  <c r="Z22" i="2"/>
  <c r="BP22" i="2"/>
  <c r="BN23" i="2"/>
  <c r="Y24" i="2"/>
  <c r="Z29" i="2"/>
  <c r="BP38" i="2"/>
  <c r="Z50" i="2"/>
  <c r="BN57" i="2"/>
  <c r="Z58" i="2"/>
  <c r="BP81" i="2"/>
  <c r="Y84" i="2"/>
  <c r="BN90" i="2"/>
  <c r="BN96" i="2"/>
  <c r="Z98" i="2"/>
  <c r="BP99" i="2"/>
  <c r="BP104" i="2"/>
  <c r="Z108" i="2"/>
  <c r="BN111" i="2"/>
  <c r="BP124" i="2"/>
  <c r="Z134" i="2"/>
  <c r="Y137" i="2"/>
  <c r="Z153" i="2"/>
  <c r="BN153" i="2"/>
  <c r="BN166" i="2"/>
  <c r="Z166" i="2"/>
  <c r="BP184" i="2"/>
  <c r="Z184" i="2"/>
  <c r="BP209" i="2"/>
  <c r="Z209" i="2"/>
  <c r="BN231" i="2"/>
  <c r="Z231" i="2"/>
  <c r="BP239" i="2"/>
  <c r="Z239" i="2"/>
  <c r="Y249" i="2"/>
  <c r="BP247" i="2"/>
  <c r="BN247" i="2"/>
  <c r="Y270" i="2"/>
  <c r="BN268" i="2"/>
  <c r="BP273" i="2"/>
  <c r="Z277" i="2"/>
  <c r="BN277" i="2"/>
  <c r="BP286" i="2"/>
  <c r="Y316" i="2"/>
  <c r="BP314" i="2"/>
  <c r="Z314" i="2"/>
  <c r="Z315" i="2" s="1"/>
  <c r="BP366" i="2"/>
  <c r="Z366" i="2"/>
  <c r="BP376" i="2"/>
  <c r="BP400" i="2"/>
  <c r="BP413" i="2"/>
  <c r="Y415" i="2"/>
  <c r="Z414" i="2"/>
  <c r="BN414" i="2"/>
  <c r="Z420" i="2"/>
  <c r="BN420" i="2"/>
  <c r="BP452" i="2"/>
  <c r="BN452" i="2"/>
  <c r="Z452" i="2"/>
  <c r="BP508" i="2"/>
  <c r="BN508" i="2"/>
  <c r="BP528" i="2"/>
  <c r="BN528" i="2"/>
  <c r="Y545" i="2"/>
  <c r="BP552" i="2"/>
  <c r="Z552" i="2"/>
  <c r="BP49" i="2"/>
  <c r="BP61" i="2"/>
  <c r="BP92" i="2"/>
  <c r="BP117" i="2"/>
  <c r="BP129" i="2"/>
  <c r="Y131" i="2"/>
  <c r="BP164" i="2"/>
  <c r="BP185" i="2"/>
  <c r="Y213" i="2"/>
  <c r="Y214" i="2"/>
  <c r="BP206" i="2"/>
  <c r="BP210" i="2"/>
  <c r="Y219" i="2"/>
  <c r="Y218" i="2"/>
  <c r="Z217" i="2"/>
  <c r="Z218" i="2" s="1"/>
  <c r="Y236" i="2"/>
  <c r="BP223" i="2"/>
  <c r="BN223" i="2"/>
  <c r="Z235" i="2"/>
  <c r="BN235" i="2"/>
  <c r="BP240" i="2"/>
  <c r="Y259" i="2"/>
  <c r="Y258" i="2"/>
  <c r="Z257" i="2"/>
  <c r="Z258" i="2" s="1"/>
  <c r="BN272" i="2"/>
  <c r="Z273" i="2"/>
  <c r="Z292" i="2"/>
  <c r="BN292" i="2"/>
  <c r="Y311" i="2"/>
  <c r="Y315" i="2"/>
  <c r="BP323" i="2"/>
  <c r="BN323" i="2"/>
  <c r="Q571" i="2"/>
  <c r="BP338" i="2"/>
  <c r="Z338" i="2"/>
  <c r="Y363" i="2"/>
  <c r="Y362" i="2"/>
  <c r="BN359" i="2"/>
  <c r="BP370" i="2"/>
  <c r="BN370" i="2"/>
  <c r="Z376" i="2"/>
  <c r="Z388" i="2"/>
  <c r="BN388" i="2"/>
  <c r="Z393" i="2"/>
  <c r="Z400" i="2"/>
  <c r="BN419" i="2"/>
  <c r="Z571" i="2"/>
  <c r="Y495" i="2"/>
  <c r="Z494" i="2"/>
  <c r="Z495" i="2" s="1"/>
  <c r="BP513" i="2"/>
  <c r="Z513" i="2"/>
  <c r="BP524" i="2"/>
  <c r="BP23" i="2"/>
  <c r="Y25" i="2"/>
  <c r="BP30" i="2"/>
  <c r="Y83" i="2"/>
  <c r="BP88" i="2"/>
  <c r="Z90" i="2"/>
  <c r="Z96" i="2"/>
  <c r="BP105" i="2"/>
  <c r="BP109" i="2"/>
  <c r="Z111" i="2"/>
  <c r="Z117" i="2"/>
  <c r="BN125" i="2"/>
  <c r="Z125" i="2"/>
  <c r="Y136" i="2"/>
  <c r="BP144" i="2"/>
  <c r="Y146" i="2"/>
  <c r="BN144" i="2"/>
  <c r="Z164" i="2"/>
  <c r="BN172" i="2"/>
  <c r="Y173" i="2"/>
  <c r="BP172" i="2"/>
  <c r="BP178" i="2"/>
  <c r="BN178" i="2"/>
  <c r="BN184" i="2"/>
  <c r="Z185" i="2"/>
  <c r="BP192" i="2"/>
  <c r="Z196" i="2"/>
  <c r="Z197" i="2" s="1"/>
  <c r="Y197" i="2"/>
  <c r="BN196" i="2"/>
  <c r="Z206" i="2"/>
  <c r="BN209" i="2"/>
  <c r="Z210" i="2"/>
  <c r="Z223" i="2"/>
  <c r="BP227" i="2"/>
  <c r="BP233" i="2"/>
  <c r="BN239" i="2"/>
  <c r="Z240" i="2"/>
  <c r="Z244" i="2"/>
  <c r="BN244" i="2"/>
  <c r="Y254" i="2"/>
  <c r="Y255" i="2"/>
  <c r="BP251" i="2"/>
  <c r="BP284" i="2"/>
  <c r="BP288" i="2"/>
  <c r="O571" i="2"/>
  <c r="Y312" i="2"/>
  <c r="BN304" i="2"/>
  <c r="BP304" i="2"/>
  <c r="BP308" i="2"/>
  <c r="BN314" i="2"/>
  <c r="Z331" i="2"/>
  <c r="BN331" i="2"/>
  <c r="BP339" i="2"/>
  <c r="Y342" i="2"/>
  <c r="BP348" i="2"/>
  <c r="Z348" i="2"/>
  <c r="BN366" i="2"/>
  <c r="BP378" i="2"/>
  <c r="Y422" i="2"/>
  <c r="BP436" i="2"/>
  <c r="Z456" i="2"/>
  <c r="Y458" i="2"/>
  <c r="BN456" i="2"/>
  <c r="Y542" i="2"/>
  <c r="Y541" i="2"/>
  <c r="Z540" i="2"/>
  <c r="Z541" i="2" s="1"/>
  <c r="BP481" i="2"/>
  <c r="BP159" i="2"/>
  <c r="Y161" i="2"/>
  <c r="BP191" i="2"/>
  <c r="Y202" i="2"/>
  <c r="BP221" i="2"/>
  <c r="BP262" i="2"/>
  <c r="BP267" i="2"/>
  <c r="Y269" i="2"/>
  <c r="BP278" i="2"/>
  <c r="BP285" i="2"/>
  <c r="BP298" i="2"/>
  <c r="Y301" i="2"/>
  <c r="Y351" i="2"/>
  <c r="BP387" i="2"/>
  <c r="BP408" i="2"/>
  <c r="BP434" i="2"/>
  <c r="Z439" i="2"/>
  <c r="BP440" i="2"/>
  <c r="Z467" i="2"/>
  <c r="Z468" i="2" s="1"/>
  <c r="BP467" i="2"/>
  <c r="Y571" i="2"/>
  <c r="Y491" i="2"/>
  <c r="Z514" i="2"/>
  <c r="BP525" i="2"/>
  <c r="BN536" i="2"/>
  <c r="I571" i="2"/>
  <c r="Y168" i="2"/>
  <c r="BP165" i="2"/>
  <c r="Z173" i="2"/>
  <c r="BP182" i="2"/>
  <c r="BP186" i="2"/>
  <c r="Y194" i="2"/>
  <c r="Z200" i="2"/>
  <c r="Z201" i="2" s="1"/>
  <c r="BP200" i="2"/>
  <c r="Z208" i="2"/>
  <c r="Z224" i="2"/>
  <c r="Z230" i="2"/>
  <c r="BP234" i="2"/>
  <c r="BP241" i="2"/>
  <c r="Z243" i="2"/>
  <c r="BP245" i="2"/>
  <c r="BP274" i="2"/>
  <c r="BP287" i="2"/>
  <c r="BP305" i="2"/>
  <c r="Z307" i="2"/>
  <c r="BP309" i="2"/>
  <c r="BP328" i="2"/>
  <c r="Z330" i="2"/>
  <c r="BP346" i="2"/>
  <c r="Z402" i="2"/>
  <c r="Y416" i="2"/>
  <c r="Z427" i="2"/>
  <c r="Z438" i="2"/>
  <c r="Z440" i="2"/>
  <c r="BP446" i="2"/>
  <c r="Z462" i="2"/>
  <c r="Z464" i="2" s="1"/>
  <c r="BP463" i="2"/>
  <c r="BP480" i="2"/>
  <c r="BN481" i="2"/>
  <c r="Z489" i="2"/>
  <c r="BN498" i="2"/>
  <c r="Z500" i="2"/>
  <c r="BN510" i="2"/>
  <c r="Z512" i="2"/>
  <c r="X561" i="2"/>
  <c r="BP367" i="2"/>
  <c r="BP444" i="2"/>
  <c r="BN444" i="2"/>
  <c r="Z386" i="2"/>
  <c r="Y391" i="2"/>
  <c r="BP386" i="2"/>
  <c r="Y390" i="2"/>
  <c r="Y280" i="2"/>
  <c r="BP275" i="2"/>
  <c r="Y281" i="2"/>
  <c r="X571" i="2"/>
  <c r="BN471" i="2"/>
  <c r="Y474" i="2"/>
  <c r="Z353" i="2"/>
  <c r="Z426" i="2"/>
  <c r="BP426" i="2"/>
  <c r="Z178" i="2"/>
  <c r="Z179" i="2"/>
  <c r="BN377" i="2"/>
  <c r="Y383" i="2"/>
  <c r="Y532" i="2"/>
  <c r="Y531" i="2"/>
  <c r="BP526" i="2"/>
  <c r="Z394" i="2"/>
  <c r="Y397" i="2"/>
  <c r="BP394" i="2"/>
  <c r="BN479" i="2"/>
  <c r="Z479" i="2"/>
  <c r="Y485" i="2"/>
  <c r="Z524" i="2"/>
  <c r="BP435" i="2"/>
  <c r="Y335" i="2"/>
  <c r="BP332" i="2"/>
  <c r="Y334" i="2"/>
  <c r="BN332" i="2"/>
  <c r="BN368" i="2"/>
  <c r="BP368" i="2"/>
  <c r="Z87" i="2"/>
  <c r="Y94" i="2"/>
  <c r="Y93" i="2"/>
  <c r="BP87" i="2"/>
  <c r="X562" i="2"/>
  <c r="BN87" i="2"/>
  <c r="Z63" i="2"/>
  <c r="BP63" i="2"/>
  <c r="X565" i="2"/>
  <c r="BN367" i="2"/>
  <c r="Y373" i="2"/>
  <c r="T571" i="2"/>
  <c r="Y52" i="2"/>
  <c r="Y51" i="2"/>
  <c r="Z47" i="2"/>
  <c r="BP71" i="2"/>
  <c r="Z67" i="2"/>
  <c r="E571" i="2"/>
  <c r="W571" i="2"/>
  <c r="Y447" i="2"/>
  <c r="X563" i="2"/>
  <c r="BN518" i="2"/>
  <c r="AA571" i="2"/>
  <c r="Y521" i="2"/>
  <c r="BP176" i="2"/>
  <c r="BN176" i="2"/>
  <c r="J57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00" i="2" s="1"/>
  <c r="Z110" i="2"/>
  <c r="BN122" i="2"/>
  <c r="BN145" i="2"/>
  <c r="Y157" i="2"/>
  <c r="Z167" i="2"/>
  <c r="BN179" i="2"/>
  <c r="Z211" i="2"/>
  <c r="BN224" i="2"/>
  <c r="Z232" i="2"/>
  <c r="Z242" i="2"/>
  <c r="Z252" i="2"/>
  <c r="Z254" i="2" s="1"/>
  <c r="Z275" i="2"/>
  <c r="Z285" i="2"/>
  <c r="Y296" i="2"/>
  <c r="Z306" i="2"/>
  <c r="BN318" i="2"/>
  <c r="Z329" i="2"/>
  <c r="Z340" i="2"/>
  <c r="Z341" i="2" s="1"/>
  <c r="BN353" i="2"/>
  <c r="Z395" i="2"/>
  <c r="BN407" i="2"/>
  <c r="BN433" i="2"/>
  <c r="Y454" i="2"/>
  <c r="Z488" i="2"/>
  <c r="Z490" i="2" s="1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01" i="2" s="1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444" i="2"/>
  <c r="Z447" i="2" s="1"/>
  <c r="BP540" i="2"/>
  <c r="Z48" i="2"/>
  <c r="Z69" i="2"/>
  <c r="Z123" i="2"/>
  <c r="Z126" i="2" s="1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19" i="2" s="1"/>
  <c r="Z139" i="2"/>
  <c r="BN152" i="2"/>
  <c r="Z183" i="2"/>
  <c r="Z207" i="2"/>
  <c r="Z213" i="2" s="1"/>
  <c r="Z228" i="2"/>
  <c r="Y264" i="2"/>
  <c r="BN291" i="2"/>
  <c r="Y325" i="2"/>
  <c r="Z347" i="2"/>
  <c r="BN360" i="2"/>
  <c r="BN371" i="2"/>
  <c r="BN381" i="2"/>
  <c r="Z401" i="2"/>
  <c r="Z403" i="2" s="1"/>
  <c r="BN413" i="2"/>
  <c r="Z425" i="2"/>
  <c r="Z437" i="2"/>
  <c r="Z441" i="2" s="1"/>
  <c r="BP462" i="2"/>
  <c r="BN472" i="2"/>
  <c r="BN484" i="2"/>
  <c r="BN509" i="2"/>
  <c r="BN519" i="2"/>
  <c r="BN529" i="2"/>
  <c r="Z553" i="2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24" i="2" s="1"/>
  <c r="Z333" i="2"/>
  <c r="Z334" i="2" s="1"/>
  <c r="BN347" i="2"/>
  <c r="Y350" i="2"/>
  <c r="Z369" i="2"/>
  <c r="Z379" i="2"/>
  <c r="Z389" i="2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311" i="2" l="1"/>
  <c r="Z554" i="2"/>
  <c r="Z236" i="2"/>
  <c r="Z141" i="2"/>
  <c r="Z113" i="2"/>
  <c r="Z32" i="2"/>
  <c r="Z51" i="2"/>
  <c r="Z168" i="2"/>
  <c r="Z295" i="2"/>
  <c r="Z72" i="2"/>
  <c r="Z485" i="2"/>
  <c r="Z373" i="2"/>
  <c r="Z383" i="2"/>
  <c r="Z531" i="2"/>
  <c r="Z280" i="2"/>
  <c r="Z390" i="2"/>
  <c r="Z350" i="2"/>
  <c r="Z515" i="2"/>
  <c r="Z248" i="2"/>
  <c r="Z521" i="2"/>
  <c r="Z355" i="2"/>
  <c r="Z428" i="2"/>
  <c r="Z187" i="2"/>
  <c r="Z396" i="2"/>
  <c r="X564" i="2"/>
  <c r="Z93" i="2"/>
  <c r="Y562" i="2"/>
  <c r="Y565" i="2"/>
  <c r="Y563" i="2"/>
  <c r="Y561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<sst xmlns="http://schemas.openxmlformats.org/spreadsheetml/2006/main" count="4321" uniqueCount="902">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</sst>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901</v>
      </c>
      <c r="I5" s="1004"/>
      <c r="J5" s="1004"/>
      <c r="K5" s="1004"/>
      <c r="L5" s="1004"/>
      <c r="M5" s="1004"/>
      <c r="N5" s="72"/>
      <c r="P5" s="27" t="s">
        <v>4</v>
      </c>
      <c r="Q5" s="1006">
        <v>46303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Четверг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0.45833333333333331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87.777777777777771</v>
      </c>
      <c r="Y51" s="43">
        <f>IFERROR(Y47/H47,"0")+IFERROR(Y48/H48,"0")+IFERROR(Y49/H49,"0")+IFERROR(Y50/H50,"0")</f>
        <v>88</v>
      </c>
      <c r="Z51" s="43">
        <f>IFERROR(IF(Z47="",0,Z47),"0")+IFERROR(IF(Z48="",0,Z48),"0")+IFERROR(IF(Z49="",0,Z49),"0")+IFERROR(IF(Z50="",0,Z50),"0")</f>
        <v>1.07264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540</v>
      </c>
      <c r="Y52" s="43">
        <f>IFERROR(SUM(Y47:Y50),"0")</f>
        <v>542.40000000000009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1600</v>
      </c>
      <c r="Y56" s="55">
        <f t="shared" si="0"/>
        <v>1609.2</v>
      </c>
      <c r="Z56" s="41">
        <f>IFERROR(IF(Y56=0,"",ROUNDUP(Y56/H56,0)*0.01898),"")</f>
        <v>2.82802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1660.7407407407406</v>
      </c>
      <c r="BN56" s="78">
        <f t="shared" si="2"/>
        <v>1670.29</v>
      </c>
      <c r="BO56" s="78">
        <f t="shared" si="3"/>
        <v>2.3148148148148149</v>
      </c>
      <c r="BP56" s="78">
        <f t="shared" si="4"/>
        <v>2.328125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1600</v>
      </c>
      <c r="Y63" s="55">
        <f t="shared" si="0"/>
        <v>1602</v>
      </c>
      <c r="Z63" s="41">
        <f>IFERROR(IF(Y63=0,"",ROUNDUP(Y63/H63,0)*0.00902),"")</f>
        <v>3.2111200000000002</v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1667.5555555555557</v>
      </c>
      <c r="BN63" s="78">
        <f t="shared" si="2"/>
        <v>1669.6400000000003</v>
      </c>
      <c r="BO63" s="78">
        <f t="shared" si="3"/>
        <v>2.6936026936026938</v>
      </c>
      <c r="BP63" s="78">
        <f t="shared" si="4"/>
        <v>2.6969696969696972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503.7037037037037</v>
      </c>
      <c r="Y64" s="43">
        <f>IFERROR(Y55/H55,"0")+IFERROR(Y56/H56,"0")+IFERROR(Y57/H57,"0")+IFERROR(Y58/H58,"0")+IFERROR(Y59/H59,"0")+IFERROR(Y60/H60,"0")+IFERROR(Y61/H61,"0")+IFERROR(Y62/H62,"0")+IFERROR(Y63/H63,"0")</f>
        <v>505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6.0391399999999997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3200</v>
      </c>
      <c r="Y65" s="43">
        <f>IFERROR(SUM(Y55:Y63),"0")</f>
        <v>3211.2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700</v>
      </c>
      <c r="Y67" s="55">
        <f>IFERROR(IF(X67="",0,CEILING((X67/$H67),1)*$H67),"")</f>
        <v>702</v>
      </c>
      <c r="Z67" s="41">
        <f>IFERROR(IF(Y67=0,"",ROUNDUP(Y67/H67,0)*0.01898),"")</f>
        <v>1.2337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726.57407407407413</v>
      </c>
      <c r="BN67" s="78">
        <f>IFERROR(Y67*I67/H67,"0")</f>
        <v>728.65000000000009</v>
      </c>
      <c r="BO67" s="78">
        <f>IFERROR(1/J67*(X67/H67),"0")</f>
        <v>1.0127314814814814</v>
      </c>
      <c r="BP67" s="78">
        <f>IFERROR(1/J67*(Y67/H67),"0")</f>
        <v>1.015625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270</v>
      </c>
      <c r="Y71" s="55">
        <f>IFERROR(IF(X71="",0,CEILING((X71/$H71),1)*$H71),"")</f>
        <v>270</v>
      </c>
      <c r="Z71" s="41">
        <f>IFERROR(IF(Y71=0,"",ROUNDUP(Y71/H71,0)*0.00651),"")</f>
        <v>0.65100000000000002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288</v>
      </c>
      <c r="BN71" s="78">
        <f>IFERROR(Y71*I71/H71,"0")</f>
        <v>288</v>
      </c>
      <c r="BO71" s="78">
        <f>IFERROR(1/J71*(X71/H71),"0")</f>
        <v>0.5494505494505495</v>
      </c>
      <c r="BP71" s="78">
        <f>IFERROR(1/J71*(Y71/H71),"0")</f>
        <v>0.5494505494505495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164.81481481481481</v>
      </c>
      <c r="Y72" s="43">
        <f>IFERROR(Y67/H67,"0")+IFERROR(Y68/H68,"0")+IFERROR(Y69/H69,"0")+IFERROR(Y70/H70,"0")+IFERROR(Y71/H71,"0")</f>
        <v>165</v>
      </c>
      <c r="Z72" s="43">
        <f>IFERROR(IF(Z67="",0,Z67),"0")+IFERROR(IF(Z68="",0,Z68),"0")+IFERROR(IF(Z69="",0,Z69),"0")+IFERROR(IF(Z70="",0,Z70),"0")+IFERROR(IF(Z71="",0,Z71),"0")</f>
        <v>1.8847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970</v>
      </c>
      <c r="Y73" s="43">
        <f>IFERROR(SUM(Y67:Y71),"0")</f>
        <v>972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400</v>
      </c>
      <c r="Y87" s="55">
        <f t="shared" ref="Y87:Y92" si="5">IFERROR(IF(X87="",0,CEILING((X87/$H87),1)*$H87),"")</f>
        <v>410.40000000000003</v>
      </c>
      <c r="Z87" s="41">
        <f>IFERROR(IF(Y87=0,"",ROUNDUP(Y87/H87,0)*0.01898),"")</f>
        <v>0.72123999999999999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415.18518518518516</v>
      </c>
      <c r="BN87" s="78">
        <f t="shared" ref="BN87:BN92" si="7">IFERROR(Y87*I87/H87,"0")</f>
        <v>425.98</v>
      </c>
      <c r="BO87" s="78">
        <f t="shared" ref="BO87:BO92" si="8">IFERROR(1/J87*(X87/H87),"0")</f>
        <v>0.57870370370370372</v>
      </c>
      <c r="BP87" s="78">
        <f t="shared" ref="BP87:BP92" si="9">IFERROR(1/J87*(Y87/H87),"0")</f>
        <v>0.59375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37.037037037037038</v>
      </c>
      <c r="Y93" s="43">
        <f>IFERROR(Y87/H87,"0")+IFERROR(Y88/H88,"0")+IFERROR(Y89/H89,"0")+IFERROR(Y90/H90,"0")+IFERROR(Y91/H91,"0")+IFERROR(Y92/H92,"0")</f>
        <v>38</v>
      </c>
      <c r="Z93" s="43">
        <f>IFERROR(IF(Z87="",0,Z87),"0")+IFERROR(IF(Z88="",0,Z88),"0")+IFERROR(IF(Z89="",0,Z89),"0")+IFERROR(IF(Z90="",0,Z90),"0")+IFERROR(IF(Z91="",0,Z91),"0")+IFERROR(IF(Z92="",0,Z92),"0")</f>
        <v>0.72123999999999999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400</v>
      </c>
      <c r="Y94" s="43">
        <f>IFERROR(SUM(Y87:Y92),"0")</f>
        <v>410.40000000000003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60</v>
      </c>
      <c r="Y176" s="55">
        <f t="shared" ref="Y176:Y186" si="21">IFERROR(IF(X176="",0,CEILING((X176/$H176),1)*$H176),"")</f>
        <v>63</v>
      </c>
      <c r="Z176" s="41">
        <f>IFERROR(IF(Y176=0,"",ROUNDUP(Y176/H176,0)*0.00902),"")</f>
        <v>0.16236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63.25714285714286</v>
      </c>
      <c r="BN176" s="78">
        <f t="shared" ref="BN176:BN186" si="23">IFERROR(Y176*I176/H176,"0")</f>
        <v>66.42</v>
      </c>
      <c r="BO176" s="78">
        <f t="shared" ref="BO176:BO186" si="24">IFERROR(1/J176*(X176/H176),"0")</f>
        <v>0.12987012987012986</v>
      </c>
      <c r="BP176" s="78">
        <f t="shared" ref="BP176:BP186" si="25">IFERROR(1/J176*(Y176/H176),"0")</f>
        <v>0.13636363636363635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21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107.57142857142857</v>
      </c>
      <c r="BN177" s="78">
        <f t="shared" si="23"/>
        <v>109.18500000000002</v>
      </c>
      <c r="BO177" s="78">
        <f t="shared" si="24"/>
        <v>0.21645021645021648</v>
      </c>
      <c r="BP177" s="78">
        <f t="shared" si="25"/>
        <v>0.2196969696969697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21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105.42857142857143</v>
      </c>
      <c r="BN178" s="78">
        <f t="shared" si="23"/>
        <v>107.00999999999999</v>
      </c>
      <c r="BO178" s="78">
        <f t="shared" si="24"/>
        <v>0.21645021645021648</v>
      </c>
      <c r="BP178" s="78">
        <f t="shared" si="25"/>
        <v>0.2196969696969697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60</v>
      </c>
      <c r="Y179" s="55">
        <f t="shared" si="21"/>
        <v>63</v>
      </c>
      <c r="Z179" s="41">
        <f>IFERROR(IF(Y179=0,"",ROUNDUP(Y179/H179,0)*0.00902),"")</f>
        <v>0.16236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63.25714285714286</v>
      </c>
      <c r="BN179" s="78">
        <f t="shared" si="23"/>
        <v>66.42</v>
      </c>
      <c r="BO179" s="78">
        <f t="shared" si="24"/>
        <v>0.12987012987012986</v>
      </c>
      <c r="BP179" s="78">
        <f t="shared" si="25"/>
        <v>0.13636363636363635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91.428571428571431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94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0.84788000000000019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320</v>
      </c>
      <c r="Y188" s="43">
        <f>IFERROR(SUM(Y176:Y186),"0")</f>
        <v>329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150</v>
      </c>
      <c r="Y274" s="55">
        <f t="shared" si="43"/>
        <v>151.20000000000002</v>
      </c>
      <c r="Z274" s="41">
        <f>IFERROR(IF(Y274=0,"",ROUNDUP(Y274/H274,0)*0.00902),"")</f>
        <v>0.25256000000000001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155.27777777777777</v>
      </c>
      <c r="BN274" s="78">
        <f t="shared" si="45"/>
        <v>156.52000000000001</v>
      </c>
      <c r="BO274" s="78">
        <f t="shared" si="46"/>
        <v>0.21043771043771042</v>
      </c>
      <c r="BP274" s="78">
        <f t="shared" si="47"/>
        <v>0.21212121212121213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200</v>
      </c>
      <c r="Y275" s="55">
        <f t="shared" si="43"/>
        <v>205.20000000000002</v>
      </c>
      <c r="Z275" s="41">
        <f>IFERROR(IF(Y275=0,"",ROUNDUP(Y275/H275,0)*0.00902),"")</f>
        <v>0.34276000000000001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207.03703703703701</v>
      </c>
      <c r="BN275" s="78">
        <f t="shared" si="45"/>
        <v>212.42</v>
      </c>
      <c r="BO275" s="78">
        <f t="shared" si="46"/>
        <v>0.28058361391694725</v>
      </c>
      <c r="BP275" s="78">
        <f t="shared" si="47"/>
        <v>0.2878787878787879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64.81481481481481</v>
      </c>
      <c r="Y280" s="43">
        <f>IFERROR(Y272/H272,"0")+IFERROR(Y273/H273,"0")+IFERROR(Y274/H274,"0")+IFERROR(Y275/H275,"0")+IFERROR(Y276/H276,"0")+IFERROR(Y277/H277,"0")+IFERROR(Y278/H278,"0")+IFERROR(Y279/H279,"0")</f>
        <v>66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0.59532000000000007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350</v>
      </c>
      <c r="Y281" s="43">
        <f>IFERROR(SUM(Y272:Y279),"0")</f>
        <v>356.40000000000003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40</v>
      </c>
      <c r="Y332" s="55">
        <f t="shared" si="58"/>
        <v>40</v>
      </c>
      <c r="Z332" s="41">
        <f>IFERROR(IF(Y332=0,"",ROUNDUP(Y332/H332,0)*0.00902),"")</f>
        <v>9.0200000000000002E-2</v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41.900000000000006</v>
      </c>
      <c r="BN332" s="78">
        <f t="shared" si="60"/>
        <v>41.900000000000006</v>
      </c>
      <c r="BO332" s="78">
        <f t="shared" si="61"/>
        <v>7.575757575757576E-2</v>
      </c>
      <c r="BP332" s="78">
        <f t="shared" si="62"/>
        <v>7.575757575757576E-2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10</v>
      </c>
      <c r="Y334" s="43">
        <f>IFERROR(Y328/H328,"0")+IFERROR(Y329/H329,"0")+IFERROR(Y330/H330,"0")+IFERROR(Y331/H331,"0")+IFERROR(Y332/H332,"0")+IFERROR(Y333/H333,"0")</f>
        <v>10</v>
      </c>
      <c r="Z334" s="43">
        <f>IFERROR(IF(Z328="",0,Z328),"0")+IFERROR(IF(Z329="",0,Z329),"0")+IFERROR(IF(Z330="",0,Z330),"0")+IFERROR(IF(Z331="",0,Z331),"0")+IFERROR(IF(Z332="",0,Z332),"0")+IFERROR(IF(Z333="",0,Z333),"0")</f>
        <v>9.0200000000000002E-2</v>
      </c>
      <c r="AA334" s="67"/>
      <c r="AB334" s="67"/>
      <c r="AC334" s="67"/>
    </row>
    <row r="335" spans="1:68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40</v>
      </c>
      <c r="Y335" s="43">
        <f>IFERROR(SUM(Y328:Y333),"0")</f>
        <v>40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36</v>
      </c>
      <c r="Y353" s="55">
        <f>IFERROR(IF(X353="",0,CEILING((X353/$H353),1)*$H353),"")</f>
        <v>36</v>
      </c>
      <c r="Z353" s="41">
        <f>IFERROR(IF(Y353=0,"",ROUNDUP(Y353/H353,0)*0.00902),"")</f>
        <v>9.0200000000000002E-2</v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37.9</v>
      </c>
      <c r="BN353" s="78">
        <f>IFERROR(Y353*I353/H353,"0")</f>
        <v>37.9</v>
      </c>
      <c r="BO353" s="78">
        <f>IFERROR(1/J353*(X353/H353),"0")</f>
        <v>7.575757575757576E-2</v>
      </c>
      <c r="BP353" s="78">
        <f>IFERROR(1/J353*(Y353/H353),"0")</f>
        <v>7.575757575757576E-2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10</v>
      </c>
      <c r="Y355" s="43">
        <f>IFERROR(Y353/H353,"0")+IFERROR(Y354/H354,"0")</f>
        <v>10</v>
      </c>
      <c r="Z355" s="43">
        <f>IFERROR(IF(Z353="",0,Z353),"0")+IFERROR(IF(Z354="",0,Z354),"0")</f>
        <v>9.0200000000000002E-2</v>
      </c>
      <c r="AA355" s="67"/>
      <c r="AB355" s="67"/>
      <c r="AC355" s="67"/>
    </row>
    <row r="356" spans="1:68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36</v>
      </c>
      <c r="Y356" s="43">
        <f>IFERROR(SUM(Y353:Y354),"0")</f>
        <v>36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40</v>
      </c>
      <c r="Y360" s="55">
        <f>IFERROR(IF(X360="",0,CEILING((X360/$H360),1)*$H360),"")</f>
        <v>46.8</v>
      </c>
      <c r="Z360" s="41">
        <f>IFERROR(IF(Y360=0,"",ROUNDUP(Y360/H360,0)*0.01898),"")</f>
        <v>0.11388000000000001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42.102564102564109</v>
      </c>
      <c r="BN360" s="78">
        <f>IFERROR(Y360*I360/H360,"0")</f>
        <v>49.260000000000005</v>
      </c>
      <c r="BO360" s="78">
        <f>IFERROR(1/J360*(X360/H360),"0")</f>
        <v>8.0128205128205135E-2</v>
      </c>
      <c r="BP360" s="78">
        <f>IFERROR(1/J360*(Y360/H360),"0")</f>
        <v>9.375E-2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5.1282051282051286</v>
      </c>
      <c r="Y362" s="43">
        <f>IFERROR(Y359/H359,"0")+IFERROR(Y360/H360,"0")+IFERROR(Y361/H361,"0")</f>
        <v>6</v>
      </c>
      <c r="Z362" s="43">
        <f>IFERROR(IF(Z359="",0,Z359),"0")+IFERROR(IF(Z360="",0,Z360),"0")+IFERROR(IF(Z361="",0,Z361),"0")</f>
        <v>0.11388000000000001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40</v>
      </c>
      <c r="Y363" s="43">
        <f>IFERROR(SUM(Y359:Y361),"0")</f>
        <v>46.8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2000</v>
      </c>
      <c r="Y367" s="55">
        <f t="shared" si="63"/>
        <v>2008.8000000000002</v>
      </c>
      <c r="Z367" s="41">
        <f>IFERROR(IF(Y367=0,"",ROUNDUP(Y367/H367,0)*0.01898),"")</f>
        <v>3.5302799999999999</v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2075.9259259259256</v>
      </c>
      <c r="BN367" s="78">
        <f t="shared" si="65"/>
        <v>2085.0600000000004</v>
      </c>
      <c r="BO367" s="78">
        <f t="shared" si="66"/>
        <v>2.8935185185185182</v>
      </c>
      <c r="BP367" s="78">
        <f t="shared" si="67"/>
        <v>2.90625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63"/>
        <v>205.20000000000002</v>
      </c>
      <c r="Z368" s="41">
        <f>IFERROR(IF(Y368=0,"",ROUNDUP(Y368/H368,0)*0.01898),"")</f>
        <v>0.36062</v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207.59259259259258</v>
      </c>
      <c r="BN368" s="78">
        <f t="shared" si="65"/>
        <v>212.99</v>
      </c>
      <c r="BO368" s="78">
        <f t="shared" si="66"/>
        <v>0.28935185185185186</v>
      </c>
      <c r="BP368" s="78">
        <f t="shared" si="67"/>
        <v>0.296875</v>
      </c>
    </row>
    <row r="369" spans="1:68" ht="37.5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200</v>
      </c>
      <c r="Y369" s="55">
        <f t="shared" si="63"/>
        <v>205.20000000000002</v>
      </c>
      <c r="Z369" s="41">
        <f>IFERROR(IF(Y369=0,"",ROUNDUP(Y369/H369,0)*0.01898),"")</f>
        <v>0.36062</v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207.59259259259258</v>
      </c>
      <c r="BN369" s="78">
        <f t="shared" si="65"/>
        <v>212.99</v>
      </c>
      <c r="BO369" s="78">
        <f t="shared" si="66"/>
        <v>0.28935185185185186</v>
      </c>
      <c r="BP369" s="78">
        <f t="shared" si="67"/>
        <v>0.296875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222.22222222222223</v>
      </c>
      <c r="Y373" s="43">
        <f>IFERROR(Y366/H366,"0")+IFERROR(Y367/H367,"0")+IFERROR(Y368/H368,"0")+IFERROR(Y369/H369,"0")+IFERROR(Y370/H370,"0")+IFERROR(Y371/H371,"0")+IFERROR(Y372/H372,"0")</f>
        <v>224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4.2515200000000002</v>
      </c>
      <c r="AA373" s="67"/>
      <c r="AB373" s="67"/>
      <c r="AC373" s="67"/>
    </row>
    <row r="374" spans="1:68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2400</v>
      </c>
      <c r="Y374" s="43">
        <f>IFERROR(SUM(Y366:Y372),"0")</f>
        <v>2419.1999999999998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500</v>
      </c>
      <c r="Y376" s="55">
        <f t="shared" ref="Y376:Y382" si="68">IFERROR(IF(X376="",0,CEILING((X376/$H376),1)*$H376),"")</f>
        <v>504</v>
      </c>
      <c r="Z376" s="41">
        <f>IFERROR(IF(Y376=0,"",ROUNDUP(Y376/H376,0)*0.00902),"")</f>
        <v>1.0824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529.7619047619047</v>
      </c>
      <c r="BN376" s="78">
        <f t="shared" ref="BN376:BN382" si="70">IFERROR(Y376*I376/H376,"0")</f>
        <v>534</v>
      </c>
      <c r="BO376" s="78">
        <f t="shared" ref="BO376:BO382" si="71">IFERROR(1/J376*(X376/H376),"0")</f>
        <v>0.90187590187590183</v>
      </c>
      <c r="BP376" s="78">
        <f t="shared" ref="BP376:BP382" si="72">IFERROR(1/J376*(Y376/H376),"0")</f>
        <v>0.90909090909090917</v>
      </c>
    </row>
    <row r="377" spans="1:68" ht="27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300</v>
      </c>
      <c r="Y377" s="55">
        <f t="shared" si="68"/>
        <v>302.40000000000003</v>
      </c>
      <c r="Z377" s="41">
        <f>IFERROR(IF(Y377=0,"",ROUNDUP(Y377/H377,0)*0.00902),"")</f>
        <v>0.64944000000000002</v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317.85714285714283</v>
      </c>
      <c r="BN377" s="78">
        <f t="shared" si="70"/>
        <v>320.40000000000003</v>
      </c>
      <c r="BO377" s="78">
        <f t="shared" si="71"/>
        <v>0.54112554112554112</v>
      </c>
      <c r="BP377" s="78">
        <f t="shared" si="72"/>
        <v>0.54545454545454541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190.47619047619048</v>
      </c>
      <c r="Y383" s="43">
        <f>IFERROR(Y376/H376,"0")+IFERROR(Y377/H377,"0")+IFERROR(Y378/H378,"0")+IFERROR(Y379/H379,"0")+IFERROR(Y380/H380,"0")+IFERROR(Y381/H381,"0")+IFERROR(Y382/H382,"0")</f>
        <v>192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1.73184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800</v>
      </c>
      <c r="Y384" s="43">
        <f>IFERROR(SUM(Y376:Y382),"0")</f>
        <v>806.40000000000009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1000</v>
      </c>
      <c r="Y386" s="55">
        <f>IFERROR(IF(X386="",0,CEILING((X386/$H386),1)*$H386),"")</f>
        <v>1006.1999999999999</v>
      </c>
      <c r="Z386" s="41">
        <f>IFERROR(IF(Y386=0,"",ROUNDUP(Y386/H386,0)*0.01898),"")</f>
        <v>2.44842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1062.5641025641025</v>
      </c>
      <c r="BN386" s="78">
        <f>IFERROR(Y386*I386/H386,"0")</f>
        <v>1069.152</v>
      </c>
      <c r="BO386" s="78">
        <f>IFERROR(1/J386*(X386/H386),"0")</f>
        <v>2.0032051282051282</v>
      </c>
      <c r="BP386" s="78">
        <f>IFERROR(1/J386*(Y386/H386),"0")</f>
        <v>2.015625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128.2051282051282</v>
      </c>
      <c r="Y390" s="43">
        <f>IFERROR(Y386/H386,"0")+IFERROR(Y387/H387,"0")+IFERROR(Y388/H388,"0")+IFERROR(Y389/H389,"0")</f>
        <v>129</v>
      </c>
      <c r="Z390" s="43">
        <f>IFERROR(IF(Z386="",0,Z386),"0")+IFERROR(IF(Z387="",0,Z387),"0")+IFERROR(IF(Z388="",0,Z388),"0")+IFERROR(IF(Z389="",0,Z389),"0")</f>
        <v>2.44842</v>
      </c>
      <c r="AA390" s="67"/>
      <c r="AB390" s="67"/>
      <c r="AC390" s="67"/>
    </row>
    <row r="391" spans="1:68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1000</v>
      </c>
      <c r="Y391" s="43">
        <f>IFERROR(SUM(Y386:Y389),"0")</f>
        <v>1006.1999999999999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500</v>
      </c>
      <c r="Y394" s="55">
        <f>IFERROR(IF(X394="",0,CEILING((X394/$H394),1)*$H394),"")</f>
        <v>507</v>
      </c>
      <c r="Z394" s="41">
        <f>IFERROR(IF(Y394=0,"",ROUNDUP(Y394/H394,0)*0.01898),"")</f>
        <v>1.2337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531.66666666666663</v>
      </c>
      <c r="BN394" s="78">
        <f>IFERROR(Y394*I394/H394,"0")</f>
        <v>539.11</v>
      </c>
      <c r="BO394" s="78">
        <f>IFERROR(1/J394*(X394/H394),"0")</f>
        <v>1.0016025641025641</v>
      </c>
      <c r="BP394" s="78">
        <f>IFERROR(1/J394*(Y394/H394),"0")</f>
        <v>1.015625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150</v>
      </c>
      <c r="Y395" s="55">
        <f>IFERROR(IF(X395="",0,CEILING((X395/$H395),1)*$H395),"")</f>
        <v>151.20000000000002</v>
      </c>
      <c r="Z395" s="41">
        <f>IFERROR(IF(Y395=0,"",ROUNDUP(Y395/H395,0)*0.01898),"")</f>
        <v>0.34164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158.82142857142856</v>
      </c>
      <c r="BN395" s="78">
        <f>IFERROR(Y395*I395/H395,"0")</f>
        <v>160.09200000000001</v>
      </c>
      <c r="BO395" s="78">
        <f>IFERROR(1/J395*(X395/H395),"0")</f>
        <v>0.27901785714285715</v>
      </c>
      <c r="BP395" s="78">
        <f>IFERROR(1/J395*(Y395/H395),"0")</f>
        <v>0.28125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81.959706959706963</v>
      </c>
      <c r="Y396" s="43">
        <f>IFERROR(Y393/H393,"0")+IFERROR(Y394/H394,"0")+IFERROR(Y395/H395,"0")</f>
        <v>83</v>
      </c>
      <c r="Z396" s="43">
        <f>IFERROR(IF(Z393="",0,Z393),"0")+IFERROR(IF(Z394="",0,Z394),"0")+IFERROR(IF(Z395="",0,Z395),"0")</f>
        <v>1.57534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650</v>
      </c>
      <c r="Y397" s="43">
        <f>IFERROR(SUM(Y393:Y395),"0")</f>
        <v>658.2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400</v>
      </c>
      <c r="Y425" s="55">
        <f>IFERROR(IF(X425="",0,CEILING((X425/$H425),1)*$H425),"")</f>
        <v>405</v>
      </c>
      <c r="Z425" s="41">
        <f>IFERROR(IF(Y425=0,"",ROUNDUP(Y425/H425,0)*0.01898),"")</f>
        <v>0.94900000000000007</v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424.39506172839509</v>
      </c>
      <c r="BN425" s="78">
        <f>IFERROR(Y425*I425/H425,"0")</f>
        <v>429.7</v>
      </c>
      <c r="BO425" s="78">
        <f>IFERROR(1/J425*(X425/H425),"0")</f>
        <v>0.77160493827160492</v>
      </c>
      <c r="BP425" s="78">
        <f>IFERROR(1/J425*(Y425/H425),"0")</f>
        <v>0.78125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140</v>
      </c>
      <c r="Y426" s="55">
        <f>IFERROR(IF(X426="",0,CEILING((X426/$H426),1)*$H426),"")</f>
        <v>140.70000000000002</v>
      </c>
      <c r="Z426" s="41">
        <f>IFERROR(IF(Y426=0,"",ROUNDUP(Y426/H426,0)*0.00651),"")</f>
        <v>0.43617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156.79999999999998</v>
      </c>
      <c r="BN426" s="78">
        <f>IFERROR(Y426*I426/H426,"0")</f>
        <v>157.584</v>
      </c>
      <c r="BO426" s="78">
        <f>IFERROR(1/J426*(X426/H426),"0")</f>
        <v>0.36630036630036628</v>
      </c>
      <c r="BP426" s="78">
        <f>IFERROR(1/J426*(Y426/H426),"0")</f>
        <v>0.36813186813186816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70</v>
      </c>
      <c r="Y427" s="55">
        <f>IFERROR(IF(X427="",0,CEILING((X427/$H427),1)*$H427),"")</f>
        <v>71.400000000000006</v>
      </c>
      <c r="Z427" s="41">
        <f>IFERROR(IF(Y427=0,"",ROUNDUP(Y427/H427,0)*0.00651),"")</f>
        <v>0.22134000000000001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77.999999999999986</v>
      </c>
      <c r="BN427" s="78">
        <f>IFERROR(Y427*I427/H427,"0")</f>
        <v>79.559999999999988</v>
      </c>
      <c r="BO427" s="78">
        <f>IFERROR(1/J427*(X427/H427),"0")</f>
        <v>0.18315018315018314</v>
      </c>
      <c r="BP427" s="78">
        <f>IFERROR(1/J427*(Y427/H427),"0")</f>
        <v>0.18681318681318682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149.38271604938268</v>
      </c>
      <c r="Y428" s="43">
        <f>IFERROR(Y425/H425,"0")+IFERROR(Y426/H426,"0")+IFERROR(Y427/H427,"0")</f>
        <v>151</v>
      </c>
      <c r="Z428" s="43">
        <f>IFERROR(IF(Z425="",0,Z425),"0")+IFERROR(IF(Z426="",0,Z426),"0")+IFERROR(IF(Z427="",0,Z427),"0")</f>
        <v>1.6065100000000001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610</v>
      </c>
      <c r="Y429" s="43">
        <f>IFERROR(SUM(Y425:Y427),"0")</f>
        <v>617.1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2500</v>
      </c>
      <c r="Y435" s="55">
        <f t="shared" si="73"/>
        <v>2505</v>
      </c>
      <c r="Z435" s="41">
        <f>IFERROR(IF(Y435=0,"",ROUNDUP(Y435/H435,0)*0.02175),"")</f>
        <v>3.6322499999999995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2578.3333333333335</v>
      </c>
      <c r="BN435" s="78">
        <f t="shared" si="75"/>
        <v>2583.4899999999998</v>
      </c>
      <c r="BO435" s="78">
        <f t="shared" si="76"/>
        <v>3.4722222222222219</v>
      </c>
      <c r="BP435" s="78">
        <f t="shared" si="77"/>
        <v>3.4791666666666665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166.66666666666666</v>
      </c>
      <c r="Y441" s="43">
        <f>IFERROR(Y433/H433,"0")+IFERROR(Y434/H434,"0")+IFERROR(Y435/H435,"0")+IFERROR(Y436/H436,"0")+IFERROR(Y437/H437,"0")+IFERROR(Y438/H438,"0")+IFERROR(Y439/H439,"0")+IFERROR(Y440/H440,"0")</f>
        <v>167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3.6322499999999995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2500</v>
      </c>
      <c r="Y442" s="43">
        <f>IFERROR(SUM(Y433:Y440),"0")</f>
        <v>2505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hidden="1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80</v>
      </c>
      <c r="Y446" s="55">
        <f>IFERROR(IF(X446="",0,CEILING((X446/$H446),1)*$H446),"")</f>
        <v>80</v>
      </c>
      <c r="Z446" s="41">
        <f>IFERROR(IF(Y446=0,"",ROUNDUP(Y446/H446,0)*0.00902),"")</f>
        <v>0.1804</v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83.800000000000011</v>
      </c>
      <c r="BN446" s="78">
        <f>IFERROR(Y446*I446/H446,"0")</f>
        <v>83.800000000000011</v>
      </c>
      <c r="BO446" s="78">
        <f>IFERROR(1/J446*(X446/H446),"0")</f>
        <v>0.15151515151515152</v>
      </c>
      <c r="BP446" s="78">
        <f>IFERROR(1/J446*(Y446/H446),"0")</f>
        <v>0.15151515151515152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20</v>
      </c>
      <c r="Y447" s="43">
        <f>IFERROR(Y444/H444,"0")+IFERROR(Y445/H445,"0")+IFERROR(Y446/H446,"0")</f>
        <v>20</v>
      </c>
      <c r="Z447" s="43">
        <f>IFERROR(IF(Z444="",0,Z444),"0")+IFERROR(IF(Z445="",0,Z445),"0")+IFERROR(IF(Z446="",0,Z446),"0")</f>
        <v>0.1804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80</v>
      </c>
      <c r="Y448" s="43">
        <f>IFERROR(SUM(Y444:Y446),"0")</f>
        <v>80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400</v>
      </c>
      <c r="Y450" s="55">
        <f>IFERROR(IF(X450="",0,CEILING((X450/$H450),1)*$H450),"")</f>
        <v>405</v>
      </c>
      <c r="Z450" s="41">
        <f>IFERROR(IF(Y450=0,"",ROUNDUP(Y450/H450,0)*0.01898),"")</f>
        <v>0.85409999999999997</v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422.22222222222223</v>
      </c>
      <c r="BN450" s="78">
        <f>IFERROR(Y450*I450/H450,"0")</f>
        <v>427.5</v>
      </c>
      <c r="BO450" s="78">
        <f>IFERROR(1/J450*(X450/H450),"0")</f>
        <v>0.69444444444444442</v>
      </c>
      <c r="BP450" s="78">
        <f>IFERROR(1/J450*(Y450/H450),"0")</f>
        <v>0.703125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40</v>
      </c>
      <c r="Y451" s="55">
        <f>IFERROR(IF(X451="",0,CEILING((X451/$H451),1)*$H451),"")</f>
        <v>45</v>
      </c>
      <c r="Z451" s="41">
        <f>IFERROR(IF(Y451=0,"",ROUNDUP(Y451/H451,0)*0.01898),"")</f>
        <v>9.4899999999999998E-2</v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42.195555555555558</v>
      </c>
      <c r="BN451" s="78">
        <f>IFERROR(Y451*I451/H451,"0")</f>
        <v>47.47</v>
      </c>
      <c r="BO451" s="78">
        <f>IFERROR(1/J451*(X451/H451),"0")</f>
        <v>6.9444444444444448E-2</v>
      </c>
      <c r="BP451" s="78">
        <f>IFERROR(1/J451*(Y451/H451),"0")</f>
        <v>7.8125E-2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48.888888888888886</v>
      </c>
      <c r="Y453" s="43">
        <f>IFERROR(Y450/H450,"0")+IFERROR(Y451/H451,"0")+IFERROR(Y452/H452,"0")</f>
        <v>50</v>
      </c>
      <c r="Z453" s="43">
        <f>IFERROR(IF(Z450="",0,Z450),"0")+IFERROR(IF(Z451="",0,Z451),"0")+IFERROR(IF(Z452="",0,Z452),"0")</f>
        <v>0.94899999999999995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440</v>
      </c>
      <c r="Y454" s="43">
        <f>IFERROR(SUM(Y450:Y452),"0")</f>
        <v>450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40</v>
      </c>
      <c r="Y471" s="55">
        <f>IFERROR(IF(X471="",0,CEILING((X471/$H471),1)*$H471),"")</f>
        <v>45</v>
      </c>
      <c r="Z471" s="41">
        <f>IFERROR(IF(Y471=0,"",ROUNDUP(Y471/H471,0)*0.01898),"")</f>
        <v>9.4899999999999998E-2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42.195555555555558</v>
      </c>
      <c r="BN471" s="78">
        <f>IFERROR(Y471*I471/H471,"0")</f>
        <v>47.47</v>
      </c>
      <c r="BO471" s="78">
        <f>IFERROR(1/J471*(X471/H471),"0")</f>
        <v>6.9444444444444448E-2</v>
      </c>
      <c r="BP471" s="78">
        <f>IFERROR(1/J471*(Y471/H471),"0")</f>
        <v>7.8125E-2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4.4444444444444446</v>
      </c>
      <c r="Y474" s="43">
        <f>IFERROR(Y471/H471,"0")+IFERROR(Y472/H472,"0")+IFERROR(Y473/H473,"0")</f>
        <v>5</v>
      </c>
      <c r="Z474" s="43">
        <f>IFERROR(IF(Z471="",0,Z471),"0")+IFERROR(IF(Z472="",0,Z472),"0")+IFERROR(IF(Z473="",0,Z473),"0")</f>
        <v>9.4899999999999998E-2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40</v>
      </c>
      <c r="Y475" s="43">
        <f>IFERROR(SUM(Y471:Y473),"0")</f>
        <v>45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60</v>
      </c>
      <c r="Y479" s="55">
        <f t="shared" ref="Y479:Y484" si="78">IFERROR(IF(X479="",0,CEILING((X479/$H479),1)*$H479),"")</f>
        <v>64.800000000000011</v>
      </c>
      <c r="Z479" s="41">
        <f>IFERROR(IF(Y479=0,"",ROUNDUP(Y479/H479,0)*0.00902),"")</f>
        <v>0.10824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62.1111111111111</v>
      </c>
      <c r="BN479" s="78">
        <f t="shared" ref="BN479:BN484" si="80">IFERROR(Y479*I479/H479,"0")</f>
        <v>67.08</v>
      </c>
      <c r="BO479" s="78">
        <f t="shared" ref="BO479:BO484" si="81">IFERROR(1/J479*(X479/H479),"0")</f>
        <v>8.4175084175084181E-2</v>
      </c>
      <c r="BP479" s="78">
        <f t="shared" ref="BP479:BP484" si="82">IFERROR(1/J479*(Y479/H479),"0")</f>
        <v>9.0909090909090925E-2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11.111111111111111</v>
      </c>
      <c r="Y485" s="43">
        <f>IFERROR(Y479/H479,"0")+IFERROR(Y480/H480,"0")+IFERROR(Y481/H481,"0")+IFERROR(Y482/H482,"0")+IFERROR(Y483/H483,"0")+IFERROR(Y484/H484,"0")</f>
        <v>12.000000000000002</v>
      </c>
      <c r="Z485" s="43">
        <f>IFERROR(IF(Z479="",0,Z479),"0")+IFERROR(IF(Z480="",0,Z480),"0")+IFERROR(IF(Z481="",0,Z481),"0")+IFERROR(IF(Z482="",0,Z482),"0")+IFERROR(IF(Z483="",0,Z483),"0")+IFERROR(IF(Z484="",0,Z484),"0")</f>
        <v>0.10824</v>
      </c>
      <c r="AA485" s="67"/>
      <c r="AB485" s="67"/>
      <c r="AC485" s="67"/>
    </row>
    <row r="486" spans="1:68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60</v>
      </c>
      <c r="Y486" s="43">
        <f>IFERROR(SUM(Y479:Y484),"0")</f>
        <v>64.800000000000011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hidden="1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950</v>
      </c>
      <c r="Y518" s="55">
        <f>IFERROR(IF(X518="",0,CEILING((X518/$H518),1)*$H518),"")</f>
        <v>950.40000000000009</v>
      </c>
      <c r="Z518" s="41">
        <f>IFERROR(IF(Y518=0,"",ROUNDUP(Y518/H518,0)*0.01196),"")</f>
        <v>2.1528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1012.9734848484848</v>
      </c>
      <c r="BN518" s="78">
        <f>IFERROR(Y518*I518/H518,"0")</f>
        <v>1013.4</v>
      </c>
      <c r="BO518" s="78">
        <f>IFERROR(1/J518*(X518/H518),"0")</f>
        <v>1.7300407925407926</v>
      </c>
      <c r="BP518" s="78">
        <f>IFERROR(1/J518*(Y518/H518),"0")</f>
        <v>1.7307692307692308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179.92424242424241</v>
      </c>
      <c r="Y521" s="43">
        <f>IFERROR(Y518/H518,"0")+IFERROR(Y519/H519,"0")+IFERROR(Y520/H520,"0")</f>
        <v>180</v>
      </c>
      <c r="Z521" s="43">
        <f>IFERROR(IF(Z518="",0,Z518),"0")+IFERROR(IF(Z519="",0,Z519),"0")+IFERROR(IF(Z520="",0,Z520),"0")</f>
        <v>2.1528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950</v>
      </c>
      <c r="Y522" s="43">
        <f>IFERROR(SUM(Y518:Y520),"0")</f>
        <v>950.40000000000009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200</v>
      </c>
      <c r="Y524" s="55">
        <f t="shared" ref="Y524:Y530" si="89">IFERROR(IF(X524="",0,CEILING((X524/$H524),1)*$H524),"")</f>
        <v>200.64000000000001</v>
      </c>
      <c r="Z524" s="41">
        <f>IFERROR(IF(Y524=0,"",ROUNDUP(Y524/H524,0)*0.01196),"")</f>
        <v>0.45448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213.25757575757575</v>
      </c>
      <c r="BN524" s="78">
        <f t="shared" ref="BN524:BN530" si="91">IFERROR(Y524*I524/H524,"0")</f>
        <v>213.94</v>
      </c>
      <c r="BO524" s="78">
        <f t="shared" ref="BO524:BO530" si="92">IFERROR(1/J524*(X524/H524),"0")</f>
        <v>0.36421911421911418</v>
      </c>
      <c r="BP524" s="78">
        <f t="shared" ref="BP524:BP530" si="93">IFERROR(1/J524*(Y524/H524),"0")</f>
        <v>0.36538461538461542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300</v>
      </c>
      <c r="Y525" s="55">
        <f t="shared" si="89"/>
        <v>300.96000000000004</v>
      </c>
      <c r="Z525" s="41">
        <f>IFERROR(IF(Y525=0,"",ROUNDUP(Y525/H525,0)*0.01196),"")</f>
        <v>0.68171999999999999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319.88636363636363</v>
      </c>
      <c r="BN525" s="78">
        <f t="shared" si="91"/>
        <v>320.91000000000003</v>
      </c>
      <c r="BO525" s="78">
        <f t="shared" si="92"/>
        <v>0.54632867132867136</v>
      </c>
      <c r="BP525" s="78">
        <f t="shared" si="93"/>
        <v>0.54807692307692313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300</v>
      </c>
      <c r="Y526" s="55">
        <f t="shared" si="89"/>
        <v>300.96000000000004</v>
      </c>
      <c r="Z526" s="41">
        <f>IFERROR(IF(Y526=0,"",ROUNDUP(Y526/H526,0)*0.01196),"")</f>
        <v>0.68171999999999999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319.88636363636363</v>
      </c>
      <c r="BN526" s="78">
        <f t="shared" si="91"/>
        <v>320.91000000000003</v>
      </c>
      <c r="BO526" s="78">
        <f t="shared" si="92"/>
        <v>0.54632867132867136</v>
      </c>
      <c r="BP526" s="78">
        <f t="shared" si="93"/>
        <v>0.54807692307692313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151.5151515151515</v>
      </c>
      <c r="Y531" s="43">
        <f>IFERROR(Y524/H524,"0")+IFERROR(Y525/H525,"0")+IFERROR(Y526/H526,"0")+IFERROR(Y527/H527,"0")+IFERROR(Y528/H528,"0")+IFERROR(Y529/H529,"0")+IFERROR(Y530/H530,"0")</f>
        <v>152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1.81792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800</v>
      </c>
      <c r="Y532" s="43">
        <f>IFERROR(SUM(Y524:Y530),"0")</f>
        <v>802.56000000000006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1800</v>
      </c>
      <c r="Y544" s="55">
        <f>IFERROR(IF(X544="",0,CEILING((X544/$H544),1)*$H544),"")</f>
        <v>1801.8000000000002</v>
      </c>
      <c r="Z544" s="41">
        <f>IFERROR(IF(Y544=0,"",ROUNDUP(Y544/H544,0)*0.00902),"")</f>
        <v>3.86958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1907.1428571428571</v>
      </c>
      <c r="BN544" s="78">
        <f>IFERROR(Y544*I544/H544,"0")</f>
        <v>1909.0500000000002</v>
      </c>
      <c r="BO544" s="78">
        <f>IFERROR(1/J544*(X544/H544),"0")</f>
        <v>3.2467532467532467</v>
      </c>
      <c r="BP544" s="78">
        <f>IFERROR(1/J544*(Y544/H544),"0")</f>
        <v>3.25</v>
      </c>
    </row>
    <row r="545" spans="1:68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428.57142857142856</v>
      </c>
      <c r="Y545" s="43">
        <f>IFERROR(Y544/H544,"0")</f>
        <v>429</v>
      </c>
      <c r="Z545" s="43">
        <f>IFERROR(IF(Z544="",0,Z544),"0")</f>
        <v>3.86958</v>
      </c>
      <c r="AA545" s="67"/>
      <c r="AB545" s="67"/>
      <c r="AC545" s="67"/>
    </row>
    <row r="546" spans="1:68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1800</v>
      </c>
      <c r="Y546" s="43">
        <f>IFERROR(SUM(Y544:Y544),"0")</f>
        <v>1801.8000000000002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18026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18150.86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18899.557950136288</v>
      </c>
      <c r="Y562" s="43">
        <f>IFERROR(SUM(BN22:BN558),"0")</f>
        <v>19030.532999999999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30</v>
      </c>
      <c r="Y563" s="44">
        <f>ROUNDUP(SUM(BP22:BP558),0)</f>
        <v>31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19649.557950136288</v>
      </c>
      <c r="Y564" s="43">
        <f>GrossWeightTotalR+PalletQtyTotalR*25</f>
        <v>19805.532999999999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2758.0728222394887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2776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35.873919999999998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542.40000000000009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4183.2</v>
      </c>
      <c r="F571" s="52">
        <f>IFERROR(Y87*1,"0")+IFERROR(Y88*1,"0")+IFERROR(Y89*1,"0")+IFERROR(Y90*1,"0")+IFERROR(Y91*1,"0")+IFERROR(Y92*1,"0")+IFERROR(Y96*1,"0")+IFERROR(Y97*1,"0")+IFERROR(Y98*1,"0")+IFERROR(Y99*1,"0")</f>
        <v>410.40000000000003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329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356.40000000000003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40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36</v>
      </c>
      <c r="S571" s="52">
        <f>IFERROR(Y359*1,"0")+IFERROR(Y360*1,"0")+IFERROR(Y361*1,"0")</f>
        <v>46.8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4890</v>
      </c>
      <c r="U571" s="52">
        <f>IFERROR(Y419*1,"0")+IFERROR(Y420*1,"0")</f>
        <v>0</v>
      </c>
      <c r="V571" s="52">
        <f>IFERROR(Y425*1,"0")+IFERROR(Y426*1,"0")+IFERROR(Y427*1,"0")</f>
        <v>617.1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3035</v>
      </c>
      <c r="X571" s="52">
        <f>IFERROR(Y462*1,"0")+IFERROR(Y463*1,"0")+IFERROR(Y467*1,"0")+IFERROR(Y471*1,"0")+IFERROR(Y472*1,"0")+IFERROR(Y473*1,"0")</f>
        <v>45</v>
      </c>
      <c r="Y571" s="52">
        <f>IFERROR(Y479*1,"0")+IFERROR(Y480*1,"0")+IFERROR(Y481*1,"0")+IFERROR(Y482*1,"0")+IFERROR(Y483*1,"0")+IFERROR(Y484*1,"0")+IFERROR(Y488*1,"0")+IFERROR(Y489*1,"0")</f>
        <v>64.800000000000011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1752.9600000000003</v>
      </c>
      <c r="AB571" s="52">
        <f>IFERROR(Y536*1,"0")+IFERROR(Y540*1,"0")+IFERROR(Y544*1,"0")+IFERROR(Y548*1,"0")+IFERROR(Y552*1,"0")+IFERROR(Y553*1,"0")</f>
        <v>1801.8000000000002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600,00"/>
        <filter val="1 800,00"/>
        <filter val="10,00"/>
        <filter val="100,00"/>
        <filter val="11,11"/>
        <filter val="128,21"/>
        <filter val="140,00"/>
        <filter val="149,38"/>
        <filter val="150,00"/>
        <filter val="151,52"/>
        <filter val="164,81"/>
        <filter val="166,67"/>
        <filter val="179,92"/>
        <filter val="18 026,00"/>
        <filter val="18 899,56"/>
        <filter val="19 649,56"/>
        <filter val="190,48"/>
        <filter val="2 000,00"/>
        <filter val="2 400,00"/>
        <filter val="2 500,00"/>
        <filter val="2 758,07"/>
        <filter val="20,00"/>
        <filter val="200,00"/>
        <filter val="222,22"/>
        <filter val="240,00"/>
        <filter val="270,00"/>
        <filter val="3 200,00"/>
        <filter val="30"/>
        <filter val="300,00"/>
        <filter val="320,00"/>
        <filter val="350,00"/>
        <filter val="36,00"/>
        <filter val="37,04"/>
        <filter val="4,44"/>
        <filter val="40,00"/>
        <filter val="400,00"/>
        <filter val="428,57"/>
        <filter val="440,00"/>
        <filter val="48,89"/>
        <filter val="5,13"/>
        <filter val="500,00"/>
        <filter val="503,70"/>
        <filter val="540,00"/>
        <filter val="60,00"/>
        <filter val="610,00"/>
        <filter val="64,81"/>
        <filter val="650,00"/>
        <filter val="70,00"/>
        <filter val="700,00"/>
        <filter val="80,00"/>
        <filter val="800,00"/>
        <filter val="81,96"/>
        <filter val="87,78"/>
        <filter val="91,43"/>
        <filter val="950,00"/>
        <filter val="970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2026-10-06T12:53:39Z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