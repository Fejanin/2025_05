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B59B4F-6BFE-4CE3-8657-B2AADAEA3FB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BN122" i="2"/>
  <c r="Z195" i="2"/>
  <c r="Y30" i="2"/>
  <c r="Z43" i="2"/>
  <c r="Z67" i="2"/>
  <c r="Z90" i="2"/>
  <c r="BN116" i="2"/>
  <c r="Z257" i="2"/>
  <c r="BN256" i="2"/>
  <c r="Z267" i="2"/>
  <c r="BN264" i="2"/>
  <c r="BN118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X285" i="2" l="1"/>
  <c r="Z287" i="2"/>
  <c r="Y286" i="2"/>
  <c r="Y284" i="2"/>
  <c r="Y283" i="2"/>
  <c r="Y282" i="2"/>
  <c r="C295" i="2" l="1"/>
  <c r="Y285" i="2"/>
  <c r="A295" i="2" s="1"/>
  <c r="B295" i="2" l="1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<sst xmlns="http://schemas.openxmlformats.org/spreadsheetml/2006/main" count="1762" uniqueCount="408">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</sst>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5" t="s">
        <v>8</v>
      </c>
      <c r="B5" s="445"/>
      <c r="C5" s="445"/>
      <c r="D5" s="467"/>
      <c r="E5" s="467"/>
      <c r="F5" s="468" t="s">
        <v>14</v>
      </c>
      <c r="G5" s="468"/>
      <c r="H5" s="467" t="s">
        <v>407</v>
      </c>
      <c r="I5" s="467"/>
      <c r="J5" s="467"/>
      <c r="K5" s="467"/>
      <c r="L5" s="467"/>
      <c r="M5" s="467"/>
      <c r="N5" s="72"/>
      <c r="P5" s="26" t="s">
        <v>4</v>
      </c>
      <c r="Q5" s="469">
        <v>46315</v>
      </c>
      <c r="R5" s="469"/>
      <c r="T5" s="470" t="s">
        <v>3</v>
      </c>
      <c r="U5" s="471"/>
      <c r="V5" s="472" t="s">
        <v>393</v>
      </c>
      <c r="W5" s="473"/>
      <c r="AB5" s="57"/>
      <c r="AC5" s="57"/>
      <c r="AD5" s="57"/>
      <c r="AE5" s="57"/>
    </row>
    <row r="6" spans="1:32" s="17" customFormat="1" ht="24" customHeight="1" x14ac:dyDescent="0.2">
      <c r="A6" s="445" t="s">
        <v>1</v>
      </c>
      <c r="B6" s="445"/>
      <c r="C6" s="445"/>
      <c r="D6" s="446" t="s">
        <v>79</v>
      </c>
      <c r="E6" s="446"/>
      <c r="F6" s="446"/>
      <c r="G6" s="446"/>
      <c r="H6" s="446"/>
      <c r="I6" s="446"/>
      <c r="J6" s="446"/>
      <c r="K6" s="446"/>
      <c r="L6" s="446"/>
      <c r="M6" s="446"/>
      <c r="N6" s="73"/>
      <c r="P6" s="26" t="s">
        <v>27</v>
      </c>
      <c r="Q6" s="447" t="str">
        <f>IF(Q5=0," ",CHOOSE(WEEKDAY(Q5,2),"Понедельник","Вторник","Среда","Четверг","Пятница","Суббота","Воскресенье"))</f>
        <v>Вторник</v>
      </c>
      <c r="R6" s="447"/>
      <c r="T6" s="448" t="s">
        <v>5</v>
      </c>
      <c r="U6" s="449"/>
      <c r="V6" s="450" t="s">
        <v>73</v>
      </c>
      <c r="W6" s="45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6" t="str">
        <f>IFERROR(VLOOKUP(DeliveryAddress,Table,3,0),1)</f>
        <v>1</v>
      </c>
      <c r="E7" s="457"/>
      <c r="F7" s="457"/>
      <c r="G7" s="457"/>
      <c r="H7" s="457"/>
      <c r="I7" s="457"/>
      <c r="J7" s="457"/>
      <c r="K7" s="457"/>
      <c r="L7" s="457"/>
      <c r="M7" s="458"/>
      <c r="N7" s="74"/>
      <c r="P7" s="26"/>
      <c r="Q7" s="46"/>
      <c r="R7" s="46"/>
      <c r="T7" s="448"/>
      <c r="U7" s="449"/>
      <c r="V7" s="452"/>
      <c r="W7" s="453"/>
      <c r="AB7" s="57"/>
      <c r="AC7" s="57"/>
      <c r="AD7" s="57"/>
      <c r="AE7" s="57"/>
    </row>
    <row r="8" spans="1:32" s="17" customFormat="1" ht="25.5" customHeight="1" x14ac:dyDescent="0.2">
      <c r="A8" s="459" t="s">
        <v>58</v>
      </c>
      <c r="B8" s="459"/>
      <c r="C8" s="459"/>
      <c r="D8" s="460" t="s">
        <v>80</v>
      </c>
      <c r="E8" s="460"/>
      <c r="F8" s="460"/>
      <c r="G8" s="460"/>
      <c r="H8" s="460"/>
      <c r="I8" s="460"/>
      <c r="J8" s="460"/>
      <c r="K8" s="460"/>
      <c r="L8" s="460"/>
      <c r="M8" s="460"/>
      <c r="N8" s="75"/>
      <c r="P8" s="26" t="s">
        <v>11</v>
      </c>
      <c r="Q8" s="443">
        <v>0.41666666666666669</v>
      </c>
      <c r="R8" s="443"/>
      <c r="T8" s="448"/>
      <c r="U8" s="449"/>
      <c r="V8" s="452"/>
      <c r="W8" s="453"/>
      <c r="AB8" s="57"/>
      <c r="AC8" s="57"/>
      <c r="AD8" s="57"/>
      <c r="AE8" s="57"/>
    </row>
    <row r="9" spans="1:32" s="17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5"/>
      <c r="C9" s="435"/>
      <c r="D9" s="436" t="s">
        <v>46</v>
      </c>
      <c r="E9" s="437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5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0"/>
      <c r="P9" s="29" t="s">
        <v>15</v>
      </c>
      <c r="Q9" s="462"/>
      <c r="R9" s="462"/>
      <c r="T9" s="448"/>
      <c r="U9" s="449"/>
      <c r="V9" s="454"/>
      <c r="W9" s="45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5"/>
      <c r="C10" s="435"/>
      <c r="D10" s="436"/>
      <c r="E10" s="437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5"/>
      <c r="H10" s="438" t="str">
        <f>IFERROR(VLOOKUP($D$10,Proxy,2,FALSE),"")</f>
        <v/>
      </c>
      <c r="I10" s="438"/>
      <c r="J10" s="438"/>
      <c r="K10" s="438"/>
      <c r="L10" s="438"/>
      <c r="M10" s="438"/>
      <c r="N10" s="71"/>
      <c r="P10" s="29" t="s">
        <v>32</v>
      </c>
      <c r="Q10" s="439"/>
      <c r="R10" s="439"/>
      <c r="U10" s="26" t="s">
        <v>12</v>
      </c>
      <c r="V10" s="440" t="s">
        <v>74</v>
      </c>
      <c r="W10" s="44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42"/>
      <c r="R11" s="442"/>
      <c r="U11" s="26" t="s">
        <v>28</v>
      </c>
      <c r="V11" s="421" t="s">
        <v>55</v>
      </c>
      <c r="W11" s="4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20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76"/>
      <c r="P12" s="26" t="s">
        <v>30</v>
      </c>
      <c r="Q12" s="443"/>
      <c r="R12" s="443"/>
      <c r="S12" s="27"/>
      <c r="T12"/>
      <c r="U12" s="26" t="s">
        <v>46</v>
      </c>
      <c r="V12" s="444"/>
      <c r="W12" s="444"/>
      <c r="X12"/>
      <c r="AB12" s="57"/>
      <c r="AC12" s="57"/>
      <c r="AD12" s="57"/>
      <c r="AE12" s="57"/>
    </row>
    <row r="13" spans="1:32" s="17" customFormat="1" ht="23.25" customHeight="1" x14ac:dyDescent="0.2">
      <c r="A13" s="420" t="s">
        <v>76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76"/>
      <c r="O13" s="29"/>
      <c r="P13" s="29" t="s">
        <v>31</v>
      </c>
      <c r="Q13" s="421"/>
      <c r="R13" s="42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20" t="s">
        <v>77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22" t="s">
        <v>78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77"/>
      <c r="O15"/>
      <c r="P15" s="423" t="s">
        <v>61</v>
      </c>
      <c r="Q15" s="423"/>
      <c r="R15" s="423"/>
      <c r="S15" s="423"/>
      <c r="T15" s="42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4"/>
      <c r="Q16" s="424"/>
      <c r="R16" s="424"/>
      <c r="S16" s="424"/>
      <c r="T16" s="4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6" t="s">
        <v>59</v>
      </c>
      <c r="B17" s="406" t="s">
        <v>49</v>
      </c>
      <c r="C17" s="427" t="s">
        <v>48</v>
      </c>
      <c r="D17" s="429" t="s">
        <v>50</v>
      </c>
      <c r="E17" s="430"/>
      <c r="F17" s="406" t="s">
        <v>21</v>
      </c>
      <c r="G17" s="406" t="s">
        <v>24</v>
      </c>
      <c r="H17" s="406" t="s">
        <v>22</v>
      </c>
      <c r="I17" s="406" t="s">
        <v>23</v>
      </c>
      <c r="J17" s="406" t="s">
        <v>16</v>
      </c>
      <c r="K17" s="406" t="s">
        <v>69</v>
      </c>
      <c r="L17" s="406" t="s">
        <v>67</v>
      </c>
      <c r="M17" s="406" t="s">
        <v>2</v>
      </c>
      <c r="N17" s="406" t="s">
        <v>66</v>
      </c>
      <c r="O17" s="406" t="s">
        <v>25</v>
      </c>
      <c r="P17" s="429" t="s">
        <v>17</v>
      </c>
      <c r="Q17" s="433"/>
      <c r="R17" s="433"/>
      <c r="S17" s="433"/>
      <c r="T17" s="430"/>
      <c r="U17" s="425" t="s">
        <v>56</v>
      </c>
      <c r="V17" s="426"/>
      <c r="W17" s="406" t="s">
        <v>6</v>
      </c>
      <c r="X17" s="406" t="s">
        <v>41</v>
      </c>
      <c r="Y17" s="408" t="s">
        <v>54</v>
      </c>
      <c r="Z17" s="410" t="s">
        <v>18</v>
      </c>
      <c r="AA17" s="412" t="s">
        <v>60</v>
      </c>
      <c r="AB17" s="412" t="s">
        <v>19</v>
      </c>
      <c r="AC17" s="412" t="s">
        <v>68</v>
      </c>
      <c r="AD17" s="414" t="s">
        <v>57</v>
      </c>
      <c r="AE17" s="415"/>
      <c r="AF17" s="416"/>
      <c r="AG17" s="80"/>
      <c r="BD17" s="79" t="s">
        <v>64</v>
      </c>
    </row>
    <row r="18" spans="1:68" ht="14.25" customHeight="1" x14ac:dyDescent="0.2">
      <c r="A18" s="407"/>
      <c r="B18" s="407"/>
      <c r="C18" s="428"/>
      <c r="D18" s="431"/>
      <c r="E18" s="432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31"/>
      <c r="Q18" s="434"/>
      <c r="R18" s="434"/>
      <c r="S18" s="434"/>
      <c r="T18" s="432"/>
      <c r="U18" s="81" t="s">
        <v>44</v>
      </c>
      <c r="V18" s="81" t="s">
        <v>43</v>
      </c>
      <c r="W18" s="407"/>
      <c r="X18" s="407"/>
      <c r="Y18" s="409"/>
      <c r="Z18" s="411"/>
      <c r="AA18" s="413"/>
      <c r="AB18" s="413"/>
      <c r="AC18" s="413"/>
      <c r="AD18" s="417"/>
      <c r="AE18" s="418"/>
      <c r="AF18" s="419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08" t="s">
        <v>82</v>
      </c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90">
        <v>4620207491508</v>
      </c>
      <c r="E22" s="290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40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2"/>
      <c r="R22" s="292"/>
      <c r="S22" s="292"/>
      <c r="T22" s="293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90">
        <v>4620207491256</v>
      </c>
      <c r="E23" s="290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40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2"/>
      <c r="R23" s="292"/>
      <c r="S23" s="292"/>
      <c r="T23" s="293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290">
        <v>4620207491713</v>
      </c>
      <c r="E24" s="290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40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2"/>
      <c r="R24" s="292"/>
      <c r="S24" s="292"/>
      <c r="T24" s="293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290">
        <v>4620207491720</v>
      </c>
      <c r="E25" s="290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40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2"/>
      <c r="R25" s="292"/>
      <c r="S25" s="292"/>
      <c r="T25" s="293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290">
        <v>4607111035912</v>
      </c>
      <c r="E26" s="290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2"/>
      <c r="R26" s="292"/>
      <c r="S26" s="292"/>
      <c r="T26" s="293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100</v>
      </c>
      <c r="B27" s="60" t="s">
        <v>101</v>
      </c>
      <c r="C27" s="34">
        <v>4301071109</v>
      </c>
      <c r="D27" s="290">
        <v>4607111035929</v>
      </c>
      <c r="E27" s="290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2"/>
      <c r="R27" s="292"/>
      <c r="S27" s="292"/>
      <c r="T27" s="293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290">
        <v>4607111035882</v>
      </c>
      <c r="E28" s="290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4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2"/>
      <c r="R28" s="292"/>
      <c r="S28" s="292"/>
      <c r="T28" s="293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290">
        <v>4607111035905</v>
      </c>
      <c r="E29" s="290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2"/>
      <c r="R29" s="292"/>
      <c r="S29" s="292"/>
      <c r="T29" s="293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08" t="s">
        <v>82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63"/>
      <c r="AB33" s="63"/>
      <c r="AC33" s="63"/>
    </row>
    <row r="34" spans="1:68" ht="16.5" customHeight="1" x14ac:dyDescent="0.25">
      <c r="A34" s="60" t="s">
        <v>107</v>
      </c>
      <c r="B34" s="60" t="s">
        <v>108</v>
      </c>
      <c r="C34" s="34">
        <v>4301071099</v>
      </c>
      <c r="D34" s="290">
        <v>4607111039019</v>
      </c>
      <c r="E34" s="290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9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2"/>
      <c r="R34" s="292"/>
      <c r="S34" s="292"/>
      <c r="T34" s="293"/>
      <c r="U34" s="37" t="s">
        <v>46</v>
      </c>
      <c r="V34" s="37" t="s">
        <v>46</v>
      </c>
      <c r="W34" s="38" t="s">
        <v>39</v>
      </c>
      <c r="X34" s="56">
        <v>48</v>
      </c>
      <c r="Y34" s="53">
        <f>IFERROR(IF(X34="","",X34),"")</f>
        <v>48</v>
      </c>
      <c r="Z34" s="39">
        <f>IFERROR(IF(X34="","",X34*0.0155),"")</f>
        <v>0.74399999999999999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345.88800000000003</v>
      </c>
      <c r="BN34" s="78">
        <f>IFERROR(Y34*I34,"0")</f>
        <v>345.88800000000003</v>
      </c>
      <c r="BO34" s="78">
        <f>IFERROR(X34/J34,"0")</f>
        <v>0.5714285714285714</v>
      </c>
      <c r="BP34" s="78">
        <f>IFERROR(Y34/J34,"0")</f>
        <v>0.5714285714285714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290">
        <v>4607111038708</v>
      </c>
      <c r="E35" s="290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9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2"/>
      <c r="R35" s="292"/>
      <c r="S35" s="292"/>
      <c r="T35" s="293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x14ac:dyDescent="0.2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8"/>
      <c r="P36" s="294" t="s">
        <v>40</v>
      </c>
      <c r="Q36" s="295"/>
      <c r="R36" s="295"/>
      <c r="S36" s="295"/>
      <c r="T36" s="295"/>
      <c r="U36" s="295"/>
      <c r="V36" s="296"/>
      <c r="W36" s="40" t="s">
        <v>39</v>
      </c>
      <c r="X36" s="41">
        <f>IFERROR(SUM(X34:X35),"0")</f>
        <v>48</v>
      </c>
      <c r="Y36" s="41">
        <f>IFERROR(SUM(Y34:Y35),"0")</f>
        <v>48</v>
      </c>
      <c r="Z36" s="41">
        <f>IFERROR(IF(Z34="",0,Z34),"0")+IFERROR(IF(Z35="",0,Z35),"0")</f>
        <v>0.74399999999999999</v>
      </c>
      <c r="AA36" s="64"/>
      <c r="AB36" s="64"/>
      <c r="AC36" s="64"/>
    </row>
    <row r="37" spans="1:68" x14ac:dyDescent="0.2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8"/>
      <c r="P37" s="294" t="s">
        <v>40</v>
      </c>
      <c r="Q37" s="295"/>
      <c r="R37" s="295"/>
      <c r="S37" s="295"/>
      <c r="T37" s="295"/>
      <c r="U37" s="295"/>
      <c r="V37" s="296"/>
      <c r="W37" s="40" t="s">
        <v>0</v>
      </c>
      <c r="X37" s="41">
        <f>IFERROR(SUMPRODUCT(X34:X35*H34:H35),"0")</f>
        <v>330.24</v>
      </c>
      <c r="Y37" s="41">
        <f>IFERROR(SUMPRODUCT(Y34:Y35*H34:H35),"0")</f>
        <v>330.24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112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08" t="s">
        <v>113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290">
        <v>4607111036537</v>
      </c>
      <c r="E41" s="290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2"/>
      <c r="R41" s="292"/>
      <c r="S41" s="292"/>
      <c r="T41" s="293"/>
      <c r="U41" s="37" t="s">
        <v>46</v>
      </c>
      <c r="V41" s="37" t="s">
        <v>46</v>
      </c>
      <c r="W41" s="38" t="s">
        <v>39</v>
      </c>
      <c r="X41" s="56">
        <v>112</v>
      </c>
      <c r="Y41" s="53">
        <f>IFERROR(IF(X41="","",X41),"")</f>
        <v>112</v>
      </c>
      <c r="Z41" s="39">
        <f>IFERROR(IF(X41="","",X41*0.00941),"")</f>
        <v>1.05392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215.24160000000001</v>
      </c>
      <c r="BN41" s="78">
        <f>IFERROR(Y41*I41,"0")</f>
        <v>215.24160000000001</v>
      </c>
      <c r="BO41" s="78">
        <f>IFERROR(X41/J41,"0")</f>
        <v>0.8</v>
      </c>
      <c r="BP41" s="78">
        <f>IFERROR(Y41/J41,"0")</f>
        <v>0.8</v>
      </c>
    </row>
    <row r="42" spans="1:68" ht="27" customHeight="1" x14ac:dyDescent="0.25">
      <c r="A42" s="60" t="s">
        <v>121</v>
      </c>
      <c r="B42" s="60" t="s">
        <v>122</v>
      </c>
      <c r="C42" s="34">
        <v>4301132188</v>
      </c>
      <c r="D42" s="290">
        <v>4607111036605</v>
      </c>
      <c r="E42" s="290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119</v>
      </c>
      <c r="M42" s="36" t="s">
        <v>86</v>
      </c>
      <c r="N42" s="36"/>
      <c r="O42" s="35">
        <v>365</v>
      </c>
      <c r="P42" s="39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2"/>
      <c r="R42" s="292"/>
      <c r="S42" s="292"/>
      <c r="T42" s="293"/>
      <c r="U42" s="37" t="s">
        <v>46</v>
      </c>
      <c r="V42" s="37" t="s">
        <v>46</v>
      </c>
      <c r="W42" s="38" t="s">
        <v>39</v>
      </c>
      <c r="X42" s="56">
        <v>98</v>
      </c>
      <c r="Y42" s="53">
        <f>IFERROR(IF(X42="","",X42),"")</f>
        <v>98</v>
      </c>
      <c r="Z42" s="39">
        <f>IFERROR(IF(X42="","",X42*0.00941),"")</f>
        <v>0.92218</v>
      </c>
      <c r="AA42" s="65" t="s">
        <v>46</v>
      </c>
      <c r="AB42" s="66" t="s">
        <v>46</v>
      </c>
      <c r="AC42" s="106" t="s">
        <v>116</v>
      </c>
      <c r="AG42" s="78"/>
      <c r="AJ42" s="82" t="s">
        <v>120</v>
      </c>
      <c r="AK42" s="82">
        <v>14</v>
      </c>
      <c r="BB42" s="107" t="s">
        <v>117</v>
      </c>
      <c r="BM42" s="78">
        <f>IFERROR(X42*I42,"0")</f>
        <v>188.3364</v>
      </c>
      <c r="BN42" s="78">
        <f>IFERROR(Y42*I42,"0")</f>
        <v>188.3364</v>
      </c>
      <c r="BO42" s="78">
        <f>IFERROR(X42/J42,"0")</f>
        <v>0.7</v>
      </c>
      <c r="BP42" s="78">
        <f>IFERROR(Y42/J42,"0")</f>
        <v>0.7</v>
      </c>
    </row>
    <row r="43" spans="1:68" x14ac:dyDescent="0.2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8"/>
      <c r="P43" s="294" t="s">
        <v>40</v>
      </c>
      <c r="Q43" s="295"/>
      <c r="R43" s="295"/>
      <c r="S43" s="295"/>
      <c r="T43" s="295"/>
      <c r="U43" s="295"/>
      <c r="V43" s="296"/>
      <c r="W43" s="40" t="s">
        <v>39</v>
      </c>
      <c r="X43" s="41">
        <f>IFERROR(SUM(X41:X42),"0")</f>
        <v>210</v>
      </c>
      <c r="Y43" s="41">
        <f>IFERROR(SUM(Y41:Y42),"0")</f>
        <v>210</v>
      </c>
      <c r="Z43" s="41">
        <f>IFERROR(IF(Z41="",0,Z41),"0")+IFERROR(IF(Z42="",0,Z42),"0")</f>
        <v>1.9761</v>
      </c>
      <c r="AA43" s="64"/>
      <c r="AB43" s="64"/>
      <c r="AC43" s="64"/>
    </row>
    <row r="44" spans="1:68" x14ac:dyDescent="0.2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8"/>
      <c r="P44" s="294" t="s">
        <v>40</v>
      </c>
      <c r="Q44" s="295"/>
      <c r="R44" s="295"/>
      <c r="S44" s="295"/>
      <c r="T44" s="295"/>
      <c r="U44" s="295"/>
      <c r="V44" s="296"/>
      <c r="W44" s="40" t="s">
        <v>0</v>
      </c>
      <c r="X44" s="41">
        <f>IFERROR(SUMPRODUCT(X41:X42*H41:H42),"0")</f>
        <v>315</v>
      </c>
      <c r="Y44" s="41">
        <f>IFERROR(SUMPRODUCT(Y41:Y42*H41:H42),"0")</f>
        <v>315</v>
      </c>
      <c r="Z44" s="40"/>
      <c r="AA44" s="64"/>
      <c r="AB44" s="64"/>
      <c r="AC44" s="64"/>
    </row>
    <row r="45" spans="1:68" ht="16.5" hidden="1" customHeight="1" x14ac:dyDescent="0.25">
      <c r="A45" s="318" t="s">
        <v>123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08" t="s">
        <v>82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63"/>
      <c r="AB46" s="63"/>
      <c r="AC46" s="63"/>
    </row>
    <row r="47" spans="1:68" ht="27" customHeight="1" x14ac:dyDescent="0.25">
      <c r="A47" s="60" t="s">
        <v>124</v>
      </c>
      <c r="B47" s="60" t="s">
        <v>125</v>
      </c>
      <c r="C47" s="34">
        <v>4301071090</v>
      </c>
      <c r="D47" s="290">
        <v>4620207490075</v>
      </c>
      <c r="E47" s="290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119</v>
      </c>
      <c r="M47" s="36" t="s">
        <v>86</v>
      </c>
      <c r="N47" s="36"/>
      <c r="O47" s="35">
        <v>180</v>
      </c>
      <c r="P47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2"/>
      <c r="R47" s="292"/>
      <c r="S47" s="292"/>
      <c r="T47" s="293"/>
      <c r="U47" s="37" t="s">
        <v>46</v>
      </c>
      <c r="V47" s="37" t="s">
        <v>46</v>
      </c>
      <c r="W47" s="38" t="s">
        <v>39</v>
      </c>
      <c r="X47" s="56">
        <v>144</v>
      </c>
      <c r="Y47" s="53">
        <f>IFERROR(IF(X47="","",X47),"")</f>
        <v>144</v>
      </c>
      <c r="Z47" s="39">
        <f>IFERROR(IF(X47="","",X47*0.0155),"")</f>
        <v>2.2320000000000002</v>
      </c>
      <c r="AA47" s="65" t="s">
        <v>46</v>
      </c>
      <c r="AB47" s="66" t="s">
        <v>46</v>
      </c>
      <c r="AC47" s="108" t="s">
        <v>126</v>
      </c>
      <c r="AG47" s="78"/>
      <c r="AJ47" s="82" t="s">
        <v>120</v>
      </c>
      <c r="AK47" s="82">
        <v>12</v>
      </c>
      <c r="BB47" s="109" t="s">
        <v>70</v>
      </c>
      <c r="BM47" s="78">
        <f>IFERROR(X47*I47,"0")</f>
        <v>845.28</v>
      </c>
      <c r="BN47" s="78">
        <f>IFERROR(Y47*I47,"0")</f>
        <v>845.28</v>
      </c>
      <c r="BO47" s="78">
        <f>IFERROR(X47/J47,"0")</f>
        <v>1.7142857142857142</v>
      </c>
      <c r="BP47" s="78">
        <f>IFERROR(Y47/J47,"0")</f>
        <v>1.7142857142857142</v>
      </c>
    </row>
    <row r="48" spans="1:68" ht="27" hidden="1" customHeight="1" x14ac:dyDescent="0.25">
      <c r="A48" s="60" t="s">
        <v>127</v>
      </c>
      <c r="B48" s="60" t="s">
        <v>128</v>
      </c>
      <c r="C48" s="34">
        <v>4301071092</v>
      </c>
      <c r="D48" s="290">
        <v>4620207490174</v>
      </c>
      <c r="E48" s="290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88</v>
      </c>
      <c r="M48" s="36" t="s">
        <v>86</v>
      </c>
      <c r="N48" s="36"/>
      <c r="O48" s="35">
        <v>180</v>
      </c>
      <c r="P48" s="39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2"/>
      <c r="R48" s="292"/>
      <c r="S48" s="292"/>
      <c r="T48" s="293"/>
      <c r="U48" s="37" t="s">
        <v>46</v>
      </c>
      <c r="V48" s="37" t="s">
        <v>46</v>
      </c>
      <c r="W48" s="38" t="s">
        <v>39</v>
      </c>
      <c r="X48" s="56"/>
      <c r="Y48" s="53" t="str">
        <f>IFERROR(IF(X48="","",X48),"")</f>
        <v/>
      </c>
      <c r="Z48" s="39" t="str">
        <f>IFERROR(IF(X48="","",X48*0.0155),"")</f>
        <v/>
      </c>
      <c r="AA48" s="65" t="s">
        <v>46</v>
      </c>
      <c r="AB48" s="66" t="s">
        <v>46</v>
      </c>
      <c r="AC48" s="110" t="s">
        <v>129</v>
      </c>
      <c r="AG48" s="78"/>
      <c r="AJ48" s="82" t="s">
        <v>89</v>
      </c>
      <c r="AK48" s="82">
        <v>1</v>
      </c>
      <c r="BB48" s="111" t="s">
        <v>70</v>
      </c>
      <c r="BM48" s="78">
        <f>IFERROR(X48*I48,"0")</f>
        <v>0</v>
      </c>
      <c r="BN48" s="78" t="str">
        <f>IFERROR(Y48*I48,"0")</f>
        <v>0</v>
      </c>
      <c r="BO48" s="78">
        <f>IFERROR(X48/J48,"0")</f>
        <v>0</v>
      </c>
      <c r="BP48" s="78" t="str">
        <f>IFERROR(Y48/J48,"0")</f>
        <v>0</v>
      </c>
    </row>
    <row r="49" spans="1:68" x14ac:dyDescent="0.2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8"/>
      <c r="P49" s="294" t="s">
        <v>40</v>
      </c>
      <c r="Q49" s="295"/>
      <c r="R49" s="295"/>
      <c r="S49" s="295"/>
      <c r="T49" s="295"/>
      <c r="U49" s="295"/>
      <c r="V49" s="296"/>
      <c r="W49" s="40" t="s">
        <v>39</v>
      </c>
      <c r="X49" s="41">
        <f>IFERROR(SUM(X47:X48),"0")</f>
        <v>144</v>
      </c>
      <c r="Y49" s="41">
        <f>IFERROR(SUM(Y47:Y48),"0")</f>
        <v>144</v>
      </c>
      <c r="Z49" s="41">
        <f>IFERROR(IF(Z47="",0,Z47),"0")+IFERROR(IF(Z48="",0,Z48),"0")</f>
        <v>2.2320000000000002</v>
      </c>
      <c r="AA49" s="64"/>
      <c r="AB49" s="64"/>
      <c r="AC49" s="64"/>
    </row>
    <row r="50" spans="1:68" x14ac:dyDescent="0.2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8"/>
      <c r="P50" s="294" t="s">
        <v>40</v>
      </c>
      <c r="Q50" s="295"/>
      <c r="R50" s="295"/>
      <c r="S50" s="295"/>
      <c r="T50" s="295"/>
      <c r="U50" s="295"/>
      <c r="V50" s="296"/>
      <c r="W50" s="40" t="s">
        <v>0</v>
      </c>
      <c r="X50" s="41">
        <f>IFERROR(SUMPRODUCT(X47:X48*H47:H48),"0")</f>
        <v>806.4</v>
      </c>
      <c r="Y50" s="41" t="str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18" t="s">
        <v>130</v>
      </c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62"/>
      <c r="AB51" s="62"/>
      <c r="AC51" s="62"/>
    </row>
    <row r="52" spans="1:68" ht="14.25" hidden="1" customHeight="1" x14ac:dyDescent="0.25">
      <c r="A52" s="308" t="s">
        <v>82</v>
      </c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63"/>
      <c r="AB52" s="63"/>
      <c r="AC52" s="63"/>
    </row>
    <row r="53" spans="1:68" ht="27" customHeight="1" x14ac:dyDescent="0.25">
      <c r="A53" s="60" t="s">
        <v>131</v>
      </c>
      <c r="B53" s="60" t="s">
        <v>132</v>
      </c>
      <c r="C53" s="34">
        <v>4301071044</v>
      </c>
      <c r="D53" s="290">
        <v>4607111039385</v>
      </c>
      <c r="E53" s="290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87</v>
      </c>
      <c r="L53" s="35" t="s">
        <v>119</v>
      </c>
      <c r="M53" s="36" t="s">
        <v>86</v>
      </c>
      <c r="N53" s="36"/>
      <c r="O53" s="35">
        <v>180</v>
      </c>
      <c r="P53" s="38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2"/>
      <c r="R53" s="292"/>
      <c r="S53" s="292"/>
      <c r="T53" s="293"/>
      <c r="U53" s="37" t="s">
        <v>46</v>
      </c>
      <c r="V53" s="37" t="s">
        <v>46</v>
      </c>
      <c r="W53" s="38" t="s">
        <v>39</v>
      </c>
      <c r="X53" s="56">
        <v>96</v>
      </c>
      <c r="Y53" s="53">
        <f>IFERROR(IF(X53="","",X53),"")</f>
        <v>96</v>
      </c>
      <c r="Z53" s="39">
        <f>IFERROR(IF(X53="","",X53*0.0155),"")</f>
        <v>1.488</v>
      </c>
      <c r="AA53" s="65" t="s">
        <v>46</v>
      </c>
      <c r="AB53" s="66" t="s">
        <v>46</v>
      </c>
      <c r="AC53" s="112" t="s">
        <v>133</v>
      </c>
      <c r="AG53" s="78"/>
      <c r="AJ53" s="82" t="s">
        <v>120</v>
      </c>
      <c r="AK53" s="82">
        <v>12</v>
      </c>
      <c r="BB53" s="113" t="s">
        <v>70</v>
      </c>
      <c r="BM53" s="78">
        <f>IFERROR(X53*I53,"0")</f>
        <v>700.8</v>
      </c>
      <c r="BN53" s="78">
        <f>IFERROR(Y53*I53,"0")</f>
        <v>700.8</v>
      </c>
      <c r="BO53" s="78">
        <f>IFERROR(X53/J53,"0")</f>
        <v>1.1428571428571428</v>
      </c>
      <c r="BP53" s="78">
        <f>IFERROR(Y53/J53,"0")</f>
        <v>1.1428571428571428</v>
      </c>
    </row>
    <row r="54" spans="1:68" ht="27" hidden="1" customHeight="1" x14ac:dyDescent="0.25">
      <c r="A54" s="60" t="s">
        <v>134</v>
      </c>
      <c r="B54" s="60" t="s">
        <v>135</v>
      </c>
      <c r="C54" s="34">
        <v>4301071031</v>
      </c>
      <c r="D54" s="290">
        <v>4607111038982</v>
      </c>
      <c r="E54" s="290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2"/>
      <c r="R54" s="292"/>
      <c r="S54" s="292"/>
      <c r="T54" s="293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137</v>
      </c>
      <c r="B55" s="60" t="s">
        <v>138</v>
      </c>
      <c r="C55" s="34">
        <v>4301071046</v>
      </c>
      <c r="D55" s="290">
        <v>4607111039354</v>
      </c>
      <c r="E55" s="290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2"/>
      <c r="R55" s="292"/>
      <c r="S55" s="292"/>
      <c r="T55" s="293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136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4301071047</v>
      </c>
      <c r="D56" s="290">
        <v>4607111039330</v>
      </c>
      <c r="E56" s="290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9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2"/>
      <c r="R56" s="292"/>
      <c r="S56" s="292"/>
      <c r="T56" s="293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136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8"/>
      <c r="P57" s="294" t="s">
        <v>40</v>
      </c>
      <c r="Q57" s="295"/>
      <c r="R57" s="295"/>
      <c r="S57" s="295"/>
      <c r="T57" s="295"/>
      <c r="U57" s="295"/>
      <c r="V57" s="296"/>
      <c r="W57" s="40" t="s">
        <v>39</v>
      </c>
      <c r="X57" s="41">
        <f>IFERROR(SUM(X53:X56),"0")</f>
        <v>96</v>
      </c>
      <c r="Y57" s="41">
        <f>IFERROR(SUM(Y53:Y56),"0")</f>
        <v>96</v>
      </c>
      <c r="Z57" s="41">
        <f>IFERROR(IF(Z53="",0,Z53),"0")+IFERROR(IF(Z54="",0,Z54),"0")+IFERROR(IF(Z55="",0,Z55),"0")+IFERROR(IF(Z56="",0,Z56),"0")</f>
        <v>1.488</v>
      </c>
      <c r="AA57" s="64"/>
      <c r="AB57" s="64"/>
      <c r="AC57" s="64"/>
    </row>
    <row r="58" spans="1:68" x14ac:dyDescent="0.2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8"/>
      <c r="P58" s="294" t="s">
        <v>40</v>
      </c>
      <c r="Q58" s="295"/>
      <c r="R58" s="295"/>
      <c r="S58" s="295"/>
      <c r="T58" s="295"/>
      <c r="U58" s="295"/>
      <c r="V58" s="296"/>
      <c r="W58" s="40" t="s">
        <v>0</v>
      </c>
      <c r="X58" s="41">
        <f>IFERROR(SUMPRODUCT(X53:X56*H53:H56),"0")</f>
        <v>672</v>
      </c>
      <c r="Y58" s="41">
        <f>IFERROR(SUMPRODUCT(Y53:Y56*H53:H56),"0")</f>
        <v>672</v>
      </c>
      <c r="Z58" s="40"/>
      <c r="AA58" s="64"/>
      <c r="AB58" s="64"/>
      <c r="AC58" s="64"/>
    </row>
    <row r="59" spans="1:68" ht="16.5" hidden="1" customHeight="1" x14ac:dyDescent="0.25">
      <c r="A59" s="318" t="s">
        <v>141</v>
      </c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62"/>
      <c r="AB59" s="62"/>
      <c r="AC59" s="62"/>
    </row>
    <row r="60" spans="1:68" ht="14.25" hidden="1" customHeight="1" x14ac:dyDescent="0.25">
      <c r="A60" s="308" t="s">
        <v>113</v>
      </c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63"/>
      <c r="AB60" s="63"/>
      <c r="AC60" s="63"/>
    </row>
    <row r="61" spans="1:68" ht="27" customHeight="1" x14ac:dyDescent="0.25">
      <c r="A61" s="60" t="s">
        <v>142</v>
      </c>
      <c r="B61" s="60" t="s">
        <v>143</v>
      </c>
      <c r="C61" s="34">
        <v>4301132194</v>
      </c>
      <c r="D61" s="290">
        <v>4607111039712</v>
      </c>
      <c r="E61" s="290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118</v>
      </c>
      <c r="L61" s="35" t="s">
        <v>88</v>
      </c>
      <c r="M61" s="36" t="s">
        <v>86</v>
      </c>
      <c r="N61" s="36"/>
      <c r="O61" s="35">
        <v>365</v>
      </c>
      <c r="P61" s="38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2"/>
      <c r="R61" s="292"/>
      <c r="S61" s="292"/>
      <c r="T61" s="293"/>
      <c r="U61" s="37" t="s">
        <v>46</v>
      </c>
      <c r="V61" s="37" t="s">
        <v>46</v>
      </c>
      <c r="W61" s="38" t="s">
        <v>39</v>
      </c>
      <c r="X61" s="56">
        <v>144</v>
      </c>
      <c r="Y61" s="53">
        <f>IFERROR(IF(X61="","",X61),"")</f>
        <v>144</v>
      </c>
      <c r="Z61" s="39">
        <f>IFERROR(IF(X61="","",X61*0.00941),"")</f>
        <v>1.35504</v>
      </c>
      <c r="AA61" s="65" t="s">
        <v>46</v>
      </c>
      <c r="AB61" s="66" t="s">
        <v>46</v>
      </c>
      <c r="AC61" s="120" t="s">
        <v>144</v>
      </c>
      <c r="AG61" s="78"/>
      <c r="AJ61" s="82" t="s">
        <v>89</v>
      </c>
      <c r="AK61" s="82">
        <v>1</v>
      </c>
      <c r="BB61" s="121" t="s">
        <v>117</v>
      </c>
      <c r="BM61" s="78">
        <f>IFERROR(X61*I61,"0")</f>
        <v>224.64000000000001</v>
      </c>
      <c r="BN61" s="78">
        <f>IFERROR(Y61*I61,"0")</f>
        <v>224.64000000000001</v>
      </c>
      <c r="BO61" s="78">
        <f>IFERROR(X61/J61,"0")</f>
        <v>1.0285714285714285</v>
      </c>
      <c r="BP61" s="78">
        <f>IFERROR(Y61/J61,"0")</f>
        <v>1.0285714285714285</v>
      </c>
    </row>
    <row r="62" spans="1:68" x14ac:dyDescent="0.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8"/>
      <c r="P62" s="294" t="s">
        <v>40</v>
      </c>
      <c r="Q62" s="295"/>
      <c r="R62" s="295"/>
      <c r="S62" s="295"/>
      <c r="T62" s="295"/>
      <c r="U62" s="295"/>
      <c r="V62" s="296"/>
      <c r="W62" s="40" t="s">
        <v>39</v>
      </c>
      <c r="X62" s="41">
        <f>IFERROR(SUM(X61:X61),"0")</f>
        <v>144</v>
      </c>
      <c r="Y62" s="41">
        <f>IFERROR(SUM(Y61:Y61),"0")</f>
        <v>144</v>
      </c>
      <c r="Z62" s="41">
        <f>IFERROR(IF(Z61="",0,Z61),"0")</f>
        <v>1.35504</v>
      </c>
      <c r="AA62" s="64"/>
      <c r="AB62" s="64"/>
      <c r="AC62" s="64"/>
    </row>
    <row r="63" spans="1:68" x14ac:dyDescent="0.2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8"/>
      <c r="P63" s="294" t="s">
        <v>40</v>
      </c>
      <c r="Q63" s="295"/>
      <c r="R63" s="295"/>
      <c r="S63" s="295"/>
      <c r="T63" s="295"/>
      <c r="U63" s="295"/>
      <c r="V63" s="296"/>
      <c r="W63" s="40" t="s">
        <v>0</v>
      </c>
      <c r="X63" s="41">
        <f>IFERROR(SUMPRODUCT(X61:X61*H61:H61),"0")</f>
        <v>172.79999999999998</v>
      </c>
      <c r="Y63" s="41">
        <f>IFERROR(SUMPRODUCT(Y61:Y61*H61:H61),"0")</f>
        <v>172.79999999999998</v>
      </c>
      <c r="Z63" s="40"/>
      <c r="AA63" s="64"/>
      <c r="AB63" s="64"/>
      <c r="AC63" s="64"/>
    </row>
    <row r="64" spans="1:68" ht="14.25" hidden="1" customHeight="1" x14ac:dyDescent="0.25">
      <c r="A64" s="308" t="s">
        <v>145</v>
      </c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63"/>
      <c r="AB64" s="63"/>
      <c r="AC64" s="63"/>
    </row>
    <row r="65" spans="1:68" ht="16.5" hidden="1" customHeight="1" x14ac:dyDescent="0.25">
      <c r="A65" s="60" t="s">
        <v>146</v>
      </c>
      <c r="B65" s="60" t="s">
        <v>147</v>
      </c>
      <c r="C65" s="34">
        <v>4301136018</v>
      </c>
      <c r="D65" s="290">
        <v>4607111037008</v>
      </c>
      <c r="E65" s="290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118</v>
      </c>
      <c r="L65" s="35" t="s">
        <v>88</v>
      </c>
      <c r="M65" s="36" t="s">
        <v>86</v>
      </c>
      <c r="N65" s="36"/>
      <c r="O65" s="35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2"/>
      <c r="R65" s="292"/>
      <c r="S65" s="292"/>
      <c r="T65" s="293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148</v>
      </c>
      <c r="AG65" s="78"/>
      <c r="AJ65" s="82" t="s">
        <v>89</v>
      </c>
      <c r="AK65" s="82">
        <v>1</v>
      </c>
      <c r="BB65" s="123" t="s">
        <v>117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149</v>
      </c>
      <c r="B66" s="60" t="s">
        <v>150</v>
      </c>
      <c r="C66" s="34">
        <v>4301136015</v>
      </c>
      <c r="D66" s="290">
        <v>4607111037398</v>
      </c>
      <c r="E66" s="290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2"/>
      <c r="R66" s="292"/>
      <c r="S66" s="292"/>
      <c r="T66" s="293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148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8"/>
      <c r="P67" s="294" t="s">
        <v>40</v>
      </c>
      <c r="Q67" s="295"/>
      <c r="R67" s="295"/>
      <c r="S67" s="295"/>
      <c r="T67" s="295"/>
      <c r="U67" s="295"/>
      <c r="V67" s="296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8"/>
      <c r="P68" s="294" t="s">
        <v>40</v>
      </c>
      <c r="Q68" s="295"/>
      <c r="R68" s="295"/>
      <c r="S68" s="295"/>
      <c r="T68" s="295"/>
      <c r="U68" s="295"/>
      <c r="V68" s="296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08" t="s">
        <v>151</v>
      </c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63"/>
      <c r="AB69" s="63"/>
      <c r="AC69" s="63"/>
    </row>
    <row r="70" spans="1:68" ht="27" hidden="1" customHeight="1" x14ac:dyDescent="0.25">
      <c r="A70" s="60" t="s">
        <v>152</v>
      </c>
      <c r="B70" s="60" t="s">
        <v>153</v>
      </c>
      <c r="C70" s="34">
        <v>4301135664</v>
      </c>
      <c r="D70" s="290">
        <v>4607111039705</v>
      </c>
      <c r="E70" s="290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2"/>
      <c r="R70" s="292"/>
      <c r="S70" s="292"/>
      <c r="T70" s="293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148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154</v>
      </c>
      <c r="B71" s="60" t="s">
        <v>155</v>
      </c>
      <c r="C71" s="34">
        <v>4301135665</v>
      </c>
      <c r="D71" s="290">
        <v>4607111039729</v>
      </c>
      <c r="E71" s="290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2"/>
      <c r="R71" s="292"/>
      <c r="S71" s="292"/>
      <c r="T71" s="293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156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157</v>
      </c>
      <c r="B72" s="60" t="s">
        <v>158</v>
      </c>
      <c r="C72" s="34">
        <v>4301135702</v>
      </c>
      <c r="D72" s="290">
        <v>4620207490228</v>
      </c>
      <c r="E72" s="290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118</v>
      </c>
      <c r="L72" s="35" t="s">
        <v>88</v>
      </c>
      <c r="M72" s="36" t="s">
        <v>86</v>
      </c>
      <c r="N72" s="36"/>
      <c r="O72" s="35">
        <v>365</v>
      </c>
      <c r="P72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2"/>
      <c r="R72" s="292"/>
      <c r="S72" s="292"/>
      <c r="T72" s="293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156</v>
      </c>
      <c r="AG72" s="78"/>
      <c r="AJ72" s="82" t="s">
        <v>89</v>
      </c>
      <c r="AK72" s="82">
        <v>1</v>
      </c>
      <c r="BB72" s="131" t="s">
        <v>117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8"/>
      <c r="P73" s="294" t="s">
        <v>40</v>
      </c>
      <c r="Q73" s="295"/>
      <c r="R73" s="295"/>
      <c r="S73" s="295"/>
      <c r="T73" s="295"/>
      <c r="U73" s="295"/>
      <c r="V73" s="296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8"/>
      <c r="P74" s="294" t="s">
        <v>40</v>
      </c>
      <c r="Q74" s="295"/>
      <c r="R74" s="295"/>
      <c r="S74" s="295"/>
      <c r="T74" s="295"/>
      <c r="U74" s="295"/>
      <c r="V74" s="296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18" t="s">
        <v>159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62"/>
      <c r="AB75" s="62"/>
      <c r="AC75" s="62"/>
    </row>
    <row r="76" spans="1:68" ht="14.25" hidden="1" customHeight="1" x14ac:dyDescent="0.25">
      <c r="A76" s="308" t="s">
        <v>82</v>
      </c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63"/>
      <c r="AB76" s="63"/>
      <c r="AC76" s="63"/>
    </row>
    <row r="77" spans="1:68" ht="27" hidden="1" customHeight="1" x14ac:dyDescent="0.25">
      <c r="A77" s="60" t="s">
        <v>160</v>
      </c>
      <c r="B77" s="60" t="s">
        <v>161</v>
      </c>
      <c r="C77" s="34">
        <v>4301070977</v>
      </c>
      <c r="D77" s="290">
        <v>4607111037411</v>
      </c>
      <c r="E77" s="290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163</v>
      </c>
      <c r="L77" s="35" t="s">
        <v>119</v>
      </c>
      <c r="M77" s="36" t="s">
        <v>86</v>
      </c>
      <c r="N77" s="36"/>
      <c r="O77" s="35">
        <v>180</v>
      </c>
      <c r="P77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2"/>
      <c r="R77" s="292"/>
      <c r="S77" s="292"/>
      <c r="T77" s="293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162</v>
      </c>
      <c r="AG77" s="78"/>
      <c r="AJ77" s="82" t="s">
        <v>120</v>
      </c>
      <c r="AK77" s="82">
        <v>18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164</v>
      </c>
      <c r="B78" s="60" t="s">
        <v>165</v>
      </c>
      <c r="C78" s="34">
        <v>4301070981</v>
      </c>
      <c r="D78" s="290">
        <v>4607111036728</v>
      </c>
      <c r="E78" s="290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87</v>
      </c>
      <c r="L78" s="35" t="s">
        <v>119</v>
      </c>
      <c r="M78" s="36" t="s">
        <v>86</v>
      </c>
      <c r="N78" s="36"/>
      <c r="O78" s="35">
        <v>180</v>
      </c>
      <c r="P78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2"/>
      <c r="R78" s="292"/>
      <c r="S78" s="292"/>
      <c r="T78" s="293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162</v>
      </c>
      <c r="AG78" s="78"/>
      <c r="AJ78" s="82" t="s">
        <v>120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8"/>
      <c r="P79" s="294" t="s">
        <v>40</v>
      </c>
      <c r="Q79" s="295"/>
      <c r="R79" s="295"/>
      <c r="S79" s="295"/>
      <c r="T79" s="295"/>
      <c r="U79" s="295"/>
      <c r="V79" s="296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8"/>
      <c r="P80" s="294" t="s">
        <v>40</v>
      </c>
      <c r="Q80" s="295"/>
      <c r="R80" s="295"/>
      <c r="S80" s="295"/>
      <c r="T80" s="295"/>
      <c r="U80" s="295"/>
      <c r="V80" s="296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18" t="s">
        <v>166</v>
      </c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62"/>
      <c r="AB81" s="62"/>
      <c r="AC81" s="62"/>
    </row>
    <row r="82" spans="1:68" ht="14.25" hidden="1" customHeight="1" x14ac:dyDescent="0.25">
      <c r="A82" s="308" t="s">
        <v>151</v>
      </c>
      <c r="B82" s="308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63"/>
      <c r="AB82" s="63"/>
      <c r="AC82" s="63"/>
    </row>
    <row r="83" spans="1:68" ht="27" customHeight="1" x14ac:dyDescent="0.25">
      <c r="A83" s="60" t="s">
        <v>167</v>
      </c>
      <c r="B83" s="60" t="s">
        <v>168</v>
      </c>
      <c r="C83" s="34">
        <v>4301135574</v>
      </c>
      <c r="D83" s="290">
        <v>4607111033659</v>
      </c>
      <c r="E83" s="290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118</v>
      </c>
      <c r="L83" s="35" t="s">
        <v>119</v>
      </c>
      <c r="M83" s="36" t="s">
        <v>86</v>
      </c>
      <c r="N83" s="36"/>
      <c r="O83" s="35">
        <v>180</v>
      </c>
      <c r="P83" s="37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2"/>
      <c r="R83" s="292"/>
      <c r="S83" s="292"/>
      <c r="T83" s="293"/>
      <c r="U83" s="37" t="s">
        <v>46</v>
      </c>
      <c r="V83" s="37" t="s">
        <v>46</v>
      </c>
      <c r="W83" s="38" t="s">
        <v>39</v>
      </c>
      <c r="X83" s="56">
        <v>70</v>
      </c>
      <c r="Y83" s="53">
        <f>IFERROR(IF(X83="","",X83),"")</f>
        <v>70</v>
      </c>
      <c r="Z83" s="39">
        <f>IFERROR(IF(X83="","",X83*0.01788),"")</f>
        <v>1.2516</v>
      </c>
      <c r="AA83" s="65" t="s">
        <v>46</v>
      </c>
      <c r="AB83" s="66" t="s">
        <v>46</v>
      </c>
      <c r="AC83" s="136" t="s">
        <v>169</v>
      </c>
      <c r="AG83" s="78"/>
      <c r="AJ83" s="82" t="s">
        <v>120</v>
      </c>
      <c r="AK83" s="82">
        <v>14</v>
      </c>
      <c r="BB83" s="137" t="s">
        <v>117</v>
      </c>
      <c r="BM83" s="78">
        <f>IFERROR(X83*I83,"0")</f>
        <v>301.25200000000001</v>
      </c>
      <c r="BN83" s="78">
        <f>IFERROR(Y83*I83,"0")</f>
        <v>301.25200000000001</v>
      </c>
      <c r="BO83" s="78">
        <f>IFERROR(X83/J83,"0")</f>
        <v>1</v>
      </c>
      <c r="BP83" s="78">
        <f>IFERROR(Y83/J83,"0")</f>
        <v>1</v>
      </c>
    </row>
    <row r="84" spans="1:68" x14ac:dyDescent="0.2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8"/>
      <c r="P84" s="294" t="s">
        <v>40</v>
      </c>
      <c r="Q84" s="295"/>
      <c r="R84" s="295"/>
      <c r="S84" s="295"/>
      <c r="T84" s="295"/>
      <c r="U84" s="295"/>
      <c r="V84" s="296"/>
      <c r="W84" s="40" t="s">
        <v>39</v>
      </c>
      <c r="X84" s="41">
        <f>IFERROR(SUM(X83:X83),"0")</f>
        <v>70</v>
      </c>
      <c r="Y84" s="41">
        <f>IFERROR(SUM(Y83:Y83),"0")</f>
        <v>70</v>
      </c>
      <c r="Z84" s="41">
        <f>IFERROR(IF(Z83="",0,Z83),"0")</f>
        <v>1.2516</v>
      </c>
      <c r="AA84" s="64"/>
      <c r="AB84" s="64"/>
      <c r="AC84" s="64"/>
    </row>
    <row r="85" spans="1:68" x14ac:dyDescent="0.2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8"/>
      <c r="P85" s="294" t="s">
        <v>40</v>
      </c>
      <c r="Q85" s="295"/>
      <c r="R85" s="295"/>
      <c r="S85" s="295"/>
      <c r="T85" s="295"/>
      <c r="U85" s="295"/>
      <c r="V85" s="296"/>
      <c r="W85" s="40" t="s">
        <v>0</v>
      </c>
      <c r="X85" s="41">
        <f>IFERROR(SUMPRODUCT(X83:X83*H83:H83),"0")</f>
        <v>252</v>
      </c>
      <c r="Y85" s="41">
        <f>IFERROR(SUMPRODUCT(Y83:Y83*H83:H83),"0")</f>
        <v>252</v>
      </c>
      <c r="Z85" s="40"/>
      <c r="AA85" s="64"/>
      <c r="AB85" s="64"/>
      <c r="AC85" s="64"/>
    </row>
    <row r="86" spans="1:68" ht="16.5" hidden="1" customHeight="1" x14ac:dyDescent="0.25">
      <c r="A86" s="318" t="s">
        <v>170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08" t="s">
        <v>171</v>
      </c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4301131047</v>
      </c>
      <c r="D88" s="290">
        <v>4607111034120</v>
      </c>
      <c r="E88" s="290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2"/>
      <c r="R88" s="292"/>
      <c r="S88" s="292"/>
      <c r="T88" s="293"/>
      <c r="U88" s="37" t="s">
        <v>46</v>
      </c>
      <c r="V88" s="37" t="s">
        <v>46</v>
      </c>
      <c r="W88" s="38" t="s">
        <v>39</v>
      </c>
      <c r="X88" s="56">
        <v>70</v>
      </c>
      <c r="Y88" s="53">
        <f>IFERROR(IF(X88="","",X88),"")</f>
        <v>70</v>
      </c>
      <c r="Z88" s="39">
        <f>IFERROR(IF(X88="","",X88*0.01788),"")</f>
        <v>1.2516</v>
      </c>
      <c r="AA88" s="65" t="s">
        <v>46</v>
      </c>
      <c r="AB88" s="66" t="s">
        <v>46</v>
      </c>
      <c r="AC88" s="138" t="s">
        <v>174</v>
      </c>
      <c r="AG88" s="78"/>
      <c r="AJ88" s="82" t="s">
        <v>120</v>
      </c>
      <c r="AK88" s="82">
        <v>14</v>
      </c>
      <c r="BB88" s="139" t="s">
        <v>117</v>
      </c>
      <c r="BM88" s="78">
        <f>IFERROR(X88*I88,"0")</f>
        <v>301.25200000000001</v>
      </c>
      <c r="BN88" s="78">
        <f>IFERROR(Y88*I88,"0")</f>
        <v>301.25200000000001</v>
      </c>
      <c r="BO88" s="78">
        <f>IFERROR(X88/J88,"0")</f>
        <v>1</v>
      </c>
      <c r="BP88" s="78">
        <f>IFERROR(Y88/J88,"0")</f>
        <v>1</v>
      </c>
    </row>
    <row r="89" spans="1:68" ht="27" customHeight="1" x14ac:dyDescent="0.25">
      <c r="A89" s="60" t="s">
        <v>175</v>
      </c>
      <c r="B89" s="60" t="s">
        <v>176</v>
      </c>
      <c r="C89" s="34">
        <v>4301131046</v>
      </c>
      <c r="D89" s="290">
        <v>4607111034137</v>
      </c>
      <c r="E89" s="290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118</v>
      </c>
      <c r="L89" s="35" t="s">
        <v>119</v>
      </c>
      <c r="M89" s="36" t="s">
        <v>86</v>
      </c>
      <c r="N89" s="36"/>
      <c r="O89" s="35">
        <v>180</v>
      </c>
      <c r="P89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2"/>
      <c r="R89" s="292"/>
      <c r="S89" s="292"/>
      <c r="T89" s="293"/>
      <c r="U89" s="37" t="s">
        <v>46</v>
      </c>
      <c r="V89" s="37" t="s">
        <v>46</v>
      </c>
      <c r="W89" s="38" t="s">
        <v>39</v>
      </c>
      <c r="X89" s="56">
        <v>70</v>
      </c>
      <c r="Y89" s="53">
        <f>IFERROR(IF(X89="","",X89),"")</f>
        <v>70</v>
      </c>
      <c r="Z89" s="39">
        <f>IFERROR(IF(X89="","",X89*0.01788),"")</f>
        <v>1.2516</v>
      </c>
      <c r="AA89" s="65" t="s">
        <v>46</v>
      </c>
      <c r="AB89" s="66" t="s">
        <v>46</v>
      </c>
      <c r="AC89" s="140" t="s">
        <v>177</v>
      </c>
      <c r="AG89" s="78"/>
      <c r="AJ89" s="82" t="s">
        <v>120</v>
      </c>
      <c r="AK89" s="82">
        <v>14</v>
      </c>
      <c r="BB89" s="141" t="s">
        <v>117</v>
      </c>
      <c r="BM89" s="78">
        <f>IFERROR(X89*I89,"0")</f>
        <v>301.25200000000001</v>
      </c>
      <c r="BN89" s="78">
        <f>IFERROR(Y89*I89,"0")</f>
        <v>301.25200000000001</v>
      </c>
      <c r="BO89" s="78">
        <f>IFERROR(X89/J89,"0")</f>
        <v>1</v>
      </c>
      <c r="BP89" s="78">
        <f>IFERROR(Y89/J89,"0")</f>
        <v>1</v>
      </c>
    </row>
    <row r="90" spans="1:68" x14ac:dyDescent="0.2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8"/>
      <c r="P90" s="294" t="s">
        <v>40</v>
      </c>
      <c r="Q90" s="295"/>
      <c r="R90" s="295"/>
      <c r="S90" s="295"/>
      <c r="T90" s="295"/>
      <c r="U90" s="295"/>
      <c r="V90" s="296"/>
      <c r="W90" s="40" t="s">
        <v>39</v>
      </c>
      <c r="X90" s="41">
        <f>IFERROR(SUM(X88:X89),"0")</f>
        <v>140</v>
      </c>
      <c r="Y90" s="41">
        <f>IFERROR(SUM(Y88:Y89),"0")</f>
        <v>140</v>
      </c>
      <c r="Z90" s="41">
        <f>IFERROR(IF(Z88="",0,Z88),"0")+IFERROR(IF(Z89="",0,Z89),"0")</f>
        <v>2.5032000000000001</v>
      </c>
      <c r="AA90" s="64"/>
      <c r="AB90" s="64"/>
      <c r="AC90" s="64"/>
    </row>
    <row r="91" spans="1:68" x14ac:dyDescent="0.2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8"/>
      <c r="P91" s="294" t="s">
        <v>40</v>
      </c>
      <c r="Q91" s="295"/>
      <c r="R91" s="295"/>
      <c r="S91" s="295"/>
      <c r="T91" s="295"/>
      <c r="U91" s="295"/>
      <c r="V91" s="296"/>
      <c r="W91" s="40" t="s">
        <v>0</v>
      </c>
      <c r="X91" s="41">
        <f>IFERROR(SUMPRODUCT(X88:X89*H88:H89),"0")</f>
        <v>504</v>
      </c>
      <c r="Y91" s="41">
        <f>IFERROR(SUMPRODUCT(Y88:Y89*H88:H89),"0")</f>
        <v>504</v>
      </c>
      <c r="Z91" s="40"/>
      <c r="AA91" s="64"/>
      <c r="AB91" s="64"/>
      <c r="AC91" s="64"/>
    </row>
    <row r="92" spans="1:68" ht="16.5" hidden="1" customHeight="1" x14ac:dyDescent="0.25">
      <c r="A92" s="318" t="s">
        <v>178</v>
      </c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62"/>
      <c r="AB92" s="62"/>
      <c r="AC92" s="62"/>
    </row>
    <row r="93" spans="1:68" ht="14.25" hidden="1" customHeight="1" x14ac:dyDescent="0.25">
      <c r="A93" s="308" t="s">
        <v>151</v>
      </c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63"/>
      <c r="AB93" s="63"/>
      <c r="AC93" s="63"/>
    </row>
    <row r="94" spans="1:68" ht="27" hidden="1" customHeight="1" x14ac:dyDescent="0.25">
      <c r="A94" s="60" t="s">
        <v>179</v>
      </c>
      <c r="B94" s="60" t="s">
        <v>180</v>
      </c>
      <c r="C94" s="34">
        <v>4301135763</v>
      </c>
      <c r="D94" s="290">
        <v>4620207491027</v>
      </c>
      <c r="E94" s="290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118</v>
      </c>
      <c r="L94" s="35" t="s">
        <v>88</v>
      </c>
      <c r="M94" s="36" t="s">
        <v>86</v>
      </c>
      <c r="N94" s="36"/>
      <c r="O94" s="35">
        <v>180</v>
      </c>
      <c r="P94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2"/>
      <c r="R94" s="292"/>
      <c r="S94" s="292"/>
      <c r="T94" s="293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ref="Y94:Y99" si="6">IFERROR(IF(X94="","",X94),"")</f>
        <v>0</v>
      </c>
      <c r="Z94" s="39">
        <f t="shared" ref="Z94:Z99" si="7">IFERROR(IF(X94="","",X94*0.01788),"")</f>
        <v>0</v>
      </c>
      <c r="AA94" s="65" t="s">
        <v>46</v>
      </c>
      <c r="AB94" s="66" t="s">
        <v>46</v>
      </c>
      <c r="AC94" s="142" t="s">
        <v>169</v>
      </c>
      <c r="AG94" s="78"/>
      <c r="AJ94" s="82" t="s">
        <v>89</v>
      </c>
      <c r="AK94" s="82">
        <v>1</v>
      </c>
      <c r="BB94" s="143" t="s">
        <v>117</v>
      </c>
      <c r="BM94" s="78">
        <f t="shared" ref="BM94:BM99" si="8">IFERROR(X94*I94,"0")</f>
        <v>0</v>
      </c>
      <c r="BN94" s="78">
        <f t="shared" ref="BN94:BN99" si="9">IFERROR(Y94*I94,"0")</f>
        <v>0</v>
      </c>
      <c r="BO94" s="78">
        <f t="shared" ref="BO94:BO99" si="10">IFERROR(X94/J94,"0")</f>
        <v>0</v>
      </c>
      <c r="BP94" s="78">
        <f t="shared" ref="BP94:BP99" si="11">IFERROR(Y94/J94,"0")</f>
        <v>0</v>
      </c>
    </row>
    <row r="95" spans="1:68" ht="27" customHeight="1" x14ac:dyDescent="0.25">
      <c r="A95" s="60" t="s">
        <v>181</v>
      </c>
      <c r="B95" s="60" t="s">
        <v>182</v>
      </c>
      <c r="C95" s="34">
        <v>4301135793</v>
      </c>
      <c r="D95" s="290">
        <v>4620207491003</v>
      </c>
      <c r="E95" s="290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118</v>
      </c>
      <c r="L95" s="35" t="s">
        <v>119</v>
      </c>
      <c r="M95" s="36" t="s">
        <v>86</v>
      </c>
      <c r="N95" s="36"/>
      <c r="O95" s="35">
        <v>180</v>
      </c>
      <c r="P95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2"/>
      <c r="R95" s="292"/>
      <c r="S95" s="292"/>
      <c r="T95" s="293"/>
      <c r="U95" s="37" t="s">
        <v>46</v>
      </c>
      <c r="V95" s="37" t="s">
        <v>46</v>
      </c>
      <c r="W95" s="38" t="s">
        <v>39</v>
      </c>
      <c r="X95" s="56">
        <v>98</v>
      </c>
      <c r="Y95" s="53">
        <f t="shared" si="6"/>
        <v>98</v>
      </c>
      <c r="Z95" s="39">
        <f t="shared" si="7"/>
        <v>1.75224</v>
      </c>
      <c r="AA95" s="65" t="s">
        <v>46</v>
      </c>
      <c r="AB95" s="66" t="s">
        <v>46</v>
      </c>
      <c r="AC95" s="144" t="s">
        <v>169</v>
      </c>
      <c r="AG95" s="78"/>
      <c r="AJ95" s="82" t="s">
        <v>120</v>
      </c>
      <c r="AK95" s="82">
        <v>14</v>
      </c>
      <c r="BB95" s="145" t="s">
        <v>117</v>
      </c>
      <c r="BM95" s="78">
        <f t="shared" si="8"/>
        <v>351.19280000000003</v>
      </c>
      <c r="BN95" s="78">
        <f t="shared" si="9"/>
        <v>351.19280000000003</v>
      </c>
      <c r="BO95" s="78">
        <f t="shared" si="10"/>
        <v>1.4</v>
      </c>
      <c r="BP95" s="78">
        <f t="shared" si="11"/>
        <v>1.4</v>
      </c>
    </row>
    <row r="96" spans="1:68" ht="27" hidden="1" customHeight="1" x14ac:dyDescent="0.25">
      <c r="A96" s="60" t="s">
        <v>183</v>
      </c>
      <c r="B96" s="60" t="s">
        <v>184</v>
      </c>
      <c r="C96" s="34">
        <v>4301135990</v>
      </c>
      <c r="D96" s="290">
        <v>4620207491881</v>
      </c>
      <c r="E96" s="290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118</v>
      </c>
      <c r="L96" s="35" t="s">
        <v>88</v>
      </c>
      <c r="M96" s="36" t="s">
        <v>86</v>
      </c>
      <c r="N96" s="36"/>
      <c r="O96" s="35">
        <v>180</v>
      </c>
      <c r="P96" s="37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2"/>
      <c r="R96" s="292"/>
      <c r="S96" s="292"/>
      <c r="T96" s="293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185</v>
      </c>
      <c r="AG96" s="78"/>
      <c r="AJ96" s="82" t="s">
        <v>89</v>
      </c>
      <c r="AK96" s="82">
        <v>1</v>
      </c>
      <c r="BB96" s="147" t="s">
        <v>117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186</v>
      </c>
      <c r="B97" s="60" t="s">
        <v>187</v>
      </c>
      <c r="C97" s="34">
        <v>4301135760</v>
      </c>
      <c r="D97" s="290">
        <v>4620207491010</v>
      </c>
      <c r="E97" s="290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118</v>
      </c>
      <c r="L97" s="35" t="s">
        <v>119</v>
      </c>
      <c r="M97" s="36" t="s">
        <v>86</v>
      </c>
      <c r="N97" s="36"/>
      <c r="O97" s="35">
        <v>180</v>
      </c>
      <c r="P97" s="37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2"/>
      <c r="R97" s="292"/>
      <c r="S97" s="292"/>
      <c r="T97" s="293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si="6"/>
        <v>70</v>
      </c>
      <c r="Z97" s="39">
        <f t="shared" si="7"/>
        <v>1.2516</v>
      </c>
      <c r="AA97" s="65" t="s">
        <v>46</v>
      </c>
      <c r="AB97" s="66" t="s">
        <v>46</v>
      </c>
      <c r="AC97" s="148" t="s">
        <v>169</v>
      </c>
      <c r="AG97" s="78"/>
      <c r="AJ97" s="82" t="s">
        <v>120</v>
      </c>
      <c r="AK97" s="82">
        <v>14</v>
      </c>
      <c r="BB97" s="149" t="s">
        <v>117</v>
      </c>
      <c r="BM97" s="78">
        <f t="shared" si="8"/>
        <v>250.852</v>
      </c>
      <c r="BN97" s="78">
        <f t="shared" si="9"/>
        <v>250.852</v>
      </c>
      <c r="BO97" s="78">
        <f t="shared" si="10"/>
        <v>1</v>
      </c>
      <c r="BP97" s="78">
        <f t="shared" si="11"/>
        <v>1</v>
      </c>
    </row>
    <row r="98" spans="1:68" ht="27" hidden="1" customHeight="1" x14ac:dyDescent="0.25">
      <c r="A98" s="60" t="s">
        <v>188</v>
      </c>
      <c r="B98" s="60" t="s">
        <v>189</v>
      </c>
      <c r="C98" s="34">
        <v>4301135984</v>
      </c>
      <c r="D98" s="290">
        <v>4620207491874</v>
      </c>
      <c r="E98" s="290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118</v>
      </c>
      <c r="L98" s="35" t="s">
        <v>88</v>
      </c>
      <c r="M98" s="36" t="s">
        <v>86</v>
      </c>
      <c r="N98" s="36"/>
      <c r="O98" s="35">
        <v>180</v>
      </c>
      <c r="P98" s="37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2"/>
      <c r="R98" s="292"/>
      <c r="S98" s="292"/>
      <c r="T98" s="293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185</v>
      </c>
      <c r="AG98" s="78"/>
      <c r="AJ98" s="82" t="s">
        <v>89</v>
      </c>
      <c r="AK98" s="82">
        <v>1</v>
      </c>
      <c r="BB98" s="151" t="s">
        <v>117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customHeight="1" x14ac:dyDescent="0.25">
      <c r="A99" s="60" t="s">
        <v>190</v>
      </c>
      <c r="B99" s="60" t="s">
        <v>191</v>
      </c>
      <c r="C99" s="34">
        <v>4301135285</v>
      </c>
      <c r="D99" s="290">
        <v>4607111036407</v>
      </c>
      <c r="E99" s="290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7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2"/>
      <c r="R99" s="292"/>
      <c r="S99" s="292"/>
      <c r="T99" s="293"/>
      <c r="U99" s="37" t="s">
        <v>46</v>
      </c>
      <c r="V99" s="37" t="s">
        <v>46</v>
      </c>
      <c r="W99" s="38" t="s">
        <v>39</v>
      </c>
      <c r="X99" s="56">
        <v>28</v>
      </c>
      <c r="Y99" s="53">
        <f t="shared" si="6"/>
        <v>28</v>
      </c>
      <c r="Z99" s="39">
        <f t="shared" si="7"/>
        <v>0.50063999999999997</v>
      </c>
      <c r="AA99" s="65" t="s">
        <v>46</v>
      </c>
      <c r="AB99" s="66" t="s">
        <v>46</v>
      </c>
      <c r="AC99" s="152" t="s">
        <v>192</v>
      </c>
      <c r="AG99" s="78"/>
      <c r="AJ99" s="82" t="s">
        <v>120</v>
      </c>
      <c r="AK99" s="82">
        <v>14</v>
      </c>
      <c r="BB99" s="153" t="s">
        <v>117</v>
      </c>
      <c r="BM99" s="78">
        <f t="shared" si="8"/>
        <v>126.81760000000001</v>
      </c>
      <c r="BN99" s="78">
        <f t="shared" si="9"/>
        <v>126.81760000000001</v>
      </c>
      <c r="BO99" s="78">
        <f t="shared" si="10"/>
        <v>0.4</v>
      </c>
      <c r="BP99" s="78">
        <f t="shared" si="11"/>
        <v>0.4</v>
      </c>
    </row>
    <row r="100" spans="1:68" x14ac:dyDescent="0.2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8"/>
      <c r="P100" s="294" t="s">
        <v>40</v>
      </c>
      <c r="Q100" s="295"/>
      <c r="R100" s="295"/>
      <c r="S100" s="295"/>
      <c r="T100" s="295"/>
      <c r="U100" s="295"/>
      <c r="V100" s="296"/>
      <c r="W100" s="40" t="s">
        <v>39</v>
      </c>
      <c r="X100" s="41">
        <f>IFERROR(SUM(X94:X99),"0")</f>
        <v>196</v>
      </c>
      <c r="Y100" s="41">
        <f>IFERROR(SUM(Y94:Y99),"0")</f>
        <v>196</v>
      </c>
      <c r="Z100" s="41">
        <f>IFERROR(IF(Z94="",0,Z94),"0")+IFERROR(IF(Z95="",0,Z95),"0")+IFERROR(IF(Z96="",0,Z96),"0")+IFERROR(IF(Z97="",0,Z97),"0")+IFERROR(IF(Z98="",0,Z98),"0")+IFERROR(IF(Z99="",0,Z99),"0")</f>
        <v>3.50448</v>
      </c>
      <c r="AA100" s="64"/>
      <c r="AB100" s="64"/>
      <c r="AC100" s="64"/>
    </row>
    <row r="101" spans="1:68" x14ac:dyDescent="0.2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8"/>
      <c r="P101" s="294" t="s">
        <v>40</v>
      </c>
      <c r="Q101" s="295"/>
      <c r="R101" s="295"/>
      <c r="S101" s="295"/>
      <c r="T101" s="295"/>
      <c r="U101" s="295"/>
      <c r="V101" s="296"/>
      <c r="W101" s="40" t="s">
        <v>0</v>
      </c>
      <c r="X101" s="41">
        <f>IFERROR(SUMPRODUCT(X94:X99*H94:H99),"0")</f>
        <v>601.44000000000005</v>
      </c>
      <c r="Y101" s="41">
        <f>IFERROR(SUMPRODUCT(Y94:Y99*H94:H99),"0")</f>
        <v>601.44000000000005</v>
      </c>
      <c r="Z101" s="40"/>
      <c r="AA101" s="64"/>
      <c r="AB101" s="64"/>
      <c r="AC101" s="64"/>
    </row>
    <row r="102" spans="1:68" ht="16.5" hidden="1" customHeight="1" x14ac:dyDescent="0.25">
      <c r="A102" s="318" t="s">
        <v>193</v>
      </c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62"/>
      <c r="AB102" s="62"/>
      <c r="AC102" s="62"/>
    </row>
    <row r="103" spans="1:68" ht="14.25" hidden="1" customHeight="1" x14ac:dyDescent="0.25">
      <c r="A103" s="308" t="s">
        <v>145</v>
      </c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63"/>
      <c r="AB103" s="63"/>
      <c r="AC103" s="63"/>
    </row>
    <row r="104" spans="1:68" ht="27" customHeight="1" x14ac:dyDescent="0.25">
      <c r="A104" s="60" t="s">
        <v>194</v>
      </c>
      <c r="B104" s="60" t="s">
        <v>195</v>
      </c>
      <c r="C104" s="34">
        <v>4301136070</v>
      </c>
      <c r="D104" s="290">
        <v>4607025784012</v>
      </c>
      <c r="E104" s="290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2"/>
      <c r="R104" s="292"/>
      <c r="S104" s="292"/>
      <c r="T104" s="293"/>
      <c r="U104" s="37" t="s">
        <v>46</v>
      </c>
      <c r="V104" s="37" t="s">
        <v>46</v>
      </c>
      <c r="W104" s="38" t="s">
        <v>39</v>
      </c>
      <c r="X104" s="56">
        <v>98</v>
      </c>
      <c r="Y104" s="53">
        <f>IFERROR(IF(X104="","",X104),"")</f>
        <v>98</v>
      </c>
      <c r="Z104" s="39">
        <f>IFERROR(IF(X104="","",X104*0.00936),"")</f>
        <v>0.91727999999999998</v>
      </c>
      <c r="AA104" s="65" t="s">
        <v>46</v>
      </c>
      <c r="AB104" s="66" t="s">
        <v>46</v>
      </c>
      <c r="AC104" s="154" t="s">
        <v>196</v>
      </c>
      <c r="AG104" s="78"/>
      <c r="AJ104" s="82" t="s">
        <v>120</v>
      </c>
      <c r="AK104" s="82">
        <v>14</v>
      </c>
      <c r="BB104" s="155" t="s">
        <v>117</v>
      </c>
      <c r="BM104" s="78">
        <f>IFERROR(X104*I104,"0")</f>
        <v>244.13760000000002</v>
      </c>
      <c r="BN104" s="78">
        <f>IFERROR(Y104*I104,"0")</f>
        <v>244.13760000000002</v>
      </c>
      <c r="BO104" s="78">
        <f>IFERROR(X104/J104,"0")</f>
        <v>0.77777777777777779</v>
      </c>
      <c r="BP104" s="78">
        <f>IFERROR(Y104/J104,"0")</f>
        <v>0.77777777777777779</v>
      </c>
    </row>
    <row r="105" spans="1:68" ht="27" hidden="1" customHeight="1" x14ac:dyDescent="0.25">
      <c r="A105" s="60" t="s">
        <v>197</v>
      </c>
      <c r="B105" s="60" t="s">
        <v>198</v>
      </c>
      <c r="C105" s="34">
        <v>4301136103</v>
      </c>
      <c r="D105" s="290">
        <v>4620207491645</v>
      </c>
      <c r="E105" s="290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118</v>
      </c>
      <c r="L105" s="35" t="s">
        <v>88</v>
      </c>
      <c r="M105" s="36" t="s">
        <v>86</v>
      </c>
      <c r="N105" s="36"/>
      <c r="O105" s="35">
        <v>180</v>
      </c>
      <c r="P105" s="3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2"/>
      <c r="R105" s="292"/>
      <c r="S105" s="292"/>
      <c r="T105" s="293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199</v>
      </c>
      <c r="AG105" s="78"/>
      <c r="AJ105" s="82" t="s">
        <v>89</v>
      </c>
      <c r="AK105" s="82">
        <v>1</v>
      </c>
      <c r="BB105" s="157" t="s">
        <v>117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x14ac:dyDescent="0.2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8"/>
      <c r="P106" s="294" t="s">
        <v>40</v>
      </c>
      <c r="Q106" s="295"/>
      <c r="R106" s="295"/>
      <c r="S106" s="295"/>
      <c r="T106" s="295"/>
      <c r="U106" s="295"/>
      <c r="V106" s="296"/>
      <c r="W106" s="40" t="s">
        <v>39</v>
      </c>
      <c r="X106" s="41">
        <f>IFERROR(SUM(X104:X105),"0")</f>
        <v>98</v>
      </c>
      <c r="Y106" s="41">
        <f>IFERROR(SUM(Y104:Y105),"0")</f>
        <v>98</v>
      </c>
      <c r="Z106" s="41">
        <f>IFERROR(IF(Z104="",0,Z104),"0")+IFERROR(IF(Z105="",0,Z105),"0")</f>
        <v>0.91727999999999998</v>
      </c>
      <c r="AA106" s="64"/>
      <c r="AB106" s="64"/>
      <c r="AC106" s="64"/>
    </row>
    <row r="107" spans="1:68" x14ac:dyDescent="0.2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8"/>
      <c r="P107" s="294" t="s">
        <v>40</v>
      </c>
      <c r="Q107" s="295"/>
      <c r="R107" s="295"/>
      <c r="S107" s="295"/>
      <c r="T107" s="295"/>
      <c r="U107" s="295"/>
      <c r="V107" s="296"/>
      <c r="W107" s="40" t="s">
        <v>0</v>
      </c>
      <c r="X107" s="41">
        <f>IFERROR(SUMPRODUCT(X104:X105*H104:H105),"0")</f>
        <v>211.68</v>
      </c>
      <c r="Y107" s="41">
        <f>IFERROR(SUMPRODUCT(Y104:Y105*H104:H105),"0")</f>
        <v>211.68</v>
      </c>
      <c r="Z107" s="40"/>
      <c r="AA107" s="64"/>
      <c r="AB107" s="64"/>
      <c r="AC107" s="64"/>
    </row>
    <row r="108" spans="1:68" ht="16.5" hidden="1" customHeight="1" x14ac:dyDescent="0.25">
      <c r="A108" s="318" t="s">
        <v>200</v>
      </c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62"/>
      <c r="AB108" s="62"/>
      <c r="AC108" s="62"/>
    </row>
    <row r="109" spans="1:68" ht="14.25" hidden="1" customHeight="1" x14ac:dyDescent="0.25">
      <c r="A109" s="308" t="s">
        <v>82</v>
      </c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63"/>
      <c r="AB109" s="63"/>
      <c r="AC109" s="63"/>
    </row>
    <row r="110" spans="1:68" ht="27" hidden="1" customHeight="1" x14ac:dyDescent="0.25">
      <c r="A110" s="60" t="s">
        <v>201</v>
      </c>
      <c r="B110" s="60" t="s">
        <v>202</v>
      </c>
      <c r="C110" s="34">
        <v>4301071074</v>
      </c>
      <c r="D110" s="290">
        <v>4620207491157</v>
      </c>
      <c r="E110" s="290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87</v>
      </c>
      <c r="L110" s="35" t="s">
        <v>119</v>
      </c>
      <c r="M110" s="36" t="s">
        <v>86</v>
      </c>
      <c r="N110" s="36"/>
      <c r="O110" s="35">
        <v>180</v>
      </c>
      <c r="P110" s="36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2"/>
      <c r="R110" s="292"/>
      <c r="S110" s="292"/>
      <c r="T110" s="293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8" si="12">IFERROR(IF(X110="","",X110),"")</f>
        <v>0</v>
      </c>
      <c r="Z110" s="39">
        <f t="shared" ref="Z110:Z118" si="13">IFERROR(IF(X110="","",X110*0.0155),"")</f>
        <v>0</v>
      </c>
      <c r="AA110" s="65" t="s">
        <v>46</v>
      </c>
      <c r="AB110" s="66" t="s">
        <v>46</v>
      </c>
      <c r="AC110" s="158" t="s">
        <v>203</v>
      </c>
      <c r="AG110" s="78"/>
      <c r="AJ110" s="82" t="s">
        <v>120</v>
      </c>
      <c r="AK110" s="82">
        <v>12</v>
      </c>
      <c r="BB110" s="159" t="s">
        <v>70</v>
      </c>
      <c r="BM110" s="78">
        <f t="shared" ref="BM110:BM118" si="14">IFERROR(X110*I110,"0")</f>
        <v>0</v>
      </c>
      <c r="BN110" s="78">
        <f t="shared" ref="BN110:BN118" si="15">IFERROR(Y110*I110,"0")</f>
        <v>0</v>
      </c>
      <c r="BO110" s="78">
        <f t="shared" ref="BO110:BO118" si="16">IFERROR(X110/J110,"0")</f>
        <v>0</v>
      </c>
      <c r="BP110" s="78">
        <f t="shared" ref="BP110:BP118" si="17">IFERROR(Y110/J110,"0")</f>
        <v>0</v>
      </c>
    </row>
    <row r="111" spans="1:68" ht="27" hidden="1" customHeight="1" x14ac:dyDescent="0.25">
      <c r="A111" s="60" t="s">
        <v>204</v>
      </c>
      <c r="B111" s="60" t="s">
        <v>205</v>
      </c>
      <c r="C111" s="34">
        <v>4301071121</v>
      </c>
      <c r="D111" s="290">
        <v>4620207491393</v>
      </c>
      <c r="E111" s="290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87</v>
      </c>
      <c r="L111" s="35" t="s">
        <v>88</v>
      </c>
      <c r="M111" s="36" t="s">
        <v>86</v>
      </c>
      <c r="N111" s="36"/>
      <c r="O111" s="35">
        <v>180</v>
      </c>
      <c r="P111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2"/>
      <c r="R111" s="292"/>
      <c r="S111" s="292"/>
      <c r="T111" s="293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206</v>
      </c>
      <c r="AG111" s="78"/>
      <c r="AJ111" s="82" t="s">
        <v>89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207</v>
      </c>
      <c r="B112" s="60" t="s">
        <v>208</v>
      </c>
      <c r="C112" s="34">
        <v>4301071136</v>
      </c>
      <c r="D112" s="290">
        <v>4620207491829</v>
      </c>
      <c r="E112" s="290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87</v>
      </c>
      <c r="L112" s="35" t="s">
        <v>88</v>
      </c>
      <c r="M112" s="36" t="s">
        <v>86</v>
      </c>
      <c r="N112" s="36"/>
      <c r="O112" s="35">
        <v>180</v>
      </c>
      <c r="P112" s="364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2"/>
      <c r="R112" s="292"/>
      <c r="S112" s="292"/>
      <c r="T112" s="293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206</v>
      </c>
      <c r="AG112" s="78"/>
      <c r="AJ112" s="82" t="s">
        <v>89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209</v>
      </c>
      <c r="B113" s="60" t="s">
        <v>210</v>
      </c>
      <c r="C113" s="34">
        <v>4301071051</v>
      </c>
      <c r="D113" s="290">
        <v>4607111039262</v>
      </c>
      <c r="E113" s="290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87</v>
      </c>
      <c r="L113" s="35" t="s">
        <v>119</v>
      </c>
      <c r="M113" s="36" t="s">
        <v>86</v>
      </c>
      <c r="N113" s="36"/>
      <c r="O113" s="35">
        <v>180</v>
      </c>
      <c r="P113" s="3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2"/>
      <c r="R113" s="292"/>
      <c r="S113" s="292"/>
      <c r="T113" s="293"/>
      <c r="U113" s="37" t="s">
        <v>46</v>
      </c>
      <c r="V113" s="37" t="s">
        <v>46</v>
      </c>
      <c r="W113" s="38" t="s">
        <v>39</v>
      </c>
      <c r="X113" s="56">
        <v>72</v>
      </c>
      <c r="Y113" s="53">
        <f t="shared" si="12"/>
        <v>72</v>
      </c>
      <c r="Z113" s="39">
        <f t="shared" si="13"/>
        <v>1.1160000000000001</v>
      </c>
      <c r="AA113" s="65" t="s">
        <v>46</v>
      </c>
      <c r="AB113" s="66" t="s">
        <v>46</v>
      </c>
      <c r="AC113" s="164" t="s">
        <v>162</v>
      </c>
      <c r="AG113" s="78"/>
      <c r="AJ113" s="82" t="s">
        <v>120</v>
      </c>
      <c r="AK113" s="82">
        <v>12</v>
      </c>
      <c r="BB113" s="165" t="s">
        <v>70</v>
      </c>
      <c r="BM113" s="78">
        <f t="shared" si="14"/>
        <v>483.81119999999999</v>
      </c>
      <c r="BN113" s="78">
        <f t="shared" si="15"/>
        <v>483.81119999999999</v>
      </c>
      <c r="BO113" s="78">
        <f t="shared" si="16"/>
        <v>0.8571428571428571</v>
      </c>
      <c r="BP113" s="78">
        <f t="shared" si="17"/>
        <v>0.8571428571428571</v>
      </c>
    </row>
    <row r="114" spans="1:68" ht="27" customHeight="1" x14ac:dyDescent="0.25">
      <c r="A114" s="60" t="s">
        <v>211</v>
      </c>
      <c r="B114" s="60" t="s">
        <v>212</v>
      </c>
      <c r="C114" s="34">
        <v>4301071038</v>
      </c>
      <c r="D114" s="290">
        <v>4607111039248</v>
      </c>
      <c r="E114" s="290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87</v>
      </c>
      <c r="L114" s="35" t="s">
        <v>119</v>
      </c>
      <c r="M114" s="36" t="s">
        <v>86</v>
      </c>
      <c r="N114" s="36"/>
      <c r="O114" s="35">
        <v>180</v>
      </c>
      <c r="P114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2"/>
      <c r="R114" s="292"/>
      <c r="S114" s="292"/>
      <c r="T114" s="293"/>
      <c r="U114" s="37" t="s">
        <v>46</v>
      </c>
      <c r="V114" s="37" t="s">
        <v>46</v>
      </c>
      <c r="W114" s="38" t="s">
        <v>39</v>
      </c>
      <c r="X114" s="56">
        <v>168</v>
      </c>
      <c r="Y114" s="53">
        <f t="shared" si="12"/>
        <v>168</v>
      </c>
      <c r="Z114" s="39">
        <f t="shared" si="13"/>
        <v>2.6040000000000001</v>
      </c>
      <c r="AA114" s="65" t="s">
        <v>46</v>
      </c>
      <c r="AB114" s="66" t="s">
        <v>46</v>
      </c>
      <c r="AC114" s="166" t="s">
        <v>162</v>
      </c>
      <c r="AG114" s="78"/>
      <c r="AJ114" s="82" t="s">
        <v>120</v>
      </c>
      <c r="AK114" s="82">
        <v>12</v>
      </c>
      <c r="BB114" s="167" t="s">
        <v>70</v>
      </c>
      <c r="BM114" s="78">
        <f t="shared" si="14"/>
        <v>1226.3999999999999</v>
      </c>
      <c r="BN114" s="78">
        <f t="shared" si="15"/>
        <v>1226.3999999999999</v>
      </c>
      <c r="BO114" s="78">
        <f t="shared" si="16"/>
        <v>2</v>
      </c>
      <c r="BP114" s="78">
        <f t="shared" si="17"/>
        <v>2</v>
      </c>
    </row>
    <row r="115" spans="1:68" ht="27" hidden="1" customHeight="1" x14ac:dyDescent="0.25">
      <c r="A115" s="60" t="s">
        <v>213</v>
      </c>
      <c r="B115" s="60" t="s">
        <v>214</v>
      </c>
      <c r="C115" s="34">
        <v>4301070979</v>
      </c>
      <c r="D115" s="290">
        <v>4607111037145</v>
      </c>
      <c r="E115" s="290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87</v>
      </c>
      <c r="L115" s="35" t="s">
        <v>88</v>
      </c>
      <c r="M115" s="36" t="s">
        <v>86</v>
      </c>
      <c r="N115" s="36"/>
      <c r="O115" s="35">
        <v>180</v>
      </c>
      <c r="P115" s="36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2"/>
      <c r="R115" s="292"/>
      <c r="S115" s="292"/>
      <c r="T115" s="293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215</v>
      </c>
      <c r="AG115" s="78"/>
      <c r="AJ115" s="82" t="s">
        <v>89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216</v>
      </c>
      <c r="B116" s="60" t="s">
        <v>217</v>
      </c>
      <c r="C116" s="34">
        <v>4301071075</v>
      </c>
      <c r="D116" s="290">
        <v>4620207491102</v>
      </c>
      <c r="E116" s="290"/>
      <c r="F116" s="59">
        <v>0.7</v>
      </c>
      <c r="G116" s="35">
        <v>10</v>
      </c>
      <c r="H116" s="59">
        <v>7</v>
      </c>
      <c r="I116" s="59">
        <v>7.23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6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2"/>
      <c r="R116" s="292"/>
      <c r="S116" s="292"/>
      <c r="T116" s="293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218</v>
      </c>
      <c r="AG116" s="78"/>
      <c r="AJ116" s="82" t="s">
        <v>89</v>
      </c>
      <c r="AK116" s="82">
        <v>1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219</v>
      </c>
      <c r="B117" s="60" t="s">
        <v>220</v>
      </c>
      <c r="C117" s="34">
        <v>4301071049</v>
      </c>
      <c r="D117" s="290">
        <v>4607111039293</v>
      </c>
      <c r="E117" s="290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3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2"/>
      <c r="R117" s="292"/>
      <c r="S117" s="292"/>
      <c r="T117" s="293"/>
      <c r="U117" s="37" t="s">
        <v>46</v>
      </c>
      <c r="V117" s="37" t="s">
        <v>46</v>
      </c>
      <c r="W117" s="38" t="s">
        <v>39</v>
      </c>
      <c r="X117" s="56">
        <v>84</v>
      </c>
      <c r="Y117" s="53">
        <f t="shared" si="12"/>
        <v>84</v>
      </c>
      <c r="Z117" s="39">
        <f t="shared" si="13"/>
        <v>1.302</v>
      </c>
      <c r="AA117" s="65" t="s">
        <v>46</v>
      </c>
      <c r="AB117" s="66" t="s">
        <v>46</v>
      </c>
      <c r="AC117" s="172" t="s">
        <v>162</v>
      </c>
      <c r="AG117" s="78"/>
      <c r="AJ117" s="82" t="s">
        <v>120</v>
      </c>
      <c r="AK117" s="82">
        <v>12</v>
      </c>
      <c r="BB117" s="173" t="s">
        <v>70</v>
      </c>
      <c r="BM117" s="78">
        <f t="shared" si="14"/>
        <v>564.44640000000004</v>
      </c>
      <c r="BN117" s="78">
        <f t="shared" si="15"/>
        <v>564.44640000000004</v>
      </c>
      <c r="BO117" s="78">
        <f t="shared" si="16"/>
        <v>1</v>
      </c>
      <c r="BP117" s="78">
        <f t="shared" si="17"/>
        <v>1</v>
      </c>
    </row>
    <row r="118" spans="1:68" ht="27" customHeight="1" x14ac:dyDescent="0.25">
      <c r="A118" s="60" t="s">
        <v>221</v>
      </c>
      <c r="B118" s="60" t="s">
        <v>222</v>
      </c>
      <c r="C118" s="34">
        <v>4301071039</v>
      </c>
      <c r="D118" s="290">
        <v>4607111039279</v>
      </c>
      <c r="E118" s="290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2"/>
      <c r="R118" s="292"/>
      <c r="S118" s="292"/>
      <c r="T118" s="293"/>
      <c r="U118" s="37" t="s">
        <v>46</v>
      </c>
      <c r="V118" s="37" t="s">
        <v>46</v>
      </c>
      <c r="W118" s="38" t="s">
        <v>39</v>
      </c>
      <c r="X118" s="56">
        <v>144</v>
      </c>
      <c r="Y118" s="53">
        <f t="shared" si="12"/>
        <v>144</v>
      </c>
      <c r="Z118" s="39">
        <f t="shared" si="13"/>
        <v>2.2320000000000002</v>
      </c>
      <c r="AA118" s="65" t="s">
        <v>46</v>
      </c>
      <c r="AB118" s="66" t="s">
        <v>46</v>
      </c>
      <c r="AC118" s="174" t="s">
        <v>162</v>
      </c>
      <c r="AG118" s="78"/>
      <c r="AJ118" s="82" t="s">
        <v>120</v>
      </c>
      <c r="AK118" s="82">
        <v>12</v>
      </c>
      <c r="BB118" s="175" t="s">
        <v>70</v>
      </c>
      <c r="BM118" s="78">
        <f t="shared" si="14"/>
        <v>1051.2</v>
      </c>
      <c r="BN118" s="78">
        <f t="shared" si="15"/>
        <v>1051.2</v>
      </c>
      <c r="BO118" s="78">
        <f t="shared" si="16"/>
        <v>1.7142857142857142</v>
      </c>
      <c r="BP118" s="78">
        <f t="shared" si="17"/>
        <v>1.7142857142857142</v>
      </c>
    </row>
    <row r="119" spans="1:68" x14ac:dyDescent="0.2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8"/>
      <c r="P119" s="294" t="s">
        <v>40</v>
      </c>
      <c r="Q119" s="295"/>
      <c r="R119" s="295"/>
      <c r="S119" s="295"/>
      <c r="T119" s="295"/>
      <c r="U119" s="295"/>
      <c r="V119" s="296"/>
      <c r="W119" s="40" t="s">
        <v>39</v>
      </c>
      <c r="X119" s="41">
        <f>IFERROR(SUM(X110:X118),"0")</f>
        <v>468</v>
      </c>
      <c r="Y119" s="41">
        <f>IFERROR(SUM(Y110:Y118),"0")</f>
        <v>468</v>
      </c>
      <c r="Z119" s="41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7.2540000000000004</v>
      </c>
      <c r="AA119" s="64"/>
      <c r="AB119" s="64"/>
      <c r="AC119" s="64"/>
    </row>
    <row r="120" spans="1:68" x14ac:dyDescent="0.2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8"/>
      <c r="P120" s="294" t="s">
        <v>40</v>
      </c>
      <c r="Q120" s="295"/>
      <c r="R120" s="295"/>
      <c r="S120" s="295"/>
      <c r="T120" s="295"/>
      <c r="U120" s="295"/>
      <c r="V120" s="296"/>
      <c r="W120" s="40" t="s">
        <v>0</v>
      </c>
      <c r="X120" s="41">
        <f>IFERROR(SUMPRODUCT(X110:X118*H110:H118),"0")</f>
        <v>3182.4</v>
      </c>
      <c r="Y120" s="41">
        <f>IFERROR(SUMPRODUCT(Y110:Y118*H110:H118),"0")</f>
        <v>3182.4</v>
      </c>
      <c r="Z120" s="40"/>
      <c r="AA120" s="64"/>
      <c r="AB120" s="64"/>
      <c r="AC120" s="64"/>
    </row>
    <row r="121" spans="1:68" ht="14.25" hidden="1" customHeight="1" x14ac:dyDescent="0.25">
      <c r="A121" s="308" t="s">
        <v>151</v>
      </c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63"/>
      <c r="AB121" s="63"/>
      <c r="AC121" s="63"/>
    </row>
    <row r="122" spans="1:68" ht="27" hidden="1" customHeight="1" x14ac:dyDescent="0.25">
      <c r="A122" s="60" t="s">
        <v>223</v>
      </c>
      <c r="B122" s="60" t="s">
        <v>224</v>
      </c>
      <c r="C122" s="34">
        <v>4301135826</v>
      </c>
      <c r="D122" s="290">
        <v>4620207490983</v>
      </c>
      <c r="E122" s="290"/>
      <c r="F122" s="59">
        <v>0.22</v>
      </c>
      <c r="G122" s="35">
        <v>12</v>
      </c>
      <c r="H122" s="59">
        <v>2.64</v>
      </c>
      <c r="I122" s="59">
        <v>3.3435999999999999</v>
      </c>
      <c r="J122" s="35">
        <v>70</v>
      </c>
      <c r="K122" s="35" t="s">
        <v>118</v>
      </c>
      <c r="L122" s="35" t="s">
        <v>88</v>
      </c>
      <c r="M122" s="36" t="s">
        <v>86</v>
      </c>
      <c r="N122" s="36"/>
      <c r="O122" s="35">
        <v>180</v>
      </c>
      <c r="P122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2"/>
      <c r="R122" s="292"/>
      <c r="S122" s="292"/>
      <c r="T122" s="293"/>
      <c r="U122" s="37" t="s">
        <v>46</v>
      </c>
      <c r="V122" s="37" t="s">
        <v>46</v>
      </c>
      <c r="W122" s="38" t="s">
        <v>39</v>
      </c>
      <c r="X122" s="56">
        <v>0</v>
      </c>
      <c r="Y122" s="53">
        <f>IFERROR(IF(X122="","",X122),"")</f>
        <v>0</v>
      </c>
      <c r="Z122" s="39">
        <f>IFERROR(IF(X122="","",X122*0.01788),"")</f>
        <v>0</v>
      </c>
      <c r="AA122" s="65" t="s">
        <v>46</v>
      </c>
      <c r="AB122" s="66" t="s">
        <v>46</v>
      </c>
      <c r="AC122" s="176" t="s">
        <v>225</v>
      </c>
      <c r="AG122" s="78"/>
      <c r="AJ122" s="82" t="s">
        <v>89</v>
      </c>
      <c r="AK122" s="82">
        <v>1</v>
      </c>
      <c r="BB122" s="177" t="s">
        <v>117</v>
      </c>
      <c r="BM122" s="78">
        <f>IFERROR(X122*I122,"0")</f>
        <v>0</v>
      </c>
      <c r="BN122" s="78">
        <f>IFERROR(Y122*I122,"0")</f>
        <v>0</v>
      </c>
      <c r="BO122" s="78">
        <f>IFERROR(X122/J122,"0")</f>
        <v>0</v>
      </c>
      <c r="BP122" s="78">
        <f>IFERROR(Y122/J122,"0")</f>
        <v>0</v>
      </c>
    </row>
    <row r="123" spans="1:68" hidden="1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0" t="s">
        <v>39</v>
      </c>
      <c r="X123" s="41">
        <f>IFERROR(SUM(X122:X122),"0")</f>
        <v>0</v>
      </c>
      <c r="Y123" s="41">
        <f>IFERROR(SUM(Y122:Y122),"0")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0" t="s">
        <v>0</v>
      </c>
      <c r="X124" s="41">
        <f>IFERROR(SUMPRODUCT(X122:X122*H122:H122),"0")</f>
        <v>0</v>
      </c>
      <c r="Y124" s="41">
        <f>IFERROR(SUMPRODUCT(Y122:Y122*H122:H122),"0")</f>
        <v>0</v>
      </c>
      <c r="Z124" s="40"/>
      <c r="AA124" s="64"/>
      <c r="AB124" s="64"/>
      <c r="AC124" s="64"/>
    </row>
    <row r="125" spans="1:68" ht="14.25" hidden="1" customHeight="1" x14ac:dyDescent="0.25">
      <c r="A125" s="308" t="s">
        <v>226</v>
      </c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63"/>
      <c r="AB125" s="63"/>
      <c r="AC125" s="63"/>
    </row>
    <row r="126" spans="1:68" ht="27" hidden="1" customHeight="1" x14ac:dyDescent="0.25">
      <c r="A126" s="60" t="s">
        <v>227</v>
      </c>
      <c r="B126" s="60" t="s">
        <v>228</v>
      </c>
      <c r="C126" s="34">
        <v>4301071094</v>
      </c>
      <c r="D126" s="290">
        <v>4620207491140</v>
      </c>
      <c r="E126" s="290"/>
      <c r="F126" s="59">
        <v>0.6</v>
      </c>
      <c r="G126" s="35">
        <v>10</v>
      </c>
      <c r="H126" s="59">
        <v>6</v>
      </c>
      <c r="I126" s="59">
        <v>6.28</v>
      </c>
      <c r="J126" s="35">
        <v>84</v>
      </c>
      <c r="K126" s="35" t="s">
        <v>87</v>
      </c>
      <c r="L126" s="35" t="s">
        <v>88</v>
      </c>
      <c r="M126" s="36" t="s">
        <v>86</v>
      </c>
      <c r="N126" s="36"/>
      <c r="O126" s="35">
        <v>180</v>
      </c>
      <c r="P126" s="35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2"/>
      <c r="R126" s="292"/>
      <c r="S126" s="292"/>
      <c r="T126" s="293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IFERROR(IF(X126="","",X126*0.0155),"")</f>
        <v>0</v>
      </c>
      <c r="AA126" s="65" t="s">
        <v>46</v>
      </c>
      <c r="AB126" s="66" t="s">
        <v>46</v>
      </c>
      <c r="AC126" s="178" t="s">
        <v>229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8"/>
      <c r="P127" s="294" t="s">
        <v>40</v>
      </c>
      <c r="Q127" s="295"/>
      <c r="R127" s="295"/>
      <c r="S127" s="295"/>
      <c r="T127" s="295"/>
      <c r="U127" s="295"/>
      <c r="V127" s="296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6.5" hidden="1" customHeight="1" x14ac:dyDescent="0.25">
      <c r="A129" s="318" t="s">
        <v>230</v>
      </c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62"/>
      <c r="AB129" s="62"/>
      <c r="AC129" s="62"/>
    </row>
    <row r="130" spans="1:68" ht="14.25" hidden="1" customHeight="1" x14ac:dyDescent="0.25">
      <c r="A130" s="308" t="s">
        <v>151</v>
      </c>
      <c r="B130" s="308"/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63"/>
      <c r="AB130" s="63"/>
      <c r="AC130" s="63"/>
    </row>
    <row r="131" spans="1:68" ht="27" hidden="1" customHeight="1" x14ac:dyDescent="0.25">
      <c r="A131" s="60" t="s">
        <v>231</v>
      </c>
      <c r="B131" s="60" t="s">
        <v>232</v>
      </c>
      <c r="C131" s="34">
        <v>4301135848</v>
      </c>
      <c r="D131" s="290">
        <v>4620207491799</v>
      </c>
      <c r="E131" s="290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118</v>
      </c>
      <c r="L131" s="35" t="s">
        <v>88</v>
      </c>
      <c r="M131" s="36" t="s">
        <v>86</v>
      </c>
      <c r="N131" s="36"/>
      <c r="O131" s="35">
        <v>180</v>
      </c>
      <c r="P131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2"/>
      <c r="R131" s="292"/>
      <c r="S131" s="292"/>
      <c r="T131" s="293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233</v>
      </c>
      <c r="AG131" s="78"/>
      <c r="AJ131" s="82" t="s">
        <v>89</v>
      </c>
      <c r="AK131" s="82">
        <v>1</v>
      </c>
      <c r="BB131" s="181" t="s">
        <v>117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hidden="1" customHeight="1" x14ac:dyDescent="0.25">
      <c r="A132" s="60" t="s">
        <v>234</v>
      </c>
      <c r="B132" s="60" t="s">
        <v>235</v>
      </c>
      <c r="C132" s="34">
        <v>4301135850</v>
      </c>
      <c r="D132" s="290">
        <v>4620207491492</v>
      </c>
      <c r="E132" s="290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118</v>
      </c>
      <c r="L132" s="35" t="s">
        <v>88</v>
      </c>
      <c r="M132" s="36" t="s">
        <v>86</v>
      </c>
      <c r="N132" s="36"/>
      <c r="O132" s="35">
        <v>180</v>
      </c>
      <c r="P132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2"/>
      <c r="R132" s="292"/>
      <c r="S132" s="292"/>
      <c r="T132" s="293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233</v>
      </c>
      <c r="AG132" s="78"/>
      <c r="AJ132" s="82" t="s">
        <v>89</v>
      </c>
      <c r="AK132" s="82">
        <v>1</v>
      </c>
      <c r="BB132" s="183" t="s">
        <v>117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hidden="1" customHeight="1" x14ac:dyDescent="0.25">
      <c r="A133" s="60" t="s">
        <v>236</v>
      </c>
      <c r="B133" s="60" t="s">
        <v>237</v>
      </c>
      <c r="C133" s="34">
        <v>4301190118</v>
      </c>
      <c r="D133" s="290">
        <v>4620207491461</v>
      </c>
      <c r="E133" s="290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118</v>
      </c>
      <c r="L133" s="35" t="s">
        <v>88</v>
      </c>
      <c r="M133" s="36" t="s">
        <v>86</v>
      </c>
      <c r="N133" s="36"/>
      <c r="O133" s="35">
        <v>180</v>
      </c>
      <c r="P133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2"/>
      <c r="R133" s="292"/>
      <c r="S133" s="292"/>
      <c r="T133" s="293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233</v>
      </c>
      <c r="AG133" s="78"/>
      <c r="AJ133" s="82" t="s">
        <v>89</v>
      </c>
      <c r="AK133" s="82">
        <v>1</v>
      </c>
      <c r="BB133" s="185" t="s">
        <v>117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238</v>
      </c>
      <c r="B134" s="60" t="s">
        <v>239</v>
      </c>
      <c r="C134" s="34">
        <v>4301135865</v>
      </c>
      <c r="D134" s="290">
        <v>4620207491485</v>
      </c>
      <c r="E134" s="290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118</v>
      </c>
      <c r="L134" s="35" t="s">
        <v>88</v>
      </c>
      <c r="M134" s="36" t="s">
        <v>86</v>
      </c>
      <c r="N134" s="36"/>
      <c r="O134" s="35">
        <v>180</v>
      </c>
      <c r="P134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2"/>
      <c r="R134" s="292"/>
      <c r="S134" s="292"/>
      <c r="T134" s="293"/>
      <c r="U134" s="37" t="s">
        <v>46</v>
      </c>
      <c r="V134" s="37" t="s">
        <v>46</v>
      </c>
      <c r="W134" s="38" t="s">
        <v>39</v>
      </c>
      <c r="X134" s="56"/>
      <c r="Y134" s="53" t="str">
        <f>IFERROR(IF(X134="","",X134),"")</f>
        <v/>
      </c>
      <c r="Z134" s="39" t="str">
        <f>IFERROR(IF(X134="","",X134*0.00941),"")</f>
        <v/>
      </c>
      <c r="AA134" s="65" t="s">
        <v>46</v>
      </c>
      <c r="AB134" s="66" t="s">
        <v>46</v>
      </c>
      <c r="AC134" s="186" t="s">
        <v>233</v>
      </c>
      <c r="AG134" s="78"/>
      <c r="AJ134" s="82" t="s">
        <v>89</v>
      </c>
      <c r="AK134" s="82">
        <v>1</v>
      </c>
      <c r="BB134" s="187" t="s">
        <v>117</v>
      </c>
      <c r="BM134" s="78">
        <f>IFERROR(X134*I134,"0")</f>
        <v>0</v>
      </c>
      <c r="BN134" s="78" t="str">
        <f>IFERROR(Y134*I134,"0")</f>
        <v>0</v>
      </c>
      <c r="BO134" s="78">
        <f>IFERROR(X134/J134,"0")</f>
        <v>0</v>
      </c>
      <c r="BP134" s="78" t="str">
        <f>IFERROR(Y134/J134,"0")</f>
        <v>0</v>
      </c>
    </row>
    <row r="135" spans="1:68" hidden="1" x14ac:dyDescent="0.2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8"/>
      <c r="P135" s="294" t="s">
        <v>40</v>
      </c>
      <c r="Q135" s="295"/>
      <c r="R135" s="295"/>
      <c r="S135" s="295"/>
      <c r="T135" s="295"/>
      <c r="U135" s="295"/>
      <c r="V135" s="296"/>
      <c r="W135" s="40" t="s">
        <v>39</v>
      </c>
      <c r="X135" s="41">
        <f>IFERROR(SUM(X131:X134),"0")</f>
        <v>0</v>
      </c>
      <c r="Y135" s="41">
        <f>IFERROR(SUM(Y131:Y134),"0")</f>
        <v>0</v>
      </c>
      <c r="Z135" s="41">
        <f>IFERROR(IF(Z131="",0,Z131),"0")+IFERROR(IF(Z132="",0,Z132),"0")+IFERROR(IF(Z133="",0,Z133),"0")+IFERROR(IF(Z134="",0,Z134),"0")</f>
        <v>0</v>
      </c>
      <c r="AA135" s="64"/>
      <c r="AB135" s="64"/>
      <c r="AC135" s="64"/>
    </row>
    <row r="136" spans="1:68" hidden="1" x14ac:dyDescent="0.2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8"/>
      <c r="P136" s="294" t="s">
        <v>40</v>
      </c>
      <c r="Q136" s="295"/>
      <c r="R136" s="295"/>
      <c r="S136" s="295"/>
      <c r="T136" s="295"/>
      <c r="U136" s="295"/>
      <c r="V136" s="296"/>
      <c r="W136" s="40" t="s">
        <v>0</v>
      </c>
      <c r="X136" s="41">
        <f>IFERROR(SUMPRODUCT(X131:X134*H131:H134),"0")</f>
        <v>0</v>
      </c>
      <c r="Y136" s="41" t="str">
        <f>IFERROR(SUMPRODUCT(Y131:Y134*H131:H134),"0")</f>
        <v>0</v>
      </c>
      <c r="Z136" s="40"/>
      <c r="AA136" s="64"/>
      <c r="AB136" s="64"/>
      <c r="AC136" s="64"/>
    </row>
    <row r="137" spans="1:68" ht="14.25" hidden="1" customHeight="1" x14ac:dyDescent="0.25">
      <c r="A137" s="308" t="s">
        <v>240</v>
      </c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63"/>
      <c r="AB137" s="63"/>
      <c r="AC137" s="63"/>
    </row>
    <row r="138" spans="1:68" ht="27" hidden="1" customHeight="1" x14ac:dyDescent="0.25">
      <c r="A138" s="60" t="s">
        <v>241</v>
      </c>
      <c r="B138" s="60" t="s">
        <v>242</v>
      </c>
      <c r="C138" s="34">
        <v>4301190117</v>
      </c>
      <c r="D138" s="290">
        <v>4620207491386</v>
      </c>
      <c r="E138" s="290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118</v>
      </c>
      <c r="L138" s="35" t="s">
        <v>88</v>
      </c>
      <c r="M138" s="36" t="s">
        <v>86</v>
      </c>
      <c r="N138" s="36"/>
      <c r="O138" s="35">
        <v>180</v>
      </c>
      <c r="P138" s="35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2"/>
      <c r="R138" s="292"/>
      <c r="S138" s="292"/>
      <c r="T138" s="293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243</v>
      </c>
      <c r="AG138" s="78"/>
      <c r="AJ138" s="82" t="s">
        <v>89</v>
      </c>
      <c r="AK138" s="82">
        <v>1</v>
      </c>
      <c r="BB138" s="189" t="s">
        <v>117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244</v>
      </c>
      <c r="B139" s="60" t="s">
        <v>245</v>
      </c>
      <c r="C139" s="34">
        <v>4301190115</v>
      </c>
      <c r="D139" s="290">
        <v>4620207491362</v>
      </c>
      <c r="E139" s="290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118</v>
      </c>
      <c r="L139" s="35" t="s">
        <v>88</v>
      </c>
      <c r="M139" s="36" t="s">
        <v>86</v>
      </c>
      <c r="N139" s="36"/>
      <c r="O139" s="35">
        <v>180</v>
      </c>
      <c r="P139" s="35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2"/>
      <c r="R139" s="292"/>
      <c r="S139" s="292"/>
      <c r="T139" s="293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243</v>
      </c>
      <c r="AG139" s="78"/>
      <c r="AJ139" s="82" t="s">
        <v>89</v>
      </c>
      <c r="AK139" s="82">
        <v>1</v>
      </c>
      <c r="BB139" s="191" t="s">
        <v>117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hidden="1" customHeight="1" x14ac:dyDescent="0.25">
      <c r="A140" s="60" t="s">
        <v>246</v>
      </c>
      <c r="B140" s="60" t="s">
        <v>247</v>
      </c>
      <c r="C140" s="34">
        <v>4301190116</v>
      </c>
      <c r="D140" s="290">
        <v>4620207491379</v>
      </c>
      <c r="E140" s="290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118</v>
      </c>
      <c r="L140" s="35" t="s">
        <v>88</v>
      </c>
      <c r="M140" s="36" t="s">
        <v>86</v>
      </c>
      <c r="N140" s="36"/>
      <c r="O140" s="35">
        <v>180</v>
      </c>
      <c r="P140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2"/>
      <c r="R140" s="292"/>
      <c r="S140" s="292"/>
      <c r="T140" s="293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92" t="s">
        <v>243</v>
      </c>
      <c r="AG140" s="78"/>
      <c r="AJ140" s="82" t="s">
        <v>89</v>
      </c>
      <c r="AK140" s="82">
        <v>1</v>
      </c>
      <c r="BB140" s="193" t="s">
        <v>117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idden="1" x14ac:dyDescent="0.2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8"/>
      <c r="P141" s="294" t="s">
        <v>40</v>
      </c>
      <c r="Q141" s="295"/>
      <c r="R141" s="295"/>
      <c r="S141" s="295"/>
      <c r="T141" s="295"/>
      <c r="U141" s="295"/>
      <c r="V141" s="296"/>
      <c r="W141" s="40" t="s">
        <v>39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hidden="1" x14ac:dyDescent="0.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8"/>
      <c r="P142" s="294" t="s">
        <v>40</v>
      </c>
      <c r="Q142" s="295"/>
      <c r="R142" s="295"/>
      <c r="S142" s="295"/>
      <c r="T142" s="295"/>
      <c r="U142" s="295"/>
      <c r="V142" s="296"/>
      <c r="W142" s="40" t="s">
        <v>0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hidden="1" customHeight="1" x14ac:dyDescent="0.25">
      <c r="A143" s="318" t="s">
        <v>248</v>
      </c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62"/>
      <c r="AB143" s="62"/>
      <c r="AC143" s="62"/>
    </row>
    <row r="144" spans="1:68" ht="14.25" hidden="1" customHeight="1" x14ac:dyDescent="0.25">
      <c r="A144" s="308" t="s">
        <v>151</v>
      </c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63"/>
      <c r="AB144" s="63"/>
      <c r="AC144" s="63"/>
    </row>
    <row r="145" spans="1:68" ht="27" customHeight="1" x14ac:dyDescent="0.25">
      <c r="A145" s="60" t="s">
        <v>249</v>
      </c>
      <c r="B145" s="60" t="s">
        <v>250</v>
      </c>
      <c r="C145" s="34">
        <v>4301135555</v>
      </c>
      <c r="D145" s="290">
        <v>4607111034014</v>
      </c>
      <c r="E145" s="290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118</v>
      </c>
      <c r="L145" s="35" t="s">
        <v>119</v>
      </c>
      <c r="M145" s="36" t="s">
        <v>86</v>
      </c>
      <c r="N145" s="36"/>
      <c r="O145" s="35">
        <v>180</v>
      </c>
      <c r="P145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2"/>
      <c r="R145" s="292"/>
      <c r="S145" s="292"/>
      <c r="T145" s="293"/>
      <c r="U145" s="37" t="s">
        <v>46</v>
      </c>
      <c r="V145" s="37" t="s">
        <v>46</v>
      </c>
      <c r="W145" s="38" t="s">
        <v>39</v>
      </c>
      <c r="X145" s="56">
        <v>126</v>
      </c>
      <c r="Y145" s="53">
        <f>IFERROR(IF(X145="","",X145),"")</f>
        <v>126</v>
      </c>
      <c r="Z145" s="39">
        <f>IFERROR(IF(X145="","",X145*0.01788),"")</f>
        <v>2.2528800000000002</v>
      </c>
      <c r="AA145" s="65" t="s">
        <v>46</v>
      </c>
      <c r="AB145" s="66" t="s">
        <v>46</v>
      </c>
      <c r="AC145" s="194" t="s">
        <v>251</v>
      </c>
      <c r="AG145" s="78"/>
      <c r="AJ145" s="82" t="s">
        <v>120</v>
      </c>
      <c r="AK145" s="82">
        <v>14</v>
      </c>
      <c r="BB145" s="195" t="s">
        <v>117</v>
      </c>
      <c r="BM145" s="78">
        <f>IFERROR(X145*I145,"0")</f>
        <v>466.65359999999998</v>
      </c>
      <c r="BN145" s="78">
        <f>IFERROR(Y145*I145,"0")</f>
        <v>466.65359999999998</v>
      </c>
      <c r="BO145" s="78">
        <f>IFERROR(X145/J145,"0")</f>
        <v>1.8</v>
      </c>
      <c r="BP145" s="78">
        <f>IFERROR(Y145/J145,"0")</f>
        <v>1.8</v>
      </c>
    </row>
    <row r="146" spans="1:68" ht="27" customHeight="1" x14ac:dyDescent="0.25">
      <c r="A146" s="60" t="s">
        <v>252</v>
      </c>
      <c r="B146" s="60" t="s">
        <v>253</v>
      </c>
      <c r="C146" s="34">
        <v>4301135532</v>
      </c>
      <c r="D146" s="290">
        <v>4607111033994</v>
      </c>
      <c r="E146" s="290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118</v>
      </c>
      <c r="L146" s="35" t="s">
        <v>119</v>
      </c>
      <c r="M146" s="36" t="s">
        <v>86</v>
      </c>
      <c r="N146" s="36"/>
      <c r="O146" s="35">
        <v>180</v>
      </c>
      <c r="P146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2"/>
      <c r="R146" s="292"/>
      <c r="S146" s="292"/>
      <c r="T146" s="293"/>
      <c r="U146" s="37" t="s">
        <v>46</v>
      </c>
      <c r="V146" s="37" t="s">
        <v>46</v>
      </c>
      <c r="W146" s="38" t="s">
        <v>39</v>
      </c>
      <c r="X146" s="56">
        <v>140</v>
      </c>
      <c r="Y146" s="53">
        <f>IFERROR(IF(X146="","",X146),"")</f>
        <v>140</v>
      </c>
      <c r="Z146" s="39">
        <f>IFERROR(IF(X146="","",X146*0.01788),"")</f>
        <v>2.5032000000000001</v>
      </c>
      <c r="AA146" s="65" t="s">
        <v>46</v>
      </c>
      <c r="AB146" s="66" t="s">
        <v>46</v>
      </c>
      <c r="AC146" s="196" t="s">
        <v>169</v>
      </c>
      <c r="AG146" s="78"/>
      <c r="AJ146" s="82" t="s">
        <v>120</v>
      </c>
      <c r="AK146" s="82">
        <v>14</v>
      </c>
      <c r="BB146" s="197" t="s">
        <v>117</v>
      </c>
      <c r="BM146" s="78">
        <f>IFERROR(X146*I146,"0")</f>
        <v>518.50400000000002</v>
      </c>
      <c r="BN146" s="78">
        <f>IFERROR(Y146*I146,"0")</f>
        <v>518.50400000000002</v>
      </c>
      <c r="BO146" s="78">
        <f>IFERROR(X146/J146,"0")</f>
        <v>2</v>
      </c>
      <c r="BP146" s="78">
        <f>IFERROR(Y146/J146,"0")</f>
        <v>2</v>
      </c>
    </row>
    <row r="147" spans="1:68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8"/>
      <c r="P147" s="294" t="s">
        <v>40</v>
      </c>
      <c r="Q147" s="295"/>
      <c r="R147" s="295"/>
      <c r="S147" s="295"/>
      <c r="T147" s="295"/>
      <c r="U147" s="295"/>
      <c r="V147" s="296"/>
      <c r="W147" s="40" t="s">
        <v>39</v>
      </c>
      <c r="X147" s="41">
        <f>IFERROR(SUM(X145:X146),"0")</f>
        <v>266</v>
      </c>
      <c r="Y147" s="41">
        <f>IFERROR(SUM(Y145:Y146),"0")</f>
        <v>266</v>
      </c>
      <c r="Z147" s="41">
        <f>IFERROR(IF(Z145="",0,Z145),"0")+IFERROR(IF(Z146="",0,Z146),"0")</f>
        <v>4.7560800000000008</v>
      </c>
      <c r="AA147" s="64"/>
      <c r="AB147" s="64"/>
      <c r="AC147" s="64"/>
    </row>
    <row r="148" spans="1:68" x14ac:dyDescent="0.2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8"/>
      <c r="P148" s="294" t="s">
        <v>40</v>
      </c>
      <c r="Q148" s="295"/>
      <c r="R148" s="295"/>
      <c r="S148" s="295"/>
      <c r="T148" s="295"/>
      <c r="U148" s="295"/>
      <c r="V148" s="296"/>
      <c r="W148" s="40" t="s">
        <v>0</v>
      </c>
      <c r="X148" s="41">
        <f>IFERROR(SUMPRODUCT(X145:X146*H145:H146),"0")</f>
        <v>798</v>
      </c>
      <c r="Y148" s="41">
        <f>IFERROR(SUMPRODUCT(Y145:Y146*H145:H146),"0")</f>
        <v>798</v>
      </c>
      <c r="Z148" s="40"/>
      <c r="AA148" s="64"/>
      <c r="AB148" s="64"/>
      <c r="AC148" s="64"/>
    </row>
    <row r="149" spans="1:68" ht="16.5" hidden="1" customHeight="1" x14ac:dyDescent="0.25">
      <c r="A149" s="318" t="s">
        <v>254</v>
      </c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62"/>
      <c r="AB149" s="62"/>
      <c r="AC149" s="62"/>
    </row>
    <row r="150" spans="1:68" ht="14.25" hidden="1" customHeight="1" x14ac:dyDescent="0.25">
      <c r="A150" s="308" t="s">
        <v>151</v>
      </c>
      <c r="B150" s="308"/>
      <c r="C150" s="308"/>
      <c r="D150" s="308"/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63"/>
      <c r="AB150" s="63"/>
      <c r="AC150" s="63"/>
    </row>
    <row r="151" spans="1:68" ht="27" hidden="1" customHeight="1" x14ac:dyDescent="0.25">
      <c r="A151" s="60" t="s">
        <v>255</v>
      </c>
      <c r="B151" s="60" t="s">
        <v>256</v>
      </c>
      <c r="C151" s="34">
        <v>4301135824</v>
      </c>
      <c r="D151" s="290">
        <v>4607111039095</v>
      </c>
      <c r="E151" s="290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118</v>
      </c>
      <c r="L151" s="35" t="s">
        <v>88</v>
      </c>
      <c r="M151" s="36" t="s">
        <v>86</v>
      </c>
      <c r="N151" s="36"/>
      <c r="O151" s="35">
        <v>180</v>
      </c>
      <c r="P151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2"/>
      <c r="R151" s="292"/>
      <c r="S151" s="292"/>
      <c r="T151" s="293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257</v>
      </c>
      <c r="AG151" s="78"/>
      <c r="AJ151" s="82" t="s">
        <v>89</v>
      </c>
      <c r="AK151" s="82">
        <v>1</v>
      </c>
      <c r="BB151" s="199" t="s">
        <v>117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ht="16.5" customHeight="1" x14ac:dyDescent="0.25">
      <c r="A152" s="60" t="s">
        <v>258</v>
      </c>
      <c r="B152" s="60" t="s">
        <v>259</v>
      </c>
      <c r="C152" s="34">
        <v>4301135946</v>
      </c>
      <c r="D152" s="290">
        <v>4620207491553</v>
      </c>
      <c r="E152" s="290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118</v>
      </c>
      <c r="L152" s="35" t="s">
        <v>88</v>
      </c>
      <c r="M152" s="36" t="s">
        <v>86</v>
      </c>
      <c r="N152" s="36"/>
      <c r="O152" s="35">
        <v>180</v>
      </c>
      <c r="P152" s="34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2"/>
      <c r="R152" s="292"/>
      <c r="S152" s="292"/>
      <c r="T152" s="293"/>
      <c r="U152" s="37" t="s">
        <v>46</v>
      </c>
      <c r="V152" s="37" t="s">
        <v>46</v>
      </c>
      <c r="W152" s="38" t="s">
        <v>39</v>
      </c>
      <c r="X152" s="56">
        <v>110</v>
      </c>
      <c r="Y152" s="53">
        <f>IFERROR(IF(X152="","",X152),"")</f>
        <v>110</v>
      </c>
      <c r="Z152" s="39">
        <f>IFERROR(IF(X152="","",X152*0.01788),"")</f>
        <v>1.9668000000000001</v>
      </c>
      <c r="AA152" s="65" t="s">
        <v>46</v>
      </c>
      <c r="AB152" s="66" t="s">
        <v>46</v>
      </c>
      <c r="AC152" s="200" t="s">
        <v>260</v>
      </c>
      <c r="AG152" s="78"/>
      <c r="AJ152" s="82" t="s">
        <v>89</v>
      </c>
      <c r="AK152" s="82">
        <v>1</v>
      </c>
      <c r="BB152" s="201" t="s">
        <v>117</v>
      </c>
      <c r="BM152" s="78">
        <f>IFERROR(X152*I152,"0")</f>
        <v>407.39599999999996</v>
      </c>
      <c r="BN152" s="78">
        <f>IFERROR(Y152*I152,"0")</f>
        <v>407.39599999999996</v>
      </c>
      <c r="BO152" s="78">
        <f>IFERROR(X152/J152,"0")</f>
        <v>1.5714285714285714</v>
      </c>
      <c r="BP152" s="78">
        <f>IFERROR(Y152/J152,"0")</f>
        <v>1.5714285714285714</v>
      </c>
    </row>
    <row r="153" spans="1:68" x14ac:dyDescent="0.2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8"/>
      <c r="P153" s="294" t="s">
        <v>40</v>
      </c>
      <c r="Q153" s="295"/>
      <c r="R153" s="295"/>
      <c r="S153" s="295"/>
      <c r="T153" s="295"/>
      <c r="U153" s="295"/>
      <c r="V153" s="296"/>
      <c r="W153" s="40" t="s">
        <v>39</v>
      </c>
      <c r="X153" s="41">
        <f>IFERROR(SUM(X151:X152),"0")</f>
        <v>110</v>
      </c>
      <c r="Y153" s="41">
        <f>IFERROR(SUM(Y151:Y152),"0")</f>
        <v>110</v>
      </c>
      <c r="Z153" s="41">
        <f>IFERROR(IF(Z151="",0,Z151),"0")+IFERROR(IF(Z152="",0,Z152),"0")</f>
        <v>1.9668000000000001</v>
      </c>
      <c r="AA153" s="64"/>
      <c r="AB153" s="64"/>
      <c r="AC153" s="64"/>
    </row>
    <row r="154" spans="1:68" x14ac:dyDescent="0.2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8"/>
      <c r="P154" s="294" t="s">
        <v>40</v>
      </c>
      <c r="Q154" s="295"/>
      <c r="R154" s="295"/>
      <c r="S154" s="295"/>
      <c r="T154" s="295"/>
      <c r="U154" s="295"/>
      <c r="V154" s="296"/>
      <c r="W154" s="40" t="s">
        <v>0</v>
      </c>
      <c r="X154" s="41">
        <f>IFERROR(SUMPRODUCT(X151:X152*H151:H152),"0")</f>
        <v>330</v>
      </c>
      <c r="Y154" s="41">
        <f>IFERROR(SUMPRODUCT(Y151:Y152*H151:H152),"0")</f>
        <v>330</v>
      </c>
      <c r="Z154" s="40"/>
      <c r="AA154" s="64"/>
      <c r="AB154" s="64"/>
      <c r="AC154" s="64"/>
    </row>
    <row r="155" spans="1:68" ht="16.5" hidden="1" customHeight="1" x14ac:dyDescent="0.25">
      <c r="A155" s="318" t="s">
        <v>261</v>
      </c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62"/>
      <c r="AB155" s="62"/>
      <c r="AC155" s="62"/>
    </row>
    <row r="156" spans="1:68" ht="14.25" hidden="1" customHeight="1" x14ac:dyDescent="0.25">
      <c r="A156" s="308" t="s">
        <v>151</v>
      </c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63"/>
      <c r="AB156" s="63"/>
      <c r="AC156" s="63"/>
    </row>
    <row r="157" spans="1:68" ht="27" customHeight="1" x14ac:dyDescent="0.25">
      <c r="A157" s="60" t="s">
        <v>262</v>
      </c>
      <c r="B157" s="60" t="s">
        <v>263</v>
      </c>
      <c r="C157" s="34">
        <v>4301135753</v>
      </c>
      <c r="D157" s="290">
        <v>4620207490914</v>
      </c>
      <c r="E157" s="290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118</v>
      </c>
      <c r="L157" s="35" t="s">
        <v>119</v>
      </c>
      <c r="M157" s="36" t="s">
        <v>86</v>
      </c>
      <c r="N157" s="36"/>
      <c r="O157" s="35">
        <v>180</v>
      </c>
      <c r="P157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2"/>
      <c r="R157" s="292"/>
      <c r="S157" s="292"/>
      <c r="T157" s="293"/>
      <c r="U157" s="37" t="s">
        <v>46</v>
      </c>
      <c r="V157" s="37" t="s">
        <v>46</v>
      </c>
      <c r="W157" s="38" t="s">
        <v>39</v>
      </c>
      <c r="X157" s="56">
        <v>70</v>
      </c>
      <c r="Y157" s="53">
        <f>IFERROR(IF(X157="","",X157),"")</f>
        <v>70</v>
      </c>
      <c r="Z157" s="39">
        <f>IFERROR(IF(X157="","",X157*0.01788),"")</f>
        <v>1.2516</v>
      </c>
      <c r="AA157" s="65" t="s">
        <v>46</v>
      </c>
      <c r="AB157" s="66" t="s">
        <v>46</v>
      </c>
      <c r="AC157" s="202" t="s">
        <v>251</v>
      </c>
      <c r="AG157" s="78"/>
      <c r="AJ157" s="82" t="s">
        <v>120</v>
      </c>
      <c r="AK157" s="82">
        <v>14</v>
      </c>
      <c r="BB157" s="203" t="s">
        <v>117</v>
      </c>
      <c r="BM157" s="78">
        <f>IFERROR(X157*I157,"0")</f>
        <v>187.60000000000002</v>
      </c>
      <c r="BN157" s="78">
        <f>IFERROR(Y157*I157,"0")</f>
        <v>187.60000000000002</v>
      </c>
      <c r="BO157" s="78">
        <f>IFERROR(X157/J157,"0")</f>
        <v>1</v>
      </c>
      <c r="BP157" s="78">
        <f>IFERROR(Y157/J157,"0")</f>
        <v>1</v>
      </c>
    </row>
    <row r="158" spans="1:68" ht="27" hidden="1" customHeight="1" x14ac:dyDescent="0.25">
      <c r="A158" s="60" t="s">
        <v>264</v>
      </c>
      <c r="B158" s="60" t="s">
        <v>265</v>
      </c>
      <c r="C158" s="34">
        <v>4301135778</v>
      </c>
      <c r="D158" s="290">
        <v>4620207490853</v>
      </c>
      <c r="E158" s="290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118</v>
      </c>
      <c r="L158" s="35" t="s">
        <v>119</v>
      </c>
      <c r="M158" s="36" t="s">
        <v>86</v>
      </c>
      <c r="N158" s="36"/>
      <c r="O158" s="35">
        <v>180</v>
      </c>
      <c r="P158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2"/>
      <c r="R158" s="292"/>
      <c r="S158" s="292"/>
      <c r="T158" s="293"/>
      <c r="U158" s="37" t="s">
        <v>46</v>
      </c>
      <c r="V158" s="37" t="s">
        <v>46</v>
      </c>
      <c r="W158" s="38" t="s">
        <v>39</v>
      </c>
      <c r="X158" s="56">
        <v>0</v>
      </c>
      <c r="Y158" s="53">
        <f>IFERROR(IF(X158="","",X158),"")</f>
        <v>0</v>
      </c>
      <c r="Z158" s="39">
        <f>IFERROR(IF(X158="","",X158*0.01788),"")</f>
        <v>0</v>
      </c>
      <c r="AA158" s="65" t="s">
        <v>46</v>
      </c>
      <c r="AB158" s="66" t="s">
        <v>46</v>
      </c>
      <c r="AC158" s="204" t="s">
        <v>251</v>
      </c>
      <c r="AG158" s="78"/>
      <c r="AJ158" s="82" t="s">
        <v>120</v>
      </c>
      <c r="AK158" s="82">
        <v>14</v>
      </c>
      <c r="BB158" s="205" t="s">
        <v>117</v>
      </c>
      <c r="BM158" s="78">
        <f>IFERROR(X158*I158,"0")</f>
        <v>0</v>
      </c>
      <c r="BN158" s="78">
        <f>IFERROR(Y158*I158,"0")</f>
        <v>0</v>
      </c>
      <c r="BO158" s="78">
        <f>IFERROR(X158/J158,"0")</f>
        <v>0</v>
      </c>
      <c r="BP158" s="78">
        <f>IFERROR(Y158/J158,"0")</f>
        <v>0</v>
      </c>
    </row>
    <row r="159" spans="1:68" x14ac:dyDescent="0.2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8"/>
      <c r="P159" s="294" t="s">
        <v>40</v>
      </c>
      <c r="Q159" s="295"/>
      <c r="R159" s="295"/>
      <c r="S159" s="295"/>
      <c r="T159" s="295"/>
      <c r="U159" s="295"/>
      <c r="V159" s="296"/>
      <c r="W159" s="40" t="s">
        <v>39</v>
      </c>
      <c r="X159" s="41">
        <f>IFERROR(SUM(X157:X158),"0")</f>
        <v>70</v>
      </c>
      <c r="Y159" s="41">
        <f>IFERROR(SUM(Y157:Y158),"0")</f>
        <v>70</v>
      </c>
      <c r="Z159" s="41">
        <f>IFERROR(IF(Z157="",0,Z157),"0")+IFERROR(IF(Z158="",0,Z158),"0")</f>
        <v>1.2516</v>
      </c>
      <c r="AA159" s="64"/>
      <c r="AB159" s="64"/>
      <c r="AC159" s="64"/>
    </row>
    <row r="160" spans="1:68" x14ac:dyDescent="0.2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8"/>
      <c r="P160" s="294" t="s">
        <v>40</v>
      </c>
      <c r="Q160" s="295"/>
      <c r="R160" s="295"/>
      <c r="S160" s="295"/>
      <c r="T160" s="295"/>
      <c r="U160" s="295"/>
      <c r="V160" s="296"/>
      <c r="W160" s="40" t="s">
        <v>0</v>
      </c>
      <c r="X160" s="41">
        <f>IFERROR(SUMPRODUCT(X157:X158*H157:H158),"0")</f>
        <v>168</v>
      </c>
      <c r="Y160" s="41">
        <f>IFERROR(SUMPRODUCT(Y157:Y158*H157:H158),"0")</f>
        <v>168</v>
      </c>
      <c r="Z160" s="40"/>
      <c r="AA160" s="64"/>
      <c r="AB160" s="64"/>
      <c r="AC160" s="64"/>
    </row>
    <row r="161" spans="1:68" ht="16.5" hidden="1" customHeight="1" x14ac:dyDescent="0.25">
      <c r="A161" s="318" t="s">
        <v>266</v>
      </c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62"/>
      <c r="AB161" s="62"/>
      <c r="AC161" s="62"/>
    </row>
    <row r="162" spans="1:68" ht="14.25" hidden="1" customHeight="1" x14ac:dyDescent="0.25">
      <c r="A162" s="308" t="s">
        <v>151</v>
      </c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4301135940</v>
      </c>
      <c r="D163" s="290">
        <v>4620207491614</v>
      </c>
      <c r="E163" s="290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118</v>
      </c>
      <c r="L163" s="35" t="s">
        <v>88</v>
      </c>
      <c r="M163" s="36" t="s">
        <v>86</v>
      </c>
      <c r="N163" s="36"/>
      <c r="O163" s="35">
        <v>180</v>
      </c>
      <c r="P163" s="3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2"/>
      <c r="R163" s="292"/>
      <c r="S163" s="292"/>
      <c r="T163" s="293"/>
      <c r="U163" s="37" t="s">
        <v>46</v>
      </c>
      <c r="V163" s="37" t="s">
        <v>46</v>
      </c>
      <c r="W163" s="38" t="s">
        <v>39</v>
      </c>
      <c r="X163" s="56">
        <v>42</v>
      </c>
      <c r="Y163" s="53">
        <f>IFERROR(IF(X163="","",X163),"")</f>
        <v>42</v>
      </c>
      <c r="Z163" s="39">
        <f>IFERROR(IF(X163="","",X163*0.01788),"")</f>
        <v>0.75095999999999996</v>
      </c>
      <c r="AA163" s="65" t="s">
        <v>46</v>
      </c>
      <c r="AB163" s="66" t="s">
        <v>46</v>
      </c>
      <c r="AC163" s="206" t="s">
        <v>269</v>
      </c>
      <c r="AG163" s="78"/>
      <c r="AJ163" s="82" t="s">
        <v>89</v>
      </c>
      <c r="AK163" s="82">
        <v>1</v>
      </c>
      <c r="BB163" s="207" t="s">
        <v>117</v>
      </c>
      <c r="BM163" s="78">
        <f>IFERROR(X163*I163,"0")</f>
        <v>155.55119999999999</v>
      </c>
      <c r="BN163" s="78">
        <f>IFERROR(Y163*I163,"0")</f>
        <v>155.55119999999999</v>
      </c>
      <c r="BO163" s="78">
        <f>IFERROR(X163/J163,"0")</f>
        <v>0.6</v>
      </c>
      <c r="BP163" s="78">
        <f>IFERROR(Y163/J163,"0")</f>
        <v>0.6</v>
      </c>
    </row>
    <row r="164" spans="1:68" x14ac:dyDescent="0.2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8"/>
      <c r="P164" s="294" t="s">
        <v>40</v>
      </c>
      <c r="Q164" s="295"/>
      <c r="R164" s="295"/>
      <c r="S164" s="295"/>
      <c r="T164" s="295"/>
      <c r="U164" s="295"/>
      <c r="V164" s="296"/>
      <c r="W164" s="40" t="s">
        <v>39</v>
      </c>
      <c r="X164" s="41">
        <f>IFERROR(SUM(X163:X163),"0")</f>
        <v>42</v>
      </c>
      <c r="Y164" s="41">
        <f>IFERROR(SUM(Y163:Y163),"0")</f>
        <v>42</v>
      </c>
      <c r="Z164" s="41">
        <f>IFERROR(IF(Z163="",0,Z163),"0")</f>
        <v>0.75095999999999996</v>
      </c>
      <c r="AA164" s="64"/>
      <c r="AB164" s="64"/>
      <c r="AC164" s="64"/>
    </row>
    <row r="165" spans="1:68" x14ac:dyDescent="0.2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8"/>
      <c r="P165" s="294" t="s">
        <v>40</v>
      </c>
      <c r="Q165" s="295"/>
      <c r="R165" s="295"/>
      <c r="S165" s="295"/>
      <c r="T165" s="295"/>
      <c r="U165" s="295"/>
      <c r="V165" s="296"/>
      <c r="W165" s="40" t="s">
        <v>0</v>
      </c>
      <c r="X165" s="41">
        <f>IFERROR(SUMPRODUCT(X163:X163*H163:H163),"0")</f>
        <v>126</v>
      </c>
      <c r="Y165" s="41">
        <f>IFERROR(SUMPRODUCT(Y163:Y163*H163:H163),"0")</f>
        <v>126</v>
      </c>
      <c r="Z165" s="40"/>
      <c r="AA165" s="64"/>
      <c r="AB165" s="64"/>
      <c r="AC165" s="64"/>
    </row>
    <row r="166" spans="1:68" ht="16.5" hidden="1" customHeight="1" x14ac:dyDescent="0.25">
      <c r="A166" s="318" t="s">
        <v>270</v>
      </c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62"/>
      <c r="AB166" s="62"/>
      <c r="AC166" s="62"/>
    </row>
    <row r="167" spans="1:68" ht="14.25" hidden="1" customHeight="1" x14ac:dyDescent="0.25">
      <c r="A167" s="308" t="s">
        <v>151</v>
      </c>
      <c r="B167" s="308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63"/>
      <c r="AB167" s="63"/>
      <c r="AC167" s="63"/>
    </row>
    <row r="168" spans="1:68" ht="16.5" hidden="1" customHeight="1" x14ac:dyDescent="0.25">
      <c r="A168" s="60" t="s">
        <v>271</v>
      </c>
      <c r="B168" s="60" t="s">
        <v>272</v>
      </c>
      <c r="C168" s="34">
        <v>4301135607</v>
      </c>
      <c r="D168" s="290">
        <v>4607111039613</v>
      </c>
      <c r="E168" s="290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118</v>
      </c>
      <c r="L168" s="35" t="s">
        <v>119</v>
      </c>
      <c r="M168" s="36" t="s">
        <v>86</v>
      </c>
      <c r="N168" s="36"/>
      <c r="O168" s="35">
        <v>180</v>
      </c>
      <c r="P168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2"/>
      <c r="R168" s="292"/>
      <c r="S168" s="292"/>
      <c r="T168" s="293"/>
      <c r="U168" s="37" t="s">
        <v>46</v>
      </c>
      <c r="V168" s="37" t="s">
        <v>46</v>
      </c>
      <c r="W168" s="38" t="s">
        <v>39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 t="s">
        <v>46</v>
      </c>
      <c r="AB168" s="66" t="s">
        <v>46</v>
      </c>
      <c r="AC168" s="208" t="s">
        <v>257</v>
      </c>
      <c r="AG168" s="78"/>
      <c r="AJ168" s="82" t="s">
        <v>120</v>
      </c>
      <c r="AK168" s="82">
        <v>14</v>
      </c>
      <c r="BB168" s="209" t="s">
        <v>117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hidden="1" x14ac:dyDescent="0.2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8"/>
      <c r="P169" s="294" t="s">
        <v>40</v>
      </c>
      <c r="Q169" s="295"/>
      <c r="R169" s="295"/>
      <c r="S169" s="295"/>
      <c r="T169" s="295"/>
      <c r="U169" s="295"/>
      <c r="V169" s="296"/>
      <c r="W169" s="40" t="s">
        <v>39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hidden="1" x14ac:dyDescent="0.2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8"/>
      <c r="P170" s="294" t="s">
        <v>40</v>
      </c>
      <c r="Q170" s="295"/>
      <c r="R170" s="295"/>
      <c r="S170" s="295"/>
      <c r="T170" s="295"/>
      <c r="U170" s="295"/>
      <c r="V170" s="296"/>
      <c r="W170" s="40" t="s">
        <v>0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hidden="1" customHeight="1" x14ac:dyDescent="0.25">
      <c r="A171" s="318" t="s">
        <v>273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62"/>
      <c r="AB171" s="62"/>
      <c r="AC171" s="62"/>
    </row>
    <row r="172" spans="1:68" ht="14.25" hidden="1" customHeight="1" x14ac:dyDescent="0.25">
      <c r="A172" s="308" t="s">
        <v>151</v>
      </c>
      <c r="B172" s="308"/>
      <c r="C172" s="308"/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63"/>
      <c r="AB172" s="63"/>
      <c r="AC172" s="63"/>
    </row>
    <row r="173" spans="1:68" ht="27" hidden="1" customHeight="1" x14ac:dyDescent="0.25">
      <c r="A173" s="60" t="s">
        <v>274</v>
      </c>
      <c r="B173" s="60" t="s">
        <v>275</v>
      </c>
      <c r="C173" s="34">
        <v>4301135591</v>
      </c>
      <c r="D173" s="290">
        <v>4607111036568</v>
      </c>
      <c r="E173" s="290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118</v>
      </c>
      <c r="L173" s="35" t="s">
        <v>88</v>
      </c>
      <c r="M173" s="36" t="s">
        <v>86</v>
      </c>
      <c r="N173" s="36"/>
      <c r="O173" s="35">
        <v>180</v>
      </c>
      <c r="P173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2"/>
      <c r="R173" s="292"/>
      <c r="S173" s="292"/>
      <c r="T173" s="293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IFERROR(IF(X173="","",X173*0.00941),"")</f>
        <v>0</v>
      </c>
      <c r="AA173" s="65" t="s">
        <v>46</v>
      </c>
      <c r="AB173" s="66" t="s">
        <v>46</v>
      </c>
      <c r="AC173" s="210" t="s">
        <v>276</v>
      </c>
      <c r="AG173" s="78"/>
      <c r="AJ173" s="82" t="s">
        <v>89</v>
      </c>
      <c r="AK173" s="82">
        <v>1</v>
      </c>
      <c r="BB173" s="211" t="s">
        <v>117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hidden="1" x14ac:dyDescent="0.2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8"/>
      <c r="P174" s="294" t="s">
        <v>40</v>
      </c>
      <c r="Q174" s="295"/>
      <c r="R174" s="295"/>
      <c r="S174" s="295"/>
      <c r="T174" s="295"/>
      <c r="U174" s="295"/>
      <c r="V174" s="296"/>
      <c r="W174" s="40" t="s">
        <v>39</v>
      </c>
      <c r="X174" s="41">
        <f>IFERROR(SUM(X173:X173),"0")</f>
        <v>0</v>
      </c>
      <c r="Y174" s="41">
        <f>IFERROR(SUM(Y173:Y173),"0")</f>
        <v>0</v>
      </c>
      <c r="Z174" s="41">
        <f>IFERROR(IF(Z173="",0,Z173),"0")</f>
        <v>0</v>
      </c>
      <c r="AA174" s="64"/>
      <c r="AB174" s="64"/>
      <c r="AC174" s="64"/>
    </row>
    <row r="175" spans="1:68" hidden="1" x14ac:dyDescent="0.2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8"/>
      <c r="P175" s="294" t="s">
        <v>40</v>
      </c>
      <c r="Q175" s="295"/>
      <c r="R175" s="295"/>
      <c r="S175" s="295"/>
      <c r="T175" s="295"/>
      <c r="U175" s="295"/>
      <c r="V175" s="296"/>
      <c r="W175" s="40" t="s">
        <v>0</v>
      </c>
      <c r="X175" s="41">
        <f>IFERROR(SUMPRODUCT(X173:X173*H173:H173),"0")</f>
        <v>0</v>
      </c>
      <c r="Y175" s="41">
        <f>IFERROR(SUMPRODUCT(Y173:Y173*H173:H173),"0")</f>
        <v>0</v>
      </c>
      <c r="Z175" s="40"/>
      <c r="AA175" s="64"/>
      <c r="AB175" s="64"/>
      <c r="AC175" s="64"/>
    </row>
    <row r="176" spans="1:68" ht="27.75" hidden="1" customHeight="1" x14ac:dyDescent="0.2">
      <c r="A176" s="317" t="s">
        <v>277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52"/>
      <c r="AB176" s="52"/>
      <c r="AC176" s="52"/>
    </row>
    <row r="177" spans="1:68" ht="16.5" hidden="1" customHeight="1" x14ac:dyDescent="0.25">
      <c r="A177" s="318" t="s">
        <v>278</v>
      </c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62"/>
      <c r="AB177" s="62"/>
      <c r="AC177" s="62"/>
    </row>
    <row r="178" spans="1:68" ht="14.25" hidden="1" customHeight="1" x14ac:dyDescent="0.25">
      <c r="A178" s="308" t="s">
        <v>82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63"/>
      <c r="AB178" s="63"/>
      <c r="AC178" s="63"/>
    </row>
    <row r="179" spans="1:68" ht="16.5" hidden="1" customHeight="1" x14ac:dyDescent="0.25">
      <c r="A179" s="60" t="s">
        <v>279</v>
      </c>
      <c r="B179" s="60" t="s">
        <v>280</v>
      </c>
      <c r="C179" s="34">
        <v>4301071062</v>
      </c>
      <c r="D179" s="290">
        <v>4607111036384</v>
      </c>
      <c r="E179" s="290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87</v>
      </c>
      <c r="L179" s="35" t="s">
        <v>88</v>
      </c>
      <c r="M179" s="36" t="s">
        <v>86</v>
      </c>
      <c r="N179" s="36"/>
      <c r="O179" s="35">
        <v>180</v>
      </c>
      <c r="P179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2"/>
      <c r="R179" s="292"/>
      <c r="S179" s="292"/>
      <c r="T179" s="293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281</v>
      </c>
      <c r="AG179" s="78"/>
      <c r="AJ179" s="82" t="s">
        <v>89</v>
      </c>
      <c r="AK179" s="82">
        <v>1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hidden="1" customHeight="1" x14ac:dyDescent="0.25">
      <c r="A180" s="60" t="s">
        <v>282</v>
      </c>
      <c r="B180" s="60" t="s">
        <v>283</v>
      </c>
      <c r="C180" s="34">
        <v>4301071050</v>
      </c>
      <c r="D180" s="290">
        <v>4607111036216</v>
      </c>
      <c r="E180" s="290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87</v>
      </c>
      <c r="L180" s="35" t="s">
        <v>119</v>
      </c>
      <c r="M180" s="36" t="s">
        <v>86</v>
      </c>
      <c r="N180" s="36"/>
      <c r="O180" s="35">
        <v>180</v>
      </c>
      <c r="P180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2"/>
      <c r="R180" s="292"/>
      <c r="S180" s="292"/>
      <c r="T180" s="293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14" t="s">
        <v>284</v>
      </c>
      <c r="AG180" s="78"/>
      <c r="AJ180" s="82" t="s">
        <v>120</v>
      </c>
      <c r="AK180" s="82">
        <v>12</v>
      </c>
      <c r="BB180" s="215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idden="1" x14ac:dyDescent="0.2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8"/>
      <c r="P181" s="294" t="s">
        <v>40</v>
      </c>
      <c r="Q181" s="295"/>
      <c r="R181" s="295"/>
      <c r="S181" s="295"/>
      <c r="T181" s="295"/>
      <c r="U181" s="295"/>
      <c r="V181" s="296"/>
      <c r="W181" s="40" t="s">
        <v>39</v>
      </c>
      <c r="X181" s="41">
        <f>IFERROR(SUM(X179:X180),"0")</f>
        <v>0</v>
      </c>
      <c r="Y181" s="41">
        <f>IFERROR(SUM(Y179:Y180),"0")</f>
        <v>0</v>
      </c>
      <c r="Z181" s="41">
        <f>IFERROR(IF(Z179="",0,Z179),"0")+IFERROR(IF(Z180="",0,Z180),"0")</f>
        <v>0</v>
      </c>
      <c r="AA181" s="64"/>
      <c r="AB181" s="64"/>
      <c r="AC181" s="64"/>
    </row>
    <row r="182" spans="1:68" hidden="1" x14ac:dyDescent="0.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8"/>
      <c r="P182" s="294" t="s">
        <v>40</v>
      </c>
      <c r="Q182" s="295"/>
      <c r="R182" s="295"/>
      <c r="S182" s="295"/>
      <c r="T182" s="295"/>
      <c r="U182" s="295"/>
      <c r="V182" s="296"/>
      <c r="W182" s="40" t="s">
        <v>0</v>
      </c>
      <c r="X182" s="41">
        <f>IFERROR(SUMPRODUCT(X179:X180*H179:H180),"0")</f>
        <v>0</v>
      </c>
      <c r="Y182" s="41">
        <f>IFERROR(SUMPRODUCT(Y179:Y180*H179:H180),"0")</f>
        <v>0</v>
      </c>
      <c r="Z182" s="40"/>
      <c r="AA182" s="64"/>
      <c r="AB182" s="64"/>
      <c r="AC182" s="64"/>
    </row>
    <row r="183" spans="1:68" ht="16.5" hidden="1" customHeight="1" x14ac:dyDescent="0.25">
      <c r="A183" s="318" t="s">
        <v>285</v>
      </c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62"/>
      <c r="AB183" s="62"/>
      <c r="AC183" s="62"/>
    </row>
    <row r="184" spans="1:68" ht="14.25" hidden="1" customHeight="1" x14ac:dyDescent="0.25">
      <c r="A184" s="308" t="s">
        <v>82</v>
      </c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63"/>
      <c r="AB184" s="63"/>
      <c r="AC184" s="63"/>
    </row>
    <row r="185" spans="1:68" ht="27" hidden="1" customHeight="1" x14ac:dyDescent="0.25">
      <c r="A185" s="60" t="s">
        <v>286</v>
      </c>
      <c r="B185" s="60" t="s">
        <v>287</v>
      </c>
      <c r="C185" s="34">
        <v>4301071117</v>
      </c>
      <c r="D185" s="290">
        <v>4620207491737</v>
      </c>
      <c r="E185" s="290"/>
      <c r="F185" s="59">
        <v>1</v>
      </c>
      <c r="G185" s="35">
        <v>5</v>
      </c>
      <c r="H185" s="59">
        <v>5</v>
      </c>
      <c r="I185" s="59">
        <v>5.2619999999999996</v>
      </c>
      <c r="J185" s="35">
        <v>84</v>
      </c>
      <c r="K185" s="35" t="s">
        <v>87</v>
      </c>
      <c r="L185" s="35" t="s">
        <v>88</v>
      </c>
      <c r="M185" s="36" t="s">
        <v>86</v>
      </c>
      <c r="N185" s="36"/>
      <c r="O185" s="35">
        <v>180</v>
      </c>
      <c r="P185" s="3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2"/>
      <c r="R185" s="292"/>
      <c r="S185" s="292"/>
      <c r="T185" s="293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IFERROR(IF(X185="","",X185*0.0155),"")</f>
        <v>0</v>
      </c>
      <c r="AA185" s="65" t="s">
        <v>46</v>
      </c>
      <c r="AB185" s="66" t="s">
        <v>46</v>
      </c>
      <c r="AC185" s="216" t="s">
        <v>284</v>
      </c>
      <c r="AG185" s="78"/>
      <c r="AJ185" s="82" t="s">
        <v>89</v>
      </c>
      <c r="AK185" s="82">
        <v>1</v>
      </c>
      <c r="BB185" s="217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idden="1" x14ac:dyDescent="0.2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8"/>
      <c r="P186" s="294" t="s">
        <v>40</v>
      </c>
      <c r="Q186" s="295"/>
      <c r="R186" s="295"/>
      <c r="S186" s="295"/>
      <c r="T186" s="295"/>
      <c r="U186" s="295"/>
      <c r="V186" s="296"/>
      <c r="W186" s="40" t="s">
        <v>39</v>
      </c>
      <c r="X186" s="41">
        <f>IFERROR(SUM(X185:X185),"0")</f>
        <v>0</v>
      </c>
      <c r="Y186" s="41">
        <f>IFERROR(SUM(Y185:Y185),"0")</f>
        <v>0</v>
      </c>
      <c r="Z186" s="41">
        <f>IFERROR(IF(Z185="",0,Z185),"0")</f>
        <v>0</v>
      </c>
      <c r="AA186" s="64"/>
      <c r="AB186" s="64"/>
      <c r="AC186" s="64"/>
    </row>
    <row r="187" spans="1:68" hidden="1" x14ac:dyDescent="0.2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8"/>
      <c r="P187" s="294" t="s">
        <v>40</v>
      </c>
      <c r="Q187" s="295"/>
      <c r="R187" s="295"/>
      <c r="S187" s="295"/>
      <c r="T187" s="295"/>
      <c r="U187" s="295"/>
      <c r="V187" s="296"/>
      <c r="W187" s="40" t="s">
        <v>0</v>
      </c>
      <c r="X187" s="41">
        <f>IFERROR(SUMPRODUCT(X185:X185*H185:H185),"0")</f>
        <v>0</v>
      </c>
      <c r="Y187" s="41">
        <f>IFERROR(SUMPRODUCT(Y185:Y185*H185:H185),"0")</f>
        <v>0</v>
      </c>
      <c r="Z187" s="40"/>
      <c r="AA187" s="64"/>
      <c r="AB187" s="64"/>
      <c r="AC187" s="64"/>
    </row>
    <row r="188" spans="1:68" ht="27.75" hidden="1" customHeight="1" x14ac:dyDescent="0.2">
      <c r="A188" s="317" t="s">
        <v>288</v>
      </c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52"/>
      <c r="AB188" s="52"/>
      <c r="AC188" s="52"/>
    </row>
    <row r="189" spans="1:68" ht="16.5" hidden="1" customHeight="1" x14ac:dyDescent="0.25">
      <c r="A189" s="318" t="s">
        <v>289</v>
      </c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62"/>
      <c r="AB189" s="62"/>
      <c r="AC189" s="62"/>
    </row>
    <row r="190" spans="1:68" ht="14.25" hidden="1" customHeight="1" x14ac:dyDescent="0.25">
      <c r="A190" s="308" t="s">
        <v>113</v>
      </c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63"/>
      <c r="AB190" s="63"/>
      <c r="AC190" s="63"/>
    </row>
    <row r="191" spans="1:68" ht="16.5" customHeight="1" x14ac:dyDescent="0.25">
      <c r="A191" s="60" t="s">
        <v>290</v>
      </c>
      <c r="B191" s="60" t="s">
        <v>291</v>
      </c>
      <c r="C191" s="34">
        <v>4301132179</v>
      </c>
      <c r="D191" s="290">
        <v>4607111035691</v>
      </c>
      <c r="E191" s="290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118</v>
      </c>
      <c r="L191" s="35" t="s">
        <v>119</v>
      </c>
      <c r="M191" s="36" t="s">
        <v>86</v>
      </c>
      <c r="N191" s="36"/>
      <c r="O191" s="35">
        <v>365</v>
      </c>
      <c r="P191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2"/>
      <c r="R191" s="292"/>
      <c r="S191" s="292"/>
      <c r="T191" s="293"/>
      <c r="U191" s="37" t="s">
        <v>46</v>
      </c>
      <c r="V191" s="37" t="s">
        <v>46</v>
      </c>
      <c r="W191" s="38" t="s">
        <v>39</v>
      </c>
      <c r="X191" s="56">
        <v>126</v>
      </c>
      <c r="Y191" s="53">
        <f>IFERROR(IF(X191="","",X191),"")</f>
        <v>126</v>
      </c>
      <c r="Z191" s="39">
        <f>IFERROR(IF(X191="","",X191*0.01788),"")</f>
        <v>2.2528800000000002</v>
      </c>
      <c r="AA191" s="65" t="s">
        <v>46</v>
      </c>
      <c r="AB191" s="66" t="s">
        <v>46</v>
      </c>
      <c r="AC191" s="218" t="s">
        <v>292</v>
      </c>
      <c r="AG191" s="78"/>
      <c r="AJ191" s="82" t="s">
        <v>120</v>
      </c>
      <c r="AK191" s="82">
        <v>14</v>
      </c>
      <c r="BB191" s="219" t="s">
        <v>117</v>
      </c>
      <c r="BM191" s="78">
        <f>IFERROR(X191*I191,"0")</f>
        <v>426.88799999999998</v>
      </c>
      <c r="BN191" s="78">
        <f>IFERROR(Y191*I191,"0")</f>
        <v>426.88799999999998</v>
      </c>
      <c r="BO191" s="78">
        <f>IFERROR(X191/J191,"0")</f>
        <v>1.8</v>
      </c>
      <c r="BP191" s="78">
        <f>IFERROR(Y191/J191,"0")</f>
        <v>1.8</v>
      </c>
    </row>
    <row r="192" spans="1:68" ht="27" hidden="1" customHeight="1" x14ac:dyDescent="0.25">
      <c r="A192" s="60" t="s">
        <v>293</v>
      </c>
      <c r="B192" s="60" t="s">
        <v>294</v>
      </c>
      <c r="C192" s="34">
        <v>4301132182</v>
      </c>
      <c r="D192" s="290">
        <v>4607111035721</v>
      </c>
      <c r="E192" s="290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118</v>
      </c>
      <c r="L192" s="35" t="s">
        <v>119</v>
      </c>
      <c r="M192" s="36" t="s">
        <v>86</v>
      </c>
      <c r="N192" s="36"/>
      <c r="O192" s="35">
        <v>365</v>
      </c>
      <c r="P192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2"/>
      <c r="R192" s="292"/>
      <c r="S192" s="292"/>
      <c r="T192" s="293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295</v>
      </c>
      <c r="AG192" s="78"/>
      <c r="AJ192" s="82" t="s">
        <v>120</v>
      </c>
      <c r="AK192" s="82">
        <v>14</v>
      </c>
      <c r="BB192" s="221" t="s">
        <v>117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296</v>
      </c>
      <c r="B193" s="60" t="s">
        <v>297</v>
      </c>
      <c r="C193" s="34">
        <v>4301132170</v>
      </c>
      <c r="D193" s="290">
        <v>4607111038487</v>
      </c>
      <c r="E193" s="290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118</v>
      </c>
      <c r="L193" s="35" t="s">
        <v>119</v>
      </c>
      <c r="M193" s="36" t="s">
        <v>86</v>
      </c>
      <c r="N193" s="36"/>
      <c r="O193" s="35">
        <v>180</v>
      </c>
      <c r="P193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2"/>
      <c r="R193" s="292"/>
      <c r="S193" s="292"/>
      <c r="T193" s="293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298</v>
      </c>
      <c r="AG193" s="78"/>
      <c r="AJ193" s="82" t="s">
        <v>120</v>
      </c>
      <c r="AK193" s="82">
        <v>14</v>
      </c>
      <c r="BB193" s="223" t="s">
        <v>117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hidden="1" customHeight="1" x14ac:dyDescent="0.25">
      <c r="A194" s="60" t="s">
        <v>299</v>
      </c>
      <c r="B194" s="60" t="s">
        <v>300</v>
      </c>
      <c r="C194" s="34">
        <v>4301132243</v>
      </c>
      <c r="D194" s="290">
        <v>4620207491195</v>
      </c>
      <c r="E194" s="290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118</v>
      </c>
      <c r="L194" s="35" t="s">
        <v>88</v>
      </c>
      <c r="M194" s="36" t="s">
        <v>86</v>
      </c>
      <c r="N194" s="36"/>
      <c r="O194" s="35">
        <v>180</v>
      </c>
      <c r="P194" s="3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2"/>
      <c r="R194" s="292"/>
      <c r="S194" s="292"/>
      <c r="T194" s="293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24" t="s">
        <v>301</v>
      </c>
      <c r="AG194" s="78"/>
      <c r="AJ194" s="82" t="s">
        <v>89</v>
      </c>
      <c r="AK194" s="82">
        <v>1</v>
      </c>
      <c r="BB194" s="225" t="s">
        <v>117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x14ac:dyDescent="0.2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8"/>
      <c r="P195" s="294" t="s">
        <v>40</v>
      </c>
      <c r="Q195" s="295"/>
      <c r="R195" s="295"/>
      <c r="S195" s="295"/>
      <c r="T195" s="295"/>
      <c r="U195" s="295"/>
      <c r="V195" s="296"/>
      <c r="W195" s="40" t="s">
        <v>39</v>
      </c>
      <c r="X195" s="41">
        <f>IFERROR(SUM(X191:X194),"0")</f>
        <v>126</v>
      </c>
      <c r="Y195" s="41">
        <f>IFERROR(SUM(Y191:Y194),"0")</f>
        <v>126</v>
      </c>
      <c r="Z195" s="41">
        <f>IFERROR(IF(Z191="",0,Z191),"0")+IFERROR(IF(Z192="",0,Z192),"0")+IFERROR(IF(Z193="",0,Z193),"0")+IFERROR(IF(Z194="",0,Z194),"0")</f>
        <v>2.2528800000000002</v>
      </c>
      <c r="AA195" s="64"/>
      <c r="AB195" s="64"/>
      <c r="AC195" s="64"/>
    </row>
    <row r="196" spans="1:68" x14ac:dyDescent="0.2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8"/>
      <c r="P196" s="294" t="s">
        <v>40</v>
      </c>
      <c r="Q196" s="295"/>
      <c r="R196" s="295"/>
      <c r="S196" s="295"/>
      <c r="T196" s="295"/>
      <c r="U196" s="295"/>
      <c r="V196" s="296"/>
      <c r="W196" s="40" t="s">
        <v>0</v>
      </c>
      <c r="X196" s="41">
        <f>IFERROR(SUMPRODUCT(X191:X194*H191:H194),"0")</f>
        <v>378</v>
      </c>
      <c r="Y196" s="41">
        <f>IFERROR(SUMPRODUCT(Y191:Y194*H191:H194),"0")</f>
        <v>378</v>
      </c>
      <c r="Z196" s="40"/>
      <c r="AA196" s="64"/>
      <c r="AB196" s="64"/>
      <c r="AC196" s="64"/>
    </row>
    <row r="197" spans="1:68" ht="27.75" hidden="1" customHeight="1" x14ac:dyDescent="0.2">
      <c r="A197" s="317" t="s">
        <v>302</v>
      </c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52"/>
      <c r="AB197" s="52"/>
      <c r="AC197" s="52"/>
    </row>
    <row r="198" spans="1:68" ht="16.5" hidden="1" customHeight="1" x14ac:dyDescent="0.25">
      <c r="A198" s="318" t="s">
        <v>303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2"/>
      <c r="AB198" s="62"/>
      <c r="AC198" s="62"/>
    </row>
    <row r="199" spans="1:68" ht="14.25" hidden="1" customHeight="1" x14ac:dyDescent="0.25">
      <c r="A199" s="308" t="s">
        <v>113</v>
      </c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63"/>
      <c r="AB199" s="63"/>
      <c r="AC199" s="63"/>
    </row>
    <row r="200" spans="1:68" ht="27" hidden="1" customHeight="1" x14ac:dyDescent="0.25">
      <c r="A200" s="60" t="s">
        <v>304</v>
      </c>
      <c r="B200" s="60" t="s">
        <v>305</v>
      </c>
      <c r="C200" s="34">
        <v>4301132227</v>
      </c>
      <c r="D200" s="290">
        <v>4620207491133</v>
      </c>
      <c r="E200" s="290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118</v>
      </c>
      <c r="L200" s="35" t="s">
        <v>119</v>
      </c>
      <c r="M200" s="36" t="s">
        <v>86</v>
      </c>
      <c r="N200" s="36"/>
      <c r="O200" s="35">
        <v>180</v>
      </c>
      <c r="P200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2"/>
      <c r="R200" s="292"/>
      <c r="S200" s="292"/>
      <c r="T200" s="293"/>
      <c r="U200" s="37" t="s">
        <v>46</v>
      </c>
      <c r="V200" s="37" t="s">
        <v>46</v>
      </c>
      <c r="W200" s="38" t="s">
        <v>39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 t="s">
        <v>46</v>
      </c>
      <c r="AB200" s="66" t="s">
        <v>46</v>
      </c>
      <c r="AC200" s="226" t="s">
        <v>306</v>
      </c>
      <c r="AG200" s="78"/>
      <c r="AJ200" s="82" t="s">
        <v>120</v>
      </c>
      <c r="AK200" s="82">
        <v>14</v>
      </c>
      <c r="BB200" s="227" t="s">
        <v>117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hidden="1" x14ac:dyDescent="0.2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8"/>
      <c r="P201" s="294" t="s">
        <v>40</v>
      </c>
      <c r="Q201" s="295"/>
      <c r="R201" s="295"/>
      <c r="S201" s="295"/>
      <c r="T201" s="295"/>
      <c r="U201" s="295"/>
      <c r="V201" s="296"/>
      <c r="W201" s="40" t="s">
        <v>39</v>
      </c>
      <c r="X201" s="41">
        <f>IFERROR(SUM(X200:X200),"0")</f>
        <v>0</v>
      </c>
      <c r="Y201" s="41">
        <f>IFERROR(SUM(Y200:Y200),"0")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8"/>
      <c r="P202" s="294" t="s">
        <v>40</v>
      </c>
      <c r="Q202" s="295"/>
      <c r="R202" s="295"/>
      <c r="S202" s="295"/>
      <c r="T202" s="295"/>
      <c r="U202" s="295"/>
      <c r="V202" s="296"/>
      <c r="W202" s="40" t="s">
        <v>0</v>
      </c>
      <c r="X202" s="41">
        <f>IFERROR(SUMPRODUCT(X200:X200*H200:H200),"0")</f>
        <v>0</v>
      </c>
      <c r="Y202" s="41">
        <f>IFERROR(SUMPRODUCT(Y200:Y200*H200:H200),"0")</f>
        <v>0</v>
      </c>
      <c r="Z202" s="40"/>
      <c r="AA202" s="64"/>
      <c r="AB202" s="64"/>
      <c r="AC202" s="64"/>
    </row>
    <row r="203" spans="1:68" ht="14.25" hidden="1" customHeight="1" x14ac:dyDescent="0.25">
      <c r="A203" s="308" t="s">
        <v>151</v>
      </c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63"/>
      <c r="AB203" s="63"/>
      <c r="AC203" s="63"/>
    </row>
    <row r="204" spans="1:68" ht="27" hidden="1" customHeight="1" x14ac:dyDescent="0.25">
      <c r="A204" s="60" t="s">
        <v>307</v>
      </c>
      <c r="B204" s="60" t="s">
        <v>308</v>
      </c>
      <c r="C204" s="34">
        <v>4301135834</v>
      </c>
      <c r="D204" s="290">
        <v>4620207491188</v>
      </c>
      <c r="E204" s="290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118</v>
      </c>
      <c r="L204" s="35" t="s">
        <v>88</v>
      </c>
      <c r="M204" s="36" t="s">
        <v>86</v>
      </c>
      <c r="N204" s="36"/>
      <c r="O204" s="35">
        <v>180</v>
      </c>
      <c r="P204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2"/>
      <c r="R204" s="292"/>
      <c r="S204" s="292"/>
      <c r="T204" s="293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309</v>
      </c>
      <c r="AG204" s="78"/>
      <c r="AJ204" s="82" t="s">
        <v>89</v>
      </c>
      <c r="AK204" s="82">
        <v>1</v>
      </c>
      <c r="BB204" s="229" t="s">
        <v>117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310</v>
      </c>
      <c r="B205" s="60" t="s">
        <v>311</v>
      </c>
      <c r="C205" s="34">
        <v>4301135696</v>
      </c>
      <c r="D205" s="290">
        <v>4620207490235</v>
      </c>
      <c r="E205" s="290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118</v>
      </c>
      <c r="L205" s="35" t="s">
        <v>119</v>
      </c>
      <c r="M205" s="36" t="s">
        <v>86</v>
      </c>
      <c r="N205" s="36"/>
      <c r="O205" s="35">
        <v>180</v>
      </c>
      <c r="P205" s="33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2"/>
      <c r="R205" s="292"/>
      <c r="S205" s="292"/>
      <c r="T205" s="293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312</v>
      </c>
      <c r="AG205" s="78"/>
      <c r="AJ205" s="82" t="s">
        <v>120</v>
      </c>
      <c r="AK205" s="82">
        <v>14</v>
      </c>
      <c r="BB205" s="231" t="s">
        <v>117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313</v>
      </c>
      <c r="B206" s="60" t="s">
        <v>314</v>
      </c>
      <c r="C206" s="34">
        <v>4301135697</v>
      </c>
      <c r="D206" s="290">
        <v>4620207490259</v>
      </c>
      <c r="E206" s="290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118</v>
      </c>
      <c r="L206" s="35" t="s">
        <v>88</v>
      </c>
      <c r="M206" s="36" t="s">
        <v>86</v>
      </c>
      <c r="N206" s="36"/>
      <c r="O206" s="35">
        <v>180</v>
      </c>
      <c r="P206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2"/>
      <c r="R206" s="292"/>
      <c r="S206" s="292"/>
      <c r="T206" s="293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32" t="s">
        <v>315</v>
      </c>
      <c r="AG206" s="78"/>
      <c r="AJ206" s="82" t="s">
        <v>89</v>
      </c>
      <c r="AK206" s="82">
        <v>1</v>
      </c>
      <c r="BB206" s="233" t="s">
        <v>117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idden="1" x14ac:dyDescent="0.2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8"/>
      <c r="P207" s="294" t="s">
        <v>40</v>
      </c>
      <c r="Q207" s="295"/>
      <c r="R207" s="295"/>
      <c r="S207" s="295"/>
      <c r="T207" s="295"/>
      <c r="U207" s="295"/>
      <c r="V207" s="296"/>
      <c r="W207" s="40" t="s">
        <v>39</v>
      </c>
      <c r="X207" s="41">
        <f>IFERROR(SUM(X204:X206),"0")</f>
        <v>0</v>
      </c>
      <c r="Y207" s="41">
        <f>IFERROR(SUM(Y204:Y206),"0")</f>
        <v>0</v>
      </c>
      <c r="Z207" s="41">
        <f>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8"/>
      <c r="P208" s="294" t="s">
        <v>40</v>
      </c>
      <c r="Q208" s="295"/>
      <c r="R208" s="295"/>
      <c r="S208" s="295"/>
      <c r="T208" s="295"/>
      <c r="U208" s="295"/>
      <c r="V208" s="296"/>
      <c r="W208" s="40" t="s">
        <v>0</v>
      </c>
      <c r="X208" s="41">
        <f>IFERROR(SUMPRODUCT(X204:X206*H204:H206),"0")</f>
        <v>0</v>
      </c>
      <c r="Y208" s="41">
        <f>IFERROR(SUMPRODUCT(Y204:Y206*H204:H206),"0")</f>
        <v>0</v>
      </c>
      <c r="Z208" s="40"/>
      <c r="AA208" s="64"/>
      <c r="AB208" s="64"/>
      <c r="AC208" s="64"/>
    </row>
    <row r="209" spans="1:68" ht="16.5" hidden="1" customHeight="1" x14ac:dyDescent="0.25">
      <c r="A209" s="318" t="s">
        <v>316</v>
      </c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62"/>
      <c r="AB209" s="62"/>
      <c r="AC209" s="62"/>
    </row>
    <row r="210" spans="1:68" ht="14.25" hidden="1" customHeight="1" x14ac:dyDescent="0.25">
      <c r="A210" s="308" t="s">
        <v>151</v>
      </c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63"/>
      <c r="AB210" s="63"/>
      <c r="AC210" s="63"/>
    </row>
    <row r="211" spans="1:68" ht="27" hidden="1" customHeight="1" x14ac:dyDescent="0.25">
      <c r="A211" s="60" t="s">
        <v>317</v>
      </c>
      <c r="B211" s="60" t="s">
        <v>318</v>
      </c>
      <c r="C211" s="34">
        <v>4301135854</v>
      </c>
      <c r="D211" s="290">
        <v>4620207491706</v>
      </c>
      <c r="E211" s="290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118</v>
      </c>
      <c r="L211" s="35" t="s">
        <v>88</v>
      </c>
      <c r="M211" s="36" t="s">
        <v>86</v>
      </c>
      <c r="N211" s="36"/>
      <c r="O211" s="35">
        <v>180</v>
      </c>
      <c r="P211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2"/>
      <c r="R211" s="292"/>
      <c r="S211" s="292"/>
      <c r="T211" s="293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319</v>
      </c>
      <c r="AG211" s="78"/>
      <c r="AJ211" s="82" t="s">
        <v>89</v>
      </c>
      <c r="AK211" s="82">
        <v>1</v>
      </c>
      <c r="BB211" s="235" t="s">
        <v>117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hidden="1" customHeight="1" x14ac:dyDescent="0.25">
      <c r="A212" s="60" t="s">
        <v>320</v>
      </c>
      <c r="B212" s="60" t="s">
        <v>321</v>
      </c>
      <c r="C212" s="34">
        <v>4301135895</v>
      </c>
      <c r="D212" s="290">
        <v>4620207491522</v>
      </c>
      <c r="E212" s="290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118</v>
      </c>
      <c r="L212" s="35" t="s">
        <v>88</v>
      </c>
      <c r="M212" s="36" t="s">
        <v>86</v>
      </c>
      <c r="N212" s="36"/>
      <c r="O212" s="35">
        <v>180</v>
      </c>
      <c r="P212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2"/>
      <c r="R212" s="292"/>
      <c r="S212" s="292"/>
      <c r="T212" s="293"/>
      <c r="U212" s="37" t="s">
        <v>46</v>
      </c>
      <c r="V212" s="37" t="s">
        <v>46</v>
      </c>
      <c r="W212" s="38" t="s">
        <v>39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 t="s">
        <v>46</v>
      </c>
      <c r="AB212" s="66" t="s">
        <v>46</v>
      </c>
      <c r="AC212" s="236" t="s">
        <v>322</v>
      </c>
      <c r="AG212" s="78"/>
      <c r="AJ212" s="82" t="s">
        <v>89</v>
      </c>
      <c r="AK212" s="82">
        <v>1</v>
      </c>
      <c r="BB212" s="237" t="s">
        <v>117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hidden="1" x14ac:dyDescent="0.2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8"/>
      <c r="P213" s="294" t="s">
        <v>40</v>
      </c>
      <c r="Q213" s="295"/>
      <c r="R213" s="295"/>
      <c r="S213" s="295"/>
      <c r="T213" s="295"/>
      <c r="U213" s="295"/>
      <c r="V213" s="296"/>
      <c r="W213" s="40" t="s">
        <v>39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hidden="1" x14ac:dyDescent="0.2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8"/>
      <c r="P214" s="294" t="s">
        <v>40</v>
      </c>
      <c r="Q214" s="295"/>
      <c r="R214" s="295"/>
      <c r="S214" s="295"/>
      <c r="T214" s="295"/>
      <c r="U214" s="295"/>
      <c r="V214" s="296"/>
      <c r="W214" s="40" t="s">
        <v>0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hidden="1" customHeight="1" x14ac:dyDescent="0.25">
      <c r="A215" s="318" t="s">
        <v>323</v>
      </c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62"/>
      <c r="AB215" s="62"/>
      <c r="AC215" s="62"/>
    </row>
    <row r="216" spans="1:68" ht="14.25" hidden="1" customHeight="1" x14ac:dyDescent="0.25">
      <c r="A216" s="308" t="s">
        <v>82</v>
      </c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63"/>
      <c r="AB216" s="63"/>
      <c r="AC216" s="63"/>
    </row>
    <row r="217" spans="1:68" ht="27" customHeight="1" x14ac:dyDescent="0.25">
      <c r="A217" s="60" t="s">
        <v>324</v>
      </c>
      <c r="B217" s="60" t="s">
        <v>325</v>
      </c>
      <c r="C217" s="34">
        <v>4301071097</v>
      </c>
      <c r="D217" s="290">
        <v>4620207491096</v>
      </c>
      <c r="E217" s="290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87</v>
      </c>
      <c r="L217" s="35" t="s">
        <v>119</v>
      </c>
      <c r="M217" s="36" t="s">
        <v>86</v>
      </c>
      <c r="N217" s="36"/>
      <c r="O217" s="35">
        <v>180</v>
      </c>
      <c r="P217" s="3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2"/>
      <c r="R217" s="292"/>
      <c r="S217" s="292"/>
      <c r="T217" s="293"/>
      <c r="U217" s="37" t="s">
        <v>46</v>
      </c>
      <c r="V217" s="37" t="s">
        <v>46</v>
      </c>
      <c r="W217" s="38" t="s">
        <v>39</v>
      </c>
      <c r="X217" s="56">
        <v>228</v>
      </c>
      <c r="Y217" s="53">
        <f>IFERROR(IF(X217="","",X217),"")</f>
        <v>228</v>
      </c>
      <c r="Z217" s="39">
        <f>IFERROR(IF(X217="","",X217*0.0155),"")</f>
        <v>3.5339999999999998</v>
      </c>
      <c r="AA217" s="65" t="s">
        <v>46</v>
      </c>
      <c r="AB217" s="66" t="s">
        <v>46</v>
      </c>
      <c r="AC217" s="238" t="s">
        <v>326</v>
      </c>
      <c r="AG217" s="78"/>
      <c r="AJ217" s="82" t="s">
        <v>120</v>
      </c>
      <c r="AK217" s="82">
        <v>12</v>
      </c>
      <c r="BB217" s="239" t="s">
        <v>70</v>
      </c>
      <c r="BM217" s="78">
        <f>IFERROR(X217*I217,"0")</f>
        <v>1192.44</v>
      </c>
      <c r="BN217" s="78">
        <f>IFERROR(Y217*I217,"0")</f>
        <v>1192.44</v>
      </c>
      <c r="BO217" s="78">
        <f>IFERROR(X217/J217,"0")</f>
        <v>2.7142857142857144</v>
      </c>
      <c r="BP217" s="78">
        <f>IFERROR(Y217/J217,"0")</f>
        <v>2.7142857142857144</v>
      </c>
    </row>
    <row r="218" spans="1:68" x14ac:dyDescent="0.2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8"/>
      <c r="P218" s="294" t="s">
        <v>40</v>
      </c>
      <c r="Q218" s="295"/>
      <c r="R218" s="295"/>
      <c r="S218" s="295"/>
      <c r="T218" s="295"/>
      <c r="U218" s="295"/>
      <c r="V218" s="296"/>
      <c r="W218" s="40" t="s">
        <v>39</v>
      </c>
      <c r="X218" s="41">
        <f>IFERROR(SUM(X217:X217),"0")</f>
        <v>228</v>
      </c>
      <c r="Y218" s="41">
        <f>IFERROR(SUM(Y217:Y217),"0")</f>
        <v>228</v>
      </c>
      <c r="Z218" s="41">
        <f>IFERROR(IF(Z217="",0,Z217),"0")</f>
        <v>3.5339999999999998</v>
      </c>
      <c r="AA218" s="64"/>
      <c r="AB218" s="64"/>
      <c r="AC218" s="64"/>
    </row>
    <row r="219" spans="1:68" x14ac:dyDescent="0.2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8"/>
      <c r="P219" s="294" t="s">
        <v>40</v>
      </c>
      <c r="Q219" s="295"/>
      <c r="R219" s="295"/>
      <c r="S219" s="295"/>
      <c r="T219" s="295"/>
      <c r="U219" s="295"/>
      <c r="V219" s="296"/>
      <c r="W219" s="40" t="s">
        <v>0</v>
      </c>
      <c r="X219" s="41">
        <f>IFERROR(SUMPRODUCT(X217:X217*H217:H217),"0")</f>
        <v>1140</v>
      </c>
      <c r="Y219" s="41">
        <f>IFERROR(SUMPRODUCT(Y217:Y217*H217:H217),"0")</f>
        <v>1140</v>
      </c>
      <c r="Z219" s="40"/>
      <c r="AA219" s="64"/>
      <c r="AB219" s="64"/>
      <c r="AC219" s="64"/>
    </row>
    <row r="220" spans="1:68" ht="16.5" hidden="1" customHeight="1" x14ac:dyDescent="0.25">
      <c r="A220" s="318" t="s">
        <v>327</v>
      </c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62"/>
      <c r="AB220" s="62"/>
      <c r="AC220" s="62"/>
    </row>
    <row r="221" spans="1:68" ht="14.25" hidden="1" customHeight="1" x14ac:dyDescent="0.25">
      <c r="A221" s="308" t="s">
        <v>151</v>
      </c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63"/>
      <c r="AB221" s="63"/>
      <c r="AC221" s="63"/>
    </row>
    <row r="222" spans="1:68" ht="27" hidden="1" customHeight="1" x14ac:dyDescent="0.25">
      <c r="A222" s="60" t="s">
        <v>328</v>
      </c>
      <c r="B222" s="60" t="s">
        <v>329</v>
      </c>
      <c r="C222" s="34">
        <v>4301135694</v>
      </c>
      <c r="D222" s="290">
        <v>4620207490501</v>
      </c>
      <c r="E222" s="290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118</v>
      </c>
      <c r="L222" s="35" t="s">
        <v>88</v>
      </c>
      <c r="M222" s="36" t="s">
        <v>86</v>
      </c>
      <c r="N222" s="36"/>
      <c r="O222" s="35">
        <v>180</v>
      </c>
      <c r="P222" s="3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2"/>
      <c r="R222" s="292"/>
      <c r="S222" s="292"/>
      <c r="T222" s="293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 t="s">
        <v>46</v>
      </c>
      <c r="AB222" s="66" t="s">
        <v>46</v>
      </c>
      <c r="AC222" s="240" t="s">
        <v>330</v>
      </c>
      <c r="AG222" s="78"/>
      <c r="AJ222" s="82" t="s">
        <v>89</v>
      </c>
      <c r="AK222" s="82">
        <v>1</v>
      </c>
      <c r="BB222" s="241" t="s">
        <v>117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idden="1" x14ac:dyDescent="0.2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8"/>
      <c r="P223" s="294" t="s">
        <v>40</v>
      </c>
      <c r="Q223" s="295"/>
      <c r="R223" s="295"/>
      <c r="S223" s="295"/>
      <c r="T223" s="295"/>
      <c r="U223" s="295"/>
      <c r="V223" s="296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8"/>
      <c r="P224" s="294" t="s">
        <v>40</v>
      </c>
      <c r="Q224" s="295"/>
      <c r="R224" s="295"/>
      <c r="S224" s="295"/>
      <c r="T224" s="295"/>
      <c r="U224" s="295"/>
      <c r="V224" s="296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hidden="1" customHeight="1" x14ac:dyDescent="0.2">
      <c r="A225" s="317" t="s">
        <v>331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52"/>
      <c r="AB225" s="52"/>
      <c r="AC225" s="52"/>
    </row>
    <row r="226" spans="1:68" ht="16.5" hidden="1" customHeight="1" x14ac:dyDescent="0.25">
      <c r="A226" s="318" t="s">
        <v>332</v>
      </c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62"/>
      <c r="AB226" s="62"/>
      <c r="AC226" s="62"/>
    </row>
    <row r="227" spans="1:68" ht="14.25" hidden="1" customHeight="1" x14ac:dyDescent="0.25">
      <c r="A227" s="308" t="s">
        <v>82</v>
      </c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63"/>
      <c r="AB227" s="63"/>
      <c r="AC227" s="63"/>
    </row>
    <row r="228" spans="1:68" ht="27" hidden="1" customHeight="1" x14ac:dyDescent="0.25">
      <c r="A228" s="60" t="s">
        <v>333</v>
      </c>
      <c r="B228" s="60" t="s">
        <v>334</v>
      </c>
      <c r="C228" s="34">
        <v>4301071036</v>
      </c>
      <c r="D228" s="290">
        <v>4607111036162</v>
      </c>
      <c r="E228" s="290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87</v>
      </c>
      <c r="L228" s="35" t="s">
        <v>88</v>
      </c>
      <c r="M228" s="36" t="s">
        <v>86</v>
      </c>
      <c r="N228" s="36"/>
      <c r="O228" s="35">
        <v>90</v>
      </c>
      <c r="P228" s="3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2"/>
      <c r="R228" s="292"/>
      <c r="S228" s="292"/>
      <c r="T228" s="293"/>
      <c r="U228" s="37" t="s">
        <v>46</v>
      </c>
      <c r="V228" s="37" t="s">
        <v>46</v>
      </c>
      <c r="W228" s="38" t="s">
        <v>39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 t="s">
        <v>46</v>
      </c>
      <c r="AB228" s="66" t="s">
        <v>46</v>
      </c>
      <c r="AC228" s="242" t="s">
        <v>335</v>
      </c>
      <c r="AG228" s="78"/>
      <c r="AJ228" s="82" t="s">
        <v>89</v>
      </c>
      <c r="AK228" s="82">
        <v>1</v>
      </c>
      <c r="BB228" s="243" t="s">
        <v>70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hidden="1" x14ac:dyDescent="0.2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8"/>
      <c r="P229" s="294" t="s">
        <v>40</v>
      </c>
      <c r="Q229" s="295"/>
      <c r="R229" s="295"/>
      <c r="S229" s="295"/>
      <c r="T229" s="295"/>
      <c r="U229" s="295"/>
      <c r="V229" s="296"/>
      <c r="W229" s="40" t="s">
        <v>39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8"/>
      <c r="P230" s="294" t="s">
        <v>40</v>
      </c>
      <c r="Q230" s="295"/>
      <c r="R230" s="295"/>
      <c r="S230" s="295"/>
      <c r="T230" s="295"/>
      <c r="U230" s="295"/>
      <c r="V230" s="296"/>
      <c r="W230" s="40" t="s">
        <v>0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hidden="1" customHeight="1" x14ac:dyDescent="0.2">
      <c r="A231" s="317" t="s">
        <v>336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52"/>
      <c r="AB231" s="52"/>
      <c r="AC231" s="52"/>
    </row>
    <row r="232" spans="1:68" ht="16.5" hidden="1" customHeight="1" x14ac:dyDescent="0.25">
      <c r="A232" s="318" t="s">
        <v>337</v>
      </c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62"/>
      <c r="AB232" s="62"/>
      <c r="AC232" s="62"/>
    </row>
    <row r="233" spans="1:68" ht="14.25" hidden="1" customHeight="1" x14ac:dyDescent="0.25">
      <c r="A233" s="308" t="s">
        <v>338</v>
      </c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63"/>
      <c r="AB233" s="63"/>
      <c r="AC233" s="63"/>
    </row>
    <row r="234" spans="1:68" ht="27" hidden="1" customHeight="1" x14ac:dyDescent="0.25">
      <c r="A234" s="60" t="s">
        <v>339</v>
      </c>
      <c r="B234" s="60" t="s">
        <v>340</v>
      </c>
      <c r="C234" s="34">
        <v>4301133004</v>
      </c>
      <c r="D234" s="290">
        <v>4607111039774</v>
      </c>
      <c r="E234" s="290"/>
      <c r="F234" s="59">
        <v>0.25</v>
      </c>
      <c r="G234" s="35">
        <v>12</v>
      </c>
      <c r="H234" s="59">
        <v>3</v>
      </c>
      <c r="I234" s="59">
        <v>3.22</v>
      </c>
      <c r="J234" s="35">
        <v>70</v>
      </c>
      <c r="K234" s="35" t="s">
        <v>118</v>
      </c>
      <c r="L234" s="35" t="s">
        <v>88</v>
      </c>
      <c r="M234" s="36" t="s">
        <v>86</v>
      </c>
      <c r="N234" s="36"/>
      <c r="O234" s="35">
        <v>180</v>
      </c>
      <c r="P234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2"/>
      <c r="R234" s="292"/>
      <c r="S234" s="292"/>
      <c r="T234" s="293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IFERROR(IF(X234="","",X234*0.01788),"")</f>
        <v>0</v>
      </c>
      <c r="AA234" s="65" t="s">
        <v>46</v>
      </c>
      <c r="AB234" s="66" t="s">
        <v>46</v>
      </c>
      <c r="AC234" s="244" t="s">
        <v>341</v>
      </c>
      <c r="AG234" s="78"/>
      <c r="AJ234" s="82" t="s">
        <v>89</v>
      </c>
      <c r="AK234" s="82">
        <v>1</v>
      </c>
      <c r="BB234" s="245" t="s">
        <v>117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hidden="1" x14ac:dyDescent="0.2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8"/>
      <c r="P235" s="294" t="s">
        <v>40</v>
      </c>
      <c r="Q235" s="295"/>
      <c r="R235" s="295"/>
      <c r="S235" s="295"/>
      <c r="T235" s="295"/>
      <c r="U235" s="295"/>
      <c r="V235" s="296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hidden="1" x14ac:dyDescent="0.2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8"/>
      <c r="P236" s="294" t="s">
        <v>40</v>
      </c>
      <c r="Q236" s="295"/>
      <c r="R236" s="295"/>
      <c r="S236" s="295"/>
      <c r="T236" s="295"/>
      <c r="U236" s="295"/>
      <c r="V236" s="296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14.25" hidden="1" customHeight="1" x14ac:dyDescent="0.25">
      <c r="A237" s="308" t="s">
        <v>151</v>
      </c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63"/>
      <c r="AB237" s="63"/>
      <c r="AC237" s="63"/>
    </row>
    <row r="238" spans="1:68" ht="37.5" hidden="1" customHeight="1" x14ac:dyDescent="0.25">
      <c r="A238" s="60" t="s">
        <v>342</v>
      </c>
      <c r="B238" s="60" t="s">
        <v>343</v>
      </c>
      <c r="C238" s="34">
        <v>4301135400</v>
      </c>
      <c r="D238" s="290">
        <v>4607111039361</v>
      </c>
      <c r="E238" s="290"/>
      <c r="F238" s="59">
        <v>0.25</v>
      </c>
      <c r="G238" s="35">
        <v>12</v>
      </c>
      <c r="H238" s="59">
        <v>3</v>
      </c>
      <c r="I238" s="59">
        <v>3.7035999999999998</v>
      </c>
      <c r="J238" s="35">
        <v>70</v>
      </c>
      <c r="K238" s="35" t="s">
        <v>118</v>
      </c>
      <c r="L238" s="35" t="s">
        <v>88</v>
      </c>
      <c r="M238" s="36" t="s">
        <v>86</v>
      </c>
      <c r="N238" s="36"/>
      <c r="O238" s="35">
        <v>180</v>
      </c>
      <c r="P238" s="32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2"/>
      <c r="R238" s="292"/>
      <c r="S238" s="292"/>
      <c r="T238" s="293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341</v>
      </c>
      <c r="AG238" s="78"/>
      <c r="AJ238" s="82" t="s">
        <v>89</v>
      </c>
      <c r="AK238" s="82">
        <v>1</v>
      </c>
      <c r="BB238" s="247" t="s">
        <v>117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8"/>
      <c r="P240" s="294" t="s">
        <v>40</v>
      </c>
      <c r="Q240" s="295"/>
      <c r="R240" s="295"/>
      <c r="S240" s="295"/>
      <c r="T240" s="295"/>
      <c r="U240" s="295"/>
      <c r="V240" s="296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27.75" hidden="1" customHeight="1" x14ac:dyDescent="0.2">
      <c r="A241" s="317" t="s">
        <v>344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52"/>
      <c r="AB241" s="52"/>
      <c r="AC241" s="52"/>
    </row>
    <row r="242" spans="1:68" ht="16.5" hidden="1" customHeight="1" x14ac:dyDescent="0.25">
      <c r="A242" s="318" t="s">
        <v>344</v>
      </c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62"/>
      <c r="AB242" s="62"/>
      <c r="AC242" s="62"/>
    </row>
    <row r="243" spans="1:68" ht="14.25" hidden="1" customHeight="1" x14ac:dyDescent="0.25">
      <c r="A243" s="308" t="s">
        <v>113</v>
      </c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63"/>
      <c r="AB243" s="63"/>
      <c r="AC243" s="63"/>
    </row>
    <row r="244" spans="1:68" ht="27" hidden="1" customHeight="1" x14ac:dyDescent="0.25">
      <c r="A244" s="60" t="s">
        <v>345</v>
      </c>
      <c r="B244" s="60" t="s">
        <v>346</v>
      </c>
      <c r="C244" s="34">
        <v>4301132228</v>
      </c>
      <c r="D244" s="290">
        <v>4640242181950</v>
      </c>
      <c r="E244" s="290"/>
      <c r="F244" s="59">
        <v>0.23</v>
      </c>
      <c r="G244" s="35">
        <v>12</v>
      </c>
      <c r="H244" s="59">
        <v>2.76</v>
      </c>
      <c r="I244" s="59">
        <v>3.22</v>
      </c>
      <c r="J244" s="35">
        <v>70</v>
      </c>
      <c r="K244" s="35" t="s">
        <v>118</v>
      </c>
      <c r="L244" s="35" t="s">
        <v>88</v>
      </c>
      <c r="M244" s="36" t="s">
        <v>86</v>
      </c>
      <c r="N244" s="36"/>
      <c r="O244" s="35">
        <v>365</v>
      </c>
      <c r="P244" s="32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2"/>
      <c r="R244" s="292"/>
      <c r="S244" s="292"/>
      <c r="T244" s="293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 t="s">
        <v>46</v>
      </c>
      <c r="AB244" s="66" t="s">
        <v>46</v>
      </c>
      <c r="AC244" s="248" t="s">
        <v>347</v>
      </c>
      <c r="AG244" s="78"/>
      <c r="AJ244" s="82" t="s">
        <v>89</v>
      </c>
      <c r="AK244" s="82">
        <v>1</v>
      </c>
      <c r="BB244" s="249" t="s">
        <v>117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8"/>
      <c r="P245" s="294" t="s">
        <v>40</v>
      </c>
      <c r="Q245" s="295"/>
      <c r="R245" s="295"/>
      <c r="S245" s="295"/>
      <c r="T245" s="295"/>
      <c r="U245" s="295"/>
      <c r="V245" s="296"/>
      <c r="W245" s="40" t="s">
        <v>39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8"/>
      <c r="P246" s="294" t="s">
        <v>40</v>
      </c>
      <c r="Q246" s="295"/>
      <c r="R246" s="295"/>
      <c r="S246" s="295"/>
      <c r="T246" s="295"/>
      <c r="U246" s="295"/>
      <c r="V246" s="296"/>
      <c r="W246" s="40" t="s">
        <v>0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8" t="s">
        <v>145</v>
      </c>
      <c r="B247" s="308"/>
      <c r="C247" s="308"/>
      <c r="D247" s="308"/>
      <c r="E247" s="308"/>
      <c r="F247" s="308"/>
      <c r="G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63"/>
      <c r="AB247" s="63"/>
      <c r="AC247" s="63"/>
    </row>
    <row r="248" spans="1:68" ht="27" hidden="1" customHeight="1" x14ac:dyDescent="0.25">
      <c r="A248" s="60" t="s">
        <v>348</v>
      </c>
      <c r="B248" s="60" t="s">
        <v>349</v>
      </c>
      <c r="C248" s="34">
        <v>4301136098</v>
      </c>
      <c r="D248" s="290">
        <v>4640242181943</v>
      </c>
      <c r="E248" s="290"/>
      <c r="F248" s="59">
        <v>0.09</v>
      </c>
      <c r="G248" s="35">
        <v>24</v>
      </c>
      <c r="H248" s="59">
        <v>2.16</v>
      </c>
      <c r="I248" s="59">
        <v>2.34</v>
      </c>
      <c r="J248" s="35">
        <v>126</v>
      </c>
      <c r="K248" s="35" t="s">
        <v>118</v>
      </c>
      <c r="L248" s="35" t="s">
        <v>88</v>
      </c>
      <c r="M248" s="36" t="s">
        <v>86</v>
      </c>
      <c r="N248" s="36"/>
      <c r="O248" s="35">
        <v>180</v>
      </c>
      <c r="P248" s="32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2"/>
      <c r="R248" s="292"/>
      <c r="S248" s="292"/>
      <c r="T248" s="293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IFERROR(IF(X248="","",X248*0.00936),"")</f>
        <v>0</v>
      </c>
      <c r="AA248" s="65" t="s">
        <v>46</v>
      </c>
      <c r="AB248" s="66" t="s">
        <v>46</v>
      </c>
      <c r="AC248" s="250" t="s">
        <v>350</v>
      </c>
      <c r="AG248" s="78"/>
      <c r="AJ248" s="82" t="s">
        <v>89</v>
      </c>
      <c r="AK248" s="82">
        <v>1</v>
      </c>
      <c r="BB248" s="251" t="s">
        <v>117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0" t="s">
        <v>39</v>
      </c>
      <c r="X249" s="41">
        <f>IFERROR(SUM(X248:X248),"0")</f>
        <v>0</v>
      </c>
      <c r="Y249" s="41">
        <f>IFERROR(SUM(Y248:Y248),"0")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8"/>
      <c r="P250" s="294" t="s">
        <v>40</v>
      </c>
      <c r="Q250" s="295"/>
      <c r="R250" s="295"/>
      <c r="S250" s="295"/>
      <c r="T250" s="295"/>
      <c r="U250" s="295"/>
      <c r="V250" s="296"/>
      <c r="W250" s="40" t="s">
        <v>0</v>
      </c>
      <c r="X250" s="41">
        <f>IFERROR(SUMPRODUCT(X248:X248*H248:H248),"0")</f>
        <v>0</v>
      </c>
      <c r="Y250" s="41">
        <f>IFERROR(SUMPRODUCT(Y248:Y248*H248:H248),"0")</f>
        <v>0</v>
      </c>
      <c r="Z250" s="40"/>
      <c r="AA250" s="64"/>
      <c r="AB250" s="64"/>
      <c r="AC250" s="64"/>
    </row>
    <row r="251" spans="1:68" ht="27.75" hidden="1" customHeight="1" x14ac:dyDescent="0.2">
      <c r="A251" s="317" t="s">
        <v>351</v>
      </c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52"/>
      <c r="AB251" s="52"/>
      <c r="AC251" s="52"/>
    </row>
    <row r="252" spans="1:68" ht="16.5" hidden="1" customHeight="1" x14ac:dyDescent="0.25">
      <c r="A252" s="318" t="s">
        <v>351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2"/>
      <c r="AB252" s="62"/>
      <c r="AC252" s="62"/>
    </row>
    <row r="253" spans="1:68" ht="14.25" hidden="1" customHeight="1" x14ac:dyDescent="0.25">
      <c r="A253" s="308" t="s">
        <v>82</v>
      </c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63"/>
      <c r="AB253" s="63"/>
      <c r="AC253" s="63"/>
    </row>
    <row r="254" spans="1:68" ht="27" hidden="1" customHeight="1" x14ac:dyDescent="0.25">
      <c r="A254" s="60" t="s">
        <v>352</v>
      </c>
      <c r="B254" s="60" t="s">
        <v>353</v>
      </c>
      <c r="C254" s="34">
        <v>4301071014</v>
      </c>
      <c r="D254" s="290">
        <v>4640242181264</v>
      </c>
      <c r="E254" s="290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87</v>
      </c>
      <c r="L254" s="35" t="s">
        <v>88</v>
      </c>
      <c r="M254" s="36" t="s">
        <v>86</v>
      </c>
      <c r="N254" s="36"/>
      <c r="O254" s="35">
        <v>180</v>
      </c>
      <c r="P254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2"/>
      <c r="R254" s="292"/>
      <c r="S254" s="292"/>
      <c r="T254" s="293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354</v>
      </c>
      <c r="AG254" s="78"/>
      <c r="AJ254" s="82" t="s">
        <v>89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355</v>
      </c>
      <c r="B255" s="60" t="s">
        <v>356</v>
      </c>
      <c r="C255" s="34">
        <v>4301071021</v>
      </c>
      <c r="D255" s="290">
        <v>4640242181325</v>
      </c>
      <c r="E255" s="290"/>
      <c r="F255" s="59">
        <v>0.7</v>
      </c>
      <c r="G255" s="35">
        <v>10</v>
      </c>
      <c r="H255" s="59">
        <v>7</v>
      </c>
      <c r="I255" s="59">
        <v>7.28</v>
      </c>
      <c r="J255" s="35">
        <v>84</v>
      </c>
      <c r="K255" s="35" t="s">
        <v>87</v>
      </c>
      <c r="L255" s="35" t="s">
        <v>88</v>
      </c>
      <c r="M255" s="36" t="s">
        <v>86</v>
      </c>
      <c r="N255" s="36"/>
      <c r="O255" s="35">
        <v>180</v>
      </c>
      <c r="P255" s="3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2"/>
      <c r="R255" s="292"/>
      <c r="S255" s="292"/>
      <c r="T255" s="293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IFERROR(IF(X255="","",X255*0.0155),"")</f>
        <v>0</v>
      </c>
      <c r="AA255" s="65" t="s">
        <v>46</v>
      </c>
      <c r="AB255" s="66" t="s">
        <v>46</v>
      </c>
      <c r="AC255" s="254" t="s">
        <v>354</v>
      </c>
      <c r="AG255" s="78"/>
      <c r="AJ255" s="82" t="s">
        <v>89</v>
      </c>
      <c r="AK255" s="82">
        <v>1</v>
      </c>
      <c r="BB255" s="255" t="s">
        <v>70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t="27" hidden="1" customHeight="1" x14ac:dyDescent="0.25">
      <c r="A256" s="60" t="s">
        <v>355</v>
      </c>
      <c r="B256" s="60" t="s">
        <v>357</v>
      </c>
      <c r="C256" s="34">
        <v>4301071141</v>
      </c>
      <c r="D256" s="290">
        <v>4620207491980</v>
      </c>
      <c r="E256" s="290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87</v>
      </c>
      <c r="L256" s="35" t="s">
        <v>88</v>
      </c>
      <c r="M256" s="36" t="s">
        <v>86</v>
      </c>
      <c r="N256" s="36"/>
      <c r="O256" s="35">
        <v>180</v>
      </c>
      <c r="P256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2"/>
      <c r="R256" s="292"/>
      <c r="S256" s="292"/>
      <c r="T256" s="293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 t="s">
        <v>46</v>
      </c>
      <c r="AB256" s="66" t="s">
        <v>46</v>
      </c>
      <c r="AC256" s="256" t="s">
        <v>358</v>
      </c>
      <c r="AG256" s="78"/>
      <c r="AJ256" s="82" t="s">
        <v>89</v>
      </c>
      <c r="AK256" s="82">
        <v>1</v>
      </c>
      <c r="BB256" s="257" t="s">
        <v>70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idden="1" x14ac:dyDescent="0.2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8"/>
      <c r="P257" s="294" t="s">
        <v>40</v>
      </c>
      <c r="Q257" s="295"/>
      <c r="R257" s="295"/>
      <c r="S257" s="295"/>
      <c r="T257" s="295"/>
      <c r="U257" s="295"/>
      <c r="V257" s="296"/>
      <c r="W257" s="40" t="s">
        <v>39</v>
      </c>
      <c r="X257" s="41">
        <f>IFERROR(SUM(X254:X256),"0")</f>
        <v>0</v>
      </c>
      <c r="Y257" s="41">
        <f>IFERROR(SUM(Y254:Y256),"0")</f>
        <v>0</v>
      </c>
      <c r="Z257" s="41">
        <f>IFERROR(IF(Z254="",0,Z254),"0")+IFERROR(IF(Z255="",0,Z255),"0")+IFERROR(IF(Z256="",0,Z256),"0")</f>
        <v>0</v>
      </c>
      <c r="AA257" s="64"/>
      <c r="AB257" s="64"/>
      <c r="AC257" s="64"/>
    </row>
    <row r="258" spans="1:68" hidden="1" x14ac:dyDescent="0.2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8"/>
      <c r="P258" s="294" t="s">
        <v>40</v>
      </c>
      <c r="Q258" s="295"/>
      <c r="R258" s="295"/>
      <c r="S258" s="295"/>
      <c r="T258" s="295"/>
      <c r="U258" s="295"/>
      <c r="V258" s="296"/>
      <c r="W258" s="40" t="s">
        <v>0</v>
      </c>
      <c r="X258" s="41">
        <f>IFERROR(SUMPRODUCT(X254:X256*H254:H256),"0")</f>
        <v>0</v>
      </c>
      <c r="Y258" s="41">
        <f>IFERROR(SUMPRODUCT(Y254:Y256*H254:H256),"0")</f>
        <v>0</v>
      </c>
      <c r="Z258" s="40"/>
      <c r="AA258" s="64"/>
      <c r="AB258" s="64"/>
      <c r="AC258" s="64"/>
    </row>
    <row r="259" spans="1:68" ht="14.25" hidden="1" customHeight="1" x14ac:dyDescent="0.25">
      <c r="A259" s="308" t="s">
        <v>113</v>
      </c>
      <c r="B259" s="308"/>
      <c r="C259" s="308"/>
      <c r="D259" s="308"/>
      <c r="E259" s="308"/>
      <c r="F259" s="308"/>
      <c r="G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63"/>
      <c r="AB259" s="63"/>
      <c r="AC259" s="63"/>
    </row>
    <row r="260" spans="1:68" ht="27" hidden="1" customHeight="1" x14ac:dyDescent="0.25">
      <c r="A260" s="60" t="s">
        <v>359</v>
      </c>
      <c r="B260" s="60" t="s">
        <v>360</v>
      </c>
      <c r="C260" s="34">
        <v>4301132080</v>
      </c>
      <c r="D260" s="290">
        <v>4640242180397</v>
      </c>
      <c r="E260" s="290"/>
      <c r="F260" s="59">
        <v>1</v>
      </c>
      <c r="G260" s="35">
        <v>6</v>
      </c>
      <c r="H260" s="59">
        <v>6</v>
      </c>
      <c r="I260" s="59">
        <v>6.26</v>
      </c>
      <c r="J260" s="35">
        <v>84</v>
      </c>
      <c r="K260" s="35" t="s">
        <v>87</v>
      </c>
      <c r="L260" s="35" t="s">
        <v>119</v>
      </c>
      <c r="M260" s="36" t="s">
        <v>86</v>
      </c>
      <c r="N260" s="36"/>
      <c r="O260" s="35">
        <v>180</v>
      </c>
      <c r="P260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2"/>
      <c r="R260" s="292"/>
      <c r="S260" s="292"/>
      <c r="T260" s="293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8" t="s">
        <v>361</v>
      </c>
      <c r="AG260" s="78"/>
      <c r="AJ260" s="82" t="s">
        <v>120</v>
      </c>
      <c r="AK260" s="82">
        <v>12</v>
      </c>
      <c r="BB260" s="259" t="s">
        <v>117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8"/>
      <c r="P261" s="294" t="s">
        <v>40</v>
      </c>
      <c r="Q261" s="295"/>
      <c r="R261" s="295"/>
      <c r="S261" s="295"/>
      <c r="T261" s="295"/>
      <c r="U261" s="295"/>
      <c r="V261" s="296"/>
      <c r="W261" s="40" t="s">
        <v>39</v>
      </c>
      <c r="X261" s="41">
        <f>IFERROR(SUM(X260:X260),"0")</f>
        <v>0</v>
      </c>
      <c r="Y261" s="41">
        <f>IFERROR(SUM(Y260:Y260),"0")</f>
        <v>0</v>
      </c>
      <c r="Z261" s="41">
        <f>IFERROR(IF(Z260="",0,Z260),"0")</f>
        <v>0</v>
      </c>
      <c r="AA261" s="64"/>
      <c r="AB261" s="64"/>
      <c r="AC261" s="64"/>
    </row>
    <row r="262" spans="1:68" hidden="1" x14ac:dyDescent="0.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8"/>
      <c r="P262" s="294" t="s">
        <v>40</v>
      </c>
      <c r="Q262" s="295"/>
      <c r="R262" s="295"/>
      <c r="S262" s="295"/>
      <c r="T262" s="295"/>
      <c r="U262" s="295"/>
      <c r="V262" s="296"/>
      <c r="W262" s="40" t="s">
        <v>0</v>
      </c>
      <c r="X262" s="41">
        <f>IFERROR(SUMPRODUCT(X260:X260*H260:H260),"0")</f>
        <v>0</v>
      </c>
      <c r="Y262" s="41">
        <f>IFERROR(SUMPRODUCT(Y260:Y260*H260:H260),"0")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08" t="s">
        <v>145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63"/>
      <c r="AB263" s="63"/>
      <c r="AC263" s="63"/>
    </row>
    <row r="264" spans="1:68" ht="27" hidden="1" customHeight="1" x14ac:dyDescent="0.25">
      <c r="A264" s="60" t="s">
        <v>362</v>
      </c>
      <c r="B264" s="60" t="s">
        <v>363</v>
      </c>
      <c r="C264" s="34">
        <v>4301136051</v>
      </c>
      <c r="D264" s="290">
        <v>4640242180304</v>
      </c>
      <c r="E264" s="290"/>
      <c r="F264" s="59">
        <v>2.7</v>
      </c>
      <c r="G264" s="35">
        <v>1</v>
      </c>
      <c r="H264" s="59">
        <v>2.7</v>
      </c>
      <c r="I264" s="59">
        <v>2.8906000000000001</v>
      </c>
      <c r="J264" s="35">
        <v>126</v>
      </c>
      <c r="K264" s="35" t="s">
        <v>118</v>
      </c>
      <c r="L264" s="35" t="s">
        <v>119</v>
      </c>
      <c r="M264" s="36" t="s">
        <v>86</v>
      </c>
      <c r="N264" s="36"/>
      <c r="O264" s="35">
        <v>180</v>
      </c>
      <c r="P264" s="3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2"/>
      <c r="R264" s="292"/>
      <c r="S264" s="292"/>
      <c r="T264" s="293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364</v>
      </c>
      <c r="AG264" s="78"/>
      <c r="AJ264" s="82" t="s">
        <v>120</v>
      </c>
      <c r="AK264" s="82">
        <v>14</v>
      </c>
      <c r="BB264" s="261" t="s">
        <v>117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t="27" hidden="1" customHeight="1" x14ac:dyDescent="0.25">
      <c r="A265" s="60" t="s">
        <v>365</v>
      </c>
      <c r="B265" s="60" t="s">
        <v>366</v>
      </c>
      <c r="C265" s="34">
        <v>4301136053</v>
      </c>
      <c r="D265" s="290">
        <v>4640242180236</v>
      </c>
      <c r="E265" s="290"/>
      <c r="F265" s="59">
        <v>5</v>
      </c>
      <c r="G265" s="35">
        <v>1</v>
      </c>
      <c r="H265" s="59">
        <v>5</v>
      </c>
      <c r="I265" s="59">
        <v>5.2350000000000003</v>
      </c>
      <c r="J265" s="35">
        <v>84</v>
      </c>
      <c r="K265" s="35" t="s">
        <v>87</v>
      </c>
      <c r="L265" s="35" t="s">
        <v>119</v>
      </c>
      <c r="M265" s="36" t="s">
        <v>86</v>
      </c>
      <c r="N265" s="36"/>
      <c r="O265" s="35">
        <v>180</v>
      </c>
      <c r="P265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2"/>
      <c r="R265" s="292"/>
      <c r="S265" s="292"/>
      <c r="T265" s="293"/>
      <c r="U265" s="37" t="s">
        <v>46</v>
      </c>
      <c r="V265" s="37" t="s">
        <v>46</v>
      </c>
      <c r="W265" s="38" t="s">
        <v>39</v>
      </c>
      <c r="X265" s="56">
        <v>0</v>
      </c>
      <c r="Y265" s="53">
        <f>IFERROR(IF(X265="","",X265),"")</f>
        <v>0</v>
      </c>
      <c r="Z265" s="39">
        <f>IFERROR(IF(X265="","",X265*0.0155),"")</f>
        <v>0</v>
      </c>
      <c r="AA265" s="65" t="s">
        <v>46</v>
      </c>
      <c r="AB265" s="66" t="s">
        <v>46</v>
      </c>
      <c r="AC265" s="262" t="s">
        <v>364</v>
      </c>
      <c r="AG265" s="78"/>
      <c r="AJ265" s="82" t="s">
        <v>120</v>
      </c>
      <c r="AK265" s="82">
        <v>12</v>
      </c>
      <c r="BB265" s="263" t="s">
        <v>117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hidden="1" customHeight="1" x14ac:dyDescent="0.25">
      <c r="A266" s="60" t="s">
        <v>367</v>
      </c>
      <c r="B266" s="60" t="s">
        <v>368</v>
      </c>
      <c r="C266" s="34">
        <v>4301136052</v>
      </c>
      <c r="D266" s="290">
        <v>4640242180410</v>
      </c>
      <c r="E266" s="290"/>
      <c r="F266" s="59">
        <v>2.2400000000000002</v>
      </c>
      <c r="G266" s="35">
        <v>1</v>
      </c>
      <c r="H266" s="59">
        <v>2.2400000000000002</v>
      </c>
      <c r="I266" s="59">
        <v>2.4319999999999999</v>
      </c>
      <c r="J266" s="35">
        <v>126</v>
      </c>
      <c r="K266" s="35" t="s">
        <v>118</v>
      </c>
      <c r="L266" s="35" t="s">
        <v>119</v>
      </c>
      <c r="M266" s="36" t="s">
        <v>86</v>
      </c>
      <c r="N266" s="36"/>
      <c r="O266" s="35">
        <v>180</v>
      </c>
      <c r="P266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2"/>
      <c r="R266" s="292"/>
      <c r="S266" s="292"/>
      <c r="T266" s="293"/>
      <c r="U266" s="37" t="s">
        <v>46</v>
      </c>
      <c r="V266" s="37" t="s">
        <v>46</v>
      </c>
      <c r="W266" s="38" t="s">
        <v>39</v>
      </c>
      <c r="X266" s="56">
        <v>0</v>
      </c>
      <c r="Y266" s="53">
        <f>IFERROR(IF(X266="","",X266),"")</f>
        <v>0</v>
      </c>
      <c r="Z266" s="39">
        <f>IFERROR(IF(X266="","",X266*0.00936),"")</f>
        <v>0</v>
      </c>
      <c r="AA266" s="65" t="s">
        <v>46</v>
      </c>
      <c r="AB266" s="66" t="s">
        <v>46</v>
      </c>
      <c r="AC266" s="264" t="s">
        <v>364</v>
      </c>
      <c r="AG266" s="78"/>
      <c r="AJ266" s="82" t="s">
        <v>120</v>
      </c>
      <c r="AK266" s="82">
        <v>14</v>
      </c>
      <c r="BB266" s="265" t="s">
        <v>117</v>
      </c>
      <c r="BM266" s="78">
        <f>IFERROR(X266*I266,"0")</f>
        <v>0</v>
      </c>
      <c r="BN266" s="78">
        <f>IFERROR(Y266*I266,"0")</f>
        <v>0</v>
      </c>
      <c r="BO266" s="78">
        <f>IFERROR(X266/J266,"0")</f>
        <v>0</v>
      </c>
      <c r="BP266" s="78">
        <f>IFERROR(Y266/J266,"0")</f>
        <v>0</v>
      </c>
    </row>
    <row r="267" spans="1:68" hidden="1" x14ac:dyDescent="0.2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8"/>
      <c r="P267" s="294" t="s">
        <v>40</v>
      </c>
      <c r="Q267" s="295"/>
      <c r="R267" s="295"/>
      <c r="S267" s="295"/>
      <c r="T267" s="295"/>
      <c r="U267" s="295"/>
      <c r="V267" s="296"/>
      <c r="W267" s="40" t="s">
        <v>39</v>
      </c>
      <c r="X267" s="41">
        <f>IFERROR(SUM(X264:X266),"0")</f>
        <v>0</v>
      </c>
      <c r="Y267" s="41">
        <f>IFERROR(SUM(Y264:Y266),"0")</f>
        <v>0</v>
      </c>
      <c r="Z267" s="41">
        <f>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8"/>
      <c r="P268" s="294" t="s">
        <v>40</v>
      </c>
      <c r="Q268" s="295"/>
      <c r="R268" s="295"/>
      <c r="S268" s="295"/>
      <c r="T268" s="295"/>
      <c r="U268" s="295"/>
      <c r="V268" s="296"/>
      <c r="W268" s="40" t="s">
        <v>0</v>
      </c>
      <c r="X268" s="41">
        <f>IFERROR(SUMPRODUCT(X264:X266*H264:H266),"0")</f>
        <v>0</v>
      </c>
      <c r="Y268" s="41">
        <f>IFERROR(SUMPRODUCT(Y264:Y266*H264:H266),"0")</f>
        <v>0</v>
      </c>
      <c r="Z268" s="40"/>
      <c r="AA268" s="64"/>
      <c r="AB268" s="64"/>
      <c r="AC268" s="64"/>
    </row>
    <row r="269" spans="1:68" ht="14.25" hidden="1" customHeight="1" x14ac:dyDescent="0.25">
      <c r="A269" s="308" t="s">
        <v>151</v>
      </c>
      <c r="B269" s="308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63"/>
      <c r="AB269" s="63"/>
      <c r="AC269" s="63"/>
    </row>
    <row r="270" spans="1:68" ht="37.5" hidden="1" customHeight="1" x14ac:dyDescent="0.25">
      <c r="A270" s="60" t="s">
        <v>369</v>
      </c>
      <c r="B270" s="60" t="s">
        <v>370</v>
      </c>
      <c r="C270" s="34">
        <v>4301135504</v>
      </c>
      <c r="D270" s="290">
        <v>4640242181554</v>
      </c>
      <c r="E270" s="290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118</v>
      </c>
      <c r="L270" s="35" t="s">
        <v>88</v>
      </c>
      <c r="M270" s="36" t="s">
        <v>86</v>
      </c>
      <c r="N270" s="36"/>
      <c r="O270" s="35">
        <v>180</v>
      </c>
      <c r="P270" s="30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2"/>
      <c r="R270" s="292"/>
      <c r="S270" s="292"/>
      <c r="T270" s="293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ref="Y270:Y279" si="18">IFERROR(IF(X270="","",X270),"")</f>
        <v>0</v>
      </c>
      <c r="Z270" s="39">
        <f>IFERROR(IF(X270="","",X270*0.00936),"")</f>
        <v>0</v>
      </c>
      <c r="AA270" s="65" t="s">
        <v>46</v>
      </c>
      <c r="AB270" s="66" t="s">
        <v>46</v>
      </c>
      <c r="AC270" s="266" t="s">
        <v>371</v>
      </c>
      <c r="AG270" s="78"/>
      <c r="AJ270" s="82" t="s">
        <v>89</v>
      </c>
      <c r="AK270" s="82">
        <v>1</v>
      </c>
      <c r="BB270" s="267" t="s">
        <v>117</v>
      </c>
      <c r="BM270" s="78">
        <f t="shared" ref="BM270:BM279" si="19">IFERROR(X270*I270,"0")</f>
        <v>0</v>
      </c>
      <c r="BN270" s="78">
        <f t="shared" ref="BN270:BN279" si="20">IFERROR(Y270*I270,"0")</f>
        <v>0</v>
      </c>
      <c r="BO270" s="78">
        <f t="shared" ref="BO270:BO279" si="21">IFERROR(X270/J270,"0")</f>
        <v>0</v>
      </c>
      <c r="BP270" s="78">
        <f t="shared" ref="BP270:BP279" si="22">IFERROR(Y270/J270,"0")</f>
        <v>0</v>
      </c>
    </row>
    <row r="271" spans="1:68" ht="27" hidden="1" customHeight="1" x14ac:dyDescent="0.25">
      <c r="A271" s="60" t="s">
        <v>372</v>
      </c>
      <c r="B271" s="60" t="s">
        <v>373</v>
      </c>
      <c r="C271" s="34">
        <v>4301135518</v>
      </c>
      <c r="D271" s="290">
        <v>4640242181561</v>
      </c>
      <c r="E271" s="290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118</v>
      </c>
      <c r="L271" s="35" t="s">
        <v>119</v>
      </c>
      <c r="M271" s="36" t="s">
        <v>86</v>
      </c>
      <c r="N271" s="36"/>
      <c r="O271" s="35">
        <v>180</v>
      </c>
      <c r="P271" s="31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2"/>
      <c r="R271" s="292"/>
      <c r="S271" s="292"/>
      <c r="T271" s="293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8" t="s">
        <v>374</v>
      </c>
      <c r="AG271" s="78"/>
      <c r="AJ271" s="82" t="s">
        <v>120</v>
      </c>
      <c r="AK271" s="82">
        <v>14</v>
      </c>
      <c r="BB271" s="269" t="s">
        <v>117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hidden="1" customHeight="1" x14ac:dyDescent="0.25">
      <c r="A272" s="60" t="s">
        <v>375</v>
      </c>
      <c r="B272" s="60" t="s">
        <v>376</v>
      </c>
      <c r="C272" s="34">
        <v>4301135374</v>
      </c>
      <c r="D272" s="290">
        <v>4640242181424</v>
      </c>
      <c r="E272" s="290"/>
      <c r="F272" s="59">
        <v>5.5</v>
      </c>
      <c r="G272" s="35">
        <v>1</v>
      </c>
      <c r="H272" s="59">
        <v>5.5</v>
      </c>
      <c r="I272" s="59">
        <v>5.7350000000000003</v>
      </c>
      <c r="J272" s="35">
        <v>84</v>
      </c>
      <c r="K272" s="35" t="s">
        <v>87</v>
      </c>
      <c r="L272" s="35" t="s">
        <v>119</v>
      </c>
      <c r="M272" s="36" t="s">
        <v>86</v>
      </c>
      <c r="N272" s="36"/>
      <c r="O272" s="35">
        <v>180</v>
      </c>
      <c r="P272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2"/>
      <c r="R272" s="292"/>
      <c r="S272" s="292"/>
      <c r="T272" s="293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>IFERROR(IF(X272="","",X272*0.0155),"")</f>
        <v>0</v>
      </c>
      <c r="AA272" s="65" t="s">
        <v>46</v>
      </c>
      <c r="AB272" s="66" t="s">
        <v>46</v>
      </c>
      <c r="AC272" s="270" t="s">
        <v>371</v>
      </c>
      <c r="AG272" s="78"/>
      <c r="AJ272" s="82" t="s">
        <v>120</v>
      </c>
      <c r="AK272" s="82">
        <v>12</v>
      </c>
      <c r="BB272" s="271" t="s">
        <v>117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27" hidden="1" customHeight="1" x14ac:dyDescent="0.25">
      <c r="A273" s="60" t="s">
        <v>377</v>
      </c>
      <c r="B273" s="60" t="s">
        <v>378</v>
      </c>
      <c r="C273" s="34">
        <v>4301135405</v>
      </c>
      <c r="D273" s="290">
        <v>4640242181523</v>
      </c>
      <c r="E273" s="290"/>
      <c r="F273" s="59">
        <v>3</v>
      </c>
      <c r="G273" s="35">
        <v>1</v>
      </c>
      <c r="H273" s="59">
        <v>3</v>
      </c>
      <c r="I273" s="59">
        <v>3.1920000000000002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2"/>
      <c r="R273" s="292"/>
      <c r="S273" s="292"/>
      <c r="T273" s="293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ref="Z273:Z278" si="23">IFERROR(IF(X273="","",X273*0.00936),"")</f>
        <v>0</v>
      </c>
      <c r="AA273" s="65" t="s">
        <v>46</v>
      </c>
      <c r="AB273" s="66" t="s">
        <v>46</v>
      </c>
      <c r="AC273" s="272" t="s">
        <v>374</v>
      </c>
      <c r="AG273" s="78"/>
      <c r="AJ273" s="82" t="s">
        <v>120</v>
      </c>
      <c r="AK273" s="82">
        <v>14</v>
      </c>
      <c r="BB273" s="273" t="s">
        <v>117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4301135375</v>
      </c>
      <c r="D274" s="290">
        <v>4640242181486</v>
      </c>
      <c r="E274" s="290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118</v>
      </c>
      <c r="L274" s="35" t="s">
        <v>119</v>
      </c>
      <c r="M274" s="36" t="s">
        <v>86</v>
      </c>
      <c r="N274" s="36"/>
      <c r="O274" s="35">
        <v>180</v>
      </c>
      <c r="P274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2"/>
      <c r="R274" s="292"/>
      <c r="S274" s="292"/>
      <c r="T274" s="293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371</v>
      </c>
      <c r="AG274" s="78"/>
      <c r="AJ274" s="82" t="s">
        <v>120</v>
      </c>
      <c r="AK274" s="82">
        <v>14</v>
      </c>
      <c r="BB274" s="275" t="s">
        <v>117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37.5" hidden="1" customHeight="1" x14ac:dyDescent="0.25">
      <c r="A275" s="60" t="s">
        <v>381</v>
      </c>
      <c r="B275" s="60" t="s">
        <v>382</v>
      </c>
      <c r="C275" s="34">
        <v>4301135402</v>
      </c>
      <c r="D275" s="290">
        <v>4640242181493</v>
      </c>
      <c r="E275" s="290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119</v>
      </c>
      <c r="M275" s="36" t="s">
        <v>86</v>
      </c>
      <c r="N275" s="36"/>
      <c r="O275" s="35">
        <v>180</v>
      </c>
      <c r="P275" s="30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2"/>
      <c r="R275" s="292"/>
      <c r="S275" s="292"/>
      <c r="T275" s="293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371</v>
      </c>
      <c r="AG275" s="78"/>
      <c r="AJ275" s="82" t="s">
        <v>120</v>
      </c>
      <c r="AK275" s="82">
        <v>14</v>
      </c>
      <c r="BB275" s="277" t="s">
        <v>117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37.5" hidden="1" customHeight="1" x14ac:dyDescent="0.25">
      <c r="A276" s="60" t="s">
        <v>383</v>
      </c>
      <c r="B276" s="60" t="s">
        <v>384</v>
      </c>
      <c r="C276" s="34">
        <v>4301135403</v>
      </c>
      <c r="D276" s="290">
        <v>4640242181509</v>
      </c>
      <c r="E276" s="290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118</v>
      </c>
      <c r="L276" s="35" t="s">
        <v>119</v>
      </c>
      <c r="M276" s="36" t="s">
        <v>86</v>
      </c>
      <c r="N276" s="36"/>
      <c r="O276" s="35">
        <v>180</v>
      </c>
      <c r="P276" s="3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2"/>
      <c r="R276" s="292"/>
      <c r="S276" s="292"/>
      <c r="T276" s="293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371</v>
      </c>
      <c r="AG276" s="78"/>
      <c r="AJ276" s="82" t="s">
        <v>120</v>
      </c>
      <c r="AK276" s="82">
        <v>14</v>
      </c>
      <c r="BB276" s="27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385</v>
      </c>
      <c r="B277" s="60" t="s">
        <v>386</v>
      </c>
      <c r="C277" s="34">
        <v>4301135304</v>
      </c>
      <c r="D277" s="290">
        <v>4640242181240</v>
      </c>
      <c r="E277" s="290"/>
      <c r="F277" s="59">
        <v>0.3</v>
      </c>
      <c r="G277" s="35">
        <v>9</v>
      </c>
      <c r="H277" s="59">
        <v>2.7</v>
      </c>
      <c r="I277" s="59">
        <v>2.88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30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2"/>
      <c r="R277" s="292"/>
      <c r="S277" s="292"/>
      <c r="T277" s="293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80" t="s">
        <v>371</v>
      </c>
      <c r="AG277" s="78"/>
      <c r="AJ277" s="82" t="s">
        <v>89</v>
      </c>
      <c r="AK277" s="82">
        <v>1</v>
      </c>
      <c r="BB277" s="281" t="s">
        <v>117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387</v>
      </c>
      <c r="B278" s="60" t="s">
        <v>388</v>
      </c>
      <c r="C278" s="34">
        <v>4301135610</v>
      </c>
      <c r="D278" s="290">
        <v>4640242181318</v>
      </c>
      <c r="E278" s="290"/>
      <c r="F278" s="59">
        <v>0.3</v>
      </c>
      <c r="G278" s="35">
        <v>9</v>
      </c>
      <c r="H278" s="59">
        <v>2.7</v>
      </c>
      <c r="I278" s="59">
        <v>2.988</v>
      </c>
      <c r="J278" s="35">
        <v>126</v>
      </c>
      <c r="K278" s="35" t="s">
        <v>118</v>
      </c>
      <c r="L278" s="35" t="s">
        <v>88</v>
      </c>
      <c r="M278" s="36" t="s">
        <v>86</v>
      </c>
      <c r="N278" s="36"/>
      <c r="O278" s="35">
        <v>180</v>
      </c>
      <c r="P278" s="3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2"/>
      <c r="R278" s="292"/>
      <c r="S278" s="292"/>
      <c r="T278" s="293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82" t="s">
        <v>374</v>
      </c>
      <c r="AG278" s="78"/>
      <c r="AJ278" s="82" t="s">
        <v>89</v>
      </c>
      <c r="AK278" s="82">
        <v>1</v>
      </c>
      <c r="BB278" s="283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hidden="1" customHeight="1" x14ac:dyDescent="0.25">
      <c r="A279" s="60" t="s">
        <v>389</v>
      </c>
      <c r="B279" s="60" t="s">
        <v>390</v>
      </c>
      <c r="C279" s="34">
        <v>4301135306</v>
      </c>
      <c r="D279" s="290">
        <v>4640242181387</v>
      </c>
      <c r="E279" s="290"/>
      <c r="F279" s="59">
        <v>0.3</v>
      </c>
      <c r="G279" s="35">
        <v>9</v>
      </c>
      <c r="H279" s="59">
        <v>2.7</v>
      </c>
      <c r="I279" s="59">
        <v>2.8450000000000002</v>
      </c>
      <c r="J279" s="35">
        <v>234</v>
      </c>
      <c r="K279" s="35" t="s">
        <v>163</v>
      </c>
      <c r="L279" s="35" t="s">
        <v>88</v>
      </c>
      <c r="M279" s="36" t="s">
        <v>86</v>
      </c>
      <c r="N279" s="36"/>
      <c r="O279" s="35">
        <v>180</v>
      </c>
      <c r="P279" s="29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2"/>
      <c r="R279" s="292"/>
      <c r="S279" s="292"/>
      <c r="T279" s="293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>IFERROR(IF(X279="","",X279*0.00502),"")</f>
        <v>0</v>
      </c>
      <c r="AA279" s="65" t="s">
        <v>46</v>
      </c>
      <c r="AB279" s="66" t="s">
        <v>46</v>
      </c>
      <c r="AC279" s="284" t="s">
        <v>371</v>
      </c>
      <c r="AG279" s="78"/>
      <c r="AJ279" s="82" t="s">
        <v>89</v>
      </c>
      <c r="AK279" s="82">
        <v>1</v>
      </c>
      <c r="BB279" s="285" t="s">
        <v>117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idden="1" x14ac:dyDescent="0.2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8"/>
      <c r="P280" s="294" t="s">
        <v>40</v>
      </c>
      <c r="Q280" s="295"/>
      <c r="R280" s="295"/>
      <c r="S280" s="295"/>
      <c r="T280" s="295"/>
      <c r="U280" s="295"/>
      <c r="V280" s="296"/>
      <c r="W280" s="40" t="s">
        <v>39</v>
      </c>
      <c r="X280" s="41">
        <f>IFERROR(SUM(X270:X279),"0")</f>
        <v>0</v>
      </c>
      <c r="Y280" s="41">
        <f>IFERROR(SUM(Y270:Y279),"0")</f>
        <v>0</v>
      </c>
      <c r="Z280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8"/>
      <c r="P281" s="294" t="s">
        <v>40</v>
      </c>
      <c r="Q281" s="295"/>
      <c r="R281" s="295"/>
      <c r="S281" s="295"/>
      <c r="T281" s="295"/>
      <c r="U281" s="295"/>
      <c r="V281" s="296"/>
      <c r="W281" s="40" t="s">
        <v>0</v>
      </c>
      <c r="X281" s="41">
        <f>IFERROR(SUMPRODUCT(X270:X279*H270:H279),"0")</f>
        <v>0</v>
      </c>
      <c r="Y281" s="41">
        <f>IFERROR(SUMPRODUCT(Y270:Y279*H270:H279),"0")</f>
        <v>0</v>
      </c>
      <c r="Z281" s="40"/>
      <c r="AA281" s="64"/>
      <c r="AB281" s="64"/>
      <c r="AC281" s="64"/>
    </row>
    <row r="282" spans="1:68" ht="15" customHeight="1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02"/>
      <c r="P282" s="299" t="s">
        <v>33</v>
      </c>
      <c r="Q282" s="300"/>
      <c r="R282" s="300"/>
      <c r="S282" s="300"/>
      <c r="T282" s="300"/>
      <c r="U282" s="300"/>
      <c r="V282" s="301"/>
      <c r="W282" s="40" t="s">
        <v>0</v>
      </c>
      <c r="X282" s="41">
        <f>IFERROR(X31+X37+X44+X50+X58+X63+X68+X74+X80+X85+X91+X101+X107+X120+X124+X128+X136+X142+X148+X154+X160+X165+X170+X175+X182+X187+X196+X202+X208+X214+X219+X224+X230+X236+X240+X246+X250+X258+X262+X268+X281,"0")</f>
        <v>9987.9599999999991</v>
      </c>
      <c r="Y282" s="41">
        <f>IFERROR(Y31+Y37+Y44+Y50+Y58+Y63+Y68+Y74+Y80+Y85+Y91+Y101+Y107+Y120+Y124+Y128+Y136+Y142+Y148+Y154+Y160+Y165+Y170+Y175+Y182+Y187+Y196+Y202+Y208+Y214+Y219+Y224+Y230+Y236+Y240+Y246+Y250+Y258+Y262+Y268+Y281,"0")</f>
        <v>9181.56</v>
      </c>
      <c r="Z282" s="40"/>
      <c r="AA282" s="64"/>
      <c r="AB282" s="64"/>
      <c r="AC282" s="64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02"/>
      <c r="P283" s="299" t="s">
        <v>34</v>
      </c>
      <c r="Q283" s="300"/>
      <c r="R283" s="300"/>
      <c r="S283" s="300"/>
      <c r="T283" s="300"/>
      <c r="U283" s="300"/>
      <c r="V283" s="301"/>
      <c r="W283" s="40" t="s">
        <v>0</v>
      </c>
      <c r="X283" s="41">
        <f>IFERROR(SUM(BM22:BM279),"0")</f>
        <v>11077.832400000001</v>
      </c>
      <c r="Y283" s="41">
        <f>IFERROR(SUM(BN22:BN279),"0")</f>
        <v>11077.832400000001</v>
      </c>
      <c r="Z283" s="40"/>
      <c r="AA283" s="64"/>
      <c r="AB283" s="64"/>
      <c r="AC283" s="64"/>
    </row>
    <row r="284" spans="1:68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02"/>
      <c r="P284" s="299" t="s">
        <v>35</v>
      </c>
      <c r="Q284" s="300"/>
      <c r="R284" s="300"/>
      <c r="S284" s="300"/>
      <c r="T284" s="300"/>
      <c r="U284" s="300"/>
      <c r="V284" s="301"/>
      <c r="W284" s="40" t="s">
        <v>20</v>
      </c>
      <c r="X284" s="42">
        <f>ROUNDUP(SUM(BO22:BO279),0)</f>
        <v>30</v>
      </c>
      <c r="Y284" s="42">
        <f>ROUNDUP(SUM(BP22:BP279),0)</f>
        <v>30</v>
      </c>
      <c r="Z284" s="40"/>
      <c r="AA284" s="64"/>
      <c r="AB284" s="64"/>
      <c r="AC284" s="64"/>
    </row>
    <row r="285" spans="1:68" x14ac:dyDescent="0.2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302"/>
      <c r="P285" s="299" t="s">
        <v>36</v>
      </c>
      <c r="Q285" s="300"/>
      <c r="R285" s="300"/>
      <c r="S285" s="300"/>
      <c r="T285" s="300"/>
      <c r="U285" s="300"/>
      <c r="V285" s="301"/>
      <c r="W285" s="40" t="s">
        <v>0</v>
      </c>
      <c r="X285" s="41">
        <f>GrossWeightTotal+PalletQtyTotal*25</f>
        <v>11827.832400000001</v>
      </c>
      <c r="Y285" s="41">
        <f>GrossWeightTotalR+PalletQtyTotalR*25</f>
        <v>11827.832400000001</v>
      </c>
      <c r="Z285" s="40"/>
      <c r="AA285" s="64"/>
      <c r="AB285" s="64"/>
      <c r="AC285" s="64"/>
    </row>
    <row r="286" spans="1:68" x14ac:dyDescent="0.2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302"/>
      <c r="P286" s="299" t="s">
        <v>37</v>
      </c>
      <c r="Q286" s="300"/>
      <c r="R286" s="300"/>
      <c r="S286" s="300"/>
      <c r="T286" s="300"/>
      <c r="U286" s="300"/>
      <c r="V286" s="301"/>
      <c r="W286" s="40" t="s">
        <v>20</v>
      </c>
      <c r="X286" s="41">
        <f>IFERROR(X30+X36+X43+X49+X57+X62+X67+X73+X79+X84+X90+X100+X106+X119+X123+X127+X135+X141+X147+X153+X159+X164+X169+X174+X181+X186+X195+X201+X207+X213+X218+X223+X229+X235+X239+X245+X249+X257+X261+X267+X280,"0")</f>
        <v>2456</v>
      </c>
      <c r="Y286" s="41">
        <f>IFERROR(Y30+Y36+Y43+Y49+Y57+Y62+Y67+Y73+Y79+Y84+Y90+Y100+Y106+Y119+Y123+Y127+Y135+Y141+Y147+Y153+Y159+Y164+Y169+Y174+Y181+Y186+Y195+Y201+Y207+Y213+Y218+Y223+Y229+Y235+Y239+Y245+Y249+Y257+Y261+Y267+Y280,"0")</f>
        <v>2456</v>
      </c>
      <c r="Z286" s="40"/>
      <c r="AA286" s="64"/>
      <c r="AB286" s="64"/>
      <c r="AC286" s="64"/>
    </row>
    <row r="287" spans="1:68" ht="14.25" hidden="1" x14ac:dyDescent="0.2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302"/>
      <c r="P287" s="299" t="s">
        <v>38</v>
      </c>
      <c r="Q287" s="300"/>
      <c r="R287" s="300"/>
      <c r="S287" s="300"/>
      <c r="T287" s="300"/>
      <c r="U287" s="300"/>
      <c r="V287" s="301"/>
      <c r="W287" s="43" t="s">
        <v>52</v>
      </c>
      <c r="X287" s="40"/>
      <c r="Y287" s="40"/>
      <c r="Z287" s="40">
        <f>IFERROR(Z30+Z36+Z43+Z49+Z57+Z62+Z67+Z73+Z79+Z84+Z90+Z100+Z106+Z119+Z123+Z127+Z135+Z141+Z147+Z153+Z159+Z164+Z169+Z174+Z181+Z186+Z195+Z201+Z207+Z213+Z218+Z223+Z229+Z235+Z239+Z245+Z249+Z257+Z261+Z267+Z280,"0")</f>
        <v>37.738019999999999</v>
      </c>
      <c r="AA287" s="64"/>
      <c r="AB287" s="64"/>
      <c r="AC287" s="64"/>
    </row>
    <row r="288" spans="1:68" ht="13.5" thickBot="1" x14ac:dyDescent="0.25"/>
    <row r="289" spans="1:32" ht="27" thickTop="1" thickBot="1" x14ac:dyDescent="0.25">
      <c r="A289" s="44" t="s">
        <v>9</v>
      </c>
      <c r="B289" s="286" t="s">
        <v>81</v>
      </c>
      <c r="C289" s="286" t="s">
        <v>81</v>
      </c>
      <c r="D289" s="286" t="s">
        <v>45</v>
      </c>
      <c r="E289" s="286" t="s">
        <v>45</v>
      </c>
      <c r="F289" s="286" t="s">
        <v>45</v>
      </c>
      <c r="G289" s="286" t="s">
        <v>45</v>
      </c>
      <c r="H289" s="286" t="s">
        <v>45</v>
      </c>
      <c r="I289" s="286" t="s">
        <v>45</v>
      </c>
      <c r="J289" s="286" t="s">
        <v>45</v>
      </c>
      <c r="K289" s="286" t="s">
        <v>45</v>
      </c>
      <c r="L289" s="286" t="s">
        <v>45</v>
      </c>
      <c r="M289" s="286" t="s">
        <v>45</v>
      </c>
      <c r="N289" s="287"/>
      <c r="O289" s="286" t="s">
        <v>45</v>
      </c>
      <c r="P289" s="286" t="s">
        <v>45</v>
      </c>
      <c r="Q289" s="286" t="s">
        <v>45</v>
      </c>
      <c r="R289" s="286" t="s">
        <v>45</v>
      </c>
      <c r="S289" s="286" t="s">
        <v>45</v>
      </c>
      <c r="T289" s="286" t="s">
        <v>45</v>
      </c>
      <c r="U289" s="286" t="s">
        <v>45</v>
      </c>
      <c r="V289" s="286" t="s">
        <v>277</v>
      </c>
      <c r="W289" s="286" t="s">
        <v>277</v>
      </c>
      <c r="X289" s="83" t="s">
        <v>288</v>
      </c>
      <c r="Y289" s="286" t="s">
        <v>302</v>
      </c>
      <c r="Z289" s="286" t="s">
        <v>302</v>
      </c>
      <c r="AA289" s="286" t="s">
        <v>302</v>
      </c>
      <c r="AB289" s="286" t="s">
        <v>302</v>
      </c>
      <c r="AC289" s="83" t="s">
        <v>331</v>
      </c>
      <c r="AD289" s="83" t="s">
        <v>336</v>
      </c>
      <c r="AE289" s="83" t="s">
        <v>344</v>
      </c>
      <c r="AF289" s="83" t="s">
        <v>351</v>
      </c>
    </row>
    <row r="290" spans="1:32" ht="14.25" customHeight="1" thickTop="1" x14ac:dyDescent="0.2">
      <c r="A290" s="288" t="s">
        <v>10</v>
      </c>
      <c r="B290" s="286" t="s">
        <v>81</v>
      </c>
      <c r="C290" s="286" t="s">
        <v>106</v>
      </c>
      <c r="D290" s="286" t="s">
        <v>112</v>
      </c>
      <c r="E290" s="286" t="s">
        <v>123</v>
      </c>
      <c r="F290" s="286" t="s">
        <v>130</v>
      </c>
      <c r="G290" s="286" t="s">
        <v>141</v>
      </c>
      <c r="H290" s="286" t="s">
        <v>159</v>
      </c>
      <c r="I290" s="286" t="s">
        <v>166</v>
      </c>
      <c r="J290" s="286" t="s">
        <v>170</v>
      </c>
      <c r="K290" s="286" t="s">
        <v>178</v>
      </c>
      <c r="L290" s="286" t="s">
        <v>193</v>
      </c>
      <c r="M290" s="286" t="s">
        <v>200</v>
      </c>
      <c r="N290" s="1"/>
      <c r="O290" s="286" t="s">
        <v>230</v>
      </c>
      <c r="P290" s="286" t="s">
        <v>248</v>
      </c>
      <c r="Q290" s="286" t="s">
        <v>254</v>
      </c>
      <c r="R290" s="286" t="s">
        <v>261</v>
      </c>
      <c r="S290" s="286" t="s">
        <v>266</v>
      </c>
      <c r="T290" s="286" t="s">
        <v>270</v>
      </c>
      <c r="U290" s="286" t="s">
        <v>273</v>
      </c>
      <c r="V290" s="286" t="s">
        <v>278</v>
      </c>
      <c r="W290" s="286" t="s">
        <v>285</v>
      </c>
      <c r="X290" s="286" t="s">
        <v>289</v>
      </c>
      <c r="Y290" s="286" t="s">
        <v>303</v>
      </c>
      <c r="Z290" s="286" t="s">
        <v>316</v>
      </c>
      <c r="AA290" s="286" t="s">
        <v>323</v>
      </c>
      <c r="AB290" s="286" t="s">
        <v>327</v>
      </c>
      <c r="AC290" s="286" t="s">
        <v>332</v>
      </c>
      <c r="AD290" s="286" t="s">
        <v>337</v>
      </c>
      <c r="AE290" s="286" t="s">
        <v>344</v>
      </c>
      <c r="AF290" s="286" t="s">
        <v>351</v>
      </c>
    </row>
    <row r="291" spans="1:32" ht="13.5" thickBot="1" x14ac:dyDescent="0.25">
      <c r="A291" s="289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1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</row>
    <row r="292" spans="1:32" ht="18" thickTop="1" thickBot="1" x14ac:dyDescent="0.25">
      <c r="A292" s="44" t="s">
        <v>13</v>
      </c>
      <c r="B292" s="50">
        <f>IFERROR(X22*H22,"0")+IFERROR(X23*H23,"0")+IFERROR(X24*H24,"0")+IFERROR(X25*H25,"0")+IFERROR(X26*H26,"0")+IFERROR(X27*H27,"0")+IFERROR(X28*H28,"0")+IFERROR(X29*H29,"0")</f>
        <v>0</v>
      </c>
      <c r="C292" s="50">
        <f>IFERROR(X34*H34,"0")+IFERROR(X35*H35,"0")</f>
        <v>330.24</v>
      </c>
      <c r="D292" s="50">
        <f>IFERROR(X41*H41,"0")+IFERROR(X42*H42,"0")</f>
        <v>315</v>
      </c>
      <c r="E292" s="50">
        <f>IFERROR(X47*H47,"0")+IFERROR(X48*H48,"0")</f>
        <v>806.4</v>
      </c>
      <c r="F292" s="50">
        <f>IFERROR(X53*H53,"0")+IFERROR(X54*H54,"0")+IFERROR(X55*H55,"0")+IFERROR(X56*H56,"0")</f>
        <v>672</v>
      </c>
      <c r="G292" s="50">
        <f>IFERROR(X61*H61,"0")+IFERROR(X65*H65,"0")+IFERROR(X66*H66,"0")+IFERROR(X70*H70,"0")+IFERROR(X71*H71,"0")+IFERROR(X72*H72,"0")</f>
        <v>172.79999999999998</v>
      </c>
      <c r="H292" s="50">
        <f>IFERROR(X77*H77,"0")+IFERROR(X78*H78,"0")</f>
        <v>0</v>
      </c>
      <c r="I292" s="50">
        <f>IFERROR(X83*H83,"0")</f>
        <v>252</v>
      </c>
      <c r="J292" s="50">
        <f>IFERROR(X88*H88,"0")+IFERROR(X89*H89,"0")</f>
        <v>504</v>
      </c>
      <c r="K292" s="50">
        <f>IFERROR(X94*H94,"0")+IFERROR(X95*H95,"0")+IFERROR(X96*H96,"0")+IFERROR(X97*H97,"0")+IFERROR(X98*H98,"0")+IFERROR(X99*H99,"0")</f>
        <v>601.44000000000005</v>
      </c>
      <c r="L292" s="50">
        <f>IFERROR(X104*H104,"0")+IFERROR(X105*H105,"0")</f>
        <v>211.68</v>
      </c>
      <c r="M292" s="50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3182.4</v>
      </c>
      <c r="N292" s="1"/>
      <c r="O292" s="50">
        <f>IFERROR(X131*H131,"0")+IFERROR(X132*H132,"0")+IFERROR(X133*H133,"0")+IFERROR(X134*H134,"0")+IFERROR(X138*H138,"0")+IFERROR(X139*H139,"0")+IFERROR(X140*H140,"0")</f>
        <v>0</v>
      </c>
      <c r="P292" s="50">
        <f>IFERROR(X145*H145,"0")+IFERROR(X146*H146,"0")</f>
        <v>798</v>
      </c>
      <c r="Q292" s="50">
        <f>IFERROR(X151*H151,"0")+IFERROR(X152*H152,"0")</f>
        <v>330</v>
      </c>
      <c r="R292" s="50">
        <f>IFERROR(X157*H157,"0")+IFERROR(X158*H158,"0")</f>
        <v>168</v>
      </c>
      <c r="S292" s="50">
        <f>IFERROR(X163*H163,"0")</f>
        <v>126</v>
      </c>
      <c r="T292" s="50">
        <f>IFERROR(X168*H168,"0")</f>
        <v>0</v>
      </c>
      <c r="U292" s="50">
        <f>IFERROR(X173*H173,"0")</f>
        <v>0</v>
      </c>
      <c r="V292" s="50">
        <f>IFERROR(X179*H179,"0")+IFERROR(X180*H180,"0")</f>
        <v>0</v>
      </c>
      <c r="W292" s="50">
        <f>IFERROR(X185*H185,"0")</f>
        <v>0</v>
      </c>
      <c r="X292" s="50">
        <f>IFERROR(X191*H191,"0")+IFERROR(X192*H192,"0")+IFERROR(X193*H193,"0")+IFERROR(X194*H194,"0")</f>
        <v>378</v>
      </c>
      <c r="Y292" s="50">
        <f>IFERROR(X200*H200,"0")+IFERROR(X204*H204,"0")+IFERROR(X205*H205,"0")+IFERROR(X206*H206,"0")</f>
        <v>0</v>
      </c>
      <c r="Z292" s="50">
        <f>IFERROR(X211*H211,"0")+IFERROR(X212*H212,"0")</f>
        <v>0</v>
      </c>
      <c r="AA292" s="50">
        <f>IFERROR(X217*H217,"0")</f>
        <v>1140</v>
      </c>
      <c r="AB292" s="50">
        <f>IFERROR(X222*H222,"0")</f>
        <v>0</v>
      </c>
      <c r="AC292" s="50">
        <f>IFERROR(X228*H228,"0")</f>
        <v>0</v>
      </c>
      <c r="AD292" s="50">
        <f>IFERROR(X234*H234,"0")+IFERROR(X238*H238,"0")</f>
        <v>0</v>
      </c>
      <c r="AE292" s="50">
        <f>IFERROR(X244*H244,"0")+IFERROR(X248*H248,"0")</f>
        <v>0</v>
      </c>
      <c r="AF292" s="50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67" t="s">
        <v>62</v>
      </c>
      <c r="B294" s="67" t="s">
        <v>63</v>
      </c>
      <c r="C294" s="67" t="s">
        <v>65</v>
      </c>
    </row>
    <row r="295" spans="1:32" x14ac:dyDescent="0.2">
      <c r="A295" s="68">
        <f>SUMPRODUCT(--(BB:BB="ЗПФ"),--(W:W="кор"),H:H,Y:Y)+SUMPRODUCT(--(BB:BB="ЗПФ"),--(W:W="кг"),Y:Y)</f>
        <v>6131.04</v>
      </c>
      <c r="B295" s="69">
        <f>SUMPRODUCT(--(BB:BB="ПГП"),--(W:W="кор"),H:H,Y:Y)+SUMPRODUCT(--(BB:BB="ПГП"),--(W:W="кг"),Y:Y)</f>
        <v>3856.9199999999996</v>
      </c>
      <c r="C295" s="69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0,00"/>
        <filter val="11 077,83"/>
        <filter val="11 827,83"/>
        <filter val="110,00"/>
        <filter val="112,00"/>
        <filter val="126,00"/>
        <filter val="140,00"/>
        <filter val="144,00"/>
        <filter val="168,00"/>
        <filter val="172,80"/>
        <filter val="196,00"/>
        <filter val="2 456,00"/>
        <filter val="210,00"/>
        <filter val="211,68"/>
        <filter val="228,00"/>
        <filter val="252,00"/>
        <filter val="266,00"/>
        <filter val="28,00"/>
        <filter val="3 182,40"/>
        <filter val="30"/>
        <filter val="315,00"/>
        <filter val="330,00"/>
        <filter val="330,24"/>
        <filter val="378,00"/>
        <filter val="42,00"/>
        <filter val="468,00"/>
        <filter val="48,00"/>
        <filter val="504,00"/>
        <filter val="601,44"/>
        <filter val="672,00"/>
        <filter val="70,00"/>
        <filter val="72,00"/>
        <filter val="798,00"/>
        <filter val="806,40"/>
        <filter val="84,00"/>
        <filter val="9 987,96"/>
        <filter val="96,00"/>
        <filter val="98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1" t="s">
        <v>392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394</v>
      </c>
      <c r="D6" s="51" t="s">
        <v>395</v>
      </c>
      <c r="E6" s="51" t="s">
        <v>46</v>
      </c>
    </row>
    <row r="8" spans="2:8" x14ac:dyDescent="0.2">
      <c r="B8" s="51" t="s">
        <v>80</v>
      </c>
      <c r="C8" s="51" t="s">
        <v>394</v>
      </c>
      <c r="D8" s="51" t="s">
        <v>46</v>
      </c>
      <c r="E8" s="51" t="s">
        <v>46</v>
      </c>
    </row>
    <row r="10" spans="2:8" x14ac:dyDescent="0.2">
      <c r="B10" s="51" t="s">
        <v>396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397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398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406</v>
      </c>
      <c r="C20" s="51" t="s">
        <v>46</v>
      </c>
      <c r="D20" s="51" t="s">
        <v>46</v>
      </c>
      <c r="E20" s="51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