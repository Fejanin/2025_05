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142A22-6395-42A4-ABB9-269976CCCA68}" xr6:coauthVersionLast="47" xr6:coauthVersionMax="47" xr10:uidLastSave="{00000000-0000-0000-0000-000000000000}"/>
  <bookViews>
    <workbookView xWindow="0" yWindow="15" windowWidth="27075" windowHeight="1539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BP274" i="1"/>
  <c r="BO274" i="1"/>
  <c r="BM274" i="1"/>
  <c r="Z274" i="1"/>
  <c r="Y274" i="1"/>
  <c r="BN274" i="1" s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X265" i="1"/>
  <c r="Y264" i="1"/>
  <c r="X264" i="1"/>
  <c r="BO263" i="1"/>
  <c r="BN263" i="1"/>
  <c r="BM263" i="1"/>
  <c r="Z263" i="1"/>
  <c r="Y263" i="1"/>
  <c r="BP263" i="1" s="1"/>
  <c r="BP262" i="1"/>
  <c r="BO262" i="1"/>
  <c r="BN262" i="1"/>
  <c r="BM262" i="1"/>
  <c r="Z262" i="1"/>
  <c r="Y262" i="1"/>
  <c r="BO261" i="1"/>
  <c r="BN261" i="1"/>
  <c r="BM261" i="1"/>
  <c r="Z261" i="1"/>
  <c r="Y261" i="1"/>
  <c r="Y265" i="1" s="1"/>
  <c r="X259" i="1"/>
  <c r="X258" i="1"/>
  <c r="BO257" i="1"/>
  <c r="BM257" i="1"/>
  <c r="Z257" i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8" i="1"/>
  <c r="X247" i="1"/>
  <c r="BO246" i="1"/>
  <c r="BM246" i="1"/>
  <c r="Z246" i="1"/>
  <c r="Z247" i="1" s="1"/>
  <c r="Y246" i="1"/>
  <c r="P246" i="1"/>
  <c r="X242" i="1"/>
  <c r="X241" i="1"/>
  <c r="BO240" i="1"/>
  <c r="BM240" i="1"/>
  <c r="Z240" i="1"/>
  <c r="Z241" i="1" s="1"/>
  <c r="Y240" i="1"/>
  <c r="P240" i="1"/>
  <c r="X238" i="1"/>
  <c r="X237" i="1"/>
  <c r="BO236" i="1"/>
  <c r="BM236" i="1"/>
  <c r="Z236" i="1"/>
  <c r="Z237" i="1" s="1"/>
  <c r="Y236" i="1"/>
  <c r="P236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Z214" i="1" s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N202" i="1"/>
  <c r="BM202" i="1"/>
  <c r="Z202" i="1"/>
  <c r="Y202" i="1"/>
  <c r="BP202" i="1" s="1"/>
  <c r="P202" i="1"/>
  <c r="BO201" i="1"/>
  <c r="BM201" i="1"/>
  <c r="Z201" i="1"/>
  <c r="Y201" i="1"/>
  <c r="P201" i="1"/>
  <c r="BO200" i="1"/>
  <c r="BN200" i="1"/>
  <c r="BM200" i="1"/>
  <c r="Z200" i="1"/>
  <c r="Y200" i="1"/>
  <c r="BP200" i="1" s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P193" i="1"/>
  <c r="X190" i="1"/>
  <c r="X189" i="1"/>
  <c r="BO188" i="1"/>
  <c r="BM188" i="1"/>
  <c r="Z188" i="1"/>
  <c r="Z189" i="1" s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N157" i="1"/>
  <c r="BM157" i="1"/>
  <c r="Z157" i="1"/>
  <c r="Y157" i="1"/>
  <c r="BP157" i="1" s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N145" i="1" s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N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BN130" i="1" s="1"/>
  <c r="P130" i="1"/>
  <c r="X128" i="1"/>
  <c r="Y127" i="1"/>
  <c r="X127" i="1"/>
  <c r="BO126" i="1"/>
  <c r="BN126" i="1"/>
  <c r="BM126" i="1"/>
  <c r="Z126" i="1"/>
  <c r="Z127" i="1" s="1"/>
  <c r="Y126" i="1"/>
  <c r="Y128" i="1" s="1"/>
  <c r="P126" i="1"/>
  <c r="X123" i="1"/>
  <c r="X122" i="1"/>
  <c r="BO121" i="1"/>
  <c r="BM121" i="1"/>
  <c r="Z121" i="1"/>
  <c r="Z122" i="1" s="1"/>
  <c r="Y121" i="1"/>
  <c r="Y123" i="1" s="1"/>
  <c r="P121" i="1"/>
  <c r="X119" i="1"/>
  <c r="Y118" i="1"/>
  <c r="X118" i="1"/>
  <c r="BO117" i="1"/>
  <c r="BN117" i="1"/>
  <c r="BM117" i="1"/>
  <c r="Z117" i="1"/>
  <c r="Z118" i="1" s="1"/>
  <c r="Y117" i="1"/>
  <c r="Y119" i="1" s="1"/>
  <c r="P117" i="1"/>
  <c r="X115" i="1"/>
  <c r="X114" i="1"/>
  <c r="BO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P111" i="1"/>
  <c r="BO110" i="1"/>
  <c r="BM110" i="1"/>
  <c r="Z110" i="1"/>
  <c r="Y110" i="1"/>
  <c r="BP110" i="1" s="1"/>
  <c r="P110" i="1"/>
  <c r="BO109" i="1"/>
  <c r="BM109" i="1"/>
  <c r="Z109" i="1"/>
  <c r="Y109" i="1"/>
  <c r="P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N102" i="1" s="1"/>
  <c r="P102" i="1"/>
  <c r="BO101" i="1"/>
  <c r="BM101" i="1"/>
  <c r="Z101" i="1"/>
  <c r="Y101" i="1"/>
  <c r="P101" i="1"/>
  <c r="X98" i="1"/>
  <c r="X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Y93" i="1"/>
  <c r="P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N86" i="1"/>
  <c r="BM86" i="1"/>
  <c r="Z86" i="1"/>
  <c r="Y86" i="1"/>
  <c r="BP86" i="1" s="1"/>
  <c r="P86" i="1"/>
  <c r="BO85" i="1"/>
  <c r="BM85" i="1"/>
  <c r="Z85" i="1"/>
  <c r="Y85" i="1"/>
  <c r="Y88" i="1" s="1"/>
  <c r="P85" i="1"/>
  <c r="X82" i="1"/>
  <c r="X81" i="1"/>
  <c r="BO80" i="1"/>
  <c r="BM80" i="1"/>
  <c r="Z80" i="1"/>
  <c r="Z81" i="1" s="1"/>
  <c r="Y80" i="1"/>
  <c r="Y81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X71" i="1"/>
  <c r="X70" i="1"/>
  <c r="BO69" i="1"/>
  <c r="BN69" i="1"/>
  <c r="BM69" i="1"/>
  <c r="Z69" i="1"/>
  <c r="Y69" i="1"/>
  <c r="BP69" i="1" s="1"/>
  <c r="P69" i="1"/>
  <c r="BO68" i="1"/>
  <c r="BM68" i="1"/>
  <c r="Z68" i="1"/>
  <c r="Y68" i="1"/>
  <c r="BP68" i="1" s="1"/>
  <c r="P68" i="1"/>
  <c r="BO67" i="1"/>
  <c r="BN67" i="1"/>
  <c r="BM67" i="1"/>
  <c r="Z67" i="1"/>
  <c r="Y67" i="1"/>
  <c r="BP67" i="1" s="1"/>
  <c r="P67" i="1"/>
  <c r="BO66" i="1"/>
  <c r="BM66" i="1"/>
  <c r="Z66" i="1"/>
  <c r="Y66" i="1"/>
  <c r="BP66" i="1" s="1"/>
  <c r="P66" i="1"/>
  <c r="BO65" i="1"/>
  <c r="BN65" i="1"/>
  <c r="BM65" i="1"/>
  <c r="Z65" i="1"/>
  <c r="Y65" i="1"/>
  <c r="BP65" i="1" s="1"/>
  <c r="P65" i="1"/>
  <c r="X62" i="1"/>
  <c r="X61" i="1"/>
  <c r="BO60" i="1"/>
  <c r="BM60" i="1"/>
  <c r="Z60" i="1"/>
  <c r="Y60" i="1"/>
  <c r="P60" i="1"/>
  <c r="BO59" i="1"/>
  <c r="BM59" i="1"/>
  <c r="Z59" i="1"/>
  <c r="Y59" i="1"/>
  <c r="BP59" i="1" s="1"/>
  <c r="P59" i="1"/>
  <c r="BO58" i="1"/>
  <c r="BM58" i="1"/>
  <c r="Z58" i="1"/>
  <c r="Y58" i="1"/>
  <c r="P58" i="1"/>
  <c r="BO57" i="1"/>
  <c r="BM57" i="1"/>
  <c r="Z57" i="1"/>
  <c r="Z61" i="1" s="1"/>
  <c r="Y57" i="1"/>
  <c r="P57" i="1"/>
  <c r="X54" i="1"/>
  <c r="X53" i="1"/>
  <c r="BO52" i="1"/>
  <c r="BM52" i="1"/>
  <c r="Z52" i="1"/>
  <c r="Y52" i="1"/>
  <c r="BP52" i="1" s="1"/>
  <c r="P52" i="1"/>
  <c r="BO51" i="1"/>
  <c r="BN51" i="1"/>
  <c r="BM51" i="1"/>
  <c r="Z51" i="1"/>
  <c r="Y51" i="1"/>
  <c r="BP51" i="1" s="1"/>
  <c r="P51" i="1"/>
  <c r="X48" i="1"/>
  <c r="X47" i="1"/>
  <c r="BO46" i="1"/>
  <c r="BN46" i="1"/>
  <c r="BM46" i="1"/>
  <c r="Z46" i="1"/>
  <c r="Y46" i="1"/>
  <c r="BP46" i="1" s="1"/>
  <c r="P46" i="1"/>
  <c r="BO45" i="1"/>
  <c r="BM45" i="1"/>
  <c r="Z45" i="1"/>
  <c r="Z47" i="1" s="1"/>
  <c r="Y45" i="1"/>
  <c r="Y48" i="1" s="1"/>
  <c r="P45" i="1"/>
  <c r="X41" i="1"/>
  <c r="X40" i="1"/>
  <c r="BO39" i="1"/>
  <c r="BM39" i="1"/>
  <c r="Z39" i="1"/>
  <c r="Y39" i="1"/>
  <c r="P39" i="1"/>
  <c r="BO38" i="1"/>
  <c r="BM38" i="1"/>
  <c r="Z38" i="1"/>
  <c r="Z40" i="1" s="1"/>
  <c r="Y38" i="1"/>
  <c r="BP38" i="1" s="1"/>
  <c r="P38" i="1"/>
  <c r="X35" i="1"/>
  <c r="X34" i="1"/>
  <c r="BO33" i="1"/>
  <c r="BM33" i="1"/>
  <c r="Z33" i="1"/>
  <c r="Z34" i="1" s="1"/>
  <c r="Y33" i="1"/>
  <c r="Y35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N22" i="1" s="1"/>
  <c r="P22" i="1"/>
  <c r="H10" i="1"/>
  <c r="A9" i="1"/>
  <c r="F10" i="1" s="1"/>
  <c r="D7" i="1"/>
  <c r="Q6" i="1"/>
  <c r="P2" i="1"/>
  <c r="Z30" i="1" l="1"/>
  <c r="BP22" i="1"/>
  <c r="BP102" i="1"/>
  <c r="BP121" i="1"/>
  <c r="Z134" i="1"/>
  <c r="BP130" i="1"/>
  <c r="BP132" i="1"/>
  <c r="BP145" i="1"/>
  <c r="X283" i="1"/>
  <c r="Z53" i="1"/>
  <c r="Z70" i="1"/>
  <c r="Z264" i="1"/>
  <c r="BP261" i="1"/>
  <c r="Y278" i="1"/>
  <c r="BN24" i="1"/>
  <c r="X279" i="1"/>
  <c r="Y104" i="1"/>
  <c r="BP117" i="1"/>
  <c r="BN121" i="1"/>
  <c r="Y122" i="1"/>
  <c r="BP126" i="1"/>
  <c r="Z140" i="1"/>
  <c r="BP58" i="1"/>
  <c r="BN58" i="1"/>
  <c r="BP60" i="1"/>
  <c r="BN60" i="1"/>
  <c r="Y76" i="1"/>
  <c r="BP74" i="1"/>
  <c r="BN74" i="1"/>
  <c r="Y169" i="1"/>
  <c r="Y168" i="1"/>
  <c r="BP167" i="1"/>
  <c r="BN167" i="1"/>
  <c r="Y180" i="1"/>
  <c r="Y179" i="1"/>
  <c r="BP178" i="1"/>
  <c r="BN178" i="1"/>
  <c r="Y189" i="1"/>
  <c r="BP187" i="1"/>
  <c r="BN187" i="1"/>
  <c r="Y190" i="1"/>
  <c r="Y214" i="1"/>
  <c r="BP212" i="1"/>
  <c r="BN212" i="1"/>
  <c r="Y215" i="1"/>
  <c r="Y226" i="1"/>
  <c r="Y225" i="1"/>
  <c r="BP224" i="1"/>
  <c r="BN224" i="1"/>
  <c r="Y238" i="1"/>
  <c r="Y237" i="1"/>
  <c r="BP236" i="1"/>
  <c r="BN236" i="1"/>
  <c r="Y248" i="1"/>
  <c r="Y247" i="1"/>
  <c r="BP246" i="1"/>
  <c r="BN246" i="1"/>
  <c r="BP256" i="1"/>
  <c r="BN256" i="1"/>
  <c r="BN26" i="1"/>
  <c r="BN28" i="1"/>
  <c r="BN33" i="1"/>
  <c r="BP33" i="1"/>
  <c r="Y34" i="1"/>
  <c r="BN38" i="1"/>
  <c r="Y97" i="1"/>
  <c r="BP91" i="1"/>
  <c r="BN91" i="1"/>
  <c r="BP93" i="1"/>
  <c r="BN93" i="1"/>
  <c r="BP95" i="1"/>
  <c r="BN95" i="1"/>
  <c r="Y115" i="1"/>
  <c r="BP107" i="1"/>
  <c r="BN107" i="1"/>
  <c r="BP109" i="1"/>
  <c r="BN109" i="1"/>
  <c r="BP111" i="1"/>
  <c r="BN111" i="1"/>
  <c r="BP113" i="1"/>
  <c r="BN113" i="1"/>
  <c r="BP138" i="1"/>
  <c r="BN138" i="1"/>
  <c r="Y152" i="1"/>
  <c r="BP150" i="1"/>
  <c r="BN150" i="1"/>
  <c r="Y164" i="1"/>
  <c r="Y163" i="1"/>
  <c r="BP162" i="1"/>
  <c r="BN162" i="1"/>
  <c r="Y174" i="1"/>
  <c r="Y173" i="1"/>
  <c r="BP172" i="1"/>
  <c r="BN172" i="1"/>
  <c r="Y184" i="1"/>
  <c r="Y183" i="1"/>
  <c r="BP182" i="1"/>
  <c r="BN182" i="1"/>
  <c r="Y210" i="1"/>
  <c r="Y209" i="1"/>
  <c r="BP208" i="1"/>
  <c r="BN208" i="1"/>
  <c r="Y232" i="1"/>
  <c r="Y231" i="1"/>
  <c r="BP230" i="1"/>
  <c r="BN230" i="1"/>
  <c r="Y242" i="1"/>
  <c r="Y241" i="1"/>
  <c r="BP240" i="1"/>
  <c r="BN240" i="1"/>
  <c r="Y252" i="1"/>
  <c r="Y251" i="1"/>
  <c r="BP250" i="1"/>
  <c r="BN250" i="1"/>
  <c r="Z277" i="1"/>
  <c r="Y53" i="1"/>
  <c r="Y62" i="1"/>
  <c r="Y71" i="1"/>
  <c r="Z76" i="1"/>
  <c r="Z87" i="1"/>
  <c r="Z97" i="1"/>
  <c r="Z103" i="1"/>
  <c r="Z114" i="1"/>
  <c r="Y134" i="1"/>
  <c r="Y140" i="1"/>
  <c r="Z152" i="1"/>
  <c r="Z158" i="1"/>
  <c r="Z203" i="1"/>
  <c r="Z258" i="1"/>
  <c r="H9" i="1"/>
  <c r="A10" i="1"/>
  <c r="Y31" i="1"/>
  <c r="X280" i="1"/>
  <c r="X281" i="1"/>
  <c r="BN23" i="1"/>
  <c r="BN25" i="1"/>
  <c r="BN27" i="1"/>
  <c r="BN29" i="1"/>
  <c r="Y30" i="1"/>
  <c r="Y40" i="1"/>
  <c r="F9" i="1"/>
  <c r="J9" i="1"/>
  <c r="BP39" i="1"/>
  <c r="BN39" i="1"/>
  <c r="Y41" i="1"/>
  <c r="Y47" i="1"/>
  <c r="Y54" i="1"/>
  <c r="Y61" i="1"/>
  <c r="Y70" i="1"/>
  <c r="Y77" i="1"/>
  <c r="Y82" i="1"/>
  <c r="Y87" i="1"/>
  <c r="Y98" i="1"/>
  <c r="Y103" i="1"/>
  <c r="Y114" i="1"/>
  <c r="Y135" i="1"/>
  <c r="Y141" i="1"/>
  <c r="Y147" i="1"/>
  <c r="BP144" i="1"/>
  <c r="BN144" i="1"/>
  <c r="Y146" i="1"/>
  <c r="BP151" i="1"/>
  <c r="BN151" i="1"/>
  <c r="Y194" i="1"/>
  <c r="BP193" i="1"/>
  <c r="BN193" i="1"/>
  <c r="Y221" i="1"/>
  <c r="BP218" i="1"/>
  <c r="BN218" i="1"/>
  <c r="Y220" i="1"/>
  <c r="BP257" i="1"/>
  <c r="BN257" i="1"/>
  <c r="BN45" i="1"/>
  <c r="BP45" i="1"/>
  <c r="BN52" i="1"/>
  <c r="BN57" i="1"/>
  <c r="BP57" i="1"/>
  <c r="BN59" i="1"/>
  <c r="BN66" i="1"/>
  <c r="BN68" i="1"/>
  <c r="BN75" i="1"/>
  <c r="BN80" i="1"/>
  <c r="BP80" i="1"/>
  <c r="BN85" i="1"/>
  <c r="BP85" i="1"/>
  <c r="BN92" i="1"/>
  <c r="BN94" i="1"/>
  <c r="BN96" i="1"/>
  <c r="BN101" i="1"/>
  <c r="BP101" i="1"/>
  <c r="BN108" i="1"/>
  <c r="BN110" i="1"/>
  <c r="BN112" i="1"/>
  <c r="BN131" i="1"/>
  <c r="BN133" i="1"/>
  <c r="BN137" i="1"/>
  <c r="BP137" i="1"/>
  <c r="BN139" i="1"/>
  <c r="Z146" i="1"/>
  <c r="Y153" i="1"/>
  <c r="Y159" i="1"/>
  <c r="BP156" i="1"/>
  <c r="BN156" i="1"/>
  <c r="Y158" i="1"/>
  <c r="BP188" i="1"/>
  <c r="BN188" i="1"/>
  <c r="Y195" i="1"/>
  <c r="Y204" i="1"/>
  <c r="BP199" i="1"/>
  <c r="BN199" i="1"/>
  <c r="BP201" i="1"/>
  <c r="BN201" i="1"/>
  <c r="Y203" i="1"/>
  <c r="BP213" i="1"/>
  <c r="BN213" i="1"/>
  <c r="Z220" i="1"/>
  <c r="Y258" i="1"/>
  <c r="Y259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Y281" i="1" l="1"/>
  <c r="Y282" i="1" s="1"/>
  <c r="A292" i="1" s="1"/>
  <c r="Y280" i="1"/>
  <c r="Z284" i="1"/>
  <c r="Y279" i="1"/>
  <c r="Y283" i="1"/>
  <c r="X282" i="1"/>
  <c r="C292" i="1" l="1"/>
  <c r="B292" i="1"/>
</calcChain>
</file>

<file path=xl/sharedStrings.xml><?xml version="1.0" encoding="utf-8"?>
<sst xmlns="http://schemas.openxmlformats.org/spreadsheetml/2006/main" count="1303" uniqueCount="434">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</sst>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0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" fillId="0" borderId="0" xfId="0" applyFont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7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4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49" fontId="36" fillId="0" borderId="15" xfId="0" applyNumberFormat="1" applyFont="1" applyBorder="1" applyAlignment="1">
      <alignment horizontal="center" vertical="center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418" t="s">
        <v>0</v>
      </c>
      <c r="E1" s="297"/>
      <c r="F1" s="297"/>
      <c r="G1" s="12" t="s">
        <v>1</v>
      </c>
      <c r="H1" s="41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451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400" t="s">
        <v>8</v>
      </c>
      <c r="B5" s="295"/>
      <c r="C5" s="296"/>
      <c r="D5" s="348"/>
      <c r="E5" s="350"/>
      <c r="F5" s="317" t="s">
        <v>9</v>
      </c>
      <c r="G5" s="296"/>
      <c r="H5" s="348" t="s">
        <v>433</v>
      </c>
      <c r="I5" s="349"/>
      <c r="J5" s="349"/>
      <c r="K5" s="349"/>
      <c r="L5" s="349"/>
      <c r="M5" s="350"/>
      <c r="N5" s="61"/>
      <c r="P5" s="24" t="s">
        <v>10</v>
      </c>
      <c r="Q5" s="332">
        <v>46321</v>
      </c>
      <c r="R5" s="333"/>
      <c r="T5" s="389" t="s">
        <v>11</v>
      </c>
      <c r="U5" s="383"/>
      <c r="V5" s="390" t="s">
        <v>12</v>
      </c>
      <c r="W5" s="333"/>
      <c r="AB5" s="51"/>
      <c r="AC5" s="51"/>
      <c r="AD5" s="51"/>
      <c r="AE5" s="51"/>
    </row>
    <row r="6" spans="1:32" s="270" customFormat="1" ht="24" customHeight="1" x14ac:dyDescent="0.2">
      <c r="A6" s="400" t="s">
        <v>13</v>
      </c>
      <c r="B6" s="295"/>
      <c r="C6" s="296"/>
      <c r="D6" s="351" t="s">
        <v>410</v>
      </c>
      <c r="E6" s="352"/>
      <c r="F6" s="352"/>
      <c r="G6" s="352"/>
      <c r="H6" s="352"/>
      <c r="I6" s="352"/>
      <c r="J6" s="352"/>
      <c r="K6" s="352"/>
      <c r="L6" s="352"/>
      <c r="M6" s="333"/>
      <c r="N6" s="62"/>
      <c r="P6" s="24" t="s">
        <v>14</v>
      </c>
      <c r="Q6" s="468" t="str">
        <f>IF(Q5=0," ",CHOOSE(WEEKDAY(Q5,2),"Понедельник","Вторник","Среда","Четверг","Пятница","Суббота","Воскресенье"))</f>
        <v>Понедельник</v>
      </c>
      <c r="R6" s="289"/>
      <c r="T6" s="382" t="s">
        <v>15</v>
      </c>
      <c r="U6" s="383"/>
      <c r="V6" s="463" t="s">
        <v>16</v>
      </c>
      <c r="W6" s="456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438" t="str">
        <f>IFERROR(VLOOKUP(DeliveryAddress,Table,3,0),1)</f>
        <v>5</v>
      </c>
      <c r="E7" s="439"/>
      <c r="F7" s="439"/>
      <c r="G7" s="439"/>
      <c r="H7" s="439"/>
      <c r="I7" s="439"/>
      <c r="J7" s="439"/>
      <c r="K7" s="439"/>
      <c r="L7" s="439"/>
      <c r="M7" s="392"/>
      <c r="N7" s="63"/>
      <c r="P7" s="24"/>
      <c r="Q7" s="42"/>
      <c r="R7" s="42"/>
      <c r="T7" s="286"/>
      <c r="U7" s="383"/>
      <c r="V7" s="464"/>
      <c r="W7" s="465"/>
      <c r="AB7" s="51"/>
      <c r="AC7" s="51"/>
      <c r="AD7" s="51"/>
      <c r="AE7" s="51"/>
    </row>
    <row r="8" spans="1:32" s="270" customFormat="1" ht="25.5" customHeight="1" x14ac:dyDescent="0.2">
      <c r="A8" s="469" t="s">
        <v>17</v>
      </c>
      <c r="B8" s="299"/>
      <c r="C8" s="300"/>
      <c r="D8" s="445"/>
      <c r="E8" s="446"/>
      <c r="F8" s="446"/>
      <c r="G8" s="446"/>
      <c r="H8" s="446"/>
      <c r="I8" s="446"/>
      <c r="J8" s="446"/>
      <c r="K8" s="446"/>
      <c r="L8" s="446"/>
      <c r="M8" s="447"/>
      <c r="N8" s="64"/>
      <c r="P8" s="24" t="s">
        <v>18</v>
      </c>
      <c r="Q8" s="391">
        <v>0.41666666666666669</v>
      </c>
      <c r="R8" s="392"/>
      <c r="T8" s="286"/>
      <c r="U8" s="383"/>
      <c r="V8" s="464"/>
      <c r="W8" s="465"/>
      <c r="AB8" s="51"/>
      <c r="AC8" s="51"/>
      <c r="AD8" s="51"/>
      <c r="AE8" s="51"/>
    </row>
    <row r="9" spans="1:32" s="270" customFormat="1" ht="39.950000000000003" customHeight="1" x14ac:dyDescent="0.2">
      <c r="A9" s="3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28"/>
      <c r="E9" s="329"/>
      <c r="F9" s="3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398" t="str">
        <f>IF(AND($A$9="Тип доверенности/получателя при получении в адресе перегруза:",$D$9="Разовая доверенность"),"Введите ФИО","")</f>
        <v/>
      </c>
      <c r="I9" s="329"/>
      <c r="J9" s="3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9"/>
      <c r="L9" s="329"/>
      <c r="M9" s="329"/>
      <c r="N9" s="268"/>
      <c r="P9" s="26" t="s">
        <v>19</v>
      </c>
      <c r="Q9" s="413"/>
      <c r="R9" s="320"/>
      <c r="T9" s="286"/>
      <c r="U9" s="383"/>
      <c r="V9" s="466"/>
      <c r="W9" s="467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28"/>
      <c r="E10" s="329"/>
      <c r="F10" s="3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70" t="str">
        <f>IFERROR(VLOOKUP($D$10,Proxy,2,FALSE),"")</f>
        <v/>
      </c>
      <c r="I10" s="286"/>
      <c r="J10" s="286"/>
      <c r="K10" s="286"/>
      <c r="L10" s="286"/>
      <c r="M10" s="286"/>
      <c r="N10" s="269"/>
      <c r="P10" s="26" t="s">
        <v>20</v>
      </c>
      <c r="Q10" s="385"/>
      <c r="R10" s="386"/>
      <c r="U10" s="24" t="s">
        <v>21</v>
      </c>
      <c r="V10" s="455" t="s">
        <v>22</v>
      </c>
      <c r="W10" s="456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4"/>
      <c r="R11" s="333"/>
      <c r="U11" s="24" t="s">
        <v>25</v>
      </c>
      <c r="V11" s="319" t="s">
        <v>26</v>
      </c>
      <c r="W11" s="32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96" t="s">
        <v>27</v>
      </c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296"/>
      <c r="N12" s="65"/>
      <c r="P12" s="24" t="s">
        <v>28</v>
      </c>
      <c r="Q12" s="391"/>
      <c r="R12" s="392"/>
      <c r="S12" s="23"/>
      <c r="U12" s="24"/>
      <c r="V12" s="297"/>
      <c r="W12" s="286"/>
      <c r="AB12" s="51"/>
      <c r="AC12" s="51"/>
      <c r="AD12" s="51"/>
      <c r="AE12" s="51"/>
    </row>
    <row r="13" spans="1:32" s="270" customFormat="1" ht="23.25" customHeight="1" x14ac:dyDescent="0.2">
      <c r="A13" s="396" t="s">
        <v>29</v>
      </c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296"/>
      <c r="N13" s="65"/>
      <c r="O13" s="26"/>
      <c r="P13" s="26" t="s">
        <v>30</v>
      </c>
      <c r="Q13" s="319"/>
      <c r="R13" s="3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96" t="s">
        <v>31</v>
      </c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7" t="s">
        <v>32</v>
      </c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296"/>
      <c r="N15" s="66"/>
      <c r="P15" s="411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2"/>
      <c r="Q16" s="412"/>
      <c r="R16" s="412"/>
      <c r="S16" s="412"/>
      <c r="T16" s="4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3" t="s">
        <v>34</v>
      </c>
      <c r="B17" s="283" t="s">
        <v>35</v>
      </c>
      <c r="C17" s="401" t="s">
        <v>36</v>
      </c>
      <c r="D17" s="283" t="s">
        <v>37</v>
      </c>
      <c r="E17" s="421"/>
      <c r="F17" s="283" t="s">
        <v>38</v>
      </c>
      <c r="G17" s="283" t="s">
        <v>39</v>
      </c>
      <c r="H17" s="283" t="s">
        <v>40</v>
      </c>
      <c r="I17" s="283" t="s">
        <v>41</v>
      </c>
      <c r="J17" s="283" t="s">
        <v>42</v>
      </c>
      <c r="K17" s="283" t="s">
        <v>43</v>
      </c>
      <c r="L17" s="283" t="s">
        <v>44</v>
      </c>
      <c r="M17" s="283" t="s">
        <v>45</v>
      </c>
      <c r="N17" s="283" t="s">
        <v>46</v>
      </c>
      <c r="O17" s="283" t="s">
        <v>47</v>
      </c>
      <c r="P17" s="283" t="s">
        <v>48</v>
      </c>
      <c r="Q17" s="420"/>
      <c r="R17" s="420"/>
      <c r="S17" s="420"/>
      <c r="T17" s="421"/>
      <c r="U17" s="305" t="s">
        <v>49</v>
      </c>
      <c r="V17" s="296"/>
      <c r="W17" s="283" t="s">
        <v>50</v>
      </c>
      <c r="X17" s="283" t="s">
        <v>51</v>
      </c>
      <c r="Y17" s="306" t="s">
        <v>52</v>
      </c>
      <c r="Z17" s="365" t="s">
        <v>53</v>
      </c>
      <c r="AA17" s="311" t="s">
        <v>54</v>
      </c>
      <c r="AB17" s="311" t="s">
        <v>55</v>
      </c>
      <c r="AC17" s="311" t="s">
        <v>56</v>
      </c>
      <c r="AD17" s="311" t="s">
        <v>57</v>
      </c>
      <c r="AE17" s="312"/>
      <c r="AF17" s="313"/>
      <c r="AG17" s="69"/>
      <c r="BD17" s="68" t="s">
        <v>58</v>
      </c>
    </row>
    <row r="18" spans="1:68" ht="14.25" customHeight="1" x14ac:dyDescent="0.2">
      <c r="A18" s="284"/>
      <c r="B18" s="284"/>
      <c r="C18" s="284"/>
      <c r="D18" s="422"/>
      <c r="E18" s="42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422"/>
      <c r="Q18" s="423"/>
      <c r="R18" s="423"/>
      <c r="S18" s="423"/>
      <c r="T18" s="424"/>
      <c r="U18" s="70" t="s">
        <v>59</v>
      </c>
      <c r="V18" s="70" t="s">
        <v>60</v>
      </c>
      <c r="W18" s="284"/>
      <c r="X18" s="284"/>
      <c r="Y18" s="307"/>
      <c r="Z18" s="366"/>
      <c r="AA18" s="367"/>
      <c r="AB18" s="367"/>
      <c r="AC18" s="367"/>
      <c r="AD18" s="314"/>
      <c r="AE18" s="315"/>
      <c r="AF18" s="316"/>
      <c r="AG18" s="69"/>
      <c r="BD18" s="68"/>
    </row>
    <row r="19" spans="1:68" ht="27.75" hidden="1" customHeight="1" x14ac:dyDescent="0.2">
      <c r="A19" s="338" t="s">
        <v>61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48"/>
      <c r="AB19" s="48"/>
      <c r="AC19" s="48"/>
    </row>
    <row r="20" spans="1:68" ht="16.5" hidden="1" customHeight="1" x14ac:dyDescent="0.25">
      <c r="A20" s="323" t="s">
        <v>61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71"/>
      <c r="AB20" s="271"/>
      <c r="AC20" s="271"/>
    </row>
    <row r="21" spans="1:68" ht="14.25" hidden="1" customHeight="1" x14ac:dyDescent="0.25">
      <c r="A21" s="301" t="s">
        <v>62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8">
        <v>4620207491508</v>
      </c>
      <c r="E22" s="289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6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8">
        <v>4620207491256</v>
      </c>
      <c r="E23" s="289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1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4"/>
      <c r="V23" s="34"/>
      <c r="W23" s="35" t="s">
        <v>68</v>
      </c>
      <c r="X23" s="276">
        <v>48</v>
      </c>
      <c r="Y23" s="277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8">
        <v>4620207491713</v>
      </c>
      <c r="E24" s="289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8">
        <v>4620207491720</v>
      </c>
      <c r="E25" s="289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0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8">
        <v>4607111035912</v>
      </c>
      <c r="E26" s="289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8">
        <v>4607111035929</v>
      </c>
      <c r="E27" s="289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8">
        <v>4607111035882</v>
      </c>
      <c r="E28" s="289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5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8">
        <v>4607111035905</v>
      </c>
      <c r="E29" s="289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5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7"/>
      <c r="P30" s="298" t="s">
        <v>87</v>
      </c>
      <c r="Q30" s="299"/>
      <c r="R30" s="299"/>
      <c r="S30" s="299"/>
      <c r="T30" s="299"/>
      <c r="U30" s="299"/>
      <c r="V30" s="300"/>
      <c r="W30" s="37" t="s">
        <v>68</v>
      </c>
      <c r="X30" s="278">
        <f>IFERROR(SUM(X22:X29),"0")</f>
        <v>48</v>
      </c>
      <c r="Y30" s="278">
        <f>IFERROR(SUM(Y22:Y29),"0")</f>
        <v>48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79"/>
      <c r="AB30" s="279"/>
      <c r="AC30" s="279"/>
    </row>
    <row r="31" spans="1:68" x14ac:dyDescent="0.2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7"/>
      <c r="P31" s="298" t="s">
        <v>87</v>
      </c>
      <c r="Q31" s="299"/>
      <c r="R31" s="299"/>
      <c r="S31" s="299"/>
      <c r="T31" s="299"/>
      <c r="U31" s="299"/>
      <c r="V31" s="300"/>
      <c r="W31" s="37" t="s">
        <v>88</v>
      </c>
      <c r="X31" s="278">
        <f>IFERROR(SUMPRODUCT(X22:X29*H22:H29),"0")</f>
        <v>307.20000000000005</v>
      </c>
      <c r="Y31" s="278">
        <f>IFERROR(SUMPRODUCT(Y22:Y29*H22:H29),"0")</f>
        <v>307.20000000000005</v>
      </c>
      <c r="Z31" s="37"/>
      <c r="AA31" s="279"/>
      <c r="AB31" s="279"/>
      <c r="AC31" s="279"/>
    </row>
    <row r="32" spans="1:68" ht="14.25" hidden="1" customHeight="1" x14ac:dyDescent="0.25">
      <c r="A32" s="301" t="s">
        <v>89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8">
        <v>4620207492178</v>
      </c>
      <c r="E33" s="289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354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1"/>
      <c r="R33" s="281"/>
      <c r="S33" s="281"/>
      <c r="T33" s="282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7"/>
      <c r="P34" s="298" t="s">
        <v>87</v>
      </c>
      <c r="Q34" s="299"/>
      <c r="R34" s="299"/>
      <c r="S34" s="299"/>
      <c r="T34" s="299"/>
      <c r="U34" s="299"/>
      <c r="V34" s="300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7"/>
      <c r="P35" s="298" t="s">
        <v>87</v>
      </c>
      <c r="Q35" s="299"/>
      <c r="R35" s="299"/>
      <c r="S35" s="299"/>
      <c r="T35" s="299"/>
      <c r="U35" s="299"/>
      <c r="V35" s="300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323" t="s">
        <v>94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71"/>
      <c r="AB36" s="271"/>
      <c r="AC36" s="271"/>
    </row>
    <row r="37" spans="1:68" ht="14.25" hidden="1" customHeight="1" x14ac:dyDescent="0.25">
      <c r="A37" s="301" t="s">
        <v>62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8">
        <v>4607111039019</v>
      </c>
      <c r="E38" s="289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1"/>
      <c r="R38" s="281"/>
      <c r="S38" s="281"/>
      <c r="T38" s="282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8">
        <v>4607111038708</v>
      </c>
      <c r="E39" s="289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43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1"/>
      <c r="R39" s="281"/>
      <c r="S39" s="281"/>
      <c r="T39" s="282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85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7"/>
      <c r="P40" s="298" t="s">
        <v>87</v>
      </c>
      <c r="Q40" s="299"/>
      <c r="R40" s="299"/>
      <c r="S40" s="299"/>
      <c r="T40" s="299"/>
      <c r="U40" s="299"/>
      <c r="V40" s="300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7"/>
      <c r="P41" s="298" t="s">
        <v>87</v>
      </c>
      <c r="Q41" s="299"/>
      <c r="R41" s="299"/>
      <c r="S41" s="299"/>
      <c r="T41" s="299"/>
      <c r="U41" s="299"/>
      <c r="V41" s="300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338" t="s">
        <v>100</v>
      </c>
      <c r="B42" s="339"/>
      <c r="C42" s="339"/>
      <c r="D42" s="339"/>
      <c r="E42" s="339"/>
      <c r="F42" s="339"/>
      <c r="G42" s="339"/>
      <c r="H42" s="339"/>
      <c r="I42" s="339"/>
      <c r="J42" s="339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  <c r="AA42" s="48"/>
      <c r="AB42" s="48"/>
      <c r="AC42" s="48"/>
    </row>
    <row r="43" spans="1:68" ht="16.5" hidden="1" customHeight="1" x14ac:dyDescent="0.25">
      <c r="A43" s="323" t="s">
        <v>101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71"/>
      <c r="AB43" s="271"/>
      <c r="AC43" s="271"/>
    </row>
    <row r="44" spans="1:68" ht="14.25" hidden="1" customHeight="1" x14ac:dyDescent="0.25">
      <c r="A44" s="301" t="s">
        <v>102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8">
        <v>4607111036537</v>
      </c>
      <c r="E45" s="289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1"/>
      <c r="R45" s="281"/>
      <c r="S45" s="281"/>
      <c r="T45" s="282"/>
      <c r="U45" s="34"/>
      <c r="V45" s="34"/>
      <c r="W45" s="35" t="s">
        <v>68</v>
      </c>
      <c r="X45" s="276">
        <v>56</v>
      </c>
      <c r="Y45" s="277">
        <f>IFERROR(IF(X45="","",X45),"")</f>
        <v>56</v>
      </c>
      <c r="Z45" s="36">
        <f>IFERROR(IF(X45="","",X45*0.00941),"")</f>
        <v>0.52695999999999998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107.6208</v>
      </c>
      <c r="BN45" s="67">
        <f>IFERROR(Y45*I45,"0")</f>
        <v>107.6208</v>
      </c>
      <c r="BO45" s="67">
        <f>IFERROR(X45/J45,"0")</f>
        <v>0.4</v>
      </c>
      <c r="BP45" s="67">
        <f>IFERROR(Y45/J45,"0")</f>
        <v>0.4</v>
      </c>
    </row>
    <row r="46" spans="1:68" ht="27" customHeight="1" x14ac:dyDescent="0.25">
      <c r="A46" s="54" t="s">
        <v>110</v>
      </c>
      <c r="B46" s="54" t="s">
        <v>111</v>
      </c>
      <c r="C46" s="31">
        <v>4301132188</v>
      </c>
      <c r="D46" s="288">
        <v>4607111036605</v>
      </c>
      <c r="E46" s="289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35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1"/>
      <c r="R46" s="281"/>
      <c r="S46" s="281"/>
      <c r="T46" s="282"/>
      <c r="U46" s="34"/>
      <c r="V46" s="34"/>
      <c r="W46" s="35" t="s">
        <v>68</v>
      </c>
      <c r="X46" s="276">
        <v>70</v>
      </c>
      <c r="Y46" s="277">
        <f>IFERROR(IF(X46="","",X46),"")</f>
        <v>70</v>
      </c>
      <c r="Z46" s="36">
        <f>IFERROR(IF(X46="","",X46*0.00941),"")</f>
        <v>0.65869999999999995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134.52600000000001</v>
      </c>
      <c r="BN46" s="67">
        <f>IFERROR(Y46*I46,"0")</f>
        <v>134.52600000000001</v>
      </c>
      <c r="BO46" s="67">
        <f>IFERROR(X46/J46,"0")</f>
        <v>0.5</v>
      </c>
      <c r="BP46" s="67">
        <f>IFERROR(Y46/J46,"0")</f>
        <v>0.5</v>
      </c>
    </row>
    <row r="47" spans="1:68" x14ac:dyDescent="0.2">
      <c r="A47" s="285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7"/>
      <c r="P47" s="298" t="s">
        <v>87</v>
      </c>
      <c r="Q47" s="299"/>
      <c r="R47" s="299"/>
      <c r="S47" s="299"/>
      <c r="T47" s="299"/>
      <c r="U47" s="299"/>
      <c r="V47" s="300"/>
      <c r="W47" s="37" t="s">
        <v>68</v>
      </c>
      <c r="X47" s="278">
        <f>IFERROR(SUM(X45:X46),"0")</f>
        <v>126</v>
      </c>
      <c r="Y47" s="278">
        <f>IFERROR(SUM(Y45:Y46),"0")</f>
        <v>126</v>
      </c>
      <c r="Z47" s="278">
        <f>IFERROR(IF(Z45="",0,Z45),"0")+IFERROR(IF(Z46="",0,Z46),"0")</f>
        <v>1.1856599999999999</v>
      </c>
      <c r="AA47" s="279"/>
      <c r="AB47" s="279"/>
      <c r="AC47" s="279"/>
    </row>
    <row r="48" spans="1:68" x14ac:dyDescent="0.2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7"/>
      <c r="P48" s="298" t="s">
        <v>87</v>
      </c>
      <c r="Q48" s="299"/>
      <c r="R48" s="299"/>
      <c r="S48" s="299"/>
      <c r="T48" s="299"/>
      <c r="U48" s="299"/>
      <c r="V48" s="300"/>
      <c r="W48" s="37" t="s">
        <v>88</v>
      </c>
      <c r="X48" s="278">
        <f>IFERROR(SUMPRODUCT(X45:X46*H45:H46),"0")</f>
        <v>189</v>
      </c>
      <c r="Y48" s="278">
        <f>IFERROR(SUMPRODUCT(Y45:Y46*H45:H46),"0")</f>
        <v>189</v>
      </c>
      <c r="Z48" s="37"/>
      <c r="AA48" s="279"/>
      <c r="AB48" s="279"/>
      <c r="AC48" s="279"/>
    </row>
    <row r="49" spans="1:68" ht="16.5" hidden="1" customHeight="1" x14ac:dyDescent="0.25">
      <c r="A49" s="323" t="s">
        <v>112</v>
      </c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71"/>
      <c r="AB49" s="271"/>
      <c r="AC49" s="271"/>
    </row>
    <row r="50" spans="1:68" ht="14.25" hidden="1" customHeight="1" x14ac:dyDescent="0.25">
      <c r="A50" s="301" t="s">
        <v>62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72"/>
      <c r="AB50" s="272"/>
      <c r="AC50" s="272"/>
    </row>
    <row r="51" spans="1:68" ht="27" customHeight="1" x14ac:dyDescent="0.25">
      <c r="A51" s="54" t="s">
        <v>113</v>
      </c>
      <c r="B51" s="54" t="s">
        <v>114</v>
      </c>
      <c r="C51" s="31">
        <v>4301071090</v>
      </c>
      <c r="D51" s="288">
        <v>4620207490075</v>
      </c>
      <c r="E51" s="289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1"/>
      <c r="R51" s="281"/>
      <c r="S51" s="281"/>
      <c r="T51" s="282"/>
      <c r="U51" s="34"/>
      <c r="V51" s="34"/>
      <c r="W51" s="35" t="s">
        <v>68</v>
      </c>
      <c r="X51" s="276">
        <v>48</v>
      </c>
      <c r="Y51" s="277">
        <f>IFERROR(IF(X51="","",X51),"")</f>
        <v>48</v>
      </c>
      <c r="Z51" s="36">
        <f>IFERROR(IF(X51="","",X51*0.0155),"")</f>
        <v>0.74399999999999999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281.76</v>
      </c>
      <c r="BN51" s="67">
        <f>IFERROR(Y51*I51,"0")</f>
        <v>281.76</v>
      </c>
      <c r="BO51" s="67">
        <f>IFERROR(X51/J51,"0")</f>
        <v>0.5714285714285714</v>
      </c>
      <c r="BP51" s="67">
        <f>IFERROR(Y51/J51,"0")</f>
        <v>0.5714285714285714</v>
      </c>
    </row>
    <row r="52" spans="1:68" ht="27" customHeight="1" x14ac:dyDescent="0.25">
      <c r="A52" s="54" t="s">
        <v>116</v>
      </c>
      <c r="B52" s="54" t="s">
        <v>117</v>
      </c>
      <c r="C52" s="31">
        <v>4301071092</v>
      </c>
      <c r="D52" s="288">
        <v>4620207490174</v>
      </c>
      <c r="E52" s="289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1"/>
      <c r="R52" s="281"/>
      <c r="S52" s="281"/>
      <c r="T52" s="282"/>
      <c r="U52" s="34"/>
      <c r="V52" s="34"/>
      <c r="W52" s="35" t="s">
        <v>68</v>
      </c>
      <c r="X52" s="276">
        <v>24</v>
      </c>
      <c r="Y52" s="277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140.88</v>
      </c>
      <c r="BN52" s="67">
        <f>IFERROR(Y52*I52,"0")</f>
        <v>140.88</v>
      </c>
      <c r="BO52" s="67">
        <f>IFERROR(X52/J52,"0")</f>
        <v>0.2857142857142857</v>
      </c>
      <c r="BP52" s="67">
        <f>IFERROR(Y52/J52,"0")</f>
        <v>0.2857142857142857</v>
      </c>
    </row>
    <row r="53" spans="1:68" x14ac:dyDescent="0.2">
      <c r="A53" s="285"/>
      <c r="B53" s="286"/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7"/>
      <c r="P53" s="298" t="s">
        <v>87</v>
      </c>
      <c r="Q53" s="299"/>
      <c r="R53" s="299"/>
      <c r="S53" s="299"/>
      <c r="T53" s="299"/>
      <c r="U53" s="299"/>
      <c r="V53" s="300"/>
      <c r="W53" s="37" t="s">
        <v>68</v>
      </c>
      <c r="X53" s="278">
        <f>IFERROR(SUM(X51:X52),"0")</f>
        <v>72</v>
      </c>
      <c r="Y53" s="278">
        <f>IFERROR(SUM(Y51:Y52),"0")</f>
        <v>72</v>
      </c>
      <c r="Z53" s="278">
        <f>IFERROR(IF(Z51="",0,Z51),"0")+IFERROR(IF(Z52="",0,Z52),"0")</f>
        <v>1.1160000000000001</v>
      </c>
      <c r="AA53" s="279"/>
      <c r="AB53" s="279"/>
      <c r="AC53" s="279"/>
    </row>
    <row r="54" spans="1:68" x14ac:dyDescent="0.2">
      <c r="A54" s="286"/>
      <c r="B54" s="286"/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7"/>
      <c r="P54" s="298" t="s">
        <v>87</v>
      </c>
      <c r="Q54" s="299"/>
      <c r="R54" s="299"/>
      <c r="S54" s="299"/>
      <c r="T54" s="299"/>
      <c r="U54" s="299"/>
      <c r="V54" s="300"/>
      <c r="W54" s="37" t="s">
        <v>88</v>
      </c>
      <c r="X54" s="278">
        <f>IFERROR(SUMPRODUCT(X51:X52*H51:H52),"0")</f>
        <v>403.19999999999993</v>
      </c>
      <c r="Y54" s="278">
        <f>IFERROR(SUMPRODUCT(Y51:Y52*H51:H52),"0")</f>
        <v>403.19999999999993</v>
      </c>
      <c r="Z54" s="37"/>
      <c r="AA54" s="279"/>
      <c r="AB54" s="279"/>
      <c r="AC54" s="279"/>
    </row>
    <row r="55" spans="1:68" ht="16.5" hidden="1" customHeight="1" x14ac:dyDescent="0.25">
      <c r="A55" s="323" t="s">
        <v>119</v>
      </c>
      <c r="B55" s="286"/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71"/>
      <c r="AB55" s="271"/>
      <c r="AC55" s="271"/>
    </row>
    <row r="56" spans="1:68" ht="14.25" hidden="1" customHeight="1" x14ac:dyDescent="0.25">
      <c r="A56" s="301" t="s">
        <v>62</v>
      </c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72"/>
      <c r="AB56" s="272"/>
      <c r="AC56" s="272"/>
    </row>
    <row r="57" spans="1:68" ht="27" customHeight="1" x14ac:dyDescent="0.25">
      <c r="A57" s="54" t="s">
        <v>120</v>
      </c>
      <c r="B57" s="54" t="s">
        <v>121</v>
      </c>
      <c r="C57" s="31">
        <v>4301071044</v>
      </c>
      <c r="D57" s="288">
        <v>4607111039385</v>
      </c>
      <c r="E57" s="289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3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1"/>
      <c r="R57" s="281"/>
      <c r="S57" s="281"/>
      <c r="T57" s="282"/>
      <c r="U57" s="34"/>
      <c r="V57" s="34"/>
      <c r="W57" s="35" t="s">
        <v>68</v>
      </c>
      <c r="X57" s="276">
        <v>60</v>
      </c>
      <c r="Y57" s="277">
        <f>IFERROR(IF(X57="","",X57),"")</f>
        <v>60</v>
      </c>
      <c r="Z57" s="36">
        <f>IFERROR(IF(X57="","",X57*0.0155),"")</f>
        <v>0.92999999999999994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438</v>
      </c>
      <c r="BN57" s="67">
        <f>IFERROR(Y57*I57,"0")</f>
        <v>438</v>
      </c>
      <c r="BO57" s="67">
        <f>IFERROR(X57/J57,"0")</f>
        <v>0.7142857142857143</v>
      </c>
      <c r="BP57" s="67">
        <f>IFERROR(Y57/J57,"0")</f>
        <v>0.7142857142857143</v>
      </c>
    </row>
    <row r="58" spans="1:68" ht="27" hidden="1" customHeight="1" x14ac:dyDescent="0.25">
      <c r="A58" s="54" t="s">
        <v>123</v>
      </c>
      <c r="B58" s="54" t="s">
        <v>124</v>
      </c>
      <c r="C58" s="31">
        <v>4301071031</v>
      </c>
      <c r="D58" s="288">
        <v>4607111038982</v>
      </c>
      <c r="E58" s="289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29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1"/>
      <c r="R58" s="281"/>
      <c r="S58" s="281"/>
      <c r="T58" s="282"/>
      <c r="U58" s="34"/>
      <c r="V58" s="34"/>
      <c r="W58" s="35" t="s">
        <v>68</v>
      </c>
      <c r="X58" s="276">
        <v>0</v>
      </c>
      <c r="Y58" s="277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126</v>
      </c>
      <c r="B59" s="54" t="s">
        <v>127</v>
      </c>
      <c r="C59" s="31">
        <v>4301071046</v>
      </c>
      <c r="D59" s="288">
        <v>4607111039354</v>
      </c>
      <c r="E59" s="289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35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1"/>
      <c r="R59" s="281"/>
      <c r="S59" s="281"/>
      <c r="T59" s="282"/>
      <c r="U59" s="34"/>
      <c r="V59" s="34"/>
      <c r="W59" s="35" t="s">
        <v>68</v>
      </c>
      <c r="X59" s="276">
        <v>0</v>
      </c>
      <c r="Y59" s="277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128</v>
      </c>
      <c r="B60" s="54" t="s">
        <v>129</v>
      </c>
      <c r="C60" s="31">
        <v>4301071047</v>
      </c>
      <c r="D60" s="288">
        <v>4607111039330</v>
      </c>
      <c r="E60" s="289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30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1"/>
      <c r="R60" s="281"/>
      <c r="S60" s="281"/>
      <c r="T60" s="282"/>
      <c r="U60" s="34"/>
      <c r="V60" s="34"/>
      <c r="W60" s="35" t="s">
        <v>68</v>
      </c>
      <c r="X60" s="276">
        <v>24</v>
      </c>
      <c r="Y60" s="277">
        <f>IFERROR(IF(X60="","",X60),"")</f>
        <v>24</v>
      </c>
      <c r="Z60" s="36">
        <f>IFERROR(IF(X60="","",X60*0.0155),"")</f>
        <v>0.372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175.2</v>
      </c>
      <c r="BN60" s="67">
        <f>IFERROR(Y60*I60,"0")</f>
        <v>175.2</v>
      </c>
      <c r="BO60" s="67">
        <f>IFERROR(X60/J60,"0")</f>
        <v>0.2857142857142857</v>
      </c>
      <c r="BP60" s="67">
        <f>IFERROR(Y60/J60,"0")</f>
        <v>0.2857142857142857</v>
      </c>
    </row>
    <row r="61" spans="1:68" x14ac:dyDescent="0.2">
      <c r="A61" s="285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7"/>
      <c r="P61" s="298" t="s">
        <v>87</v>
      </c>
      <c r="Q61" s="299"/>
      <c r="R61" s="299"/>
      <c r="S61" s="299"/>
      <c r="T61" s="299"/>
      <c r="U61" s="299"/>
      <c r="V61" s="300"/>
      <c r="W61" s="37" t="s">
        <v>68</v>
      </c>
      <c r="X61" s="278">
        <f>IFERROR(SUM(X57:X60),"0")</f>
        <v>84</v>
      </c>
      <c r="Y61" s="278">
        <f>IFERROR(SUM(Y57:Y60),"0")</f>
        <v>84</v>
      </c>
      <c r="Z61" s="278">
        <f>IFERROR(IF(Z57="",0,Z57),"0")+IFERROR(IF(Z58="",0,Z58),"0")+IFERROR(IF(Z59="",0,Z59),"0")+IFERROR(IF(Z60="",0,Z60),"0")</f>
        <v>1.302</v>
      </c>
      <c r="AA61" s="279"/>
      <c r="AB61" s="279"/>
      <c r="AC61" s="27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7"/>
      <c r="P62" s="298" t="s">
        <v>87</v>
      </c>
      <c r="Q62" s="299"/>
      <c r="R62" s="299"/>
      <c r="S62" s="299"/>
      <c r="T62" s="299"/>
      <c r="U62" s="299"/>
      <c r="V62" s="300"/>
      <c r="W62" s="37" t="s">
        <v>88</v>
      </c>
      <c r="X62" s="278">
        <f>IFERROR(SUMPRODUCT(X57:X60*H57:H60),"0")</f>
        <v>588</v>
      </c>
      <c r="Y62" s="278">
        <f>IFERROR(SUMPRODUCT(Y57:Y60*H57:H60),"0")</f>
        <v>588</v>
      </c>
      <c r="Z62" s="37"/>
      <c r="AA62" s="279"/>
      <c r="AB62" s="279"/>
      <c r="AC62" s="279"/>
    </row>
    <row r="63" spans="1:68" ht="16.5" hidden="1" customHeight="1" x14ac:dyDescent="0.25">
      <c r="A63" s="323" t="s">
        <v>130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71"/>
      <c r="AB63" s="271"/>
      <c r="AC63" s="271"/>
    </row>
    <row r="64" spans="1:68" ht="14.25" hidden="1" customHeight="1" x14ac:dyDescent="0.25">
      <c r="A64" s="301" t="s">
        <v>131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8">
        <v>4607111039712</v>
      </c>
      <c r="E65" s="289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335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1"/>
      <c r="R65" s="281"/>
      <c r="S65" s="281"/>
      <c r="T65" s="282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8">
        <v>4607111039705</v>
      </c>
      <c r="E66" s="289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40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1"/>
      <c r="R66" s="281"/>
      <c r="S66" s="281"/>
      <c r="T66" s="282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8">
        <v>4607111039729</v>
      </c>
      <c r="E67" s="289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318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1"/>
      <c r="R67" s="281"/>
      <c r="S67" s="281"/>
      <c r="T67" s="282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4301135702</v>
      </c>
      <c r="D68" s="288">
        <v>4620207490228</v>
      </c>
      <c r="E68" s="289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404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1"/>
      <c r="R68" s="281"/>
      <c r="S68" s="281"/>
      <c r="T68" s="282"/>
      <c r="U68" s="34"/>
      <c r="V68" s="34"/>
      <c r="W68" s="35" t="s">
        <v>68</v>
      </c>
      <c r="X68" s="276">
        <v>56</v>
      </c>
      <c r="Y68" s="277">
        <f>IFERROR(IF(X68="","",X68),"")</f>
        <v>56</v>
      </c>
      <c r="Z68" s="36">
        <f>IFERROR(IF(X68="","",X68*0.00941),"")</f>
        <v>0.52695999999999998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87.36</v>
      </c>
      <c r="BN68" s="67">
        <f>IFERROR(Y68*I68,"0")</f>
        <v>87.36</v>
      </c>
      <c r="BO68" s="67">
        <f>IFERROR(X68/J68,"0")</f>
        <v>0.4</v>
      </c>
      <c r="BP68" s="67">
        <f>IFERROR(Y68/J68,"0")</f>
        <v>0.4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8">
        <v>4607111037398</v>
      </c>
      <c r="E69" s="289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93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1"/>
      <c r="R69" s="281"/>
      <c r="S69" s="281"/>
      <c r="T69" s="282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5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7"/>
      <c r="P70" s="298" t="s">
        <v>87</v>
      </c>
      <c r="Q70" s="299"/>
      <c r="R70" s="299"/>
      <c r="S70" s="299"/>
      <c r="T70" s="299"/>
      <c r="U70" s="299"/>
      <c r="V70" s="300"/>
      <c r="W70" s="37" t="s">
        <v>68</v>
      </c>
      <c r="X70" s="278">
        <f>IFERROR(SUM(X65:X69),"0")</f>
        <v>56</v>
      </c>
      <c r="Y70" s="278">
        <f>IFERROR(SUM(Y65:Y69),"0")</f>
        <v>56</v>
      </c>
      <c r="Z70" s="278">
        <f>IFERROR(IF(Z65="",0,Z65),"0")+IFERROR(IF(Z66="",0,Z66),"0")+IFERROR(IF(Z67="",0,Z67),"0")+IFERROR(IF(Z68="",0,Z68),"0")+IFERROR(IF(Z69="",0,Z69),"0")</f>
        <v>0.52695999999999998</v>
      </c>
      <c r="AA70" s="279"/>
      <c r="AB70" s="279"/>
      <c r="AC70" s="27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7"/>
      <c r="P71" s="298" t="s">
        <v>87</v>
      </c>
      <c r="Q71" s="299"/>
      <c r="R71" s="299"/>
      <c r="S71" s="299"/>
      <c r="T71" s="299"/>
      <c r="U71" s="299"/>
      <c r="V71" s="300"/>
      <c r="W71" s="37" t="s">
        <v>88</v>
      </c>
      <c r="X71" s="278">
        <f>IFERROR(SUMPRODUCT(X65:X69*H65:H69),"0")</f>
        <v>67.2</v>
      </c>
      <c r="Y71" s="278">
        <f>IFERROR(SUMPRODUCT(Y65:Y69*H65:H69),"0")</f>
        <v>67.2</v>
      </c>
      <c r="Z71" s="37"/>
      <c r="AA71" s="279"/>
      <c r="AB71" s="279"/>
      <c r="AC71" s="279"/>
    </row>
    <row r="72" spans="1:68" ht="16.5" hidden="1" customHeight="1" x14ac:dyDescent="0.25">
      <c r="A72" s="323" t="s">
        <v>145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71"/>
      <c r="AB72" s="271"/>
      <c r="AC72" s="271"/>
    </row>
    <row r="73" spans="1:68" ht="14.25" hidden="1" customHeight="1" x14ac:dyDescent="0.25">
      <c r="A73" s="301" t="s">
        <v>62</v>
      </c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8">
        <v>4607111037411</v>
      </c>
      <c r="E74" s="289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43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1"/>
      <c r="R74" s="281"/>
      <c r="S74" s="281"/>
      <c r="T74" s="282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150</v>
      </c>
      <c r="B75" s="54" t="s">
        <v>151</v>
      </c>
      <c r="C75" s="31">
        <v>4301070981</v>
      </c>
      <c r="D75" s="288">
        <v>4607111036728</v>
      </c>
      <c r="E75" s="289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32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1"/>
      <c r="R75" s="281"/>
      <c r="S75" s="281"/>
      <c r="T75" s="282"/>
      <c r="U75" s="34"/>
      <c r="V75" s="34"/>
      <c r="W75" s="35" t="s">
        <v>68</v>
      </c>
      <c r="X75" s="276">
        <v>0</v>
      </c>
      <c r="Y75" s="277">
        <f>IFERROR(IF(X75="","",X75),"")</f>
        <v>0</v>
      </c>
      <c r="Z75" s="36">
        <f>IFERROR(IF(X75="","",X75*0.00866),"")</f>
        <v>0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5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7"/>
      <c r="P76" s="298" t="s">
        <v>87</v>
      </c>
      <c r="Q76" s="299"/>
      <c r="R76" s="299"/>
      <c r="S76" s="299"/>
      <c r="T76" s="299"/>
      <c r="U76" s="299"/>
      <c r="V76" s="300"/>
      <c r="W76" s="37" t="s">
        <v>68</v>
      </c>
      <c r="X76" s="278">
        <f>IFERROR(SUM(X74:X75),"0")</f>
        <v>0</v>
      </c>
      <c r="Y76" s="278">
        <f>IFERROR(SUM(Y74:Y75),"0")</f>
        <v>0</v>
      </c>
      <c r="Z76" s="278">
        <f>IFERROR(IF(Z74="",0,Z74),"0")+IFERROR(IF(Z75="",0,Z75),"0")</f>
        <v>0</v>
      </c>
      <c r="AA76" s="279"/>
      <c r="AB76" s="279"/>
      <c r="AC76" s="279"/>
    </row>
    <row r="77" spans="1:68" hidden="1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7"/>
      <c r="P77" s="298" t="s">
        <v>87</v>
      </c>
      <c r="Q77" s="299"/>
      <c r="R77" s="299"/>
      <c r="S77" s="299"/>
      <c r="T77" s="299"/>
      <c r="U77" s="299"/>
      <c r="V77" s="300"/>
      <c r="W77" s="37" t="s">
        <v>88</v>
      </c>
      <c r="X77" s="278">
        <f>IFERROR(SUMPRODUCT(X74:X75*H74:H75),"0")</f>
        <v>0</v>
      </c>
      <c r="Y77" s="278">
        <f>IFERROR(SUMPRODUCT(Y74:Y75*H74:H75),"0")</f>
        <v>0</v>
      </c>
      <c r="Z77" s="37"/>
      <c r="AA77" s="279"/>
      <c r="AB77" s="279"/>
      <c r="AC77" s="279"/>
    </row>
    <row r="78" spans="1:68" ht="16.5" hidden="1" customHeight="1" x14ac:dyDescent="0.25">
      <c r="A78" s="323" t="s">
        <v>152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71"/>
      <c r="AB78" s="271"/>
      <c r="AC78" s="271"/>
    </row>
    <row r="79" spans="1:68" ht="14.25" hidden="1" customHeight="1" x14ac:dyDescent="0.25">
      <c r="A79" s="301" t="s">
        <v>153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72"/>
      <c r="AB79" s="272"/>
      <c r="AC79" s="272"/>
    </row>
    <row r="80" spans="1:68" ht="27" hidden="1" customHeight="1" x14ac:dyDescent="0.25">
      <c r="A80" s="54" t="s">
        <v>154</v>
      </c>
      <c r="B80" s="54" t="s">
        <v>155</v>
      </c>
      <c r="C80" s="31">
        <v>4301135910</v>
      </c>
      <c r="D80" s="288">
        <v>4620207491638</v>
      </c>
      <c r="E80" s="289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364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1"/>
      <c r="R80" s="281"/>
      <c r="S80" s="281"/>
      <c r="T80" s="282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285"/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7"/>
      <c r="P81" s="298" t="s">
        <v>87</v>
      </c>
      <c r="Q81" s="299"/>
      <c r="R81" s="299"/>
      <c r="S81" s="299"/>
      <c r="T81" s="299"/>
      <c r="U81" s="299"/>
      <c r="V81" s="300"/>
      <c r="W81" s="37" t="s">
        <v>68</v>
      </c>
      <c r="X81" s="278">
        <f>IFERROR(SUM(X80:X80),"0")</f>
        <v>0</v>
      </c>
      <c r="Y81" s="278">
        <f>IFERROR(SUM(Y80:Y80),"0")</f>
        <v>0</v>
      </c>
      <c r="Z81" s="278">
        <f>IFERROR(IF(Z80="",0,Z80),"0")</f>
        <v>0</v>
      </c>
      <c r="AA81" s="279"/>
      <c r="AB81" s="279"/>
      <c r="AC81" s="279"/>
    </row>
    <row r="82" spans="1:68" hidden="1" x14ac:dyDescent="0.2">
      <c r="A82" s="286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7"/>
      <c r="P82" s="298" t="s">
        <v>87</v>
      </c>
      <c r="Q82" s="299"/>
      <c r="R82" s="299"/>
      <c r="S82" s="299"/>
      <c r="T82" s="299"/>
      <c r="U82" s="299"/>
      <c r="V82" s="300"/>
      <c r="W82" s="37" t="s">
        <v>88</v>
      </c>
      <c r="X82" s="278">
        <f>IFERROR(SUMPRODUCT(X80:X80*H80:H80),"0")</f>
        <v>0</v>
      </c>
      <c r="Y82" s="278">
        <f>IFERROR(SUMPRODUCT(Y80:Y80*H80:H80),"0")</f>
        <v>0</v>
      </c>
      <c r="Z82" s="37"/>
      <c r="AA82" s="279"/>
      <c r="AB82" s="279"/>
      <c r="AC82" s="279"/>
    </row>
    <row r="83" spans="1:68" ht="16.5" hidden="1" customHeight="1" x14ac:dyDescent="0.25">
      <c r="A83" s="323" t="s">
        <v>157</v>
      </c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71"/>
      <c r="AB83" s="271"/>
      <c r="AC83" s="271"/>
    </row>
    <row r="84" spans="1:68" ht="14.25" hidden="1" customHeight="1" x14ac:dyDescent="0.25">
      <c r="A84" s="301" t="s">
        <v>158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72"/>
      <c r="AB84" s="272"/>
      <c r="AC84" s="272"/>
    </row>
    <row r="85" spans="1:68" ht="27" hidden="1" customHeight="1" x14ac:dyDescent="0.25">
      <c r="A85" s="54" t="s">
        <v>159</v>
      </c>
      <c r="B85" s="54" t="s">
        <v>160</v>
      </c>
      <c r="C85" s="31">
        <v>4301131047</v>
      </c>
      <c r="D85" s="288">
        <v>4607111034120</v>
      </c>
      <c r="E85" s="289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30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1"/>
      <c r="R85" s="281"/>
      <c r="S85" s="281"/>
      <c r="T85" s="282"/>
      <c r="U85" s="34"/>
      <c r="V85" s="34"/>
      <c r="W85" s="35" t="s">
        <v>68</v>
      </c>
      <c r="X85" s="276">
        <v>0</v>
      </c>
      <c r="Y85" s="277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hidden="1" customHeight="1" x14ac:dyDescent="0.25">
      <c r="A86" s="54" t="s">
        <v>162</v>
      </c>
      <c r="B86" s="54" t="s">
        <v>163</v>
      </c>
      <c r="C86" s="31">
        <v>4301131046</v>
      </c>
      <c r="D86" s="288">
        <v>4607111034137</v>
      </c>
      <c r="E86" s="289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45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1"/>
      <c r="R86" s="281"/>
      <c r="S86" s="281"/>
      <c r="T86" s="282"/>
      <c r="U86" s="34"/>
      <c r="V86" s="34"/>
      <c r="W86" s="35" t="s">
        <v>68</v>
      </c>
      <c r="X86" s="276">
        <v>0</v>
      </c>
      <c r="Y86" s="277">
        <f>IFERROR(IF(X86="","",X86),"")</f>
        <v>0</v>
      </c>
      <c r="Z86" s="36">
        <f>IFERROR(IF(X86="","",X86*0.01788),"")</f>
        <v>0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5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7"/>
      <c r="P87" s="298" t="s">
        <v>87</v>
      </c>
      <c r="Q87" s="299"/>
      <c r="R87" s="299"/>
      <c r="S87" s="299"/>
      <c r="T87" s="299"/>
      <c r="U87" s="299"/>
      <c r="V87" s="300"/>
      <c r="W87" s="37" t="s">
        <v>68</v>
      </c>
      <c r="X87" s="278">
        <f>IFERROR(SUM(X85:X86),"0")</f>
        <v>0</v>
      </c>
      <c r="Y87" s="278">
        <f>IFERROR(SUM(Y85:Y86),"0")</f>
        <v>0</v>
      </c>
      <c r="Z87" s="278">
        <f>IFERROR(IF(Z85="",0,Z85),"0")+IFERROR(IF(Z86="",0,Z86),"0")</f>
        <v>0</v>
      </c>
      <c r="AA87" s="279"/>
      <c r="AB87" s="279"/>
      <c r="AC87" s="279"/>
    </row>
    <row r="88" spans="1:68" hidden="1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7"/>
      <c r="P88" s="298" t="s">
        <v>87</v>
      </c>
      <c r="Q88" s="299"/>
      <c r="R88" s="299"/>
      <c r="S88" s="299"/>
      <c r="T88" s="299"/>
      <c r="U88" s="299"/>
      <c r="V88" s="300"/>
      <c r="W88" s="37" t="s">
        <v>88</v>
      </c>
      <c r="X88" s="278">
        <f>IFERROR(SUMPRODUCT(X85:X86*H85:H86),"0")</f>
        <v>0</v>
      </c>
      <c r="Y88" s="278">
        <f>IFERROR(SUMPRODUCT(Y85:Y86*H85:H86),"0")</f>
        <v>0</v>
      </c>
      <c r="Z88" s="37"/>
      <c r="AA88" s="279"/>
      <c r="AB88" s="279"/>
      <c r="AC88" s="279"/>
    </row>
    <row r="89" spans="1:68" ht="16.5" hidden="1" customHeight="1" x14ac:dyDescent="0.25">
      <c r="A89" s="323" t="s">
        <v>165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71"/>
      <c r="AB89" s="271"/>
      <c r="AC89" s="271"/>
    </row>
    <row r="90" spans="1:68" ht="14.25" hidden="1" customHeight="1" x14ac:dyDescent="0.25">
      <c r="A90" s="301" t="s">
        <v>153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8">
        <v>4620207491027</v>
      </c>
      <c r="E91" s="289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8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1"/>
      <c r="R91" s="281"/>
      <c r="S91" s="281"/>
      <c r="T91" s="282"/>
      <c r="U91" s="34"/>
      <c r="V91" s="34"/>
      <c r="W91" s="35" t="s">
        <v>68</v>
      </c>
      <c r="X91" s="276">
        <v>42</v>
      </c>
      <c r="Y91" s="277">
        <f t="shared" ref="Y91:Y96" si="6">IFERROR(IF(X91="","",X91),"")</f>
        <v>42</v>
      </c>
      <c r="Z91" s="36">
        <f t="shared" ref="Z91:Z96" si="7">IFERROR(IF(X91="","",X91*0.01788),"")</f>
        <v>0.75095999999999996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150.5112</v>
      </c>
      <c r="BN91" s="67">
        <f t="shared" ref="BN91:BN96" si="9">IFERROR(Y91*I91,"0")</f>
        <v>150.5112</v>
      </c>
      <c r="BO91" s="67">
        <f t="shared" ref="BO91:BO96" si="10">IFERROR(X91/J91,"0")</f>
        <v>0.6</v>
      </c>
      <c r="BP91" s="67">
        <f t="shared" ref="BP91:BP96" si="11">IFERROR(Y91/J91,"0")</f>
        <v>0.6</v>
      </c>
    </row>
    <row r="92" spans="1:68" ht="27" hidden="1" customHeight="1" x14ac:dyDescent="0.25">
      <c r="A92" s="54" t="s">
        <v>169</v>
      </c>
      <c r="B92" s="54" t="s">
        <v>170</v>
      </c>
      <c r="C92" s="31">
        <v>4301135914</v>
      </c>
      <c r="D92" s="288">
        <v>4620207491621</v>
      </c>
      <c r="E92" s="289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44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1"/>
      <c r="R92" s="281"/>
      <c r="S92" s="281"/>
      <c r="T92" s="282"/>
      <c r="U92" s="34"/>
      <c r="V92" s="34"/>
      <c r="W92" s="35" t="s">
        <v>68</v>
      </c>
      <c r="X92" s="276">
        <v>0</v>
      </c>
      <c r="Y92" s="277">
        <f t="shared" si="6"/>
        <v>0</v>
      </c>
      <c r="Z92" s="36">
        <f t="shared" si="7"/>
        <v>0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0</v>
      </c>
      <c r="BN92" s="67">
        <f t="shared" si="9"/>
        <v>0</v>
      </c>
      <c r="BO92" s="67">
        <f t="shared" si="10"/>
        <v>0</v>
      </c>
      <c r="BP92" s="67">
        <f t="shared" si="11"/>
        <v>0</v>
      </c>
    </row>
    <row r="93" spans="1:68" ht="27" customHeight="1" x14ac:dyDescent="0.25">
      <c r="A93" s="54" t="s">
        <v>172</v>
      </c>
      <c r="B93" s="54" t="s">
        <v>173</v>
      </c>
      <c r="C93" s="31">
        <v>4301135990</v>
      </c>
      <c r="D93" s="288">
        <v>4620207491881</v>
      </c>
      <c r="E93" s="289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355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1"/>
      <c r="R93" s="281"/>
      <c r="S93" s="281"/>
      <c r="T93" s="282"/>
      <c r="U93" s="34"/>
      <c r="V93" s="34"/>
      <c r="W93" s="35" t="s">
        <v>68</v>
      </c>
      <c r="X93" s="276">
        <v>42</v>
      </c>
      <c r="Y93" s="277">
        <f t="shared" si="6"/>
        <v>42</v>
      </c>
      <c r="Z93" s="36">
        <f t="shared" si="7"/>
        <v>0.75095999999999996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150.5112</v>
      </c>
      <c r="BN93" s="67">
        <f t="shared" si="9"/>
        <v>150.5112</v>
      </c>
      <c r="BO93" s="67">
        <f t="shared" si="10"/>
        <v>0.6</v>
      </c>
      <c r="BP93" s="67">
        <f t="shared" si="11"/>
        <v>0.6</v>
      </c>
    </row>
    <row r="94" spans="1:68" ht="27" customHeight="1" x14ac:dyDescent="0.25">
      <c r="A94" s="54" t="s">
        <v>174</v>
      </c>
      <c r="B94" s="54" t="s">
        <v>175</v>
      </c>
      <c r="C94" s="31">
        <v>4301135920</v>
      </c>
      <c r="D94" s="288">
        <v>4620207491577</v>
      </c>
      <c r="E94" s="289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44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1"/>
      <c r="R94" s="281"/>
      <c r="S94" s="281"/>
      <c r="T94" s="282"/>
      <c r="U94" s="34"/>
      <c r="V94" s="34"/>
      <c r="W94" s="35" t="s">
        <v>68</v>
      </c>
      <c r="X94" s="276">
        <v>14</v>
      </c>
      <c r="Y94" s="277">
        <f t="shared" si="6"/>
        <v>14</v>
      </c>
      <c r="Z94" s="36">
        <f t="shared" si="7"/>
        <v>0.25031999999999999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customHeight="1" x14ac:dyDescent="0.25">
      <c r="A95" s="54" t="s">
        <v>176</v>
      </c>
      <c r="B95" s="54" t="s">
        <v>177</v>
      </c>
      <c r="C95" s="31">
        <v>4301135984</v>
      </c>
      <c r="D95" s="288">
        <v>4620207491874</v>
      </c>
      <c r="E95" s="289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46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1"/>
      <c r="R95" s="281"/>
      <c r="S95" s="281"/>
      <c r="T95" s="282"/>
      <c r="U95" s="34"/>
      <c r="V95" s="34"/>
      <c r="W95" s="35" t="s">
        <v>68</v>
      </c>
      <c r="X95" s="276">
        <v>42</v>
      </c>
      <c r="Y95" s="277">
        <f t="shared" si="6"/>
        <v>42</v>
      </c>
      <c r="Z95" s="36">
        <f t="shared" si="7"/>
        <v>0.75095999999999996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186.84960000000001</v>
      </c>
      <c r="BN95" s="67">
        <f t="shared" si="9"/>
        <v>186.84960000000001</v>
      </c>
      <c r="BO95" s="67">
        <f t="shared" si="10"/>
        <v>0.6</v>
      </c>
      <c r="BP95" s="67">
        <f t="shared" si="11"/>
        <v>0.6</v>
      </c>
    </row>
    <row r="96" spans="1:68" ht="27" hidden="1" customHeight="1" x14ac:dyDescent="0.25">
      <c r="A96" s="54" t="s">
        <v>178</v>
      </c>
      <c r="B96" s="54" t="s">
        <v>179</v>
      </c>
      <c r="C96" s="31">
        <v>4301137008</v>
      </c>
      <c r="D96" s="288">
        <v>4620207491782</v>
      </c>
      <c r="E96" s="289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7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1"/>
      <c r="R96" s="281"/>
      <c r="S96" s="281"/>
      <c r="T96" s="282"/>
      <c r="U96" s="34"/>
      <c r="V96" s="34"/>
      <c r="W96" s="35" t="s">
        <v>68</v>
      </c>
      <c r="X96" s="276">
        <v>0</v>
      </c>
      <c r="Y96" s="277">
        <f t="shared" si="6"/>
        <v>0</v>
      </c>
      <c r="Z96" s="36">
        <f t="shared" si="7"/>
        <v>0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285"/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7"/>
      <c r="P97" s="298" t="s">
        <v>87</v>
      </c>
      <c r="Q97" s="299"/>
      <c r="R97" s="299"/>
      <c r="S97" s="299"/>
      <c r="T97" s="299"/>
      <c r="U97" s="299"/>
      <c r="V97" s="300"/>
      <c r="W97" s="37" t="s">
        <v>68</v>
      </c>
      <c r="X97" s="278">
        <f>IFERROR(SUM(X91:X96),"0")</f>
        <v>140</v>
      </c>
      <c r="Y97" s="278">
        <f>IFERROR(SUM(Y91:Y96),"0")</f>
        <v>140</v>
      </c>
      <c r="Z97" s="278">
        <f>IFERROR(IF(Z91="",0,Z91),"0")+IFERROR(IF(Z92="",0,Z92),"0")+IFERROR(IF(Z93="",0,Z93),"0")+IFERROR(IF(Z94="",0,Z94),"0")+IFERROR(IF(Z95="",0,Z95),"0")+IFERROR(IF(Z96="",0,Z96),"0")</f>
        <v>2.5032000000000001</v>
      </c>
      <c r="AA97" s="279"/>
      <c r="AB97" s="279"/>
      <c r="AC97" s="279"/>
    </row>
    <row r="98" spans="1:68" x14ac:dyDescent="0.2">
      <c r="A98" s="286"/>
      <c r="B98" s="286"/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O98" s="287"/>
      <c r="P98" s="298" t="s">
        <v>87</v>
      </c>
      <c r="Q98" s="299"/>
      <c r="R98" s="299"/>
      <c r="S98" s="299"/>
      <c r="T98" s="299"/>
      <c r="U98" s="299"/>
      <c r="V98" s="300"/>
      <c r="W98" s="37" t="s">
        <v>88</v>
      </c>
      <c r="X98" s="278">
        <f>IFERROR(SUMPRODUCT(X91:X96*H91:H96),"0")</f>
        <v>443.52</v>
      </c>
      <c r="Y98" s="278">
        <f>IFERROR(SUMPRODUCT(Y91:Y96*H91:H96),"0")</f>
        <v>443.52</v>
      </c>
      <c r="Z98" s="37"/>
      <c r="AA98" s="279"/>
      <c r="AB98" s="279"/>
      <c r="AC98" s="279"/>
    </row>
    <row r="99" spans="1:68" ht="16.5" hidden="1" customHeight="1" x14ac:dyDescent="0.25">
      <c r="A99" s="323" t="s">
        <v>180</v>
      </c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71"/>
      <c r="AB99" s="271"/>
      <c r="AC99" s="271"/>
    </row>
    <row r="100" spans="1:68" ht="14.25" hidden="1" customHeight="1" x14ac:dyDescent="0.25">
      <c r="A100" s="301" t="s">
        <v>181</v>
      </c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72"/>
      <c r="AB100" s="272"/>
      <c r="AC100" s="272"/>
    </row>
    <row r="101" spans="1:68" ht="27" hidden="1" customHeight="1" x14ac:dyDescent="0.25">
      <c r="A101" s="54" t="s">
        <v>182</v>
      </c>
      <c r="B101" s="54" t="s">
        <v>183</v>
      </c>
      <c r="C101" s="31">
        <v>4301136101</v>
      </c>
      <c r="D101" s="288">
        <v>4620207491652</v>
      </c>
      <c r="E101" s="289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37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1"/>
      <c r="R101" s="281"/>
      <c r="S101" s="281"/>
      <c r="T101" s="282"/>
      <c r="U101" s="34"/>
      <c r="V101" s="34"/>
      <c r="W101" s="35" t="s">
        <v>68</v>
      </c>
      <c r="X101" s="276">
        <v>0</v>
      </c>
      <c r="Y101" s="277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8">
        <v>4620207491645</v>
      </c>
      <c r="E102" s="289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3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1"/>
      <c r="R102" s="281"/>
      <c r="S102" s="281"/>
      <c r="T102" s="282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285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7"/>
      <c r="P103" s="298" t="s">
        <v>87</v>
      </c>
      <c r="Q103" s="299"/>
      <c r="R103" s="299"/>
      <c r="S103" s="299"/>
      <c r="T103" s="299"/>
      <c r="U103" s="299"/>
      <c r="V103" s="300"/>
      <c r="W103" s="37" t="s">
        <v>68</v>
      </c>
      <c r="X103" s="278">
        <f>IFERROR(SUM(X101:X102),"0")</f>
        <v>0</v>
      </c>
      <c r="Y103" s="278">
        <f>IFERROR(SUM(Y101:Y102),"0")</f>
        <v>0</v>
      </c>
      <c r="Z103" s="278">
        <f>IFERROR(IF(Z101="",0,Z101),"0")+IFERROR(IF(Z102="",0,Z102),"0")</f>
        <v>0</v>
      </c>
      <c r="AA103" s="279"/>
      <c r="AB103" s="279"/>
      <c r="AC103" s="279"/>
    </row>
    <row r="104" spans="1:68" hidden="1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7"/>
      <c r="P104" s="298" t="s">
        <v>87</v>
      </c>
      <c r="Q104" s="299"/>
      <c r="R104" s="299"/>
      <c r="S104" s="299"/>
      <c r="T104" s="299"/>
      <c r="U104" s="299"/>
      <c r="V104" s="300"/>
      <c r="W104" s="37" t="s">
        <v>88</v>
      </c>
      <c r="X104" s="278">
        <f>IFERROR(SUMPRODUCT(X101:X102*H101:H102),"0")</f>
        <v>0</v>
      </c>
      <c r="Y104" s="278">
        <f>IFERROR(SUMPRODUCT(Y101:Y102*H101:H102),"0")</f>
        <v>0</v>
      </c>
      <c r="Z104" s="37"/>
      <c r="AA104" s="279"/>
      <c r="AB104" s="279"/>
      <c r="AC104" s="279"/>
    </row>
    <row r="105" spans="1:68" ht="16.5" hidden="1" customHeight="1" x14ac:dyDescent="0.25">
      <c r="A105" s="323" t="s">
        <v>187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71"/>
      <c r="AB105" s="271"/>
      <c r="AC105" s="271"/>
    </row>
    <row r="106" spans="1:68" ht="14.25" hidden="1" customHeight="1" x14ac:dyDescent="0.25">
      <c r="A106" s="301" t="s">
        <v>62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72"/>
      <c r="AB106" s="272"/>
      <c r="AC106" s="272"/>
    </row>
    <row r="107" spans="1:68" ht="27" hidden="1" customHeight="1" x14ac:dyDescent="0.25">
      <c r="A107" s="54" t="s">
        <v>188</v>
      </c>
      <c r="B107" s="54" t="s">
        <v>189</v>
      </c>
      <c r="C107" s="31">
        <v>4301071074</v>
      </c>
      <c r="D107" s="288">
        <v>4620207491157</v>
      </c>
      <c r="E107" s="289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37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1"/>
      <c r="R107" s="281"/>
      <c r="S107" s="281"/>
      <c r="T107" s="282"/>
      <c r="U107" s="34"/>
      <c r="V107" s="34"/>
      <c r="W107" s="35" t="s">
        <v>68</v>
      </c>
      <c r="X107" s="276">
        <v>0</v>
      </c>
      <c r="Y107" s="277">
        <f t="shared" ref="Y107:Y113" si="12">IFERROR(IF(X107="","",X107),"")</f>
        <v>0</v>
      </c>
      <c r="Z107" s="36">
        <f t="shared" ref="Z107:Z113" si="13">IFERROR(IF(X107="","",X107*0.0155),"")</f>
        <v>0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0</v>
      </c>
      <c r="BN107" s="67">
        <f t="shared" ref="BN107:BN113" si="15">IFERROR(Y107*I107,"0")</f>
        <v>0</v>
      </c>
      <c r="BO107" s="67">
        <f t="shared" ref="BO107:BO113" si="16">IFERROR(X107/J107,"0")</f>
        <v>0</v>
      </c>
      <c r="BP107" s="67">
        <f t="shared" ref="BP107:BP113" si="17">IFERROR(Y107/J107,"0")</f>
        <v>0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8">
        <v>4620207491393</v>
      </c>
      <c r="E108" s="289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37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1"/>
      <c r="R108" s="281"/>
      <c r="S108" s="281"/>
      <c r="T108" s="282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194</v>
      </c>
      <c r="B109" s="54" t="s">
        <v>195</v>
      </c>
      <c r="C109" s="31">
        <v>4301071051</v>
      </c>
      <c r="D109" s="288">
        <v>4607111039262</v>
      </c>
      <c r="E109" s="289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37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1"/>
      <c r="R109" s="281"/>
      <c r="S109" s="281"/>
      <c r="T109" s="282"/>
      <c r="U109" s="34"/>
      <c r="V109" s="34"/>
      <c r="W109" s="35" t="s">
        <v>68</v>
      </c>
      <c r="X109" s="276">
        <v>0</v>
      </c>
      <c r="Y109" s="277">
        <f t="shared" si="12"/>
        <v>0</v>
      </c>
      <c r="Z109" s="36">
        <f t="shared" si="13"/>
        <v>0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196</v>
      </c>
      <c r="B110" s="54" t="s">
        <v>197</v>
      </c>
      <c r="C110" s="31">
        <v>4301071038</v>
      </c>
      <c r="D110" s="288">
        <v>4607111039248</v>
      </c>
      <c r="E110" s="289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1"/>
      <c r="R110" s="281"/>
      <c r="S110" s="281"/>
      <c r="T110" s="282"/>
      <c r="U110" s="34"/>
      <c r="V110" s="34"/>
      <c r="W110" s="35" t="s">
        <v>68</v>
      </c>
      <c r="X110" s="276">
        <v>84</v>
      </c>
      <c r="Y110" s="277">
        <f t="shared" si="12"/>
        <v>84</v>
      </c>
      <c r="Z110" s="36">
        <f t="shared" si="13"/>
        <v>1.302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613.19999999999993</v>
      </c>
      <c r="BN110" s="67">
        <f t="shared" si="15"/>
        <v>613.19999999999993</v>
      </c>
      <c r="BO110" s="67">
        <f t="shared" si="16"/>
        <v>1</v>
      </c>
      <c r="BP110" s="67">
        <f t="shared" si="17"/>
        <v>1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8">
        <v>4607111037145</v>
      </c>
      <c r="E111" s="289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36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1"/>
      <c r="R111" s="281"/>
      <c r="S111" s="281"/>
      <c r="T111" s="282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201</v>
      </c>
      <c r="B112" s="54" t="s">
        <v>202</v>
      </c>
      <c r="C112" s="31">
        <v>4301071139</v>
      </c>
      <c r="D112" s="288">
        <v>4607111039293</v>
      </c>
      <c r="E112" s="289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342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1"/>
      <c r="R112" s="281"/>
      <c r="S112" s="281"/>
      <c r="T112" s="282"/>
      <c r="U112" s="34"/>
      <c r="V112" s="34"/>
      <c r="W112" s="35" t="s">
        <v>68</v>
      </c>
      <c r="X112" s="276">
        <v>48</v>
      </c>
      <c r="Y112" s="277">
        <f t="shared" si="12"/>
        <v>48</v>
      </c>
      <c r="Z112" s="36">
        <f t="shared" si="13"/>
        <v>0.74399999999999999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322.54079999999999</v>
      </c>
      <c r="BN112" s="67">
        <f t="shared" si="15"/>
        <v>322.54079999999999</v>
      </c>
      <c r="BO112" s="67">
        <f t="shared" si="16"/>
        <v>0.5714285714285714</v>
      </c>
      <c r="BP112" s="67">
        <f t="shared" si="17"/>
        <v>0.5714285714285714</v>
      </c>
    </row>
    <row r="113" spans="1:68" ht="27" customHeight="1" x14ac:dyDescent="0.25">
      <c r="A113" s="54" t="s">
        <v>204</v>
      </c>
      <c r="B113" s="54" t="s">
        <v>205</v>
      </c>
      <c r="C113" s="31">
        <v>4301071138</v>
      </c>
      <c r="D113" s="288">
        <v>4607111039279</v>
      </c>
      <c r="E113" s="289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19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1"/>
      <c r="R113" s="281"/>
      <c r="S113" s="281"/>
      <c r="T113" s="282"/>
      <c r="U113" s="34"/>
      <c r="V113" s="34"/>
      <c r="W113" s="35" t="s">
        <v>68</v>
      </c>
      <c r="X113" s="276">
        <v>84</v>
      </c>
      <c r="Y113" s="277">
        <f t="shared" si="12"/>
        <v>84</v>
      </c>
      <c r="Z113" s="36">
        <f t="shared" si="13"/>
        <v>1.302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613.19999999999993</v>
      </c>
      <c r="BN113" s="67">
        <f t="shared" si="15"/>
        <v>613.19999999999993</v>
      </c>
      <c r="BO113" s="67">
        <f t="shared" si="16"/>
        <v>1</v>
      </c>
      <c r="BP113" s="67">
        <f t="shared" si="17"/>
        <v>1</v>
      </c>
    </row>
    <row r="114" spans="1:68" x14ac:dyDescent="0.2">
      <c r="A114" s="285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7"/>
      <c r="P114" s="298" t="s">
        <v>87</v>
      </c>
      <c r="Q114" s="299"/>
      <c r="R114" s="299"/>
      <c r="S114" s="299"/>
      <c r="T114" s="299"/>
      <c r="U114" s="299"/>
      <c r="V114" s="300"/>
      <c r="W114" s="37" t="s">
        <v>68</v>
      </c>
      <c r="X114" s="278">
        <f>IFERROR(SUM(X107:X113),"0")</f>
        <v>216</v>
      </c>
      <c r="Y114" s="278">
        <f>IFERROR(SUM(Y107:Y113),"0")</f>
        <v>216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3.3480000000000003</v>
      </c>
      <c r="AA114" s="279"/>
      <c r="AB114" s="279"/>
      <c r="AC114" s="279"/>
    </row>
    <row r="115" spans="1:68" x14ac:dyDescent="0.2">
      <c r="A115" s="28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7"/>
      <c r="P115" s="298" t="s">
        <v>87</v>
      </c>
      <c r="Q115" s="299"/>
      <c r="R115" s="299"/>
      <c r="S115" s="299"/>
      <c r="T115" s="299"/>
      <c r="U115" s="299"/>
      <c r="V115" s="300"/>
      <c r="W115" s="37" t="s">
        <v>88</v>
      </c>
      <c r="X115" s="278">
        <f>IFERROR(SUMPRODUCT(X107:X113*H107:H113),"0")</f>
        <v>1483.2</v>
      </c>
      <c r="Y115" s="278">
        <f>IFERROR(SUMPRODUCT(Y107:Y113*H107:H113),"0")</f>
        <v>1483.2</v>
      </c>
      <c r="Z115" s="37"/>
      <c r="AA115" s="279"/>
      <c r="AB115" s="279"/>
      <c r="AC115" s="279"/>
    </row>
    <row r="116" spans="1:68" ht="14.25" hidden="1" customHeight="1" x14ac:dyDescent="0.25">
      <c r="A116" s="301" t="s">
        <v>153</v>
      </c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72"/>
      <c r="AB116" s="272"/>
      <c r="AC116" s="272"/>
    </row>
    <row r="117" spans="1:68" ht="27" hidden="1" customHeight="1" x14ac:dyDescent="0.25">
      <c r="A117" s="54" t="s">
        <v>206</v>
      </c>
      <c r="B117" s="54" t="s">
        <v>207</v>
      </c>
      <c r="C117" s="31">
        <v>4301135826</v>
      </c>
      <c r="D117" s="288">
        <v>4620207490983</v>
      </c>
      <c r="E117" s="289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1"/>
      <c r="R117" s="281"/>
      <c r="S117" s="281"/>
      <c r="T117" s="282"/>
      <c r="U117" s="34"/>
      <c r="V117" s="34"/>
      <c r="W117" s="35" t="s">
        <v>68</v>
      </c>
      <c r="X117" s="276">
        <v>0</v>
      </c>
      <c r="Y117" s="277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5"/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7"/>
      <c r="P118" s="298" t="s">
        <v>87</v>
      </c>
      <c r="Q118" s="299"/>
      <c r="R118" s="299"/>
      <c r="S118" s="299"/>
      <c r="T118" s="299"/>
      <c r="U118" s="299"/>
      <c r="V118" s="300"/>
      <c r="W118" s="37" t="s">
        <v>68</v>
      </c>
      <c r="X118" s="278">
        <f>IFERROR(SUM(X117:X117),"0")</f>
        <v>0</v>
      </c>
      <c r="Y118" s="278">
        <f>IFERROR(SUM(Y117:Y117),"0")</f>
        <v>0</v>
      </c>
      <c r="Z118" s="278">
        <f>IFERROR(IF(Z117="",0,Z117),"0")</f>
        <v>0</v>
      </c>
      <c r="AA118" s="279"/>
      <c r="AB118" s="279"/>
      <c r="AC118" s="279"/>
    </row>
    <row r="119" spans="1:68" hidden="1" x14ac:dyDescent="0.2">
      <c r="A119" s="286"/>
      <c r="B119" s="286"/>
      <c r="C119" s="286"/>
      <c r="D119" s="286"/>
      <c r="E119" s="286"/>
      <c r="F119" s="286"/>
      <c r="G119" s="286"/>
      <c r="H119" s="286"/>
      <c r="I119" s="286"/>
      <c r="J119" s="286"/>
      <c r="K119" s="286"/>
      <c r="L119" s="286"/>
      <c r="M119" s="286"/>
      <c r="N119" s="286"/>
      <c r="O119" s="287"/>
      <c r="P119" s="298" t="s">
        <v>87</v>
      </c>
      <c r="Q119" s="299"/>
      <c r="R119" s="299"/>
      <c r="S119" s="299"/>
      <c r="T119" s="299"/>
      <c r="U119" s="299"/>
      <c r="V119" s="300"/>
      <c r="W119" s="37" t="s">
        <v>88</v>
      </c>
      <c r="X119" s="278">
        <f>IFERROR(SUMPRODUCT(X117:X117*H117:H117),"0")</f>
        <v>0</v>
      </c>
      <c r="Y119" s="278">
        <f>IFERROR(SUMPRODUCT(Y117:Y117*H117:H117),"0")</f>
        <v>0</v>
      </c>
      <c r="Z119" s="37"/>
      <c r="AA119" s="279"/>
      <c r="AB119" s="279"/>
      <c r="AC119" s="279"/>
    </row>
    <row r="120" spans="1:68" ht="14.25" hidden="1" customHeight="1" x14ac:dyDescent="0.25">
      <c r="A120" s="301" t="s">
        <v>209</v>
      </c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8">
        <v>4620207491140</v>
      </c>
      <c r="E121" s="289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3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1"/>
      <c r="R121" s="281"/>
      <c r="S121" s="281"/>
      <c r="T121" s="282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5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7"/>
      <c r="P122" s="298" t="s">
        <v>87</v>
      </c>
      <c r="Q122" s="299"/>
      <c r="R122" s="299"/>
      <c r="S122" s="299"/>
      <c r="T122" s="299"/>
      <c r="U122" s="299"/>
      <c r="V122" s="300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7"/>
      <c r="P123" s="298" t="s">
        <v>87</v>
      </c>
      <c r="Q123" s="299"/>
      <c r="R123" s="299"/>
      <c r="S123" s="299"/>
      <c r="T123" s="299"/>
      <c r="U123" s="299"/>
      <c r="V123" s="300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323" t="s">
        <v>213</v>
      </c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71"/>
      <c r="AB124" s="271"/>
      <c r="AC124" s="271"/>
    </row>
    <row r="125" spans="1:68" ht="14.25" hidden="1" customHeight="1" x14ac:dyDescent="0.25">
      <c r="A125" s="301" t="s">
        <v>62</v>
      </c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8">
        <v>4620207491904</v>
      </c>
      <c r="E126" s="289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309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1"/>
      <c r="R126" s="281"/>
      <c r="S126" s="281"/>
      <c r="T126" s="282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85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7"/>
      <c r="P127" s="298" t="s">
        <v>87</v>
      </c>
      <c r="Q127" s="299"/>
      <c r="R127" s="299"/>
      <c r="S127" s="299"/>
      <c r="T127" s="299"/>
      <c r="U127" s="299"/>
      <c r="V127" s="300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6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7"/>
      <c r="P128" s="298" t="s">
        <v>87</v>
      </c>
      <c r="Q128" s="299"/>
      <c r="R128" s="299"/>
      <c r="S128" s="299"/>
      <c r="T128" s="299"/>
      <c r="U128" s="299"/>
      <c r="V128" s="300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01" t="s">
        <v>153</v>
      </c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72"/>
      <c r="AB129" s="272"/>
      <c r="AC129" s="272"/>
    </row>
    <row r="130" spans="1:68" ht="27" hidden="1" customHeight="1" x14ac:dyDescent="0.25">
      <c r="A130" s="54" t="s">
        <v>217</v>
      </c>
      <c r="B130" s="54" t="s">
        <v>218</v>
      </c>
      <c r="C130" s="31">
        <v>4301135850</v>
      </c>
      <c r="D130" s="288">
        <v>4620207491492</v>
      </c>
      <c r="E130" s="289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35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1"/>
      <c r="R130" s="281"/>
      <c r="S130" s="281"/>
      <c r="T130" s="282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220</v>
      </c>
      <c r="B131" s="54" t="s">
        <v>221</v>
      </c>
      <c r="C131" s="31">
        <v>4301190118</v>
      </c>
      <c r="D131" s="288">
        <v>4620207491461</v>
      </c>
      <c r="E131" s="289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42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1"/>
      <c r="R131" s="281"/>
      <c r="S131" s="281"/>
      <c r="T131" s="282"/>
      <c r="U131" s="34"/>
      <c r="V131" s="34"/>
      <c r="W131" s="35" t="s">
        <v>68</v>
      </c>
      <c r="X131" s="276">
        <v>56</v>
      </c>
      <c r="Y131" s="277">
        <f>IFERROR(IF(X131="","",X131),"")</f>
        <v>56</v>
      </c>
      <c r="Z131" s="36">
        <f>IFERROR(IF(X131="","",X131*0.00941),"")</f>
        <v>0.52695999999999998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97.44</v>
      </c>
      <c r="BN131" s="67">
        <f>IFERROR(Y131*I131,"0")</f>
        <v>97.44</v>
      </c>
      <c r="BO131" s="67">
        <f>IFERROR(X131/J131,"0")</f>
        <v>0.4</v>
      </c>
      <c r="BP131" s="67">
        <f>IFERROR(Y131/J131,"0")</f>
        <v>0.4</v>
      </c>
    </row>
    <row r="132" spans="1:68" ht="27" customHeight="1" x14ac:dyDescent="0.25">
      <c r="A132" s="54" t="s">
        <v>222</v>
      </c>
      <c r="B132" s="54" t="s">
        <v>223</v>
      </c>
      <c r="C132" s="31">
        <v>4301135865</v>
      </c>
      <c r="D132" s="288">
        <v>4620207491485</v>
      </c>
      <c r="E132" s="289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40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1"/>
      <c r="R132" s="281"/>
      <c r="S132" s="281"/>
      <c r="T132" s="282"/>
      <c r="U132" s="34"/>
      <c r="V132" s="34"/>
      <c r="W132" s="35" t="s">
        <v>68</v>
      </c>
      <c r="X132" s="276">
        <v>14</v>
      </c>
      <c r="Y132" s="277">
        <f>IFERROR(IF(X132="","",X132),"")</f>
        <v>14</v>
      </c>
      <c r="Z132" s="36">
        <f>IFERROR(IF(X132="","",X132*0.00941),"")</f>
        <v>0.13174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224</v>
      </c>
      <c r="B133" s="54" t="s">
        <v>225</v>
      </c>
      <c r="C133" s="31">
        <v>4301135848</v>
      </c>
      <c r="D133" s="288">
        <v>4620207491799</v>
      </c>
      <c r="E133" s="289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32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1"/>
      <c r="R133" s="281"/>
      <c r="S133" s="281"/>
      <c r="T133" s="282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85"/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7"/>
      <c r="P134" s="298" t="s">
        <v>87</v>
      </c>
      <c r="Q134" s="299"/>
      <c r="R134" s="299"/>
      <c r="S134" s="299"/>
      <c r="T134" s="299"/>
      <c r="U134" s="299"/>
      <c r="V134" s="300"/>
      <c r="W134" s="37" t="s">
        <v>68</v>
      </c>
      <c r="X134" s="278">
        <f>IFERROR(SUM(X130:X133),"0")</f>
        <v>70</v>
      </c>
      <c r="Y134" s="278">
        <f>IFERROR(SUM(Y130:Y133),"0")</f>
        <v>70</v>
      </c>
      <c r="Z134" s="278">
        <f>IFERROR(IF(Z130="",0,Z130),"0")+IFERROR(IF(Z131="",0,Z131),"0")+IFERROR(IF(Z132="",0,Z132),"0")+IFERROR(IF(Z133="",0,Z133),"0")</f>
        <v>0.65869999999999995</v>
      </c>
      <c r="AA134" s="279"/>
      <c r="AB134" s="279"/>
      <c r="AC134" s="279"/>
    </row>
    <row r="135" spans="1:68" x14ac:dyDescent="0.2">
      <c r="A135" s="286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7"/>
      <c r="P135" s="298" t="s">
        <v>87</v>
      </c>
      <c r="Q135" s="299"/>
      <c r="R135" s="299"/>
      <c r="S135" s="299"/>
      <c r="T135" s="299"/>
      <c r="U135" s="299"/>
      <c r="V135" s="300"/>
      <c r="W135" s="37" t="s">
        <v>88</v>
      </c>
      <c r="X135" s="278">
        <f>IFERROR(SUMPRODUCT(X130:X133*H130:H133),"0")</f>
        <v>93.240000000000009</v>
      </c>
      <c r="Y135" s="278">
        <f>IFERROR(SUMPRODUCT(Y130:Y133*H130:H133),"0")</f>
        <v>93.240000000000009</v>
      </c>
      <c r="Z135" s="37"/>
      <c r="AA135" s="279"/>
      <c r="AB135" s="279"/>
      <c r="AC135" s="279"/>
    </row>
    <row r="136" spans="1:68" ht="14.25" hidden="1" customHeight="1" x14ac:dyDescent="0.25">
      <c r="A136" s="301" t="s">
        <v>226</v>
      </c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8">
        <v>4620207491386</v>
      </c>
      <c r="E137" s="289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40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1"/>
      <c r="R137" s="281"/>
      <c r="S137" s="281"/>
      <c r="T137" s="282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8">
        <v>4620207491362</v>
      </c>
      <c r="E138" s="289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43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1"/>
      <c r="R138" s="281"/>
      <c r="S138" s="281"/>
      <c r="T138" s="282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8">
        <v>4620207491379</v>
      </c>
      <c r="E139" s="289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34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1"/>
      <c r="R139" s="281"/>
      <c r="S139" s="281"/>
      <c r="T139" s="282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5"/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7"/>
      <c r="P140" s="298" t="s">
        <v>87</v>
      </c>
      <c r="Q140" s="299"/>
      <c r="R140" s="299"/>
      <c r="S140" s="299"/>
      <c r="T140" s="299"/>
      <c r="U140" s="299"/>
      <c r="V140" s="300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6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7"/>
      <c r="P141" s="298" t="s">
        <v>87</v>
      </c>
      <c r="Q141" s="299"/>
      <c r="R141" s="299"/>
      <c r="S141" s="299"/>
      <c r="T141" s="299"/>
      <c r="U141" s="299"/>
      <c r="V141" s="300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323" t="s">
        <v>234</v>
      </c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71"/>
      <c r="AB142" s="271"/>
      <c r="AC142" s="271"/>
    </row>
    <row r="143" spans="1:68" ht="14.25" hidden="1" customHeight="1" x14ac:dyDescent="0.25">
      <c r="A143" s="301" t="s">
        <v>153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72"/>
      <c r="AB143" s="272"/>
      <c r="AC143" s="272"/>
    </row>
    <row r="144" spans="1:68" ht="27" customHeight="1" x14ac:dyDescent="0.25">
      <c r="A144" s="54" t="s">
        <v>235</v>
      </c>
      <c r="B144" s="54" t="s">
        <v>236</v>
      </c>
      <c r="C144" s="31">
        <v>4301135956</v>
      </c>
      <c r="D144" s="288">
        <v>4620207491560</v>
      </c>
      <c r="E144" s="289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46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1"/>
      <c r="R144" s="281"/>
      <c r="S144" s="281"/>
      <c r="T144" s="282"/>
      <c r="U144" s="34"/>
      <c r="V144" s="34"/>
      <c r="W144" s="35" t="s">
        <v>68</v>
      </c>
      <c r="X144" s="276">
        <v>28</v>
      </c>
      <c r="Y144" s="277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103.70079999999999</v>
      </c>
      <c r="BN144" s="67">
        <f>IFERROR(Y144*I144,"0")</f>
        <v>103.70079999999999</v>
      </c>
      <c r="BO144" s="67">
        <f>IFERROR(X144/J144,"0")</f>
        <v>0.4</v>
      </c>
      <c r="BP144" s="67">
        <f>IFERROR(Y144/J144,"0")</f>
        <v>0.4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8">
        <v>4620207491584</v>
      </c>
      <c r="E145" s="289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460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1"/>
      <c r="R145" s="281"/>
      <c r="S145" s="281"/>
      <c r="T145" s="282"/>
      <c r="U145" s="34"/>
      <c r="V145" s="34"/>
      <c r="W145" s="35" t="s">
        <v>68</v>
      </c>
      <c r="X145" s="276">
        <v>28</v>
      </c>
      <c r="Y145" s="277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103.70079999999999</v>
      </c>
      <c r="BN145" s="67">
        <f>IFERROR(Y145*I145,"0")</f>
        <v>103.70079999999999</v>
      </c>
      <c r="BO145" s="67">
        <f>IFERROR(X145/J145,"0")</f>
        <v>0.4</v>
      </c>
      <c r="BP145" s="67">
        <f>IFERROR(Y145/J145,"0")</f>
        <v>0.4</v>
      </c>
    </row>
    <row r="146" spans="1:68" x14ac:dyDescent="0.2">
      <c r="A146" s="285"/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7"/>
      <c r="P146" s="298" t="s">
        <v>87</v>
      </c>
      <c r="Q146" s="299"/>
      <c r="R146" s="299"/>
      <c r="S146" s="299"/>
      <c r="T146" s="299"/>
      <c r="U146" s="299"/>
      <c r="V146" s="300"/>
      <c r="W146" s="37" t="s">
        <v>68</v>
      </c>
      <c r="X146" s="278">
        <f>IFERROR(SUM(X144:X145),"0")</f>
        <v>56</v>
      </c>
      <c r="Y146" s="278">
        <f>IFERROR(SUM(Y144:Y145),"0")</f>
        <v>56</v>
      </c>
      <c r="Z146" s="278">
        <f>IFERROR(IF(Z144="",0,Z144),"0")+IFERROR(IF(Z145="",0,Z145),"0")</f>
        <v>1.0012799999999999</v>
      </c>
      <c r="AA146" s="279"/>
      <c r="AB146" s="279"/>
      <c r="AC146" s="279"/>
    </row>
    <row r="147" spans="1:68" x14ac:dyDescent="0.2">
      <c r="A147" s="286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7"/>
      <c r="P147" s="298" t="s">
        <v>87</v>
      </c>
      <c r="Q147" s="299"/>
      <c r="R147" s="299"/>
      <c r="S147" s="299"/>
      <c r="T147" s="299"/>
      <c r="U147" s="299"/>
      <c r="V147" s="300"/>
      <c r="W147" s="37" t="s">
        <v>88</v>
      </c>
      <c r="X147" s="278">
        <f>IFERROR(SUMPRODUCT(X144:X145*H144:H145),"0")</f>
        <v>168</v>
      </c>
      <c r="Y147" s="278">
        <f>IFERROR(SUMPRODUCT(Y144:Y145*H144:H145),"0")</f>
        <v>168</v>
      </c>
      <c r="Z147" s="37"/>
      <c r="AA147" s="279"/>
      <c r="AB147" s="279"/>
      <c r="AC147" s="279"/>
    </row>
    <row r="148" spans="1:68" ht="16.5" hidden="1" customHeight="1" x14ac:dyDescent="0.25">
      <c r="A148" s="323" t="s">
        <v>240</v>
      </c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71"/>
      <c r="AB148" s="271"/>
      <c r="AC148" s="271"/>
    </row>
    <row r="149" spans="1:68" ht="14.25" hidden="1" customHeight="1" x14ac:dyDescent="0.25">
      <c r="A149" s="301" t="s">
        <v>153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72"/>
      <c r="AB149" s="272"/>
      <c r="AC149" s="272"/>
    </row>
    <row r="150" spans="1:68" ht="27" customHeight="1" x14ac:dyDescent="0.25">
      <c r="A150" s="54" t="s">
        <v>241</v>
      </c>
      <c r="B150" s="54" t="s">
        <v>242</v>
      </c>
      <c r="C150" s="31">
        <v>4301135954</v>
      </c>
      <c r="D150" s="288">
        <v>4620207491768</v>
      </c>
      <c r="E150" s="289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44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1"/>
      <c r="R150" s="281"/>
      <c r="S150" s="281"/>
      <c r="T150" s="282"/>
      <c r="U150" s="34"/>
      <c r="V150" s="34"/>
      <c r="W150" s="35" t="s">
        <v>68</v>
      </c>
      <c r="X150" s="276">
        <v>14</v>
      </c>
      <c r="Y150" s="277">
        <f>IFERROR(IF(X150="","",X150),"")</f>
        <v>14</v>
      </c>
      <c r="Z150" s="36">
        <f>IFERROR(IF(X150="","",X150*0.01788),"")</f>
        <v>0.25031999999999999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52.472000000000001</v>
      </c>
      <c r="BN150" s="67">
        <f>IFERROR(Y150*I150,"0")</f>
        <v>52.472000000000001</v>
      </c>
      <c r="BO150" s="67">
        <f>IFERROR(X150/J150,"0")</f>
        <v>0.2</v>
      </c>
      <c r="BP150" s="67">
        <f>IFERROR(Y150/J150,"0")</f>
        <v>0.2</v>
      </c>
    </row>
    <row r="151" spans="1:68" ht="16.5" customHeight="1" x14ac:dyDescent="0.25">
      <c r="A151" s="54" t="s">
        <v>244</v>
      </c>
      <c r="B151" s="54" t="s">
        <v>245</v>
      </c>
      <c r="C151" s="31">
        <v>4301135946</v>
      </c>
      <c r="D151" s="288">
        <v>4620207491553</v>
      </c>
      <c r="E151" s="289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30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1"/>
      <c r="R151" s="281"/>
      <c r="S151" s="281"/>
      <c r="T151" s="282"/>
      <c r="U151" s="34"/>
      <c r="V151" s="34"/>
      <c r="W151" s="35" t="s">
        <v>68</v>
      </c>
      <c r="X151" s="276">
        <v>42</v>
      </c>
      <c r="Y151" s="277">
        <f>IFERROR(IF(X151="","",X151),"")</f>
        <v>42</v>
      </c>
      <c r="Z151" s="36">
        <f>IFERROR(IF(X151="","",X151*0.01788),"")</f>
        <v>0.75095999999999996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155.55119999999999</v>
      </c>
      <c r="BN151" s="67">
        <f>IFERROR(Y151*I151,"0")</f>
        <v>155.55119999999999</v>
      </c>
      <c r="BO151" s="67">
        <f>IFERROR(X151/J151,"0")</f>
        <v>0.6</v>
      </c>
      <c r="BP151" s="67">
        <f>IFERROR(Y151/J151,"0")</f>
        <v>0.6</v>
      </c>
    </row>
    <row r="152" spans="1:68" x14ac:dyDescent="0.2">
      <c r="A152" s="285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7"/>
      <c r="P152" s="298" t="s">
        <v>87</v>
      </c>
      <c r="Q152" s="299"/>
      <c r="R152" s="299"/>
      <c r="S152" s="299"/>
      <c r="T152" s="299"/>
      <c r="U152" s="299"/>
      <c r="V152" s="300"/>
      <c r="W152" s="37" t="s">
        <v>68</v>
      </c>
      <c r="X152" s="278">
        <f>IFERROR(SUM(X150:X151),"0")</f>
        <v>56</v>
      </c>
      <c r="Y152" s="278">
        <f>IFERROR(SUM(Y150:Y151),"0")</f>
        <v>56</v>
      </c>
      <c r="Z152" s="278">
        <f>IFERROR(IF(Z150="",0,Z150),"0")+IFERROR(IF(Z151="",0,Z151),"0")</f>
        <v>1.0012799999999999</v>
      </c>
      <c r="AA152" s="279"/>
      <c r="AB152" s="279"/>
      <c r="AC152" s="27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7"/>
      <c r="P153" s="298" t="s">
        <v>87</v>
      </c>
      <c r="Q153" s="299"/>
      <c r="R153" s="299"/>
      <c r="S153" s="299"/>
      <c r="T153" s="299"/>
      <c r="U153" s="299"/>
      <c r="V153" s="300"/>
      <c r="W153" s="37" t="s">
        <v>88</v>
      </c>
      <c r="X153" s="278">
        <f>IFERROR(SUMPRODUCT(X150:X151*H150:H151),"0")</f>
        <v>168</v>
      </c>
      <c r="Y153" s="278">
        <f>IFERROR(SUMPRODUCT(Y150:Y151*H150:H151),"0")</f>
        <v>168</v>
      </c>
      <c r="Z153" s="37"/>
      <c r="AA153" s="279"/>
      <c r="AB153" s="279"/>
      <c r="AC153" s="279"/>
    </row>
    <row r="154" spans="1:68" ht="16.5" hidden="1" customHeight="1" x14ac:dyDescent="0.25">
      <c r="A154" s="323" t="s">
        <v>246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71"/>
      <c r="AB154" s="271"/>
      <c r="AC154" s="271"/>
    </row>
    <row r="155" spans="1:68" ht="14.25" hidden="1" customHeight="1" x14ac:dyDescent="0.25">
      <c r="A155" s="301" t="s">
        <v>153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8">
        <v>4620207491669</v>
      </c>
      <c r="E156" s="289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8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1"/>
      <c r="R156" s="281"/>
      <c r="S156" s="281"/>
      <c r="T156" s="282"/>
      <c r="U156" s="34"/>
      <c r="V156" s="34"/>
      <c r="W156" s="35" t="s">
        <v>68</v>
      </c>
      <c r="X156" s="276">
        <v>42</v>
      </c>
      <c r="Y156" s="277">
        <f>IFERROR(IF(X156="","",X156),"")</f>
        <v>42</v>
      </c>
      <c r="Z156" s="36">
        <f>IFERROR(IF(X156="","",X156*0.01788),"")</f>
        <v>0.75095999999999996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112.56</v>
      </c>
      <c r="BN156" s="67">
        <f>IFERROR(Y156*I156,"0")</f>
        <v>112.56</v>
      </c>
      <c r="BO156" s="67">
        <f>IFERROR(X156/J156,"0")</f>
        <v>0.6</v>
      </c>
      <c r="BP156" s="67">
        <f>IFERROR(Y156/J156,"0")</f>
        <v>0.6</v>
      </c>
    </row>
    <row r="157" spans="1:68" ht="27" customHeight="1" x14ac:dyDescent="0.25">
      <c r="A157" s="54" t="s">
        <v>250</v>
      </c>
      <c r="B157" s="54" t="s">
        <v>251</v>
      </c>
      <c r="C157" s="31">
        <v>4301135932</v>
      </c>
      <c r="D157" s="288">
        <v>4620207491676</v>
      </c>
      <c r="E157" s="289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45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1"/>
      <c r="R157" s="281"/>
      <c r="S157" s="281"/>
      <c r="T157" s="282"/>
      <c r="U157" s="34"/>
      <c r="V157" s="34"/>
      <c r="W157" s="35" t="s">
        <v>68</v>
      </c>
      <c r="X157" s="276">
        <v>14</v>
      </c>
      <c r="Y157" s="277">
        <f>IFERROR(IF(X157="","",X157),"")</f>
        <v>14</v>
      </c>
      <c r="Z157" s="36">
        <f>IFERROR(IF(X157="","",X157*0.01788),"")</f>
        <v>0.25031999999999999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37.520000000000003</v>
      </c>
      <c r="BN157" s="67">
        <f>IFERROR(Y157*I157,"0")</f>
        <v>37.520000000000003</v>
      </c>
      <c r="BO157" s="67">
        <f>IFERROR(X157/J157,"0")</f>
        <v>0.2</v>
      </c>
      <c r="BP157" s="67">
        <f>IFERROR(Y157/J157,"0")</f>
        <v>0.2</v>
      </c>
    </row>
    <row r="158" spans="1:68" x14ac:dyDescent="0.2">
      <c r="A158" s="285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7"/>
      <c r="P158" s="298" t="s">
        <v>87</v>
      </c>
      <c r="Q158" s="299"/>
      <c r="R158" s="299"/>
      <c r="S158" s="299"/>
      <c r="T158" s="299"/>
      <c r="U158" s="299"/>
      <c r="V158" s="300"/>
      <c r="W158" s="37" t="s">
        <v>68</v>
      </c>
      <c r="X158" s="278">
        <f>IFERROR(SUM(X156:X157),"0")</f>
        <v>56</v>
      </c>
      <c r="Y158" s="278">
        <f>IFERROR(SUM(Y156:Y157),"0")</f>
        <v>56</v>
      </c>
      <c r="Z158" s="278">
        <f>IFERROR(IF(Z156="",0,Z156),"0")+IFERROR(IF(Z157="",0,Z157),"0")</f>
        <v>1.0012799999999999</v>
      </c>
      <c r="AA158" s="279"/>
      <c r="AB158" s="279"/>
      <c r="AC158" s="279"/>
    </row>
    <row r="159" spans="1:68" x14ac:dyDescent="0.2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7"/>
      <c r="P159" s="298" t="s">
        <v>87</v>
      </c>
      <c r="Q159" s="299"/>
      <c r="R159" s="299"/>
      <c r="S159" s="299"/>
      <c r="T159" s="299"/>
      <c r="U159" s="299"/>
      <c r="V159" s="300"/>
      <c r="W159" s="37" t="s">
        <v>88</v>
      </c>
      <c r="X159" s="278">
        <f>IFERROR(SUMPRODUCT(X156:X157*H156:H157),"0")</f>
        <v>134.4</v>
      </c>
      <c r="Y159" s="278">
        <f>IFERROR(SUMPRODUCT(Y156:Y157*H156:H157),"0")</f>
        <v>134.4</v>
      </c>
      <c r="Z159" s="37"/>
      <c r="AA159" s="279"/>
      <c r="AB159" s="279"/>
      <c r="AC159" s="279"/>
    </row>
    <row r="160" spans="1:68" ht="16.5" hidden="1" customHeight="1" x14ac:dyDescent="0.25">
      <c r="A160" s="323" t="s">
        <v>252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71"/>
      <c r="AB160" s="271"/>
      <c r="AC160" s="271"/>
    </row>
    <row r="161" spans="1:68" ht="14.25" hidden="1" customHeight="1" x14ac:dyDescent="0.25">
      <c r="A161" s="301" t="s">
        <v>153</v>
      </c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72"/>
      <c r="AB161" s="272"/>
      <c r="AC161" s="272"/>
    </row>
    <row r="162" spans="1:68" ht="27" hidden="1" customHeight="1" x14ac:dyDescent="0.25">
      <c r="A162" s="54" t="s">
        <v>253</v>
      </c>
      <c r="B162" s="54" t="s">
        <v>254</v>
      </c>
      <c r="C162" s="31">
        <v>4301135940</v>
      </c>
      <c r="D162" s="288">
        <v>4620207491614</v>
      </c>
      <c r="E162" s="289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35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1"/>
      <c r="R162" s="281"/>
      <c r="S162" s="281"/>
      <c r="T162" s="282"/>
      <c r="U162" s="34"/>
      <c r="V162" s="34"/>
      <c r="W162" s="35" t="s">
        <v>68</v>
      </c>
      <c r="X162" s="276">
        <v>0</v>
      </c>
      <c r="Y162" s="277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5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7"/>
      <c r="P163" s="298" t="s">
        <v>87</v>
      </c>
      <c r="Q163" s="299"/>
      <c r="R163" s="299"/>
      <c r="S163" s="299"/>
      <c r="T163" s="299"/>
      <c r="U163" s="299"/>
      <c r="V163" s="300"/>
      <c r="W163" s="37" t="s">
        <v>68</v>
      </c>
      <c r="X163" s="278">
        <f>IFERROR(SUM(X162:X162),"0")</f>
        <v>0</v>
      </c>
      <c r="Y163" s="278">
        <f>IFERROR(SUM(Y162:Y162),"0")</f>
        <v>0</v>
      </c>
      <c r="Z163" s="278">
        <f>IFERROR(IF(Z162="",0,Z162),"0")</f>
        <v>0</v>
      </c>
      <c r="AA163" s="279"/>
      <c r="AB163" s="279"/>
      <c r="AC163" s="279"/>
    </row>
    <row r="164" spans="1:68" hidden="1" x14ac:dyDescent="0.2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7"/>
      <c r="P164" s="298" t="s">
        <v>87</v>
      </c>
      <c r="Q164" s="299"/>
      <c r="R164" s="299"/>
      <c r="S164" s="299"/>
      <c r="T164" s="299"/>
      <c r="U164" s="299"/>
      <c r="V164" s="300"/>
      <c r="W164" s="37" t="s">
        <v>88</v>
      </c>
      <c r="X164" s="278">
        <f>IFERROR(SUMPRODUCT(X162:X162*H162:H162),"0")</f>
        <v>0</v>
      </c>
      <c r="Y164" s="278">
        <f>IFERROR(SUMPRODUCT(Y162:Y162*H162:H162),"0")</f>
        <v>0</v>
      </c>
      <c r="Z164" s="37"/>
      <c r="AA164" s="279"/>
      <c r="AB164" s="279"/>
      <c r="AC164" s="279"/>
    </row>
    <row r="165" spans="1:68" ht="16.5" hidden="1" customHeight="1" x14ac:dyDescent="0.25">
      <c r="A165" s="323" t="s">
        <v>255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71"/>
      <c r="AB165" s="271"/>
      <c r="AC165" s="271"/>
    </row>
    <row r="166" spans="1:68" ht="14.25" hidden="1" customHeight="1" x14ac:dyDescent="0.25">
      <c r="A166" s="301" t="s">
        <v>153</v>
      </c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8">
        <v>4607111039613</v>
      </c>
      <c r="E167" s="289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40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1"/>
      <c r="R167" s="281"/>
      <c r="S167" s="281"/>
      <c r="T167" s="282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5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7"/>
      <c r="P168" s="298" t="s">
        <v>87</v>
      </c>
      <c r="Q168" s="299"/>
      <c r="R168" s="299"/>
      <c r="S168" s="299"/>
      <c r="T168" s="299"/>
      <c r="U168" s="299"/>
      <c r="V168" s="300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7"/>
      <c r="P169" s="298" t="s">
        <v>87</v>
      </c>
      <c r="Q169" s="299"/>
      <c r="R169" s="299"/>
      <c r="S169" s="299"/>
      <c r="T169" s="299"/>
      <c r="U169" s="299"/>
      <c r="V169" s="300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323" t="s">
        <v>259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71"/>
      <c r="AB170" s="271"/>
      <c r="AC170" s="271"/>
    </row>
    <row r="171" spans="1:68" ht="14.25" hidden="1" customHeight="1" x14ac:dyDescent="0.25">
      <c r="A171" s="301" t="s">
        <v>153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72"/>
      <c r="AB171" s="272"/>
      <c r="AC171" s="272"/>
    </row>
    <row r="172" spans="1:68" ht="27" customHeight="1" x14ac:dyDescent="0.25">
      <c r="A172" s="54" t="s">
        <v>260</v>
      </c>
      <c r="B172" s="54" t="s">
        <v>261</v>
      </c>
      <c r="C172" s="31">
        <v>4301135912</v>
      </c>
      <c r="D172" s="288">
        <v>4620207491751</v>
      </c>
      <c r="E172" s="289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448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1"/>
      <c r="R172" s="281"/>
      <c r="S172" s="281"/>
      <c r="T172" s="282"/>
      <c r="U172" s="34"/>
      <c r="V172" s="34"/>
      <c r="W172" s="35" t="s">
        <v>68</v>
      </c>
      <c r="X172" s="276">
        <v>56</v>
      </c>
      <c r="Y172" s="277">
        <f>IFERROR(IF(X172="","",X172),"")</f>
        <v>56</v>
      </c>
      <c r="Z172" s="36">
        <f>IFERROR(IF(X172="","",X172*0.00941),"")</f>
        <v>0.52695999999999998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117.70079999999999</v>
      </c>
      <c r="BN172" s="67">
        <f>IFERROR(Y172*I172,"0")</f>
        <v>117.70079999999999</v>
      </c>
      <c r="BO172" s="67">
        <f>IFERROR(X172/J172,"0")</f>
        <v>0.4</v>
      </c>
      <c r="BP172" s="67">
        <f>IFERROR(Y172/J172,"0")</f>
        <v>0.4</v>
      </c>
    </row>
    <row r="173" spans="1:68" x14ac:dyDescent="0.2">
      <c r="A173" s="285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7"/>
      <c r="P173" s="298" t="s">
        <v>87</v>
      </c>
      <c r="Q173" s="299"/>
      <c r="R173" s="299"/>
      <c r="S173" s="299"/>
      <c r="T173" s="299"/>
      <c r="U173" s="299"/>
      <c r="V173" s="300"/>
      <c r="W173" s="37" t="s">
        <v>68</v>
      </c>
      <c r="X173" s="278">
        <f>IFERROR(SUM(X172:X172),"0")</f>
        <v>56</v>
      </c>
      <c r="Y173" s="278">
        <f>IFERROR(SUM(Y172:Y172),"0")</f>
        <v>56</v>
      </c>
      <c r="Z173" s="278">
        <f>IFERROR(IF(Z172="",0,Z172),"0")</f>
        <v>0.52695999999999998</v>
      </c>
      <c r="AA173" s="279"/>
      <c r="AB173" s="279"/>
      <c r="AC173" s="279"/>
    </row>
    <row r="174" spans="1:68" x14ac:dyDescent="0.2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7"/>
      <c r="P174" s="298" t="s">
        <v>87</v>
      </c>
      <c r="Q174" s="299"/>
      <c r="R174" s="299"/>
      <c r="S174" s="299"/>
      <c r="T174" s="299"/>
      <c r="U174" s="299"/>
      <c r="V174" s="300"/>
      <c r="W174" s="37" t="s">
        <v>88</v>
      </c>
      <c r="X174" s="278">
        <f>IFERROR(SUMPRODUCT(X172:X172*H172:H172),"0")</f>
        <v>94.08</v>
      </c>
      <c r="Y174" s="278">
        <f>IFERROR(SUMPRODUCT(Y172:Y172*H172:H172),"0")</f>
        <v>94.08</v>
      </c>
      <c r="Z174" s="37"/>
      <c r="AA174" s="279"/>
      <c r="AB174" s="279"/>
      <c r="AC174" s="279"/>
    </row>
    <row r="175" spans="1:68" ht="27.75" hidden="1" customHeight="1" x14ac:dyDescent="0.2">
      <c r="A175" s="338" t="s">
        <v>262</v>
      </c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48"/>
      <c r="AB175" s="48"/>
      <c r="AC175" s="48"/>
    </row>
    <row r="176" spans="1:68" ht="16.5" hidden="1" customHeight="1" x14ac:dyDescent="0.25">
      <c r="A176" s="323" t="s">
        <v>263</v>
      </c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71"/>
      <c r="AB176" s="271"/>
      <c r="AC176" s="271"/>
    </row>
    <row r="177" spans="1:68" ht="14.25" hidden="1" customHeight="1" x14ac:dyDescent="0.25">
      <c r="A177" s="301" t="s">
        <v>102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72"/>
      <c r="AB177" s="272"/>
      <c r="AC177" s="272"/>
    </row>
    <row r="178" spans="1:68" ht="27" customHeight="1" x14ac:dyDescent="0.25">
      <c r="A178" s="54" t="s">
        <v>264</v>
      </c>
      <c r="B178" s="54" t="s">
        <v>265</v>
      </c>
      <c r="C178" s="31">
        <v>4301132226</v>
      </c>
      <c r="D178" s="288">
        <v>4620207490631</v>
      </c>
      <c r="E178" s="289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345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1"/>
      <c r="R178" s="281"/>
      <c r="S178" s="281"/>
      <c r="T178" s="282"/>
      <c r="U178" s="34"/>
      <c r="V178" s="34"/>
      <c r="W178" s="35" t="s">
        <v>68</v>
      </c>
      <c r="X178" s="276">
        <v>12</v>
      </c>
      <c r="Y178" s="277">
        <f>IFERROR(IF(X178="","",X178),"")</f>
        <v>12</v>
      </c>
      <c r="Z178" s="36">
        <f>IFERROR(IF(X178="","",X178*0.0155),"")</f>
        <v>0.186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74.820000000000007</v>
      </c>
      <c r="BN178" s="67">
        <f>IFERROR(Y178*I178,"0")</f>
        <v>74.820000000000007</v>
      </c>
      <c r="BO178" s="67">
        <f>IFERROR(X178/J178,"0")</f>
        <v>0.14285714285714285</v>
      </c>
      <c r="BP178" s="67">
        <f>IFERROR(Y178/J178,"0")</f>
        <v>0.14285714285714285</v>
      </c>
    </row>
    <row r="179" spans="1:68" x14ac:dyDescent="0.2">
      <c r="A179" s="285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7"/>
      <c r="P179" s="298" t="s">
        <v>87</v>
      </c>
      <c r="Q179" s="299"/>
      <c r="R179" s="299"/>
      <c r="S179" s="299"/>
      <c r="T179" s="299"/>
      <c r="U179" s="299"/>
      <c r="V179" s="300"/>
      <c r="W179" s="37" t="s">
        <v>68</v>
      </c>
      <c r="X179" s="278">
        <f>IFERROR(SUM(X178:X178),"0")</f>
        <v>12</v>
      </c>
      <c r="Y179" s="278">
        <f>IFERROR(SUM(Y178:Y178),"0")</f>
        <v>12</v>
      </c>
      <c r="Z179" s="278">
        <f>IFERROR(IF(Z178="",0,Z178),"0")</f>
        <v>0.186</v>
      </c>
      <c r="AA179" s="279"/>
      <c r="AB179" s="279"/>
      <c r="AC179" s="279"/>
    </row>
    <row r="180" spans="1:68" x14ac:dyDescent="0.2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7"/>
      <c r="P180" s="298" t="s">
        <v>87</v>
      </c>
      <c r="Q180" s="299"/>
      <c r="R180" s="299"/>
      <c r="S180" s="299"/>
      <c r="T180" s="299"/>
      <c r="U180" s="299"/>
      <c r="V180" s="300"/>
      <c r="W180" s="37" t="s">
        <v>88</v>
      </c>
      <c r="X180" s="278">
        <f>IFERROR(SUMPRODUCT(X178:X178*H178:H178),"0")</f>
        <v>72</v>
      </c>
      <c r="Y180" s="278">
        <f>IFERROR(SUMPRODUCT(Y178:Y178*H178:H178),"0")</f>
        <v>72</v>
      </c>
      <c r="Z180" s="37"/>
      <c r="AA180" s="279"/>
      <c r="AB180" s="279"/>
      <c r="AC180" s="279"/>
    </row>
    <row r="181" spans="1:68" ht="14.25" hidden="1" customHeight="1" x14ac:dyDescent="0.25">
      <c r="A181" s="301" t="s">
        <v>153</v>
      </c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72"/>
      <c r="AB181" s="272"/>
      <c r="AC181" s="272"/>
    </row>
    <row r="182" spans="1:68" ht="27" hidden="1" customHeight="1" x14ac:dyDescent="0.25">
      <c r="A182" s="54" t="s">
        <v>267</v>
      </c>
      <c r="B182" s="54" t="s">
        <v>268</v>
      </c>
      <c r="C182" s="31">
        <v>4301135392</v>
      </c>
      <c r="D182" s="288">
        <v>4607111039132</v>
      </c>
      <c r="E182" s="289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408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1"/>
      <c r="R182" s="281"/>
      <c r="S182" s="281"/>
      <c r="T182" s="282"/>
      <c r="U182" s="34"/>
      <c r="V182" s="34"/>
      <c r="W182" s="35" t="s">
        <v>68</v>
      </c>
      <c r="X182" s="276">
        <v>0</v>
      </c>
      <c r="Y182" s="277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85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7"/>
      <c r="P183" s="298" t="s">
        <v>87</v>
      </c>
      <c r="Q183" s="299"/>
      <c r="R183" s="299"/>
      <c r="S183" s="299"/>
      <c r="T183" s="299"/>
      <c r="U183" s="299"/>
      <c r="V183" s="300"/>
      <c r="W183" s="37" t="s">
        <v>68</v>
      </c>
      <c r="X183" s="278">
        <f>IFERROR(SUM(X182:X182),"0")</f>
        <v>0</v>
      </c>
      <c r="Y183" s="278">
        <f>IFERROR(SUM(Y182:Y182),"0")</f>
        <v>0</v>
      </c>
      <c r="Z183" s="278">
        <f>IFERROR(IF(Z182="",0,Z182),"0")</f>
        <v>0</v>
      </c>
      <c r="AA183" s="279"/>
      <c r="AB183" s="279"/>
      <c r="AC183" s="279"/>
    </row>
    <row r="184" spans="1:68" hidden="1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7"/>
      <c r="P184" s="298" t="s">
        <v>87</v>
      </c>
      <c r="Q184" s="299"/>
      <c r="R184" s="299"/>
      <c r="S184" s="299"/>
      <c r="T184" s="299"/>
      <c r="U184" s="299"/>
      <c r="V184" s="300"/>
      <c r="W184" s="37" t="s">
        <v>88</v>
      </c>
      <c r="X184" s="278">
        <f>IFERROR(SUMPRODUCT(X182:X182*H182:H182),"0")</f>
        <v>0</v>
      </c>
      <c r="Y184" s="278">
        <f>IFERROR(SUMPRODUCT(Y182:Y182*H182:H182),"0")</f>
        <v>0</v>
      </c>
      <c r="Z184" s="37"/>
      <c r="AA184" s="279"/>
      <c r="AB184" s="279"/>
      <c r="AC184" s="279"/>
    </row>
    <row r="185" spans="1:68" ht="16.5" hidden="1" customHeight="1" x14ac:dyDescent="0.25">
      <c r="A185" s="323" t="s">
        <v>270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71"/>
      <c r="AB185" s="271"/>
      <c r="AC185" s="271"/>
    </row>
    <row r="186" spans="1:68" ht="14.25" hidden="1" customHeight="1" x14ac:dyDescent="0.25">
      <c r="A186" s="301" t="s">
        <v>62</v>
      </c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8">
        <v>4607111036384</v>
      </c>
      <c r="E187" s="289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1"/>
      <c r="R187" s="281"/>
      <c r="S187" s="281"/>
      <c r="T187" s="282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274</v>
      </c>
      <c r="B188" s="54" t="s">
        <v>275</v>
      </c>
      <c r="C188" s="31">
        <v>4301071050</v>
      </c>
      <c r="D188" s="288">
        <v>4607111036216</v>
      </c>
      <c r="E188" s="289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35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1"/>
      <c r="R188" s="281"/>
      <c r="S188" s="281"/>
      <c r="T188" s="282"/>
      <c r="U188" s="34"/>
      <c r="V188" s="34"/>
      <c r="W188" s="35" t="s">
        <v>68</v>
      </c>
      <c r="X188" s="276">
        <v>60</v>
      </c>
      <c r="Y188" s="277">
        <f>IFERROR(IF(X188="","",X188),"")</f>
        <v>60</v>
      </c>
      <c r="Z188" s="36">
        <f>IFERROR(IF(X188="","",X188*0.00866),"")</f>
        <v>0.51959999999999995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312.79199999999997</v>
      </c>
      <c r="BN188" s="67">
        <f>IFERROR(Y188*I188,"0")</f>
        <v>312.79199999999997</v>
      </c>
      <c r="BO188" s="67">
        <f>IFERROR(X188/J188,"0")</f>
        <v>0.41666666666666669</v>
      </c>
      <c r="BP188" s="67">
        <f>IFERROR(Y188/J188,"0")</f>
        <v>0.41666666666666669</v>
      </c>
    </row>
    <row r="189" spans="1:68" x14ac:dyDescent="0.2">
      <c r="A189" s="285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7"/>
      <c r="P189" s="298" t="s">
        <v>87</v>
      </c>
      <c r="Q189" s="299"/>
      <c r="R189" s="299"/>
      <c r="S189" s="299"/>
      <c r="T189" s="299"/>
      <c r="U189" s="299"/>
      <c r="V189" s="300"/>
      <c r="W189" s="37" t="s">
        <v>68</v>
      </c>
      <c r="X189" s="278">
        <f>IFERROR(SUM(X187:X188),"0")</f>
        <v>60</v>
      </c>
      <c r="Y189" s="278">
        <f>IFERROR(SUM(Y187:Y188),"0")</f>
        <v>60</v>
      </c>
      <c r="Z189" s="278">
        <f>IFERROR(IF(Z187="",0,Z187),"0")+IFERROR(IF(Z188="",0,Z188),"0")</f>
        <v>0.51959999999999995</v>
      </c>
      <c r="AA189" s="279"/>
      <c r="AB189" s="279"/>
      <c r="AC189" s="279"/>
    </row>
    <row r="190" spans="1:68" x14ac:dyDescent="0.2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7"/>
      <c r="P190" s="298" t="s">
        <v>87</v>
      </c>
      <c r="Q190" s="299"/>
      <c r="R190" s="299"/>
      <c r="S190" s="299"/>
      <c r="T190" s="299"/>
      <c r="U190" s="299"/>
      <c r="V190" s="300"/>
      <c r="W190" s="37" t="s">
        <v>88</v>
      </c>
      <c r="X190" s="278">
        <f>IFERROR(SUMPRODUCT(X187:X188*H187:H188),"0")</f>
        <v>300</v>
      </c>
      <c r="Y190" s="278">
        <f>IFERROR(SUMPRODUCT(Y187:Y188*H187:H188),"0")</f>
        <v>300</v>
      </c>
      <c r="Z190" s="37"/>
      <c r="AA190" s="279"/>
      <c r="AB190" s="279"/>
      <c r="AC190" s="279"/>
    </row>
    <row r="191" spans="1:68" ht="16.5" hidden="1" customHeight="1" x14ac:dyDescent="0.25">
      <c r="A191" s="323" t="s">
        <v>277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71"/>
      <c r="AB191" s="271"/>
      <c r="AC191" s="271"/>
    </row>
    <row r="192" spans="1:68" ht="14.25" hidden="1" customHeight="1" x14ac:dyDescent="0.25">
      <c r="A192" s="301" t="s">
        <v>62</v>
      </c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72"/>
      <c r="AB192" s="272"/>
      <c r="AC192" s="272"/>
    </row>
    <row r="193" spans="1:68" ht="27" customHeight="1" x14ac:dyDescent="0.25">
      <c r="A193" s="54" t="s">
        <v>278</v>
      </c>
      <c r="B193" s="54" t="s">
        <v>279</v>
      </c>
      <c r="C193" s="31">
        <v>4301071117</v>
      </c>
      <c r="D193" s="288">
        <v>4620207491737</v>
      </c>
      <c r="E193" s="289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36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1"/>
      <c r="R193" s="281"/>
      <c r="S193" s="281"/>
      <c r="T193" s="282"/>
      <c r="U193" s="34"/>
      <c r="V193" s="34"/>
      <c r="W193" s="35" t="s">
        <v>68</v>
      </c>
      <c r="X193" s="276">
        <v>168</v>
      </c>
      <c r="Y193" s="277">
        <f>IFERROR(IF(X193="","",X193),"")</f>
        <v>168</v>
      </c>
      <c r="Z193" s="36">
        <f>IFERROR(IF(X193="","",X193*0.0155),"")</f>
        <v>2.6040000000000001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884.01599999999996</v>
      </c>
      <c r="BN193" s="67">
        <f>IFERROR(Y193*I193,"0")</f>
        <v>884.01599999999996</v>
      </c>
      <c r="BO193" s="67">
        <f>IFERROR(X193/J193,"0")</f>
        <v>2</v>
      </c>
      <c r="BP193" s="67">
        <f>IFERROR(Y193/J193,"0")</f>
        <v>2</v>
      </c>
    </row>
    <row r="194" spans="1:68" x14ac:dyDescent="0.2">
      <c r="A194" s="285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7"/>
      <c r="P194" s="298" t="s">
        <v>87</v>
      </c>
      <c r="Q194" s="299"/>
      <c r="R194" s="299"/>
      <c r="S194" s="299"/>
      <c r="T194" s="299"/>
      <c r="U194" s="299"/>
      <c r="V194" s="300"/>
      <c r="W194" s="37" t="s">
        <v>68</v>
      </c>
      <c r="X194" s="278">
        <f>IFERROR(SUM(X193:X193),"0")</f>
        <v>168</v>
      </c>
      <c r="Y194" s="278">
        <f>IFERROR(SUM(Y193:Y193),"0")</f>
        <v>168</v>
      </c>
      <c r="Z194" s="278">
        <f>IFERROR(IF(Z193="",0,Z193),"0")</f>
        <v>2.6040000000000001</v>
      </c>
      <c r="AA194" s="279"/>
      <c r="AB194" s="279"/>
      <c r="AC194" s="279"/>
    </row>
    <row r="195" spans="1:68" x14ac:dyDescent="0.2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7"/>
      <c r="P195" s="298" t="s">
        <v>87</v>
      </c>
      <c r="Q195" s="299"/>
      <c r="R195" s="299"/>
      <c r="S195" s="299"/>
      <c r="T195" s="299"/>
      <c r="U195" s="299"/>
      <c r="V195" s="300"/>
      <c r="W195" s="37" t="s">
        <v>88</v>
      </c>
      <c r="X195" s="278">
        <f>IFERROR(SUMPRODUCT(X193:X193*H193:H193),"0")</f>
        <v>840</v>
      </c>
      <c r="Y195" s="278">
        <f>IFERROR(SUMPRODUCT(Y193:Y193*H193:H193),"0")</f>
        <v>840</v>
      </c>
      <c r="Z195" s="37"/>
      <c r="AA195" s="279"/>
      <c r="AB195" s="279"/>
      <c r="AC195" s="279"/>
    </row>
    <row r="196" spans="1:68" ht="27.75" hidden="1" customHeight="1" x14ac:dyDescent="0.2">
      <c r="A196" s="338" t="s">
        <v>280</v>
      </c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48"/>
      <c r="AB196" s="48"/>
      <c r="AC196" s="48"/>
    </row>
    <row r="197" spans="1:68" ht="16.5" hidden="1" customHeight="1" x14ac:dyDescent="0.25">
      <c r="A197" s="323" t="s">
        <v>281</v>
      </c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71"/>
      <c r="AB197" s="271"/>
      <c r="AC197" s="271"/>
    </row>
    <row r="198" spans="1:68" ht="14.25" hidden="1" customHeight="1" x14ac:dyDescent="0.25">
      <c r="A198" s="301" t="s">
        <v>102</v>
      </c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72"/>
      <c r="AB198" s="272"/>
      <c r="AC198" s="272"/>
    </row>
    <row r="199" spans="1:68" ht="16.5" hidden="1" customHeight="1" x14ac:dyDescent="0.25">
      <c r="A199" s="54" t="s">
        <v>282</v>
      </c>
      <c r="B199" s="54" t="s">
        <v>283</v>
      </c>
      <c r="C199" s="31">
        <v>4301132179</v>
      </c>
      <c r="D199" s="288">
        <v>4607111035691</v>
      </c>
      <c r="E199" s="289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1"/>
      <c r="R199" s="281"/>
      <c r="S199" s="281"/>
      <c r="T199" s="282"/>
      <c r="U199" s="34"/>
      <c r="V199" s="34"/>
      <c r="W199" s="35" t="s">
        <v>68</v>
      </c>
      <c r="X199" s="276">
        <v>0</v>
      </c>
      <c r="Y199" s="27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285</v>
      </c>
      <c r="B200" s="54" t="s">
        <v>286</v>
      </c>
      <c r="C200" s="31">
        <v>4301132182</v>
      </c>
      <c r="D200" s="288">
        <v>4607111035721</v>
      </c>
      <c r="E200" s="289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1"/>
      <c r="R200" s="281"/>
      <c r="S200" s="281"/>
      <c r="T200" s="282"/>
      <c r="U200" s="34"/>
      <c r="V200" s="34"/>
      <c r="W200" s="35" t="s">
        <v>68</v>
      </c>
      <c r="X200" s="276">
        <v>42</v>
      </c>
      <c r="Y200" s="277">
        <f>IFERROR(IF(X200="","",X200),"")</f>
        <v>42</v>
      </c>
      <c r="Z200" s="36">
        <f>IFERROR(IF(X200="","",X200*0.01788),"")</f>
        <v>0.75095999999999996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142.29599999999999</v>
      </c>
      <c r="BN200" s="67">
        <f>IFERROR(Y200*I200,"0")</f>
        <v>142.29599999999999</v>
      </c>
      <c r="BO200" s="67">
        <f>IFERROR(X200/J200,"0")</f>
        <v>0.6</v>
      </c>
      <c r="BP200" s="67">
        <f>IFERROR(Y200/J200,"0")</f>
        <v>0.6</v>
      </c>
    </row>
    <row r="201" spans="1:68" ht="27" customHeight="1" x14ac:dyDescent="0.25">
      <c r="A201" s="54" t="s">
        <v>288</v>
      </c>
      <c r="B201" s="54" t="s">
        <v>289</v>
      </c>
      <c r="C201" s="31">
        <v>4301132170</v>
      </c>
      <c r="D201" s="288">
        <v>4607111038487</v>
      </c>
      <c r="E201" s="289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3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1"/>
      <c r="R201" s="281"/>
      <c r="S201" s="281"/>
      <c r="T201" s="282"/>
      <c r="U201" s="34"/>
      <c r="V201" s="34"/>
      <c r="W201" s="35" t="s">
        <v>68</v>
      </c>
      <c r="X201" s="276">
        <v>70</v>
      </c>
      <c r="Y201" s="277">
        <f>IFERROR(IF(X201="","",X201),"")</f>
        <v>70</v>
      </c>
      <c r="Z201" s="36">
        <f>IFERROR(IF(X201="","",X201*0.01788),"")</f>
        <v>1.2516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261.52000000000004</v>
      </c>
      <c r="BN201" s="67">
        <f>IFERROR(Y201*I201,"0")</f>
        <v>261.52000000000004</v>
      </c>
      <c r="BO201" s="67">
        <f>IFERROR(X201/J201,"0")</f>
        <v>1</v>
      </c>
      <c r="BP201" s="67">
        <f>IFERROR(Y201/J201,"0")</f>
        <v>1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8">
        <v>4620207491195</v>
      </c>
      <c r="E202" s="289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28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1"/>
      <c r="R202" s="281"/>
      <c r="S202" s="281"/>
      <c r="T202" s="282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285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7"/>
      <c r="P203" s="298" t="s">
        <v>87</v>
      </c>
      <c r="Q203" s="299"/>
      <c r="R203" s="299"/>
      <c r="S203" s="299"/>
      <c r="T203" s="299"/>
      <c r="U203" s="299"/>
      <c r="V203" s="300"/>
      <c r="W203" s="37" t="s">
        <v>68</v>
      </c>
      <c r="X203" s="278">
        <f>IFERROR(SUM(X199:X202),"0")</f>
        <v>112</v>
      </c>
      <c r="Y203" s="278">
        <f>IFERROR(SUM(Y199:Y202),"0")</f>
        <v>112</v>
      </c>
      <c r="Z203" s="278">
        <f>IFERROR(IF(Z199="",0,Z199),"0")+IFERROR(IF(Z200="",0,Z200),"0")+IFERROR(IF(Z201="",0,Z201),"0")+IFERROR(IF(Z202="",0,Z202),"0")</f>
        <v>2.0025599999999999</v>
      </c>
      <c r="AA203" s="279"/>
      <c r="AB203" s="279"/>
      <c r="AC203" s="279"/>
    </row>
    <row r="204" spans="1:68" x14ac:dyDescent="0.2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7"/>
      <c r="P204" s="298" t="s">
        <v>87</v>
      </c>
      <c r="Q204" s="299"/>
      <c r="R204" s="299"/>
      <c r="S204" s="299"/>
      <c r="T204" s="299"/>
      <c r="U204" s="299"/>
      <c r="V204" s="300"/>
      <c r="W204" s="37" t="s">
        <v>88</v>
      </c>
      <c r="X204" s="278">
        <f>IFERROR(SUMPRODUCT(X199:X202*H199:H202),"0")</f>
        <v>336</v>
      </c>
      <c r="Y204" s="278">
        <f>IFERROR(SUMPRODUCT(Y199:Y202*H199:H202),"0")</f>
        <v>336</v>
      </c>
      <c r="Z204" s="37"/>
      <c r="AA204" s="279"/>
      <c r="AB204" s="279"/>
      <c r="AC204" s="279"/>
    </row>
    <row r="205" spans="1:68" ht="27.75" hidden="1" customHeight="1" x14ac:dyDescent="0.2">
      <c r="A205" s="338" t="s">
        <v>294</v>
      </c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48"/>
      <c r="AB205" s="48"/>
      <c r="AC205" s="48"/>
    </row>
    <row r="206" spans="1:68" ht="16.5" hidden="1" customHeight="1" x14ac:dyDescent="0.25">
      <c r="A206" s="323" t="s">
        <v>295</v>
      </c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71"/>
      <c r="AB206" s="271"/>
      <c r="AC206" s="271"/>
    </row>
    <row r="207" spans="1:68" ht="14.25" hidden="1" customHeight="1" x14ac:dyDescent="0.25">
      <c r="A207" s="301" t="s">
        <v>102</v>
      </c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72"/>
      <c r="AB207" s="272"/>
      <c r="AC207" s="272"/>
    </row>
    <row r="208" spans="1:68" ht="27" customHeight="1" x14ac:dyDescent="0.25">
      <c r="A208" s="54" t="s">
        <v>296</v>
      </c>
      <c r="B208" s="54" t="s">
        <v>297</v>
      </c>
      <c r="C208" s="31">
        <v>4301132227</v>
      </c>
      <c r="D208" s="288">
        <v>4620207491133</v>
      </c>
      <c r="E208" s="289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41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1"/>
      <c r="R208" s="281"/>
      <c r="S208" s="281"/>
      <c r="T208" s="282"/>
      <c r="U208" s="34"/>
      <c r="V208" s="34"/>
      <c r="W208" s="35" t="s">
        <v>68</v>
      </c>
      <c r="X208" s="276">
        <v>14</v>
      </c>
      <c r="Y208" s="277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41.72</v>
      </c>
      <c r="BN208" s="67">
        <f>IFERROR(Y208*I208,"0")</f>
        <v>41.72</v>
      </c>
      <c r="BO208" s="67">
        <f>IFERROR(X208/J208,"0")</f>
        <v>0.2</v>
      </c>
      <c r="BP208" s="67">
        <f>IFERROR(Y208/J208,"0")</f>
        <v>0.2</v>
      </c>
    </row>
    <row r="209" spans="1:68" x14ac:dyDescent="0.2">
      <c r="A209" s="285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7"/>
      <c r="P209" s="298" t="s">
        <v>87</v>
      </c>
      <c r="Q209" s="299"/>
      <c r="R209" s="299"/>
      <c r="S209" s="299"/>
      <c r="T209" s="299"/>
      <c r="U209" s="299"/>
      <c r="V209" s="300"/>
      <c r="W209" s="37" t="s">
        <v>68</v>
      </c>
      <c r="X209" s="278">
        <f>IFERROR(SUM(X208:X208),"0")</f>
        <v>14</v>
      </c>
      <c r="Y209" s="278">
        <f>IFERROR(SUM(Y208:Y208),"0")</f>
        <v>14</v>
      </c>
      <c r="Z209" s="278">
        <f>IFERROR(IF(Z208="",0,Z208),"0")</f>
        <v>0.25031999999999999</v>
      </c>
      <c r="AA209" s="279"/>
      <c r="AB209" s="279"/>
      <c r="AC209" s="279"/>
    </row>
    <row r="210" spans="1:68" x14ac:dyDescent="0.2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7"/>
      <c r="P210" s="298" t="s">
        <v>87</v>
      </c>
      <c r="Q210" s="299"/>
      <c r="R210" s="299"/>
      <c r="S210" s="299"/>
      <c r="T210" s="299"/>
      <c r="U210" s="299"/>
      <c r="V210" s="300"/>
      <c r="W210" s="37" t="s">
        <v>88</v>
      </c>
      <c r="X210" s="278">
        <f>IFERROR(SUMPRODUCT(X208:X208*H208:H208),"0")</f>
        <v>38.64</v>
      </c>
      <c r="Y210" s="278">
        <f>IFERROR(SUMPRODUCT(Y208:Y208*H208:H208),"0")</f>
        <v>38.64</v>
      </c>
      <c r="Z210" s="37"/>
      <c r="AA210" s="279"/>
      <c r="AB210" s="279"/>
      <c r="AC210" s="279"/>
    </row>
    <row r="211" spans="1:68" ht="14.25" hidden="1" customHeight="1" x14ac:dyDescent="0.25">
      <c r="A211" s="301" t="s">
        <v>153</v>
      </c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72"/>
      <c r="AB211" s="272"/>
      <c r="AC211" s="272"/>
    </row>
    <row r="212" spans="1:68" ht="27" hidden="1" customHeight="1" x14ac:dyDescent="0.25">
      <c r="A212" s="54" t="s">
        <v>299</v>
      </c>
      <c r="B212" s="54" t="s">
        <v>300</v>
      </c>
      <c r="C212" s="31">
        <v>4301135834</v>
      </c>
      <c r="D212" s="288">
        <v>4620207491188</v>
      </c>
      <c r="E212" s="289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4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1"/>
      <c r="R212" s="281"/>
      <c r="S212" s="281"/>
      <c r="T212" s="282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8">
        <v>4620207490259</v>
      </c>
      <c r="E213" s="289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45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81"/>
      <c r="R213" s="281"/>
      <c r="S213" s="281"/>
      <c r="T213" s="282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285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7"/>
      <c r="P214" s="298" t="s">
        <v>87</v>
      </c>
      <c r="Q214" s="299"/>
      <c r="R214" s="299"/>
      <c r="S214" s="299"/>
      <c r="T214" s="299"/>
      <c r="U214" s="299"/>
      <c r="V214" s="300"/>
      <c r="W214" s="37" t="s">
        <v>68</v>
      </c>
      <c r="X214" s="278">
        <f>IFERROR(SUM(X212:X213),"0")</f>
        <v>0</v>
      </c>
      <c r="Y214" s="278">
        <f>IFERROR(SUM(Y212:Y213),"0")</f>
        <v>0</v>
      </c>
      <c r="Z214" s="278">
        <f>IFERROR(IF(Z212="",0,Z212),"0")+IFERROR(IF(Z213="",0,Z213),"0")</f>
        <v>0</v>
      </c>
      <c r="AA214" s="279"/>
      <c r="AB214" s="279"/>
      <c r="AC214" s="279"/>
    </row>
    <row r="215" spans="1:68" hidden="1" x14ac:dyDescent="0.2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7"/>
      <c r="P215" s="298" t="s">
        <v>87</v>
      </c>
      <c r="Q215" s="299"/>
      <c r="R215" s="299"/>
      <c r="S215" s="299"/>
      <c r="T215" s="299"/>
      <c r="U215" s="299"/>
      <c r="V215" s="300"/>
      <c r="W215" s="37" t="s">
        <v>88</v>
      </c>
      <c r="X215" s="278">
        <f>IFERROR(SUMPRODUCT(X212:X213*H212:H213),"0")</f>
        <v>0</v>
      </c>
      <c r="Y215" s="278">
        <f>IFERROR(SUMPRODUCT(Y212:Y213*H212:H213),"0")</f>
        <v>0</v>
      </c>
      <c r="Z215" s="37"/>
      <c r="AA215" s="279"/>
      <c r="AB215" s="279"/>
      <c r="AC215" s="279"/>
    </row>
    <row r="216" spans="1:68" ht="16.5" hidden="1" customHeight="1" x14ac:dyDescent="0.25">
      <c r="A216" s="323" t="s">
        <v>305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71"/>
      <c r="AB216" s="271"/>
      <c r="AC216" s="271"/>
    </row>
    <row r="217" spans="1:68" ht="14.25" hidden="1" customHeight="1" x14ac:dyDescent="0.25">
      <c r="A217" s="301" t="s">
        <v>153</v>
      </c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8">
        <v>4620207491706</v>
      </c>
      <c r="E218" s="289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31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81"/>
      <c r="R218" s="281"/>
      <c r="S218" s="281"/>
      <c r="T218" s="282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8">
        <v>4620207491522</v>
      </c>
      <c r="E219" s="289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81"/>
      <c r="R219" s="281"/>
      <c r="S219" s="281"/>
      <c r="T219" s="282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285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7"/>
      <c r="P220" s="298" t="s">
        <v>87</v>
      </c>
      <c r="Q220" s="299"/>
      <c r="R220" s="299"/>
      <c r="S220" s="299"/>
      <c r="T220" s="299"/>
      <c r="U220" s="299"/>
      <c r="V220" s="300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7"/>
      <c r="P221" s="298" t="s">
        <v>87</v>
      </c>
      <c r="Q221" s="299"/>
      <c r="R221" s="299"/>
      <c r="S221" s="299"/>
      <c r="T221" s="299"/>
      <c r="U221" s="299"/>
      <c r="V221" s="300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323" t="s">
        <v>312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71"/>
      <c r="AB222" s="271"/>
      <c r="AC222" s="271"/>
    </row>
    <row r="223" spans="1:68" ht="14.25" hidden="1" customHeight="1" x14ac:dyDescent="0.25">
      <c r="A223" s="301" t="s">
        <v>62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8">
        <v>4620207491096</v>
      </c>
      <c r="E224" s="289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8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81"/>
      <c r="R224" s="281"/>
      <c r="S224" s="281"/>
      <c r="T224" s="282"/>
      <c r="U224" s="34"/>
      <c r="V224" s="34"/>
      <c r="W224" s="35" t="s">
        <v>68</v>
      </c>
      <c r="X224" s="276">
        <v>84</v>
      </c>
      <c r="Y224" s="277">
        <f>IFERROR(IF(X224="","",X224),"")</f>
        <v>84</v>
      </c>
      <c r="Z224" s="36">
        <f>IFERROR(IF(X224="","",X224*0.0155),"")</f>
        <v>1.302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439.32000000000005</v>
      </c>
      <c r="BN224" s="67">
        <f>IFERROR(Y224*I224,"0")</f>
        <v>439.32000000000005</v>
      </c>
      <c r="BO224" s="67">
        <f>IFERROR(X224/J224,"0")</f>
        <v>1</v>
      </c>
      <c r="BP224" s="67">
        <f>IFERROR(Y224/J224,"0")</f>
        <v>1</v>
      </c>
    </row>
    <row r="225" spans="1:68" x14ac:dyDescent="0.2">
      <c r="A225" s="285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7"/>
      <c r="P225" s="298" t="s">
        <v>87</v>
      </c>
      <c r="Q225" s="299"/>
      <c r="R225" s="299"/>
      <c r="S225" s="299"/>
      <c r="T225" s="299"/>
      <c r="U225" s="299"/>
      <c r="V225" s="300"/>
      <c r="W225" s="37" t="s">
        <v>68</v>
      </c>
      <c r="X225" s="278">
        <f>IFERROR(SUM(X224:X224),"0")</f>
        <v>84</v>
      </c>
      <c r="Y225" s="278">
        <f>IFERROR(SUM(Y224:Y224),"0")</f>
        <v>84</v>
      </c>
      <c r="Z225" s="278">
        <f>IFERROR(IF(Z224="",0,Z224),"0")</f>
        <v>1.302</v>
      </c>
      <c r="AA225" s="279"/>
      <c r="AB225" s="279"/>
      <c r="AC225" s="279"/>
    </row>
    <row r="226" spans="1:68" x14ac:dyDescent="0.2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7"/>
      <c r="P226" s="298" t="s">
        <v>87</v>
      </c>
      <c r="Q226" s="299"/>
      <c r="R226" s="299"/>
      <c r="S226" s="299"/>
      <c r="T226" s="299"/>
      <c r="U226" s="299"/>
      <c r="V226" s="300"/>
      <c r="W226" s="37" t="s">
        <v>88</v>
      </c>
      <c r="X226" s="278">
        <f>IFERROR(SUMPRODUCT(X224:X224*H224:H224),"0")</f>
        <v>420</v>
      </c>
      <c r="Y226" s="278">
        <f>IFERROR(SUMPRODUCT(Y224:Y224*H224:H224),"0")</f>
        <v>420</v>
      </c>
      <c r="Z226" s="37"/>
      <c r="AA226" s="279"/>
      <c r="AB226" s="279"/>
      <c r="AC226" s="279"/>
    </row>
    <row r="227" spans="1:68" ht="27.75" hidden="1" customHeight="1" x14ac:dyDescent="0.2">
      <c r="A227" s="338" t="s">
        <v>316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48"/>
      <c r="AB227" s="48"/>
      <c r="AC227" s="48"/>
    </row>
    <row r="228" spans="1:68" ht="16.5" hidden="1" customHeight="1" x14ac:dyDescent="0.25">
      <c r="A228" s="323" t="s">
        <v>317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71"/>
      <c r="AB228" s="271"/>
      <c r="AC228" s="271"/>
    </row>
    <row r="229" spans="1:68" ht="14.25" hidden="1" customHeight="1" x14ac:dyDescent="0.25">
      <c r="A229" s="301" t="s">
        <v>62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8">
        <v>4607111036162</v>
      </c>
      <c r="E230" s="289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4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81"/>
      <c r="R230" s="281"/>
      <c r="S230" s="281"/>
      <c r="T230" s="282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85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7"/>
      <c r="P231" s="298" t="s">
        <v>87</v>
      </c>
      <c r="Q231" s="299"/>
      <c r="R231" s="299"/>
      <c r="S231" s="299"/>
      <c r="T231" s="299"/>
      <c r="U231" s="299"/>
      <c r="V231" s="300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7"/>
      <c r="P232" s="298" t="s">
        <v>87</v>
      </c>
      <c r="Q232" s="299"/>
      <c r="R232" s="299"/>
      <c r="S232" s="299"/>
      <c r="T232" s="299"/>
      <c r="U232" s="299"/>
      <c r="V232" s="300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338" t="s">
        <v>321</v>
      </c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48"/>
      <c r="AB233" s="48"/>
      <c r="AC233" s="48"/>
    </row>
    <row r="234" spans="1:68" ht="16.5" hidden="1" customHeight="1" x14ac:dyDescent="0.25">
      <c r="A234" s="323" t="s">
        <v>322</v>
      </c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71"/>
      <c r="AB234" s="271"/>
      <c r="AC234" s="271"/>
    </row>
    <row r="235" spans="1:68" ht="14.25" hidden="1" customHeight="1" x14ac:dyDescent="0.25">
      <c r="A235" s="301" t="s">
        <v>323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8">
        <v>4607111039774</v>
      </c>
      <c r="E236" s="289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44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1"/>
      <c r="R236" s="281"/>
      <c r="S236" s="281"/>
      <c r="T236" s="282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5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7"/>
      <c r="P237" s="298" t="s">
        <v>87</v>
      </c>
      <c r="Q237" s="299"/>
      <c r="R237" s="299"/>
      <c r="S237" s="299"/>
      <c r="T237" s="299"/>
      <c r="U237" s="299"/>
      <c r="V237" s="300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7"/>
      <c r="P238" s="298" t="s">
        <v>87</v>
      </c>
      <c r="Q238" s="299"/>
      <c r="R238" s="299"/>
      <c r="S238" s="299"/>
      <c r="T238" s="299"/>
      <c r="U238" s="299"/>
      <c r="V238" s="300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01" t="s">
        <v>153</v>
      </c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8">
        <v>4607111039361</v>
      </c>
      <c r="E240" s="289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1"/>
      <c r="R240" s="281"/>
      <c r="S240" s="281"/>
      <c r="T240" s="282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7"/>
      <c r="P241" s="298" t="s">
        <v>87</v>
      </c>
      <c r="Q241" s="299"/>
      <c r="R241" s="299"/>
      <c r="S241" s="299"/>
      <c r="T241" s="299"/>
      <c r="U241" s="299"/>
      <c r="V241" s="300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7"/>
      <c r="P242" s="298" t="s">
        <v>87</v>
      </c>
      <c r="Q242" s="299"/>
      <c r="R242" s="299"/>
      <c r="S242" s="299"/>
      <c r="T242" s="299"/>
      <c r="U242" s="299"/>
      <c r="V242" s="300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338" t="s">
        <v>329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48"/>
      <c r="AB243" s="48"/>
      <c r="AC243" s="48"/>
    </row>
    <row r="244" spans="1:68" ht="16.5" hidden="1" customHeight="1" x14ac:dyDescent="0.25">
      <c r="A244" s="323" t="s">
        <v>329</v>
      </c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71"/>
      <c r="AB244" s="271"/>
      <c r="AC244" s="271"/>
    </row>
    <row r="245" spans="1:68" ht="14.25" hidden="1" customHeight="1" x14ac:dyDescent="0.25">
      <c r="A245" s="301" t="s">
        <v>102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8">
        <v>4640242181950</v>
      </c>
      <c r="E246" s="289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40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81"/>
      <c r="R246" s="281"/>
      <c r="S246" s="281"/>
      <c r="T246" s="282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85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7"/>
      <c r="P247" s="298" t="s">
        <v>87</v>
      </c>
      <c r="Q247" s="299"/>
      <c r="R247" s="299"/>
      <c r="S247" s="299"/>
      <c r="T247" s="299"/>
      <c r="U247" s="299"/>
      <c r="V247" s="300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7"/>
      <c r="P248" s="298" t="s">
        <v>87</v>
      </c>
      <c r="Q248" s="299"/>
      <c r="R248" s="299"/>
      <c r="S248" s="299"/>
      <c r="T248" s="299"/>
      <c r="U248" s="299"/>
      <c r="V248" s="300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01" t="s">
        <v>181</v>
      </c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8">
        <v>4640242181943</v>
      </c>
      <c r="E250" s="289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42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81"/>
      <c r="R250" s="281"/>
      <c r="S250" s="281"/>
      <c r="T250" s="282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7"/>
      <c r="P251" s="298" t="s">
        <v>87</v>
      </c>
      <c r="Q251" s="299"/>
      <c r="R251" s="299"/>
      <c r="S251" s="299"/>
      <c r="T251" s="299"/>
      <c r="U251" s="299"/>
      <c r="V251" s="300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7"/>
      <c r="P252" s="298" t="s">
        <v>87</v>
      </c>
      <c r="Q252" s="299"/>
      <c r="R252" s="299"/>
      <c r="S252" s="299"/>
      <c r="T252" s="299"/>
      <c r="U252" s="299"/>
      <c r="V252" s="300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38" t="s">
        <v>263</v>
      </c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48"/>
      <c r="AB253" s="48"/>
      <c r="AC253" s="48"/>
    </row>
    <row r="254" spans="1:68" ht="16.5" hidden="1" customHeight="1" x14ac:dyDescent="0.25">
      <c r="A254" s="323" t="s">
        <v>263</v>
      </c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71"/>
      <c r="AB254" s="271"/>
      <c r="AC254" s="271"/>
    </row>
    <row r="255" spans="1:68" ht="14.25" hidden="1" customHeight="1" x14ac:dyDescent="0.25">
      <c r="A255" s="301" t="s">
        <v>62</v>
      </c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8">
        <v>4640242181264</v>
      </c>
      <c r="E256" s="289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37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1"/>
      <c r="R256" s="281"/>
      <c r="S256" s="281"/>
      <c r="T256" s="282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339</v>
      </c>
      <c r="B257" s="54" t="s">
        <v>340</v>
      </c>
      <c r="C257" s="31">
        <v>4301071141</v>
      </c>
      <c r="D257" s="288">
        <v>4620207491980</v>
      </c>
      <c r="E257" s="289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36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81"/>
      <c r="R257" s="281"/>
      <c r="S257" s="281"/>
      <c r="T257" s="282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85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7"/>
      <c r="P258" s="298" t="s">
        <v>87</v>
      </c>
      <c r="Q258" s="299"/>
      <c r="R258" s="299"/>
      <c r="S258" s="299"/>
      <c r="T258" s="299"/>
      <c r="U258" s="299"/>
      <c r="V258" s="300"/>
      <c r="W258" s="37" t="s">
        <v>68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hidden="1" x14ac:dyDescent="0.2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7"/>
      <c r="P259" s="298" t="s">
        <v>87</v>
      </c>
      <c r="Q259" s="299"/>
      <c r="R259" s="299"/>
      <c r="S259" s="299"/>
      <c r="T259" s="299"/>
      <c r="U259" s="299"/>
      <c r="V259" s="300"/>
      <c r="W259" s="37" t="s">
        <v>88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01" t="s">
        <v>181</v>
      </c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8">
        <v>4620207492147</v>
      </c>
      <c r="E261" s="289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79" t="s">
        <v>344</v>
      </c>
      <c r="Q261" s="281"/>
      <c r="R261" s="281"/>
      <c r="S261" s="281"/>
      <c r="T261" s="282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4301136112</v>
      </c>
      <c r="D262" s="288">
        <v>4620207492154</v>
      </c>
      <c r="E262" s="289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331" t="s">
        <v>347</v>
      </c>
      <c r="Q262" s="281"/>
      <c r="R262" s="281"/>
      <c r="S262" s="281"/>
      <c r="T262" s="282"/>
      <c r="U262" s="34"/>
      <c r="V262" s="34"/>
      <c r="W262" s="35" t="s">
        <v>68</v>
      </c>
      <c r="X262" s="276">
        <v>168</v>
      </c>
      <c r="Y262" s="277">
        <f>IFERROR(IF(X262="","",X262),"")</f>
        <v>168</v>
      </c>
      <c r="Z262" s="36">
        <f>IFERROR(IF(X262="","",X262*0.0155),"")</f>
        <v>2.6040000000000001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879.48</v>
      </c>
      <c r="BN262" s="67">
        <f>IFERROR(Y262*I262,"0")</f>
        <v>879.48</v>
      </c>
      <c r="BO262" s="67">
        <f>IFERROR(X262/J262,"0")</f>
        <v>2</v>
      </c>
      <c r="BP262" s="67">
        <f>IFERROR(Y262/J262,"0")</f>
        <v>2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8">
        <v>4620207492086</v>
      </c>
      <c r="E263" s="289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336" t="s">
        <v>350</v>
      </c>
      <c r="Q263" s="281"/>
      <c r="R263" s="281"/>
      <c r="S263" s="281"/>
      <c r="T263" s="282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5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7"/>
      <c r="P264" s="298" t="s">
        <v>87</v>
      </c>
      <c r="Q264" s="299"/>
      <c r="R264" s="299"/>
      <c r="S264" s="299"/>
      <c r="T264" s="299"/>
      <c r="U264" s="299"/>
      <c r="V264" s="300"/>
      <c r="W264" s="37" t="s">
        <v>68</v>
      </c>
      <c r="X264" s="278">
        <f>IFERROR(SUM(X261:X263),"0")</f>
        <v>168</v>
      </c>
      <c r="Y264" s="278">
        <f>IFERROR(SUM(Y261:Y263),"0")</f>
        <v>168</v>
      </c>
      <c r="Z264" s="278">
        <f>IFERROR(IF(Z261="",0,Z261),"0")+IFERROR(IF(Z262="",0,Z262),"0")+IFERROR(IF(Z263="",0,Z263),"0")</f>
        <v>2.6040000000000001</v>
      </c>
      <c r="AA264" s="279"/>
      <c r="AB264" s="279"/>
      <c r="AC264" s="27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7"/>
      <c r="P265" s="298" t="s">
        <v>87</v>
      </c>
      <c r="Q265" s="299"/>
      <c r="R265" s="299"/>
      <c r="S265" s="299"/>
      <c r="T265" s="299"/>
      <c r="U265" s="299"/>
      <c r="V265" s="300"/>
      <c r="W265" s="37" t="s">
        <v>88</v>
      </c>
      <c r="X265" s="278">
        <f>IFERROR(SUMPRODUCT(X261:X263*H261:H263),"0")</f>
        <v>840</v>
      </c>
      <c r="Y265" s="278">
        <f>IFERROR(SUMPRODUCT(Y261:Y263*H261:H263),"0")</f>
        <v>840</v>
      </c>
      <c r="Z265" s="37"/>
      <c r="AA265" s="279"/>
      <c r="AB265" s="279"/>
      <c r="AC265" s="279"/>
    </row>
    <row r="266" spans="1:68" ht="14.25" hidden="1" customHeight="1" x14ac:dyDescent="0.25">
      <c r="A266" s="301" t="s">
        <v>153</v>
      </c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72"/>
      <c r="AB266" s="272"/>
      <c r="AC266" s="272"/>
    </row>
    <row r="267" spans="1:68" ht="16.5" customHeight="1" x14ac:dyDescent="0.25">
      <c r="A267" s="54" t="s">
        <v>351</v>
      </c>
      <c r="B267" s="54" t="s">
        <v>352</v>
      </c>
      <c r="C267" s="31">
        <v>4301137066</v>
      </c>
      <c r="D267" s="288">
        <v>4620207492109</v>
      </c>
      <c r="E267" s="289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435" t="s">
        <v>353</v>
      </c>
      <c r="Q267" s="281"/>
      <c r="R267" s="281"/>
      <c r="S267" s="281"/>
      <c r="T267" s="282"/>
      <c r="U267" s="34"/>
      <c r="V267" s="34"/>
      <c r="W267" s="35" t="s">
        <v>68</v>
      </c>
      <c r="X267" s="276">
        <v>24</v>
      </c>
      <c r="Y267" s="277">
        <f t="shared" ref="Y267:Y276" si="18">IFERROR(IF(X267="","",X267),"")</f>
        <v>24</v>
      </c>
      <c r="Z267" s="36">
        <f>IFERROR(IF(X267="","",X267*0.0155),"")</f>
        <v>0.372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137.64000000000001</v>
      </c>
      <c r="BN267" s="67">
        <f t="shared" ref="BN267:BN276" si="20">IFERROR(Y267*I267,"0")</f>
        <v>137.64000000000001</v>
      </c>
      <c r="BO267" s="67">
        <f t="shared" ref="BO267:BO276" si="21">IFERROR(X267/J267,"0")</f>
        <v>0.2857142857142857</v>
      </c>
      <c r="BP267" s="67">
        <f t="shared" ref="BP267:BP276" si="22">IFERROR(Y267/J267,"0")</f>
        <v>0.2857142857142857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8">
        <v>4620207492161</v>
      </c>
      <c r="E268" s="289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431" t="s">
        <v>357</v>
      </c>
      <c r="Q268" s="281"/>
      <c r="R268" s="281"/>
      <c r="S268" s="281"/>
      <c r="T268" s="282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359</v>
      </c>
      <c r="B269" s="54" t="s">
        <v>360</v>
      </c>
      <c r="C269" s="31">
        <v>4301137046</v>
      </c>
      <c r="D269" s="288">
        <v>4620207492093</v>
      </c>
      <c r="E269" s="289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368" t="s">
        <v>361</v>
      </c>
      <c r="Q269" s="281"/>
      <c r="R269" s="281"/>
      <c r="S269" s="281"/>
      <c r="T269" s="282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IFERROR(IF(X269="","",X269*0.00936),"")</f>
        <v>0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8">
        <v>4620207492222</v>
      </c>
      <c r="E270" s="289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347" t="s">
        <v>365</v>
      </c>
      <c r="Q270" s="281"/>
      <c r="R270" s="281"/>
      <c r="S270" s="281"/>
      <c r="T270" s="282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4301137074</v>
      </c>
      <c r="D271" s="288">
        <v>4620207492116</v>
      </c>
      <c r="E271" s="289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443" t="s">
        <v>368</v>
      </c>
      <c r="Q271" s="281"/>
      <c r="R271" s="281"/>
      <c r="S271" s="281"/>
      <c r="T271" s="282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8">
        <v>4620207492123</v>
      </c>
      <c r="E272" s="289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417" t="s">
        <v>371</v>
      </c>
      <c r="Q272" s="281"/>
      <c r="R272" s="281"/>
      <c r="S272" s="281"/>
      <c r="T272" s="282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8">
        <v>4620207492130</v>
      </c>
      <c r="E273" s="289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429" t="s">
        <v>374</v>
      </c>
      <c r="Q273" s="281"/>
      <c r="R273" s="281"/>
      <c r="S273" s="281"/>
      <c r="T273" s="282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8">
        <v>4620207491942</v>
      </c>
      <c r="E274" s="289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36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81"/>
      <c r="R274" s="281"/>
      <c r="S274" s="281"/>
      <c r="T274" s="282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8">
        <v>4620207491911</v>
      </c>
      <c r="E275" s="289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452" t="s">
        <v>379</v>
      </c>
      <c r="Q275" s="281"/>
      <c r="R275" s="281"/>
      <c r="S275" s="281"/>
      <c r="T275" s="282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8">
        <v>4620207491935</v>
      </c>
      <c r="E276" s="289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34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1"/>
      <c r="R276" s="281"/>
      <c r="S276" s="281"/>
      <c r="T276" s="282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5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7"/>
      <c r="P277" s="298" t="s">
        <v>87</v>
      </c>
      <c r="Q277" s="299"/>
      <c r="R277" s="299"/>
      <c r="S277" s="299"/>
      <c r="T277" s="299"/>
      <c r="U277" s="299"/>
      <c r="V277" s="300"/>
      <c r="W277" s="37" t="s">
        <v>68</v>
      </c>
      <c r="X277" s="278">
        <f>IFERROR(SUM(X267:X276),"0")</f>
        <v>24</v>
      </c>
      <c r="Y277" s="278">
        <f>IFERROR(SUM(Y267:Y276),"0")</f>
        <v>24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0.372</v>
      </c>
      <c r="AA277" s="279"/>
      <c r="AB277" s="279"/>
      <c r="AC277" s="279"/>
    </row>
    <row r="278" spans="1:68" x14ac:dyDescent="0.2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7"/>
      <c r="P278" s="298" t="s">
        <v>87</v>
      </c>
      <c r="Q278" s="299"/>
      <c r="R278" s="299"/>
      <c r="S278" s="299"/>
      <c r="T278" s="299"/>
      <c r="U278" s="299"/>
      <c r="V278" s="300"/>
      <c r="W278" s="37" t="s">
        <v>88</v>
      </c>
      <c r="X278" s="278">
        <f>IFERROR(SUMPRODUCT(X267:X276*H267:H276),"0")</f>
        <v>132</v>
      </c>
      <c r="Y278" s="278">
        <f>IFERROR(SUMPRODUCT(Y267:Y276*H267:H276),"0")</f>
        <v>132</v>
      </c>
      <c r="Z278" s="37"/>
      <c r="AA278" s="279"/>
      <c r="AB278" s="279"/>
      <c r="AC278" s="279"/>
    </row>
    <row r="279" spans="1:68" ht="15" customHeight="1" x14ac:dyDescent="0.2">
      <c r="A279" s="384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383"/>
      <c r="P279" s="294" t="s">
        <v>382</v>
      </c>
      <c r="Q279" s="295"/>
      <c r="R279" s="295"/>
      <c r="S279" s="295"/>
      <c r="T279" s="295"/>
      <c r="U279" s="295"/>
      <c r="V279" s="296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7117.6800000000012</v>
      </c>
      <c r="Y279" s="278">
        <f>IFERROR(Y31+Y35+Y41+Y48+Y54+Y62+Y71+Y77+Y82+Y88+Y98+Y104+Y115+Y119+Y123+Y128+Y135+Y141+Y147+Y153+Y159+Y164+Y169+Y174+Y180+Y184+Y190+Y195+Y204+Y210+Y215+Y221+Y226+Y232+Y238+Y242+Y248+Y252+Y259+Y265+Y278,"0")</f>
        <v>7117.6800000000012</v>
      </c>
      <c r="Z279" s="37"/>
      <c r="AA279" s="279"/>
      <c r="AB279" s="279"/>
      <c r="AC279" s="279"/>
    </row>
    <row r="280" spans="1:68" x14ac:dyDescent="0.2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383"/>
      <c r="P280" s="294" t="s">
        <v>383</v>
      </c>
      <c r="Q280" s="295"/>
      <c r="R280" s="295"/>
      <c r="S280" s="295"/>
      <c r="T280" s="295"/>
      <c r="U280" s="295"/>
      <c r="V280" s="296"/>
      <c r="W280" s="37" t="s">
        <v>88</v>
      </c>
      <c r="X280" s="278">
        <f>IFERROR(SUM(BM22:BM276),"0")</f>
        <v>7750.0196000000005</v>
      </c>
      <c r="Y280" s="278">
        <f>IFERROR(SUM(BN22:BN276),"0")</f>
        <v>7750.0196000000005</v>
      </c>
      <c r="Z280" s="37"/>
      <c r="AA280" s="279"/>
      <c r="AB280" s="279"/>
      <c r="AC280" s="279"/>
    </row>
    <row r="281" spans="1:68" x14ac:dyDescent="0.2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383"/>
      <c r="P281" s="294" t="s">
        <v>384</v>
      </c>
      <c r="Q281" s="295"/>
      <c r="R281" s="295"/>
      <c r="S281" s="295"/>
      <c r="T281" s="295"/>
      <c r="U281" s="295"/>
      <c r="V281" s="296"/>
      <c r="W281" s="37" t="s">
        <v>385</v>
      </c>
      <c r="X281" s="38">
        <f>ROUNDUP(SUM(BO22:BO276),0)</f>
        <v>20</v>
      </c>
      <c r="Y281" s="38">
        <f>ROUNDUP(SUM(BP22:BP276),0)</f>
        <v>20</v>
      </c>
      <c r="Z281" s="37"/>
      <c r="AA281" s="279"/>
      <c r="AB281" s="279"/>
      <c r="AC281" s="279"/>
    </row>
    <row r="282" spans="1:68" x14ac:dyDescent="0.2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383"/>
      <c r="P282" s="294" t="s">
        <v>386</v>
      </c>
      <c r="Q282" s="295"/>
      <c r="R282" s="295"/>
      <c r="S282" s="295"/>
      <c r="T282" s="295"/>
      <c r="U282" s="295"/>
      <c r="V282" s="296"/>
      <c r="W282" s="37" t="s">
        <v>88</v>
      </c>
      <c r="X282" s="278">
        <f>GrossWeightTotal+PalletQtyTotal*25</f>
        <v>8250.0195999999996</v>
      </c>
      <c r="Y282" s="278">
        <f>GrossWeightTotalR+PalletQtyTotalR*25</f>
        <v>8250.0195999999996</v>
      </c>
      <c r="Z282" s="37"/>
      <c r="AA282" s="279"/>
      <c r="AB282" s="279"/>
      <c r="AC282" s="279"/>
    </row>
    <row r="283" spans="1:68" x14ac:dyDescent="0.2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383"/>
      <c r="P283" s="294" t="s">
        <v>387</v>
      </c>
      <c r="Q283" s="295"/>
      <c r="R283" s="295"/>
      <c r="S283" s="295"/>
      <c r="T283" s="295"/>
      <c r="U283" s="295"/>
      <c r="V283" s="296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1678</v>
      </c>
      <c r="Y283" s="278">
        <f>IFERROR(Y30+Y34+Y40+Y47+Y53+Y61+Y70+Y76+Y81+Y87+Y97+Y103+Y114+Y118+Y122+Y127+Y134+Y140+Y146+Y152+Y158+Y163+Y168+Y173+Y179+Y183+Y189+Y194+Y203+Y209+Y214+Y220+Y225+Y231+Y237+Y241+Y247+Y251+Y258+Y264+Y277,"0")</f>
        <v>1678</v>
      </c>
      <c r="Z283" s="37"/>
      <c r="AA283" s="279"/>
      <c r="AB283" s="279"/>
      <c r="AC283" s="279"/>
    </row>
    <row r="284" spans="1:68" ht="14.25" hidden="1" customHeight="1" x14ac:dyDescent="0.2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383"/>
      <c r="P284" s="294" t="s">
        <v>388</v>
      </c>
      <c r="Q284" s="295"/>
      <c r="R284" s="295"/>
      <c r="S284" s="295"/>
      <c r="T284" s="295"/>
      <c r="U284" s="295"/>
      <c r="V284" s="296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24.755799999999997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291" t="s">
        <v>61</v>
      </c>
      <c r="C286" s="292"/>
      <c r="D286" s="291" t="s">
        <v>100</v>
      </c>
      <c r="E286" s="337"/>
      <c r="F286" s="337"/>
      <c r="G286" s="337"/>
      <c r="H286" s="337"/>
      <c r="I286" s="337"/>
      <c r="J286" s="337"/>
      <c r="K286" s="337"/>
      <c r="L286" s="337"/>
      <c r="M286" s="337"/>
      <c r="N286" s="337"/>
      <c r="O286" s="337"/>
      <c r="P286" s="337"/>
      <c r="Q286" s="337"/>
      <c r="R286" s="337"/>
      <c r="S286" s="337"/>
      <c r="T286" s="337"/>
      <c r="U286" s="292"/>
      <c r="V286" s="291" t="s">
        <v>262</v>
      </c>
      <c r="W286" s="337"/>
      <c r="X286" s="292"/>
      <c r="Y286" s="273" t="s">
        <v>280</v>
      </c>
      <c r="Z286" s="291" t="s">
        <v>294</v>
      </c>
      <c r="AA286" s="337"/>
      <c r="AB286" s="292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453" t="s">
        <v>391</v>
      </c>
      <c r="B287" s="291" t="s">
        <v>61</v>
      </c>
      <c r="C287" s="291" t="s">
        <v>94</v>
      </c>
      <c r="D287" s="291" t="s">
        <v>101</v>
      </c>
      <c r="E287" s="291" t="s">
        <v>112</v>
      </c>
      <c r="F287" s="291" t="s">
        <v>119</v>
      </c>
      <c r="G287" s="291" t="s">
        <v>130</v>
      </c>
      <c r="H287" s="291" t="s">
        <v>145</v>
      </c>
      <c r="I287" s="291" t="s">
        <v>152</v>
      </c>
      <c r="J287" s="291" t="s">
        <v>157</v>
      </c>
      <c r="K287" s="291" t="s">
        <v>165</v>
      </c>
      <c r="L287" s="291" t="s">
        <v>180</v>
      </c>
      <c r="M287" s="291" t="s">
        <v>187</v>
      </c>
      <c r="N287" s="274"/>
      <c r="O287" s="291" t="s">
        <v>213</v>
      </c>
      <c r="P287" s="291" t="s">
        <v>234</v>
      </c>
      <c r="Q287" s="291" t="s">
        <v>240</v>
      </c>
      <c r="R287" s="291" t="s">
        <v>246</v>
      </c>
      <c r="S287" s="291" t="s">
        <v>252</v>
      </c>
      <c r="T287" s="291" t="s">
        <v>255</v>
      </c>
      <c r="U287" s="291" t="s">
        <v>259</v>
      </c>
      <c r="V287" s="291" t="s">
        <v>263</v>
      </c>
      <c r="W287" s="291" t="s">
        <v>270</v>
      </c>
      <c r="X287" s="291" t="s">
        <v>277</v>
      </c>
      <c r="Y287" s="291" t="s">
        <v>281</v>
      </c>
      <c r="Z287" s="291" t="s">
        <v>295</v>
      </c>
      <c r="AA287" s="291" t="s">
        <v>305</v>
      </c>
      <c r="AB287" s="291" t="s">
        <v>312</v>
      </c>
      <c r="AC287" s="291" t="s">
        <v>317</v>
      </c>
      <c r="AD287" s="291" t="s">
        <v>322</v>
      </c>
      <c r="AE287" s="291" t="s">
        <v>329</v>
      </c>
      <c r="AF287" s="291" t="s">
        <v>263</v>
      </c>
    </row>
    <row r="288" spans="1:68" ht="13.5" customHeight="1" thickBot="1" x14ac:dyDescent="0.25">
      <c r="A288" s="454"/>
      <c r="B288" s="293"/>
      <c r="C288" s="293"/>
      <c r="D288" s="293"/>
      <c r="E288" s="293"/>
      <c r="F288" s="293"/>
      <c r="G288" s="293"/>
      <c r="H288" s="293"/>
      <c r="I288" s="293"/>
      <c r="J288" s="293"/>
      <c r="K288" s="293"/>
      <c r="L288" s="293"/>
      <c r="M288" s="293"/>
      <c r="N288" s="274"/>
      <c r="O288" s="293"/>
      <c r="P288" s="293"/>
      <c r="Q288" s="293"/>
      <c r="R288" s="293"/>
      <c r="S288" s="293"/>
      <c r="T288" s="293"/>
      <c r="U288" s="293"/>
      <c r="V288" s="293"/>
      <c r="W288" s="293"/>
      <c r="X288" s="293"/>
      <c r="Y288" s="293"/>
      <c r="Z288" s="293"/>
      <c r="AA288" s="293"/>
      <c r="AB288" s="293"/>
      <c r="AC288" s="293"/>
      <c r="AD288" s="293"/>
      <c r="AE288" s="293"/>
      <c r="AF288" s="293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307.20000000000005</v>
      </c>
      <c r="C289" s="46">
        <f>IFERROR(X38*H38,"0")+IFERROR(X39*H39,"0")</f>
        <v>0</v>
      </c>
      <c r="D289" s="46">
        <f>IFERROR(X45*H45,"0")+IFERROR(X46*H46,"0")</f>
        <v>189</v>
      </c>
      <c r="E289" s="46">
        <f>IFERROR(X51*H51,"0")+IFERROR(X52*H52,"0")</f>
        <v>403.19999999999993</v>
      </c>
      <c r="F289" s="46">
        <f>IFERROR(X57*H57,"0")+IFERROR(X58*H58,"0")+IFERROR(X59*H59,"0")+IFERROR(X60*H60,"0")</f>
        <v>588</v>
      </c>
      <c r="G289" s="46">
        <f>IFERROR(X65*H65,"0")+IFERROR(X66*H66,"0")+IFERROR(X67*H67,"0")+IFERROR(X68*H68,"0")+IFERROR(X69*H69,"0")</f>
        <v>67.2</v>
      </c>
      <c r="H289" s="46">
        <f>IFERROR(X74*H74,"0")+IFERROR(X75*H75,"0")</f>
        <v>0</v>
      </c>
      <c r="I289" s="46">
        <f>IFERROR(X80*H80,"0")</f>
        <v>0</v>
      </c>
      <c r="J289" s="46">
        <f>IFERROR(X85*H85,"0")+IFERROR(X86*H86,"0")</f>
        <v>0</v>
      </c>
      <c r="K289" s="46">
        <f>IFERROR(X91*H91,"0")+IFERROR(X92*H92,"0")+IFERROR(X93*H93,"0")+IFERROR(X94*H94,"0")+IFERROR(X95*H95,"0")+IFERROR(X96*H96,"0")</f>
        <v>443.52</v>
      </c>
      <c r="L289" s="46">
        <f>IFERROR(X101*H101,"0")+IFERROR(X102*H102,"0")</f>
        <v>0</v>
      </c>
      <c r="M289" s="46">
        <f>IFERROR(X107*H107,"0")+IFERROR(X108*H108,"0")+IFERROR(X109*H109,"0")+IFERROR(X110*H110,"0")+IFERROR(X111*H111,"0")+IFERROR(X112*H112,"0")+IFERROR(X113*H113,"0")+IFERROR(X117*H117,"0")+IFERROR(X121*H121,"0")</f>
        <v>1483.2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93.240000000000009</v>
      </c>
      <c r="P289" s="46">
        <f>IFERROR(X144*H144,"0")+IFERROR(X145*H145,"0")</f>
        <v>168</v>
      </c>
      <c r="Q289" s="46">
        <f>IFERROR(X150*H150,"0")+IFERROR(X151*H151,"0")</f>
        <v>168</v>
      </c>
      <c r="R289" s="46">
        <f>IFERROR(X156*H156,"0")+IFERROR(X157*H157,"0")</f>
        <v>134.4</v>
      </c>
      <c r="S289" s="46">
        <f>IFERROR(X162*H162,"0")</f>
        <v>0</v>
      </c>
      <c r="T289" s="46">
        <f>IFERROR(X167*H167,"0")</f>
        <v>0</v>
      </c>
      <c r="U289" s="46">
        <f>IFERROR(X172*H172,"0")</f>
        <v>94.08</v>
      </c>
      <c r="V289" s="46">
        <f>IFERROR(X178*H178,"0")+IFERROR(X182*H182,"0")</f>
        <v>72</v>
      </c>
      <c r="W289" s="46">
        <f>IFERROR(X187*H187,"0")+IFERROR(X188*H188,"0")</f>
        <v>300</v>
      </c>
      <c r="X289" s="46">
        <f>IFERROR(X193*H193,"0")</f>
        <v>840</v>
      </c>
      <c r="Y289" s="46">
        <f>IFERROR(X199*H199,"0")+IFERROR(X200*H200,"0")+IFERROR(X201*H201,"0")+IFERROR(X202*H202,"0")</f>
        <v>336</v>
      </c>
      <c r="Z289" s="46">
        <f>IFERROR(X208*H208,"0")+IFERROR(X212*H212,"0")+IFERROR(X213*H213,"0")</f>
        <v>38.64</v>
      </c>
      <c r="AA289" s="46">
        <f>IFERROR(X218*H218,"0")+IFERROR(X219*H219,"0")</f>
        <v>0</v>
      </c>
      <c r="AB289" s="46">
        <f>IFERROR(X224*H224,"0")</f>
        <v>420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972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4341.6000000000004</v>
      </c>
      <c r="B292" s="60">
        <f>SUMPRODUCT(--(BB:BB="ПГП"),--(W:W="кор"),H:H,Y:Y)+SUMPRODUCT(--(BB:BB="ПГП"),--(W:W="кг"),Y:Y)</f>
        <v>2776.08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83,20"/>
        <filter val="1 678,00"/>
        <filter val="112,00"/>
        <filter val="12,00"/>
        <filter val="126,00"/>
        <filter val="132,00"/>
        <filter val="134,40"/>
        <filter val="14,00"/>
        <filter val="140,00"/>
        <filter val="168,00"/>
        <filter val="189,00"/>
        <filter val="20"/>
        <filter val="216,00"/>
        <filter val="24,00"/>
        <filter val="28,00"/>
        <filter val="300,00"/>
        <filter val="307,20"/>
        <filter val="336,00"/>
        <filter val="38,64"/>
        <filter val="403,20"/>
        <filter val="42,00"/>
        <filter val="420,00"/>
        <filter val="443,52"/>
        <filter val="48,00"/>
        <filter val="56,00"/>
        <filter val="588,00"/>
        <filter val="60,00"/>
        <filter val="67,20"/>
        <filter val="7 117,68"/>
        <filter val="7 750,02"/>
        <filter val="70,00"/>
        <filter val="72,00"/>
        <filter val="8 250,02"/>
        <filter val="84,00"/>
        <filter val="840,00"/>
        <filter val="93,24"/>
        <filter val="94,08"/>
      </filters>
    </filterColumn>
    <filterColumn colId="29" showButton="0"/>
    <filterColumn colId="30" showButton="0"/>
  </autoFilter>
  <mergeCells count="507"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P28:T28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P240:T240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287:A288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P267:T267"/>
    <mergeCell ref="P41:V41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D1:F1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34:V34"/>
    <mergeCell ref="A239:Z239"/>
    <mergeCell ref="P214:V214"/>
    <mergeCell ref="Q9:R9"/>
    <mergeCell ref="A32:Z32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P273:T273"/>
    <mergeCell ref="D145:E145"/>
    <mergeCell ref="D272:E272"/>
    <mergeCell ref="A225:O226"/>
    <mergeCell ref="P39:T39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T6:U9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A6:C6"/>
    <mergeCell ref="D113:E113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H10:M1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Q13:R13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0:C10"/>
    <mergeCell ref="A136:Z136"/>
    <mergeCell ref="A79:Z79"/>
    <mergeCell ref="P22:T22"/>
    <mergeCell ref="P257:T257"/>
    <mergeCell ref="P54:V54"/>
    <mergeCell ref="P80:T8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D275:E275"/>
    <mergeCell ref="AA287:AA288"/>
    <mergeCell ref="A207:Z207"/>
    <mergeCell ref="P123:V123"/>
    <mergeCell ref="P59:T59"/>
    <mergeCell ref="P130:T130"/>
    <mergeCell ref="P46:T46"/>
    <mergeCell ref="A114:O115"/>
    <mergeCell ref="P274:T274"/>
    <mergeCell ref="P193:T193"/>
    <mergeCell ref="D65:E65"/>
    <mergeCell ref="P167:T167"/>
    <mergeCell ref="A120:Z120"/>
    <mergeCell ref="A89:Z89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D257:E257"/>
    <mergeCell ref="P270:T270"/>
    <mergeCell ref="D86:E86"/>
    <mergeCell ref="D213:E213"/>
    <mergeCell ref="D151:E151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118:O119"/>
    <mergeCell ref="A189:O190"/>
    <mergeCell ref="D102:E102"/>
    <mergeCell ref="P81:V81"/>
    <mergeCell ref="D25:E25"/>
    <mergeCell ref="D133:E13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V12:W12"/>
    <mergeCell ref="D262:E262"/>
    <mergeCell ref="P122:V122"/>
    <mergeCell ref="A245:Z245"/>
    <mergeCell ref="P25:T25"/>
    <mergeCell ref="P85:T85"/>
    <mergeCell ref="P60:T60"/>
    <mergeCell ref="D95:E95"/>
    <mergeCell ref="U17:V17"/>
    <mergeCell ref="Y17:Y18"/>
    <mergeCell ref="D57:E57"/>
    <mergeCell ref="P163:V163"/>
    <mergeCell ref="P151:T151"/>
    <mergeCell ref="P76:V76"/>
    <mergeCell ref="A255:Z255"/>
    <mergeCell ref="P126:T126"/>
    <mergeCell ref="A217:Z217"/>
    <mergeCell ref="P218:T218"/>
    <mergeCell ref="P140:V140"/>
    <mergeCell ref="A233:Z233"/>
    <mergeCell ref="A168:O169"/>
    <mergeCell ref="M17:M18"/>
    <mergeCell ref="O17:O18"/>
    <mergeCell ref="P258:V258"/>
    <mergeCell ref="P202:T202"/>
    <mergeCell ref="X17:X18"/>
    <mergeCell ref="A163:O164"/>
    <mergeCell ref="D250:E250"/>
    <mergeCell ref="P58:T58"/>
    <mergeCell ref="B286:C286"/>
    <mergeCell ref="J287:J288"/>
    <mergeCell ref="L287:L288"/>
    <mergeCell ref="P283:V283"/>
    <mergeCell ref="D271:E271"/>
    <mergeCell ref="D268:E268"/>
    <mergeCell ref="V286:X286"/>
    <mergeCell ref="P174:V174"/>
    <mergeCell ref="A175:Z175"/>
    <mergeCell ref="A235:Z235"/>
    <mergeCell ref="P102:T102"/>
    <mergeCell ref="D286:U286"/>
    <mergeCell ref="P189:V189"/>
    <mergeCell ref="A185:Z185"/>
    <mergeCell ref="D33:E33"/>
    <mergeCell ref="P281:V281"/>
    <mergeCell ref="A106:Z106"/>
    <mergeCell ref="P200:T200"/>
    <mergeCell ref="A251:O25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2026-10-23T12:23:18Z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