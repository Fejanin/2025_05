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091EFD-5394-44D8-8695-BAFABBD79608}" xr6:coauthVersionLast="47" xr6:coauthVersionMax="47" xr10:uidLastSave="{00000000-0000-0000-0000-000000000000}"/>
  <bookViews>
    <workbookView xWindow="0" yWindow="15" windowWidth="27075" windowHeight="1539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<sst xmlns="http://schemas.openxmlformats.org/spreadsheetml/2006/main" count="1762" uniqueCount="408">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</sst>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 t="s">
        <v>407</v>
      </c>
      <c r="I5" s="296"/>
      <c r="J5" s="296"/>
      <c r="K5" s="296"/>
      <c r="L5" s="296"/>
      <c r="M5" s="296"/>
      <c r="N5" s="75"/>
      <c r="P5" s="27" t="s">
        <v>4</v>
      </c>
      <c r="Q5" s="298">
        <v>46321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0.45833333333333331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hidden="1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hidden="1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hidden="1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hidden="1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hidden="1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hidden="1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hidden="1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350</v>
      </c>
      <c r="Y41" s="55">
        <f>IFERROR(IF(X41="","",X41),"")</f>
        <v>350</v>
      </c>
      <c r="Z41" s="41">
        <f>IFERROR(IF(X41="","",X41*0.00941),"")</f>
        <v>3.2934999999999999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672.63</v>
      </c>
      <c r="BN41" s="81">
        <f>IFERROR(Y41*I41,"0")</f>
        <v>672.63</v>
      </c>
      <c r="BO41" s="81">
        <f>IFERROR(X41/J41,"0")</f>
        <v>2.5</v>
      </c>
      <c r="BP41" s="81">
        <f>IFERROR(Y41/J41,"0")</f>
        <v>2.5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350</v>
      </c>
      <c r="Y42" s="55">
        <f>IFERROR(IF(X42="","",X42),"")</f>
        <v>350</v>
      </c>
      <c r="Z42" s="41">
        <f>IFERROR(IF(X42="","",X42*0.00941),"")</f>
        <v>3.2934999999999999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672.63</v>
      </c>
      <c r="BN42" s="81">
        <f>IFERROR(Y42*I42,"0")</f>
        <v>672.63</v>
      </c>
      <c r="BO42" s="81">
        <f>IFERROR(X42/J42,"0")</f>
        <v>2.5</v>
      </c>
      <c r="BP42" s="81">
        <f>IFERROR(Y42/J42,"0")</f>
        <v>2.5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700</v>
      </c>
      <c r="Y43" s="43">
        <f>IFERROR(SUM(Y41:Y42),"0")</f>
        <v>700</v>
      </c>
      <c r="Z43" s="43">
        <f>IFERROR(IF(Z41="",0,Z41),"0")+IFERROR(IF(Z42="",0,Z42),"0")</f>
        <v>6.5869999999999997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1050</v>
      </c>
      <c r="Y44" s="43">
        <f>IFERROR(SUMPRODUCT(Y41:Y42*H41:H42),"0")</f>
        <v>1050</v>
      </c>
      <c r="Z44" s="42"/>
      <c r="AA44" s="67"/>
      <c r="AB44" s="67"/>
      <c r="AC44" s="67"/>
    </row>
    <row r="45" spans="1:68" ht="16.5" hidden="1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hidden="1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hidden="1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hidden="1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idden="1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hidden="1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hidden="1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234</v>
      </c>
      <c r="Y71" s="55">
        <f>IFERROR(IF(X71="","",X71),"")</f>
        <v>234</v>
      </c>
      <c r="Z71" s="41">
        <f>IFERROR(IF(X71="","",X71*0.00941),"")</f>
        <v>2.20194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365.04</v>
      </c>
      <c r="BN71" s="81">
        <f>IFERROR(Y71*I71,"0")</f>
        <v>365.04</v>
      </c>
      <c r="BO71" s="81">
        <f>IFERROR(X71/J71,"0")</f>
        <v>1.6714285714285715</v>
      </c>
      <c r="BP71" s="81">
        <f>IFERROR(Y71/J71,"0")</f>
        <v>1.6714285714285715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350</v>
      </c>
      <c r="Y72" s="55">
        <f>IFERROR(IF(X72="","",X72),"")</f>
        <v>350</v>
      </c>
      <c r="Z72" s="41">
        <f>IFERROR(IF(X72="","",X72*0.00941),"")</f>
        <v>3.2934999999999999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546</v>
      </c>
      <c r="BN72" s="81">
        <f>IFERROR(Y72*I72,"0")</f>
        <v>546</v>
      </c>
      <c r="BO72" s="81">
        <f>IFERROR(X72/J72,"0")</f>
        <v>2.5</v>
      </c>
      <c r="BP72" s="81">
        <f>IFERROR(Y72/J72,"0")</f>
        <v>2.5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584</v>
      </c>
      <c r="Y73" s="43">
        <f>IFERROR(SUM(Y70:Y72),"0")</f>
        <v>584</v>
      </c>
      <c r="Z73" s="43">
        <f>IFERROR(IF(Z70="",0,Z70),"0")+IFERROR(IF(Z71="",0,Z71),"0")+IFERROR(IF(Z72="",0,Z72),"0")</f>
        <v>5.4954400000000003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700.8</v>
      </c>
      <c r="Y74" s="43">
        <f>IFERROR(SUMPRODUCT(Y70:Y72*H70:H72),"0")</f>
        <v>700.8</v>
      </c>
      <c r="Z74" s="42"/>
      <c r="AA74" s="67"/>
      <c r="AB74" s="67"/>
      <c r="AC74" s="67"/>
    </row>
    <row r="75" spans="1:68" ht="16.5" hidden="1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hidden="1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hidden="1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hidden="1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hidden="1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hidden="1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hidden="1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hidden="1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84</v>
      </c>
      <c r="Y90" s="43">
        <f>IFERROR(SUM(Y88:Y89),"0")</f>
        <v>84</v>
      </c>
      <c r="Z90" s="43">
        <f>IFERROR(IF(Z88="",0,Z88),"0")+IFERROR(IF(Z89="",0,Z89),"0")</f>
        <v>1.5019199999999999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302.40000000000003</v>
      </c>
      <c r="Y91" s="43">
        <f>IFERROR(SUMPRODUCT(Y88:Y89*H88:H89),"0")</f>
        <v>302.40000000000003</v>
      </c>
      <c r="Z91" s="42"/>
      <c r="AA91" s="67"/>
      <c r="AB91" s="67"/>
      <c r="AC91" s="67"/>
    </row>
    <row r="92" spans="1:68" ht="16.5" hidden="1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hidden="1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117</v>
      </c>
      <c r="Y94" s="55">
        <f t="shared" ref="Y94:Y99" si="6">IFERROR(IF(X94="","",X94),"")</f>
        <v>117</v>
      </c>
      <c r="Z94" s="41">
        <f t="shared" ref="Z94:Z99" si="7">IFERROR(IF(X94="","",X94*0.01788),"")</f>
        <v>2.0919599999999998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419.28120000000001</v>
      </c>
      <c r="BN94" s="81">
        <f t="shared" ref="BN94:BN99" si="9">IFERROR(Y94*I94,"0")</f>
        <v>419.28120000000001</v>
      </c>
      <c r="BO94" s="81">
        <f t="shared" ref="BO94:BO99" si="10">IFERROR(X94/J94,"0")</f>
        <v>1.6714285714285715</v>
      </c>
      <c r="BP94" s="81">
        <f t="shared" ref="BP94:BP99" si="11">IFERROR(Y94/J94,"0")</f>
        <v>1.6714285714285715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182</v>
      </c>
      <c r="Y95" s="55">
        <f t="shared" si="6"/>
        <v>182</v>
      </c>
      <c r="Z95" s="41">
        <f t="shared" si="7"/>
        <v>3.2541600000000002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652.21519999999998</v>
      </c>
      <c r="BN95" s="81">
        <f t="shared" si="9"/>
        <v>652.21519999999998</v>
      </c>
      <c r="BO95" s="81">
        <f t="shared" si="10"/>
        <v>2.6</v>
      </c>
      <c r="BP95" s="81">
        <f t="shared" si="11"/>
        <v>2.6</v>
      </c>
    </row>
    <row r="96" spans="1:68" ht="27" hidden="1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/>
      <c r="Y96" s="55" t="str">
        <f t="shared" si="6"/>
        <v/>
      </c>
      <c r="Z96" s="41" t="str">
        <f t="shared" si="7"/>
        <v/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 t="str">
        <f t="shared" si="9"/>
        <v>0</v>
      </c>
      <c r="BO96" s="81">
        <f t="shared" si="10"/>
        <v>0</v>
      </c>
      <c r="BP96" s="81" t="str">
        <f t="shared" si="11"/>
        <v>0</v>
      </c>
    </row>
    <row r="97" spans="1:68" ht="27" hidden="1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hidden="1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/>
      <c r="Y99" s="55" t="str">
        <f t="shared" si="6"/>
        <v/>
      </c>
      <c r="Z99" s="41" t="str">
        <f t="shared" si="7"/>
        <v/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 t="str">
        <f t="shared" si="9"/>
        <v>0</v>
      </c>
      <c r="BO99" s="81">
        <f t="shared" si="10"/>
        <v>0</v>
      </c>
      <c r="BP99" s="81" t="str">
        <f t="shared" si="11"/>
        <v>0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299</v>
      </c>
      <c r="Y100" s="43">
        <f>IFERROR(SUM(Y94:Y99),"0")</f>
        <v>299</v>
      </c>
      <c r="Z100" s="43">
        <f>IFERROR(IF(Z94="",0,Z94),"0")+IFERROR(IF(Z95="",0,Z95),"0")+IFERROR(IF(Z96="",0,Z96),"0")+IFERROR(IF(Z97="",0,Z97),"0")+IFERROR(IF(Z98="",0,Z98),"0")+IFERROR(IF(Z99="",0,Z99),"0")</f>
        <v>5.34612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861.11999999999989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hidden="1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hidden="1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hidden="1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/>
      <c r="Y104" s="55" t="str">
        <f>IFERROR(IF(X104="","",X104),"")</f>
        <v/>
      </c>
      <c r="Z104" s="41" t="str">
        <f>IFERROR(IF(X104="","",X104*0.00936),"")</f>
        <v/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 t="str">
        <f>IFERROR(Y104*I104,"0")</f>
        <v>0</v>
      </c>
      <c r="BO104" s="81">
        <f>IFERROR(X104/J104,"0")</f>
        <v>0</v>
      </c>
      <c r="BP104" s="81" t="str">
        <f>IFERROR(Y104/J104,"0")</f>
        <v>0</v>
      </c>
    </row>
    <row r="105" spans="1:68" ht="27" hidden="1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0</v>
      </c>
      <c r="Y107" s="43" t="str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hidden="1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hidden="1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hidden="1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/>
      <c r="Y113" s="55" t="str">
        <f t="shared" si="12"/>
        <v/>
      </c>
      <c r="Z113" s="41" t="str">
        <f t="shared" si="13"/>
        <v/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 t="str">
        <f t="shared" si="15"/>
        <v>0</v>
      </c>
      <c r="BO113" s="81">
        <f t="shared" si="16"/>
        <v>0</v>
      </c>
      <c r="BP113" s="81" t="str">
        <f t="shared" si="17"/>
        <v>0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hidden="1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idden="1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0</v>
      </c>
      <c r="Y120" s="43" t="str">
        <f>IFERROR(SUMPRODUCT(Y110:Y118*H110:H118),"0")</f>
        <v>0</v>
      </c>
      <c r="Z120" s="42"/>
      <c r="AA120" s="67"/>
      <c r="AB120" s="67"/>
      <c r="AC120" s="67"/>
    </row>
    <row r="121" spans="1:68" ht="14.25" hidden="1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hidden="1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hidden="1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hidden="1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hidden="1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hidden="1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/>
      <c r="Y131" s="55" t="str">
        <f>IFERROR(IF(X131="","",X131),"")</f>
        <v/>
      </c>
      <c r="Z131" s="41" t="str">
        <f>IFERROR(IF(X131="","",X131*0.00941),"")</f>
        <v/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 t="str">
        <f>IFERROR(Y131*I131,"0")</f>
        <v>0</v>
      </c>
      <c r="BO131" s="81">
        <f>IFERROR(X131/J131,"0")</f>
        <v>0</v>
      </c>
      <c r="BP131" s="81" t="str">
        <f>IFERROR(Y131/J131,"0")</f>
        <v>0</v>
      </c>
    </row>
    <row r="132" spans="1:68" ht="27" hidden="1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hidden="1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hidden="1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/>
      <c r="Y134" s="55" t="str">
        <f>IFERROR(IF(X134="","",X134),"")</f>
        <v/>
      </c>
      <c r="Z134" s="41" t="str">
        <f>IFERROR(IF(X134="","",X134*0.00941),"")</f>
        <v/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 t="str">
        <f>IFERROR(Y134*I134,"0")</f>
        <v>0</v>
      </c>
      <c r="BO134" s="81">
        <f>IFERROR(X134/J134,"0")</f>
        <v>0</v>
      </c>
      <c r="BP134" s="81" t="str">
        <f>IFERROR(Y134/J134,"0")</f>
        <v>0</v>
      </c>
    </row>
    <row r="135" spans="1:68" hidden="1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hidden="1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0</v>
      </c>
      <c r="Y136" s="43" t="str">
        <f>IFERROR(SUMPRODUCT(Y131:Y134*H131:H134),"0")</f>
        <v>0</v>
      </c>
      <c r="Z136" s="42"/>
      <c r="AA136" s="67"/>
      <c r="AB136" s="67"/>
      <c r="AC136" s="67"/>
    </row>
    <row r="137" spans="1:68" ht="14.25" hidden="1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hidden="1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hidden="1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hidden="1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/>
      <c r="Y145" s="55" t="str">
        <f>IFERROR(IF(X145="","",X145),"")</f>
        <v/>
      </c>
      <c r="Z145" s="41" t="str">
        <f>IFERROR(IF(X145="","",X145*0.01788),"")</f>
        <v/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 t="str">
        <f>IFERROR(Y145*I145,"0")</f>
        <v>0</v>
      </c>
      <c r="BO145" s="81">
        <f>IFERROR(X145/J145,"0")</f>
        <v>0</v>
      </c>
      <c r="BP145" s="81" t="str">
        <f>IFERROR(Y145/J145,"0")</f>
        <v>0</v>
      </c>
    </row>
    <row r="146" spans="1:68" ht="27" hidden="1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/>
      <c r="Y146" s="55" t="str">
        <f>IFERROR(IF(X146="","",X146),"")</f>
        <v/>
      </c>
      <c r="Z146" s="41" t="str">
        <f>IFERROR(IF(X146="","",X146*0.01788),"")</f>
        <v/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 t="str">
        <f>IFERROR(Y146*I146,"0")</f>
        <v>0</v>
      </c>
      <c r="BO146" s="81">
        <f>IFERROR(X146/J146,"0")</f>
        <v>0</v>
      </c>
      <c r="BP146" s="81" t="str">
        <f>IFERROR(Y146/J146,"0")</f>
        <v>0</v>
      </c>
    </row>
    <row r="147" spans="1:68" hidden="1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 t="str">
        <f>IFERROR(SUMPRODUCT(Y145:Y146*H145:H146),"0")</f>
        <v>0</v>
      </c>
      <c r="Z148" s="42"/>
      <c r="AA148" s="67"/>
      <c r="AB148" s="67"/>
      <c r="AC148" s="67"/>
    </row>
    <row r="149" spans="1:68" ht="16.5" hidden="1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hidden="1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hidden="1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/>
      <c r="Y151" s="55" t="str">
        <f>IFERROR(IF(X151="","",X151),"")</f>
        <v/>
      </c>
      <c r="Z151" s="41" t="str">
        <f>IFERROR(IF(X151="","",X151*0.01788),"")</f>
        <v/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 t="str">
        <f>IFERROR(Y151*I151,"0")</f>
        <v>0</v>
      </c>
      <c r="BO151" s="81">
        <f>IFERROR(X151/J151,"0")</f>
        <v>0</v>
      </c>
      <c r="BP151" s="81" t="str">
        <f>IFERROR(Y151/J151,"0")</f>
        <v>0</v>
      </c>
    </row>
    <row r="152" spans="1:68" ht="16.5" hidden="1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/>
      <c r="Y152" s="55" t="str">
        <f>IFERROR(IF(X152="","",X152),"")</f>
        <v/>
      </c>
      <c r="Z152" s="41" t="str">
        <f>IFERROR(IF(X152="","",X152*0.01788),"")</f>
        <v/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 t="str">
        <f>IFERROR(Y152*I152,"0")</f>
        <v>0</v>
      </c>
      <c r="BO152" s="81">
        <f>IFERROR(X152/J152,"0")</f>
        <v>0</v>
      </c>
      <c r="BP152" s="81" t="str">
        <f>IFERROR(Y152/J152,"0")</f>
        <v>0</v>
      </c>
    </row>
    <row r="153" spans="1:68" hidden="1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hidden="1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0</v>
      </c>
      <c r="Y154" s="43" t="str">
        <f>IFERROR(SUMPRODUCT(Y151:Y152*H151:H152),"0")</f>
        <v>0</v>
      </c>
      <c r="Z154" s="42"/>
      <c r="AA154" s="67"/>
      <c r="AB154" s="67"/>
      <c r="AC154" s="67"/>
    </row>
    <row r="155" spans="1:68" ht="16.5" hidden="1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hidden="1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hidden="1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hidden="1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/>
      <c r="Y158" s="55" t="str">
        <f>IFERROR(IF(X158="","",X158),"")</f>
        <v/>
      </c>
      <c r="Z158" s="41" t="str">
        <f>IFERROR(IF(X158="","",X158*0.01788),"")</f>
        <v/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 t="str">
        <f>IFERROR(Y158*I158,"0")</f>
        <v>0</v>
      </c>
      <c r="BO158" s="81">
        <f>IFERROR(X158/J158,"0")</f>
        <v>0</v>
      </c>
      <c r="BP158" s="81" t="str">
        <f>IFERROR(Y158/J158,"0")</f>
        <v>0</v>
      </c>
    </row>
    <row r="159" spans="1:68" hidden="1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hidden="1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0</v>
      </c>
      <c r="Y160" s="43" t="str">
        <f>IFERROR(SUMPRODUCT(Y157:Y158*H157:H158),"0")</f>
        <v>0</v>
      </c>
      <c r="Z160" s="42"/>
      <c r="AA160" s="67"/>
      <c r="AB160" s="67"/>
      <c r="AC160" s="67"/>
    </row>
    <row r="161" spans="1:68" ht="16.5" hidden="1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hidden="1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hidden="1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/>
      <c r="Y163" s="55" t="str">
        <f>IFERROR(IF(X163="","",X163),"")</f>
        <v/>
      </c>
      <c r="Z163" s="41" t="str">
        <f>IFERROR(IF(X163="","",X163*0.01788),"")</f>
        <v/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 t="str">
        <f>IFERROR(Y163*I163,"0")</f>
        <v>0</v>
      </c>
      <c r="BO163" s="81">
        <f>IFERROR(X163/J163,"0")</f>
        <v>0</v>
      </c>
      <c r="BP163" s="81" t="str">
        <f>IFERROR(Y163/J163,"0")</f>
        <v>0</v>
      </c>
    </row>
    <row r="164" spans="1:68" hidden="1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 t="str">
        <f>IFERROR(SUMPRODUCT(Y163:Y163*H163:H163),"0")</f>
        <v>0</v>
      </c>
      <c r="Z165" s="42"/>
      <c r="AA165" s="67"/>
      <c r="AB165" s="67"/>
      <c r="AC165" s="67"/>
    </row>
    <row r="166" spans="1:68" ht="16.5" hidden="1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hidden="1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hidden="1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idden="1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hidden="1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hidden="1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hidden="1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/>
      <c r="Y173" s="55" t="str">
        <f>IFERROR(IF(X173="","",X173),"")</f>
        <v/>
      </c>
      <c r="Z173" s="41" t="str">
        <f>IFERROR(IF(X173="","",X173*0.00941),"")</f>
        <v/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 t="str">
        <f>IFERROR(Y173*I173,"0")</f>
        <v>0</v>
      </c>
      <c r="BO173" s="81">
        <f>IFERROR(X173/J173,"0")</f>
        <v>0</v>
      </c>
      <c r="BP173" s="81" t="str">
        <f>IFERROR(Y173/J173,"0")</f>
        <v>0</v>
      </c>
    </row>
    <row r="174" spans="1:68" hidden="1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 t="str">
        <f>IFERROR(SUMPRODUCT(Y173:Y173*H173:H173),"0")</f>
        <v>0</v>
      </c>
      <c r="Z175" s="42"/>
      <c r="AA175" s="67"/>
      <c r="AB175" s="67"/>
      <c r="AC175" s="67"/>
    </row>
    <row r="176" spans="1:68" ht="27.75" hidden="1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hidden="1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hidden="1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hidden="1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hidden="1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idden="1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hidden="1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hidden="1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hidden="1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hidden="1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idden="1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hidden="1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hidden="1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hidden="1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hidden="1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hidden="1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/>
      <c r="Y191" s="55" t="str">
        <f>IFERROR(IF(X191="","",X191),"")</f>
        <v/>
      </c>
      <c r="Z191" s="41" t="str">
        <f>IFERROR(IF(X191="","",X191*0.01788),"")</f>
        <v/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 t="str">
        <f>IFERROR(Y191*I191,"0")</f>
        <v>0</v>
      </c>
      <c r="BO191" s="81">
        <f>IFERROR(X191/J191,"0")</f>
        <v>0</v>
      </c>
      <c r="BP191" s="81" t="str">
        <f>IFERROR(Y191/J191,"0")</f>
        <v>0</v>
      </c>
    </row>
    <row r="192" spans="1:68" ht="27" hidden="1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/>
      <c r="Y192" s="55" t="str">
        <f>IFERROR(IF(X192="","",X192),"")</f>
        <v/>
      </c>
      <c r="Z192" s="41" t="str">
        <f>IFERROR(IF(X192="","",X192*0.01788),"")</f>
        <v/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 t="str">
        <f>IFERROR(Y192*I192,"0")</f>
        <v>0</v>
      </c>
      <c r="BO192" s="81">
        <f>IFERROR(X192/J192,"0")</f>
        <v>0</v>
      </c>
      <c r="BP192" s="81" t="str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/>
      <c r="Y193" s="55" t="str">
        <f>IFERROR(IF(X193="","",X193),"")</f>
        <v/>
      </c>
      <c r="Z193" s="41" t="str">
        <f>IFERROR(IF(X193="","",X193*0.01788),"")</f>
        <v/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 t="str">
        <f>IFERROR(Y193*I193,"0")</f>
        <v>0</v>
      </c>
      <c r="BO193" s="81">
        <f>IFERROR(X193/J193,"0")</f>
        <v>0</v>
      </c>
      <c r="BP193" s="81" t="str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0</v>
      </c>
      <c r="Y196" s="43" t="str">
        <f>IFERROR(SUMPRODUCT(Y191:Y194*H191:H194),"0")</f>
        <v>0</v>
      </c>
      <c r="Z196" s="42"/>
      <c r="AA196" s="67"/>
      <c r="AB196" s="67"/>
      <c r="AC196" s="67"/>
    </row>
    <row r="197" spans="1:68" ht="27.75" hidden="1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hidden="1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hidden="1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hidden="1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/>
      <c r="Y200" s="55" t="str">
        <f>IFERROR(IF(X200="","",X200),"")</f>
        <v/>
      </c>
      <c r="Z200" s="41" t="str">
        <f>IFERROR(IF(X200="","",X200*0.01788),"")</f>
        <v/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 t="str">
        <f>IFERROR(Y200*I200,"0")</f>
        <v>0</v>
      </c>
      <c r="BO200" s="81">
        <f>IFERROR(X200/J200,"0")</f>
        <v>0</v>
      </c>
      <c r="BP200" s="81" t="str">
        <f>IFERROR(Y200/J200,"0")</f>
        <v>0</v>
      </c>
    </row>
    <row r="201" spans="1:68" hidden="1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0</v>
      </c>
      <c r="Y202" s="43" t="str">
        <f>IFERROR(SUMPRODUCT(Y200:Y200*H200:H200),"0")</f>
        <v>0</v>
      </c>
      <c r="Z202" s="42"/>
      <c r="AA202" s="67"/>
      <c r="AB202" s="67"/>
      <c r="AC202" s="67"/>
    </row>
    <row r="203" spans="1:68" ht="14.25" hidden="1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hidden="1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idden="1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hidden="1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hidden="1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hidden="1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hidden="1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idden="1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hidden="1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hidden="1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hidden="1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hidden="1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hidden="1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hidden="1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hidden="1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idden="1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hidden="1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hidden="1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hidden="1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hidden="1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hidden="1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hidden="1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hidden="1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hidden="1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hidden="1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hidden="1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hidden="1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hidden="1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hidden="1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hidden="1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hidden="1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hidden="1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hidden="1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hidden="1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hidden="1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hidden="1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hidden="1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hidden="1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hidden="1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idden="1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hidden="1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hidden="1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hidden="1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hidden="1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hidden="1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hidden="1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hidden="1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hidden="1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hidden="1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/>
      <c r="Y271" s="55" t="str">
        <f t="shared" si="18"/>
        <v/>
      </c>
      <c r="Z271" s="41" t="str">
        <f>IFERROR(IF(X271="","",X271*0.00936),"")</f>
        <v/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 t="str">
        <f t="shared" si="20"/>
        <v>0</v>
      </c>
      <c r="BO271" s="81">
        <f t="shared" si="21"/>
        <v>0</v>
      </c>
      <c r="BP271" s="81" t="str">
        <f t="shared" si="22"/>
        <v>0</v>
      </c>
    </row>
    <row r="272" spans="1:68" ht="27" hidden="1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/>
      <c r="Y273" s="55" t="str">
        <f t="shared" si="18"/>
        <v/>
      </c>
      <c r="Z273" s="41" t="str">
        <f t="shared" ref="Z273:Z278" si="23">IFERROR(IF(X273="","",X273*0.00936),"")</f>
        <v/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 t="str">
        <f t="shared" si="20"/>
        <v>0</v>
      </c>
      <c r="BO273" s="81">
        <f t="shared" si="21"/>
        <v>0</v>
      </c>
      <c r="BP273" s="81" t="str">
        <f t="shared" si="22"/>
        <v>0</v>
      </c>
    </row>
    <row r="274" spans="1:68" ht="27" hidden="1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hidden="1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/>
      <c r="Y275" s="55" t="str">
        <f t="shared" si="18"/>
        <v/>
      </c>
      <c r="Z275" s="41" t="str">
        <f t="shared" si="23"/>
        <v/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 t="str">
        <f t="shared" si="20"/>
        <v>0</v>
      </c>
      <c r="BO275" s="81">
        <f t="shared" si="21"/>
        <v>0</v>
      </c>
      <c r="BP275" s="81" t="str">
        <f t="shared" si="22"/>
        <v>0</v>
      </c>
    </row>
    <row r="276" spans="1:68" ht="37.5" hidden="1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/>
      <c r="Y276" s="55" t="str">
        <f t="shared" si="18"/>
        <v/>
      </c>
      <c r="Z276" s="41" t="str">
        <f t="shared" si="23"/>
        <v/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 t="str">
        <f t="shared" si="20"/>
        <v>0</v>
      </c>
      <c r="BO276" s="81">
        <f t="shared" si="21"/>
        <v>0</v>
      </c>
      <c r="BP276" s="81" t="str">
        <f t="shared" si="22"/>
        <v>0</v>
      </c>
    </row>
    <row r="277" spans="1:68" ht="27" hidden="1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hidden="1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hidden="1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idden="1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 t="str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2914.3199999999997</v>
      </c>
      <c r="Y282" s="43">
        <f>IFERROR(Y31+Y37+Y44+Y50+Y58+Y63+Y68+Y74+Y80+Y85+Y91+Y101+Y107+Y120+Y124+Y128+Y136+Y142+Y148+Y154+Y160+Y165+Y170+Y175+Y182+Y187+Y196+Y202+Y208+Y214+Y219+Y224+Y230+Y236+Y240+Y246+Y250+Y258+Y262+Y268+Y281,"0")</f>
        <v>2053.1999999999998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3689.2988000000005</v>
      </c>
      <c r="Y283" s="43">
        <f>IFERROR(SUM(BN22:BN279),"0")</f>
        <v>3689.2988000000005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15</v>
      </c>
      <c r="Y284" s="44">
        <f>ROUNDUP(SUM(BP22:BP279),0)</f>
        <v>15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4064.2988000000005</v>
      </c>
      <c r="Y285" s="43">
        <f>GrossWeightTotalR+PalletQtyTotalR*25</f>
        <v>4064.2988000000005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1667</v>
      </c>
      <c r="Y286" s="43">
        <f>IFERROR(Y30+Y36+Y43+Y49+Y57+Y62+Y67+Y73+Y79+Y84+Y90+Y100+Y106+Y119+Y123+Y127+Y135+Y141+Y147+Y153+Y159+Y164+Y169+Y174+Y181+Y186+Y195+Y201+Y207+Y213+Y218+Y223+Y229+Y235+Y239+Y245+Y249+Y257+Y261+Y267+Y280,"0")</f>
        <v>1667</v>
      </c>
      <c r="Z286" s="42"/>
      <c r="AA286" s="67"/>
      <c r="AB286" s="67"/>
      <c r="AC286" s="67"/>
    </row>
    <row r="287" spans="1:68" ht="14.25" hidden="1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18.930479999999999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1050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700.8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302.40000000000003</v>
      </c>
      <c r="K292" s="52">
        <f>IFERROR(X94*H94,"0")+IFERROR(X95*H95,"0")+IFERROR(X96*H96,"0")+IFERROR(X97*H97,"0")+IFERROR(X98*H98,"0")+IFERROR(X99*H99,"0")</f>
        <v>861.11999999999989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2914.3199999999997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667,00"/>
        <filter val="117,00"/>
        <filter val="15"/>
        <filter val="182,00"/>
        <filter val="2 914,32"/>
        <filter val="234,00"/>
        <filter val="299,00"/>
        <filter val="3 689,30"/>
        <filter val="302,40"/>
        <filter val="350,00"/>
        <filter val="4 064,30"/>
        <filter val="42,00"/>
        <filter val="584,00"/>
        <filter val="700,00"/>
        <filter val="700,80"/>
        <filter val="84,00"/>
        <filter val="861,12"/>
      </filters>
    </filterColumn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2026-10-23T12:28:37Z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