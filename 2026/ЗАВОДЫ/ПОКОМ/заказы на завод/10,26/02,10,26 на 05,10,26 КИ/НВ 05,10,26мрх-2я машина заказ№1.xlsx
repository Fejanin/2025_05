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8434D4A-0A31-4B28-95BE-FB82BD92D5A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7" i="1" l="1"/>
  <c r="X556" i="1"/>
  <c r="BP555" i="1"/>
  <c r="BO555" i="1"/>
  <c r="BM555" i="1"/>
  <c r="Z555" i="1"/>
  <c r="Z556" i="1" s="1"/>
  <c r="Y555" i="1"/>
  <c r="AC568" i="1" s="1"/>
  <c r="P555" i="1"/>
  <c r="X552" i="1"/>
  <c r="Y551" i="1"/>
  <c r="X551" i="1"/>
  <c r="BO550" i="1"/>
  <c r="BN550" i="1"/>
  <c r="BM550" i="1"/>
  <c r="Y550" i="1"/>
  <c r="BP550" i="1" s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AB568" i="1" s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O524" i="1"/>
  <c r="BM524" i="1"/>
  <c r="Y524" i="1"/>
  <c r="BN524" i="1" s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O485" i="1"/>
  <c r="BN485" i="1"/>
  <c r="BM485" i="1"/>
  <c r="Y485" i="1"/>
  <c r="BP485" i="1" s="1"/>
  <c r="P485" i="1"/>
  <c r="X483" i="1"/>
  <c r="X482" i="1"/>
  <c r="BO481" i="1"/>
  <c r="BM481" i="1"/>
  <c r="Y481" i="1"/>
  <c r="P481" i="1"/>
  <c r="BO480" i="1"/>
  <c r="BM480" i="1"/>
  <c r="Y480" i="1"/>
  <c r="P480" i="1"/>
  <c r="BO479" i="1"/>
  <c r="BN479" i="1"/>
  <c r="BM479" i="1"/>
  <c r="Y479" i="1"/>
  <c r="BP479" i="1" s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X472" i="1"/>
  <c r="X471" i="1"/>
  <c r="BO470" i="1"/>
  <c r="BM470" i="1"/>
  <c r="Y470" i="1"/>
  <c r="P470" i="1"/>
  <c r="BO469" i="1"/>
  <c r="BM469" i="1"/>
  <c r="Y469" i="1"/>
  <c r="BN469" i="1" s="1"/>
  <c r="P469" i="1"/>
  <c r="BO468" i="1"/>
  <c r="BM468" i="1"/>
  <c r="Y468" i="1"/>
  <c r="P468" i="1"/>
  <c r="X466" i="1"/>
  <c r="X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O454" i="1"/>
  <c r="BM454" i="1"/>
  <c r="Y454" i="1"/>
  <c r="P454" i="1"/>
  <c r="BO453" i="1"/>
  <c r="BM453" i="1"/>
  <c r="Y453" i="1"/>
  <c r="Y455" i="1" s="1"/>
  <c r="P453" i="1"/>
  <c r="X451" i="1"/>
  <c r="X450" i="1"/>
  <c r="BO449" i="1"/>
  <c r="BM449" i="1"/>
  <c r="Y449" i="1"/>
  <c r="P449" i="1"/>
  <c r="BO448" i="1"/>
  <c r="BN448" i="1"/>
  <c r="BM448" i="1"/>
  <c r="Y448" i="1"/>
  <c r="BP448" i="1" s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N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O424" i="1"/>
  <c r="BN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Y418" i="1" s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X407" i="1"/>
  <c r="X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BN398" i="1" s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O384" i="1"/>
  <c r="BN384" i="1"/>
  <c r="BM384" i="1"/>
  <c r="Y384" i="1"/>
  <c r="BP384" i="1" s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N376" i="1"/>
  <c r="BM376" i="1"/>
  <c r="Y376" i="1"/>
  <c r="BP376" i="1" s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BN368" i="1" s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O364" i="1"/>
  <c r="BN364" i="1"/>
  <c r="BM364" i="1"/>
  <c r="Y364" i="1"/>
  <c r="BP364" i="1" s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N350" i="1"/>
  <c r="BM350" i="1"/>
  <c r="Y350" i="1"/>
  <c r="BP350" i="1" s="1"/>
  <c r="P350" i="1"/>
  <c r="X348" i="1"/>
  <c r="X347" i="1"/>
  <c r="BO346" i="1"/>
  <c r="BM346" i="1"/>
  <c r="Y346" i="1"/>
  <c r="P346" i="1"/>
  <c r="BO345" i="1"/>
  <c r="BM345" i="1"/>
  <c r="Y345" i="1"/>
  <c r="P345" i="1"/>
  <c r="BO344" i="1"/>
  <c r="BN344" i="1"/>
  <c r="BM344" i="1"/>
  <c r="Y344" i="1"/>
  <c r="BP344" i="1" s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O330" i="1"/>
  <c r="BN330" i="1"/>
  <c r="BM330" i="1"/>
  <c r="Y330" i="1"/>
  <c r="BP330" i="1" s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X323" i="1"/>
  <c r="Y322" i="1"/>
  <c r="X322" i="1"/>
  <c r="BO321" i="1"/>
  <c r="BN321" i="1"/>
  <c r="BM321" i="1"/>
  <c r="Y321" i="1"/>
  <c r="Y323" i="1" s="1"/>
  <c r="P321" i="1"/>
  <c r="X319" i="1"/>
  <c r="Y318" i="1"/>
  <c r="X318" i="1"/>
  <c r="BP317" i="1"/>
  <c r="BO317" i="1"/>
  <c r="BN317" i="1"/>
  <c r="BM317" i="1"/>
  <c r="Z317" i="1"/>
  <c r="Z318" i="1" s="1"/>
  <c r="Y317" i="1"/>
  <c r="Y319" i="1" s="1"/>
  <c r="P317" i="1"/>
  <c r="X315" i="1"/>
  <c r="Y314" i="1"/>
  <c r="X314" i="1"/>
  <c r="BO313" i="1"/>
  <c r="BN313" i="1"/>
  <c r="BM313" i="1"/>
  <c r="Y313" i="1"/>
  <c r="Y315" i="1" s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BN307" i="1" s="1"/>
  <c r="P307" i="1"/>
  <c r="BO306" i="1"/>
  <c r="BM306" i="1"/>
  <c r="Y306" i="1"/>
  <c r="P306" i="1"/>
  <c r="BO305" i="1"/>
  <c r="BN305" i="1"/>
  <c r="BM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X300" i="1"/>
  <c r="X299" i="1"/>
  <c r="BO298" i="1"/>
  <c r="BM298" i="1"/>
  <c r="Y298" i="1"/>
  <c r="BP298" i="1" s="1"/>
  <c r="P298" i="1"/>
  <c r="BO297" i="1"/>
  <c r="BM297" i="1"/>
  <c r="Y297" i="1"/>
  <c r="Y299" i="1" s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BN288" i="1" s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N284" i="1"/>
  <c r="BM284" i="1"/>
  <c r="Y284" i="1"/>
  <c r="BP284" i="1" s="1"/>
  <c r="P284" i="1"/>
  <c r="BO283" i="1"/>
  <c r="BM283" i="1"/>
  <c r="Y283" i="1"/>
  <c r="Z283" i="1" s="1"/>
  <c r="P283" i="1"/>
  <c r="BO282" i="1"/>
  <c r="BM282" i="1"/>
  <c r="Y282" i="1"/>
  <c r="P282" i="1"/>
  <c r="X280" i="1"/>
  <c r="X279" i="1"/>
  <c r="BO278" i="1"/>
  <c r="BM278" i="1"/>
  <c r="Y278" i="1"/>
  <c r="P278" i="1"/>
  <c r="BO277" i="1"/>
  <c r="BM277" i="1"/>
  <c r="Y277" i="1"/>
  <c r="BN277" i="1" s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O273" i="1"/>
  <c r="BN273" i="1"/>
  <c r="BM273" i="1"/>
  <c r="Y273" i="1"/>
  <c r="BP273" i="1" s="1"/>
  <c r="P273" i="1"/>
  <c r="BO272" i="1"/>
  <c r="BM272" i="1"/>
  <c r="Y272" i="1"/>
  <c r="P272" i="1"/>
  <c r="BO271" i="1"/>
  <c r="BM271" i="1"/>
  <c r="Y271" i="1"/>
  <c r="BP271" i="1" s="1"/>
  <c r="P271" i="1"/>
  <c r="X269" i="1"/>
  <c r="X268" i="1"/>
  <c r="BO267" i="1"/>
  <c r="BM267" i="1"/>
  <c r="Y267" i="1"/>
  <c r="BP267" i="1" s="1"/>
  <c r="P267" i="1"/>
  <c r="BO266" i="1"/>
  <c r="BM266" i="1"/>
  <c r="Y266" i="1"/>
  <c r="Y268" i="1" s="1"/>
  <c r="P266" i="1"/>
  <c r="X264" i="1"/>
  <c r="X263" i="1"/>
  <c r="BO262" i="1"/>
  <c r="BM262" i="1"/>
  <c r="Y262" i="1"/>
  <c r="P262" i="1"/>
  <c r="BO261" i="1"/>
  <c r="BN261" i="1"/>
  <c r="BM261" i="1"/>
  <c r="Y261" i="1"/>
  <c r="BP261" i="1" s="1"/>
  <c r="P261" i="1"/>
  <c r="X258" i="1"/>
  <c r="X257" i="1"/>
  <c r="BO256" i="1"/>
  <c r="BM256" i="1"/>
  <c r="Y256" i="1"/>
  <c r="Y258" i="1" s="1"/>
  <c r="P256" i="1"/>
  <c r="X254" i="1"/>
  <c r="X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BO244" i="1"/>
  <c r="BN244" i="1"/>
  <c r="BM244" i="1"/>
  <c r="Y244" i="1"/>
  <c r="BP244" i="1" s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O234" i="1"/>
  <c r="BN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N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N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O179" i="1"/>
  <c r="BN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O171" i="1"/>
  <c r="BM171" i="1"/>
  <c r="Y171" i="1"/>
  <c r="BN171" i="1" s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N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O135" i="1"/>
  <c r="BM135" i="1"/>
  <c r="Y135" i="1"/>
  <c r="BN135" i="1" s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N122" i="1"/>
  <c r="BM122" i="1"/>
  <c r="Y122" i="1"/>
  <c r="BP122" i="1" s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O116" i="1"/>
  <c r="BM116" i="1"/>
  <c r="Y116" i="1"/>
  <c r="BN116" i="1" s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N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Y101" i="1" s="1"/>
  <c r="P96" i="1"/>
  <c r="X94" i="1"/>
  <c r="X93" i="1"/>
  <c r="BO92" i="1"/>
  <c r="BM92" i="1"/>
  <c r="Y92" i="1"/>
  <c r="BP92" i="1" s="1"/>
  <c r="P92" i="1"/>
  <c r="BO91" i="1"/>
  <c r="BN91" i="1"/>
  <c r="BM91" i="1"/>
  <c r="Y91" i="1"/>
  <c r="BP91" i="1" s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O80" i="1"/>
  <c r="BN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P63" i="1" s="1"/>
  <c r="P63" i="1"/>
  <c r="BO62" i="1"/>
  <c r="BN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P55" i="1"/>
  <c r="X52" i="1"/>
  <c r="X51" i="1"/>
  <c r="BO50" i="1"/>
  <c r="BM50" i="1"/>
  <c r="Y50" i="1"/>
  <c r="BP50" i="1" s="1"/>
  <c r="P50" i="1"/>
  <c r="BO49" i="1"/>
  <c r="BN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O41" i="1"/>
  <c r="BN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N37" i="1"/>
  <c r="BM37" i="1"/>
  <c r="Y37" i="1"/>
  <c r="BP37" i="1" s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N29" i="1"/>
  <c r="BM29" i="1"/>
  <c r="Y29" i="1"/>
  <c r="Z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N23" i="1" s="1"/>
  <c r="P23" i="1"/>
  <c r="BO22" i="1"/>
  <c r="BM22" i="1"/>
  <c r="Y22" i="1"/>
  <c r="P22" i="1"/>
  <c r="H10" i="1"/>
  <c r="A9" i="1"/>
  <c r="F10" i="1" s="1"/>
  <c r="D7" i="1"/>
  <c r="Q6" i="1"/>
  <c r="P2" i="1"/>
  <c r="Y33" i="1" l="1"/>
  <c r="Z106" i="1"/>
  <c r="BP106" i="1"/>
  <c r="Z116" i="1"/>
  <c r="BP116" i="1"/>
  <c r="Z135" i="1"/>
  <c r="BP135" i="1"/>
  <c r="Z152" i="1"/>
  <c r="BP152" i="1"/>
  <c r="Z171" i="1"/>
  <c r="BP171" i="1"/>
  <c r="Z183" i="1"/>
  <c r="BP183" i="1"/>
  <c r="Z226" i="1"/>
  <c r="BP226" i="1"/>
  <c r="Z256" i="1"/>
  <c r="Z257" i="1" s="1"/>
  <c r="BP256" i="1"/>
  <c r="Z277" i="1"/>
  <c r="BP277" i="1"/>
  <c r="Z288" i="1"/>
  <c r="BP288" i="1"/>
  <c r="Z307" i="1"/>
  <c r="BP307" i="1"/>
  <c r="Z368" i="1"/>
  <c r="BP368" i="1"/>
  <c r="Z398" i="1"/>
  <c r="BP398" i="1"/>
  <c r="Z469" i="1"/>
  <c r="BP469" i="1"/>
  <c r="Z524" i="1"/>
  <c r="BP524" i="1"/>
  <c r="Z23" i="1"/>
  <c r="BP29" i="1"/>
  <c r="Z41" i="1"/>
  <c r="Z122" i="1"/>
  <c r="Z179" i="1"/>
  <c r="Z191" i="1"/>
  <c r="Z222" i="1"/>
  <c r="Z273" i="1"/>
  <c r="Z284" i="1"/>
  <c r="Z313" i="1"/>
  <c r="Z314" i="1" s="1"/>
  <c r="BP313" i="1"/>
  <c r="Z321" i="1"/>
  <c r="Z322" i="1" s="1"/>
  <c r="BP321" i="1"/>
  <c r="P568" i="1"/>
  <c r="Z344" i="1"/>
  <c r="Z364" i="1"/>
  <c r="Z376" i="1"/>
  <c r="Z448" i="1"/>
  <c r="Z479" i="1"/>
  <c r="Z550" i="1"/>
  <c r="BN555" i="1"/>
  <c r="Y556" i="1"/>
  <c r="X559" i="1"/>
  <c r="BP23" i="1"/>
  <c r="X558" i="1"/>
  <c r="Z37" i="1"/>
  <c r="Z49" i="1"/>
  <c r="E568" i="1"/>
  <c r="Z62" i="1"/>
  <c r="Y72" i="1"/>
  <c r="Z80" i="1"/>
  <c r="Z91" i="1"/>
  <c r="Z209" i="1"/>
  <c r="Z234" i="1"/>
  <c r="Z244" i="1"/>
  <c r="BN256" i="1"/>
  <c r="Y257" i="1"/>
  <c r="Z261" i="1"/>
  <c r="Z305" i="1"/>
  <c r="Z330" i="1"/>
  <c r="Z350" i="1"/>
  <c r="Z384" i="1"/>
  <c r="Z424" i="1"/>
  <c r="Z436" i="1"/>
  <c r="Z485" i="1"/>
  <c r="Z508" i="1"/>
  <c r="BP309" i="1"/>
  <c r="BN309" i="1"/>
  <c r="Z309" i="1"/>
  <c r="BP337" i="1"/>
  <c r="BN337" i="1"/>
  <c r="Z337" i="1"/>
  <c r="BP357" i="1"/>
  <c r="BN357" i="1"/>
  <c r="Z357" i="1"/>
  <c r="BP374" i="1"/>
  <c r="BN374" i="1"/>
  <c r="Z374" i="1"/>
  <c r="BP386" i="1"/>
  <c r="BN386" i="1"/>
  <c r="Z386" i="1"/>
  <c r="BP404" i="1"/>
  <c r="BN404" i="1"/>
  <c r="Z404" i="1"/>
  <c r="BP430" i="1"/>
  <c r="BN430" i="1"/>
  <c r="Z430" i="1"/>
  <c r="BP442" i="1"/>
  <c r="BN442" i="1"/>
  <c r="Z442" i="1"/>
  <c r="BP477" i="1"/>
  <c r="BN477" i="1"/>
  <c r="Z477" i="1"/>
  <c r="BP496" i="1"/>
  <c r="BN496" i="1"/>
  <c r="Z496" i="1"/>
  <c r="BP510" i="1"/>
  <c r="BN510" i="1"/>
  <c r="Z510" i="1"/>
  <c r="BP526" i="1"/>
  <c r="BN526" i="1"/>
  <c r="Z526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7" i="1"/>
  <c r="BN97" i="1"/>
  <c r="Z104" i="1"/>
  <c r="BN104" i="1"/>
  <c r="Z108" i="1"/>
  <c r="BN108" i="1"/>
  <c r="Z112" i="1"/>
  <c r="BN112" i="1"/>
  <c r="Y120" i="1"/>
  <c r="Z118" i="1"/>
  <c r="BN118" i="1"/>
  <c r="Y126" i="1"/>
  <c r="Z124" i="1"/>
  <c r="BN124" i="1"/>
  <c r="H568" i="1"/>
  <c r="Z139" i="1"/>
  <c r="BN139" i="1"/>
  <c r="BP139" i="1"/>
  <c r="Z150" i="1"/>
  <c r="BN150" i="1"/>
  <c r="Z154" i="1"/>
  <c r="BN154" i="1"/>
  <c r="J568" i="1"/>
  <c r="Z167" i="1"/>
  <c r="BN167" i="1"/>
  <c r="Z177" i="1"/>
  <c r="BN177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38" i="1"/>
  <c r="BN238" i="1"/>
  <c r="Z242" i="1"/>
  <c r="BN242" i="1"/>
  <c r="Z246" i="1"/>
  <c r="BN246" i="1"/>
  <c r="Z252" i="1"/>
  <c r="BN252" i="1"/>
  <c r="Z267" i="1"/>
  <c r="BN267" i="1"/>
  <c r="Z271" i="1"/>
  <c r="BN271" i="1"/>
  <c r="Z275" i="1"/>
  <c r="BN275" i="1"/>
  <c r="Z286" i="1"/>
  <c r="BN286" i="1"/>
  <c r="Z290" i="1"/>
  <c r="BN290" i="1"/>
  <c r="Z298" i="1"/>
  <c r="BN298" i="1"/>
  <c r="Z303" i="1"/>
  <c r="BN303" i="1"/>
  <c r="BP328" i="1"/>
  <c r="BN328" i="1"/>
  <c r="Z328" i="1"/>
  <c r="BP346" i="1"/>
  <c r="BN346" i="1"/>
  <c r="Z346" i="1"/>
  <c r="BP366" i="1"/>
  <c r="BN366" i="1"/>
  <c r="Z366" i="1"/>
  <c r="BP378" i="1"/>
  <c r="BN378" i="1"/>
  <c r="Z378" i="1"/>
  <c r="BP392" i="1"/>
  <c r="BN392" i="1"/>
  <c r="Z392" i="1"/>
  <c r="BP396" i="1"/>
  <c r="BN396" i="1"/>
  <c r="Z396" i="1"/>
  <c r="BP417" i="1"/>
  <c r="BN417" i="1"/>
  <c r="Z417" i="1"/>
  <c r="BP422" i="1"/>
  <c r="BN422" i="1"/>
  <c r="Z422" i="1"/>
  <c r="BP434" i="1"/>
  <c r="BN434" i="1"/>
  <c r="Z434" i="1"/>
  <c r="BP454" i="1"/>
  <c r="BN454" i="1"/>
  <c r="Z454" i="1"/>
  <c r="BP459" i="1"/>
  <c r="BN459" i="1"/>
  <c r="Z459" i="1"/>
  <c r="BP481" i="1"/>
  <c r="BN481" i="1"/>
  <c r="Z481" i="1"/>
  <c r="BP506" i="1"/>
  <c r="BN506" i="1"/>
  <c r="Z506" i="1"/>
  <c r="BP522" i="1"/>
  <c r="BN522" i="1"/>
  <c r="Z522" i="1"/>
  <c r="Y332" i="1"/>
  <c r="Y394" i="1"/>
  <c r="Y393" i="1"/>
  <c r="H9" i="1"/>
  <c r="A10" i="1"/>
  <c r="Y24" i="1"/>
  <c r="Y32" i="1"/>
  <c r="Y42" i="1"/>
  <c r="Y52" i="1"/>
  <c r="Y65" i="1"/>
  <c r="Y73" i="1"/>
  <c r="Y77" i="1"/>
  <c r="Y83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Y187" i="1"/>
  <c r="BP176" i="1"/>
  <c r="BN176" i="1"/>
  <c r="Z176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8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BP251" i="1"/>
  <c r="BN251" i="1"/>
  <c r="Z251" i="1"/>
  <c r="Z253" i="1" s="1"/>
  <c r="BP272" i="1"/>
  <c r="BN272" i="1"/>
  <c r="Z272" i="1"/>
  <c r="BP276" i="1"/>
  <c r="BN276" i="1"/>
  <c r="Z276" i="1"/>
  <c r="BP287" i="1"/>
  <c r="BN287" i="1"/>
  <c r="Z287" i="1"/>
  <c r="BP291" i="1"/>
  <c r="BN291" i="1"/>
  <c r="Z291" i="1"/>
  <c r="BP304" i="1"/>
  <c r="BN304" i="1"/>
  <c r="Z304" i="1"/>
  <c r="Y310" i="1"/>
  <c r="BP308" i="1"/>
  <c r="BN308" i="1"/>
  <c r="Z308" i="1"/>
  <c r="BP397" i="1"/>
  <c r="BN397" i="1"/>
  <c r="Z397" i="1"/>
  <c r="Y401" i="1"/>
  <c r="BP405" i="1"/>
  <c r="BN405" i="1"/>
  <c r="Z405" i="1"/>
  <c r="Y407" i="1"/>
  <c r="Y412" i="1"/>
  <c r="BP409" i="1"/>
  <c r="BN409" i="1"/>
  <c r="Z409" i="1"/>
  <c r="Y413" i="1"/>
  <c r="BP423" i="1"/>
  <c r="BN423" i="1"/>
  <c r="Z423" i="1"/>
  <c r="Z425" i="1" s="1"/>
  <c r="Y425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8" i="1"/>
  <c r="Z88" i="1"/>
  <c r="BN88" i="1"/>
  <c r="Z90" i="1"/>
  <c r="BN90" i="1"/>
  <c r="Z92" i="1"/>
  <c r="BN92" i="1"/>
  <c r="Y93" i="1"/>
  <c r="Z96" i="1"/>
  <c r="BN96" i="1"/>
  <c r="BP96" i="1"/>
  <c r="Z98" i="1"/>
  <c r="BN98" i="1"/>
  <c r="G568" i="1"/>
  <c r="Z105" i="1"/>
  <c r="BN105" i="1"/>
  <c r="Z107" i="1"/>
  <c r="BN107" i="1"/>
  <c r="Z109" i="1"/>
  <c r="BN109" i="1"/>
  <c r="Z111" i="1"/>
  <c r="BN111" i="1"/>
  <c r="Y114" i="1"/>
  <c r="Z117" i="1"/>
  <c r="Z119" i="1" s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BN140" i="1"/>
  <c r="Z144" i="1"/>
  <c r="Z146" i="1" s="1"/>
  <c r="BN144" i="1"/>
  <c r="BP144" i="1"/>
  <c r="I568" i="1"/>
  <c r="Z151" i="1"/>
  <c r="Z156" i="1" s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Y173" i="1"/>
  <c r="Z172" i="1"/>
  <c r="Z173" i="1" s="1"/>
  <c r="BN172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BP208" i="1"/>
  <c r="BN208" i="1"/>
  <c r="Z208" i="1"/>
  <c r="BP212" i="1"/>
  <c r="BN212" i="1"/>
  <c r="Z212" i="1"/>
  <c r="Y214" i="1"/>
  <c r="L568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8" i="1"/>
  <c r="BP241" i="1"/>
  <c r="BN241" i="1"/>
  <c r="Z241" i="1"/>
  <c r="BP245" i="1"/>
  <c r="BN245" i="1"/>
  <c r="Z245" i="1"/>
  <c r="Y254" i="1"/>
  <c r="Y253" i="1"/>
  <c r="BP262" i="1"/>
  <c r="BN262" i="1"/>
  <c r="Z262" i="1"/>
  <c r="Z263" i="1" s="1"/>
  <c r="Y264" i="1"/>
  <c r="Y269" i="1"/>
  <c r="BP266" i="1"/>
  <c r="BN266" i="1"/>
  <c r="Z266" i="1"/>
  <c r="Z268" i="1" s="1"/>
  <c r="Y279" i="1"/>
  <c r="BP274" i="1"/>
  <c r="BN274" i="1"/>
  <c r="Z274" i="1"/>
  <c r="BP278" i="1"/>
  <c r="BN278" i="1"/>
  <c r="Z278" i="1"/>
  <c r="Y280" i="1"/>
  <c r="Y294" i="1"/>
  <c r="Y295" i="1"/>
  <c r="BP282" i="1"/>
  <c r="BN282" i="1"/>
  <c r="Z282" i="1"/>
  <c r="BP329" i="1"/>
  <c r="BN329" i="1"/>
  <c r="Z329" i="1"/>
  <c r="BP338" i="1"/>
  <c r="BN338" i="1"/>
  <c r="Z338" i="1"/>
  <c r="Y340" i="1"/>
  <c r="R568" i="1"/>
  <c r="Y348" i="1"/>
  <c r="BP343" i="1"/>
  <c r="BN343" i="1"/>
  <c r="Z343" i="1"/>
  <c r="Y347" i="1"/>
  <c r="BP351" i="1"/>
  <c r="BN351" i="1"/>
  <c r="Z351" i="1"/>
  <c r="Z352" i="1" s="1"/>
  <c r="Y353" i="1"/>
  <c r="S568" i="1"/>
  <c r="Y359" i="1"/>
  <c r="BP356" i="1"/>
  <c r="BN356" i="1"/>
  <c r="Z356" i="1"/>
  <c r="Y360" i="1"/>
  <c r="BP365" i="1"/>
  <c r="BN365" i="1"/>
  <c r="Z365" i="1"/>
  <c r="BP369" i="1"/>
  <c r="BN369" i="1"/>
  <c r="Z369" i="1"/>
  <c r="Y371" i="1"/>
  <c r="Y380" i="1"/>
  <c r="BP373" i="1"/>
  <c r="BN373" i="1"/>
  <c r="Z373" i="1"/>
  <c r="Y381" i="1"/>
  <c r="BP377" i="1"/>
  <c r="BN377" i="1"/>
  <c r="Z377" i="1"/>
  <c r="BP385" i="1"/>
  <c r="BN385" i="1"/>
  <c r="Z385" i="1"/>
  <c r="BP433" i="1"/>
  <c r="BN433" i="1"/>
  <c r="Z433" i="1"/>
  <c r="M568" i="1"/>
  <c r="Y263" i="1"/>
  <c r="BP283" i="1"/>
  <c r="BN283" i="1"/>
  <c r="BP285" i="1"/>
  <c r="BN285" i="1"/>
  <c r="Z285" i="1"/>
  <c r="BP289" i="1"/>
  <c r="BN289" i="1"/>
  <c r="Z289" i="1"/>
  <c r="BP293" i="1"/>
  <c r="BN293" i="1"/>
  <c r="Z293" i="1"/>
  <c r="Y300" i="1"/>
  <c r="BP297" i="1"/>
  <c r="BN297" i="1"/>
  <c r="Z297" i="1"/>
  <c r="BP306" i="1"/>
  <c r="BN306" i="1"/>
  <c r="Z306" i="1"/>
  <c r="Z310" i="1" s="1"/>
  <c r="BP327" i="1"/>
  <c r="BN327" i="1"/>
  <c r="Z327" i="1"/>
  <c r="BP331" i="1"/>
  <c r="BN331" i="1"/>
  <c r="Z331" i="1"/>
  <c r="Y333" i="1"/>
  <c r="Q568" i="1"/>
  <c r="Y339" i="1"/>
  <c r="BP336" i="1"/>
  <c r="BN336" i="1"/>
  <c r="Z336" i="1"/>
  <c r="Z339" i="1" s="1"/>
  <c r="BP345" i="1"/>
  <c r="BN345" i="1"/>
  <c r="Z345" i="1"/>
  <c r="Y352" i="1"/>
  <c r="BP358" i="1"/>
  <c r="BN358" i="1"/>
  <c r="Z358" i="1"/>
  <c r="T568" i="1"/>
  <c r="Y370" i="1"/>
  <c r="BP363" i="1"/>
  <c r="BN363" i="1"/>
  <c r="Z363" i="1"/>
  <c r="BP367" i="1"/>
  <c r="BN367" i="1"/>
  <c r="Z367" i="1"/>
  <c r="BP375" i="1"/>
  <c r="BN375" i="1"/>
  <c r="Z375" i="1"/>
  <c r="BP379" i="1"/>
  <c r="BN379" i="1"/>
  <c r="Z379" i="1"/>
  <c r="Y388" i="1"/>
  <c r="BP383" i="1"/>
  <c r="BN383" i="1"/>
  <c r="Z383" i="1"/>
  <c r="Y387" i="1"/>
  <c r="BP391" i="1"/>
  <c r="BN391" i="1"/>
  <c r="Z391" i="1"/>
  <c r="Y400" i="1"/>
  <c r="BP399" i="1"/>
  <c r="BN399" i="1"/>
  <c r="Z399" i="1"/>
  <c r="Y406" i="1"/>
  <c r="BP403" i="1"/>
  <c r="BN403" i="1"/>
  <c r="Z403" i="1"/>
  <c r="Z406" i="1" s="1"/>
  <c r="BP411" i="1"/>
  <c r="BN411" i="1"/>
  <c r="Z411" i="1"/>
  <c r="U568" i="1"/>
  <c r="Y419" i="1"/>
  <c r="BP416" i="1"/>
  <c r="BN416" i="1"/>
  <c r="Z416" i="1"/>
  <c r="BP431" i="1"/>
  <c r="BN431" i="1"/>
  <c r="Z431" i="1"/>
  <c r="BP435" i="1"/>
  <c r="BN435" i="1"/>
  <c r="Z435" i="1"/>
  <c r="BP443" i="1"/>
  <c r="BN443" i="1"/>
  <c r="Z443" i="1"/>
  <c r="Y445" i="1"/>
  <c r="Y450" i="1"/>
  <c r="BP447" i="1"/>
  <c r="BN447" i="1"/>
  <c r="Z447" i="1"/>
  <c r="Y451" i="1"/>
  <c r="BP460" i="1"/>
  <c r="BN460" i="1"/>
  <c r="Z460" i="1"/>
  <c r="Z461" i="1" s="1"/>
  <c r="Y462" i="1"/>
  <c r="Y465" i="1"/>
  <c r="BP464" i="1"/>
  <c r="BN464" i="1"/>
  <c r="Z464" i="1"/>
  <c r="Z465" i="1" s="1"/>
  <c r="Y466" i="1"/>
  <c r="Y471" i="1"/>
  <c r="BP468" i="1"/>
  <c r="BN468" i="1"/>
  <c r="Z468" i="1"/>
  <c r="Y472" i="1"/>
  <c r="BP478" i="1"/>
  <c r="BN478" i="1"/>
  <c r="Z478" i="1"/>
  <c r="Y482" i="1"/>
  <c r="BP486" i="1"/>
  <c r="BN486" i="1"/>
  <c r="Z486" i="1"/>
  <c r="Z487" i="1" s="1"/>
  <c r="Y488" i="1"/>
  <c r="Z568" i="1"/>
  <c r="Y492" i="1"/>
  <c r="BP491" i="1"/>
  <c r="BN491" i="1"/>
  <c r="Z491" i="1"/>
  <c r="Z492" i="1" s="1"/>
  <c r="Y493" i="1"/>
  <c r="Y498" i="1"/>
  <c r="BP495" i="1"/>
  <c r="BN495" i="1"/>
  <c r="Z495" i="1"/>
  <c r="Y499" i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Y529" i="1"/>
  <c r="BP525" i="1"/>
  <c r="BN525" i="1"/>
  <c r="Z525" i="1"/>
  <c r="X568" i="1"/>
  <c r="O568" i="1"/>
  <c r="Y311" i="1"/>
  <c r="V568" i="1"/>
  <c r="Y426" i="1"/>
  <c r="W568" i="1"/>
  <c r="Y438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6" i="1"/>
  <c r="BP453" i="1"/>
  <c r="BN453" i="1"/>
  <c r="Z453" i="1"/>
  <c r="Z455" i="1" s="1"/>
  <c r="Y461" i="1"/>
  <c r="BP470" i="1"/>
  <c r="BN470" i="1"/>
  <c r="Z470" i="1"/>
  <c r="Y568" i="1"/>
  <c r="Y483" i="1"/>
  <c r="BP476" i="1"/>
  <c r="BN476" i="1"/>
  <c r="Z476" i="1"/>
  <c r="BP480" i="1"/>
  <c r="BN480" i="1"/>
  <c r="Z480" i="1"/>
  <c r="Y487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Y557" i="1"/>
  <c r="Z498" i="1" l="1"/>
  <c r="Z438" i="1"/>
  <c r="Z370" i="1"/>
  <c r="Z113" i="1"/>
  <c r="Z482" i="1"/>
  <c r="Z332" i="1"/>
  <c r="Z126" i="1"/>
  <c r="Z93" i="1"/>
  <c r="Z51" i="1"/>
  <c r="Z42" i="1"/>
  <c r="Z279" i="1"/>
  <c r="Z247" i="1"/>
  <c r="Z418" i="1"/>
  <c r="Z393" i="1"/>
  <c r="Z299" i="1"/>
  <c r="Z141" i="1"/>
  <c r="Z400" i="1"/>
  <c r="Z235" i="1"/>
  <c r="Y558" i="1"/>
  <c r="Z213" i="1"/>
  <c r="Z512" i="1"/>
  <c r="Y559" i="1"/>
  <c r="Z518" i="1"/>
  <c r="Z528" i="1"/>
  <c r="Z471" i="1"/>
  <c r="Z450" i="1"/>
  <c r="Z387" i="1"/>
  <c r="Z380" i="1"/>
  <c r="Z359" i="1"/>
  <c r="Z347" i="1"/>
  <c r="Z294" i="1"/>
  <c r="Z193" i="1"/>
  <c r="Z168" i="1"/>
  <c r="Z100" i="1"/>
  <c r="Z72" i="1"/>
  <c r="Z64" i="1"/>
  <c r="Y560" i="1"/>
  <c r="Z412" i="1"/>
  <c r="Z187" i="1"/>
  <c r="Z563" i="1" s="1"/>
  <c r="Y562" i="1"/>
  <c r="Y561" i="1" l="1"/>
</calcChain>
</file>

<file path=xl/sharedStrings.xml><?xml version="1.0" encoding="utf-8"?>
<sst xmlns="http://schemas.openxmlformats.org/spreadsheetml/2006/main" count="2546" uniqueCount="910">
  <si>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</si>
  <si>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</si>
  <si>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</si>
  <si>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</si>
  <si>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</si>
  <si>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</si>
  <si>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</si>
  <si>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</si>
  <si>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</si>
  <si>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</si>
  <si>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</si>
  <si>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</si>
  <si>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</si>
  <si>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</si>
  <si>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</si>
  <si>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</si>
  <si>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</si>
  <si>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</si>
  <si>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</si>
  <si>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</si>
  <si>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</si>
  <si>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</si>
  <si>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</si>
  <si>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</si>
  <si>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</si>
  <si>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</si>
  <si>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</si>
  <si>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</si>
  <si>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</si>
  <si>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</si>
  <si>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</si>
  <si>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</si>
  <si>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</si>
  <si>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</si>
  <si>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</si>
  <si>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</si>
  <si>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</si>
  <si>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</si>
  <si>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</si>
  <si>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</si>
  <si>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</si>
  <si>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</si>
  <si>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</si>
  <si>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</si>
  <si>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</si>
  <si>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</si>
  <si>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</si>
  <si>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</si>
  <si>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</si>
  <si>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</si>
  <si>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</si>
  <si>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</si>
  <si>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</si>
  <si>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</si>
  <si>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</si>
  <si>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</si>
  <si>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</si>
  <si>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</si>
  <si>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</si>
  <si>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</si>
  <si>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</si>
  <si>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</si>
  <si>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</si>
  <si>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</si>
  <si>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</si>
  <si>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</si>
  <si>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</si>
  <si>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</si>
  <si>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</si>
  <si>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</si>
  <si>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</si>
  <si>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</si>
  <si>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</si>
  <si>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</si>
  <si>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</si>
  <si>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</si>
  <si>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</si>
  <si>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</si>
  <si>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</si>
  <si>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</si>
  <si>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</si>
  <si>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</si>
  <si>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</si>
  <si>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</si>
  <si>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</si>
  <si>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</si>
  <si>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</si>
  <si>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</si>
  <si>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</si>
  <si>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</si>
  <si>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</si>
  <si>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</si>
  <si>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</si>
  <si>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</si>
  <si>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</si>
  <si>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</si>
  <si>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</si>
  <si>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</si>
  <si>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</si>
  <si>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</si>
  <si>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</si>
  <si>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</si>
  <si>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</si>
  <si>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</si>
  <si>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</si>
  <si>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</si>
  <si>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</si>
  <si>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</si>
  <si>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</si>
  <si>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</si>
  <si>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</si>
  <si>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</si>
  <si>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</si>
  <si>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</si>
  <si>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</si>
  <si>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</si>
  <si>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</si>
  <si>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</si>
  <si>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</si>
  <si>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</si>
  <si>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</si>
  <si>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</si>
  <si>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</si>
  <si>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</si>
  <si>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</si>
  <si>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</si>
  <si>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</si>
  <si>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</si>
  <si>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</si>
  <si>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</si>
  <si>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</si>
  <si>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</si>
  <si>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</si>
  <si>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</si>
  <si>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</si>
  <si>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</si>
  <si>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</si>
  <si>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</si>
  <si>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</si>
  <si>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</si>
  <si>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</si>
  <si>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</si>
  <si>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</si>
  <si>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</si>
  <si>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</si>
  <si>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</si>
  <si>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</si>
  <si>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</si>
  <si>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</si>
  <si>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</si>
  <si>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</si>
  <si>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</si>
  <si>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</si>
  <si>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</si>
  <si>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</si>
  <si>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</si>
  <si>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</si>
  <si>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</si>
  <si>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</si>
  <si>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</si>
  <si>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</si>
  <si>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</si>
  <si>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</si>
  <si>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</si>
  <si>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</si>
  <si>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</si>
  <si>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</si>
  <si>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</si>
  <si>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</si>
  <si>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</si>
  <si>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</si>
  <si>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</si>
  <si>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</si>
  <si>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</si>
  <si>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</si>
  <si>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</si>
  <si>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</si>
  <si>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</si>
  <si>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</si>
  <si>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</si>
  <si>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</si>
  <si>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</si>
  <si>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</si>
  <si>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</si>
  <si>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</si>
  <si>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</si>
  <si>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</si>
  <si>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</si>
  <si>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</si>
  <si>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</si>
  <si>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</si>
  <si>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</si>
  <si>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</si>
  <si>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</si>
  <si>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</si>
  <si>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</si>
  <si>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</si>
  <si>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</si>
  <si>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</si>
  <si>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</si>
  <si>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</si>
  <si>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</si>
  <si>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</si>
  <si>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</si>
  <si>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</si>
  <si>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</si>
  <si>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</si>
  <si>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</si>
  <si>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</si>
  <si>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</si>
  <si>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</si>
  <si>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</si>
  <si>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</si>
  <si>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</si>
  <si>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</si>
  <si>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</si>
  <si>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</si>
  <si>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</si>
  <si>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</si>
  <si>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</si>
  <si>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</si>
  <si>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</si>
  <si>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</si>
  <si>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</si>
  <si>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</si>
  <si>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</si>
  <si>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</si>
  <si>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</si>
  <si>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</si>
  <si>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</si>
  <si>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</si>
  <si>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</si>
  <si>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</si>
  <si>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</si>
  <si>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</si>
  <si>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</si>
  <si>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</si>
  <si>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</si>
  <si>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</si>
  <si>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</si>
  <si>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</si>
  <si>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</si>
  <si>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</si>
  <si>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</si>
  <si>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</si>
  <si>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</si>
  <si>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</si>
  <si>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</si>
  <si>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</si>
  <si>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</si>
  <si>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</si>
  <si>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</si>
  <si>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</si>
  <si>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</si>
  <si>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</si>
  <si>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</si>
  <si>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</si>
  <si>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</si>
  <si>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</si>
  <si>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</si>
  <si>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</si>
  <si>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</si>
  <si>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</si>
  <si>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</si>
  <si>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</si>
  <si>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</si>
  <si>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</si>
  <si>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</si>
  <si>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</si>
  <si>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</si>
  <si>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</si>
  <si>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</si>
  <si>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</si>
  <si>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</si>
  <si>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</si>
  <si>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</si>
  <si>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</si>
  <si>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</si>
  <si>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</si>
  <si>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</si>
  <si>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</si>
  <si>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</si>
  <si>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</si>
  <si>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</si>
  <si>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</si>
  <si>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</si>
  <si>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</si>
  <si>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</si>
  <si>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</si>
  <si>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</si>
  <si>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</si>
  <si>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</si>
  <si>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</si>
  <si>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</si>
  <si>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</si>
  <si>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</si>
  <si>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</si>
  <si>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</si>
  <si>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</si>
  <si>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</si>
  <si>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</si>
  <si>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</si>
  <si>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</si>
  <si>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</si>
  <si>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</si>
  <si>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</si>
  <si>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</si>
  <si>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</si>
  <si>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</si>
  <si>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</si>
  <si>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</si>
  <si>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</si>
  <si>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</si>
  <si>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</si>
  <si>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</si>
  <si>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</si>
  <si>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</si>
  <si>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</si>
  <si>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</si>
  <si>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</si>
  <si>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</si>
  <si>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</si>
  <si>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</si>
  <si>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</si>
  <si>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</si>
  <si>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</si>
  <si>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</si>
  <si>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</si>
  <si>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</si>
  <si>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</si>
  <si>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</si>
  <si>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</si>
  <si>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</si>
  <si>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</si>
  <si>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</si>
  <si>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</si>
  <si>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</si>
  <si>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</si>
  <si>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</si>
  <si>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</si>
  <si>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</si>
  <si>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</si>
  <si>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</si>
  <si>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</si>
  <si>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</si>
  <si>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</si>
  <si>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</si>
  <si>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</si>
  <si>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</si>
  <si>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</si>
  <si>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</si>
  <si>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</si>
  <si>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</si>
  <si>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</si>
  <si>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</si>
  <si>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</si>
  <si>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</si>
  <si>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</si>
  <si>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</si>
  <si>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</si>
  <si>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</si>
  <si>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</si>
  <si>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</si>
  <si>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</si>
  <si>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</si>
  <si>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</si>
  <si>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</si>
  <si>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</si>
  <si>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</si>
  <si>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</si>
  <si>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</si>
  <si>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</si>
  <si>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</si>
  <si>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</si>
  <si>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</si>
  <si>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</si>
  <si>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</si>
  <si>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</si>
  <si>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</si>
  <si>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</si>
  <si>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</si>
  <si>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</si>
  <si>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</si>
  <si>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</si>
  <si>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</si>
  <si>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</si>
  <si>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</si>
  <si>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</si>
  <si>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</si>
  <si>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</si>
  <si>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</si>
  <si>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</si>
  <si>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</si>
  <si>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</si>
  <si>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</si>
  <si>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</si>
  <si>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</si>
  <si>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</si>
  <si>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</si>
  <si>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</si>
  <si>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</si>
  <si>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</si>
  <si>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</si>
  <si>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</si>
  <si>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</si>
  <si>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</si>
  <si>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</si>
  <si>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</si>
  <si>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</si>
  <si>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</si>
  <si>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</si>
  <si>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</si>
  <si>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</si>
  <si>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</si>
  <si>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</si>
  <si>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</si>
  <si>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</si>
  <si>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</si>
  <si>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</si>
  <si>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</si>
  <si>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</si>
  <si>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</si>
  <si>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</si>
  <si>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</si>
  <si>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</si>
  <si>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</si>
  <si>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</si>
  <si>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</si>
  <si>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</si>
  <si>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</si>
  <si>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</si>
  <si>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</si>
  <si>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</si>
  <si>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</si>
  <si>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</si>
  <si>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</si>
  <si>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</si>
  <si>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</si>
  <si>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</si>
  <si>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</si>
  <si>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</si>
  <si>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</si>
  <si>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</si>
  <si>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</si>
  <si>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</si>
  <si>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</si>
  <si>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</si>
  <si>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</si>
  <si>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</si>
  <si>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</si>
  <si>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</si>
  <si>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</si>
  <si>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</si>
  <si>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</si>
  <si>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</si>
  <si>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</si>
  <si>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</si>
  <si>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</si>
  <si>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</si>
  <si>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</si>
  <si>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</si>
  <si>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</si>
  <si>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</si>
  <si>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</si>
  <si>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</si>
  <si>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</si>
  <si>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</si>
  <si>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</si>
  <si>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</si>
  <si>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</si>
  <si>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</si>
  <si>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</si>
  <si>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</si>
  <si>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</si>
  <si>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</si>
  <si>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</si>
  <si>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</si>
  <si>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</si>
  <si>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</si>
  <si>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</si>
  <si>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</si>
  <si>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</si>
  <si>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</si>
  <si>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</si>
  <si>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</si>
  <si>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</si>
  <si>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</si>
  <si>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</si>
  <si>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</si>
  <si>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</si>
  <si>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</si>
  <si>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</si>
  <si>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</si>
  <si>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</si>
  <si>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</si>
  <si>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</si>
  <si>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</si>
  <si>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</si>
  <si>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</si>
  <si>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</si>
  <si>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</si>
  <si>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</si>
  <si>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</si>
  <si>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</si>
  <si>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</si>
  <si>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</si>
  <si>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</si>
  <si>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</si>
  <si>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</si>
  <si>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</si>
  <si>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</si>
  <si>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</si>
  <si>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</si>
  <si>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</si>
  <si>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</si>
  <si>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</si>
  <si>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</si>
  <si>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</si>
  <si>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</si>
  <si>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</si>
  <si>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</si>
  <si>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</si>
  <si>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</si>
  <si>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</si>
  <si>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</si>
  <si>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</si>
  <si>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</si>
  <si>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</si>
  <si>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</si>
  <si>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</si>
  <si>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</si>
  <si>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</si>
  <si>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</si>
  <si>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</si>
  <si>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</si>
  <si>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</si>
  <si>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</si>
  <si>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</si>
  <si>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</si>
  <si>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</si>
  <si>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</si>
  <si>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</si>
  <si>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</si>
  <si>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</si>
  <si>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</si>
  <si>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</si>
  <si>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</si>
  <si>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</si>
  <si>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</si>
  <si>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</si>
  <si>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</si>
  <si>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</si>
  <si>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</si>
  <si>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</si>
  <si>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</si>
  <si>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</si>
  <si>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</si>
  <si>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</si>
  <si>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</si>
  <si>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</si>
  <si>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</si>
  <si>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</si>
  <si>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</si>
  <si>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</si>
  <si>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</si>
  <si>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</si>
  <si>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</si>
  <si>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</si>
  <si>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</si>
  <si>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</si>
  <si>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</si>
  <si>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</si>
  <si>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</si>
  <si>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</si>
  <si>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</si>
  <si>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</si>
  <si>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</si>
  <si>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</si>
  <si>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</si>
  <si>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</si>
  <si>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</si>
  <si>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</si>
  <si>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</si>
  <si>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</si>
  <si>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</si>
  <si>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</si>
  <si>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</si>
  <si>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</si>
  <si>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</si>
  <si>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</si>
  <si>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</si>
  <si>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</si>
  <si>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</si>
  <si>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</si>
  <si>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</si>
  <si>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</si>
  <si>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</si>
  <si>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</si>
  <si>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</si>
  <si>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</si>
  <si>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</si>
  <si>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</si>
  <si>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</si>
  <si>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</si>
  <si>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</si>
  <si>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</si>
  <si>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</si>
  <si>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</si>
  <si>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</si>
  <si>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</si>
  <si>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</si>
  <si>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</si>
  <si>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</si>
  <si>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</si>
  <si>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</si>
  <si>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</si>
  <si>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</si>
  <si>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</si>
  <si>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</si>
  <si>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</si>
  <si>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</si>
  <si>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</si>
  <si>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</si>
  <si>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</si>
  <si>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</si>
  <si>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</si>
  <si>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</si>
  <si>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</si>
  <si>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</si>
  <si>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</si>
  <si>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</si>
  <si>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</si>
  <si>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</si>
  <si>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</si>
  <si>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</si>
  <si>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</si>
  <si>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</si>
  <si>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</si>
  <si>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</si>
  <si>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</si>
  <si>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</si>
  <si>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</si>
  <si>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</si>
  <si>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</si>
  <si>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</si>
  <si>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</si>
  <si>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</si>
  <si>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</si>
  <si>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</si>
  <si>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</si>
  <si>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</si>
  <si>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</si>
  <si>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</si>
  <si>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</si>
  <si>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</si>
  <si>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</si>
  <si>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</si>
  <si>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</si>
  <si>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</si>
  <si>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</si>
  <si>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</si>
  <si>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</si>
  <si>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</si>
  <si>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</si>
  <si>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</si>
  <si>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</si>
  <si>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</si>
  <si>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</si>
  <si>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</si>
  <si>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</si>
  <si>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</si>
  <si>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</si>
  <si>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</si>
  <si>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</si>
  <si>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</si>
  <si>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</si>
  <si>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</si>
  <si>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</si>
  <si>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</si>
  <si>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</si>
  <si>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</si>
  <si>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</si>
  <si>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</si>
  <si>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</si>
  <si>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</si>
  <si>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</si>
  <si>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</si>
  <si>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</si>
  <si>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</si>
  <si>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</si>
  <si>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</si>
  <si>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</si>
  <si>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</si>
  <si>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</si>
  <si>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</si>
  <si>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</si>
  <si>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</si>
  <si>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</si>
  <si>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</si>
  <si>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</si>
  <si>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</si>
  <si>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</si>
  <si>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</si>
  <si>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</si>
  <si>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</si>
  <si>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</si>
  <si>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</si>
  <si>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</si>
  <si>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</si>
  <si>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</si>
  <si>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</si>
  <si>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</si>
  <si>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</si>
  <si>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</si>
  <si>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</si>
  <si>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</si>
  <si>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</si>
  <si>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</si>
  <si>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</si>
  <si>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</si>
  <si>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</si>
  <si>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</si>
  <si>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</si>
  <si>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</si>
  <si>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</si>
  <si>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</si>
  <si>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</si>
  <si>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</si>
  <si>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</si>
  <si>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</si>
  <si>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</si>
  <si>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</si>
  <si>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</si>
  <si>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</si>
  <si>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</si>
  <si>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</si>
  <si>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</si>
  <si>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</si>
  <si>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</si>
  <si>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</si>
  <si>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</si>
  <si>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</si>
  <si>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</si>
  <si>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</si>
  <si>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</si>
  <si>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</si>
  <si>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</si>
  <si>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</si>
  <si>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</si>
  <si>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</si>
  <si>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</si>
  <si>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</si>
  <si>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</si>
  <si>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</si>
  <si>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</si>
  <si>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</si>
  <si>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</si>
  <si>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</si>
  <si>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</si>
  <si>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</si>
  <si>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</si>
  <si>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</si>
  <si>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</si>
  <si>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</si>
  <si>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</si>
  <si>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</si>
  <si>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</si>
  <si>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</si>
  <si>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</si>
  <si>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</si>
  <si>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</si>
  <si>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</si>
  <si>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</si>
  <si>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</si>
  <si>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</si>
  <si>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</si>
  <si>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</si>
  <si>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</si>
  <si>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</si>
  <si>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</si>
  <si>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</si>
  <si>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</si>
  <si>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</si>
  <si>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</si>
  <si>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</si>
  <si>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</si>
  <si>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</si>
  <si>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</si>
  <si>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</si>
  <si>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</si>
  <si>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</si>
  <si>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</si>
  <si>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</si>
  <si>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</si>
  <si>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</si>
  <si>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</si>
  <si>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</si>
  <si>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</si>
  <si>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</si>
  <si>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</si>
  <si>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</si>
  <si>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</si>
  <si>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</si>
  <si>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</si>
  <si>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</si>
  <si>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</si>
  <si>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</si>
  <si>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</si>
  <si>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</si>
  <si>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</si>
  <si>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</si>
  <si>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</si>
  <si>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</si>
  <si>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</si>
  <si>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</si>
  <si>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</si>
  <si>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</si>
  <si>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</si>
  <si>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</si>
  <si>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</si>
  <si>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</si>
  <si>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</si>
  <si>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</si>
  <si>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</si>
  <si>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</si>
  <si>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</si>
  <si>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</si>
  <si>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</si>
  <si>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</si>
  <si>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</si>
  <si>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</si>
  <si>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</si>
  <si>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</si>
  <si>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</si>
  <si>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</si>
  <si>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</si>
  <si>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</si>
  <si>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</si>
  <si>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</si>
  <si>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</si>
  <si>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</si>
  <si>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</si>
  <si>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</si>
  <si>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</si>
  <si>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</si>
  <si>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</si>
  <si>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</si>
  <si>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</si>
  <si>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</si>
  <si>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</si>
  <si>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</si>
  <si>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</si>
  <si>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</si>
  <si>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</si>
  <si>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</si>
  <si>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</si>
  <si>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</si>
  <si>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</si>
  <si>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</si>
  <si>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</si>
  <si>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</si>
  <si>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</si>
  <si>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</si>
  <si>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</si>
  <si>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</si>
  <si>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</si>
  <si>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</si>
  <si>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</si>
  <si>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</si>
  <si>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</si>
  <si>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</si>
  <si>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</si>
  <si>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</si>
  <si>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</si>
  <si>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</si>
  <si>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</si>
  <si>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</si>
  <si>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</si>
  <si>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</si>
  <si>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</si>
  <si>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</si>
  <si>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</si>
  <si>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</si>
  <si>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</si>
  <si>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</si>
  <si>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</si>
  <si>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</si>
  <si>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</si>
  <si>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</si>
  <si>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</si>
  <si>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</si>
  <si>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</si>
  <si>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</si>
  <si>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</si>
  <si>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</si>
  <si>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</si>
  <si>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</si>
  <si>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</si>
  <si>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</si>
  <si>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</si>
  <si>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</si>
  <si>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</si>
  <si>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</si>
  <si>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</si>
  <si>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</si>
  <si>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</si>
  <si>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</si>
  <si>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</si>
  <si>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</si>
  <si>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5 европалет,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</si>
</sst>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8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8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0" fillId="0" borderId="43" xfId="0" applyBorder="1" applyProtection="1">
      <protection hidden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34" t="s">
        <v>0</v>
      </c>
      <c r="E1" s="686"/>
      <c r="F1" s="686"/>
      <c r="G1" s="12" t="s">
        <v>1</v>
      </c>
      <c r="H1" s="734" t="s">
        <v>2</v>
      </c>
      <c r="I1" s="686"/>
      <c r="J1" s="686"/>
      <c r="K1" s="686"/>
      <c r="L1" s="686"/>
      <c r="M1" s="686"/>
      <c r="N1" s="686"/>
      <c r="O1" s="686"/>
      <c r="P1" s="686"/>
      <c r="Q1" s="686"/>
      <c r="R1" s="685" t="s">
        <v>3</v>
      </c>
      <c r="S1" s="686"/>
      <c r="T1" s="6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51"/>
      <c r="Q3" s="651"/>
      <c r="R3" s="651"/>
      <c r="S3" s="651"/>
      <c r="T3" s="651"/>
      <c r="U3" s="651"/>
      <c r="V3" s="651"/>
      <c r="W3" s="651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5" t="s">
        <v>7</v>
      </c>
      <c r="B5" s="653"/>
      <c r="C5" s="654"/>
      <c r="D5" s="714"/>
      <c r="E5" s="715"/>
      <c r="F5" s="951" t="s">
        <v>8</v>
      </c>
      <c r="G5" s="654"/>
      <c r="H5" s="714" t="s">
        <v>909</v>
      </c>
      <c r="I5" s="898"/>
      <c r="J5" s="898"/>
      <c r="K5" s="898"/>
      <c r="L5" s="898"/>
      <c r="M5" s="715"/>
      <c r="N5" s="58"/>
      <c r="P5" s="24" t="s">
        <v>9</v>
      </c>
      <c r="Q5" s="975">
        <v>46300</v>
      </c>
      <c r="R5" s="765"/>
      <c r="T5" s="819" t="s">
        <v>10</v>
      </c>
      <c r="U5" s="820"/>
      <c r="V5" s="822" t="s">
        <v>11</v>
      </c>
      <c r="W5" s="765"/>
      <c r="AB5" s="51"/>
      <c r="AC5" s="51"/>
      <c r="AD5" s="51"/>
      <c r="AE5" s="51"/>
    </row>
    <row r="6" spans="1:32" s="635" customFormat="1" ht="24" customHeight="1" x14ac:dyDescent="0.2">
      <c r="A6" s="775" t="s">
        <v>12</v>
      </c>
      <c r="B6" s="653"/>
      <c r="C6" s="654"/>
      <c r="D6" s="902" t="s">
        <v>888</v>
      </c>
      <c r="E6" s="903"/>
      <c r="F6" s="903"/>
      <c r="G6" s="903"/>
      <c r="H6" s="903"/>
      <c r="I6" s="903"/>
      <c r="J6" s="903"/>
      <c r="K6" s="903"/>
      <c r="L6" s="903"/>
      <c r="M6" s="765"/>
      <c r="N6" s="59"/>
      <c r="P6" s="24" t="s">
        <v>13</v>
      </c>
      <c r="Q6" s="988" t="str">
        <f>IF(Q5=0," ",CHOOSE(WEEKDAY(Q5,2),"Понедельник","Вторник","Среда","Четверг","Пятница","Суббота","Воскресенье"))</f>
        <v>Понедельник</v>
      </c>
      <c r="R6" s="660"/>
      <c r="T6" s="829" t="s">
        <v>14</v>
      </c>
      <c r="U6" s="820"/>
      <c r="V6" s="882" t="s">
        <v>15</v>
      </c>
      <c r="W6" s="738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17" t="str">
        <f>IFERROR(VLOOKUP(DeliveryAddress,Table,3,0),1)</f>
        <v>8</v>
      </c>
      <c r="E7" s="718"/>
      <c r="F7" s="718"/>
      <c r="G7" s="718"/>
      <c r="H7" s="718"/>
      <c r="I7" s="718"/>
      <c r="J7" s="718"/>
      <c r="K7" s="718"/>
      <c r="L7" s="718"/>
      <c r="M7" s="719"/>
      <c r="N7" s="60"/>
      <c r="P7" s="24"/>
      <c r="Q7" s="42"/>
      <c r="R7" s="42"/>
      <c r="T7" s="651"/>
      <c r="U7" s="820"/>
      <c r="V7" s="883"/>
      <c r="W7" s="884"/>
      <c r="AB7" s="51"/>
      <c r="AC7" s="51"/>
      <c r="AD7" s="51"/>
      <c r="AE7" s="51"/>
    </row>
    <row r="8" spans="1:32" s="635" customFormat="1" ht="25.5" customHeight="1" x14ac:dyDescent="0.2">
      <c r="A8" s="997" t="s">
        <v>16</v>
      </c>
      <c r="B8" s="648"/>
      <c r="C8" s="649"/>
      <c r="D8" s="702"/>
      <c r="E8" s="703"/>
      <c r="F8" s="703"/>
      <c r="G8" s="703"/>
      <c r="H8" s="703"/>
      <c r="I8" s="703"/>
      <c r="J8" s="703"/>
      <c r="K8" s="703"/>
      <c r="L8" s="703"/>
      <c r="M8" s="704"/>
      <c r="N8" s="61"/>
      <c r="P8" s="24" t="s">
        <v>17</v>
      </c>
      <c r="Q8" s="786">
        <v>0.41666666666666669</v>
      </c>
      <c r="R8" s="719"/>
      <c r="T8" s="651"/>
      <c r="U8" s="820"/>
      <c r="V8" s="883"/>
      <c r="W8" s="884"/>
      <c r="AB8" s="51"/>
      <c r="AC8" s="51"/>
      <c r="AD8" s="51"/>
      <c r="AE8" s="51"/>
    </row>
    <row r="9" spans="1:32" s="635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1"/>
      <c r="C9" s="651"/>
      <c r="D9" s="794"/>
      <c r="E9" s="646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1"/>
      <c r="H9" s="645" t="str">
        <f>IF(AND($A$9="Тип доверенности/получателя при получении в адресе перегруза:",$D$9="Разовая доверенность"),"Введите ФИО","")</f>
        <v/>
      </c>
      <c r="I9" s="646"/>
      <c r="J9" s="6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6"/>
      <c r="L9" s="646"/>
      <c r="M9" s="646"/>
      <c r="N9" s="633"/>
      <c r="P9" s="26" t="s">
        <v>18</v>
      </c>
      <c r="Q9" s="761"/>
      <c r="R9" s="762"/>
      <c r="T9" s="651"/>
      <c r="U9" s="820"/>
      <c r="V9" s="885"/>
      <c r="W9" s="886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1"/>
      <c r="C10" s="651"/>
      <c r="D10" s="794"/>
      <c r="E10" s="646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1"/>
      <c r="H10" s="875" t="str">
        <f>IFERROR(VLOOKUP($D$10,Proxy,2,FALSE),"")</f>
        <v/>
      </c>
      <c r="I10" s="651"/>
      <c r="J10" s="651"/>
      <c r="K10" s="651"/>
      <c r="L10" s="651"/>
      <c r="M10" s="651"/>
      <c r="N10" s="634"/>
      <c r="P10" s="26" t="s">
        <v>19</v>
      </c>
      <c r="Q10" s="830"/>
      <c r="R10" s="831"/>
      <c r="U10" s="24" t="s">
        <v>20</v>
      </c>
      <c r="V10" s="737" t="s">
        <v>21</v>
      </c>
      <c r="W10" s="738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6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0" t="s">
        <v>26</v>
      </c>
      <c r="B12" s="653"/>
      <c r="C12" s="653"/>
      <c r="D12" s="653"/>
      <c r="E12" s="653"/>
      <c r="F12" s="653"/>
      <c r="G12" s="653"/>
      <c r="H12" s="653"/>
      <c r="I12" s="653"/>
      <c r="J12" s="653"/>
      <c r="K12" s="653"/>
      <c r="L12" s="653"/>
      <c r="M12" s="654"/>
      <c r="N12" s="62"/>
      <c r="P12" s="24" t="s">
        <v>27</v>
      </c>
      <c r="Q12" s="786"/>
      <c r="R12" s="719"/>
      <c r="S12" s="23"/>
      <c r="U12" s="24"/>
      <c r="V12" s="686"/>
      <c r="W12" s="651"/>
      <c r="AB12" s="51"/>
      <c r="AC12" s="51"/>
      <c r="AD12" s="51"/>
      <c r="AE12" s="51"/>
    </row>
    <row r="13" spans="1:32" s="635" customFormat="1" ht="23.25" customHeight="1" x14ac:dyDescent="0.2">
      <c r="A13" s="810" t="s">
        <v>28</v>
      </c>
      <c r="B13" s="653"/>
      <c r="C13" s="653"/>
      <c r="D13" s="653"/>
      <c r="E13" s="653"/>
      <c r="F13" s="653"/>
      <c r="G13" s="653"/>
      <c r="H13" s="653"/>
      <c r="I13" s="653"/>
      <c r="J13" s="653"/>
      <c r="K13" s="653"/>
      <c r="L13" s="653"/>
      <c r="M13" s="654"/>
      <c r="N13" s="62"/>
      <c r="O13" s="26"/>
      <c r="P13" s="26" t="s">
        <v>29</v>
      </c>
      <c r="Q13" s="926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0" t="s">
        <v>30</v>
      </c>
      <c r="B14" s="653"/>
      <c r="C14" s="653"/>
      <c r="D14" s="653"/>
      <c r="E14" s="653"/>
      <c r="F14" s="653"/>
      <c r="G14" s="653"/>
      <c r="H14" s="653"/>
      <c r="I14" s="653"/>
      <c r="J14" s="653"/>
      <c r="K14" s="653"/>
      <c r="L14" s="653"/>
      <c r="M14" s="65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34" t="s">
        <v>31</v>
      </c>
      <c r="B15" s="653"/>
      <c r="C15" s="653"/>
      <c r="D15" s="653"/>
      <c r="E15" s="653"/>
      <c r="F15" s="653"/>
      <c r="G15" s="653"/>
      <c r="H15" s="653"/>
      <c r="I15" s="653"/>
      <c r="J15" s="653"/>
      <c r="K15" s="653"/>
      <c r="L15" s="653"/>
      <c r="M15" s="654"/>
      <c r="N15" s="63"/>
      <c r="P15" s="801" t="s">
        <v>32</v>
      </c>
      <c r="Q15" s="686"/>
      <c r="R15" s="686"/>
      <c r="S15" s="686"/>
      <c r="T15" s="6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2"/>
      <c r="Q16" s="802"/>
      <c r="R16" s="802"/>
      <c r="S16" s="802"/>
      <c r="T16" s="80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0" t="s">
        <v>33</v>
      </c>
      <c r="B17" s="670" t="s">
        <v>34</v>
      </c>
      <c r="C17" s="791" t="s">
        <v>35</v>
      </c>
      <c r="D17" s="670" t="s">
        <v>36</v>
      </c>
      <c r="E17" s="746"/>
      <c r="F17" s="670" t="s">
        <v>37</v>
      </c>
      <c r="G17" s="670" t="s">
        <v>38</v>
      </c>
      <c r="H17" s="670" t="s">
        <v>39</v>
      </c>
      <c r="I17" s="670" t="s">
        <v>40</v>
      </c>
      <c r="J17" s="670" t="s">
        <v>41</v>
      </c>
      <c r="K17" s="670" t="s">
        <v>42</v>
      </c>
      <c r="L17" s="670" t="s">
        <v>43</v>
      </c>
      <c r="M17" s="670" t="s">
        <v>44</v>
      </c>
      <c r="N17" s="670" t="s">
        <v>45</v>
      </c>
      <c r="O17" s="670" t="s">
        <v>46</v>
      </c>
      <c r="P17" s="670" t="s">
        <v>47</v>
      </c>
      <c r="Q17" s="745"/>
      <c r="R17" s="745"/>
      <c r="S17" s="745"/>
      <c r="T17" s="746"/>
      <c r="U17" s="996" t="s">
        <v>48</v>
      </c>
      <c r="V17" s="654"/>
      <c r="W17" s="670" t="s">
        <v>49</v>
      </c>
      <c r="X17" s="670" t="s">
        <v>50</v>
      </c>
      <c r="Y17" s="994" t="s">
        <v>51</v>
      </c>
      <c r="Z17" s="880" t="s">
        <v>52</v>
      </c>
      <c r="AA17" s="872" t="s">
        <v>53</v>
      </c>
      <c r="AB17" s="872" t="s">
        <v>54</v>
      </c>
      <c r="AC17" s="872" t="s">
        <v>55</v>
      </c>
      <c r="AD17" s="872" t="s">
        <v>56</v>
      </c>
      <c r="AE17" s="965"/>
      <c r="AF17" s="966"/>
      <c r="AG17" s="66"/>
      <c r="BD17" s="65" t="s">
        <v>57</v>
      </c>
    </row>
    <row r="18" spans="1:68" ht="14.25" customHeight="1" x14ac:dyDescent="0.2">
      <c r="A18" s="671"/>
      <c r="B18" s="671"/>
      <c r="C18" s="671"/>
      <c r="D18" s="747"/>
      <c r="E18" s="749"/>
      <c r="F18" s="671"/>
      <c r="G18" s="671"/>
      <c r="H18" s="671"/>
      <c r="I18" s="671"/>
      <c r="J18" s="671"/>
      <c r="K18" s="671"/>
      <c r="L18" s="671"/>
      <c r="M18" s="671"/>
      <c r="N18" s="671"/>
      <c r="O18" s="671"/>
      <c r="P18" s="747"/>
      <c r="Q18" s="748"/>
      <c r="R18" s="748"/>
      <c r="S18" s="748"/>
      <c r="T18" s="749"/>
      <c r="U18" s="67" t="s">
        <v>58</v>
      </c>
      <c r="V18" s="67" t="s">
        <v>59</v>
      </c>
      <c r="W18" s="671"/>
      <c r="X18" s="671"/>
      <c r="Y18" s="995"/>
      <c r="Z18" s="881"/>
      <c r="AA18" s="873"/>
      <c r="AB18" s="873"/>
      <c r="AC18" s="873"/>
      <c r="AD18" s="967"/>
      <c r="AE18" s="968"/>
      <c r="AF18" s="969"/>
      <c r="AG18" s="66"/>
      <c r="BD18" s="65"/>
    </row>
    <row r="19" spans="1:68" ht="27.75" hidden="1" customHeight="1" x14ac:dyDescent="0.2">
      <c r="A19" s="666" t="s">
        <v>60</v>
      </c>
      <c r="B19" s="667"/>
      <c r="C19" s="667"/>
      <c r="D19" s="667"/>
      <c r="E19" s="667"/>
      <c r="F19" s="667"/>
      <c r="G19" s="667"/>
      <c r="H19" s="667"/>
      <c r="I19" s="667"/>
      <c r="J19" s="667"/>
      <c r="K19" s="667"/>
      <c r="L19" s="667"/>
      <c r="M19" s="667"/>
      <c r="N19" s="667"/>
      <c r="O19" s="667"/>
      <c r="P19" s="667"/>
      <c r="Q19" s="667"/>
      <c r="R19" s="667"/>
      <c r="S19" s="667"/>
      <c r="T19" s="667"/>
      <c r="U19" s="667"/>
      <c r="V19" s="667"/>
      <c r="W19" s="667"/>
      <c r="X19" s="667"/>
      <c r="Y19" s="667"/>
      <c r="Z19" s="667"/>
      <c r="AA19" s="48"/>
      <c r="AB19" s="48"/>
      <c r="AC19" s="48"/>
    </row>
    <row r="20" spans="1:68" ht="16.5" hidden="1" customHeight="1" x14ac:dyDescent="0.25">
      <c r="A20" s="655" t="s">
        <v>60</v>
      </c>
      <c r="B20" s="651"/>
      <c r="C20" s="651"/>
      <c r="D20" s="651"/>
      <c r="E20" s="651"/>
      <c r="F20" s="651"/>
      <c r="G20" s="651"/>
      <c r="H20" s="651"/>
      <c r="I20" s="651"/>
      <c r="J20" s="651"/>
      <c r="K20" s="651"/>
      <c r="L20" s="651"/>
      <c r="M20" s="651"/>
      <c r="N20" s="651"/>
      <c r="O20" s="651"/>
      <c r="P20" s="651"/>
      <c r="Q20" s="651"/>
      <c r="R20" s="651"/>
      <c r="S20" s="651"/>
      <c r="T20" s="651"/>
      <c r="U20" s="651"/>
      <c r="V20" s="651"/>
      <c r="W20" s="651"/>
      <c r="X20" s="651"/>
      <c r="Y20" s="651"/>
      <c r="Z20" s="651"/>
      <c r="AA20" s="636"/>
      <c r="AB20" s="636"/>
      <c r="AC20" s="636"/>
    </row>
    <row r="21" spans="1:68" ht="14.25" hidden="1" customHeight="1" x14ac:dyDescent="0.25">
      <c r="A21" s="650" t="s">
        <v>61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59">
        <v>4680115886643</v>
      </c>
      <c r="E22" s="660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7"/>
      <c r="R22" s="657"/>
      <c r="S22" s="657"/>
      <c r="T22" s="658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59">
        <v>4680115889071</v>
      </c>
      <c r="E23" s="660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7"/>
      <c r="R23" s="657"/>
      <c r="S23" s="657"/>
      <c r="T23" s="658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2"/>
      <c r="B24" s="651"/>
      <c r="C24" s="651"/>
      <c r="D24" s="651"/>
      <c r="E24" s="651"/>
      <c r="F24" s="651"/>
      <c r="G24" s="651"/>
      <c r="H24" s="651"/>
      <c r="I24" s="651"/>
      <c r="J24" s="651"/>
      <c r="K24" s="651"/>
      <c r="L24" s="651"/>
      <c r="M24" s="651"/>
      <c r="N24" s="651"/>
      <c r="O24" s="673"/>
      <c r="P24" s="647" t="s">
        <v>71</v>
      </c>
      <c r="Q24" s="648"/>
      <c r="R24" s="648"/>
      <c r="S24" s="648"/>
      <c r="T24" s="648"/>
      <c r="U24" s="648"/>
      <c r="V24" s="649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1"/>
      <c r="B25" s="651"/>
      <c r="C25" s="651"/>
      <c r="D25" s="651"/>
      <c r="E25" s="651"/>
      <c r="F25" s="651"/>
      <c r="G25" s="651"/>
      <c r="H25" s="651"/>
      <c r="I25" s="651"/>
      <c r="J25" s="651"/>
      <c r="K25" s="651"/>
      <c r="L25" s="651"/>
      <c r="M25" s="651"/>
      <c r="N25" s="651"/>
      <c r="O25" s="673"/>
      <c r="P25" s="647" t="s">
        <v>71</v>
      </c>
      <c r="Q25" s="648"/>
      <c r="R25" s="648"/>
      <c r="S25" s="648"/>
      <c r="T25" s="648"/>
      <c r="U25" s="648"/>
      <c r="V25" s="649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50" t="s">
        <v>73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59">
        <v>4680115885912</v>
      </c>
      <c r="E27" s="660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7"/>
      <c r="R27" s="657"/>
      <c r="S27" s="657"/>
      <c r="T27" s="658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59">
        <v>4607091388237</v>
      </c>
      <c r="E28" s="660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9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7"/>
      <c r="R28" s="657"/>
      <c r="S28" s="657"/>
      <c r="T28" s="658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81</v>
      </c>
      <c r="B29" s="54" t="s">
        <v>82</v>
      </c>
      <c r="C29" s="31">
        <v>4301052063</v>
      </c>
      <c r="D29" s="659">
        <v>4680115887350</v>
      </c>
      <c r="E29" s="660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2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7"/>
      <c r="R29" s="657"/>
      <c r="S29" s="657"/>
      <c r="T29" s="658"/>
      <c r="U29" s="34"/>
      <c r="V29" s="34"/>
      <c r="W29" s="35" t="s">
        <v>66</v>
      </c>
      <c r="X29" s="641">
        <v>6</v>
      </c>
      <c r="Y29" s="642">
        <f>IFERROR(IF(X29="",0,CEILING((X29/$H29),1)*$H29),"")</f>
        <v>7.2</v>
      </c>
      <c r="Z29" s="36">
        <f>IFERROR(IF(Y29=0,"",ROUNDUP(Y29/H29,0)*0.00651),"")</f>
        <v>2.6040000000000001E-2</v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10.600000000000001</v>
      </c>
      <c r="BN29" s="64">
        <f>IFERROR(Y29*I29/H29,"0")</f>
        <v>12.72</v>
      </c>
      <c r="BO29" s="64">
        <f>IFERROR(1/J29*(X29/H29),"0")</f>
        <v>1.8315018315018316E-2</v>
      </c>
      <c r="BP29" s="64">
        <f>IFERROR(1/J29*(Y29/H29),"0")</f>
        <v>2.197802197802198E-2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59">
        <v>4680115885905</v>
      </c>
      <c r="E30" s="660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7"/>
      <c r="R30" s="657"/>
      <c r="S30" s="657"/>
      <c r="T30" s="658"/>
      <c r="U30" s="34"/>
      <c r="V30" s="34"/>
      <c r="W30" s="35" t="s">
        <v>66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59">
        <v>4680115887619</v>
      </c>
      <c r="E31" s="660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7"/>
      <c r="R31" s="657"/>
      <c r="S31" s="657"/>
      <c r="T31" s="658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2"/>
      <c r="B32" s="651"/>
      <c r="C32" s="651"/>
      <c r="D32" s="651"/>
      <c r="E32" s="651"/>
      <c r="F32" s="651"/>
      <c r="G32" s="651"/>
      <c r="H32" s="651"/>
      <c r="I32" s="651"/>
      <c r="J32" s="651"/>
      <c r="K32" s="651"/>
      <c r="L32" s="651"/>
      <c r="M32" s="651"/>
      <c r="N32" s="651"/>
      <c r="O32" s="673"/>
      <c r="P32" s="647" t="s">
        <v>71</v>
      </c>
      <c r="Q32" s="648"/>
      <c r="R32" s="648"/>
      <c r="S32" s="648"/>
      <c r="T32" s="648"/>
      <c r="U32" s="648"/>
      <c r="V32" s="649"/>
      <c r="W32" s="37" t="s">
        <v>72</v>
      </c>
      <c r="X32" s="643">
        <f>IFERROR(X27/H27,"0")+IFERROR(X28/H28,"0")+IFERROR(X29/H29,"0")+IFERROR(X30/H30,"0")+IFERROR(X31/H31,"0")</f>
        <v>3.333333333333333</v>
      </c>
      <c r="Y32" s="643">
        <f>IFERROR(Y27/H27,"0")+IFERROR(Y28/H28,"0")+IFERROR(Y29/H29,"0")+IFERROR(Y30/H30,"0")+IFERROR(Y31/H31,"0")</f>
        <v>4</v>
      </c>
      <c r="Z32" s="643">
        <f>IFERROR(IF(Z27="",0,Z27),"0")+IFERROR(IF(Z28="",0,Z28),"0")+IFERROR(IF(Z29="",0,Z29),"0")+IFERROR(IF(Z30="",0,Z30),"0")+IFERROR(IF(Z31="",0,Z31),"0")</f>
        <v>2.6040000000000001E-2</v>
      </c>
      <c r="AA32" s="644"/>
      <c r="AB32" s="644"/>
      <c r="AC32" s="644"/>
    </row>
    <row r="33" spans="1:68" x14ac:dyDescent="0.2">
      <c r="A33" s="651"/>
      <c r="B33" s="651"/>
      <c r="C33" s="651"/>
      <c r="D33" s="651"/>
      <c r="E33" s="651"/>
      <c r="F33" s="651"/>
      <c r="G33" s="651"/>
      <c r="H33" s="651"/>
      <c r="I33" s="651"/>
      <c r="J33" s="651"/>
      <c r="K33" s="651"/>
      <c r="L33" s="651"/>
      <c r="M33" s="651"/>
      <c r="N33" s="651"/>
      <c r="O33" s="673"/>
      <c r="P33" s="647" t="s">
        <v>71</v>
      </c>
      <c r="Q33" s="648"/>
      <c r="R33" s="648"/>
      <c r="S33" s="648"/>
      <c r="T33" s="648"/>
      <c r="U33" s="648"/>
      <c r="V33" s="649"/>
      <c r="W33" s="37" t="s">
        <v>66</v>
      </c>
      <c r="X33" s="643">
        <f>IFERROR(SUM(X27:X31),"0")</f>
        <v>6</v>
      </c>
      <c r="Y33" s="643">
        <f>IFERROR(SUM(Y27:Y31),"0")</f>
        <v>7.2</v>
      </c>
      <c r="Z33" s="37"/>
      <c r="AA33" s="644"/>
      <c r="AB33" s="644"/>
      <c r="AC33" s="644"/>
    </row>
    <row r="34" spans="1:68" ht="27.75" hidden="1" customHeight="1" x14ac:dyDescent="0.2">
      <c r="A34" s="666" t="s">
        <v>91</v>
      </c>
      <c r="B34" s="667"/>
      <c r="C34" s="667"/>
      <c r="D34" s="667"/>
      <c r="E34" s="667"/>
      <c r="F34" s="667"/>
      <c r="G34" s="667"/>
      <c r="H34" s="667"/>
      <c r="I34" s="667"/>
      <c r="J34" s="667"/>
      <c r="K34" s="667"/>
      <c r="L34" s="667"/>
      <c r="M34" s="667"/>
      <c r="N34" s="667"/>
      <c r="O34" s="667"/>
      <c r="P34" s="667"/>
      <c r="Q34" s="667"/>
      <c r="R34" s="667"/>
      <c r="S34" s="667"/>
      <c r="T34" s="667"/>
      <c r="U34" s="667"/>
      <c r="V34" s="667"/>
      <c r="W34" s="667"/>
      <c r="X34" s="667"/>
      <c r="Y34" s="667"/>
      <c r="Z34" s="667"/>
      <c r="AA34" s="48"/>
      <c r="AB34" s="48"/>
      <c r="AC34" s="48"/>
    </row>
    <row r="35" spans="1:68" ht="16.5" hidden="1" customHeight="1" x14ac:dyDescent="0.25">
      <c r="A35" s="655" t="s">
        <v>92</v>
      </c>
      <c r="B35" s="651"/>
      <c r="C35" s="651"/>
      <c r="D35" s="651"/>
      <c r="E35" s="651"/>
      <c r="F35" s="651"/>
      <c r="G35" s="651"/>
      <c r="H35" s="651"/>
      <c r="I35" s="651"/>
      <c r="J35" s="651"/>
      <c r="K35" s="651"/>
      <c r="L35" s="651"/>
      <c r="M35" s="651"/>
      <c r="N35" s="651"/>
      <c r="O35" s="651"/>
      <c r="P35" s="651"/>
      <c r="Q35" s="651"/>
      <c r="R35" s="651"/>
      <c r="S35" s="651"/>
      <c r="T35" s="651"/>
      <c r="U35" s="651"/>
      <c r="V35" s="651"/>
      <c r="W35" s="651"/>
      <c r="X35" s="651"/>
      <c r="Y35" s="651"/>
      <c r="Z35" s="651"/>
      <c r="AA35" s="636"/>
      <c r="AB35" s="636"/>
      <c r="AC35" s="636"/>
    </row>
    <row r="36" spans="1:68" ht="14.25" hidden="1" customHeight="1" x14ac:dyDescent="0.25">
      <c r="A36" s="650" t="s">
        <v>73</v>
      </c>
      <c r="B36" s="651"/>
      <c r="C36" s="651"/>
      <c r="D36" s="651"/>
      <c r="E36" s="651"/>
      <c r="F36" s="651"/>
      <c r="G36" s="651"/>
      <c r="H36" s="651"/>
      <c r="I36" s="651"/>
      <c r="J36" s="651"/>
      <c r="K36" s="651"/>
      <c r="L36" s="651"/>
      <c r="M36" s="651"/>
      <c r="N36" s="651"/>
      <c r="O36" s="651"/>
      <c r="P36" s="651"/>
      <c r="Q36" s="651"/>
      <c r="R36" s="651"/>
      <c r="S36" s="651"/>
      <c r="T36" s="651"/>
      <c r="U36" s="651"/>
      <c r="V36" s="651"/>
      <c r="W36" s="651"/>
      <c r="X36" s="651"/>
      <c r="Y36" s="651"/>
      <c r="Z36" s="651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59">
        <v>4680115889354</v>
      </c>
      <c r="E37" s="660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7"/>
      <c r="R37" s="657"/>
      <c r="S37" s="657"/>
      <c r="T37" s="658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59">
        <v>4680115888463</v>
      </c>
      <c r="E38" s="660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7"/>
      <c r="R38" s="657"/>
      <c r="S38" s="657"/>
      <c r="T38" s="658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59">
        <v>4680115889590</v>
      </c>
      <c r="E39" s="660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7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7"/>
      <c r="R39" s="657"/>
      <c r="S39" s="657"/>
      <c r="T39" s="658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59">
        <v>4680115888272</v>
      </c>
      <c r="E40" s="660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7"/>
      <c r="R40" s="657"/>
      <c r="S40" s="657"/>
      <c r="T40" s="658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59">
        <v>4680115888364</v>
      </c>
      <c r="E41" s="660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7"/>
      <c r="R41" s="657"/>
      <c r="S41" s="657"/>
      <c r="T41" s="658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2"/>
      <c r="B42" s="651"/>
      <c r="C42" s="651"/>
      <c r="D42" s="651"/>
      <c r="E42" s="651"/>
      <c r="F42" s="651"/>
      <c r="G42" s="651"/>
      <c r="H42" s="651"/>
      <c r="I42" s="651"/>
      <c r="J42" s="651"/>
      <c r="K42" s="651"/>
      <c r="L42" s="651"/>
      <c r="M42" s="651"/>
      <c r="N42" s="651"/>
      <c r="O42" s="673"/>
      <c r="P42" s="647" t="s">
        <v>71</v>
      </c>
      <c r="Q42" s="648"/>
      <c r="R42" s="648"/>
      <c r="S42" s="648"/>
      <c r="T42" s="648"/>
      <c r="U42" s="648"/>
      <c r="V42" s="649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1"/>
      <c r="B43" s="651"/>
      <c r="C43" s="651"/>
      <c r="D43" s="651"/>
      <c r="E43" s="651"/>
      <c r="F43" s="651"/>
      <c r="G43" s="651"/>
      <c r="H43" s="651"/>
      <c r="I43" s="651"/>
      <c r="J43" s="651"/>
      <c r="K43" s="651"/>
      <c r="L43" s="651"/>
      <c r="M43" s="651"/>
      <c r="N43" s="651"/>
      <c r="O43" s="673"/>
      <c r="P43" s="647" t="s">
        <v>71</v>
      </c>
      <c r="Q43" s="648"/>
      <c r="R43" s="648"/>
      <c r="S43" s="648"/>
      <c r="T43" s="648"/>
      <c r="U43" s="648"/>
      <c r="V43" s="649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6" t="s">
        <v>108</v>
      </c>
      <c r="B44" s="667"/>
      <c r="C44" s="667"/>
      <c r="D44" s="667"/>
      <c r="E44" s="667"/>
      <c r="F44" s="667"/>
      <c r="G44" s="667"/>
      <c r="H44" s="667"/>
      <c r="I44" s="667"/>
      <c r="J44" s="667"/>
      <c r="K44" s="667"/>
      <c r="L44" s="667"/>
      <c r="M44" s="667"/>
      <c r="N44" s="667"/>
      <c r="O44" s="667"/>
      <c r="P44" s="667"/>
      <c r="Q44" s="667"/>
      <c r="R44" s="667"/>
      <c r="S44" s="667"/>
      <c r="T44" s="667"/>
      <c r="U44" s="667"/>
      <c r="V44" s="667"/>
      <c r="W44" s="667"/>
      <c r="X44" s="667"/>
      <c r="Y44" s="667"/>
      <c r="Z44" s="667"/>
      <c r="AA44" s="48"/>
      <c r="AB44" s="48"/>
      <c r="AC44" s="48"/>
    </row>
    <row r="45" spans="1:68" ht="16.5" hidden="1" customHeight="1" x14ac:dyDescent="0.25">
      <c r="A45" s="655" t="s">
        <v>109</v>
      </c>
      <c r="B45" s="651"/>
      <c r="C45" s="651"/>
      <c r="D45" s="651"/>
      <c r="E45" s="651"/>
      <c r="F45" s="651"/>
      <c r="G45" s="651"/>
      <c r="H45" s="651"/>
      <c r="I45" s="651"/>
      <c r="J45" s="651"/>
      <c r="K45" s="651"/>
      <c r="L45" s="651"/>
      <c r="M45" s="651"/>
      <c r="N45" s="651"/>
      <c r="O45" s="651"/>
      <c r="P45" s="651"/>
      <c r="Q45" s="651"/>
      <c r="R45" s="651"/>
      <c r="S45" s="651"/>
      <c r="T45" s="651"/>
      <c r="U45" s="651"/>
      <c r="V45" s="651"/>
      <c r="W45" s="651"/>
      <c r="X45" s="651"/>
      <c r="Y45" s="651"/>
      <c r="Z45" s="651"/>
      <c r="AA45" s="636"/>
      <c r="AB45" s="636"/>
      <c r="AC45" s="636"/>
    </row>
    <row r="46" spans="1:68" ht="14.25" hidden="1" customHeight="1" x14ac:dyDescent="0.25">
      <c r="A46" s="650" t="s">
        <v>110</v>
      </c>
      <c r="B46" s="651"/>
      <c r="C46" s="651"/>
      <c r="D46" s="651"/>
      <c r="E46" s="651"/>
      <c r="F46" s="651"/>
      <c r="G46" s="651"/>
      <c r="H46" s="651"/>
      <c r="I46" s="651"/>
      <c r="J46" s="651"/>
      <c r="K46" s="651"/>
      <c r="L46" s="651"/>
      <c r="M46" s="651"/>
      <c r="N46" s="651"/>
      <c r="O46" s="651"/>
      <c r="P46" s="651"/>
      <c r="Q46" s="651"/>
      <c r="R46" s="651"/>
      <c r="S46" s="651"/>
      <c r="T46" s="651"/>
      <c r="U46" s="651"/>
      <c r="V46" s="651"/>
      <c r="W46" s="651"/>
      <c r="X46" s="651"/>
      <c r="Y46" s="651"/>
      <c r="Z46" s="651"/>
      <c r="AA46" s="637"/>
      <c r="AB46" s="637"/>
      <c r="AC46" s="637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59">
        <v>4607091385670</v>
      </c>
      <c r="E47" s="660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7"/>
      <c r="R47" s="657"/>
      <c r="S47" s="657"/>
      <c r="T47" s="658"/>
      <c r="U47" s="34"/>
      <c r="V47" s="34"/>
      <c r="W47" s="35" t="s">
        <v>66</v>
      </c>
      <c r="X47" s="641">
        <v>0</v>
      </c>
      <c r="Y47" s="642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59">
        <v>4680115887725</v>
      </c>
      <c r="E48" s="660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7"/>
      <c r="R48" s="657"/>
      <c r="S48" s="657"/>
      <c r="T48" s="658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59">
        <v>4607091385687</v>
      </c>
      <c r="E49" s="660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7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7"/>
      <c r="R49" s="657"/>
      <c r="S49" s="657"/>
      <c r="T49" s="658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59">
        <v>4680115882539</v>
      </c>
      <c r="E50" s="660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3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7"/>
      <c r="R50" s="657"/>
      <c r="S50" s="657"/>
      <c r="T50" s="658"/>
      <c r="U50" s="34"/>
      <c r="V50" s="34"/>
      <c r="W50" s="35" t="s">
        <v>66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72"/>
      <c r="B51" s="651"/>
      <c r="C51" s="651"/>
      <c r="D51" s="651"/>
      <c r="E51" s="651"/>
      <c r="F51" s="651"/>
      <c r="G51" s="651"/>
      <c r="H51" s="651"/>
      <c r="I51" s="651"/>
      <c r="J51" s="651"/>
      <c r="K51" s="651"/>
      <c r="L51" s="651"/>
      <c r="M51" s="651"/>
      <c r="N51" s="651"/>
      <c r="O51" s="673"/>
      <c r="P51" s="647" t="s">
        <v>71</v>
      </c>
      <c r="Q51" s="648"/>
      <c r="R51" s="648"/>
      <c r="S51" s="648"/>
      <c r="T51" s="648"/>
      <c r="U51" s="648"/>
      <c r="V51" s="649"/>
      <c r="W51" s="37" t="s">
        <v>72</v>
      </c>
      <c r="X51" s="643">
        <f>IFERROR(X47/H47,"0")+IFERROR(X48/H48,"0")+IFERROR(X49/H49,"0")+IFERROR(X50/H50,"0")</f>
        <v>0</v>
      </c>
      <c r="Y51" s="643">
        <f>IFERROR(Y47/H47,"0")+IFERROR(Y48/H48,"0")+IFERROR(Y49/H49,"0")+IFERROR(Y50/H50,"0")</f>
        <v>0</v>
      </c>
      <c r="Z51" s="643">
        <f>IFERROR(IF(Z47="",0,Z47),"0")+IFERROR(IF(Z48="",0,Z48),"0")+IFERROR(IF(Z49="",0,Z49),"0")+IFERROR(IF(Z50="",0,Z50),"0")</f>
        <v>0</v>
      </c>
      <c r="AA51" s="644"/>
      <c r="AB51" s="644"/>
      <c r="AC51" s="644"/>
    </row>
    <row r="52" spans="1:68" hidden="1" x14ac:dyDescent="0.2">
      <c r="A52" s="651"/>
      <c r="B52" s="651"/>
      <c r="C52" s="651"/>
      <c r="D52" s="651"/>
      <c r="E52" s="651"/>
      <c r="F52" s="651"/>
      <c r="G52" s="651"/>
      <c r="H52" s="651"/>
      <c r="I52" s="651"/>
      <c r="J52" s="651"/>
      <c r="K52" s="651"/>
      <c r="L52" s="651"/>
      <c r="M52" s="651"/>
      <c r="N52" s="651"/>
      <c r="O52" s="673"/>
      <c r="P52" s="647" t="s">
        <v>71</v>
      </c>
      <c r="Q52" s="648"/>
      <c r="R52" s="648"/>
      <c r="S52" s="648"/>
      <c r="T52" s="648"/>
      <c r="U52" s="648"/>
      <c r="V52" s="649"/>
      <c r="W52" s="37" t="s">
        <v>66</v>
      </c>
      <c r="X52" s="643">
        <f>IFERROR(SUM(X47:X50),"0")</f>
        <v>0</v>
      </c>
      <c r="Y52" s="643">
        <f>IFERROR(SUM(Y47:Y50),"0")</f>
        <v>0</v>
      </c>
      <c r="Z52" s="37"/>
      <c r="AA52" s="644"/>
      <c r="AB52" s="644"/>
      <c r="AC52" s="644"/>
    </row>
    <row r="53" spans="1:68" ht="16.5" hidden="1" customHeight="1" x14ac:dyDescent="0.25">
      <c r="A53" s="655" t="s">
        <v>125</v>
      </c>
      <c r="B53" s="651"/>
      <c r="C53" s="651"/>
      <c r="D53" s="651"/>
      <c r="E53" s="651"/>
      <c r="F53" s="651"/>
      <c r="G53" s="651"/>
      <c r="H53" s="651"/>
      <c r="I53" s="651"/>
      <c r="J53" s="651"/>
      <c r="K53" s="651"/>
      <c r="L53" s="651"/>
      <c r="M53" s="651"/>
      <c r="N53" s="651"/>
      <c r="O53" s="651"/>
      <c r="P53" s="651"/>
      <c r="Q53" s="651"/>
      <c r="R53" s="651"/>
      <c r="S53" s="651"/>
      <c r="T53" s="651"/>
      <c r="U53" s="651"/>
      <c r="V53" s="651"/>
      <c r="W53" s="651"/>
      <c r="X53" s="651"/>
      <c r="Y53" s="651"/>
      <c r="Z53" s="651"/>
      <c r="AA53" s="636"/>
      <c r="AB53" s="636"/>
      <c r="AC53" s="636"/>
    </row>
    <row r="54" spans="1:68" ht="14.25" hidden="1" customHeight="1" x14ac:dyDescent="0.25">
      <c r="A54" s="650" t="s">
        <v>110</v>
      </c>
      <c r="B54" s="651"/>
      <c r="C54" s="651"/>
      <c r="D54" s="651"/>
      <c r="E54" s="651"/>
      <c r="F54" s="651"/>
      <c r="G54" s="651"/>
      <c r="H54" s="651"/>
      <c r="I54" s="651"/>
      <c r="J54" s="651"/>
      <c r="K54" s="651"/>
      <c r="L54" s="651"/>
      <c r="M54" s="651"/>
      <c r="N54" s="651"/>
      <c r="O54" s="651"/>
      <c r="P54" s="651"/>
      <c r="Q54" s="651"/>
      <c r="R54" s="651"/>
      <c r="S54" s="651"/>
      <c r="T54" s="651"/>
      <c r="U54" s="651"/>
      <c r="V54" s="651"/>
      <c r="W54" s="651"/>
      <c r="X54" s="651"/>
      <c r="Y54" s="651"/>
      <c r="Z54" s="651"/>
      <c r="AA54" s="637"/>
      <c r="AB54" s="637"/>
      <c r="AC54" s="637"/>
    </row>
    <row r="55" spans="1:68" ht="27" hidden="1" customHeight="1" x14ac:dyDescent="0.25">
      <c r="A55" s="54" t="s">
        <v>126</v>
      </c>
      <c r="B55" s="54" t="s">
        <v>127</v>
      </c>
      <c r="C55" s="31">
        <v>4301012161</v>
      </c>
      <c r="D55" s="659">
        <v>4680115885882</v>
      </c>
      <c r="E55" s="660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7"/>
      <c r="R55" s="657"/>
      <c r="S55" s="657"/>
      <c r="T55" s="658"/>
      <c r="U55" s="34"/>
      <c r="V55" s="34"/>
      <c r="W55" s="35" t="s">
        <v>66</v>
      </c>
      <c r="X55" s="641">
        <v>0</v>
      </c>
      <c r="Y55" s="642">
        <f t="shared" ref="Y55:Y63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0</v>
      </c>
      <c r="BN55" s="64">
        <f t="shared" ref="BN55:BN63" si="2">IFERROR(Y55*I55/H55,"0")</f>
        <v>0</v>
      </c>
      <c r="BO55" s="64">
        <f t="shared" ref="BO55:BO63" si="3">IFERROR(1/J55*(X55/H55),"0")</f>
        <v>0</v>
      </c>
      <c r="BP55" s="64">
        <f t="shared" ref="BP55:BP63" si="4">IFERROR(1/J55*(Y55/H55),"0")</f>
        <v>0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59">
        <v>4680115881426</v>
      </c>
      <c r="E56" s="660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2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7"/>
      <c r="R56" s="657"/>
      <c r="S56" s="657"/>
      <c r="T56" s="658"/>
      <c r="U56" s="34"/>
      <c r="V56" s="34"/>
      <c r="W56" s="35" t="s">
        <v>66</v>
      </c>
      <c r="X56" s="641">
        <v>10</v>
      </c>
      <c r="Y56" s="642">
        <f t="shared" si="0"/>
        <v>10.8</v>
      </c>
      <c r="Z56" s="36">
        <f>IFERROR(IF(Y56=0,"",ROUNDUP(Y56/H56,0)*0.01898),"")</f>
        <v>1.898E-2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10.37962962962963</v>
      </c>
      <c r="BN56" s="64">
        <f t="shared" si="2"/>
        <v>11.21</v>
      </c>
      <c r="BO56" s="64">
        <f t="shared" si="3"/>
        <v>1.4467592592592591E-2</v>
      </c>
      <c r="BP56" s="64">
        <f t="shared" si="4"/>
        <v>1.5625E-2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59">
        <v>4680115881426</v>
      </c>
      <c r="E57" s="660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5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7"/>
      <c r="R57" s="657"/>
      <c r="S57" s="657"/>
      <c r="T57" s="658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59">
        <v>4680115880283</v>
      </c>
      <c r="E58" s="660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7"/>
      <c r="R58" s="657"/>
      <c r="S58" s="657"/>
      <c r="T58" s="658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59">
        <v>4680115881525</v>
      </c>
      <c r="E59" s="660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7"/>
      <c r="R59" s="657"/>
      <c r="S59" s="657"/>
      <c r="T59" s="658"/>
      <c r="U59" s="34"/>
      <c r="V59" s="34"/>
      <c r="W59" s="35" t="s">
        <v>66</v>
      </c>
      <c r="X59" s="641">
        <v>2</v>
      </c>
      <c r="Y59" s="642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2.0950000000000002</v>
      </c>
      <c r="BN59" s="64">
        <f t="shared" si="2"/>
        <v>4.1900000000000004</v>
      </c>
      <c r="BO59" s="64">
        <f t="shared" si="3"/>
        <v>3.787878787878788E-3</v>
      </c>
      <c r="BP59" s="64">
        <f t="shared" si="4"/>
        <v>7.575757575757576E-3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59">
        <v>4680115881525</v>
      </c>
      <c r="E60" s="660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1003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7"/>
      <c r="R60" s="657"/>
      <c r="S60" s="657"/>
      <c r="T60" s="658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59">
        <v>4680115885899</v>
      </c>
      <c r="E61" s="660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1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7"/>
      <c r="R61" s="657"/>
      <c r="S61" s="657"/>
      <c r="T61" s="658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59">
        <v>4680115881419</v>
      </c>
      <c r="E62" s="660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81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7"/>
      <c r="R62" s="657"/>
      <c r="S62" s="657"/>
      <c r="T62" s="658"/>
      <c r="U62" s="34"/>
      <c r="V62" s="34"/>
      <c r="W62" s="35" t="s">
        <v>66</v>
      </c>
      <c r="X62" s="641">
        <v>0</v>
      </c>
      <c r="Y62" s="642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59">
        <v>4680115881419</v>
      </c>
      <c r="E63" s="660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7"/>
      <c r="R63" s="657"/>
      <c r="S63" s="657"/>
      <c r="T63" s="658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2"/>
      <c r="B64" s="651"/>
      <c r="C64" s="651"/>
      <c r="D64" s="651"/>
      <c r="E64" s="651"/>
      <c r="F64" s="651"/>
      <c r="G64" s="651"/>
      <c r="H64" s="651"/>
      <c r="I64" s="651"/>
      <c r="J64" s="651"/>
      <c r="K64" s="651"/>
      <c r="L64" s="651"/>
      <c r="M64" s="651"/>
      <c r="N64" s="651"/>
      <c r="O64" s="673"/>
      <c r="P64" s="647" t="s">
        <v>71</v>
      </c>
      <c r="Q64" s="648"/>
      <c r="R64" s="648"/>
      <c r="S64" s="648"/>
      <c r="T64" s="648"/>
      <c r="U64" s="648"/>
      <c r="V64" s="649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1.4259259259259258</v>
      </c>
      <c r="Y64" s="643">
        <f>IFERROR(Y55/H55,"0")+IFERROR(Y56/H56,"0")+IFERROR(Y57/H57,"0")+IFERROR(Y58/H58,"0")+IFERROR(Y59/H59,"0")+IFERROR(Y60/H60,"0")+IFERROR(Y61/H61,"0")+IFERROR(Y62/H62,"0")+IFERROR(Y63/H63,"0")</f>
        <v>2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2.8000000000000001E-2</v>
      </c>
      <c r="AA64" s="644"/>
      <c r="AB64" s="644"/>
      <c r="AC64" s="644"/>
    </row>
    <row r="65" spans="1:68" x14ac:dyDescent="0.2">
      <c r="A65" s="651"/>
      <c r="B65" s="651"/>
      <c r="C65" s="651"/>
      <c r="D65" s="651"/>
      <c r="E65" s="651"/>
      <c r="F65" s="651"/>
      <c r="G65" s="651"/>
      <c r="H65" s="651"/>
      <c r="I65" s="651"/>
      <c r="J65" s="651"/>
      <c r="K65" s="651"/>
      <c r="L65" s="651"/>
      <c r="M65" s="651"/>
      <c r="N65" s="651"/>
      <c r="O65" s="673"/>
      <c r="P65" s="647" t="s">
        <v>71</v>
      </c>
      <c r="Q65" s="648"/>
      <c r="R65" s="648"/>
      <c r="S65" s="648"/>
      <c r="T65" s="648"/>
      <c r="U65" s="648"/>
      <c r="V65" s="649"/>
      <c r="W65" s="37" t="s">
        <v>66</v>
      </c>
      <c r="X65" s="643">
        <f>IFERROR(SUM(X55:X63),"0")</f>
        <v>12</v>
      </c>
      <c r="Y65" s="643">
        <f>IFERROR(SUM(Y55:Y63),"0")</f>
        <v>14.8</v>
      </c>
      <c r="Z65" s="37"/>
      <c r="AA65" s="644"/>
      <c r="AB65" s="644"/>
      <c r="AC65" s="644"/>
    </row>
    <row r="66" spans="1:68" ht="14.25" hidden="1" customHeight="1" x14ac:dyDescent="0.25">
      <c r="A66" s="650" t="s">
        <v>147</v>
      </c>
      <c r="B66" s="651"/>
      <c r="C66" s="651"/>
      <c r="D66" s="651"/>
      <c r="E66" s="651"/>
      <c r="F66" s="651"/>
      <c r="G66" s="651"/>
      <c r="H66" s="651"/>
      <c r="I66" s="651"/>
      <c r="J66" s="651"/>
      <c r="K66" s="651"/>
      <c r="L66" s="651"/>
      <c r="M66" s="651"/>
      <c r="N66" s="651"/>
      <c r="O66" s="651"/>
      <c r="P66" s="651"/>
      <c r="Q66" s="651"/>
      <c r="R66" s="651"/>
      <c r="S66" s="651"/>
      <c r="T66" s="651"/>
      <c r="U66" s="651"/>
      <c r="V66" s="651"/>
      <c r="W66" s="651"/>
      <c r="X66" s="651"/>
      <c r="Y66" s="651"/>
      <c r="Z66" s="651"/>
      <c r="AA66" s="637"/>
      <c r="AB66" s="637"/>
      <c r="AC66" s="637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59">
        <v>4680115881440</v>
      </c>
      <c r="E67" s="660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7"/>
      <c r="R67" s="657"/>
      <c r="S67" s="657"/>
      <c r="T67" s="658"/>
      <c r="U67" s="34"/>
      <c r="V67" s="34"/>
      <c r="W67" s="35" t="s">
        <v>66</v>
      </c>
      <c r="X67" s="641">
        <v>0</v>
      </c>
      <c r="Y67" s="642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59">
        <v>4680115881440</v>
      </c>
      <c r="E68" s="660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68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7"/>
      <c r="R68" s="657"/>
      <c r="S68" s="657"/>
      <c r="T68" s="658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59">
        <v>4680115885950</v>
      </c>
      <c r="E69" s="660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7"/>
      <c r="R69" s="657"/>
      <c r="S69" s="657"/>
      <c r="T69" s="658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59">
        <v>4680115887688</v>
      </c>
      <c r="E70" s="660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7"/>
      <c r="R70" s="657"/>
      <c r="S70" s="657"/>
      <c r="T70" s="658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59">
        <v>4680115881433</v>
      </c>
      <c r="E71" s="660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57"/>
      <c r="R71" s="657"/>
      <c r="S71" s="657"/>
      <c r="T71" s="658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72"/>
      <c r="B72" s="651"/>
      <c r="C72" s="651"/>
      <c r="D72" s="651"/>
      <c r="E72" s="651"/>
      <c r="F72" s="651"/>
      <c r="G72" s="651"/>
      <c r="H72" s="651"/>
      <c r="I72" s="651"/>
      <c r="J72" s="651"/>
      <c r="K72" s="651"/>
      <c r="L72" s="651"/>
      <c r="M72" s="651"/>
      <c r="N72" s="651"/>
      <c r="O72" s="673"/>
      <c r="P72" s="647" t="s">
        <v>71</v>
      </c>
      <c r="Q72" s="648"/>
      <c r="R72" s="648"/>
      <c r="S72" s="648"/>
      <c r="T72" s="648"/>
      <c r="U72" s="648"/>
      <c r="V72" s="649"/>
      <c r="W72" s="37" t="s">
        <v>72</v>
      </c>
      <c r="X72" s="643">
        <f>IFERROR(X67/H67,"0")+IFERROR(X68/H68,"0")+IFERROR(X69/H69,"0")+IFERROR(X70/H70,"0")+IFERROR(X71/H71,"0")</f>
        <v>0</v>
      </c>
      <c r="Y72" s="643">
        <f>IFERROR(Y67/H67,"0")+IFERROR(Y68/H68,"0")+IFERROR(Y69/H69,"0")+IFERROR(Y70/H70,"0")+IFERROR(Y71/H71,"0")</f>
        <v>0</v>
      </c>
      <c r="Z72" s="643">
        <f>IFERROR(IF(Z67="",0,Z67),"0")+IFERROR(IF(Z68="",0,Z68),"0")+IFERROR(IF(Z69="",0,Z69),"0")+IFERROR(IF(Z70="",0,Z70),"0")+IFERROR(IF(Z71="",0,Z71),"0")</f>
        <v>0</v>
      </c>
      <c r="AA72" s="644"/>
      <c r="AB72" s="644"/>
      <c r="AC72" s="644"/>
    </row>
    <row r="73" spans="1:68" hidden="1" x14ac:dyDescent="0.2">
      <c r="A73" s="651"/>
      <c r="B73" s="651"/>
      <c r="C73" s="651"/>
      <c r="D73" s="651"/>
      <c r="E73" s="651"/>
      <c r="F73" s="651"/>
      <c r="G73" s="651"/>
      <c r="H73" s="651"/>
      <c r="I73" s="651"/>
      <c r="J73" s="651"/>
      <c r="K73" s="651"/>
      <c r="L73" s="651"/>
      <c r="M73" s="651"/>
      <c r="N73" s="651"/>
      <c r="O73" s="673"/>
      <c r="P73" s="647" t="s">
        <v>71</v>
      </c>
      <c r="Q73" s="648"/>
      <c r="R73" s="648"/>
      <c r="S73" s="648"/>
      <c r="T73" s="648"/>
      <c r="U73" s="648"/>
      <c r="V73" s="649"/>
      <c r="W73" s="37" t="s">
        <v>66</v>
      </c>
      <c r="X73" s="643">
        <f>IFERROR(SUM(X67:X71),"0")</f>
        <v>0</v>
      </c>
      <c r="Y73" s="643">
        <f>IFERROR(SUM(Y67:Y71),"0")</f>
        <v>0</v>
      </c>
      <c r="Z73" s="37"/>
      <c r="AA73" s="644"/>
      <c r="AB73" s="644"/>
      <c r="AC73" s="644"/>
    </row>
    <row r="74" spans="1:68" ht="14.25" hidden="1" customHeight="1" x14ac:dyDescent="0.25">
      <c r="A74" s="650" t="s">
        <v>73</v>
      </c>
      <c r="B74" s="651"/>
      <c r="C74" s="651"/>
      <c r="D74" s="651"/>
      <c r="E74" s="651"/>
      <c r="F74" s="651"/>
      <c r="G74" s="651"/>
      <c r="H74" s="651"/>
      <c r="I74" s="651"/>
      <c r="J74" s="651"/>
      <c r="K74" s="651"/>
      <c r="L74" s="651"/>
      <c r="M74" s="651"/>
      <c r="N74" s="651"/>
      <c r="O74" s="651"/>
      <c r="P74" s="651"/>
      <c r="Q74" s="651"/>
      <c r="R74" s="651"/>
      <c r="S74" s="651"/>
      <c r="T74" s="651"/>
      <c r="U74" s="651"/>
      <c r="V74" s="651"/>
      <c r="W74" s="651"/>
      <c r="X74" s="651"/>
      <c r="Y74" s="651"/>
      <c r="Z74" s="651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59">
        <v>4680115884311</v>
      </c>
      <c r="E75" s="660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57"/>
      <c r="R75" s="657"/>
      <c r="S75" s="657"/>
      <c r="T75" s="658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59">
        <v>4680115884403</v>
      </c>
      <c r="E76" s="660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57"/>
      <c r="R76" s="657"/>
      <c r="S76" s="657"/>
      <c r="T76" s="658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2"/>
      <c r="B77" s="651"/>
      <c r="C77" s="651"/>
      <c r="D77" s="651"/>
      <c r="E77" s="651"/>
      <c r="F77" s="651"/>
      <c r="G77" s="651"/>
      <c r="H77" s="651"/>
      <c r="I77" s="651"/>
      <c r="J77" s="651"/>
      <c r="K77" s="651"/>
      <c r="L77" s="651"/>
      <c r="M77" s="651"/>
      <c r="N77" s="651"/>
      <c r="O77" s="673"/>
      <c r="P77" s="647" t="s">
        <v>71</v>
      </c>
      <c r="Q77" s="648"/>
      <c r="R77" s="648"/>
      <c r="S77" s="648"/>
      <c r="T77" s="648"/>
      <c r="U77" s="648"/>
      <c r="V77" s="649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51"/>
      <c r="B78" s="651"/>
      <c r="C78" s="651"/>
      <c r="D78" s="651"/>
      <c r="E78" s="651"/>
      <c r="F78" s="651"/>
      <c r="G78" s="651"/>
      <c r="H78" s="651"/>
      <c r="I78" s="651"/>
      <c r="J78" s="651"/>
      <c r="K78" s="651"/>
      <c r="L78" s="651"/>
      <c r="M78" s="651"/>
      <c r="N78" s="651"/>
      <c r="O78" s="673"/>
      <c r="P78" s="647" t="s">
        <v>71</v>
      </c>
      <c r="Q78" s="648"/>
      <c r="R78" s="648"/>
      <c r="S78" s="648"/>
      <c r="T78" s="648"/>
      <c r="U78" s="648"/>
      <c r="V78" s="649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50" t="s">
        <v>166</v>
      </c>
      <c r="B79" s="651"/>
      <c r="C79" s="651"/>
      <c r="D79" s="651"/>
      <c r="E79" s="651"/>
      <c r="F79" s="651"/>
      <c r="G79" s="651"/>
      <c r="H79" s="651"/>
      <c r="I79" s="651"/>
      <c r="J79" s="651"/>
      <c r="K79" s="651"/>
      <c r="L79" s="651"/>
      <c r="M79" s="651"/>
      <c r="N79" s="651"/>
      <c r="O79" s="651"/>
      <c r="P79" s="651"/>
      <c r="Q79" s="651"/>
      <c r="R79" s="651"/>
      <c r="S79" s="651"/>
      <c r="T79" s="651"/>
      <c r="U79" s="651"/>
      <c r="V79" s="651"/>
      <c r="W79" s="651"/>
      <c r="X79" s="651"/>
      <c r="Y79" s="651"/>
      <c r="Z79" s="651"/>
      <c r="AA79" s="637"/>
      <c r="AB79" s="637"/>
      <c r="AC79" s="637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59">
        <v>4680115881532</v>
      </c>
      <c r="E80" s="660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57"/>
      <c r="R80" s="657"/>
      <c r="S80" s="657"/>
      <c r="T80" s="658"/>
      <c r="U80" s="34"/>
      <c r="V80" s="34"/>
      <c r="W80" s="35" t="s">
        <v>66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59">
        <v>4680115881532</v>
      </c>
      <c r="E81" s="660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713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57"/>
      <c r="R81" s="657"/>
      <c r="S81" s="657"/>
      <c r="T81" s="658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59">
        <v>4680115881464</v>
      </c>
      <c r="E82" s="660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5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57"/>
      <c r="R82" s="657"/>
      <c r="S82" s="657"/>
      <c r="T82" s="658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2"/>
      <c r="B83" s="651"/>
      <c r="C83" s="651"/>
      <c r="D83" s="651"/>
      <c r="E83" s="651"/>
      <c r="F83" s="651"/>
      <c r="G83" s="651"/>
      <c r="H83" s="651"/>
      <c r="I83" s="651"/>
      <c r="J83" s="651"/>
      <c r="K83" s="651"/>
      <c r="L83" s="651"/>
      <c r="M83" s="651"/>
      <c r="N83" s="651"/>
      <c r="O83" s="673"/>
      <c r="P83" s="647" t="s">
        <v>71</v>
      </c>
      <c r="Q83" s="648"/>
      <c r="R83" s="648"/>
      <c r="S83" s="648"/>
      <c r="T83" s="648"/>
      <c r="U83" s="648"/>
      <c r="V83" s="649"/>
      <c r="W83" s="37" t="s">
        <v>72</v>
      </c>
      <c r="X83" s="643">
        <f>IFERROR(X80/H80,"0")+IFERROR(X81/H81,"0")+IFERROR(X82/H82,"0")</f>
        <v>0</v>
      </c>
      <c r="Y83" s="643">
        <f>IFERROR(Y80/H80,"0")+IFERROR(Y81/H81,"0")+IFERROR(Y82/H82,"0")</f>
        <v>0</v>
      </c>
      <c r="Z83" s="643">
        <f>IFERROR(IF(Z80="",0,Z80),"0")+IFERROR(IF(Z81="",0,Z81),"0")+IFERROR(IF(Z82="",0,Z82),"0")</f>
        <v>0</v>
      </c>
      <c r="AA83" s="644"/>
      <c r="AB83" s="644"/>
      <c r="AC83" s="644"/>
    </row>
    <row r="84" spans="1:68" hidden="1" x14ac:dyDescent="0.2">
      <c r="A84" s="651"/>
      <c r="B84" s="651"/>
      <c r="C84" s="651"/>
      <c r="D84" s="651"/>
      <c r="E84" s="651"/>
      <c r="F84" s="651"/>
      <c r="G84" s="651"/>
      <c r="H84" s="651"/>
      <c r="I84" s="651"/>
      <c r="J84" s="651"/>
      <c r="K84" s="651"/>
      <c r="L84" s="651"/>
      <c r="M84" s="651"/>
      <c r="N84" s="651"/>
      <c r="O84" s="673"/>
      <c r="P84" s="647" t="s">
        <v>71</v>
      </c>
      <c r="Q84" s="648"/>
      <c r="R84" s="648"/>
      <c r="S84" s="648"/>
      <c r="T84" s="648"/>
      <c r="U84" s="648"/>
      <c r="V84" s="649"/>
      <c r="W84" s="37" t="s">
        <v>66</v>
      </c>
      <c r="X84" s="643">
        <f>IFERROR(SUM(X80:X82),"0")</f>
        <v>0</v>
      </c>
      <c r="Y84" s="643">
        <f>IFERROR(SUM(Y80:Y82),"0")</f>
        <v>0</v>
      </c>
      <c r="Z84" s="37"/>
      <c r="AA84" s="644"/>
      <c r="AB84" s="644"/>
      <c r="AC84" s="644"/>
    </row>
    <row r="85" spans="1:68" ht="16.5" hidden="1" customHeight="1" x14ac:dyDescent="0.25">
      <c r="A85" s="655" t="s">
        <v>174</v>
      </c>
      <c r="B85" s="651"/>
      <c r="C85" s="651"/>
      <c r="D85" s="651"/>
      <c r="E85" s="651"/>
      <c r="F85" s="651"/>
      <c r="G85" s="651"/>
      <c r="H85" s="651"/>
      <c r="I85" s="651"/>
      <c r="J85" s="651"/>
      <c r="K85" s="651"/>
      <c r="L85" s="651"/>
      <c r="M85" s="651"/>
      <c r="N85" s="651"/>
      <c r="O85" s="651"/>
      <c r="P85" s="651"/>
      <c r="Q85" s="651"/>
      <c r="R85" s="651"/>
      <c r="S85" s="651"/>
      <c r="T85" s="651"/>
      <c r="U85" s="651"/>
      <c r="V85" s="651"/>
      <c r="W85" s="651"/>
      <c r="X85" s="651"/>
      <c r="Y85" s="651"/>
      <c r="Z85" s="651"/>
      <c r="AA85" s="636"/>
      <c r="AB85" s="636"/>
      <c r="AC85" s="636"/>
    </row>
    <row r="86" spans="1:68" ht="14.25" hidden="1" customHeight="1" x14ac:dyDescent="0.25">
      <c r="A86" s="650" t="s">
        <v>110</v>
      </c>
      <c r="B86" s="651"/>
      <c r="C86" s="651"/>
      <c r="D86" s="651"/>
      <c r="E86" s="651"/>
      <c r="F86" s="651"/>
      <c r="G86" s="651"/>
      <c r="H86" s="651"/>
      <c r="I86" s="651"/>
      <c r="J86" s="651"/>
      <c r="K86" s="651"/>
      <c r="L86" s="651"/>
      <c r="M86" s="651"/>
      <c r="N86" s="651"/>
      <c r="O86" s="651"/>
      <c r="P86" s="651"/>
      <c r="Q86" s="651"/>
      <c r="R86" s="651"/>
      <c r="S86" s="651"/>
      <c r="T86" s="651"/>
      <c r="U86" s="651"/>
      <c r="V86" s="651"/>
      <c r="W86" s="651"/>
      <c r="X86" s="651"/>
      <c r="Y86" s="651"/>
      <c r="Z86" s="651"/>
      <c r="AA86" s="637"/>
      <c r="AB86" s="637"/>
      <c r="AC86" s="637"/>
    </row>
    <row r="87" spans="1:68" ht="27" customHeight="1" x14ac:dyDescent="0.25">
      <c r="A87" s="54" t="s">
        <v>175</v>
      </c>
      <c r="B87" s="54" t="s">
        <v>176</v>
      </c>
      <c r="C87" s="31">
        <v>4301011468</v>
      </c>
      <c r="D87" s="659">
        <v>4680115881327</v>
      </c>
      <c r="E87" s="660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57"/>
      <c r="R87" s="657"/>
      <c r="S87" s="657"/>
      <c r="T87" s="658"/>
      <c r="U87" s="34"/>
      <c r="V87" s="34"/>
      <c r="W87" s="35" t="s">
        <v>66</v>
      </c>
      <c r="X87" s="641">
        <v>112</v>
      </c>
      <c r="Y87" s="642">
        <f t="shared" ref="Y87:Y92" si="5">IFERROR(IF(X87="",0,CEILING((X87/$H87),1)*$H87),"")</f>
        <v>118.80000000000001</v>
      </c>
      <c r="Z87" s="36">
        <f>IFERROR(IF(Y87=0,"",ROUNDUP(Y87/H87,0)*0.01898),"")</f>
        <v>0.20877999999999999</v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116.25185185185184</v>
      </c>
      <c r="BN87" s="64">
        <f t="shared" ref="BN87:BN92" si="7">IFERROR(Y87*I87/H87,"0")</f>
        <v>123.31000000000002</v>
      </c>
      <c r="BO87" s="64">
        <f t="shared" ref="BO87:BO92" si="8">IFERROR(1/J87*(X87/H87),"0")</f>
        <v>0.16203703703703703</v>
      </c>
      <c r="BP87" s="64">
        <f t="shared" ref="BP87:BP92" si="9">IFERROR(1/J87*(Y87/H87),"0")</f>
        <v>0.171875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59">
        <v>4680115881327</v>
      </c>
      <c r="E88" s="660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3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57"/>
      <c r="R88" s="657"/>
      <c r="S88" s="657"/>
      <c r="T88" s="658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59">
        <v>4680115887732</v>
      </c>
      <c r="E89" s="660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92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7"/>
      <c r="R89" s="657"/>
      <c r="S89" s="657"/>
      <c r="T89" s="658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59">
        <v>4680115881518</v>
      </c>
      <c r="E90" s="660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7"/>
      <c r="R90" s="657"/>
      <c r="S90" s="657"/>
      <c r="T90" s="658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59">
        <v>4680115881518</v>
      </c>
      <c r="E91" s="660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67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7"/>
      <c r="R91" s="657"/>
      <c r="S91" s="657"/>
      <c r="T91" s="658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customHeight="1" x14ac:dyDescent="0.25">
      <c r="A92" s="54" t="s">
        <v>185</v>
      </c>
      <c r="B92" s="54" t="s">
        <v>186</v>
      </c>
      <c r="C92" s="31">
        <v>4301012250</v>
      </c>
      <c r="D92" s="659">
        <v>4680115881303</v>
      </c>
      <c r="E92" s="660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2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7"/>
      <c r="R92" s="657"/>
      <c r="S92" s="657"/>
      <c r="T92" s="658"/>
      <c r="U92" s="34"/>
      <c r="V92" s="34"/>
      <c r="W92" s="35" t="s">
        <v>66</v>
      </c>
      <c r="X92" s="641">
        <v>37</v>
      </c>
      <c r="Y92" s="642">
        <f t="shared" si="5"/>
        <v>40.5</v>
      </c>
      <c r="Z92" s="36">
        <f>IFERROR(IF(Y92=0,"",ROUNDUP(Y92/H92,0)*0.00902),"")</f>
        <v>8.1180000000000002E-2</v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38.562222222222225</v>
      </c>
      <c r="BN92" s="64">
        <f t="shared" si="7"/>
        <v>42.210000000000008</v>
      </c>
      <c r="BO92" s="64">
        <f t="shared" si="8"/>
        <v>6.2289562289562284E-2</v>
      </c>
      <c r="BP92" s="64">
        <f t="shared" si="9"/>
        <v>6.8181818181818177E-2</v>
      </c>
    </row>
    <row r="93" spans="1:68" x14ac:dyDescent="0.2">
      <c r="A93" s="672"/>
      <c r="B93" s="651"/>
      <c r="C93" s="651"/>
      <c r="D93" s="651"/>
      <c r="E93" s="651"/>
      <c r="F93" s="651"/>
      <c r="G93" s="651"/>
      <c r="H93" s="651"/>
      <c r="I93" s="651"/>
      <c r="J93" s="651"/>
      <c r="K93" s="651"/>
      <c r="L93" s="651"/>
      <c r="M93" s="651"/>
      <c r="N93" s="651"/>
      <c r="O93" s="673"/>
      <c r="P93" s="647" t="s">
        <v>71</v>
      </c>
      <c r="Q93" s="648"/>
      <c r="R93" s="648"/>
      <c r="S93" s="648"/>
      <c r="T93" s="648"/>
      <c r="U93" s="648"/>
      <c r="V93" s="649"/>
      <c r="W93" s="37" t="s">
        <v>72</v>
      </c>
      <c r="X93" s="643">
        <f>IFERROR(X87/H87,"0")+IFERROR(X88/H88,"0")+IFERROR(X89/H89,"0")+IFERROR(X90/H90,"0")+IFERROR(X91/H91,"0")+IFERROR(X92/H92,"0")</f>
        <v>18.592592592592592</v>
      </c>
      <c r="Y93" s="643">
        <f>IFERROR(Y87/H87,"0")+IFERROR(Y88/H88,"0")+IFERROR(Y89/H89,"0")+IFERROR(Y90/H90,"0")+IFERROR(Y91/H91,"0")+IFERROR(Y92/H92,"0")</f>
        <v>20</v>
      </c>
      <c r="Z93" s="643">
        <f>IFERROR(IF(Z87="",0,Z87),"0")+IFERROR(IF(Z88="",0,Z88),"0")+IFERROR(IF(Z89="",0,Z89),"0")+IFERROR(IF(Z90="",0,Z90),"0")+IFERROR(IF(Z91="",0,Z91),"0")+IFERROR(IF(Z92="",0,Z92),"0")</f>
        <v>0.28996</v>
      </c>
      <c r="AA93" s="644"/>
      <c r="AB93" s="644"/>
      <c r="AC93" s="644"/>
    </row>
    <row r="94" spans="1:68" x14ac:dyDescent="0.2">
      <c r="A94" s="651"/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73"/>
      <c r="P94" s="647" t="s">
        <v>71</v>
      </c>
      <c r="Q94" s="648"/>
      <c r="R94" s="648"/>
      <c r="S94" s="648"/>
      <c r="T94" s="648"/>
      <c r="U94" s="648"/>
      <c r="V94" s="649"/>
      <c r="W94" s="37" t="s">
        <v>66</v>
      </c>
      <c r="X94" s="643">
        <f>IFERROR(SUM(X87:X92),"0")</f>
        <v>149</v>
      </c>
      <c r="Y94" s="643">
        <f>IFERROR(SUM(Y87:Y92),"0")</f>
        <v>159.30000000000001</v>
      </c>
      <c r="Z94" s="37"/>
      <c r="AA94" s="644"/>
      <c r="AB94" s="644"/>
      <c r="AC94" s="644"/>
    </row>
    <row r="95" spans="1:68" ht="14.25" hidden="1" customHeight="1" x14ac:dyDescent="0.25">
      <c r="A95" s="650" t="s">
        <v>73</v>
      </c>
      <c r="B95" s="651"/>
      <c r="C95" s="651"/>
      <c r="D95" s="651"/>
      <c r="E95" s="651"/>
      <c r="F95" s="651"/>
      <c r="G95" s="651"/>
      <c r="H95" s="651"/>
      <c r="I95" s="651"/>
      <c r="J95" s="651"/>
      <c r="K95" s="651"/>
      <c r="L95" s="651"/>
      <c r="M95" s="651"/>
      <c r="N95" s="651"/>
      <c r="O95" s="651"/>
      <c r="P95" s="651"/>
      <c r="Q95" s="651"/>
      <c r="R95" s="651"/>
      <c r="S95" s="651"/>
      <c r="T95" s="651"/>
      <c r="U95" s="651"/>
      <c r="V95" s="651"/>
      <c r="W95" s="651"/>
      <c r="X95" s="651"/>
      <c r="Y95" s="651"/>
      <c r="Z95" s="651"/>
      <c r="AA95" s="637"/>
      <c r="AB95" s="637"/>
      <c r="AC95" s="637"/>
    </row>
    <row r="96" spans="1:68" ht="27" hidden="1" customHeight="1" x14ac:dyDescent="0.25">
      <c r="A96" s="54" t="s">
        <v>187</v>
      </c>
      <c r="B96" s="54" t="s">
        <v>188</v>
      </c>
      <c r="C96" s="31">
        <v>4301052101</v>
      </c>
      <c r="D96" s="659">
        <v>4607091386967</v>
      </c>
      <c r="E96" s="660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920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7"/>
      <c r="R96" s="657"/>
      <c r="S96" s="657"/>
      <c r="T96" s="658"/>
      <c r="U96" s="34"/>
      <c r="V96" s="34"/>
      <c r="W96" s="35" t="s">
        <v>66</v>
      </c>
      <c r="X96" s="641">
        <v>0</v>
      </c>
      <c r="Y96" s="642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59">
        <v>4680115884953</v>
      </c>
      <c r="E97" s="660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58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7"/>
      <c r="R97" s="657"/>
      <c r="S97" s="657"/>
      <c r="T97" s="658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59">
        <v>4607091385731</v>
      </c>
      <c r="E98" s="660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89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7"/>
      <c r="R98" s="657"/>
      <c r="S98" s="657"/>
      <c r="T98" s="658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59">
        <v>4680115880894</v>
      </c>
      <c r="E99" s="660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2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7"/>
      <c r="R99" s="657"/>
      <c r="S99" s="657"/>
      <c r="T99" s="658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idden="1" x14ac:dyDescent="0.2">
      <c r="A100" s="672"/>
      <c r="B100" s="651"/>
      <c r="C100" s="651"/>
      <c r="D100" s="651"/>
      <c r="E100" s="651"/>
      <c r="F100" s="651"/>
      <c r="G100" s="651"/>
      <c r="H100" s="651"/>
      <c r="I100" s="651"/>
      <c r="J100" s="651"/>
      <c r="K100" s="651"/>
      <c r="L100" s="651"/>
      <c r="M100" s="651"/>
      <c r="N100" s="651"/>
      <c r="O100" s="673"/>
      <c r="P100" s="647" t="s">
        <v>71</v>
      </c>
      <c r="Q100" s="648"/>
      <c r="R100" s="648"/>
      <c r="S100" s="648"/>
      <c r="T100" s="648"/>
      <c r="U100" s="648"/>
      <c r="V100" s="649"/>
      <c r="W100" s="37" t="s">
        <v>72</v>
      </c>
      <c r="X100" s="643">
        <f>IFERROR(X96/H96,"0")+IFERROR(X97/H97,"0")+IFERROR(X98/H98,"0")+IFERROR(X99/H99,"0")</f>
        <v>0</v>
      </c>
      <c r="Y100" s="643">
        <f>IFERROR(Y96/H96,"0")+IFERROR(Y97/H97,"0")+IFERROR(Y98/H98,"0")+IFERROR(Y99/H99,"0")</f>
        <v>0</v>
      </c>
      <c r="Z100" s="643">
        <f>IFERROR(IF(Z96="",0,Z96),"0")+IFERROR(IF(Z97="",0,Z97),"0")+IFERROR(IF(Z98="",0,Z98),"0")+IFERROR(IF(Z99="",0,Z99),"0")</f>
        <v>0</v>
      </c>
      <c r="AA100" s="644"/>
      <c r="AB100" s="644"/>
      <c r="AC100" s="644"/>
    </row>
    <row r="101" spans="1:68" hidden="1" x14ac:dyDescent="0.2">
      <c r="A101" s="651"/>
      <c r="B101" s="651"/>
      <c r="C101" s="651"/>
      <c r="D101" s="651"/>
      <c r="E101" s="651"/>
      <c r="F101" s="651"/>
      <c r="G101" s="651"/>
      <c r="H101" s="651"/>
      <c r="I101" s="651"/>
      <c r="J101" s="651"/>
      <c r="K101" s="651"/>
      <c r="L101" s="651"/>
      <c r="M101" s="651"/>
      <c r="N101" s="651"/>
      <c r="O101" s="673"/>
      <c r="P101" s="647" t="s">
        <v>71</v>
      </c>
      <c r="Q101" s="648"/>
      <c r="R101" s="648"/>
      <c r="S101" s="648"/>
      <c r="T101" s="648"/>
      <c r="U101" s="648"/>
      <c r="V101" s="649"/>
      <c r="W101" s="37" t="s">
        <v>66</v>
      </c>
      <c r="X101" s="643">
        <f>IFERROR(SUM(X96:X99),"0")</f>
        <v>0</v>
      </c>
      <c r="Y101" s="643">
        <f>IFERROR(SUM(Y96:Y99),"0")</f>
        <v>0</v>
      </c>
      <c r="Z101" s="37"/>
      <c r="AA101" s="644"/>
      <c r="AB101" s="644"/>
      <c r="AC101" s="644"/>
    </row>
    <row r="102" spans="1:68" ht="16.5" hidden="1" customHeight="1" x14ac:dyDescent="0.25">
      <c r="A102" s="655" t="s">
        <v>198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6"/>
      <c r="AB102" s="636"/>
      <c r="AC102" s="636"/>
    </row>
    <row r="103" spans="1:68" ht="14.25" hidden="1" customHeight="1" x14ac:dyDescent="0.25">
      <c r="A103" s="650" t="s">
        <v>110</v>
      </c>
      <c r="B103" s="651"/>
      <c r="C103" s="651"/>
      <c r="D103" s="651"/>
      <c r="E103" s="651"/>
      <c r="F103" s="651"/>
      <c r="G103" s="651"/>
      <c r="H103" s="651"/>
      <c r="I103" s="651"/>
      <c r="J103" s="651"/>
      <c r="K103" s="651"/>
      <c r="L103" s="651"/>
      <c r="M103" s="651"/>
      <c r="N103" s="651"/>
      <c r="O103" s="651"/>
      <c r="P103" s="651"/>
      <c r="Q103" s="651"/>
      <c r="R103" s="651"/>
      <c r="S103" s="651"/>
      <c r="T103" s="651"/>
      <c r="U103" s="651"/>
      <c r="V103" s="651"/>
      <c r="W103" s="651"/>
      <c r="X103" s="651"/>
      <c r="Y103" s="651"/>
      <c r="Z103" s="651"/>
      <c r="AA103" s="637"/>
      <c r="AB103" s="637"/>
      <c r="AC103" s="637"/>
    </row>
    <row r="104" spans="1:68" ht="37.5" hidden="1" customHeight="1" x14ac:dyDescent="0.25">
      <c r="A104" s="54" t="s">
        <v>199</v>
      </c>
      <c r="B104" s="54" t="s">
        <v>200</v>
      </c>
      <c r="C104" s="31">
        <v>4301011514</v>
      </c>
      <c r="D104" s="659">
        <v>4680115882133</v>
      </c>
      <c r="E104" s="660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7"/>
      <c r="R104" s="657"/>
      <c r="S104" s="657"/>
      <c r="T104" s="658"/>
      <c r="U104" s="34"/>
      <c r="V104" s="34"/>
      <c r="W104" s="35" t="s">
        <v>66</v>
      </c>
      <c r="X104" s="641">
        <v>0</v>
      </c>
      <c r="Y104" s="642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59">
        <v>4680115882133</v>
      </c>
      <c r="E105" s="660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63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7"/>
      <c r="R105" s="657"/>
      <c r="S105" s="657"/>
      <c r="T105" s="658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59">
        <v>4680115887718</v>
      </c>
      <c r="E106" s="660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0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7"/>
      <c r="R106" s="657"/>
      <c r="S106" s="657"/>
      <c r="T106" s="658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59">
        <v>4680115880269</v>
      </c>
      <c r="E107" s="660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7"/>
      <c r="R107" s="657"/>
      <c r="S107" s="657"/>
      <c r="T107" s="658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59">
        <v>4680115880269</v>
      </c>
      <c r="E108" s="660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7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7"/>
      <c r="R108" s="657"/>
      <c r="S108" s="657"/>
      <c r="T108" s="658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210</v>
      </c>
      <c r="B109" s="54" t="s">
        <v>211</v>
      </c>
      <c r="C109" s="31">
        <v>4301012254</v>
      </c>
      <c r="D109" s="659">
        <v>4680115880429</v>
      </c>
      <c r="E109" s="660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8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7"/>
      <c r="R109" s="657"/>
      <c r="S109" s="657"/>
      <c r="T109" s="658"/>
      <c r="U109" s="34"/>
      <c r="V109" s="34"/>
      <c r="W109" s="35" t="s">
        <v>66</v>
      </c>
      <c r="X109" s="641">
        <v>57</v>
      </c>
      <c r="Y109" s="642">
        <f t="shared" si="10"/>
        <v>58.5</v>
      </c>
      <c r="Z109" s="36">
        <f>IFERROR(IF(Y109=0,"",ROUNDUP(Y109/H109,0)*0.00902),"")</f>
        <v>0.11726</v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59.406666666666673</v>
      </c>
      <c r="BN109" s="64">
        <f t="shared" si="12"/>
        <v>60.97</v>
      </c>
      <c r="BO109" s="64">
        <f t="shared" si="13"/>
        <v>9.5959595959595953E-2</v>
      </c>
      <c r="BP109" s="64">
        <f t="shared" si="14"/>
        <v>9.8484848484848481E-2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59">
        <v>4680115881457</v>
      </c>
      <c r="E110" s="660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101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7"/>
      <c r="R110" s="657"/>
      <c r="S110" s="657"/>
      <c r="T110" s="658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59">
        <v>4680115881457</v>
      </c>
      <c r="E111" s="660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3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7"/>
      <c r="R111" s="657"/>
      <c r="S111" s="657"/>
      <c r="T111" s="658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59">
        <v>4680115889477</v>
      </c>
      <c r="E112" s="660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5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7"/>
      <c r="R112" s="657"/>
      <c r="S112" s="657"/>
      <c r="T112" s="658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72"/>
      <c r="B113" s="651"/>
      <c r="C113" s="651"/>
      <c r="D113" s="651"/>
      <c r="E113" s="651"/>
      <c r="F113" s="651"/>
      <c r="G113" s="651"/>
      <c r="H113" s="651"/>
      <c r="I113" s="651"/>
      <c r="J113" s="651"/>
      <c r="K113" s="651"/>
      <c r="L113" s="651"/>
      <c r="M113" s="651"/>
      <c r="N113" s="651"/>
      <c r="O113" s="673"/>
      <c r="P113" s="647" t="s">
        <v>71</v>
      </c>
      <c r="Q113" s="648"/>
      <c r="R113" s="648"/>
      <c r="S113" s="648"/>
      <c r="T113" s="648"/>
      <c r="U113" s="648"/>
      <c r="V113" s="649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12.666666666666666</v>
      </c>
      <c r="Y113" s="643">
        <f>IFERROR(Y104/H104,"0")+IFERROR(Y105/H105,"0")+IFERROR(Y106/H106,"0")+IFERROR(Y107/H107,"0")+IFERROR(Y108/H108,"0")+IFERROR(Y109/H109,"0")+IFERROR(Y110/H110,"0")+IFERROR(Y111/H111,"0")+IFERROR(Y112/H112,"0")</f>
        <v>13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0.11726</v>
      </c>
      <c r="AA113" s="644"/>
      <c r="AB113" s="644"/>
      <c r="AC113" s="644"/>
    </row>
    <row r="114" spans="1:68" x14ac:dyDescent="0.2">
      <c r="A114" s="651"/>
      <c r="B114" s="651"/>
      <c r="C114" s="651"/>
      <c r="D114" s="651"/>
      <c r="E114" s="651"/>
      <c r="F114" s="651"/>
      <c r="G114" s="651"/>
      <c r="H114" s="651"/>
      <c r="I114" s="651"/>
      <c r="J114" s="651"/>
      <c r="K114" s="651"/>
      <c r="L114" s="651"/>
      <c r="M114" s="651"/>
      <c r="N114" s="651"/>
      <c r="O114" s="673"/>
      <c r="P114" s="647" t="s">
        <v>71</v>
      </c>
      <c r="Q114" s="648"/>
      <c r="R114" s="648"/>
      <c r="S114" s="648"/>
      <c r="T114" s="648"/>
      <c r="U114" s="648"/>
      <c r="V114" s="649"/>
      <c r="W114" s="37" t="s">
        <v>66</v>
      </c>
      <c r="X114" s="643">
        <f>IFERROR(SUM(X104:X112),"0")</f>
        <v>57</v>
      </c>
      <c r="Y114" s="643">
        <f>IFERROR(SUM(Y104:Y112),"0")</f>
        <v>58.5</v>
      </c>
      <c r="Z114" s="37"/>
      <c r="AA114" s="644"/>
      <c r="AB114" s="644"/>
      <c r="AC114" s="644"/>
    </row>
    <row r="115" spans="1:68" ht="14.25" hidden="1" customHeight="1" x14ac:dyDescent="0.25">
      <c r="A115" s="650" t="s">
        <v>147</v>
      </c>
      <c r="B115" s="651"/>
      <c r="C115" s="651"/>
      <c r="D115" s="651"/>
      <c r="E115" s="651"/>
      <c r="F115" s="651"/>
      <c r="G115" s="651"/>
      <c r="H115" s="651"/>
      <c r="I115" s="651"/>
      <c r="J115" s="651"/>
      <c r="K115" s="651"/>
      <c r="L115" s="651"/>
      <c r="M115" s="651"/>
      <c r="N115" s="651"/>
      <c r="O115" s="651"/>
      <c r="P115" s="651"/>
      <c r="Q115" s="651"/>
      <c r="R115" s="651"/>
      <c r="S115" s="651"/>
      <c r="T115" s="651"/>
      <c r="U115" s="651"/>
      <c r="V115" s="651"/>
      <c r="W115" s="651"/>
      <c r="X115" s="651"/>
      <c r="Y115" s="651"/>
      <c r="Z115" s="651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59">
        <v>4680115881488</v>
      </c>
      <c r="E116" s="660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31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7"/>
      <c r="R116" s="657"/>
      <c r="S116" s="657"/>
      <c r="T116" s="658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59">
        <v>4680115882775</v>
      </c>
      <c r="E117" s="660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7"/>
      <c r="R117" s="657"/>
      <c r="S117" s="657"/>
      <c r="T117" s="658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223</v>
      </c>
      <c r="B118" s="54" t="s">
        <v>224</v>
      </c>
      <c r="C118" s="31">
        <v>4301020392</v>
      </c>
      <c r="D118" s="659">
        <v>4680115880658</v>
      </c>
      <c r="E118" s="660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7"/>
      <c r="R118" s="657"/>
      <c r="S118" s="657"/>
      <c r="T118" s="658"/>
      <c r="U118" s="34"/>
      <c r="V118" s="34"/>
      <c r="W118" s="35" t="s">
        <v>66</v>
      </c>
      <c r="X118" s="641">
        <v>0</v>
      </c>
      <c r="Y118" s="642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72"/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73"/>
      <c r="P119" s="647" t="s">
        <v>71</v>
      </c>
      <c r="Q119" s="648"/>
      <c r="R119" s="648"/>
      <c r="S119" s="648"/>
      <c r="T119" s="648"/>
      <c r="U119" s="648"/>
      <c r="V119" s="649"/>
      <c r="W119" s="37" t="s">
        <v>72</v>
      </c>
      <c r="X119" s="643">
        <f>IFERROR(X116/H116,"0")+IFERROR(X117/H117,"0")+IFERROR(X118/H118,"0")</f>
        <v>0</v>
      </c>
      <c r="Y119" s="643">
        <f>IFERROR(Y116/H116,"0")+IFERROR(Y117/H117,"0")+IFERROR(Y118/H118,"0")</f>
        <v>0</v>
      </c>
      <c r="Z119" s="643">
        <f>IFERROR(IF(Z116="",0,Z116),"0")+IFERROR(IF(Z117="",0,Z117),"0")+IFERROR(IF(Z118="",0,Z118),"0")</f>
        <v>0</v>
      </c>
      <c r="AA119" s="644"/>
      <c r="AB119" s="644"/>
      <c r="AC119" s="644"/>
    </row>
    <row r="120" spans="1:68" hidden="1" x14ac:dyDescent="0.2">
      <c r="A120" s="651"/>
      <c r="B120" s="651"/>
      <c r="C120" s="651"/>
      <c r="D120" s="651"/>
      <c r="E120" s="651"/>
      <c r="F120" s="651"/>
      <c r="G120" s="651"/>
      <c r="H120" s="651"/>
      <c r="I120" s="651"/>
      <c r="J120" s="651"/>
      <c r="K120" s="651"/>
      <c r="L120" s="651"/>
      <c r="M120" s="651"/>
      <c r="N120" s="651"/>
      <c r="O120" s="673"/>
      <c r="P120" s="647" t="s">
        <v>71</v>
      </c>
      <c r="Q120" s="648"/>
      <c r="R120" s="648"/>
      <c r="S120" s="648"/>
      <c r="T120" s="648"/>
      <c r="U120" s="648"/>
      <c r="V120" s="649"/>
      <c r="W120" s="37" t="s">
        <v>66</v>
      </c>
      <c r="X120" s="643">
        <f>IFERROR(SUM(X116:X118),"0")</f>
        <v>0</v>
      </c>
      <c r="Y120" s="643">
        <f>IFERROR(SUM(Y116:Y118),"0")</f>
        <v>0</v>
      </c>
      <c r="Z120" s="37"/>
      <c r="AA120" s="644"/>
      <c r="AB120" s="644"/>
      <c r="AC120" s="644"/>
    </row>
    <row r="121" spans="1:68" ht="14.25" hidden="1" customHeight="1" x14ac:dyDescent="0.25">
      <c r="A121" s="650" t="s">
        <v>73</v>
      </c>
      <c r="B121" s="651"/>
      <c r="C121" s="651"/>
      <c r="D121" s="651"/>
      <c r="E121" s="651"/>
      <c r="F121" s="651"/>
      <c r="G121" s="651"/>
      <c r="H121" s="651"/>
      <c r="I121" s="651"/>
      <c r="J121" s="651"/>
      <c r="K121" s="651"/>
      <c r="L121" s="651"/>
      <c r="M121" s="651"/>
      <c r="N121" s="651"/>
      <c r="O121" s="651"/>
      <c r="P121" s="651"/>
      <c r="Q121" s="651"/>
      <c r="R121" s="651"/>
      <c r="S121" s="651"/>
      <c r="T121" s="651"/>
      <c r="U121" s="651"/>
      <c r="V121" s="651"/>
      <c r="W121" s="651"/>
      <c r="X121" s="651"/>
      <c r="Y121" s="651"/>
      <c r="Z121" s="651"/>
      <c r="AA121" s="637"/>
      <c r="AB121" s="637"/>
      <c r="AC121" s="637"/>
    </row>
    <row r="122" spans="1:68" ht="27" customHeight="1" x14ac:dyDescent="0.25">
      <c r="A122" s="54" t="s">
        <v>225</v>
      </c>
      <c r="B122" s="54" t="s">
        <v>226</v>
      </c>
      <c r="C122" s="31">
        <v>4301052088</v>
      </c>
      <c r="D122" s="659">
        <v>4607091385168</v>
      </c>
      <c r="E122" s="660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73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7"/>
      <c r="R122" s="657"/>
      <c r="S122" s="657"/>
      <c r="T122" s="658"/>
      <c r="U122" s="34"/>
      <c r="V122" s="34"/>
      <c r="W122" s="35" t="s">
        <v>66</v>
      </c>
      <c r="X122" s="641">
        <v>30</v>
      </c>
      <c r="Y122" s="642">
        <f>IFERROR(IF(X122="",0,CEILING((X122/$H122),1)*$H122),"")</f>
        <v>32.4</v>
      </c>
      <c r="Z122" s="36">
        <f>IFERROR(IF(Y122=0,"",ROUNDUP(Y122/H122,0)*0.01898),"")</f>
        <v>7.5920000000000001E-2</v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31.807407407407407</v>
      </c>
      <c r="BN122" s="64">
        <f>IFERROR(Y122*I122/H122,"0")</f>
        <v>34.351999999999997</v>
      </c>
      <c r="BO122" s="64">
        <f>IFERROR(1/J122*(X122/H122),"0")</f>
        <v>5.7870370370370371E-2</v>
      </c>
      <c r="BP122" s="64">
        <f>IFERROR(1/J122*(Y122/H122),"0")</f>
        <v>6.25E-2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59">
        <v>4607091383256</v>
      </c>
      <c r="E123" s="660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101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7"/>
      <c r="R123" s="657"/>
      <c r="S123" s="657"/>
      <c r="T123" s="658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230</v>
      </c>
      <c r="B124" s="54" t="s">
        <v>231</v>
      </c>
      <c r="C124" s="31">
        <v>4301052086</v>
      </c>
      <c r="D124" s="659">
        <v>4607091385748</v>
      </c>
      <c r="E124" s="660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7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7"/>
      <c r="R124" s="657"/>
      <c r="S124" s="657"/>
      <c r="T124" s="658"/>
      <c r="U124" s="34"/>
      <c r="V124" s="34"/>
      <c r="W124" s="35" t="s">
        <v>66</v>
      </c>
      <c r="X124" s="641">
        <v>154</v>
      </c>
      <c r="Y124" s="642">
        <f>IFERROR(IF(X124="",0,CEILING((X124/$H124),1)*$H124),"")</f>
        <v>156.60000000000002</v>
      </c>
      <c r="Z124" s="36">
        <f>IFERROR(IF(Y124=0,"",ROUNDUP(Y124/H124,0)*0.00651),"")</f>
        <v>0.37758000000000003</v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168.37333333333333</v>
      </c>
      <c r="BN124" s="64">
        <f>IFERROR(Y124*I124/H124,"0")</f>
        <v>171.21600000000001</v>
      </c>
      <c r="BO124" s="64">
        <f>IFERROR(1/J124*(X124/H124),"0")</f>
        <v>0.31339031339031337</v>
      </c>
      <c r="BP124" s="64">
        <f>IFERROR(1/J124*(Y124/H124),"0")</f>
        <v>0.31868131868131877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59">
        <v>4680115884533</v>
      </c>
      <c r="E125" s="660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4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7"/>
      <c r="R125" s="657"/>
      <c r="S125" s="657"/>
      <c r="T125" s="658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72"/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73"/>
      <c r="P126" s="647" t="s">
        <v>71</v>
      </c>
      <c r="Q126" s="648"/>
      <c r="R126" s="648"/>
      <c r="S126" s="648"/>
      <c r="T126" s="648"/>
      <c r="U126" s="648"/>
      <c r="V126" s="649"/>
      <c r="W126" s="37" t="s">
        <v>72</v>
      </c>
      <c r="X126" s="643">
        <f>IFERROR(X122/H122,"0")+IFERROR(X123/H123,"0")+IFERROR(X124/H124,"0")+IFERROR(X125/H125,"0")</f>
        <v>60.740740740740733</v>
      </c>
      <c r="Y126" s="643">
        <f>IFERROR(Y122/H122,"0")+IFERROR(Y123/H123,"0")+IFERROR(Y124/H124,"0")+IFERROR(Y125/H125,"0")</f>
        <v>62.000000000000007</v>
      </c>
      <c r="Z126" s="643">
        <f>IFERROR(IF(Z122="",0,Z122),"0")+IFERROR(IF(Z123="",0,Z123),"0")+IFERROR(IF(Z124="",0,Z124),"0")+IFERROR(IF(Z125="",0,Z125),"0")</f>
        <v>0.45350000000000001</v>
      </c>
      <c r="AA126" s="644"/>
      <c r="AB126" s="644"/>
      <c r="AC126" s="644"/>
    </row>
    <row r="127" spans="1:68" x14ac:dyDescent="0.2">
      <c r="A127" s="651"/>
      <c r="B127" s="651"/>
      <c r="C127" s="651"/>
      <c r="D127" s="651"/>
      <c r="E127" s="651"/>
      <c r="F127" s="651"/>
      <c r="G127" s="651"/>
      <c r="H127" s="651"/>
      <c r="I127" s="651"/>
      <c r="J127" s="651"/>
      <c r="K127" s="651"/>
      <c r="L127" s="651"/>
      <c r="M127" s="651"/>
      <c r="N127" s="651"/>
      <c r="O127" s="673"/>
      <c r="P127" s="647" t="s">
        <v>71</v>
      </c>
      <c r="Q127" s="648"/>
      <c r="R127" s="648"/>
      <c r="S127" s="648"/>
      <c r="T127" s="648"/>
      <c r="U127" s="648"/>
      <c r="V127" s="649"/>
      <c r="W127" s="37" t="s">
        <v>66</v>
      </c>
      <c r="X127" s="643">
        <f>IFERROR(SUM(X122:X125),"0")</f>
        <v>184</v>
      </c>
      <c r="Y127" s="643">
        <f>IFERROR(SUM(Y122:Y125),"0")</f>
        <v>189.00000000000003</v>
      </c>
      <c r="Z127" s="37"/>
      <c r="AA127" s="644"/>
      <c r="AB127" s="644"/>
      <c r="AC127" s="644"/>
    </row>
    <row r="128" spans="1:68" ht="14.25" hidden="1" customHeight="1" x14ac:dyDescent="0.25">
      <c r="A128" s="650" t="s">
        <v>166</v>
      </c>
      <c r="B128" s="651"/>
      <c r="C128" s="651"/>
      <c r="D128" s="651"/>
      <c r="E128" s="651"/>
      <c r="F128" s="651"/>
      <c r="G128" s="651"/>
      <c r="H128" s="651"/>
      <c r="I128" s="651"/>
      <c r="J128" s="651"/>
      <c r="K128" s="651"/>
      <c r="L128" s="651"/>
      <c r="M128" s="651"/>
      <c r="N128" s="651"/>
      <c r="O128" s="651"/>
      <c r="P128" s="651"/>
      <c r="Q128" s="651"/>
      <c r="R128" s="651"/>
      <c r="S128" s="651"/>
      <c r="T128" s="651"/>
      <c r="U128" s="651"/>
      <c r="V128" s="651"/>
      <c r="W128" s="651"/>
      <c r="X128" s="651"/>
      <c r="Y128" s="651"/>
      <c r="Z128" s="651"/>
      <c r="AA128" s="637"/>
      <c r="AB128" s="637"/>
      <c r="AC128" s="637"/>
    </row>
    <row r="129" spans="1:68" ht="16.5" customHeight="1" x14ac:dyDescent="0.25">
      <c r="A129" s="54" t="s">
        <v>235</v>
      </c>
      <c r="B129" s="54" t="s">
        <v>236</v>
      </c>
      <c r="C129" s="31">
        <v>4301060525</v>
      </c>
      <c r="D129" s="659">
        <v>4680115880238</v>
      </c>
      <c r="E129" s="660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7"/>
      <c r="R129" s="657"/>
      <c r="S129" s="657"/>
      <c r="T129" s="658"/>
      <c r="U129" s="34"/>
      <c r="V129" s="34"/>
      <c r="W129" s="35" t="s">
        <v>66</v>
      </c>
      <c r="X129" s="641">
        <v>4</v>
      </c>
      <c r="Y129" s="642">
        <f>IFERROR(IF(X129="",0,CEILING((X129/$H129),1)*$H129),"")</f>
        <v>5.9399999999999995</v>
      </c>
      <c r="Z129" s="36">
        <f>IFERROR(IF(Y129=0,"",ROUNDUP(Y129/H129,0)*0.00651),"")</f>
        <v>1.9529999999999999E-2</v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4.5212121212121215</v>
      </c>
      <c r="BN129" s="64">
        <f>IFERROR(Y129*I129/H129,"0")</f>
        <v>6.7139999999999995</v>
      </c>
      <c r="BO129" s="64">
        <f>IFERROR(1/J129*(X129/H129),"0")</f>
        <v>1.1100011100011102E-2</v>
      </c>
      <c r="BP129" s="64">
        <f>IFERROR(1/J129*(Y129/H129),"0")</f>
        <v>1.6483516483516484E-2</v>
      </c>
    </row>
    <row r="130" spans="1:68" x14ac:dyDescent="0.2">
      <c r="A130" s="672"/>
      <c r="B130" s="651"/>
      <c r="C130" s="651"/>
      <c r="D130" s="651"/>
      <c r="E130" s="651"/>
      <c r="F130" s="651"/>
      <c r="G130" s="651"/>
      <c r="H130" s="651"/>
      <c r="I130" s="651"/>
      <c r="J130" s="651"/>
      <c r="K130" s="651"/>
      <c r="L130" s="651"/>
      <c r="M130" s="651"/>
      <c r="N130" s="651"/>
      <c r="O130" s="673"/>
      <c r="P130" s="647" t="s">
        <v>71</v>
      </c>
      <c r="Q130" s="648"/>
      <c r="R130" s="648"/>
      <c r="S130" s="648"/>
      <c r="T130" s="648"/>
      <c r="U130" s="648"/>
      <c r="V130" s="649"/>
      <c r="W130" s="37" t="s">
        <v>72</v>
      </c>
      <c r="X130" s="643">
        <f>IFERROR(X129/H129,"0")</f>
        <v>2.0202020202020203</v>
      </c>
      <c r="Y130" s="643">
        <f>IFERROR(Y129/H129,"0")</f>
        <v>2.9999999999999996</v>
      </c>
      <c r="Z130" s="643">
        <f>IFERROR(IF(Z129="",0,Z129),"0")</f>
        <v>1.9529999999999999E-2</v>
      </c>
      <c r="AA130" s="644"/>
      <c r="AB130" s="644"/>
      <c r="AC130" s="644"/>
    </row>
    <row r="131" spans="1:68" x14ac:dyDescent="0.2">
      <c r="A131" s="651"/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73"/>
      <c r="P131" s="647" t="s">
        <v>71</v>
      </c>
      <c r="Q131" s="648"/>
      <c r="R131" s="648"/>
      <c r="S131" s="648"/>
      <c r="T131" s="648"/>
      <c r="U131" s="648"/>
      <c r="V131" s="649"/>
      <c r="W131" s="37" t="s">
        <v>66</v>
      </c>
      <c r="X131" s="643">
        <f>IFERROR(SUM(X129:X129),"0")</f>
        <v>4</v>
      </c>
      <c r="Y131" s="643">
        <f>IFERROR(SUM(Y129:Y129),"0")</f>
        <v>5.9399999999999995</v>
      </c>
      <c r="Z131" s="37"/>
      <c r="AA131" s="644"/>
      <c r="AB131" s="644"/>
      <c r="AC131" s="644"/>
    </row>
    <row r="132" spans="1:68" ht="16.5" hidden="1" customHeight="1" x14ac:dyDescent="0.25">
      <c r="A132" s="655" t="s">
        <v>238</v>
      </c>
      <c r="B132" s="651"/>
      <c r="C132" s="651"/>
      <c r="D132" s="651"/>
      <c r="E132" s="651"/>
      <c r="F132" s="651"/>
      <c r="G132" s="651"/>
      <c r="H132" s="651"/>
      <c r="I132" s="651"/>
      <c r="J132" s="651"/>
      <c r="K132" s="651"/>
      <c r="L132" s="651"/>
      <c r="M132" s="651"/>
      <c r="N132" s="651"/>
      <c r="O132" s="651"/>
      <c r="P132" s="651"/>
      <c r="Q132" s="651"/>
      <c r="R132" s="651"/>
      <c r="S132" s="651"/>
      <c r="T132" s="651"/>
      <c r="U132" s="651"/>
      <c r="V132" s="651"/>
      <c r="W132" s="651"/>
      <c r="X132" s="651"/>
      <c r="Y132" s="651"/>
      <c r="Z132" s="651"/>
      <c r="AA132" s="636"/>
      <c r="AB132" s="636"/>
      <c r="AC132" s="636"/>
    </row>
    <row r="133" spans="1:68" ht="14.25" hidden="1" customHeight="1" x14ac:dyDescent="0.25">
      <c r="A133" s="650" t="s">
        <v>110</v>
      </c>
      <c r="B133" s="651"/>
      <c r="C133" s="651"/>
      <c r="D133" s="651"/>
      <c r="E133" s="651"/>
      <c r="F133" s="651"/>
      <c r="G133" s="651"/>
      <c r="H133" s="651"/>
      <c r="I133" s="651"/>
      <c r="J133" s="651"/>
      <c r="K133" s="651"/>
      <c r="L133" s="651"/>
      <c r="M133" s="651"/>
      <c r="N133" s="651"/>
      <c r="O133" s="651"/>
      <c r="P133" s="651"/>
      <c r="Q133" s="651"/>
      <c r="R133" s="651"/>
      <c r="S133" s="651"/>
      <c r="T133" s="651"/>
      <c r="U133" s="651"/>
      <c r="V133" s="651"/>
      <c r="W133" s="651"/>
      <c r="X133" s="651"/>
      <c r="Y133" s="651"/>
      <c r="Z133" s="651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59">
        <v>4680115882577</v>
      </c>
      <c r="E134" s="660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7"/>
      <c r="R134" s="657"/>
      <c r="S134" s="657"/>
      <c r="T134" s="658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59">
        <v>4680115882577</v>
      </c>
      <c r="E135" s="660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7"/>
      <c r="R135" s="657"/>
      <c r="S135" s="657"/>
      <c r="T135" s="658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2"/>
      <c r="B136" s="651"/>
      <c r="C136" s="651"/>
      <c r="D136" s="651"/>
      <c r="E136" s="651"/>
      <c r="F136" s="651"/>
      <c r="G136" s="651"/>
      <c r="H136" s="651"/>
      <c r="I136" s="651"/>
      <c r="J136" s="651"/>
      <c r="K136" s="651"/>
      <c r="L136" s="651"/>
      <c r="M136" s="651"/>
      <c r="N136" s="651"/>
      <c r="O136" s="673"/>
      <c r="P136" s="647" t="s">
        <v>71</v>
      </c>
      <c r="Q136" s="648"/>
      <c r="R136" s="648"/>
      <c r="S136" s="648"/>
      <c r="T136" s="648"/>
      <c r="U136" s="648"/>
      <c r="V136" s="649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51"/>
      <c r="B137" s="651"/>
      <c r="C137" s="651"/>
      <c r="D137" s="651"/>
      <c r="E137" s="651"/>
      <c r="F137" s="651"/>
      <c r="G137" s="651"/>
      <c r="H137" s="651"/>
      <c r="I137" s="651"/>
      <c r="J137" s="651"/>
      <c r="K137" s="651"/>
      <c r="L137" s="651"/>
      <c r="M137" s="651"/>
      <c r="N137" s="651"/>
      <c r="O137" s="673"/>
      <c r="P137" s="647" t="s">
        <v>71</v>
      </c>
      <c r="Q137" s="648"/>
      <c r="R137" s="648"/>
      <c r="S137" s="648"/>
      <c r="T137" s="648"/>
      <c r="U137" s="648"/>
      <c r="V137" s="649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50" t="s">
        <v>61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7"/>
      <c r="AB138" s="637"/>
      <c r="AC138" s="637"/>
    </row>
    <row r="139" spans="1:68" ht="27" hidden="1" customHeight="1" x14ac:dyDescent="0.25">
      <c r="A139" s="54" t="s">
        <v>244</v>
      </c>
      <c r="B139" s="54" t="s">
        <v>245</v>
      </c>
      <c r="C139" s="31">
        <v>4301031234</v>
      </c>
      <c r="D139" s="659">
        <v>4680115883444</v>
      </c>
      <c r="E139" s="660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2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7"/>
      <c r="R139" s="657"/>
      <c r="S139" s="657"/>
      <c r="T139" s="658"/>
      <c r="U139" s="34"/>
      <c r="V139" s="34"/>
      <c r="W139" s="35" t="s">
        <v>66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59">
        <v>4680115883444</v>
      </c>
      <c r="E140" s="660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7"/>
      <c r="R140" s="657"/>
      <c r="S140" s="657"/>
      <c r="T140" s="658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idden="1" x14ac:dyDescent="0.2">
      <c r="A141" s="672"/>
      <c r="B141" s="651"/>
      <c r="C141" s="651"/>
      <c r="D141" s="651"/>
      <c r="E141" s="651"/>
      <c r="F141" s="651"/>
      <c r="G141" s="651"/>
      <c r="H141" s="651"/>
      <c r="I141" s="651"/>
      <c r="J141" s="651"/>
      <c r="K141" s="651"/>
      <c r="L141" s="651"/>
      <c r="M141" s="651"/>
      <c r="N141" s="651"/>
      <c r="O141" s="673"/>
      <c r="P141" s="647" t="s">
        <v>71</v>
      </c>
      <c r="Q141" s="648"/>
      <c r="R141" s="648"/>
      <c r="S141" s="648"/>
      <c r="T141" s="648"/>
      <c r="U141" s="648"/>
      <c r="V141" s="649"/>
      <c r="W141" s="37" t="s">
        <v>72</v>
      </c>
      <c r="X141" s="643">
        <f>IFERROR(X139/H139,"0")+IFERROR(X140/H140,"0")</f>
        <v>0</v>
      </c>
      <c r="Y141" s="643">
        <f>IFERROR(Y139/H139,"0")+IFERROR(Y140/H140,"0")</f>
        <v>0</v>
      </c>
      <c r="Z141" s="643">
        <f>IFERROR(IF(Z139="",0,Z139),"0")+IFERROR(IF(Z140="",0,Z140),"0")</f>
        <v>0</v>
      </c>
      <c r="AA141" s="644"/>
      <c r="AB141" s="644"/>
      <c r="AC141" s="644"/>
    </row>
    <row r="142" spans="1:68" hidden="1" x14ac:dyDescent="0.2">
      <c r="A142" s="651"/>
      <c r="B142" s="651"/>
      <c r="C142" s="651"/>
      <c r="D142" s="651"/>
      <c r="E142" s="651"/>
      <c r="F142" s="651"/>
      <c r="G142" s="651"/>
      <c r="H142" s="651"/>
      <c r="I142" s="651"/>
      <c r="J142" s="651"/>
      <c r="K142" s="651"/>
      <c r="L142" s="651"/>
      <c r="M142" s="651"/>
      <c r="N142" s="651"/>
      <c r="O142" s="673"/>
      <c r="P142" s="647" t="s">
        <v>71</v>
      </c>
      <c r="Q142" s="648"/>
      <c r="R142" s="648"/>
      <c r="S142" s="648"/>
      <c r="T142" s="648"/>
      <c r="U142" s="648"/>
      <c r="V142" s="649"/>
      <c r="W142" s="37" t="s">
        <v>66</v>
      </c>
      <c r="X142" s="643">
        <f>IFERROR(SUM(X139:X140),"0")</f>
        <v>0</v>
      </c>
      <c r="Y142" s="643">
        <f>IFERROR(SUM(Y139:Y140),"0")</f>
        <v>0</v>
      </c>
      <c r="Z142" s="37"/>
      <c r="AA142" s="644"/>
      <c r="AB142" s="644"/>
      <c r="AC142" s="644"/>
    </row>
    <row r="143" spans="1:68" ht="14.25" hidden="1" customHeight="1" x14ac:dyDescent="0.25">
      <c r="A143" s="650" t="s">
        <v>73</v>
      </c>
      <c r="B143" s="651"/>
      <c r="C143" s="651"/>
      <c r="D143" s="651"/>
      <c r="E143" s="651"/>
      <c r="F143" s="651"/>
      <c r="G143" s="651"/>
      <c r="H143" s="651"/>
      <c r="I143" s="651"/>
      <c r="J143" s="651"/>
      <c r="K143" s="651"/>
      <c r="L143" s="651"/>
      <c r="M143" s="651"/>
      <c r="N143" s="651"/>
      <c r="O143" s="651"/>
      <c r="P143" s="651"/>
      <c r="Q143" s="651"/>
      <c r="R143" s="651"/>
      <c r="S143" s="651"/>
      <c r="T143" s="651"/>
      <c r="U143" s="651"/>
      <c r="V143" s="651"/>
      <c r="W143" s="651"/>
      <c r="X143" s="651"/>
      <c r="Y143" s="651"/>
      <c r="Z143" s="651"/>
      <c r="AA143" s="637"/>
      <c r="AB143" s="637"/>
      <c r="AC143" s="637"/>
    </row>
    <row r="144" spans="1:68" ht="16.5" hidden="1" customHeight="1" x14ac:dyDescent="0.25">
      <c r="A144" s="54" t="s">
        <v>248</v>
      </c>
      <c r="B144" s="54" t="s">
        <v>249</v>
      </c>
      <c r="C144" s="31">
        <v>4301051476</v>
      </c>
      <c r="D144" s="659">
        <v>4680115882584</v>
      </c>
      <c r="E144" s="660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7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7"/>
      <c r="R144" s="657"/>
      <c r="S144" s="657"/>
      <c r="T144" s="658"/>
      <c r="U144" s="34"/>
      <c r="V144" s="34"/>
      <c r="W144" s="35" t="s">
        <v>66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59">
        <v>4680115882584</v>
      </c>
      <c r="E145" s="660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2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7"/>
      <c r="R145" s="657"/>
      <c r="S145" s="657"/>
      <c r="T145" s="658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72"/>
      <c r="B146" s="651"/>
      <c r="C146" s="651"/>
      <c r="D146" s="651"/>
      <c r="E146" s="651"/>
      <c r="F146" s="651"/>
      <c r="G146" s="651"/>
      <c r="H146" s="651"/>
      <c r="I146" s="651"/>
      <c r="J146" s="651"/>
      <c r="K146" s="651"/>
      <c r="L146" s="651"/>
      <c r="M146" s="651"/>
      <c r="N146" s="651"/>
      <c r="O146" s="673"/>
      <c r="P146" s="647" t="s">
        <v>71</v>
      </c>
      <c r="Q146" s="648"/>
      <c r="R146" s="648"/>
      <c r="S146" s="648"/>
      <c r="T146" s="648"/>
      <c r="U146" s="648"/>
      <c r="V146" s="649"/>
      <c r="W146" s="37" t="s">
        <v>72</v>
      </c>
      <c r="X146" s="643">
        <f>IFERROR(X144/H144,"0")+IFERROR(X145/H145,"0")</f>
        <v>0</v>
      </c>
      <c r="Y146" s="643">
        <f>IFERROR(Y144/H144,"0")+IFERROR(Y145/H145,"0")</f>
        <v>0</v>
      </c>
      <c r="Z146" s="643">
        <f>IFERROR(IF(Z144="",0,Z144),"0")+IFERROR(IF(Z145="",0,Z145),"0")</f>
        <v>0</v>
      </c>
      <c r="AA146" s="644"/>
      <c r="AB146" s="644"/>
      <c r="AC146" s="644"/>
    </row>
    <row r="147" spans="1:68" hidden="1" x14ac:dyDescent="0.2">
      <c r="A147" s="651"/>
      <c r="B147" s="651"/>
      <c r="C147" s="651"/>
      <c r="D147" s="651"/>
      <c r="E147" s="651"/>
      <c r="F147" s="651"/>
      <c r="G147" s="651"/>
      <c r="H147" s="651"/>
      <c r="I147" s="651"/>
      <c r="J147" s="651"/>
      <c r="K147" s="651"/>
      <c r="L147" s="651"/>
      <c r="M147" s="651"/>
      <c r="N147" s="651"/>
      <c r="O147" s="673"/>
      <c r="P147" s="647" t="s">
        <v>71</v>
      </c>
      <c r="Q147" s="648"/>
      <c r="R147" s="648"/>
      <c r="S147" s="648"/>
      <c r="T147" s="648"/>
      <c r="U147" s="648"/>
      <c r="V147" s="649"/>
      <c r="W147" s="37" t="s">
        <v>66</v>
      </c>
      <c r="X147" s="643">
        <f>IFERROR(SUM(X144:X145),"0")</f>
        <v>0</v>
      </c>
      <c r="Y147" s="643">
        <f>IFERROR(SUM(Y144:Y145),"0")</f>
        <v>0</v>
      </c>
      <c r="Z147" s="37"/>
      <c r="AA147" s="644"/>
      <c r="AB147" s="644"/>
      <c r="AC147" s="644"/>
    </row>
    <row r="148" spans="1:68" ht="16.5" hidden="1" customHeight="1" x14ac:dyDescent="0.25">
      <c r="A148" s="655" t="s">
        <v>251</v>
      </c>
      <c r="B148" s="651"/>
      <c r="C148" s="651"/>
      <c r="D148" s="651"/>
      <c r="E148" s="651"/>
      <c r="F148" s="651"/>
      <c r="G148" s="651"/>
      <c r="H148" s="651"/>
      <c r="I148" s="651"/>
      <c r="J148" s="651"/>
      <c r="K148" s="651"/>
      <c r="L148" s="651"/>
      <c r="M148" s="651"/>
      <c r="N148" s="651"/>
      <c r="O148" s="651"/>
      <c r="P148" s="651"/>
      <c r="Q148" s="651"/>
      <c r="R148" s="651"/>
      <c r="S148" s="651"/>
      <c r="T148" s="651"/>
      <c r="U148" s="651"/>
      <c r="V148" s="651"/>
      <c r="W148" s="651"/>
      <c r="X148" s="651"/>
      <c r="Y148" s="651"/>
      <c r="Z148" s="651"/>
      <c r="AA148" s="636"/>
      <c r="AB148" s="636"/>
      <c r="AC148" s="636"/>
    </row>
    <row r="149" spans="1:68" ht="14.25" hidden="1" customHeight="1" x14ac:dyDescent="0.25">
      <c r="A149" s="650" t="s">
        <v>73</v>
      </c>
      <c r="B149" s="651"/>
      <c r="C149" s="651"/>
      <c r="D149" s="651"/>
      <c r="E149" s="651"/>
      <c r="F149" s="651"/>
      <c r="G149" s="651"/>
      <c r="H149" s="651"/>
      <c r="I149" s="651"/>
      <c r="J149" s="651"/>
      <c r="K149" s="651"/>
      <c r="L149" s="651"/>
      <c r="M149" s="651"/>
      <c r="N149" s="651"/>
      <c r="O149" s="651"/>
      <c r="P149" s="651"/>
      <c r="Q149" s="651"/>
      <c r="R149" s="651"/>
      <c r="S149" s="651"/>
      <c r="T149" s="651"/>
      <c r="U149" s="651"/>
      <c r="V149" s="651"/>
      <c r="W149" s="651"/>
      <c r="X149" s="651"/>
      <c r="Y149" s="651"/>
      <c r="Z149" s="651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59">
        <v>4680115888203</v>
      </c>
      <c r="E150" s="660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8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7"/>
      <c r="R150" s="657"/>
      <c r="S150" s="657"/>
      <c r="T150" s="658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59">
        <v>4680115888180</v>
      </c>
      <c r="E151" s="660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7"/>
      <c r="R151" s="657"/>
      <c r="S151" s="657"/>
      <c r="T151" s="658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59">
        <v>4680115888180</v>
      </c>
      <c r="E152" s="660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9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7"/>
      <c r="R152" s="657"/>
      <c r="S152" s="657"/>
      <c r="T152" s="658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59">
        <v>4680115888197</v>
      </c>
      <c r="E153" s="660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7"/>
      <c r="R153" s="657"/>
      <c r="S153" s="657"/>
      <c r="T153" s="658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59">
        <v>4680115888210</v>
      </c>
      <c r="E154" s="660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7"/>
      <c r="R154" s="657"/>
      <c r="S154" s="657"/>
      <c r="T154" s="658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59">
        <v>4680115888210</v>
      </c>
      <c r="E155" s="660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6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7"/>
      <c r="R155" s="657"/>
      <c r="S155" s="657"/>
      <c r="T155" s="658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2"/>
      <c r="B156" s="651"/>
      <c r="C156" s="651"/>
      <c r="D156" s="651"/>
      <c r="E156" s="651"/>
      <c r="F156" s="651"/>
      <c r="G156" s="651"/>
      <c r="H156" s="651"/>
      <c r="I156" s="651"/>
      <c r="J156" s="651"/>
      <c r="K156" s="651"/>
      <c r="L156" s="651"/>
      <c r="M156" s="651"/>
      <c r="N156" s="651"/>
      <c r="O156" s="673"/>
      <c r="P156" s="647" t="s">
        <v>71</v>
      </c>
      <c r="Q156" s="648"/>
      <c r="R156" s="648"/>
      <c r="S156" s="648"/>
      <c r="T156" s="648"/>
      <c r="U156" s="648"/>
      <c r="V156" s="649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51"/>
      <c r="B157" s="651"/>
      <c r="C157" s="651"/>
      <c r="D157" s="651"/>
      <c r="E157" s="651"/>
      <c r="F157" s="651"/>
      <c r="G157" s="651"/>
      <c r="H157" s="651"/>
      <c r="I157" s="651"/>
      <c r="J157" s="651"/>
      <c r="K157" s="651"/>
      <c r="L157" s="651"/>
      <c r="M157" s="651"/>
      <c r="N157" s="651"/>
      <c r="O157" s="673"/>
      <c r="P157" s="647" t="s">
        <v>71</v>
      </c>
      <c r="Q157" s="648"/>
      <c r="R157" s="648"/>
      <c r="S157" s="648"/>
      <c r="T157" s="648"/>
      <c r="U157" s="648"/>
      <c r="V157" s="649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50" t="s">
        <v>266</v>
      </c>
      <c r="B158" s="651"/>
      <c r="C158" s="651"/>
      <c r="D158" s="651"/>
      <c r="E158" s="651"/>
      <c r="F158" s="651"/>
      <c r="G158" s="651"/>
      <c r="H158" s="651"/>
      <c r="I158" s="651"/>
      <c r="J158" s="651"/>
      <c r="K158" s="651"/>
      <c r="L158" s="651"/>
      <c r="M158" s="651"/>
      <c r="N158" s="651"/>
      <c r="O158" s="651"/>
      <c r="P158" s="651"/>
      <c r="Q158" s="651"/>
      <c r="R158" s="651"/>
      <c r="S158" s="651"/>
      <c r="T158" s="651"/>
      <c r="U158" s="651"/>
      <c r="V158" s="651"/>
      <c r="W158" s="651"/>
      <c r="X158" s="651"/>
      <c r="Y158" s="651"/>
      <c r="Z158" s="651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59">
        <v>4680115889132</v>
      </c>
      <c r="E159" s="660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1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7"/>
      <c r="R159" s="657"/>
      <c r="S159" s="657"/>
      <c r="T159" s="658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2"/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73"/>
      <c r="P160" s="647" t="s">
        <v>71</v>
      </c>
      <c r="Q160" s="648"/>
      <c r="R160" s="648"/>
      <c r="S160" s="648"/>
      <c r="T160" s="648"/>
      <c r="U160" s="648"/>
      <c r="V160" s="649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51"/>
      <c r="B161" s="651"/>
      <c r="C161" s="651"/>
      <c r="D161" s="651"/>
      <c r="E161" s="651"/>
      <c r="F161" s="651"/>
      <c r="G161" s="651"/>
      <c r="H161" s="651"/>
      <c r="I161" s="651"/>
      <c r="J161" s="651"/>
      <c r="K161" s="651"/>
      <c r="L161" s="651"/>
      <c r="M161" s="651"/>
      <c r="N161" s="651"/>
      <c r="O161" s="673"/>
      <c r="P161" s="647" t="s">
        <v>71</v>
      </c>
      <c r="Q161" s="648"/>
      <c r="R161" s="648"/>
      <c r="S161" s="648"/>
      <c r="T161" s="648"/>
      <c r="U161" s="648"/>
      <c r="V161" s="649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55" t="s">
        <v>108</v>
      </c>
      <c r="B162" s="651"/>
      <c r="C162" s="651"/>
      <c r="D162" s="651"/>
      <c r="E162" s="651"/>
      <c r="F162" s="651"/>
      <c r="G162" s="651"/>
      <c r="H162" s="651"/>
      <c r="I162" s="651"/>
      <c r="J162" s="651"/>
      <c r="K162" s="651"/>
      <c r="L162" s="651"/>
      <c r="M162" s="651"/>
      <c r="N162" s="651"/>
      <c r="O162" s="651"/>
      <c r="P162" s="651"/>
      <c r="Q162" s="651"/>
      <c r="R162" s="651"/>
      <c r="S162" s="651"/>
      <c r="T162" s="651"/>
      <c r="U162" s="651"/>
      <c r="V162" s="651"/>
      <c r="W162" s="651"/>
      <c r="X162" s="651"/>
      <c r="Y162" s="651"/>
      <c r="Z162" s="651"/>
      <c r="AA162" s="636"/>
      <c r="AB162" s="636"/>
      <c r="AC162" s="636"/>
    </row>
    <row r="163" spans="1:68" ht="14.25" hidden="1" customHeight="1" x14ac:dyDescent="0.25">
      <c r="A163" s="650" t="s">
        <v>110</v>
      </c>
      <c r="B163" s="651"/>
      <c r="C163" s="651"/>
      <c r="D163" s="651"/>
      <c r="E163" s="651"/>
      <c r="F163" s="651"/>
      <c r="G163" s="651"/>
      <c r="H163" s="651"/>
      <c r="I163" s="651"/>
      <c r="J163" s="651"/>
      <c r="K163" s="651"/>
      <c r="L163" s="651"/>
      <c r="M163" s="651"/>
      <c r="N163" s="651"/>
      <c r="O163" s="651"/>
      <c r="P163" s="651"/>
      <c r="Q163" s="651"/>
      <c r="R163" s="651"/>
      <c r="S163" s="651"/>
      <c r="T163" s="651"/>
      <c r="U163" s="651"/>
      <c r="V163" s="651"/>
      <c r="W163" s="651"/>
      <c r="X163" s="651"/>
      <c r="Y163" s="651"/>
      <c r="Z163" s="651"/>
      <c r="AA163" s="637"/>
      <c r="AB163" s="637"/>
      <c r="AC163" s="637"/>
    </row>
    <row r="164" spans="1:68" ht="27" customHeight="1" x14ac:dyDescent="0.25">
      <c r="A164" s="54" t="s">
        <v>273</v>
      </c>
      <c r="B164" s="54" t="s">
        <v>274</v>
      </c>
      <c r="C164" s="31">
        <v>4301012338</v>
      </c>
      <c r="D164" s="659">
        <v>4680115887374</v>
      </c>
      <c r="E164" s="660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1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7"/>
      <c r="R164" s="657"/>
      <c r="S164" s="657"/>
      <c r="T164" s="658"/>
      <c r="U164" s="34"/>
      <c r="V164" s="34"/>
      <c r="W164" s="35" t="s">
        <v>66</v>
      </c>
      <c r="X164" s="641">
        <v>21</v>
      </c>
      <c r="Y164" s="642">
        <f>IFERROR(IF(X164="",0,CEILING((X164/$H164),1)*$H164),"")</f>
        <v>24</v>
      </c>
      <c r="Z164" s="36">
        <f>IFERROR(IF(Y164=0,"",ROUNDUP(Y164/H164,0)*0.01196),"")</f>
        <v>4.7840000000000001E-2</v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22.224999999999998</v>
      </c>
      <c r="BN164" s="64">
        <f>IFERROR(Y164*I164/H164,"0")</f>
        <v>25.399999999999995</v>
      </c>
      <c r="BO164" s="64">
        <f>IFERROR(1/J164*(X164/H164),"0")</f>
        <v>3.3653846153846159E-2</v>
      </c>
      <c r="BP164" s="64">
        <f>IFERROR(1/J164*(Y164/H164),"0")</f>
        <v>3.8461538461538464E-2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59">
        <v>4607091384604</v>
      </c>
      <c r="E165" s="660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9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7"/>
      <c r="R165" s="657"/>
      <c r="S165" s="657"/>
      <c r="T165" s="658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59">
        <v>4607091384604</v>
      </c>
      <c r="E166" s="660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30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7"/>
      <c r="R166" s="657"/>
      <c r="S166" s="657"/>
      <c r="T166" s="658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59">
        <v>4680115888876</v>
      </c>
      <c r="E167" s="660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7"/>
      <c r="R167" s="657"/>
      <c r="S167" s="657"/>
      <c r="T167" s="658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x14ac:dyDescent="0.2">
      <c r="A168" s="672"/>
      <c r="B168" s="651"/>
      <c r="C168" s="651"/>
      <c r="D168" s="651"/>
      <c r="E168" s="651"/>
      <c r="F168" s="651"/>
      <c r="G168" s="651"/>
      <c r="H168" s="651"/>
      <c r="I168" s="651"/>
      <c r="J168" s="651"/>
      <c r="K168" s="651"/>
      <c r="L168" s="651"/>
      <c r="M168" s="651"/>
      <c r="N168" s="651"/>
      <c r="O168" s="673"/>
      <c r="P168" s="647" t="s">
        <v>71</v>
      </c>
      <c r="Q168" s="648"/>
      <c r="R168" s="648"/>
      <c r="S168" s="648"/>
      <c r="T168" s="648"/>
      <c r="U168" s="648"/>
      <c r="V168" s="649"/>
      <c r="W168" s="37" t="s">
        <v>72</v>
      </c>
      <c r="X168" s="643">
        <f>IFERROR(X164/H164,"0")+IFERROR(X165/H165,"0")+IFERROR(X166/H166,"0")+IFERROR(X167/H167,"0")</f>
        <v>3.5</v>
      </c>
      <c r="Y168" s="643">
        <f>IFERROR(Y164/H164,"0")+IFERROR(Y165/H165,"0")+IFERROR(Y166/H166,"0")+IFERROR(Y167/H167,"0")</f>
        <v>4</v>
      </c>
      <c r="Z168" s="643">
        <f>IFERROR(IF(Z164="",0,Z164),"0")+IFERROR(IF(Z165="",0,Z165),"0")+IFERROR(IF(Z166="",0,Z166),"0")+IFERROR(IF(Z167="",0,Z167),"0")</f>
        <v>4.7840000000000001E-2</v>
      </c>
      <c r="AA168" s="644"/>
      <c r="AB168" s="644"/>
      <c r="AC168" s="644"/>
    </row>
    <row r="169" spans="1:68" x14ac:dyDescent="0.2">
      <c r="A169" s="651"/>
      <c r="B169" s="651"/>
      <c r="C169" s="651"/>
      <c r="D169" s="651"/>
      <c r="E169" s="651"/>
      <c r="F169" s="651"/>
      <c r="G169" s="651"/>
      <c r="H169" s="651"/>
      <c r="I169" s="651"/>
      <c r="J169" s="651"/>
      <c r="K169" s="651"/>
      <c r="L169" s="651"/>
      <c r="M169" s="651"/>
      <c r="N169" s="651"/>
      <c r="O169" s="673"/>
      <c r="P169" s="647" t="s">
        <v>71</v>
      </c>
      <c r="Q169" s="648"/>
      <c r="R169" s="648"/>
      <c r="S169" s="648"/>
      <c r="T169" s="648"/>
      <c r="U169" s="648"/>
      <c r="V169" s="649"/>
      <c r="W169" s="37" t="s">
        <v>66</v>
      </c>
      <c r="X169" s="643">
        <f>IFERROR(SUM(X164:X167),"0")</f>
        <v>21</v>
      </c>
      <c r="Y169" s="643">
        <f>IFERROR(SUM(Y164:Y167),"0")</f>
        <v>24</v>
      </c>
      <c r="Z169" s="37"/>
      <c r="AA169" s="644"/>
      <c r="AB169" s="644"/>
      <c r="AC169" s="644"/>
    </row>
    <row r="170" spans="1:68" ht="14.25" hidden="1" customHeight="1" x14ac:dyDescent="0.25">
      <c r="A170" s="650" t="s">
        <v>147</v>
      </c>
      <c r="B170" s="651"/>
      <c r="C170" s="651"/>
      <c r="D170" s="651"/>
      <c r="E170" s="651"/>
      <c r="F170" s="651"/>
      <c r="G170" s="651"/>
      <c r="H170" s="651"/>
      <c r="I170" s="651"/>
      <c r="J170" s="651"/>
      <c r="K170" s="651"/>
      <c r="L170" s="651"/>
      <c r="M170" s="651"/>
      <c r="N170" s="651"/>
      <c r="O170" s="651"/>
      <c r="P170" s="651"/>
      <c r="Q170" s="651"/>
      <c r="R170" s="651"/>
      <c r="S170" s="651"/>
      <c r="T170" s="651"/>
      <c r="U170" s="651"/>
      <c r="V170" s="651"/>
      <c r="W170" s="651"/>
      <c r="X170" s="651"/>
      <c r="Y170" s="651"/>
      <c r="Z170" s="651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59">
        <v>4680115887695</v>
      </c>
      <c r="E171" s="660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4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7"/>
      <c r="R171" s="657"/>
      <c r="S171" s="657"/>
      <c r="T171" s="658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59">
        <v>4680115889491</v>
      </c>
      <c r="E172" s="660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7"/>
      <c r="R172" s="657"/>
      <c r="S172" s="657"/>
      <c r="T172" s="658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2"/>
      <c r="B173" s="651"/>
      <c r="C173" s="651"/>
      <c r="D173" s="651"/>
      <c r="E173" s="651"/>
      <c r="F173" s="651"/>
      <c r="G173" s="651"/>
      <c r="H173" s="651"/>
      <c r="I173" s="651"/>
      <c r="J173" s="651"/>
      <c r="K173" s="651"/>
      <c r="L173" s="651"/>
      <c r="M173" s="651"/>
      <c r="N173" s="651"/>
      <c r="O173" s="673"/>
      <c r="P173" s="647" t="s">
        <v>71</v>
      </c>
      <c r="Q173" s="648"/>
      <c r="R173" s="648"/>
      <c r="S173" s="648"/>
      <c r="T173" s="648"/>
      <c r="U173" s="648"/>
      <c r="V173" s="649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51"/>
      <c r="B174" s="651"/>
      <c r="C174" s="651"/>
      <c r="D174" s="651"/>
      <c r="E174" s="651"/>
      <c r="F174" s="651"/>
      <c r="G174" s="651"/>
      <c r="H174" s="651"/>
      <c r="I174" s="651"/>
      <c r="J174" s="651"/>
      <c r="K174" s="651"/>
      <c r="L174" s="651"/>
      <c r="M174" s="651"/>
      <c r="N174" s="651"/>
      <c r="O174" s="673"/>
      <c r="P174" s="647" t="s">
        <v>71</v>
      </c>
      <c r="Q174" s="648"/>
      <c r="R174" s="648"/>
      <c r="S174" s="648"/>
      <c r="T174" s="648"/>
      <c r="U174" s="648"/>
      <c r="V174" s="649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50" t="s">
        <v>61</v>
      </c>
      <c r="B175" s="651"/>
      <c r="C175" s="651"/>
      <c r="D175" s="651"/>
      <c r="E175" s="651"/>
      <c r="F175" s="651"/>
      <c r="G175" s="651"/>
      <c r="H175" s="651"/>
      <c r="I175" s="651"/>
      <c r="J175" s="651"/>
      <c r="K175" s="651"/>
      <c r="L175" s="651"/>
      <c r="M175" s="651"/>
      <c r="N175" s="651"/>
      <c r="O175" s="651"/>
      <c r="P175" s="651"/>
      <c r="Q175" s="651"/>
      <c r="R175" s="651"/>
      <c r="S175" s="651"/>
      <c r="T175" s="651"/>
      <c r="U175" s="651"/>
      <c r="V175" s="651"/>
      <c r="W175" s="651"/>
      <c r="X175" s="651"/>
      <c r="Y175" s="651"/>
      <c r="Z175" s="651"/>
      <c r="AA175" s="637"/>
      <c r="AB175" s="637"/>
      <c r="AC175" s="637"/>
    </row>
    <row r="176" spans="1:68" ht="27" hidden="1" customHeight="1" x14ac:dyDescent="0.25">
      <c r="A176" s="54" t="s">
        <v>289</v>
      </c>
      <c r="B176" s="54" t="s">
        <v>290</v>
      </c>
      <c r="C176" s="31">
        <v>4301031496</v>
      </c>
      <c r="D176" s="659">
        <v>4680115887428</v>
      </c>
      <c r="E176" s="660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2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7"/>
      <c r="R176" s="657"/>
      <c r="S176" s="657"/>
      <c r="T176" s="658"/>
      <c r="U176" s="34"/>
      <c r="V176" s="34"/>
      <c r="W176" s="35" t="s">
        <v>66</v>
      </c>
      <c r="X176" s="641">
        <v>0</v>
      </c>
      <c r="Y176" s="642">
        <f t="shared" ref="Y176:Y186" si="21">IFERROR(IF(X176="",0,CEILING((X176/$H176),1)*$H176),"")</f>
        <v>0</v>
      </c>
      <c r="Z176" s="36" t="str">
        <f>IFERROR(IF(Y176=0,"",ROUNDUP(Y176/H176,0)*0.00902),"")</f>
        <v/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0</v>
      </c>
      <c r="BN176" s="64">
        <f t="shared" ref="BN176:BN186" si="23">IFERROR(Y176*I176/H176,"0")</f>
        <v>0</v>
      </c>
      <c r="BO176" s="64">
        <f t="shared" ref="BO176:BO186" si="24">IFERROR(1/J176*(X176/H176),"0")</f>
        <v>0</v>
      </c>
      <c r="BP176" s="64">
        <f t="shared" ref="BP176:BP186" si="25">IFERROR(1/J176*(Y176/H176),"0")</f>
        <v>0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59">
        <v>4680115889170</v>
      </c>
      <c r="E177" s="660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0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7"/>
      <c r="R177" s="657"/>
      <c r="S177" s="657"/>
      <c r="T177" s="658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hidden="1" customHeight="1" x14ac:dyDescent="0.25">
      <c r="A178" s="54" t="s">
        <v>295</v>
      </c>
      <c r="B178" s="54" t="s">
        <v>296</v>
      </c>
      <c r="C178" s="31">
        <v>4301031522</v>
      </c>
      <c r="D178" s="659">
        <v>4680115887398</v>
      </c>
      <c r="E178" s="660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6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7"/>
      <c r="R178" s="657"/>
      <c r="S178" s="657"/>
      <c r="T178" s="658"/>
      <c r="U178" s="34"/>
      <c r="V178" s="34"/>
      <c r="W178" s="35" t="s">
        <v>66</v>
      </c>
      <c r="X178" s="641">
        <v>0</v>
      </c>
      <c r="Y178" s="642">
        <f t="shared" si="21"/>
        <v>0</v>
      </c>
      <c r="Z178" s="36" t="str">
        <f>IFERROR(IF(Y178=0,"",ROUNDUP(Y178/H178,0)*0.00902),"")</f>
        <v/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298</v>
      </c>
      <c r="B179" s="54" t="s">
        <v>299</v>
      </c>
      <c r="C179" s="31">
        <v>4301031520</v>
      </c>
      <c r="D179" s="659">
        <v>4680115887336</v>
      </c>
      <c r="E179" s="660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7"/>
      <c r="R179" s="657"/>
      <c r="S179" s="657"/>
      <c r="T179" s="658"/>
      <c r="U179" s="34"/>
      <c r="V179" s="34"/>
      <c r="W179" s="35" t="s">
        <v>66</v>
      </c>
      <c r="X179" s="641">
        <v>0</v>
      </c>
      <c r="Y179" s="642">
        <f t="shared" si="21"/>
        <v>0</v>
      </c>
      <c r="Z179" s="36" t="str">
        <f>IFERROR(IF(Y179=0,"",ROUNDUP(Y179/H179,0)*0.00902),"")</f>
        <v/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16.5" customHeight="1" x14ac:dyDescent="0.25">
      <c r="A180" s="54" t="s">
        <v>301</v>
      </c>
      <c r="B180" s="54" t="s">
        <v>302</v>
      </c>
      <c r="C180" s="31">
        <v>4301032049</v>
      </c>
      <c r="D180" s="659">
        <v>4680115887787</v>
      </c>
      <c r="E180" s="660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7"/>
      <c r="R180" s="657"/>
      <c r="S180" s="657"/>
      <c r="T180" s="658"/>
      <c r="U180" s="34"/>
      <c r="V180" s="34"/>
      <c r="W180" s="35" t="s">
        <v>66</v>
      </c>
      <c r="X180" s="641">
        <v>1</v>
      </c>
      <c r="Y180" s="642">
        <f t="shared" si="21"/>
        <v>1.8</v>
      </c>
      <c r="Z180" s="36">
        <f>IFERROR(IF(Y180=0,"",ROUNDUP(Y180/H180,0)*0.00417),"")</f>
        <v>8.3400000000000002E-3</v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1.2333333333333334</v>
      </c>
      <c r="BN180" s="64">
        <f t="shared" si="23"/>
        <v>2.2200000000000002</v>
      </c>
      <c r="BO180" s="64">
        <f t="shared" si="24"/>
        <v>3.3068783068783067E-3</v>
      </c>
      <c r="BP180" s="64">
        <f t="shared" si="25"/>
        <v>5.9523809523809521E-3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59">
        <v>4680115887787</v>
      </c>
      <c r="E181" s="660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49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7"/>
      <c r="R181" s="657"/>
      <c r="S181" s="657"/>
      <c r="T181" s="658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305</v>
      </c>
      <c r="B182" s="54" t="s">
        <v>306</v>
      </c>
      <c r="C182" s="31">
        <v>4301031448</v>
      </c>
      <c r="D182" s="659">
        <v>4680115887503</v>
      </c>
      <c r="E182" s="660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4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7"/>
      <c r="R182" s="657"/>
      <c r="S182" s="657"/>
      <c r="T182" s="658"/>
      <c r="U182" s="34"/>
      <c r="V182" s="34"/>
      <c r="W182" s="35" t="s">
        <v>66</v>
      </c>
      <c r="X182" s="641">
        <v>0</v>
      </c>
      <c r="Y182" s="642">
        <f t="shared" si="21"/>
        <v>0</v>
      </c>
      <c r="Z182" s="36" t="str">
        <f>IFERROR(IF(Y182=0,"",ROUNDUP(Y182/H182,0)*0.00502),"")</f>
        <v/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4301031389</v>
      </c>
      <c r="D183" s="659">
        <v>4680115887763</v>
      </c>
      <c r="E183" s="660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7"/>
      <c r="R183" s="657"/>
      <c r="S183" s="657"/>
      <c r="T183" s="658"/>
      <c r="U183" s="34"/>
      <c r="V183" s="34"/>
      <c r="W183" s="35" t="s">
        <v>66</v>
      </c>
      <c r="X183" s="641">
        <v>2</v>
      </c>
      <c r="Y183" s="642">
        <f t="shared" si="21"/>
        <v>2.7</v>
      </c>
      <c r="Z183" s="36">
        <f>IFERROR(IF(Y183=0,"",ROUNDUP(Y183/H183,0)*0.00417),"")</f>
        <v>1.251E-2</v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2.4666666666666668</v>
      </c>
      <c r="BN183" s="64">
        <f t="shared" si="23"/>
        <v>3.33</v>
      </c>
      <c r="BO183" s="64">
        <f t="shared" si="24"/>
        <v>6.6137566137566134E-3</v>
      </c>
      <c r="BP183" s="64">
        <f t="shared" si="25"/>
        <v>8.9285714285714281E-3</v>
      </c>
    </row>
    <row r="184" spans="1:68" ht="27" hidden="1" customHeight="1" x14ac:dyDescent="0.25">
      <c r="A184" s="54" t="s">
        <v>310</v>
      </c>
      <c r="B184" s="54" t="s">
        <v>311</v>
      </c>
      <c r="C184" s="31">
        <v>4301031521</v>
      </c>
      <c r="D184" s="659">
        <v>4680115887480</v>
      </c>
      <c r="E184" s="660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7"/>
      <c r="R184" s="657"/>
      <c r="S184" s="657"/>
      <c r="T184" s="658"/>
      <c r="U184" s="34"/>
      <c r="V184" s="34"/>
      <c r="W184" s="35" t="s">
        <v>66</v>
      </c>
      <c r="X184" s="641">
        <v>0</v>
      </c>
      <c r="Y184" s="642">
        <f t="shared" si="21"/>
        <v>0</v>
      </c>
      <c r="Z184" s="36" t="str">
        <f>IFERROR(IF(Y184=0,"",ROUNDUP(Y184/H184,0)*0.00502),"")</f>
        <v/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0</v>
      </c>
      <c r="BN184" s="64">
        <f t="shared" si="23"/>
        <v>0</v>
      </c>
      <c r="BO184" s="64">
        <f t="shared" si="24"/>
        <v>0</v>
      </c>
      <c r="BP184" s="64">
        <f t="shared" si="25"/>
        <v>0</v>
      </c>
    </row>
    <row r="185" spans="1:68" ht="27" customHeight="1" x14ac:dyDescent="0.25">
      <c r="A185" s="54" t="s">
        <v>312</v>
      </c>
      <c r="B185" s="54" t="s">
        <v>313</v>
      </c>
      <c r="C185" s="31">
        <v>4301031434</v>
      </c>
      <c r="D185" s="659">
        <v>4680115888067</v>
      </c>
      <c r="E185" s="660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7"/>
      <c r="R185" s="657"/>
      <c r="S185" s="657"/>
      <c r="T185" s="658"/>
      <c r="U185" s="34"/>
      <c r="V185" s="34"/>
      <c r="W185" s="35" t="s">
        <v>66</v>
      </c>
      <c r="X185" s="641">
        <v>1</v>
      </c>
      <c r="Y185" s="642">
        <f t="shared" si="21"/>
        <v>1.8</v>
      </c>
      <c r="Z185" s="36">
        <f>IFERROR(IF(Y185=0,"",ROUNDUP(Y185/H185,0)*0.00417),"")</f>
        <v>8.3400000000000002E-3</v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1.1111111111111112</v>
      </c>
      <c r="BN185" s="64">
        <f t="shared" si="23"/>
        <v>2</v>
      </c>
      <c r="BO185" s="64">
        <f t="shared" si="24"/>
        <v>3.3068783068783067E-3</v>
      </c>
      <c r="BP185" s="64">
        <f t="shared" si="25"/>
        <v>5.9523809523809521E-3</v>
      </c>
    </row>
    <row r="186" spans="1:68" ht="27" hidden="1" customHeight="1" x14ac:dyDescent="0.25">
      <c r="A186" s="54" t="s">
        <v>315</v>
      </c>
      <c r="B186" s="54" t="s">
        <v>316</v>
      </c>
      <c r="C186" s="31">
        <v>4301031519</v>
      </c>
      <c r="D186" s="659">
        <v>4680115887435</v>
      </c>
      <c r="E186" s="660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5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7"/>
      <c r="R186" s="657"/>
      <c r="S186" s="657"/>
      <c r="T186" s="658"/>
      <c r="U186" s="34"/>
      <c r="V186" s="34"/>
      <c r="W186" s="35" t="s">
        <v>66</v>
      </c>
      <c r="X186" s="641">
        <v>0</v>
      </c>
      <c r="Y186" s="642">
        <f t="shared" si="21"/>
        <v>0</v>
      </c>
      <c r="Z186" s="36" t="str">
        <f>IFERROR(IF(Y186=0,"",ROUNDUP(Y186/H186,0)*0.00502),"")</f>
        <v/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0</v>
      </c>
      <c r="BN186" s="64">
        <f t="shared" si="23"/>
        <v>0</v>
      </c>
      <c r="BO186" s="64">
        <f t="shared" si="24"/>
        <v>0</v>
      </c>
      <c r="BP186" s="64">
        <f t="shared" si="25"/>
        <v>0</v>
      </c>
    </row>
    <row r="187" spans="1:68" x14ac:dyDescent="0.2">
      <c r="A187" s="672"/>
      <c r="B187" s="651"/>
      <c r="C187" s="651"/>
      <c r="D187" s="651"/>
      <c r="E187" s="651"/>
      <c r="F187" s="651"/>
      <c r="G187" s="651"/>
      <c r="H187" s="651"/>
      <c r="I187" s="651"/>
      <c r="J187" s="651"/>
      <c r="K187" s="651"/>
      <c r="L187" s="651"/>
      <c r="M187" s="651"/>
      <c r="N187" s="651"/>
      <c r="O187" s="673"/>
      <c r="P187" s="647" t="s">
        <v>71</v>
      </c>
      <c r="Q187" s="648"/>
      <c r="R187" s="648"/>
      <c r="S187" s="648"/>
      <c r="T187" s="648"/>
      <c r="U187" s="648"/>
      <c r="V187" s="649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4.4444444444444446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7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2.9190000000000001E-2</v>
      </c>
      <c r="AA187" s="644"/>
      <c r="AB187" s="644"/>
      <c r="AC187" s="644"/>
    </row>
    <row r="188" spans="1:68" x14ac:dyDescent="0.2">
      <c r="A188" s="651"/>
      <c r="B188" s="651"/>
      <c r="C188" s="651"/>
      <c r="D188" s="651"/>
      <c r="E188" s="651"/>
      <c r="F188" s="651"/>
      <c r="G188" s="651"/>
      <c r="H188" s="651"/>
      <c r="I188" s="651"/>
      <c r="J188" s="651"/>
      <c r="K188" s="651"/>
      <c r="L188" s="651"/>
      <c r="M188" s="651"/>
      <c r="N188" s="651"/>
      <c r="O188" s="673"/>
      <c r="P188" s="647" t="s">
        <v>71</v>
      </c>
      <c r="Q188" s="648"/>
      <c r="R188" s="648"/>
      <c r="S188" s="648"/>
      <c r="T188" s="648"/>
      <c r="U188" s="648"/>
      <c r="V188" s="649"/>
      <c r="W188" s="37" t="s">
        <v>66</v>
      </c>
      <c r="X188" s="643">
        <f>IFERROR(SUM(X176:X186),"0")</f>
        <v>4</v>
      </c>
      <c r="Y188" s="643">
        <f>IFERROR(SUM(Y176:Y186),"0")</f>
        <v>6.3</v>
      </c>
      <c r="Z188" s="37"/>
      <c r="AA188" s="644"/>
      <c r="AB188" s="644"/>
      <c r="AC188" s="644"/>
    </row>
    <row r="189" spans="1:68" ht="14.25" hidden="1" customHeight="1" x14ac:dyDescent="0.25">
      <c r="A189" s="650" t="s">
        <v>73</v>
      </c>
      <c r="B189" s="651"/>
      <c r="C189" s="651"/>
      <c r="D189" s="651"/>
      <c r="E189" s="651"/>
      <c r="F189" s="651"/>
      <c r="G189" s="651"/>
      <c r="H189" s="651"/>
      <c r="I189" s="651"/>
      <c r="J189" s="651"/>
      <c r="K189" s="651"/>
      <c r="L189" s="651"/>
      <c r="M189" s="651"/>
      <c r="N189" s="651"/>
      <c r="O189" s="651"/>
      <c r="P189" s="651"/>
      <c r="Q189" s="651"/>
      <c r="R189" s="651"/>
      <c r="S189" s="651"/>
      <c r="T189" s="651"/>
      <c r="U189" s="651"/>
      <c r="V189" s="651"/>
      <c r="W189" s="651"/>
      <c r="X189" s="651"/>
      <c r="Y189" s="651"/>
      <c r="Z189" s="651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59">
        <v>4680115888395</v>
      </c>
      <c r="E190" s="660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3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7"/>
      <c r="R190" s="657"/>
      <c r="S190" s="657"/>
      <c r="T190" s="658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59">
        <v>4680115888371</v>
      </c>
      <c r="E191" s="660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4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7"/>
      <c r="R191" s="657"/>
      <c r="S191" s="657"/>
      <c r="T191" s="658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59">
        <v>4680115887459</v>
      </c>
      <c r="E192" s="660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7"/>
      <c r="R192" s="657"/>
      <c r="S192" s="657"/>
      <c r="T192" s="658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2"/>
      <c r="B193" s="651"/>
      <c r="C193" s="651"/>
      <c r="D193" s="651"/>
      <c r="E193" s="651"/>
      <c r="F193" s="651"/>
      <c r="G193" s="651"/>
      <c r="H193" s="651"/>
      <c r="I193" s="651"/>
      <c r="J193" s="651"/>
      <c r="K193" s="651"/>
      <c r="L193" s="651"/>
      <c r="M193" s="651"/>
      <c r="N193" s="651"/>
      <c r="O193" s="673"/>
      <c r="P193" s="647" t="s">
        <v>71</v>
      </c>
      <c r="Q193" s="648"/>
      <c r="R193" s="648"/>
      <c r="S193" s="648"/>
      <c r="T193" s="648"/>
      <c r="U193" s="648"/>
      <c r="V193" s="649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51"/>
      <c r="B194" s="651"/>
      <c r="C194" s="651"/>
      <c r="D194" s="651"/>
      <c r="E194" s="651"/>
      <c r="F194" s="651"/>
      <c r="G194" s="651"/>
      <c r="H194" s="651"/>
      <c r="I194" s="651"/>
      <c r="J194" s="651"/>
      <c r="K194" s="651"/>
      <c r="L194" s="651"/>
      <c r="M194" s="651"/>
      <c r="N194" s="651"/>
      <c r="O194" s="673"/>
      <c r="P194" s="647" t="s">
        <v>71</v>
      </c>
      <c r="Q194" s="648"/>
      <c r="R194" s="648"/>
      <c r="S194" s="648"/>
      <c r="T194" s="648"/>
      <c r="U194" s="648"/>
      <c r="V194" s="649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50" t="s">
        <v>266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59">
        <v>4680115889026</v>
      </c>
      <c r="E196" s="660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7"/>
      <c r="R196" s="657"/>
      <c r="S196" s="657"/>
      <c r="T196" s="658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2"/>
      <c r="B197" s="651"/>
      <c r="C197" s="651"/>
      <c r="D197" s="651"/>
      <c r="E197" s="651"/>
      <c r="F197" s="651"/>
      <c r="G197" s="651"/>
      <c r="H197" s="651"/>
      <c r="I197" s="651"/>
      <c r="J197" s="651"/>
      <c r="K197" s="651"/>
      <c r="L197" s="651"/>
      <c r="M197" s="651"/>
      <c r="N197" s="651"/>
      <c r="O197" s="673"/>
      <c r="P197" s="647" t="s">
        <v>71</v>
      </c>
      <c r="Q197" s="648"/>
      <c r="R197" s="648"/>
      <c r="S197" s="648"/>
      <c r="T197" s="648"/>
      <c r="U197" s="648"/>
      <c r="V197" s="649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51"/>
      <c r="B198" s="651"/>
      <c r="C198" s="651"/>
      <c r="D198" s="651"/>
      <c r="E198" s="651"/>
      <c r="F198" s="651"/>
      <c r="G198" s="651"/>
      <c r="H198" s="651"/>
      <c r="I198" s="651"/>
      <c r="J198" s="651"/>
      <c r="K198" s="651"/>
      <c r="L198" s="651"/>
      <c r="M198" s="651"/>
      <c r="N198" s="651"/>
      <c r="O198" s="673"/>
      <c r="P198" s="647" t="s">
        <v>71</v>
      </c>
      <c r="Q198" s="648"/>
      <c r="R198" s="648"/>
      <c r="S198" s="648"/>
      <c r="T198" s="648"/>
      <c r="U198" s="648"/>
      <c r="V198" s="649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50" t="s">
        <v>330</v>
      </c>
      <c r="B199" s="651"/>
      <c r="C199" s="651"/>
      <c r="D199" s="651"/>
      <c r="E199" s="651"/>
      <c r="F199" s="651"/>
      <c r="G199" s="651"/>
      <c r="H199" s="651"/>
      <c r="I199" s="651"/>
      <c r="J199" s="651"/>
      <c r="K199" s="651"/>
      <c r="L199" s="651"/>
      <c r="M199" s="651"/>
      <c r="N199" s="651"/>
      <c r="O199" s="651"/>
      <c r="P199" s="651"/>
      <c r="Q199" s="651"/>
      <c r="R199" s="651"/>
      <c r="S199" s="651"/>
      <c r="T199" s="651"/>
      <c r="U199" s="651"/>
      <c r="V199" s="651"/>
      <c r="W199" s="651"/>
      <c r="X199" s="651"/>
      <c r="Y199" s="651"/>
      <c r="Z199" s="651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59">
        <v>4680115889033</v>
      </c>
      <c r="E200" s="660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8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7"/>
      <c r="R200" s="657"/>
      <c r="S200" s="657"/>
      <c r="T200" s="658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2"/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73"/>
      <c r="P201" s="647" t="s">
        <v>71</v>
      </c>
      <c r="Q201" s="648"/>
      <c r="R201" s="648"/>
      <c r="S201" s="648"/>
      <c r="T201" s="648"/>
      <c r="U201" s="648"/>
      <c r="V201" s="649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51"/>
      <c r="B202" s="651"/>
      <c r="C202" s="651"/>
      <c r="D202" s="651"/>
      <c r="E202" s="651"/>
      <c r="F202" s="651"/>
      <c r="G202" s="651"/>
      <c r="H202" s="651"/>
      <c r="I202" s="651"/>
      <c r="J202" s="651"/>
      <c r="K202" s="651"/>
      <c r="L202" s="651"/>
      <c r="M202" s="651"/>
      <c r="N202" s="651"/>
      <c r="O202" s="673"/>
      <c r="P202" s="647" t="s">
        <v>71</v>
      </c>
      <c r="Q202" s="648"/>
      <c r="R202" s="648"/>
      <c r="S202" s="648"/>
      <c r="T202" s="648"/>
      <c r="U202" s="648"/>
      <c r="V202" s="649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66" t="s">
        <v>334</v>
      </c>
      <c r="B203" s="667"/>
      <c r="C203" s="667"/>
      <c r="D203" s="667"/>
      <c r="E203" s="667"/>
      <c r="F203" s="667"/>
      <c r="G203" s="667"/>
      <c r="H203" s="667"/>
      <c r="I203" s="667"/>
      <c r="J203" s="667"/>
      <c r="K203" s="667"/>
      <c r="L203" s="667"/>
      <c r="M203" s="667"/>
      <c r="N203" s="667"/>
      <c r="O203" s="667"/>
      <c r="P203" s="667"/>
      <c r="Q203" s="667"/>
      <c r="R203" s="667"/>
      <c r="S203" s="667"/>
      <c r="T203" s="667"/>
      <c r="U203" s="667"/>
      <c r="V203" s="667"/>
      <c r="W203" s="667"/>
      <c r="X203" s="667"/>
      <c r="Y203" s="667"/>
      <c r="Z203" s="667"/>
      <c r="AA203" s="48"/>
      <c r="AB203" s="48"/>
      <c r="AC203" s="48"/>
    </row>
    <row r="204" spans="1:68" ht="16.5" hidden="1" customHeight="1" x14ac:dyDescent="0.25">
      <c r="A204" s="655" t="s">
        <v>335</v>
      </c>
      <c r="B204" s="651"/>
      <c r="C204" s="651"/>
      <c r="D204" s="651"/>
      <c r="E204" s="651"/>
      <c r="F204" s="651"/>
      <c r="G204" s="651"/>
      <c r="H204" s="651"/>
      <c r="I204" s="651"/>
      <c r="J204" s="651"/>
      <c r="K204" s="651"/>
      <c r="L204" s="651"/>
      <c r="M204" s="651"/>
      <c r="N204" s="651"/>
      <c r="O204" s="651"/>
      <c r="P204" s="651"/>
      <c r="Q204" s="651"/>
      <c r="R204" s="651"/>
      <c r="S204" s="651"/>
      <c r="T204" s="651"/>
      <c r="U204" s="651"/>
      <c r="V204" s="651"/>
      <c r="W204" s="651"/>
      <c r="X204" s="651"/>
      <c r="Y204" s="651"/>
      <c r="Z204" s="651"/>
      <c r="AA204" s="636"/>
      <c r="AB204" s="636"/>
      <c r="AC204" s="636"/>
    </row>
    <row r="205" spans="1:68" ht="14.25" hidden="1" customHeight="1" x14ac:dyDescent="0.25">
      <c r="A205" s="650" t="s">
        <v>110</v>
      </c>
      <c r="B205" s="651"/>
      <c r="C205" s="651"/>
      <c r="D205" s="651"/>
      <c r="E205" s="651"/>
      <c r="F205" s="651"/>
      <c r="G205" s="651"/>
      <c r="H205" s="651"/>
      <c r="I205" s="651"/>
      <c r="J205" s="651"/>
      <c r="K205" s="651"/>
      <c r="L205" s="651"/>
      <c r="M205" s="651"/>
      <c r="N205" s="651"/>
      <c r="O205" s="651"/>
      <c r="P205" s="651"/>
      <c r="Q205" s="651"/>
      <c r="R205" s="651"/>
      <c r="S205" s="651"/>
      <c r="T205" s="651"/>
      <c r="U205" s="651"/>
      <c r="V205" s="651"/>
      <c r="W205" s="651"/>
      <c r="X205" s="651"/>
      <c r="Y205" s="651"/>
      <c r="Z205" s="651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59">
        <v>4607091383423</v>
      </c>
      <c r="E206" s="660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7"/>
      <c r="R206" s="657"/>
      <c r="S206" s="657"/>
      <c r="T206" s="658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59">
        <v>4680115888760</v>
      </c>
      <c r="E207" s="660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1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7"/>
      <c r="R207" s="657"/>
      <c r="S207" s="657"/>
      <c r="T207" s="658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59">
        <v>4680115888807</v>
      </c>
      <c r="E208" s="660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7"/>
      <c r="R208" s="657"/>
      <c r="S208" s="657"/>
      <c r="T208" s="658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59">
        <v>4680115888852</v>
      </c>
      <c r="E209" s="660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1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7"/>
      <c r="R209" s="657"/>
      <c r="S209" s="657"/>
      <c r="T209" s="658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59">
        <v>4680115886957</v>
      </c>
      <c r="E210" s="660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7"/>
      <c r="R210" s="657"/>
      <c r="S210" s="657"/>
      <c r="T210" s="658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59">
        <v>4680115885660</v>
      </c>
      <c r="E211" s="660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92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7"/>
      <c r="R211" s="657"/>
      <c r="S211" s="657"/>
      <c r="T211" s="658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59">
        <v>4680115886773</v>
      </c>
      <c r="E212" s="660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7"/>
      <c r="R212" s="657"/>
      <c r="S212" s="657"/>
      <c r="T212" s="658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2"/>
      <c r="B213" s="651"/>
      <c r="C213" s="651"/>
      <c r="D213" s="651"/>
      <c r="E213" s="651"/>
      <c r="F213" s="651"/>
      <c r="G213" s="651"/>
      <c r="H213" s="651"/>
      <c r="I213" s="651"/>
      <c r="J213" s="651"/>
      <c r="K213" s="651"/>
      <c r="L213" s="651"/>
      <c r="M213" s="651"/>
      <c r="N213" s="651"/>
      <c r="O213" s="673"/>
      <c r="P213" s="647" t="s">
        <v>71</v>
      </c>
      <c r="Q213" s="648"/>
      <c r="R213" s="648"/>
      <c r="S213" s="648"/>
      <c r="T213" s="648"/>
      <c r="U213" s="648"/>
      <c r="V213" s="649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51"/>
      <c r="B214" s="651"/>
      <c r="C214" s="651"/>
      <c r="D214" s="651"/>
      <c r="E214" s="651"/>
      <c r="F214" s="651"/>
      <c r="G214" s="651"/>
      <c r="H214" s="651"/>
      <c r="I214" s="651"/>
      <c r="J214" s="651"/>
      <c r="K214" s="651"/>
      <c r="L214" s="651"/>
      <c r="M214" s="651"/>
      <c r="N214" s="651"/>
      <c r="O214" s="673"/>
      <c r="P214" s="647" t="s">
        <v>71</v>
      </c>
      <c r="Q214" s="648"/>
      <c r="R214" s="648"/>
      <c r="S214" s="648"/>
      <c r="T214" s="648"/>
      <c r="U214" s="648"/>
      <c r="V214" s="649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55" t="s">
        <v>356</v>
      </c>
      <c r="B215" s="651"/>
      <c r="C215" s="651"/>
      <c r="D215" s="651"/>
      <c r="E215" s="651"/>
      <c r="F215" s="651"/>
      <c r="G215" s="651"/>
      <c r="H215" s="651"/>
      <c r="I215" s="651"/>
      <c r="J215" s="651"/>
      <c r="K215" s="651"/>
      <c r="L215" s="651"/>
      <c r="M215" s="651"/>
      <c r="N215" s="651"/>
      <c r="O215" s="651"/>
      <c r="P215" s="651"/>
      <c r="Q215" s="651"/>
      <c r="R215" s="651"/>
      <c r="S215" s="651"/>
      <c r="T215" s="651"/>
      <c r="U215" s="651"/>
      <c r="V215" s="651"/>
      <c r="W215" s="651"/>
      <c r="X215" s="651"/>
      <c r="Y215" s="651"/>
      <c r="Z215" s="651"/>
      <c r="AA215" s="636"/>
      <c r="AB215" s="636"/>
      <c r="AC215" s="636"/>
    </row>
    <row r="216" spans="1:68" ht="14.25" hidden="1" customHeight="1" x14ac:dyDescent="0.25">
      <c r="A216" s="650" t="s">
        <v>147</v>
      </c>
      <c r="B216" s="651"/>
      <c r="C216" s="651"/>
      <c r="D216" s="651"/>
      <c r="E216" s="651"/>
      <c r="F216" s="651"/>
      <c r="G216" s="651"/>
      <c r="H216" s="651"/>
      <c r="I216" s="651"/>
      <c r="J216" s="651"/>
      <c r="K216" s="651"/>
      <c r="L216" s="651"/>
      <c r="M216" s="651"/>
      <c r="N216" s="651"/>
      <c r="O216" s="651"/>
      <c r="P216" s="651"/>
      <c r="Q216" s="651"/>
      <c r="R216" s="651"/>
      <c r="S216" s="651"/>
      <c r="T216" s="651"/>
      <c r="U216" s="651"/>
      <c r="V216" s="651"/>
      <c r="W216" s="651"/>
      <c r="X216" s="651"/>
      <c r="Y216" s="651"/>
      <c r="Z216" s="651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59">
        <v>4680115886223</v>
      </c>
      <c r="E217" s="660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7"/>
      <c r="R217" s="657"/>
      <c r="S217" s="657"/>
      <c r="T217" s="658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2"/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73"/>
      <c r="P218" s="647" t="s">
        <v>71</v>
      </c>
      <c r="Q218" s="648"/>
      <c r="R218" s="648"/>
      <c r="S218" s="648"/>
      <c r="T218" s="648"/>
      <c r="U218" s="648"/>
      <c r="V218" s="649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51"/>
      <c r="B219" s="651"/>
      <c r="C219" s="651"/>
      <c r="D219" s="651"/>
      <c r="E219" s="651"/>
      <c r="F219" s="651"/>
      <c r="G219" s="651"/>
      <c r="H219" s="651"/>
      <c r="I219" s="651"/>
      <c r="J219" s="651"/>
      <c r="K219" s="651"/>
      <c r="L219" s="651"/>
      <c r="M219" s="651"/>
      <c r="N219" s="651"/>
      <c r="O219" s="673"/>
      <c r="P219" s="647" t="s">
        <v>71</v>
      </c>
      <c r="Q219" s="648"/>
      <c r="R219" s="648"/>
      <c r="S219" s="648"/>
      <c r="T219" s="648"/>
      <c r="U219" s="648"/>
      <c r="V219" s="649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50" t="s">
        <v>61</v>
      </c>
      <c r="B220" s="651"/>
      <c r="C220" s="651"/>
      <c r="D220" s="651"/>
      <c r="E220" s="651"/>
      <c r="F220" s="651"/>
      <c r="G220" s="651"/>
      <c r="H220" s="651"/>
      <c r="I220" s="651"/>
      <c r="J220" s="651"/>
      <c r="K220" s="651"/>
      <c r="L220" s="651"/>
      <c r="M220" s="651"/>
      <c r="N220" s="651"/>
      <c r="O220" s="651"/>
      <c r="P220" s="651"/>
      <c r="Q220" s="651"/>
      <c r="R220" s="651"/>
      <c r="S220" s="651"/>
      <c r="T220" s="651"/>
      <c r="U220" s="651"/>
      <c r="V220" s="651"/>
      <c r="W220" s="651"/>
      <c r="X220" s="651"/>
      <c r="Y220" s="651"/>
      <c r="Z220" s="651"/>
      <c r="AA220" s="637"/>
      <c r="AB220" s="637"/>
      <c r="AC220" s="637"/>
    </row>
    <row r="221" spans="1:68" ht="27" customHeight="1" x14ac:dyDescent="0.25">
      <c r="A221" s="54" t="s">
        <v>360</v>
      </c>
      <c r="B221" s="54" t="s">
        <v>361</v>
      </c>
      <c r="C221" s="31">
        <v>4301031191</v>
      </c>
      <c r="D221" s="659">
        <v>4680115880993</v>
      </c>
      <c r="E221" s="660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7"/>
      <c r="R221" s="657"/>
      <c r="S221" s="657"/>
      <c r="T221" s="658"/>
      <c r="U221" s="34"/>
      <c r="V221" s="34"/>
      <c r="W221" s="35" t="s">
        <v>66</v>
      </c>
      <c r="X221" s="641">
        <v>10</v>
      </c>
      <c r="Y221" s="642">
        <f t="shared" ref="Y221:Y234" si="32">IFERROR(IF(X221="",0,CEILING((X221/$H221),1)*$H221),"")</f>
        <v>12.600000000000001</v>
      </c>
      <c r="Z221" s="36">
        <f>IFERROR(IF(Y221=0,"",ROUNDUP(Y221/H221,0)*0.00902),"")</f>
        <v>2.7060000000000001E-2</v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10.595238095238095</v>
      </c>
      <c r="BN221" s="64">
        <f t="shared" ref="BN221:BN234" si="34">IFERROR(Y221*I221/H221,"0")</f>
        <v>13.350000000000001</v>
      </c>
      <c r="BO221" s="64">
        <f t="shared" ref="BO221:BO234" si="35">IFERROR(1/J221*(X221/H221),"0")</f>
        <v>1.8037518037518036E-2</v>
      </c>
      <c r="BP221" s="64">
        <f t="shared" ref="BP221:BP234" si="36">IFERROR(1/J221*(Y221/H221),"0")</f>
        <v>2.2727272727272728E-2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59">
        <v>4680115881761</v>
      </c>
      <c r="E222" s="660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7"/>
      <c r="R222" s="657"/>
      <c r="S222" s="657"/>
      <c r="T222" s="658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366</v>
      </c>
      <c r="B223" s="54" t="s">
        <v>367</v>
      </c>
      <c r="C223" s="31">
        <v>4301031201</v>
      </c>
      <c r="D223" s="659">
        <v>4680115881563</v>
      </c>
      <c r="E223" s="660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7"/>
      <c r="R223" s="657"/>
      <c r="S223" s="657"/>
      <c r="T223" s="658"/>
      <c r="U223" s="34"/>
      <c r="V223" s="34"/>
      <c r="W223" s="35" t="s">
        <v>66</v>
      </c>
      <c r="X223" s="641">
        <v>53</v>
      </c>
      <c r="Y223" s="642">
        <f t="shared" si="32"/>
        <v>54.6</v>
      </c>
      <c r="Z223" s="36">
        <f>IFERROR(IF(Y223=0,"",ROUNDUP(Y223/H223,0)*0.00902),"")</f>
        <v>0.11726</v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55.397619047619045</v>
      </c>
      <c r="BN223" s="64">
        <f t="shared" si="34"/>
        <v>57.069999999999993</v>
      </c>
      <c r="BO223" s="64">
        <f t="shared" si="35"/>
        <v>9.55988455988456E-2</v>
      </c>
      <c r="BP223" s="64">
        <f t="shared" si="36"/>
        <v>9.8484848484848481E-2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59">
        <v>4680115887565</v>
      </c>
      <c r="E224" s="660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7"/>
      <c r="R224" s="657"/>
      <c r="S224" s="657"/>
      <c r="T224" s="658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372</v>
      </c>
      <c r="B225" s="54" t="s">
        <v>373</v>
      </c>
      <c r="C225" s="31">
        <v>4301031199</v>
      </c>
      <c r="D225" s="659">
        <v>4680115880986</v>
      </c>
      <c r="E225" s="660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7"/>
      <c r="R225" s="657"/>
      <c r="S225" s="657"/>
      <c r="T225" s="658"/>
      <c r="U225" s="34"/>
      <c r="V225" s="34"/>
      <c r="W225" s="35" t="s">
        <v>66</v>
      </c>
      <c r="X225" s="641">
        <v>0</v>
      </c>
      <c r="Y225" s="642">
        <f t="shared" si="32"/>
        <v>0</v>
      </c>
      <c r="Z225" s="36" t="str">
        <f>IFERROR(IF(Y225=0,"",ROUNDUP(Y225/H225,0)*0.00502),"")</f>
        <v/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59">
        <v>4680115887213</v>
      </c>
      <c r="E226" s="660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7"/>
      <c r="R226" s="657"/>
      <c r="S226" s="657"/>
      <c r="T226" s="658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59">
        <v>4680115881785</v>
      </c>
      <c r="E227" s="660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7"/>
      <c r="R227" s="657"/>
      <c r="S227" s="657"/>
      <c r="T227" s="658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59">
        <v>4680115888432</v>
      </c>
      <c r="E228" s="660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7"/>
      <c r="R228" s="657"/>
      <c r="S228" s="657"/>
      <c r="T228" s="658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382</v>
      </c>
      <c r="B229" s="54" t="s">
        <v>383</v>
      </c>
      <c r="C229" s="31">
        <v>4301031503</v>
      </c>
      <c r="D229" s="659">
        <v>4680115886537</v>
      </c>
      <c r="E229" s="660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36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57"/>
      <c r="R229" s="657"/>
      <c r="S229" s="657"/>
      <c r="T229" s="658"/>
      <c r="U229" s="34"/>
      <c r="V229" s="34"/>
      <c r="W229" s="35" t="s">
        <v>66</v>
      </c>
      <c r="X229" s="641">
        <v>0</v>
      </c>
      <c r="Y229" s="642">
        <f t="shared" si="32"/>
        <v>0</v>
      </c>
      <c r="Z229" s="36" t="str">
        <f>IFERROR(IF(Y229=0,"",ROUNDUP(Y229/H229,0)*0.00502),"")</f>
        <v/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59">
        <v>4680115887596</v>
      </c>
      <c r="E230" s="660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5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57"/>
      <c r="R230" s="657"/>
      <c r="S230" s="657"/>
      <c r="T230" s="658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hidden="1" customHeight="1" x14ac:dyDescent="0.25">
      <c r="A231" s="54" t="s">
        <v>388</v>
      </c>
      <c r="B231" s="54" t="s">
        <v>389</v>
      </c>
      <c r="C231" s="31">
        <v>4301031530</v>
      </c>
      <c r="D231" s="659">
        <v>4680115881679</v>
      </c>
      <c r="E231" s="660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7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57"/>
      <c r="R231" s="657"/>
      <c r="S231" s="657"/>
      <c r="T231" s="658"/>
      <c r="U231" s="34"/>
      <c r="V231" s="34"/>
      <c r="W231" s="35" t="s">
        <v>66</v>
      </c>
      <c r="X231" s="641">
        <v>0</v>
      </c>
      <c r="Y231" s="642">
        <f t="shared" si="32"/>
        <v>0</v>
      </c>
      <c r="Z231" s="36" t="str">
        <f>IFERROR(IF(Y231=0,"",ROUNDUP(Y231/H231,0)*0.00502),"")</f>
        <v/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59">
        <v>4680115880191</v>
      </c>
      <c r="E232" s="660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57"/>
      <c r="R232" s="657"/>
      <c r="S232" s="657"/>
      <c r="T232" s="658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59">
        <v>4680115880191</v>
      </c>
      <c r="E233" s="660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57"/>
      <c r="R233" s="657"/>
      <c r="S233" s="657"/>
      <c r="T233" s="658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59">
        <v>4680115883963</v>
      </c>
      <c r="E234" s="660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69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57"/>
      <c r="R234" s="657"/>
      <c r="S234" s="657"/>
      <c r="T234" s="658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2"/>
      <c r="B235" s="651"/>
      <c r="C235" s="651"/>
      <c r="D235" s="651"/>
      <c r="E235" s="651"/>
      <c r="F235" s="651"/>
      <c r="G235" s="651"/>
      <c r="H235" s="651"/>
      <c r="I235" s="651"/>
      <c r="J235" s="651"/>
      <c r="K235" s="651"/>
      <c r="L235" s="651"/>
      <c r="M235" s="651"/>
      <c r="N235" s="651"/>
      <c r="O235" s="673"/>
      <c r="P235" s="647" t="s">
        <v>71</v>
      </c>
      <c r="Q235" s="648"/>
      <c r="R235" s="648"/>
      <c r="S235" s="648"/>
      <c r="T235" s="648"/>
      <c r="U235" s="648"/>
      <c r="V235" s="649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15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16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0.14432</v>
      </c>
      <c r="AA235" s="644"/>
      <c r="AB235" s="644"/>
      <c r="AC235" s="644"/>
    </row>
    <row r="236" spans="1:68" x14ac:dyDescent="0.2">
      <c r="A236" s="651"/>
      <c r="B236" s="651"/>
      <c r="C236" s="651"/>
      <c r="D236" s="651"/>
      <c r="E236" s="651"/>
      <c r="F236" s="651"/>
      <c r="G236" s="651"/>
      <c r="H236" s="651"/>
      <c r="I236" s="651"/>
      <c r="J236" s="651"/>
      <c r="K236" s="651"/>
      <c r="L236" s="651"/>
      <c r="M236" s="651"/>
      <c r="N236" s="651"/>
      <c r="O236" s="673"/>
      <c r="P236" s="647" t="s">
        <v>71</v>
      </c>
      <c r="Q236" s="648"/>
      <c r="R236" s="648"/>
      <c r="S236" s="648"/>
      <c r="T236" s="648"/>
      <c r="U236" s="648"/>
      <c r="V236" s="649"/>
      <c r="W236" s="37" t="s">
        <v>66</v>
      </c>
      <c r="X236" s="643">
        <f>IFERROR(SUM(X221:X234),"0")</f>
        <v>63</v>
      </c>
      <c r="Y236" s="643">
        <f>IFERROR(SUM(Y221:Y234),"0")</f>
        <v>67.2</v>
      </c>
      <c r="Z236" s="37"/>
      <c r="AA236" s="644"/>
      <c r="AB236" s="644"/>
      <c r="AC236" s="644"/>
    </row>
    <row r="237" spans="1:68" ht="14.25" hidden="1" customHeight="1" x14ac:dyDescent="0.25">
      <c r="A237" s="650" t="s">
        <v>73</v>
      </c>
      <c r="B237" s="651"/>
      <c r="C237" s="651"/>
      <c r="D237" s="651"/>
      <c r="E237" s="651"/>
      <c r="F237" s="651"/>
      <c r="G237" s="651"/>
      <c r="H237" s="651"/>
      <c r="I237" s="651"/>
      <c r="J237" s="651"/>
      <c r="K237" s="651"/>
      <c r="L237" s="651"/>
      <c r="M237" s="651"/>
      <c r="N237" s="651"/>
      <c r="O237" s="651"/>
      <c r="P237" s="651"/>
      <c r="Q237" s="651"/>
      <c r="R237" s="651"/>
      <c r="S237" s="651"/>
      <c r="T237" s="651"/>
      <c r="U237" s="651"/>
      <c r="V237" s="651"/>
      <c r="W237" s="651"/>
      <c r="X237" s="651"/>
      <c r="Y237" s="651"/>
      <c r="Z237" s="651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59">
        <v>4680115888692</v>
      </c>
      <c r="E238" s="660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57"/>
      <c r="R238" s="657"/>
      <c r="S238" s="657"/>
      <c r="T238" s="658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59">
        <v>4680115888692</v>
      </c>
      <c r="E239" s="660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67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57"/>
      <c r="R239" s="657"/>
      <c r="S239" s="657"/>
      <c r="T239" s="658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59">
        <v>4680115888722</v>
      </c>
      <c r="E240" s="660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69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57"/>
      <c r="R240" s="657"/>
      <c r="S240" s="657"/>
      <c r="T240" s="658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59">
        <v>4680115888722</v>
      </c>
      <c r="E241" s="660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57"/>
      <c r="R241" s="657"/>
      <c r="S241" s="657"/>
      <c r="T241" s="658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59">
        <v>4680115888951</v>
      </c>
      <c r="E242" s="660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7"/>
      <c r="R242" s="657"/>
      <c r="S242" s="657"/>
      <c r="T242" s="658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59">
        <v>4680115888951</v>
      </c>
      <c r="E243" s="660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1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57"/>
      <c r="R243" s="657"/>
      <c r="S243" s="657"/>
      <c r="T243" s="658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59">
        <v>4680115888975</v>
      </c>
      <c r="E244" s="660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74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57"/>
      <c r="R244" s="657"/>
      <c r="S244" s="657"/>
      <c r="T244" s="658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59">
        <v>4680115888982</v>
      </c>
      <c r="E245" s="660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57"/>
      <c r="R245" s="657"/>
      <c r="S245" s="657"/>
      <c r="T245" s="658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59">
        <v>4680115888982</v>
      </c>
      <c r="E246" s="660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7"/>
      <c r="R246" s="657"/>
      <c r="S246" s="657"/>
      <c r="T246" s="658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2"/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73"/>
      <c r="P247" s="647" t="s">
        <v>71</v>
      </c>
      <c r="Q247" s="648"/>
      <c r="R247" s="648"/>
      <c r="S247" s="648"/>
      <c r="T247" s="648"/>
      <c r="U247" s="648"/>
      <c r="V247" s="649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51"/>
      <c r="B248" s="651"/>
      <c r="C248" s="651"/>
      <c r="D248" s="651"/>
      <c r="E248" s="651"/>
      <c r="F248" s="651"/>
      <c r="G248" s="651"/>
      <c r="H248" s="651"/>
      <c r="I248" s="651"/>
      <c r="J248" s="651"/>
      <c r="K248" s="651"/>
      <c r="L248" s="651"/>
      <c r="M248" s="651"/>
      <c r="N248" s="651"/>
      <c r="O248" s="673"/>
      <c r="P248" s="647" t="s">
        <v>71</v>
      </c>
      <c r="Q248" s="648"/>
      <c r="R248" s="648"/>
      <c r="S248" s="648"/>
      <c r="T248" s="648"/>
      <c r="U248" s="648"/>
      <c r="V248" s="649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50" t="s">
        <v>266</v>
      </c>
      <c r="B249" s="651"/>
      <c r="C249" s="651"/>
      <c r="D249" s="651"/>
      <c r="E249" s="651"/>
      <c r="F249" s="651"/>
      <c r="G249" s="651"/>
      <c r="H249" s="651"/>
      <c r="I249" s="651"/>
      <c r="J249" s="651"/>
      <c r="K249" s="651"/>
      <c r="L249" s="651"/>
      <c r="M249" s="651"/>
      <c r="N249" s="651"/>
      <c r="O249" s="651"/>
      <c r="P249" s="651"/>
      <c r="Q249" s="651"/>
      <c r="R249" s="651"/>
      <c r="S249" s="651"/>
      <c r="T249" s="651"/>
      <c r="U249" s="651"/>
      <c r="V249" s="651"/>
      <c r="W249" s="651"/>
      <c r="X249" s="651"/>
      <c r="Y249" s="651"/>
      <c r="Z249" s="651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59">
        <v>4680115886780</v>
      </c>
      <c r="E250" s="660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57"/>
      <c r="R250" s="657"/>
      <c r="S250" s="657"/>
      <c r="T250" s="658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59">
        <v>4680115886742</v>
      </c>
      <c r="E251" s="660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7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57"/>
      <c r="R251" s="657"/>
      <c r="S251" s="657"/>
      <c r="T251" s="658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59">
        <v>4680115886766</v>
      </c>
      <c r="E252" s="660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57"/>
      <c r="R252" s="657"/>
      <c r="S252" s="657"/>
      <c r="T252" s="658"/>
      <c r="U252" s="34"/>
      <c r="V252" s="34"/>
      <c r="W252" s="35" t="s">
        <v>66</v>
      </c>
      <c r="X252" s="641">
        <v>1</v>
      </c>
      <c r="Y252" s="642">
        <f>IFERROR(IF(X252="",0,CEILING((X252/$H252),1)*$H252),"")</f>
        <v>1.26</v>
      </c>
      <c r="Z252" s="36">
        <f>IFERROR(IF(Y252=0,"",ROUNDUP(Y252/H252,0)*0.0059),"")</f>
        <v>5.8999999999999999E-3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1.1507936507936507</v>
      </c>
      <c r="BN252" s="64">
        <f>IFERROR(Y252*I252/H252,"0")</f>
        <v>1.45</v>
      </c>
      <c r="BO252" s="64">
        <f>IFERROR(1/J252*(X252/H252),"0")</f>
        <v>3.6743092298647849E-3</v>
      </c>
      <c r="BP252" s="64">
        <f>IFERROR(1/J252*(Y252/H252),"0")</f>
        <v>4.6296296296296294E-3</v>
      </c>
    </row>
    <row r="253" spans="1:68" x14ac:dyDescent="0.2">
      <c r="A253" s="672"/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73"/>
      <c r="P253" s="647" t="s">
        <v>71</v>
      </c>
      <c r="Q253" s="648"/>
      <c r="R253" s="648"/>
      <c r="S253" s="648"/>
      <c r="T253" s="648"/>
      <c r="U253" s="648"/>
      <c r="V253" s="649"/>
      <c r="W253" s="37" t="s">
        <v>72</v>
      </c>
      <c r="X253" s="643">
        <f>IFERROR(X250/H250,"0")+IFERROR(X251/H251,"0")+IFERROR(X252/H252,"0")</f>
        <v>0.79365079365079361</v>
      </c>
      <c r="Y253" s="643">
        <f>IFERROR(Y250/H250,"0")+IFERROR(Y251/H251,"0")+IFERROR(Y252/H252,"0")</f>
        <v>1</v>
      </c>
      <c r="Z253" s="643">
        <f>IFERROR(IF(Z250="",0,Z250),"0")+IFERROR(IF(Z251="",0,Z251),"0")+IFERROR(IF(Z252="",0,Z252),"0")</f>
        <v>5.8999999999999999E-3</v>
      </c>
      <c r="AA253" s="644"/>
      <c r="AB253" s="644"/>
      <c r="AC253" s="644"/>
    </row>
    <row r="254" spans="1:68" x14ac:dyDescent="0.2">
      <c r="A254" s="651"/>
      <c r="B254" s="651"/>
      <c r="C254" s="651"/>
      <c r="D254" s="651"/>
      <c r="E254" s="651"/>
      <c r="F254" s="651"/>
      <c r="G254" s="651"/>
      <c r="H254" s="651"/>
      <c r="I254" s="651"/>
      <c r="J254" s="651"/>
      <c r="K254" s="651"/>
      <c r="L254" s="651"/>
      <c r="M254" s="651"/>
      <c r="N254" s="651"/>
      <c r="O254" s="673"/>
      <c r="P254" s="647" t="s">
        <v>71</v>
      </c>
      <c r="Q254" s="648"/>
      <c r="R254" s="648"/>
      <c r="S254" s="648"/>
      <c r="T254" s="648"/>
      <c r="U254" s="648"/>
      <c r="V254" s="649"/>
      <c r="W254" s="37" t="s">
        <v>66</v>
      </c>
      <c r="X254" s="643">
        <f>IFERROR(SUM(X250:X252),"0")</f>
        <v>1</v>
      </c>
      <c r="Y254" s="643">
        <f>IFERROR(SUM(Y250:Y252),"0")</f>
        <v>1.26</v>
      </c>
      <c r="Z254" s="37"/>
      <c r="AA254" s="644"/>
      <c r="AB254" s="644"/>
      <c r="AC254" s="644"/>
    </row>
    <row r="255" spans="1:68" ht="14.25" hidden="1" customHeight="1" x14ac:dyDescent="0.25">
      <c r="A255" s="650" t="s">
        <v>424</v>
      </c>
      <c r="B255" s="651"/>
      <c r="C255" s="651"/>
      <c r="D255" s="651"/>
      <c r="E255" s="651"/>
      <c r="F255" s="651"/>
      <c r="G255" s="651"/>
      <c r="H255" s="651"/>
      <c r="I255" s="651"/>
      <c r="J255" s="651"/>
      <c r="K255" s="651"/>
      <c r="L255" s="651"/>
      <c r="M255" s="651"/>
      <c r="N255" s="651"/>
      <c r="O255" s="651"/>
      <c r="P255" s="651"/>
      <c r="Q255" s="651"/>
      <c r="R255" s="651"/>
      <c r="S255" s="651"/>
      <c r="T255" s="651"/>
      <c r="U255" s="651"/>
      <c r="V255" s="651"/>
      <c r="W255" s="651"/>
      <c r="X255" s="651"/>
      <c r="Y255" s="651"/>
      <c r="Z255" s="651"/>
      <c r="AA255" s="637"/>
      <c r="AB255" s="637"/>
      <c r="AC255" s="637"/>
    </row>
    <row r="256" spans="1:68" ht="27" customHeight="1" x14ac:dyDescent="0.25">
      <c r="A256" s="54" t="s">
        <v>425</v>
      </c>
      <c r="B256" s="54" t="s">
        <v>426</v>
      </c>
      <c r="C256" s="31">
        <v>4301170013</v>
      </c>
      <c r="D256" s="659">
        <v>4680115886797</v>
      </c>
      <c r="E256" s="660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7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57"/>
      <c r="R256" s="657"/>
      <c r="S256" s="657"/>
      <c r="T256" s="658"/>
      <c r="U256" s="34"/>
      <c r="V256" s="34"/>
      <c r="W256" s="35" t="s">
        <v>66</v>
      </c>
      <c r="X256" s="641">
        <v>1</v>
      </c>
      <c r="Y256" s="642">
        <f>IFERROR(IF(X256="",0,CEILING((X256/$H256),1)*$H256),"")</f>
        <v>1.26</v>
      </c>
      <c r="Z256" s="36">
        <f>IFERROR(IF(Y256=0,"",ROUNDUP(Y256/H256,0)*0.0059),"")</f>
        <v>5.8999999999999999E-3</v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1.1507936507936507</v>
      </c>
      <c r="BN256" s="64">
        <f>IFERROR(Y256*I256/H256,"0")</f>
        <v>1.45</v>
      </c>
      <c r="BO256" s="64">
        <f>IFERROR(1/J256*(X256/H256),"0")</f>
        <v>3.6743092298647849E-3</v>
      </c>
      <c r="BP256" s="64">
        <f>IFERROR(1/J256*(Y256/H256),"0")</f>
        <v>4.6296296296296294E-3</v>
      </c>
    </row>
    <row r="257" spans="1:68" x14ac:dyDescent="0.2">
      <c r="A257" s="672"/>
      <c r="B257" s="651"/>
      <c r="C257" s="651"/>
      <c r="D257" s="651"/>
      <c r="E257" s="651"/>
      <c r="F257" s="651"/>
      <c r="G257" s="651"/>
      <c r="H257" s="651"/>
      <c r="I257" s="651"/>
      <c r="J257" s="651"/>
      <c r="K257" s="651"/>
      <c r="L257" s="651"/>
      <c r="M257" s="651"/>
      <c r="N257" s="651"/>
      <c r="O257" s="673"/>
      <c r="P257" s="647" t="s">
        <v>71</v>
      </c>
      <c r="Q257" s="648"/>
      <c r="R257" s="648"/>
      <c r="S257" s="648"/>
      <c r="T257" s="648"/>
      <c r="U257" s="648"/>
      <c r="V257" s="649"/>
      <c r="W257" s="37" t="s">
        <v>72</v>
      </c>
      <c r="X257" s="643">
        <f>IFERROR(X256/H256,"0")</f>
        <v>0.79365079365079361</v>
      </c>
      <c r="Y257" s="643">
        <f>IFERROR(Y256/H256,"0")</f>
        <v>1</v>
      </c>
      <c r="Z257" s="643">
        <f>IFERROR(IF(Z256="",0,Z256),"0")</f>
        <v>5.8999999999999999E-3</v>
      </c>
      <c r="AA257" s="644"/>
      <c r="AB257" s="644"/>
      <c r="AC257" s="644"/>
    </row>
    <row r="258" spans="1:68" x14ac:dyDescent="0.2">
      <c r="A258" s="651"/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73"/>
      <c r="P258" s="647" t="s">
        <v>71</v>
      </c>
      <c r="Q258" s="648"/>
      <c r="R258" s="648"/>
      <c r="S258" s="648"/>
      <c r="T258" s="648"/>
      <c r="U258" s="648"/>
      <c r="V258" s="649"/>
      <c r="W258" s="37" t="s">
        <v>66</v>
      </c>
      <c r="X258" s="643">
        <f>IFERROR(SUM(X256:X256),"0")</f>
        <v>1</v>
      </c>
      <c r="Y258" s="643">
        <f>IFERROR(SUM(Y256:Y256),"0")</f>
        <v>1.26</v>
      </c>
      <c r="Z258" s="37"/>
      <c r="AA258" s="644"/>
      <c r="AB258" s="644"/>
      <c r="AC258" s="644"/>
    </row>
    <row r="259" spans="1:68" ht="16.5" hidden="1" customHeight="1" x14ac:dyDescent="0.25">
      <c r="A259" s="655" t="s">
        <v>427</v>
      </c>
      <c r="B259" s="651"/>
      <c r="C259" s="651"/>
      <c r="D259" s="651"/>
      <c r="E259" s="651"/>
      <c r="F259" s="651"/>
      <c r="G259" s="651"/>
      <c r="H259" s="651"/>
      <c r="I259" s="651"/>
      <c r="J259" s="651"/>
      <c r="K259" s="651"/>
      <c r="L259" s="651"/>
      <c r="M259" s="651"/>
      <c r="N259" s="651"/>
      <c r="O259" s="651"/>
      <c r="P259" s="651"/>
      <c r="Q259" s="651"/>
      <c r="R259" s="651"/>
      <c r="S259" s="651"/>
      <c r="T259" s="651"/>
      <c r="U259" s="651"/>
      <c r="V259" s="651"/>
      <c r="W259" s="651"/>
      <c r="X259" s="651"/>
      <c r="Y259" s="651"/>
      <c r="Z259" s="651"/>
      <c r="AA259" s="636"/>
      <c r="AB259" s="636"/>
      <c r="AC259" s="636"/>
    </row>
    <row r="260" spans="1:68" ht="14.25" hidden="1" customHeight="1" x14ac:dyDescent="0.25">
      <c r="A260" s="650" t="s">
        <v>110</v>
      </c>
      <c r="B260" s="651"/>
      <c r="C260" s="651"/>
      <c r="D260" s="651"/>
      <c r="E260" s="651"/>
      <c r="F260" s="651"/>
      <c r="G260" s="651"/>
      <c r="H260" s="651"/>
      <c r="I260" s="651"/>
      <c r="J260" s="651"/>
      <c r="K260" s="651"/>
      <c r="L260" s="651"/>
      <c r="M260" s="651"/>
      <c r="N260" s="651"/>
      <c r="O260" s="651"/>
      <c r="P260" s="651"/>
      <c r="Q260" s="651"/>
      <c r="R260" s="651"/>
      <c r="S260" s="651"/>
      <c r="T260" s="651"/>
      <c r="U260" s="651"/>
      <c r="V260" s="651"/>
      <c r="W260" s="651"/>
      <c r="X260" s="651"/>
      <c r="Y260" s="651"/>
      <c r="Z260" s="651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59">
        <v>4680115881402</v>
      </c>
      <c r="E261" s="660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5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57"/>
      <c r="R261" s="657"/>
      <c r="S261" s="657"/>
      <c r="T261" s="658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59">
        <v>4680115881396</v>
      </c>
      <c r="E262" s="660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57"/>
      <c r="R262" s="657"/>
      <c r="S262" s="657"/>
      <c r="T262" s="658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2"/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73"/>
      <c r="P263" s="647" t="s">
        <v>71</v>
      </c>
      <c r="Q263" s="648"/>
      <c r="R263" s="648"/>
      <c r="S263" s="648"/>
      <c r="T263" s="648"/>
      <c r="U263" s="648"/>
      <c r="V263" s="649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51"/>
      <c r="B264" s="651"/>
      <c r="C264" s="651"/>
      <c r="D264" s="651"/>
      <c r="E264" s="651"/>
      <c r="F264" s="651"/>
      <c r="G264" s="651"/>
      <c r="H264" s="651"/>
      <c r="I264" s="651"/>
      <c r="J264" s="651"/>
      <c r="K264" s="651"/>
      <c r="L264" s="651"/>
      <c r="M264" s="651"/>
      <c r="N264" s="651"/>
      <c r="O264" s="673"/>
      <c r="P264" s="647" t="s">
        <v>71</v>
      </c>
      <c r="Q264" s="648"/>
      <c r="R264" s="648"/>
      <c r="S264" s="648"/>
      <c r="T264" s="648"/>
      <c r="U264" s="648"/>
      <c r="V264" s="649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50" t="s">
        <v>147</v>
      </c>
      <c r="B265" s="651"/>
      <c r="C265" s="651"/>
      <c r="D265" s="651"/>
      <c r="E265" s="651"/>
      <c r="F265" s="651"/>
      <c r="G265" s="651"/>
      <c r="H265" s="651"/>
      <c r="I265" s="651"/>
      <c r="J265" s="651"/>
      <c r="K265" s="651"/>
      <c r="L265" s="651"/>
      <c r="M265" s="651"/>
      <c r="N265" s="651"/>
      <c r="O265" s="651"/>
      <c r="P265" s="651"/>
      <c r="Q265" s="651"/>
      <c r="R265" s="651"/>
      <c r="S265" s="651"/>
      <c r="T265" s="651"/>
      <c r="U265" s="651"/>
      <c r="V265" s="651"/>
      <c r="W265" s="651"/>
      <c r="X265" s="651"/>
      <c r="Y265" s="651"/>
      <c r="Z265" s="651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59">
        <v>4680115882935</v>
      </c>
      <c r="E266" s="660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57"/>
      <c r="R266" s="657"/>
      <c r="S266" s="657"/>
      <c r="T266" s="658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59">
        <v>4680115880764</v>
      </c>
      <c r="E267" s="660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57"/>
      <c r="R267" s="657"/>
      <c r="S267" s="657"/>
      <c r="T267" s="658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2"/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73"/>
      <c r="P268" s="647" t="s">
        <v>71</v>
      </c>
      <c r="Q268" s="648"/>
      <c r="R268" s="648"/>
      <c r="S268" s="648"/>
      <c r="T268" s="648"/>
      <c r="U268" s="648"/>
      <c r="V268" s="649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51"/>
      <c r="B269" s="651"/>
      <c r="C269" s="651"/>
      <c r="D269" s="651"/>
      <c r="E269" s="651"/>
      <c r="F269" s="651"/>
      <c r="G269" s="651"/>
      <c r="H269" s="651"/>
      <c r="I269" s="651"/>
      <c r="J269" s="651"/>
      <c r="K269" s="651"/>
      <c r="L269" s="651"/>
      <c r="M269" s="651"/>
      <c r="N269" s="651"/>
      <c r="O269" s="673"/>
      <c r="P269" s="647" t="s">
        <v>71</v>
      </c>
      <c r="Q269" s="648"/>
      <c r="R269" s="648"/>
      <c r="S269" s="648"/>
      <c r="T269" s="648"/>
      <c r="U269" s="648"/>
      <c r="V269" s="649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50" t="s">
        <v>61</v>
      </c>
      <c r="B270" s="651"/>
      <c r="C270" s="651"/>
      <c r="D270" s="651"/>
      <c r="E270" s="651"/>
      <c r="F270" s="651"/>
      <c r="G270" s="651"/>
      <c r="H270" s="651"/>
      <c r="I270" s="651"/>
      <c r="J270" s="651"/>
      <c r="K270" s="651"/>
      <c r="L270" s="651"/>
      <c r="M270" s="651"/>
      <c r="N270" s="651"/>
      <c r="O270" s="651"/>
      <c r="P270" s="651"/>
      <c r="Q270" s="651"/>
      <c r="R270" s="651"/>
      <c r="S270" s="651"/>
      <c r="T270" s="651"/>
      <c r="U270" s="651"/>
      <c r="V270" s="651"/>
      <c r="W270" s="651"/>
      <c r="X270" s="651"/>
      <c r="Y270" s="651"/>
      <c r="Z270" s="651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59">
        <v>4680115882683</v>
      </c>
      <c r="E271" s="660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2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57"/>
      <c r="R271" s="657"/>
      <c r="S271" s="657"/>
      <c r="T271" s="658"/>
      <c r="U271" s="34"/>
      <c r="V271" s="34"/>
      <c r="W271" s="35" t="s">
        <v>66</v>
      </c>
      <c r="X271" s="641">
        <v>100</v>
      </c>
      <c r="Y271" s="642">
        <f t="shared" ref="Y271:Y278" si="42">IFERROR(IF(X271="",0,CEILING((X271/$H271),1)*$H271),"")</f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103.5185185185185</v>
      </c>
      <c r="BN271" s="64">
        <f t="shared" ref="BN271:BN278" si="44">IFERROR(Y271*I271/H271,"0")</f>
        <v>106.21</v>
      </c>
      <c r="BO271" s="64">
        <f t="shared" ref="BO271:BO278" si="45">IFERROR(1/J271*(X271/H271),"0")</f>
        <v>0.14029180695847362</v>
      </c>
      <c r="BP271" s="64">
        <f t="shared" ref="BP271:BP278" si="46">IFERROR(1/J271*(Y271/H271),"0")</f>
        <v>0.14393939393939395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59">
        <v>4680115882690</v>
      </c>
      <c r="E272" s="660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57"/>
      <c r="R272" s="657"/>
      <c r="S272" s="657"/>
      <c r="T272" s="658"/>
      <c r="U272" s="34"/>
      <c r="V272" s="34"/>
      <c r="W272" s="35" t="s">
        <v>66</v>
      </c>
      <c r="X272" s="641">
        <v>100</v>
      </c>
      <c r="Y272" s="642">
        <f t="shared" si="42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103.5185185185185</v>
      </c>
      <c r="BN272" s="64">
        <f t="shared" si="44"/>
        <v>106.21</v>
      </c>
      <c r="BO272" s="64">
        <f t="shared" si="45"/>
        <v>0.14029180695847362</v>
      </c>
      <c r="BP272" s="64">
        <f t="shared" si="46"/>
        <v>0.14393939393939395</v>
      </c>
    </row>
    <row r="273" spans="1:68" ht="27" customHeight="1" x14ac:dyDescent="0.25">
      <c r="A273" s="54" t="s">
        <v>444</v>
      </c>
      <c r="B273" s="54" t="s">
        <v>445</v>
      </c>
      <c r="C273" s="31">
        <v>4301031220</v>
      </c>
      <c r="D273" s="659">
        <v>4680115882669</v>
      </c>
      <c r="E273" s="660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5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57"/>
      <c r="R273" s="657"/>
      <c r="S273" s="657"/>
      <c r="T273" s="658"/>
      <c r="U273" s="34"/>
      <c r="V273" s="34"/>
      <c r="W273" s="35" t="s">
        <v>66</v>
      </c>
      <c r="X273" s="641">
        <v>50</v>
      </c>
      <c r="Y273" s="642">
        <f t="shared" si="42"/>
        <v>54</v>
      </c>
      <c r="Z273" s="36">
        <f>IFERROR(IF(Y273=0,"",ROUNDUP(Y273/H273,0)*0.00902),"")</f>
        <v>9.0200000000000002E-2</v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51.759259259259252</v>
      </c>
      <c r="BN273" s="64">
        <f t="shared" si="44"/>
        <v>55.9</v>
      </c>
      <c r="BO273" s="64">
        <f t="shared" si="45"/>
        <v>7.0145903479236812E-2</v>
      </c>
      <c r="BP273" s="64">
        <f t="shared" si="46"/>
        <v>7.575757575757576E-2</v>
      </c>
    </row>
    <row r="274" spans="1:68" ht="27" hidden="1" customHeight="1" x14ac:dyDescent="0.25">
      <c r="A274" s="54" t="s">
        <v>447</v>
      </c>
      <c r="B274" s="54" t="s">
        <v>448</v>
      </c>
      <c r="C274" s="31">
        <v>4301031221</v>
      </c>
      <c r="D274" s="659">
        <v>4680115882676</v>
      </c>
      <c r="E274" s="660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57"/>
      <c r="R274" s="657"/>
      <c r="S274" s="657"/>
      <c r="T274" s="658"/>
      <c r="U274" s="34"/>
      <c r="V274" s="34"/>
      <c r="W274" s="35" t="s">
        <v>66</v>
      </c>
      <c r="X274" s="641">
        <v>0</v>
      </c>
      <c r="Y274" s="642">
        <f t="shared" si="42"/>
        <v>0</v>
      </c>
      <c r="Z274" s="36" t="str">
        <f>IFERROR(IF(Y274=0,"",ROUNDUP(Y274/H274,0)*0.00902),"")</f>
        <v/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0</v>
      </c>
      <c r="BN274" s="64">
        <f t="shared" si="44"/>
        <v>0</v>
      </c>
      <c r="BO274" s="64">
        <f t="shared" si="45"/>
        <v>0</v>
      </c>
      <c r="BP274" s="64">
        <f t="shared" si="46"/>
        <v>0</v>
      </c>
    </row>
    <row r="275" spans="1:68" ht="27" hidden="1" customHeight="1" x14ac:dyDescent="0.25">
      <c r="A275" s="54" t="s">
        <v>450</v>
      </c>
      <c r="B275" s="54" t="s">
        <v>451</v>
      </c>
      <c r="C275" s="31">
        <v>4301031223</v>
      </c>
      <c r="D275" s="659">
        <v>4680115884014</v>
      </c>
      <c r="E275" s="660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6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57"/>
      <c r="R275" s="657"/>
      <c r="S275" s="657"/>
      <c r="T275" s="658"/>
      <c r="U275" s="34"/>
      <c r="V275" s="34"/>
      <c r="W275" s="35" t="s">
        <v>66</v>
      </c>
      <c r="X275" s="641">
        <v>0</v>
      </c>
      <c r="Y275" s="642">
        <f t="shared" si="42"/>
        <v>0</v>
      </c>
      <c r="Z275" s="36" t="str">
        <f>IFERROR(IF(Y275=0,"",ROUNDUP(Y275/H275,0)*0.00502),"")</f>
        <v/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0</v>
      </c>
      <c r="BN275" s="64">
        <f t="shared" si="44"/>
        <v>0</v>
      </c>
      <c r="BO275" s="64">
        <f t="shared" si="45"/>
        <v>0</v>
      </c>
      <c r="BP275" s="64">
        <f t="shared" si="46"/>
        <v>0</v>
      </c>
    </row>
    <row r="276" spans="1:68" ht="27" hidden="1" customHeight="1" x14ac:dyDescent="0.25">
      <c r="A276" s="54" t="s">
        <v>452</v>
      </c>
      <c r="B276" s="54" t="s">
        <v>453</v>
      </c>
      <c r="C276" s="31">
        <v>4301031222</v>
      </c>
      <c r="D276" s="659">
        <v>4680115884007</v>
      </c>
      <c r="E276" s="660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6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57"/>
      <c r="R276" s="657"/>
      <c r="S276" s="657"/>
      <c r="T276" s="658"/>
      <c r="U276" s="34"/>
      <c r="V276" s="34"/>
      <c r="W276" s="35" t="s">
        <v>66</v>
      </c>
      <c r="X276" s="641">
        <v>0</v>
      </c>
      <c r="Y276" s="642">
        <f t="shared" si="42"/>
        <v>0</v>
      </c>
      <c r="Z276" s="36" t="str">
        <f>IFERROR(IF(Y276=0,"",ROUNDUP(Y276/H276,0)*0.00502),"")</f>
        <v/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0</v>
      </c>
      <c r="BN276" s="64">
        <f t="shared" si="44"/>
        <v>0</v>
      </c>
      <c r="BO276" s="64">
        <f t="shared" si="45"/>
        <v>0</v>
      </c>
      <c r="BP276" s="64">
        <f t="shared" si="46"/>
        <v>0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59">
        <v>4680115884038</v>
      </c>
      <c r="E277" s="660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0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57"/>
      <c r="R277" s="657"/>
      <c r="S277" s="657"/>
      <c r="T277" s="658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hidden="1" customHeight="1" x14ac:dyDescent="0.25">
      <c r="A278" s="54" t="s">
        <v>456</v>
      </c>
      <c r="B278" s="54" t="s">
        <v>457</v>
      </c>
      <c r="C278" s="31">
        <v>4301031225</v>
      </c>
      <c r="D278" s="659">
        <v>4680115884021</v>
      </c>
      <c r="E278" s="660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7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57"/>
      <c r="R278" s="657"/>
      <c r="S278" s="657"/>
      <c r="T278" s="658"/>
      <c r="U278" s="34"/>
      <c r="V278" s="34"/>
      <c r="W278" s="35" t="s">
        <v>66</v>
      </c>
      <c r="X278" s="641">
        <v>0</v>
      </c>
      <c r="Y278" s="642">
        <f t="shared" si="42"/>
        <v>0</v>
      </c>
      <c r="Z278" s="36" t="str">
        <f>IFERROR(IF(Y278=0,"",ROUNDUP(Y278/H278,0)*0.00502),"")</f>
        <v/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0</v>
      </c>
      <c r="BN278" s="64">
        <f t="shared" si="44"/>
        <v>0</v>
      </c>
      <c r="BO278" s="64">
        <f t="shared" si="45"/>
        <v>0</v>
      </c>
      <c r="BP278" s="64">
        <f t="shared" si="46"/>
        <v>0</v>
      </c>
    </row>
    <row r="279" spans="1:68" x14ac:dyDescent="0.2">
      <c r="A279" s="672"/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73"/>
      <c r="P279" s="647" t="s">
        <v>71</v>
      </c>
      <c r="Q279" s="648"/>
      <c r="R279" s="648"/>
      <c r="S279" s="648"/>
      <c r="T279" s="648"/>
      <c r="U279" s="648"/>
      <c r="V279" s="649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46.296296296296298</v>
      </c>
      <c r="Y279" s="643">
        <f>IFERROR(Y271/H271,"0")+IFERROR(Y272/H272,"0")+IFERROR(Y273/H273,"0")+IFERROR(Y274/H274,"0")+IFERROR(Y275/H275,"0")+IFERROR(Y276/H276,"0")+IFERROR(Y277/H277,"0")+IFERROR(Y278/H278,"0")</f>
        <v>48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0.43296000000000001</v>
      </c>
      <c r="AA279" s="644"/>
      <c r="AB279" s="644"/>
      <c r="AC279" s="644"/>
    </row>
    <row r="280" spans="1:68" x14ac:dyDescent="0.2">
      <c r="A280" s="651"/>
      <c r="B280" s="651"/>
      <c r="C280" s="651"/>
      <c r="D280" s="651"/>
      <c r="E280" s="651"/>
      <c r="F280" s="651"/>
      <c r="G280" s="651"/>
      <c r="H280" s="651"/>
      <c r="I280" s="651"/>
      <c r="J280" s="651"/>
      <c r="K280" s="651"/>
      <c r="L280" s="651"/>
      <c r="M280" s="651"/>
      <c r="N280" s="651"/>
      <c r="O280" s="673"/>
      <c r="P280" s="647" t="s">
        <v>71</v>
      </c>
      <c r="Q280" s="648"/>
      <c r="R280" s="648"/>
      <c r="S280" s="648"/>
      <c r="T280" s="648"/>
      <c r="U280" s="648"/>
      <c r="V280" s="649"/>
      <c r="W280" s="37" t="s">
        <v>66</v>
      </c>
      <c r="X280" s="643">
        <f>IFERROR(SUM(X271:X278),"0")</f>
        <v>250</v>
      </c>
      <c r="Y280" s="643">
        <f>IFERROR(SUM(Y271:Y278),"0")</f>
        <v>259.20000000000005</v>
      </c>
      <c r="Z280" s="37"/>
      <c r="AA280" s="644"/>
      <c r="AB280" s="644"/>
      <c r="AC280" s="644"/>
    </row>
    <row r="281" spans="1:68" ht="14.25" hidden="1" customHeight="1" x14ac:dyDescent="0.25">
      <c r="A281" s="650" t="s">
        <v>73</v>
      </c>
      <c r="B281" s="651"/>
      <c r="C281" s="651"/>
      <c r="D281" s="651"/>
      <c r="E281" s="651"/>
      <c r="F281" s="651"/>
      <c r="G281" s="651"/>
      <c r="H281" s="651"/>
      <c r="I281" s="651"/>
      <c r="J281" s="651"/>
      <c r="K281" s="651"/>
      <c r="L281" s="651"/>
      <c r="M281" s="651"/>
      <c r="N281" s="651"/>
      <c r="O281" s="651"/>
      <c r="P281" s="651"/>
      <c r="Q281" s="651"/>
      <c r="R281" s="651"/>
      <c r="S281" s="651"/>
      <c r="T281" s="651"/>
      <c r="U281" s="651"/>
      <c r="V281" s="651"/>
      <c r="W281" s="651"/>
      <c r="X281" s="651"/>
      <c r="Y281" s="651"/>
      <c r="Z281" s="651"/>
      <c r="AA281" s="637"/>
      <c r="AB281" s="637"/>
      <c r="AC281" s="637"/>
    </row>
    <row r="282" spans="1:68" ht="27" hidden="1" customHeight="1" x14ac:dyDescent="0.25">
      <c r="A282" s="54" t="s">
        <v>458</v>
      </c>
      <c r="B282" s="54" t="s">
        <v>459</v>
      </c>
      <c r="C282" s="31">
        <v>4301051408</v>
      </c>
      <c r="D282" s="659">
        <v>4680115881594</v>
      </c>
      <c r="E282" s="660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3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57"/>
      <c r="R282" s="657"/>
      <c r="S282" s="657"/>
      <c r="T282" s="658"/>
      <c r="U282" s="34"/>
      <c r="V282" s="34"/>
      <c r="W282" s="35" t="s">
        <v>66</v>
      </c>
      <c r="X282" s="641">
        <v>0</v>
      </c>
      <c r="Y282" s="642">
        <f t="shared" ref="Y282:Y293" si="47">IFERROR(IF(X282="",0,CEILING((X282/$H282),1)*$H282),"")</f>
        <v>0</v>
      </c>
      <c r="Z282" s="36" t="str">
        <f>IFERROR(IF(Y282=0,"",ROUNDUP(Y282/H282,0)*0.01898),"")</f>
        <v/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0</v>
      </c>
      <c r="BN282" s="64">
        <f t="shared" ref="BN282:BN293" si="49">IFERROR(Y282*I282/H282,"0")</f>
        <v>0</v>
      </c>
      <c r="BO282" s="64">
        <f t="shared" ref="BO282:BO293" si="50">IFERROR(1/J282*(X282/H282),"0")</f>
        <v>0</v>
      </c>
      <c r="BP282" s="64">
        <f t="shared" ref="BP282:BP293" si="51">IFERROR(1/J282*(Y282/H282),"0")</f>
        <v>0</v>
      </c>
    </row>
    <row r="283" spans="1:68" ht="27" hidden="1" customHeight="1" x14ac:dyDescent="0.25">
      <c r="A283" s="54" t="s">
        <v>461</v>
      </c>
      <c r="B283" s="54" t="s">
        <v>462</v>
      </c>
      <c r="C283" s="31">
        <v>4301051411</v>
      </c>
      <c r="D283" s="659">
        <v>4680115881617</v>
      </c>
      <c r="E283" s="660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0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57"/>
      <c r="R283" s="657"/>
      <c r="S283" s="657"/>
      <c r="T283" s="658"/>
      <c r="U283" s="34"/>
      <c r="V283" s="34"/>
      <c r="W283" s="35" t="s">
        <v>66</v>
      </c>
      <c r="X283" s="641">
        <v>0</v>
      </c>
      <c r="Y283" s="642">
        <f t="shared" si="47"/>
        <v>0</v>
      </c>
      <c r="Z283" s="36" t="str">
        <f>IFERROR(IF(Y283=0,"",ROUNDUP(Y283/H283,0)*0.01898),"")</f>
        <v/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0</v>
      </c>
      <c r="BN283" s="64">
        <f t="shared" si="49"/>
        <v>0</v>
      </c>
      <c r="BO283" s="64">
        <f t="shared" si="50"/>
        <v>0</v>
      </c>
      <c r="BP283" s="64">
        <f t="shared" si="51"/>
        <v>0</v>
      </c>
    </row>
    <row r="284" spans="1:68" ht="27" hidden="1" customHeight="1" x14ac:dyDescent="0.25">
      <c r="A284" s="54" t="s">
        <v>464</v>
      </c>
      <c r="B284" s="54" t="s">
        <v>465</v>
      </c>
      <c r="C284" s="31">
        <v>4301051656</v>
      </c>
      <c r="D284" s="659">
        <v>4680115880573</v>
      </c>
      <c r="E284" s="660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57"/>
      <c r="R284" s="657"/>
      <c r="S284" s="657"/>
      <c r="T284" s="658"/>
      <c r="U284" s="34"/>
      <c r="V284" s="34"/>
      <c r="W284" s="35" t="s">
        <v>66</v>
      </c>
      <c r="X284" s="641">
        <v>0</v>
      </c>
      <c r="Y284" s="642">
        <f t="shared" si="47"/>
        <v>0</v>
      </c>
      <c r="Z284" s="36" t="str">
        <f>IFERROR(IF(Y284=0,"",ROUNDUP(Y284/H284,0)*0.01898),"")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0</v>
      </c>
      <c r="BN284" s="64">
        <f t="shared" si="49"/>
        <v>0</v>
      </c>
      <c r="BO284" s="64">
        <f t="shared" si="50"/>
        <v>0</v>
      </c>
      <c r="BP284" s="64">
        <f t="shared" si="51"/>
        <v>0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59">
        <v>4680115882195</v>
      </c>
      <c r="E285" s="660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2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57"/>
      <c r="R285" s="657"/>
      <c r="S285" s="657"/>
      <c r="T285" s="658"/>
      <c r="U285" s="34"/>
      <c r="V285" s="34"/>
      <c r="W285" s="35" t="s">
        <v>66</v>
      </c>
      <c r="X285" s="641">
        <v>46</v>
      </c>
      <c r="Y285" s="642">
        <f t="shared" si="47"/>
        <v>48</v>
      </c>
      <c r="Z285" s="36">
        <f>IFERROR(IF(Y285=0,"",ROUNDUP(Y285/H285,0)*0.00651),"")</f>
        <v>0.13020000000000001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51.174999999999997</v>
      </c>
      <c r="BN285" s="64">
        <f t="shared" si="49"/>
        <v>53.4</v>
      </c>
      <c r="BO285" s="64">
        <f t="shared" si="50"/>
        <v>0.10531135531135533</v>
      </c>
      <c r="BP285" s="64">
        <f t="shared" si="51"/>
        <v>0.1098901098901099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59">
        <v>4680115882607</v>
      </c>
      <c r="E286" s="660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7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57"/>
      <c r="R286" s="657"/>
      <c r="S286" s="657"/>
      <c r="T286" s="658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59">
        <v>4680115882607</v>
      </c>
      <c r="E287" s="660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84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57"/>
      <c r="R287" s="657"/>
      <c r="S287" s="657"/>
      <c r="T287" s="658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customHeight="1" x14ac:dyDescent="0.25">
      <c r="A288" s="54" t="s">
        <v>474</v>
      </c>
      <c r="B288" s="54" t="s">
        <v>475</v>
      </c>
      <c r="C288" s="31">
        <v>4301051666</v>
      </c>
      <c r="D288" s="659">
        <v>4680115880092</v>
      </c>
      <c r="E288" s="660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57"/>
      <c r="R288" s="657"/>
      <c r="S288" s="657"/>
      <c r="T288" s="658"/>
      <c r="U288" s="34"/>
      <c r="V288" s="34"/>
      <c r="W288" s="35" t="s">
        <v>66</v>
      </c>
      <c r="X288" s="641">
        <v>80</v>
      </c>
      <c r="Y288" s="642">
        <f t="shared" si="47"/>
        <v>81.599999999999994</v>
      </c>
      <c r="Z288" s="36">
        <f>IFERROR(IF(Y288=0,"",ROUNDUP(Y288/H288,0)*0.00651),"")</f>
        <v>0.22134000000000001</v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88.40000000000002</v>
      </c>
      <c r="BN288" s="64">
        <f t="shared" si="49"/>
        <v>90.168000000000006</v>
      </c>
      <c r="BO288" s="64">
        <f t="shared" si="50"/>
        <v>0.18315018315018317</v>
      </c>
      <c r="BP288" s="64">
        <f t="shared" si="51"/>
        <v>0.18681318681318682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59">
        <v>4680115889064</v>
      </c>
      <c r="E289" s="660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57"/>
      <c r="R289" s="657"/>
      <c r="S289" s="657"/>
      <c r="T289" s="658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customHeight="1" x14ac:dyDescent="0.25">
      <c r="A290" s="54" t="s">
        <v>478</v>
      </c>
      <c r="B290" s="54" t="s">
        <v>479</v>
      </c>
      <c r="C290" s="31">
        <v>4301051668</v>
      </c>
      <c r="D290" s="659">
        <v>4680115880221</v>
      </c>
      <c r="E290" s="660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57"/>
      <c r="R290" s="657"/>
      <c r="S290" s="657"/>
      <c r="T290" s="658"/>
      <c r="U290" s="34"/>
      <c r="V290" s="34"/>
      <c r="W290" s="35" t="s">
        <v>66</v>
      </c>
      <c r="X290" s="641">
        <v>60</v>
      </c>
      <c r="Y290" s="642">
        <f t="shared" si="47"/>
        <v>60</v>
      </c>
      <c r="Z290" s="36">
        <f>IFERROR(IF(Y290=0,"",ROUNDUP(Y290/H290,0)*0.00651),"")</f>
        <v>0.16275000000000001</v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66.300000000000011</v>
      </c>
      <c r="BN290" s="64">
        <f t="shared" si="49"/>
        <v>66.300000000000011</v>
      </c>
      <c r="BO290" s="64">
        <f t="shared" si="50"/>
        <v>0.13736263736263737</v>
      </c>
      <c r="BP290" s="64">
        <f t="shared" si="51"/>
        <v>0.13736263736263737</v>
      </c>
    </row>
    <row r="291" spans="1:68" ht="27" customHeight="1" x14ac:dyDescent="0.25">
      <c r="A291" s="54" t="s">
        <v>480</v>
      </c>
      <c r="B291" s="54" t="s">
        <v>481</v>
      </c>
      <c r="C291" s="31">
        <v>4301051945</v>
      </c>
      <c r="D291" s="659">
        <v>4680115880504</v>
      </c>
      <c r="E291" s="660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57"/>
      <c r="R291" s="657"/>
      <c r="S291" s="657"/>
      <c r="T291" s="658"/>
      <c r="U291" s="34"/>
      <c r="V291" s="34"/>
      <c r="W291" s="35" t="s">
        <v>66</v>
      </c>
      <c r="X291" s="641">
        <v>81</v>
      </c>
      <c r="Y291" s="642">
        <f t="shared" si="47"/>
        <v>81.599999999999994</v>
      </c>
      <c r="Z291" s="36">
        <f>IFERROR(IF(Y291=0,"",ROUNDUP(Y291/H291,0)*0.00651),"")</f>
        <v>0.22134000000000001</v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89.50500000000001</v>
      </c>
      <c r="BN291" s="64">
        <f t="shared" si="49"/>
        <v>90.168000000000006</v>
      </c>
      <c r="BO291" s="64">
        <f t="shared" si="50"/>
        <v>0.18543956043956045</v>
      </c>
      <c r="BP291" s="64">
        <f t="shared" si="51"/>
        <v>0.18681318681318682</v>
      </c>
    </row>
    <row r="292" spans="1:68" ht="27" hidden="1" customHeight="1" x14ac:dyDescent="0.25">
      <c r="A292" s="54" t="s">
        <v>483</v>
      </c>
      <c r="B292" s="54" t="s">
        <v>484</v>
      </c>
      <c r="C292" s="31">
        <v>4301051410</v>
      </c>
      <c r="D292" s="659">
        <v>4680115882164</v>
      </c>
      <c r="E292" s="660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57"/>
      <c r="R292" s="657"/>
      <c r="S292" s="657"/>
      <c r="T292" s="658"/>
      <c r="U292" s="34"/>
      <c r="V292" s="34"/>
      <c r="W292" s="35" t="s">
        <v>66</v>
      </c>
      <c r="X292" s="641">
        <v>0</v>
      </c>
      <c r="Y292" s="642">
        <f t="shared" si="47"/>
        <v>0</v>
      </c>
      <c r="Z292" s="36" t="str">
        <f>IFERROR(IF(Y292=0,"",ROUNDUP(Y292/H292,0)*0.00651),"")</f>
        <v/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0</v>
      </c>
      <c r="BN292" s="64">
        <f t="shared" si="49"/>
        <v>0</v>
      </c>
      <c r="BO292" s="64">
        <f t="shared" si="50"/>
        <v>0</v>
      </c>
      <c r="BP292" s="64">
        <f t="shared" si="51"/>
        <v>0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59">
        <v>4680115888340</v>
      </c>
      <c r="E293" s="660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100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57"/>
      <c r="R293" s="657"/>
      <c r="S293" s="657"/>
      <c r="T293" s="658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2"/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73"/>
      <c r="P294" s="647" t="s">
        <v>71</v>
      </c>
      <c r="Q294" s="648"/>
      <c r="R294" s="648"/>
      <c r="S294" s="648"/>
      <c r="T294" s="648"/>
      <c r="U294" s="648"/>
      <c r="V294" s="649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111.25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113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0.73563000000000001</v>
      </c>
      <c r="AA294" s="644"/>
      <c r="AB294" s="644"/>
      <c r="AC294" s="644"/>
    </row>
    <row r="295" spans="1:68" x14ac:dyDescent="0.2">
      <c r="A295" s="651"/>
      <c r="B295" s="651"/>
      <c r="C295" s="651"/>
      <c r="D295" s="651"/>
      <c r="E295" s="651"/>
      <c r="F295" s="651"/>
      <c r="G295" s="651"/>
      <c r="H295" s="651"/>
      <c r="I295" s="651"/>
      <c r="J295" s="651"/>
      <c r="K295" s="651"/>
      <c r="L295" s="651"/>
      <c r="M295" s="651"/>
      <c r="N295" s="651"/>
      <c r="O295" s="673"/>
      <c r="P295" s="647" t="s">
        <v>71</v>
      </c>
      <c r="Q295" s="648"/>
      <c r="R295" s="648"/>
      <c r="S295" s="648"/>
      <c r="T295" s="648"/>
      <c r="U295" s="648"/>
      <c r="V295" s="649"/>
      <c r="W295" s="37" t="s">
        <v>66</v>
      </c>
      <c r="X295" s="643">
        <f>IFERROR(SUM(X282:X293),"0")</f>
        <v>267</v>
      </c>
      <c r="Y295" s="643">
        <f>IFERROR(SUM(Y282:Y293),"0")</f>
        <v>271.2</v>
      </c>
      <c r="Z295" s="37"/>
      <c r="AA295" s="644"/>
      <c r="AB295" s="644"/>
      <c r="AC295" s="644"/>
    </row>
    <row r="296" spans="1:68" ht="14.25" hidden="1" customHeight="1" x14ac:dyDescent="0.25">
      <c r="A296" s="650" t="s">
        <v>166</v>
      </c>
      <c r="B296" s="651"/>
      <c r="C296" s="651"/>
      <c r="D296" s="651"/>
      <c r="E296" s="651"/>
      <c r="F296" s="651"/>
      <c r="G296" s="651"/>
      <c r="H296" s="651"/>
      <c r="I296" s="651"/>
      <c r="J296" s="651"/>
      <c r="K296" s="651"/>
      <c r="L296" s="651"/>
      <c r="M296" s="651"/>
      <c r="N296" s="651"/>
      <c r="O296" s="651"/>
      <c r="P296" s="651"/>
      <c r="Q296" s="651"/>
      <c r="R296" s="651"/>
      <c r="S296" s="651"/>
      <c r="T296" s="651"/>
      <c r="U296" s="651"/>
      <c r="V296" s="651"/>
      <c r="W296" s="651"/>
      <c r="X296" s="651"/>
      <c r="Y296" s="651"/>
      <c r="Z296" s="651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59">
        <v>4680115880818</v>
      </c>
      <c r="E297" s="660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7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57"/>
      <c r="R297" s="657"/>
      <c r="S297" s="657"/>
      <c r="T297" s="658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59">
        <v>4680115880801</v>
      </c>
      <c r="E298" s="660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57"/>
      <c r="R298" s="657"/>
      <c r="S298" s="657"/>
      <c r="T298" s="658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2"/>
      <c r="B299" s="651"/>
      <c r="C299" s="651"/>
      <c r="D299" s="651"/>
      <c r="E299" s="651"/>
      <c r="F299" s="651"/>
      <c r="G299" s="651"/>
      <c r="H299" s="651"/>
      <c r="I299" s="651"/>
      <c r="J299" s="651"/>
      <c r="K299" s="651"/>
      <c r="L299" s="651"/>
      <c r="M299" s="651"/>
      <c r="N299" s="651"/>
      <c r="O299" s="673"/>
      <c r="P299" s="647" t="s">
        <v>71</v>
      </c>
      <c r="Q299" s="648"/>
      <c r="R299" s="648"/>
      <c r="S299" s="648"/>
      <c r="T299" s="648"/>
      <c r="U299" s="648"/>
      <c r="V299" s="649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51"/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73"/>
      <c r="P300" s="647" t="s">
        <v>71</v>
      </c>
      <c r="Q300" s="648"/>
      <c r="R300" s="648"/>
      <c r="S300" s="648"/>
      <c r="T300" s="648"/>
      <c r="U300" s="648"/>
      <c r="V300" s="649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55" t="s">
        <v>495</v>
      </c>
      <c r="B301" s="651"/>
      <c r="C301" s="651"/>
      <c r="D301" s="651"/>
      <c r="E301" s="651"/>
      <c r="F301" s="651"/>
      <c r="G301" s="651"/>
      <c r="H301" s="651"/>
      <c r="I301" s="651"/>
      <c r="J301" s="651"/>
      <c r="K301" s="651"/>
      <c r="L301" s="651"/>
      <c r="M301" s="651"/>
      <c r="N301" s="651"/>
      <c r="O301" s="651"/>
      <c r="P301" s="651"/>
      <c r="Q301" s="651"/>
      <c r="R301" s="651"/>
      <c r="S301" s="651"/>
      <c r="T301" s="651"/>
      <c r="U301" s="651"/>
      <c r="V301" s="651"/>
      <c r="W301" s="651"/>
      <c r="X301" s="651"/>
      <c r="Y301" s="651"/>
      <c r="Z301" s="651"/>
      <c r="AA301" s="636"/>
      <c r="AB301" s="636"/>
      <c r="AC301" s="636"/>
    </row>
    <row r="302" spans="1:68" ht="14.25" hidden="1" customHeight="1" x14ac:dyDescent="0.25">
      <c r="A302" s="650" t="s">
        <v>110</v>
      </c>
      <c r="B302" s="651"/>
      <c r="C302" s="651"/>
      <c r="D302" s="651"/>
      <c r="E302" s="651"/>
      <c r="F302" s="651"/>
      <c r="G302" s="651"/>
      <c r="H302" s="651"/>
      <c r="I302" s="651"/>
      <c r="J302" s="651"/>
      <c r="K302" s="651"/>
      <c r="L302" s="651"/>
      <c r="M302" s="651"/>
      <c r="N302" s="651"/>
      <c r="O302" s="651"/>
      <c r="P302" s="651"/>
      <c r="Q302" s="651"/>
      <c r="R302" s="651"/>
      <c r="S302" s="651"/>
      <c r="T302" s="651"/>
      <c r="U302" s="651"/>
      <c r="V302" s="651"/>
      <c r="W302" s="651"/>
      <c r="X302" s="651"/>
      <c r="Y302" s="651"/>
      <c r="Z302" s="651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59">
        <v>4680115884137</v>
      </c>
      <c r="E303" s="660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7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57"/>
      <c r="R303" s="657"/>
      <c r="S303" s="657"/>
      <c r="T303" s="658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59">
        <v>4680115884236</v>
      </c>
      <c r="E304" s="660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4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57"/>
      <c r="R304" s="657"/>
      <c r="S304" s="657"/>
      <c r="T304" s="658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59">
        <v>4680115884175</v>
      </c>
      <c r="E305" s="660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79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57"/>
      <c r="R305" s="657"/>
      <c r="S305" s="657"/>
      <c r="T305" s="658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59">
        <v>4680115884144</v>
      </c>
      <c r="E306" s="660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57"/>
      <c r="R306" s="657"/>
      <c r="S306" s="657"/>
      <c r="T306" s="658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59">
        <v>4680115886551</v>
      </c>
      <c r="E307" s="660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57"/>
      <c r="R307" s="657"/>
      <c r="S307" s="657"/>
      <c r="T307" s="658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59">
        <v>4680115887282</v>
      </c>
      <c r="E308" s="660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57"/>
      <c r="R308" s="657"/>
      <c r="S308" s="657"/>
      <c r="T308" s="658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hidden="1" customHeight="1" x14ac:dyDescent="0.25">
      <c r="A309" s="54" t="s">
        <v>512</v>
      </c>
      <c r="B309" s="54" t="s">
        <v>513</v>
      </c>
      <c r="C309" s="31">
        <v>4301011722</v>
      </c>
      <c r="D309" s="659">
        <v>4680115884205</v>
      </c>
      <c r="E309" s="660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92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57"/>
      <c r="R309" s="657"/>
      <c r="S309" s="657"/>
      <c r="T309" s="658"/>
      <c r="U309" s="34"/>
      <c r="V309" s="34"/>
      <c r="W309" s="35" t="s">
        <v>66</v>
      </c>
      <c r="X309" s="641">
        <v>0</v>
      </c>
      <c r="Y309" s="642">
        <f t="shared" si="52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0</v>
      </c>
      <c r="BN309" s="64">
        <f t="shared" si="54"/>
        <v>0</v>
      </c>
      <c r="BO309" s="64">
        <f t="shared" si="55"/>
        <v>0</v>
      </c>
      <c r="BP309" s="64">
        <f t="shared" si="56"/>
        <v>0</v>
      </c>
    </row>
    <row r="310" spans="1:68" hidden="1" x14ac:dyDescent="0.2">
      <c r="A310" s="672"/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73"/>
      <c r="P310" s="647" t="s">
        <v>71</v>
      </c>
      <c r="Q310" s="648"/>
      <c r="R310" s="648"/>
      <c r="S310" s="648"/>
      <c r="T310" s="648"/>
      <c r="U310" s="648"/>
      <c r="V310" s="649"/>
      <c r="W310" s="37" t="s">
        <v>72</v>
      </c>
      <c r="X310" s="643">
        <f>IFERROR(X303/H303,"0")+IFERROR(X304/H304,"0")+IFERROR(X305/H305,"0")+IFERROR(X306/H306,"0")+IFERROR(X307/H307,"0")+IFERROR(X308/H308,"0")+IFERROR(X309/H309,"0")</f>
        <v>0</v>
      </c>
      <c r="Y310" s="643">
        <f>IFERROR(Y303/H303,"0")+IFERROR(Y304/H304,"0")+IFERROR(Y305/H305,"0")+IFERROR(Y306/H306,"0")+IFERROR(Y307/H307,"0")+IFERROR(Y308/H308,"0")+IFERROR(Y309/H309,"0")</f>
        <v>0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4"/>
      <c r="AB310" s="644"/>
      <c r="AC310" s="644"/>
    </row>
    <row r="311" spans="1:68" hidden="1" x14ac:dyDescent="0.2">
      <c r="A311" s="651"/>
      <c r="B311" s="651"/>
      <c r="C311" s="651"/>
      <c r="D311" s="651"/>
      <c r="E311" s="651"/>
      <c r="F311" s="651"/>
      <c r="G311" s="651"/>
      <c r="H311" s="651"/>
      <c r="I311" s="651"/>
      <c r="J311" s="651"/>
      <c r="K311" s="651"/>
      <c r="L311" s="651"/>
      <c r="M311" s="651"/>
      <c r="N311" s="651"/>
      <c r="O311" s="673"/>
      <c r="P311" s="647" t="s">
        <v>71</v>
      </c>
      <c r="Q311" s="648"/>
      <c r="R311" s="648"/>
      <c r="S311" s="648"/>
      <c r="T311" s="648"/>
      <c r="U311" s="648"/>
      <c r="V311" s="649"/>
      <c r="W311" s="37" t="s">
        <v>66</v>
      </c>
      <c r="X311" s="643">
        <f>IFERROR(SUM(X303:X309),"0")</f>
        <v>0</v>
      </c>
      <c r="Y311" s="643">
        <f>IFERROR(SUM(Y303:Y309),"0")</f>
        <v>0</v>
      </c>
      <c r="Z311" s="37"/>
      <c r="AA311" s="644"/>
      <c r="AB311" s="644"/>
      <c r="AC311" s="644"/>
    </row>
    <row r="312" spans="1:68" ht="14.25" hidden="1" customHeight="1" x14ac:dyDescent="0.25">
      <c r="A312" s="650" t="s">
        <v>147</v>
      </c>
      <c r="B312" s="651"/>
      <c r="C312" s="651"/>
      <c r="D312" s="651"/>
      <c r="E312" s="651"/>
      <c r="F312" s="651"/>
      <c r="G312" s="651"/>
      <c r="H312" s="651"/>
      <c r="I312" s="651"/>
      <c r="J312" s="651"/>
      <c r="K312" s="651"/>
      <c r="L312" s="651"/>
      <c r="M312" s="651"/>
      <c r="N312" s="651"/>
      <c r="O312" s="651"/>
      <c r="P312" s="651"/>
      <c r="Q312" s="651"/>
      <c r="R312" s="651"/>
      <c r="S312" s="651"/>
      <c r="T312" s="651"/>
      <c r="U312" s="651"/>
      <c r="V312" s="651"/>
      <c r="W312" s="651"/>
      <c r="X312" s="651"/>
      <c r="Y312" s="651"/>
      <c r="Z312" s="651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59">
        <v>4680115885981</v>
      </c>
      <c r="E313" s="660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57"/>
      <c r="R313" s="657"/>
      <c r="S313" s="657"/>
      <c r="T313" s="658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2"/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73"/>
      <c r="P314" s="647" t="s">
        <v>71</v>
      </c>
      <c r="Q314" s="648"/>
      <c r="R314" s="648"/>
      <c r="S314" s="648"/>
      <c r="T314" s="648"/>
      <c r="U314" s="648"/>
      <c r="V314" s="649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51"/>
      <c r="B315" s="651"/>
      <c r="C315" s="651"/>
      <c r="D315" s="651"/>
      <c r="E315" s="651"/>
      <c r="F315" s="651"/>
      <c r="G315" s="651"/>
      <c r="H315" s="651"/>
      <c r="I315" s="651"/>
      <c r="J315" s="651"/>
      <c r="K315" s="651"/>
      <c r="L315" s="651"/>
      <c r="M315" s="651"/>
      <c r="N315" s="651"/>
      <c r="O315" s="673"/>
      <c r="P315" s="647" t="s">
        <v>71</v>
      </c>
      <c r="Q315" s="648"/>
      <c r="R315" s="648"/>
      <c r="S315" s="648"/>
      <c r="T315" s="648"/>
      <c r="U315" s="648"/>
      <c r="V315" s="649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50" t="s">
        <v>517</v>
      </c>
      <c r="B316" s="651"/>
      <c r="C316" s="651"/>
      <c r="D316" s="651"/>
      <c r="E316" s="651"/>
      <c r="F316" s="651"/>
      <c r="G316" s="651"/>
      <c r="H316" s="651"/>
      <c r="I316" s="651"/>
      <c r="J316" s="651"/>
      <c r="K316" s="651"/>
      <c r="L316" s="651"/>
      <c r="M316" s="651"/>
      <c r="N316" s="651"/>
      <c r="O316" s="651"/>
      <c r="P316" s="651"/>
      <c r="Q316" s="651"/>
      <c r="R316" s="651"/>
      <c r="S316" s="651"/>
      <c r="T316" s="651"/>
      <c r="U316" s="651"/>
      <c r="V316" s="651"/>
      <c r="W316" s="651"/>
      <c r="X316" s="651"/>
      <c r="Y316" s="651"/>
      <c r="Z316" s="651"/>
      <c r="AA316" s="637"/>
      <c r="AB316" s="637"/>
      <c r="AC316" s="637"/>
    </row>
    <row r="317" spans="1:68" ht="27" customHeight="1" x14ac:dyDescent="0.25">
      <c r="A317" s="54" t="s">
        <v>518</v>
      </c>
      <c r="B317" s="54" t="s">
        <v>519</v>
      </c>
      <c r="C317" s="31">
        <v>4301040362</v>
      </c>
      <c r="D317" s="659">
        <v>4680115886803</v>
      </c>
      <c r="E317" s="660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6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57"/>
      <c r="R317" s="657"/>
      <c r="S317" s="657"/>
      <c r="T317" s="658"/>
      <c r="U317" s="34"/>
      <c r="V317" s="34"/>
      <c r="W317" s="35" t="s">
        <v>66</v>
      </c>
      <c r="X317" s="641">
        <v>1</v>
      </c>
      <c r="Y317" s="642">
        <f>IFERROR(IF(X317="",0,CEILING((X317/$H317),1)*$H317),"")</f>
        <v>1.8</v>
      </c>
      <c r="Z317" s="36">
        <f>IFERROR(IF(Y317=0,"",ROUNDUP(Y317/H317,0)*0.0059),"")</f>
        <v>5.8999999999999999E-3</v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1.0972222222222223</v>
      </c>
      <c r="BN317" s="64">
        <f>IFERROR(Y317*I317/H317,"0")</f>
        <v>1.9750000000000001</v>
      </c>
      <c r="BO317" s="64">
        <f>IFERROR(1/J317*(X317/H317),"0")</f>
        <v>2.5720164609053498E-3</v>
      </c>
      <c r="BP317" s="64">
        <f>IFERROR(1/J317*(Y317/H317),"0")</f>
        <v>4.6296296296296294E-3</v>
      </c>
    </row>
    <row r="318" spans="1:68" x14ac:dyDescent="0.2">
      <c r="A318" s="672"/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73"/>
      <c r="P318" s="647" t="s">
        <v>71</v>
      </c>
      <c r="Q318" s="648"/>
      <c r="R318" s="648"/>
      <c r="S318" s="648"/>
      <c r="T318" s="648"/>
      <c r="U318" s="648"/>
      <c r="V318" s="649"/>
      <c r="W318" s="37" t="s">
        <v>72</v>
      </c>
      <c r="X318" s="643">
        <f>IFERROR(X317/H317,"0")</f>
        <v>0.55555555555555558</v>
      </c>
      <c r="Y318" s="643">
        <f>IFERROR(Y317/H317,"0")</f>
        <v>1</v>
      </c>
      <c r="Z318" s="643">
        <f>IFERROR(IF(Z317="",0,Z317),"0")</f>
        <v>5.8999999999999999E-3</v>
      </c>
      <c r="AA318" s="644"/>
      <c r="AB318" s="644"/>
      <c r="AC318" s="644"/>
    </row>
    <row r="319" spans="1:68" x14ac:dyDescent="0.2">
      <c r="A319" s="651"/>
      <c r="B319" s="651"/>
      <c r="C319" s="651"/>
      <c r="D319" s="651"/>
      <c r="E319" s="651"/>
      <c r="F319" s="651"/>
      <c r="G319" s="651"/>
      <c r="H319" s="651"/>
      <c r="I319" s="651"/>
      <c r="J319" s="651"/>
      <c r="K319" s="651"/>
      <c r="L319" s="651"/>
      <c r="M319" s="651"/>
      <c r="N319" s="651"/>
      <c r="O319" s="673"/>
      <c r="P319" s="647" t="s">
        <v>71</v>
      </c>
      <c r="Q319" s="648"/>
      <c r="R319" s="648"/>
      <c r="S319" s="648"/>
      <c r="T319" s="648"/>
      <c r="U319" s="648"/>
      <c r="V319" s="649"/>
      <c r="W319" s="37" t="s">
        <v>66</v>
      </c>
      <c r="X319" s="643">
        <f>IFERROR(SUM(X317:X317),"0")</f>
        <v>1</v>
      </c>
      <c r="Y319" s="643">
        <f>IFERROR(SUM(Y317:Y317),"0")</f>
        <v>1.8</v>
      </c>
      <c r="Z319" s="37"/>
      <c r="AA319" s="644"/>
      <c r="AB319" s="644"/>
      <c r="AC319" s="644"/>
    </row>
    <row r="320" spans="1:68" ht="14.25" hidden="1" customHeight="1" x14ac:dyDescent="0.25">
      <c r="A320" s="650" t="s">
        <v>330</v>
      </c>
      <c r="B320" s="651"/>
      <c r="C320" s="651"/>
      <c r="D320" s="651"/>
      <c r="E320" s="651"/>
      <c r="F320" s="651"/>
      <c r="G320" s="651"/>
      <c r="H320" s="651"/>
      <c r="I320" s="651"/>
      <c r="J320" s="651"/>
      <c r="K320" s="651"/>
      <c r="L320" s="651"/>
      <c r="M320" s="651"/>
      <c r="N320" s="651"/>
      <c r="O320" s="651"/>
      <c r="P320" s="651"/>
      <c r="Q320" s="651"/>
      <c r="R320" s="651"/>
      <c r="S320" s="651"/>
      <c r="T320" s="651"/>
      <c r="U320" s="651"/>
      <c r="V320" s="651"/>
      <c r="W320" s="651"/>
      <c r="X320" s="651"/>
      <c r="Y320" s="651"/>
      <c r="Z320" s="651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59">
        <v>4680115886681</v>
      </c>
      <c r="E321" s="660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3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57"/>
      <c r="R321" s="657"/>
      <c r="S321" s="657"/>
      <c r="T321" s="658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2"/>
      <c r="B322" s="651"/>
      <c r="C322" s="651"/>
      <c r="D322" s="651"/>
      <c r="E322" s="651"/>
      <c r="F322" s="651"/>
      <c r="G322" s="651"/>
      <c r="H322" s="651"/>
      <c r="I322" s="651"/>
      <c r="J322" s="651"/>
      <c r="K322" s="651"/>
      <c r="L322" s="651"/>
      <c r="M322" s="651"/>
      <c r="N322" s="651"/>
      <c r="O322" s="673"/>
      <c r="P322" s="647" t="s">
        <v>71</v>
      </c>
      <c r="Q322" s="648"/>
      <c r="R322" s="648"/>
      <c r="S322" s="648"/>
      <c r="T322" s="648"/>
      <c r="U322" s="648"/>
      <c r="V322" s="649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51"/>
      <c r="B323" s="651"/>
      <c r="C323" s="651"/>
      <c r="D323" s="651"/>
      <c r="E323" s="651"/>
      <c r="F323" s="651"/>
      <c r="G323" s="651"/>
      <c r="H323" s="651"/>
      <c r="I323" s="651"/>
      <c r="J323" s="651"/>
      <c r="K323" s="651"/>
      <c r="L323" s="651"/>
      <c r="M323" s="651"/>
      <c r="N323" s="651"/>
      <c r="O323" s="673"/>
      <c r="P323" s="647" t="s">
        <v>71</v>
      </c>
      <c r="Q323" s="648"/>
      <c r="R323" s="648"/>
      <c r="S323" s="648"/>
      <c r="T323" s="648"/>
      <c r="U323" s="648"/>
      <c r="V323" s="649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55" t="s">
        <v>524</v>
      </c>
      <c r="B324" s="651"/>
      <c r="C324" s="651"/>
      <c r="D324" s="651"/>
      <c r="E324" s="651"/>
      <c r="F324" s="651"/>
      <c r="G324" s="651"/>
      <c r="H324" s="651"/>
      <c r="I324" s="651"/>
      <c r="J324" s="651"/>
      <c r="K324" s="651"/>
      <c r="L324" s="651"/>
      <c r="M324" s="651"/>
      <c r="N324" s="651"/>
      <c r="O324" s="651"/>
      <c r="P324" s="651"/>
      <c r="Q324" s="651"/>
      <c r="R324" s="651"/>
      <c r="S324" s="651"/>
      <c r="T324" s="651"/>
      <c r="U324" s="651"/>
      <c r="V324" s="651"/>
      <c r="W324" s="651"/>
      <c r="X324" s="651"/>
      <c r="Y324" s="651"/>
      <c r="Z324" s="651"/>
      <c r="AA324" s="636"/>
      <c r="AB324" s="636"/>
      <c r="AC324" s="636"/>
    </row>
    <row r="325" spans="1:68" ht="14.25" hidden="1" customHeight="1" x14ac:dyDescent="0.25">
      <c r="A325" s="650" t="s">
        <v>110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59">
        <v>4680115885837</v>
      </c>
      <c r="E326" s="660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7"/>
      <c r="R326" s="657"/>
      <c r="S326" s="657"/>
      <c r="T326" s="658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59">
        <v>4680115889637</v>
      </c>
      <c r="E327" s="660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68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7"/>
      <c r="R327" s="657"/>
      <c r="S327" s="657"/>
      <c r="T327" s="658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59">
        <v>4680115887237</v>
      </c>
      <c r="E328" s="660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6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57"/>
      <c r="R328" s="657"/>
      <c r="S328" s="657"/>
      <c r="T328" s="658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59">
        <v>4680115885806</v>
      </c>
      <c r="E329" s="660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0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57"/>
      <c r="R329" s="657"/>
      <c r="S329" s="657"/>
      <c r="T329" s="658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59">
        <v>4680115885844</v>
      </c>
      <c r="E330" s="660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57"/>
      <c r="R330" s="657"/>
      <c r="S330" s="657"/>
      <c r="T330" s="658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59">
        <v>4680115885820</v>
      </c>
      <c r="E331" s="660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1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57"/>
      <c r="R331" s="657"/>
      <c r="S331" s="657"/>
      <c r="T331" s="658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2"/>
      <c r="B332" s="651"/>
      <c r="C332" s="651"/>
      <c r="D332" s="651"/>
      <c r="E332" s="651"/>
      <c r="F332" s="651"/>
      <c r="G332" s="651"/>
      <c r="H332" s="651"/>
      <c r="I332" s="651"/>
      <c r="J332" s="651"/>
      <c r="K332" s="651"/>
      <c r="L332" s="651"/>
      <c r="M332" s="651"/>
      <c r="N332" s="651"/>
      <c r="O332" s="673"/>
      <c r="P332" s="647" t="s">
        <v>71</v>
      </c>
      <c r="Q332" s="648"/>
      <c r="R332" s="648"/>
      <c r="S332" s="648"/>
      <c r="T332" s="648"/>
      <c r="U332" s="648"/>
      <c r="V332" s="649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51"/>
      <c r="B333" s="651"/>
      <c r="C333" s="651"/>
      <c r="D333" s="651"/>
      <c r="E333" s="651"/>
      <c r="F333" s="651"/>
      <c r="G333" s="651"/>
      <c r="H333" s="651"/>
      <c r="I333" s="651"/>
      <c r="J333" s="651"/>
      <c r="K333" s="651"/>
      <c r="L333" s="651"/>
      <c r="M333" s="651"/>
      <c r="N333" s="651"/>
      <c r="O333" s="673"/>
      <c r="P333" s="647" t="s">
        <v>71</v>
      </c>
      <c r="Q333" s="648"/>
      <c r="R333" s="648"/>
      <c r="S333" s="648"/>
      <c r="T333" s="648"/>
      <c r="U333" s="648"/>
      <c r="V333" s="649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55" t="s">
        <v>543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6"/>
      <c r="AB334" s="636"/>
      <c r="AC334" s="636"/>
    </row>
    <row r="335" spans="1:68" ht="14.25" hidden="1" customHeight="1" x14ac:dyDescent="0.25">
      <c r="A335" s="650" t="s">
        <v>73</v>
      </c>
      <c r="B335" s="651"/>
      <c r="C335" s="651"/>
      <c r="D335" s="651"/>
      <c r="E335" s="651"/>
      <c r="F335" s="651"/>
      <c r="G335" s="651"/>
      <c r="H335" s="651"/>
      <c r="I335" s="651"/>
      <c r="J335" s="651"/>
      <c r="K335" s="651"/>
      <c r="L335" s="651"/>
      <c r="M335" s="651"/>
      <c r="N335" s="651"/>
      <c r="O335" s="651"/>
      <c r="P335" s="651"/>
      <c r="Q335" s="651"/>
      <c r="R335" s="651"/>
      <c r="S335" s="651"/>
      <c r="T335" s="651"/>
      <c r="U335" s="651"/>
      <c r="V335" s="651"/>
      <c r="W335" s="651"/>
      <c r="X335" s="651"/>
      <c r="Y335" s="651"/>
      <c r="Z335" s="651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59">
        <v>4680115886186</v>
      </c>
      <c r="E336" s="660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3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57"/>
      <c r="R336" s="657"/>
      <c r="S336" s="657"/>
      <c r="T336" s="658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59">
        <v>4680115881228</v>
      </c>
      <c r="E337" s="660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84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57"/>
      <c r="R337" s="657"/>
      <c r="S337" s="657"/>
      <c r="T337" s="658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4301051388</v>
      </c>
      <c r="D338" s="659">
        <v>4680115881211</v>
      </c>
      <c r="E338" s="660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9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57"/>
      <c r="R338" s="657"/>
      <c r="S338" s="657"/>
      <c r="T338" s="658"/>
      <c r="U338" s="34"/>
      <c r="V338" s="34"/>
      <c r="W338" s="35" t="s">
        <v>66</v>
      </c>
      <c r="X338" s="641">
        <v>0</v>
      </c>
      <c r="Y338" s="642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672"/>
      <c r="B339" s="651"/>
      <c r="C339" s="651"/>
      <c r="D339" s="651"/>
      <c r="E339" s="651"/>
      <c r="F339" s="651"/>
      <c r="G339" s="651"/>
      <c r="H339" s="651"/>
      <c r="I339" s="651"/>
      <c r="J339" s="651"/>
      <c r="K339" s="651"/>
      <c r="L339" s="651"/>
      <c r="M339" s="651"/>
      <c r="N339" s="651"/>
      <c r="O339" s="673"/>
      <c r="P339" s="647" t="s">
        <v>71</v>
      </c>
      <c r="Q339" s="648"/>
      <c r="R339" s="648"/>
      <c r="S339" s="648"/>
      <c r="T339" s="648"/>
      <c r="U339" s="648"/>
      <c r="V339" s="649"/>
      <c r="W339" s="37" t="s">
        <v>72</v>
      </c>
      <c r="X339" s="643">
        <f>IFERROR(X336/H336,"0")+IFERROR(X337/H337,"0")+IFERROR(X338/H338,"0")</f>
        <v>0</v>
      </c>
      <c r="Y339" s="643">
        <f>IFERROR(Y336/H336,"0")+IFERROR(Y337/H337,"0")+IFERROR(Y338/H338,"0")</f>
        <v>0</v>
      </c>
      <c r="Z339" s="643">
        <f>IFERROR(IF(Z336="",0,Z336),"0")+IFERROR(IF(Z337="",0,Z337),"0")+IFERROR(IF(Z338="",0,Z338),"0")</f>
        <v>0</v>
      </c>
      <c r="AA339" s="644"/>
      <c r="AB339" s="644"/>
      <c r="AC339" s="644"/>
    </row>
    <row r="340" spans="1:68" hidden="1" x14ac:dyDescent="0.2">
      <c r="A340" s="651"/>
      <c r="B340" s="651"/>
      <c r="C340" s="651"/>
      <c r="D340" s="651"/>
      <c r="E340" s="651"/>
      <c r="F340" s="651"/>
      <c r="G340" s="651"/>
      <c r="H340" s="651"/>
      <c r="I340" s="651"/>
      <c r="J340" s="651"/>
      <c r="K340" s="651"/>
      <c r="L340" s="651"/>
      <c r="M340" s="651"/>
      <c r="N340" s="651"/>
      <c r="O340" s="673"/>
      <c r="P340" s="647" t="s">
        <v>71</v>
      </c>
      <c r="Q340" s="648"/>
      <c r="R340" s="648"/>
      <c r="S340" s="648"/>
      <c r="T340" s="648"/>
      <c r="U340" s="648"/>
      <c r="V340" s="649"/>
      <c r="W340" s="37" t="s">
        <v>66</v>
      </c>
      <c r="X340" s="643">
        <f>IFERROR(SUM(X336:X338),"0")</f>
        <v>0</v>
      </c>
      <c r="Y340" s="643">
        <f>IFERROR(SUM(Y336:Y338),"0")</f>
        <v>0</v>
      </c>
      <c r="Z340" s="37"/>
      <c r="AA340" s="644"/>
      <c r="AB340" s="644"/>
      <c r="AC340" s="644"/>
    </row>
    <row r="341" spans="1:68" ht="16.5" hidden="1" customHeight="1" x14ac:dyDescent="0.25">
      <c r="A341" s="655" t="s">
        <v>552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6"/>
      <c r="AB341" s="636"/>
      <c r="AC341" s="636"/>
    </row>
    <row r="342" spans="1:68" ht="14.25" hidden="1" customHeight="1" x14ac:dyDescent="0.25">
      <c r="A342" s="650" t="s">
        <v>61</v>
      </c>
      <c r="B342" s="651"/>
      <c r="C342" s="651"/>
      <c r="D342" s="651"/>
      <c r="E342" s="651"/>
      <c r="F342" s="651"/>
      <c r="G342" s="651"/>
      <c r="H342" s="651"/>
      <c r="I342" s="651"/>
      <c r="J342" s="651"/>
      <c r="K342" s="651"/>
      <c r="L342" s="651"/>
      <c r="M342" s="651"/>
      <c r="N342" s="651"/>
      <c r="O342" s="651"/>
      <c r="P342" s="651"/>
      <c r="Q342" s="651"/>
      <c r="R342" s="651"/>
      <c r="S342" s="651"/>
      <c r="T342" s="651"/>
      <c r="U342" s="651"/>
      <c r="V342" s="651"/>
      <c r="W342" s="651"/>
      <c r="X342" s="651"/>
      <c r="Y342" s="651"/>
      <c r="Z342" s="651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59">
        <v>4680115888319</v>
      </c>
      <c r="E343" s="660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57"/>
      <c r="R343" s="657"/>
      <c r="S343" s="657"/>
      <c r="T343" s="658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59">
        <v>4680115884700</v>
      </c>
      <c r="E344" s="660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100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57"/>
      <c r="R344" s="657"/>
      <c r="S344" s="657"/>
      <c r="T344" s="658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59">
        <v>4680115880344</v>
      </c>
      <c r="E345" s="660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57"/>
      <c r="R345" s="657"/>
      <c r="S345" s="657"/>
      <c r="T345" s="658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59">
        <v>4680115886919</v>
      </c>
      <c r="E346" s="660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3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57"/>
      <c r="R346" s="657"/>
      <c r="S346" s="657"/>
      <c r="T346" s="658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2"/>
      <c r="B347" s="651"/>
      <c r="C347" s="651"/>
      <c r="D347" s="651"/>
      <c r="E347" s="651"/>
      <c r="F347" s="651"/>
      <c r="G347" s="651"/>
      <c r="H347" s="651"/>
      <c r="I347" s="651"/>
      <c r="J347" s="651"/>
      <c r="K347" s="651"/>
      <c r="L347" s="651"/>
      <c r="M347" s="651"/>
      <c r="N347" s="651"/>
      <c r="O347" s="673"/>
      <c r="P347" s="647" t="s">
        <v>71</v>
      </c>
      <c r="Q347" s="648"/>
      <c r="R347" s="648"/>
      <c r="S347" s="648"/>
      <c r="T347" s="648"/>
      <c r="U347" s="648"/>
      <c r="V347" s="649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1"/>
      <c r="B348" s="651"/>
      <c r="C348" s="651"/>
      <c r="D348" s="651"/>
      <c r="E348" s="651"/>
      <c r="F348" s="651"/>
      <c r="G348" s="651"/>
      <c r="H348" s="651"/>
      <c r="I348" s="651"/>
      <c r="J348" s="651"/>
      <c r="K348" s="651"/>
      <c r="L348" s="651"/>
      <c r="M348" s="651"/>
      <c r="N348" s="651"/>
      <c r="O348" s="673"/>
      <c r="P348" s="647" t="s">
        <v>71</v>
      </c>
      <c r="Q348" s="648"/>
      <c r="R348" s="648"/>
      <c r="S348" s="648"/>
      <c r="T348" s="648"/>
      <c r="U348" s="648"/>
      <c r="V348" s="649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50" t="s">
        <v>73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59">
        <v>4680115884618</v>
      </c>
      <c r="E350" s="660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7"/>
      <c r="R350" s="657"/>
      <c r="S350" s="657"/>
      <c r="T350" s="658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59">
        <v>4680115887114</v>
      </c>
      <c r="E351" s="660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7"/>
      <c r="R351" s="657"/>
      <c r="S351" s="657"/>
      <c r="T351" s="658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2"/>
      <c r="B352" s="651"/>
      <c r="C352" s="651"/>
      <c r="D352" s="651"/>
      <c r="E352" s="651"/>
      <c r="F352" s="651"/>
      <c r="G352" s="651"/>
      <c r="H352" s="651"/>
      <c r="I352" s="651"/>
      <c r="J352" s="651"/>
      <c r="K352" s="651"/>
      <c r="L352" s="651"/>
      <c r="M352" s="651"/>
      <c r="N352" s="651"/>
      <c r="O352" s="673"/>
      <c r="P352" s="647" t="s">
        <v>71</v>
      </c>
      <c r="Q352" s="648"/>
      <c r="R352" s="648"/>
      <c r="S352" s="648"/>
      <c r="T352" s="648"/>
      <c r="U352" s="648"/>
      <c r="V352" s="649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1"/>
      <c r="B353" s="651"/>
      <c r="C353" s="651"/>
      <c r="D353" s="651"/>
      <c r="E353" s="651"/>
      <c r="F353" s="651"/>
      <c r="G353" s="651"/>
      <c r="H353" s="651"/>
      <c r="I353" s="651"/>
      <c r="J353" s="651"/>
      <c r="K353" s="651"/>
      <c r="L353" s="651"/>
      <c r="M353" s="651"/>
      <c r="N353" s="651"/>
      <c r="O353" s="673"/>
      <c r="P353" s="647" t="s">
        <v>71</v>
      </c>
      <c r="Q353" s="648"/>
      <c r="R353" s="648"/>
      <c r="S353" s="648"/>
      <c r="T353" s="648"/>
      <c r="U353" s="648"/>
      <c r="V353" s="649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55" t="s">
        <v>571</v>
      </c>
      <c r="B354" s="651"/>
      <c r="C354" s="651"/>
      <c r="D354" s="651"/>
      <c r="E354" s="651"/>
      <c r="F354" s="651"/>
      <c r="G354" s="651"/>
      <c r="H354" s="651"/>
      <c r="I354" s="651"/>
      <c r="J354" s="651"/>
      <c r="K354" s="651"/>
      <c r="L354" s="651"/>
      <c r="M354" s="651"/>
      <c r="N354" s="651"/>
      <c r="O354" s="651"/>
      <c r="P354" s="651"/>
      <c r="Q354" s="651"/>
      <c r="R354" s="651"/>
      <c r="S354" s="651"/>
      <c r="T354" s="651"/>
      <c r="U354" s="651"/>
      <c r="V354" s="651"/>
      <c r="W354" s="651"/>
      <c r="X354" s="651"/>
      <c r="Y354" s="651"/>
      <c r="Z354" s="651"/>
      <c r="AA354" s="636"/>
      <c r="AB354" s="636"/>
      <c r="AC354" s="636"/>
    </row>
    <row r="355" spans="1:68" ht="14.25" hidden="1" customHeight="1" x14ac:dyDescent="0.25">
      <c r="A355" s="650" t="s">
        <v>110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7"/>
      <c r="AB355" s="637"/>
      <c r="AC355" s="637"/>
    </row>
    <row r="356" spans="1:68" ht="27" hidden="1" customHeight="1" x14ac:dyDescent="0.25">
      <c r="A356" s="54" t="s">
        <v>572</v>
      </c>
      <c r="B356" s="54" t="s">
        <v>573</v>
      </c>
      <c r="C356" s="31">
        <v>4301012324</v>
      </c>
      <c r="D356" s="659">
        <v>4680115887947</v>
      </c>
      <c r="E356" s="660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7"/>
      <c r="R356" s="657"/>
      <c r="S356" s="657"/>
      <c r="T356" s="658"/>
      <c r="U356" s="34"/>
      <c r="V356" s="34"/>
      <c r="W356" s="35" t="s">
        <v>66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574</v>
      </c>
      <c r="B357" s="54" t="s">
        <v>575</v>
      </c>
      <c r="C357" s="31">
        <v>4301012325</v>
      </c>
      <c r="D357" s="659">
        <v>4680115887978</v>
      </c>
      <c r="E357" s="660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7"/>
      <c r="R357" s="657"/>
      <c r="S357" s="657"/>
      <c r="T357" s="658"/>
      <c r="U357" s="34"/>
      <c r="V357" s="34"/>
      <c r="W357" s="35" t="s">
        <v>66</v>
      </c>
      <c r="X357" s="641">
        <v>0</v>
      </c>
      <c r="Y357" s="6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59">
        <v>4680115887992</v>
      </c>
      <c r="E358" s="660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7"/>
      <c r="R358" s="657"/>
      <c r="S358" s="657"/>
      <c r="T358" s="658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2"/>
      <c r="B359" s="651"/>
      <c r="C359" s="651"/>
      <c r="D359" s="651"/>
      <c r="E359" s="651"/>
      <c r="F359" s="651"/>
      <c r="G359" s="651"/>
      <c r="H359" s="651"/>
      <c r="I359" s="651"/>
      <c r="J359" s="651"/>
      <c r="K359" s="651"/>
      <c r="L359" s="651"/>
      <c r="M359" s="651"/>
      <c r="N359" s="651"/>
      <c r="O359" s="673"/>
      <c r="P359" s="647" t="s">
        <v>71</v>
      </c>
      <c r="Q359" s="648"/>
      <c r="R359" s="648"/>
      <c r="S359" s="648"/>
      <c r="T359" s="648"/>
      <c r="U359" s="648"/>
      <c r="V359" s="649"/>
      <c r="W359" s="37" t="s">
        <v>72</v>
      </c>
      <c r="X359" s="643">
        <f>IFERROR(X356/H356,"0")+IFERROR(X357/H357,"0")+IFERROR(X358/H358,"0")</f>
        <v>0</v>
      </c>
      <c r="Y359" s="643">
        <f>IFERROR(Y356/H356,"0")+IFERROR(Y357/H357,"0")+IFERROR(Y358/H358,"0")</f>
        <v>0</v>
      </c>
      <c r="Z359" s="643">
        <f>IFERROR(IF(Z356="",0,Z356),"0")+IFERROR(IF(Z357="",0,Z357),"0")+IFERROR(IF(Z358="",0,Z358),"0")</f>
        <v>0</v>
      </c>
      <c r="AA359" s="644"/>
      <c r="AB359" s="644"/>
      <c r="AC359" s="644"/>
    </row>
    <row r="360" spans="1:68" hidden="1" x14ac:dyDescent="0.2">
      <c r="A360" s="651"/>
      <c r="B360" s="651"/>
      <c r="C360" s="651"/>
      <c r="D360" s="651"/>
      <c r="E360" s="651"/>
      <c r="F360" s="651"/>
      <c r="G360" s="651"/>
      <c r="H360" s="651"/>
      <c r="I360" s="651"/>
      <c r="J360" s="651"/>
      <c r="K360" s="651"/>
      <c r="L360" s="651"/>
      <c r="M360" s="651"/>
      <c r="N360" s="651"/>
      <c r="O360" s="673"/>
      <c r="P360" s="647" t="s">
        <v>71</v>
      </c>
      <c r="Q360" s="648"/>
      <c r="R360" s="648"/>
      <c r="S360" s="648"/>
      <c r="T360" s="648"/>
      <c r="U360" s="648"/>
      <c r="V360" s="649"/>
      <c r="W360" s="37" t="s">
        <v>66</v>
      </c>
      <c r="X360" s="643">
        <f>IFERROR(SUM(X356:X358),"0")</f>
        <v>0</v>
      </c>
      <c r="Y360" s="643">
        <f>IFERROR(SUM(Y356:Y358),"0")</f>
        <v>0</v>
      </c>
      <c r="Z360" s="37"/>
      <c r="AA360" s="644"/>
      <c r="AB360" s="644"/>
      <c r="AC360" s="644"/>
    </row>
    <row r="361" spans="1:68" ht="16.5" hidden="1" customHeight="1" x14ac:dyDescent="0.25">
      <c r="A361" s="655" t="s">
        <v>580</v>
      </c>
      <c r="B361" s="651"/>
      <c r="C361" s="651"/>
      <c r="D361" s="651"/>
      <c r="E361" s="651"/>
      <c r="F361" s="651"/>
      <c r="G361" s="651"/>
      <c r="H361" s="651"/>
      <c r="I361" s="651"/>
      <c r="J361" s="651"/>
      <c r="K361" s="651"/>
      <c r="L361" s="651"/>
      <c r="M361" s="651"/>
      <c r="N361" s="651"/>
      <c r="O361" s="651"/>
      <c r="P361" s="651"/>
      <c r="Q361" s="651"/>
      <c r="R361" s="651"/>
      <c r="S361" s="651"/>
      <c r="T361" s="651"/>
      <c r="U361" s="651"/>
      <c r="V361" s="651"/>
      <c r="W361" s="651"/>
      <c r="X361" s="651"/>
      <c r="Y361" s="651"/>
      <c r="Z361" s="651"/>
      <c r="AA361" s="636"/>
      <c r="AB361" s="636"/>
      <c r="AC361" s="636"/>
    </row>
    <row r="362" spans="1:68" ht="14.25" hidden="1" customHeight="1" x14ac:dyDescent="0.25">
      <c r="A362" s="650" t="s">
        <v>110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59">
        <v>4680115889293</v>
      </c>
      <c r="E363" s="660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986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57"/>
      <c r="R363" s="657"/>
      <c r="S363" s="657"/>
      <c r="T363" s="658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59">
        <v>4680115887190</v>
      </c>
      <c r="E364" s="660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7"/>
      <c r="R364" s="657"/>
      <c r="S364" s="657"/>
      <c r="T364" s="658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59">
        <v>4680115889880</v>
      </c>
      <c r="E365" s="660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816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7"/>
      <c r="R365" s="657"/>
      <c r="S365" s="657"/>
      <c r="T365" s="658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59">
        <v>4680115887138</v>
      </c>
      <c r="E366" s="660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57"/>
      <c r="R366" s="657"/>
      <c r="S366" s="657"/>
      <c r="T366" s="658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59">
        <v>4680115885554</v>
      </c>
      <c r="E367" s="660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57"/>
      <c r="R367" s="657"/>
      <c r="S367" s="657"/>
      <c r="T367" s="658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59">
        <v>4680115887220</v>
      </c>
      <c r="E368" s="660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100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57"/>
      <c r="R368" s="657"/>
      <c r="S368" s="657"/>
      <c r="T368" s="658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59">
        <v>4680115885608</v>
      </c>
      <c r="E369" s="660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57"/>
      <c r="R369" s="657"/>
      <c r="S369" s="657"/>
      <c r="T369" s="658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hidden="1" x14ac:dyDescent="0.2">
      <c r="A370" s="672"/>
      <c r="B370" s="651"/>
      <c r="C370" s="651"/>
      <c r="D370" s="651"/>
      <c r="E370" s="651"/>
      <c r="F370" s="651"/>
      <c r="G370" s="651"/>
      <c r="H370" s="651"/>
      <c r="I370" s="651"/>
      <c r="J370" s="651"/>
      <c r="K370" s="651"/>
      <c r="L370" s="651"/>
      <c r="M370" s="651"/>
      <c r="N370" s="651"/>
      <c r="O370" s="673"/>
      <c r="P370" s="647" t="s">
        <v>71</v>
      </c>
      <c r="Q370" s="648"/>
      <c r="R370" s="648"/>
      <c r="S370" s="648"/>
      <c r="T370" s="648"/>
      <c r="U370" s="648"/>
      <c r="V370" s="649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</v>
      </c>
      <c r="Y370" s="643">
        <f>IFERROR(Y363/H363,"0")+IFERROR(Y364/H364,"0")+IFERROR(Y365/H365,"0")+IFERROR(Y366/H366,"0")+IFERROR(Y367/H367,"0")+IFERROR(Y368/H368,"0")+IFERROR(Y369/H369,"0")</f>
        <v>0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4"/>
      <c r="AB370" s="644"/>
      <c r="AC370" s="644"/>
    </row>
    <row r="371" spans="1:68" hidden="1" x14ac:dyDescent="0.2">
      <c r="A371" s="651"/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73"/>
      <c r="P371" s="647" t="s">
        <v>71</v>
      </c>
      <c r="Q371" s="648"/>
      <c r="R371" s="648"/>
      <c r="S371" s="648"/>
      <c r="T371" s="648"/>
      <c r="U371" s="648"/>
      <c r="V371" s="649"/>
      <c r="W371" s="37" t="s">
        <v>66</v>
      </c>
      <c r="X371" s="643">
        <f>IFERROR(SUM(X363:X369),"0")</f>
        <v>0</v>
      </c>
      <c r="Y371" s="643">
        <f>IFERROR(SUM(Y363:Y369),"0")</f>
        <v>0</v>
      </c>
      <c r="Z371" s="37"/>
      <c r="AA371" s="644"/>
      <c r="AB371" s="644"/>
      <c r="AC371" s="644"/>
    </row>
    <row r="372" spans="1:68" ht="14.25" hidden="1" customHeight="1" x14ac:dyDescent="0.25">
      <c r="A372" s="650" t="s">
        <v>61</v>
      </c>
      <c r="B372" s="651"/>
      <c r="C372" s="651"/>
      <c r="D372" s="651"/>
      <c r="E372" s="651"/>
      <c r="F372" s="651"/>
      <c r="G372" s="651"/>
      <c r="H372" s="651"/>
      <c r="I372" s="651"/>
      <c r="J372" s="651"/>
      <c r="K372" s="651"/>
      <c r="L372" s="651"/>
      <c r="M372" s="651"/>
      <c r="N372" s="651"/>
      <c r="O372" s="651"/>
      <c r="P372" s="651"/>
      <c r="Q372" s="651"/>
      <c r="R372" s="651"/>
      <c r="S372" s="651"/>
      <c r="T372" s="651"/>
      <c r="U372" s="651"/>
      <c r="V372" s="651"/>
      <c r="W372" s="651"/>
      <c r="X372" s="651"/>
      <c r="Y372" s="651"/>
      <c r="Z372" s="651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59">
        <v>4607091387193</v>
      </c>
      <c r="E373" s="660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57"/>
      <c r="R373" s="657"/>
      <c r="S373" s="657"/>
      <c r="T373" s="658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4301031153</v>
      </c>
      <c r="D374" s="659">
        <v>4607091387230</v>
      </c>
      <c r="E374" s="660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57"/>
      <c r="R374" s="657"/>
      <c r="S374" s="657"/>
      <c r="T374" s="658"/>
      <c r="U374" s="34"/>
      <c r="V374" s="34"/>
      <c r="W374" s="35" t="s">
        <v>66</v>
      </c>
      <c r="X374" s="641">
        <v>0</v>
      </c>
      <c r="Y374" s="642">
        <f t="shared" si="67"/>
        <v>0</v>
      </c>
      <c r="Z374" s="36" t="str">
        <f>IFERROR(IF(Y374=0,"",ROUNDUP(Y374/H374,0)*0.00902),"")</f>
        <v/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0</v>
      </c>
      <c r="BN374" s="64">
        <f t="shared" si="69"/>
        <v>0</v>
      </c>
      <c r="BO374" s="64">
        <f t="shared" si="70"/>
        <v>0</v>
      </c>
      <c r="BP374" s="64">
        <f t="shared" si="71"/>
        <v>0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59">
        <v>4607091387292</v>
      </c>
      <c r="E375" s="660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57"/>
      <c r="R375" s="657"/>
      <c r="S375" s="657"/>
      <c r="T375" s="658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59">
        <v>4607091387285</v>
      </c>
      <c r="E376" s="660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57"/>
      <c r="R376" s="657"/>
      <c r="S376" s="657"/>
      <c r="T376" s="658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59">
        <v>4607091389845</v>
      </c>
      <c r="E377" s="660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57"/>
      <c r="R377" s="657"/>
      <c r="S377" s="657"/>
      <c r="T377" s="658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59">
        <v>4680115887442</v>
      </c>
      <c r="E378" s="660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8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57"/>
      <c r="R378" s="657"/>
      <c r="S378" s="657"/>
      <c r="T378" s="658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customHeight="1" x14ac:dyDescent="0.25">
      <c r="A379" s="54" t="s">
        <v>616</v>
      </c>
      <c r="B379" s="54" t="s">
        <v>617</v>
      </c>
      <c r="C379" s="31">
        <v>4301031066</v>
      </c>
      <c r="D379" s="659">
        <v>4607091383836</v>
      </c>
      <c r="E379" s="660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72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57"/>
      <c r="R379" s="657"/>
      <c r="S379" s="657"/>
      <c r="T379" s="658"/>
      <c r="U379" s="34"/>
      <c r="V379" s="34"/>
      <c r="W379" s="35" t="s">
        <v>66</v>
      </c>
      <c r="X379" s="641">
        <v>6</v>
      </c>
      <c r="Y379" s="642">
        <f t="shared" si="67"/>
        <v>7.2</v>
      </c>
      <c r="Z379" s="36">
        <f>IFERROR(IF(Y379=0,"",ROUNDUP(Y379/H379,0)*0.00651),"")</f>
        <v>2.6040000000000001E-2</v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6.76</v>
      </c>
      <c r="BN379" s="64">
        <f t="shared" si="69"/>
        <v>8.1120000000000001</v>
      </c>
      <c r="BO379" s="64">
        <f t="shared" si="70"/>
        <v>1.8315018315018316E-2</v>
      </c>
      <c r="BP379" s="64">
        <f t="shared" si="71"/>
        <v>2.197802197802198E-2</v>
      </c>
    </row>
    <row r="380" spans="1:68" x14ac:dyDescent="0.2">
      <c r="A380" s="672"/>
      <c r="B380" s="651"/>
      <c r="C380" s="651"/>
      <c r="D380" s="651"/>
      <c r="E380" s="651"/>
      <c r="F380" s="651"/>
      <c r="G380" s="651"/>
      <c r="H380" s="651"/>
      <c r="I380" s="651"/>
      <c r="J380" s="651"/>
      <c r="K380" s="651"/>
      <c r="L380" s="651"/>
      <c r="M380" s="651"/>
      <c r="N380" s="651"/>
      <c r="O380" s="673"/>
      <c r="P380" s="647" t="s">
        <v>71</v>
      </c>
      <c r="Q380" s="648"/>
      <c r="R380" s="648"/>
      <c r="S380" s="648"/>
      <c r="T380" s="648"/>
      <c r="U380" s="648"/>
      <c r="V380" s="649"/>
      <c r="W380" s="37" t="s">
        <v>72</v>
      </c>
      <c r="X380" s="643">
        <f>IFERROR(X373/H373,"0")+IFERROR(X374/H374,"0")+IFERROR(X375/H375,"0")+IFERROR(X376/H376,"0")+IFERROR(X377/H377,"0")+IFERROR(X378/H378,"0")+IFERROR(X379/H379,"0")</f>
        <v>3.333333333333333</v>
      </c>
      <c r="Y380" s="643">
        <f>IFERROR(Y373/H373,"0")+IFERROR(Y374/H374,"0")+IFERROR(Y375/H375,"0")+IFERROR(Y376/H376,"0")+IFERROR(Y377/H377,"0")+IFERROR(Y378/H378,"0")+IFERROR(Y379/H379,"0")</f>
        <v>4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2.6040000000000001E-2</v>
      </c>
      <c r="AA380" s="644"/>
      <c r="AB380" s="644"/>
      <c r="AC380" s="644"/>
    </row>
    <row r="381" spans="1:68" x14ac:dyDescent="0.2">
      <c r="A381" s="651"/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73"/>
      <c r="P381" s="647" t="s">
        <v>71</v>
      </c>
      <c r="Q381" s="648"/>
      <c r="R381" s="648"/>
      <c r="S381" s="648"/>
      <c r="T381" s="648"/>
      <c r="U381" s="648"/>
      <c r="V381" s="649"/>
      <c r="W381" s="37" t="s">
        <v>66</v>
      </c>
      <c r="X381" s="643">
        <f>IFERROR(SUM(X373:X379),"0")</f>
        <v>6</v>
      </c>
      <c r="Y381" s="643">
        <f>IFERROR(SUM(Y373:Y379),"0")</f>
        <v>7.2</v>
      </c>
      <c r="Z381" s="37"/>
      <c r="AA381" s="644"/>
      <c r="AB381" s="644"/>
      <c r="AC381" s="644"/>
    </row>
    <row r="382" spans="1:68" ht="14.25" hidden="1" customHeight="1" x14ac:dyDescent="0.25">
      <c r="A382" s="650" t="s">
        <v>73</v>
      </c>
      <c r="B382" s="651"/>
      <c r="C382" s="651"/>
      <c r="D382" s="651"/>
      <c r="E382" s="651"/>
      <c r="F382" s="651"/>
      <c r="G382" s="651"/>
      <c r="H382" s="651"/>
      <c r="I382" s="651"/>
      <c r="J382" s="651"/>
      <c r="K382" s="651"/>
      <c r="L382" s="651"/>
      <c r="M382" s="651"/>
      <c r="N382" s="651"/>
      <c r="O382" s="651"/>
      <c r="P382" s="651"/>
      <c r="Q382" s="651"/>
      <c r="R382" s="651"/>
      <c r="S382" s="651"/>
      <c r="T382" s="651"/>
      <c r="U382" s="651"/>
      <c r="V382" s="651"/>
      <c r="W382" s="651"/>
      <c r="X382" s="651"/>
      <c r="Y382" s="651"/>
      <c r="Z382" s="651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59">
        <v>4607091387766</v>
      </c>
      <c r="E383" s="660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100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57"/>
      <c r="R383" s="657"/>
      <c r="S383" s="657"/>
      <c r="T383" s="658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59">
        <v>4607091387957</v>
      </c>
      <c r="E384" s="660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6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57"/>
      <c r="R384" s="657"/>
      <c r="S384" s="657"/>
      <c r="T384" s="658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59">
        <v>4607091387964</v>
      </c>
      <c r="E385" s="660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57"/>
      <c r="R385" s="657"/>
      <c r="S385" s="657"/>
      <c r="T385" s="658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59">
        <v>4680115884588</v>
      </c>
      <c r="E386" s="660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57"/>
      <c r="R386" s="657"/>
      <c r="S386" s="657"/>
      <c r="T386" s="658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2"/>
      <c r="B387" s="651"/>
      <c r="C387" s="651"/>
      <c r="D387" s="651"/>
      <c r="E387" s="651"/>
      <c r="F387" s="651"/>
      <c r="G387" s="651"/>
      <c r="H387" s="651"/>
      <c r="I387" s="651"/>
      <c r="J387" s="651"/>
      <c r="K387" s="651"/>
      <c r="L387" s="651"/>
      <c r="M387" s="651"/>
      <c r="N387" s="651"/>
      <c r="O387" s="673"/>
      <c r="P387" s="647" t="s">
        <v>71</v>
      </c>
      <c r="Q387" s="648"/>
      <c r="R387" s="648"/>
      <c r="S387" s="648"/>
      <c r="T387" s="648"/>
      <c r="U387" s="648"/>
      <c r="V387" s="649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51"/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73"/>
      <c r="P388" s="647" t="s">
        <v>71</v>
      </c>
      <c r="Q388" s="648"/>
      <c r="R388" s="648"/>
      <c r="S388" s="648"/>
      <c r="T388" s="648"/>
      <c r="U388" s="648"/>
      <c r="V388" s="649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50" t="s">
        <v>166</v>
      </c>
      <c r="B389" s="651"/>
      <c r="C389" s="651"/>
      <c r="D389" s="651"/>
      <c r="E389" s="651"/>
      <c r="F389" s="651"/>
      <c r="G389" s="651"/>
      <c r="H389" s="651"/>
      <c r="I389" s="651"/>
      <c r="J389" s="651"/>
      <c r="K389" s="651"/>
      <c r="L389" s="651"/>
      <c r="M389" s="651"/>
      <c r="N389" s="651"/>
      <c r="O389" s="651"/>
      <c r="P389" s="651"/>
      <c r="Q389" s="651"/>
      <c r="R389" s="651"/>
      <c r="S389" s="651"/>
      <c r="T389" s="651"/>
      <c r="U389" s="651"/>
      <c r="V389" s="651"/>
      <c r="W389" s="651"/>
      <c r="X389" s="651"/>
      <c r="Y389" s="651"/>
      <c r="Z389" s="651"/>
      <c r="AA389" s="637"/>
      <c r="AB389" s="637"/>
      <c r="AC389" s="637"/>
    </row>
    <row r="390" spans="1:68" ht="27" customHeight="1" x14ac:dyDescent="0.25">
      <c r="A390" s="54" t="s">
        <v>630</v>
      </c>
      <c r="B390" s="54" t="s">
        <v>631</v>
      </c>
      <c r="C390" s="31">
        <v>4301060387</v>
      </c>
      <c r="D390" s="659">
        <v>4607091380880</v>
      </c>
      <c r="E390" s="660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6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57"/>
      <c r="R390" s="657"/>
      <c r="S390" s="657"/>
      <c r="T390" s="658"/>
      <c r="U390" s="34"/>
      <c r="V390" s="34"/>
      <c r="W390" s="35" t="s">
        <v>66</v>
      </c>
      <c r="X390" s="641">
        <v>15</v>
      </c>
      <c r="Y390" s="642">
        <f>IFERROR(IF(X390="",0,CEILING((X390/$H390),1)*$H390),"")</f>
        <v>16.8</v>
      </c>
      <c r="Z390" s="36">
        <f>IFERROR(IF(Y390=0,"",ROUNDUP(Y390/H390,0)*0.01898),"")</f>
        <v>3.7960000000000001E-2</v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15.882142857142856</v>
      </c>
      <c r="BN390" s="64">
        <f>IFERROR(Y390*I390/H390,"0")</f>
        <v>17.788</v>
      </c>
      <c r="BO390" s="64">
        <f>IFERROR(1/J390*(X390/H390),"0")</f>
        <v>2.7901785714285712E-2</v>
      </c>
      <c r="BP390" s="64">
        <f>IFERROR(1/J390*(Y390/H390),"0")</f>
        <v>3.125E-2</v>
      </c>
    </row>
    <row r="391" spans="1:68" ht="27" hidden="1" customHeight="1" x14ac:dyDescent="0.25">
      <c r="A391" s="54" t="s">
        <v>633</v>
      </c>
      <c r="B391" s="54" t="s">
        <v>634</v>
      </c>
      <c r="C391" s="31">
        <v>4301060406</v>
      </c>
      <c r="D391" s="659">
        <v>4607091384482</v>
      </c>
      <c r="E391" s="660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6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57"/>
      <c r="R391" s="657"/>
      <c r="S391" s="657"/>
      <c r="T391" s="658"/>
      <c r="U391" s="34"/>
      <c r="V391" s="34"/>
      <c r="W391" s="35" t="s">
        <v>66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59">
        <v>4607091380897</v>
      </c>
      <c r="E392" s="660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57"/>
      <c r="R392" s="657"/>
      <c r="S392" s="657"/>
      <c r="T392" s="658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2"/>
      <c r="B393" s="651"/>
      <c r="C393" s="651"/>
      <c r="D393" s="651"/>
      <c r="E393" s="651"/>
      <c r="F393" s="651"/>
      <c r="G393" s="651"/>
      <c r="H393" s="651"/>
      <c r="I393" s="651"/>
      <c r="J393" s="651"/>
      <c r="K393" s="651"/>
      <c r="L393" s="651"/>
      <c r="M393" s="651"/>
      <c r="N393" s="651"/>
      <c r="O393" s="673"/>
      <c r="P393" s="647" t="s">
        <v>71</v>
      </c>
      <c r="Q393" s="648"/>
      <c r="R393" s="648"/>
      <c r="S393" s="648"/>
      <c r="T393" s="648"/>
      <c r="U393" s="648"/>
      <c r="V393" s="649"/>
      <c r="W393" s="37" t="s">
        <v>72</v>
      </c>
      <c r="X393" s="643">
        <f>IFERROR(X390/H390,"0")+IFERROR(X391/H391,"0")+IFERROR(X392/H392,"0")</f>
        <v>1.7857142857142856</v>
      </c>
      <c r="Y393" s="643">
        <f>IFERROR(Y390/H390,"0")+IFERROR(Y391/H391,"0")+IFERROR(Y392/H392,"0")</f>
        <v>2</v>
      </c>
      <c r="Z393" s="643">
        <f>IFERROR(IF(Z390="",0,Z390),"0")+IFERROR(IF(Z391="",0,Z391),"0")+IFERROR(IF(Z392="",0,Z392),"0")</f>
        <v>3.7960000000000001E-2</v>
      </c>
      <c r="AA393" s="644"/>
      <c r="AB393" s="644"/>
      <c r="AC393" s="644"/>
    </row>
    <row r="394" spans="1:68" x14ac:dyDescent="0.2">
      <c r="A394" s="651"/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73"/>
      <c r="P394" s="647" t="s">
        <v>71</v>
      </c>
      <c r="Q394" s="648"/>
      <c r="R394" s="648"/>
      <c r="S394" s="648"/>
      <c r="T394" s="648"/>
      <c r="U394" s="648"/>
      <c r="V394" s="649"/>
      <c r="W394" s="37" t="s">
        <v>66</v>
      </c>
      <c r="X394" s="643">
        <f>IFERROR(SUM(X390:X392),"0")</f>
        <v>15</v>
      </c>
      <c r="Y394" s="643">
        <f>IFERROR(SUM(Y390:Y392),"0")</f>
        <v>16.8</v>
      </c>
      <c r="Z394" s="37"/>
      <c r="AA394" s="644"/>
      <c r="AB394" s="644"/>
      <c r="AC394" s="644"/>
    </row>
    <row r="395" spans="1:68" ht="14.25" hidden="1" customHeight="1" x14ac:dyDescent="0.25">
      <c r="A395" s="650" t="s">
        <v>266</v>
      </c>
      <c r="B395" s="651"/>
      <c r="C395" s="651"/>
      <c r="D395" s="651"/>
      <c r="E395" s="651"/>
      <c r="F395" s="651"/>
      <c r="G395" s="651"/>
      <c r="H395" s="651"/>
      <c r="I395" s="651"/>
      <c r="J395" s="651"/>
      <c r="K395" s="651"/>
      <c r="L395" s="651"/>
      <c r="M395" s="651"/>
      <c r="N395" s="651"/>
      <c r="O395" s="651"/>
      <c r="P395" s="651"/>
      <c r="Q395" s="651"/>
      <c r="R395" s="651"/>
      <c r="S395" s="651"/>
      <c r="T395" s="651"/>
      <c r="U395" s="651"/>
      <c r="V395" s="651"/>
      <c r="W395" s="651"/>
      <c r="X395" s="651"/>
      <c r="Y395" s="651"/>
      <c r="Z395" s="651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59">
        <v>4607091388381</v>
      </c>
      <c r="E396" s="660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57"/>
      <c r="R396" s="657"/>
      <c r="S396" s="657"/>
      <c r="T396" s="658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59">
        <v>4607091388374</v>
      </c>
      <c r="E397" s="660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57"/>
      <c r="R397" s="657"/>
      <c r="S397" s="657"/>
      <c r="T397" s="658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59">
        <v>4607091383102</v>
      </c>
      <c r="E398" s="660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57"/>
      <c r="R398" s="657"/>
      <c r="S398" s="657"/>
      <c r="T398" s="658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59">
        <v>4607091388404</v>
      </c>
      <c r="E399" s="660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8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57"/>
      <c r="R399" s="657"/>
      <c r="S399" s="657"/>
      <c r="T399" s="658"/>
      <c r="U399" s="34"/>
      <c r="V399" s="34"/>
      <c r="W399" s="35" t="s">
        <v>66</v>
      </c>
      <c r="X399" s="641">
        <v>2</v>
      </c>
      <c r="Y399" s="642">
        <f>IFERROR(IF(X399="",0,CEILING((X399/$H399),1)*$H399),"")</f>
        <v>2.5499999999999998</v>
      </c>
      <c r="Z399" s="36">
        <f>IFERROR(IF(Y399=0,"",ROUNDUP(Y399/H399,0)*0.00651),"")</f>
        <v>6.5100000000000002E-3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2.2588235294117647</v>
      </c>
      <c r="BN399" s="64">
        <f>IFERROR(Y399*I399/H399,"0")</f>
        <v>2.88</v>
      </c>
      <c r="BO399" s="64">
        <f>IFERROR(1/J399*(X399/H399),"0")</f>
        <v>4.3094160741219576E-3</v>
      </c>
      <c r="BP399" s="64">
        <f>IFERROR(1/J399*(Y399/H399),"0")</f>
        <v>5.4945054945054949E-3</v>
      </c>
    </row>
    <row r="400" spans="1:68" x14ac:dyDescent="0.2">
      <c r="A400" s="672"/>
      <c r="B400" s="651"/>
      <c r="C400" s="651"/>
      <c r="D400" s="651"/>
      <c r="E400" s="651"/>
      <c r="F400" s="651"/>
      <c r="G400" s="651"/>
      <c r="H400" s="651"/>
      <c r="I400" s="651"/>
      <c r="J400" s="651"/>
      <c r="K400" s="651"/>
      <c r="L400" s="651"/>
      <c r="M400" s="651"/>
      <c r="N400" s="651"/>
      <c r="O400" s="673"/>
      <c r="P400" s="647" t="s">
        <v>71</v>
      </c>
      <c r="Q400" s="648"/>
      <c r="R400" s="648"/>
      <c r="S400" s="648"/>
      <c r="T400" s="648"/>
      <c r="U400" s="648"/>
      <c r="V400" s="649"/>
      <c r="W400" s="37" t="s">
        <v>72</v>
      </c>
      <c r="X400" s="643">
        <f>IFERROR(X396/H396,"0")+IFERROR(X397/H397,"0")+IFERROR(X398/H398,"0")+IFERROR(X399/H399,"0")</f>
        <v>0.78431372549019618</v>
      </c>
      <c r="Y400" s="643">
        <f>IFERROR(Y396/H396,"0")+IFERROR(Y397/H397,"0")+IFERROR(Y398/H398,"0")+IFERROR(Y399/H399,"0")</f>
        <v>1</v>
      </c>
      <c r="Z400" s="643">
        <f>IFERROR(IF(Z396="",0,Z396),"0")+IFERROR(IF(Z397="",0,Z397),"0")+IFERROR(IF(Z398="",0,Z398),"0")+IFERROR(IF(Z399="",0,Z399),"0")</f>
        <v>6.5100000000000002E-3</v>
      </c>
      <c r="AA400" s="644"/>
      <c r="AB400" s="644"/>
      <c r="AC400" s="644"/>
    </row>
    <row r="401" spans="1:68" x14ac:dyDescent="0.2">
      <c r="A401" s="651"/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73"/>
      <c r="P401" s="647" t="s">
        <v>71</v>
      </c>
      <c r="Q401" s="648"/>
      <c r="R401" s="648"/>
      <c r="S401" s="648"/>
      <c r="T401" s="648"/>
      <c r="U401" s="648"/>
      <c r="V401" s="649"/>
      <c r="W401" s="37" t="s">
        <v>66</v>
      </c>
      <c r="X401" s="643">
        <f>IFERROR(SUM(X396:X399),"0")</f>
        <v>2</v>
      </c>
      <c r="Y401" s="643">
        <f>IFERROR(SUM(Y396:Y399),"0")</f>
        <v>2.5499999999999998</v>
      </c>
      <c r="Z401" s="37"/>
      <c r="AA401" s="644"/>
      <c r="AB401" s="644"/>
      <c r="AC401" s="644"/>
    </row>
    <row r="402" spans="1:68" ht="14.25" hidden="1" customHeight="1" x14ac:dyDescent="0.25">
      <c r="A402" s="650" t="s">
        <v>648</v>
      </c>
      <c r="B402" s="651"/>
      <c r="C402" s="651"/>
      <c r="D402" s="651"/>
      <c r="E402" s="651"/>
      <c r="F402" s="651"/>
      <c r="G402" s="651"/>
      <c r="H402" s="651"/>
      <c r="I402" s="651"/>
      <c r="J402" s="651"/>
      <c r="K402" s="651"/>
      <c r="L402" s="651"/>
      <c r="M402" s="651"/>
      <c r="N402" s="651"/>
      <c r="O402" s="651"/>
      <c r="P402" s="651"/>
      <c r="Q402" s="651"/>
      <c r="R402" s="651"/>
      <c r="S402" s="651"/>
      <c r="T402" s="651"/>
      <c r="U402" s="651"/>
      <c r="V402" s="651"/>
      <c r="W402" s="651"/>
      <c r="X402" s="651"/>
      <c r="Y402" s="651"/>
      <c r="Z402" s="651"/>
      <c r="AA402" s="637"/>
      <c r="AB402" s="637"/>
      <c r="AC402" s="637"/>
    </row>
    <row r="403" spans="1:68" ht="16.5" hidden="1" customHeight="1" x14ac:dyDescent="0.25">
      <c r="A403" s="54" t="s">
        <v>649</v>
      </c>
      <c r="B403" s="54" t="s">
        <v>650</v>
      </c>
      <c r="C403" s="31">
        <v>4301180007</v>
      </c>
      <c r="D403" s="659">
        <v>4680115881808</v>
      </c>
      <c r="E403" s="660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57"/>
      <c r="R403" s="657"/>
      <c r="S403" s="657"/>
      <c r="T403" s="658"/>
      <c r="U403" s="34"/>
      <c r="V403" s="34"/>
      <c r="W403" s="35" t="s">
        <v>66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59">
        <v>4680115881822</v>
      </c>
      <c r="E404" s="660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70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57"/>
      <c r="R404" s="657"/>
      <c r="S404" s="657"/>
      <c r="T404" s="658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655</v>
      </c>
      <c r="B405" s="54" t="s">
        <v>656</v>
      </c>
      <c r="C405" s="31">
        <v>4301180001</v>
      </c>
      <c r="D405" s="659">
        <v>4680115880016</v>
      </c>
      <c r="E405" s="660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3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57"/>
      <c r="R405" s="657"/>
      <c r="S405" s="657"/>
      <c r="T405" s="658"/>
      <c r="U405" s="34"/>
      <c r="V405" s="34"/>
      <c r="W405" s="35" t="s">
        <v>66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672"/>
      <c r="B406" s="651"/>
      <c r="C406" s="651"/>
      <c r="D406" s="651"/>
      <c r="E406" s="651"/>
      <c r="F406" s="651"/>
      <c r="G406" s="651"/>
      <c r="H406" s="651"/>
      <c r="I406" s="651"/>
      <c r="J406" s="651"/>
      <c r="K406" s="651"/>
      <c r="L406" s="651"/>
      <c r="M406" s="651"/>
      <c r="N406" s="651"/>
      <c r="O406" s="673"/>
      <c r="P406" s="647" t="s">
        <v>71</v>
      </c>
      <c r="Q406" s="648"/>
      <c r="R406" s="648"/>
      <c r="S406" s="648"/>
      <c r="T406" s="648"/>
      <c r="U406" s="648"/>
      <c r="V406" s="649"/>
      <c r="W406" s="37" t="s">
        <v>72</v>
      </c>
      <c r="X406" s="643">
        <f>IFERROR(X403/H403,"0")+IFERROR(X404/H404,"0")+IFERROR(X405/H405,"0")</f>
        <v>0</v>
      </c>
      <c r="Y406" s="643">
        <f>IFERROR(Y403/H403,"0")+IFERROR(Y404/H404,"0")+IFERROR(Y405/H405,"0")</f>
        <v>0</v>
      </c>
      <c r="Z406" s="643">
        <f>IFERROR(IF(Z403="",0,Z403),"0")+IFERROR(IF(Z404="",0,Z404),"0")+IFERROR(IF(Z405="",0,Z405),"0")</f>
        <v>0</v>
      </c>
      <c r="AA406" s="644"/>
      <c r="AB406" s="644"/>
      <c r="AC406" s="644"/>
    </row>
    <row r="407" spans="1:68" hidden="1" x14ac:dyDescent="0.2">
      <c r="A407" s="651"/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73"/>
      <c r="P407" s="647" t="s">
        <v>71</v>
      </c>
      <c r="Q407" s="648"/>
      <c r="R407" s="648"/>
      <c r="S407" s="648"/>
      <c r="T407" s="648"/>
      <c r="U407" s="648"/>
      <c r="V407" s="649"/>
      <c r="W407" s="37" t="s">
        <v>66</v>
      </c>
      <c r="X407" s="643">
        <f>IFERROR(SUM(X403:X405),"0")</f>
        <v>0</v>
      </c>
      <c r="Y407" s="643">
        <f>IFERROR(SUM(Y403:Y405),"0")</f>
        <v>0</v>
      </c>
      <c r="Z407" s="37"/>
      <c r="AA407" s="644"/>
      <c r="AB407" s="644"/>
      <c r="AC407" s="644"/>
    </row>
    <row r="408" spans="1:68" ht="14.25" hidden="1" customHeight="1" x14ac:dyDescent="0.25">
      <c r="A408" s="650" t="s">
        <v>657</v>
      </c>
      <c r="B408" s="651"/>
      <c r="C408" s="651"/>
      <c r="D408" s="651"/>
      <c r="E408" s="651"/>
      <c r="F408" s="651"/>
      <c r="G408" s="651"/>
      <c r="H408" s="651"/>
      <c r="I408" s="651"/>
      <c r="J408" s="651"/>
      <c r="K408" s="651"/>
      <c r="L408" s="651"/>
      <c r="M408" s="651"/>
      <c r="N408" s="651"/>
      <c r="O408" s="651"/>
      <c r="P408" s="651"/>
      <c r="Q408" s="651"/>
      <c r="R408" s="651"/>
      <c r="S408" s="651"/>
      <c r="T408" s="651"/>
      <c r="U408" s="651"/>
      <c r="V408" s="651"/>
      <c r="W408" s="651"/>
      <c r="X408" s="651"/>
      <c r="Y408" s="651"/>
      <c r="Z408" s="651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59">
        <v>4680115888678</v>
      </c>
      <c r="E409" s="660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57"/>
      <c r="R409" s="657"/>
      <c r="S409" s="657"/>
      <c r="T409" s="658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59">
        <v>4680115888654</v>
      </c>
      <c r="E410" s="660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57"/>
      <c r="R410" s="657"/>
      <c r="S410" s="657"/>
      <c r="T410" s="658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59">
        <v>4680115888753</v>
      </c>
      <c r="E411" s="660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57"/>
      <c r="R411" s="657"/>
      <c r="S411" s="657"/>
      <c r="T411" s="658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2"/>
      <c r="B412" s="651"/>
      <c r="C412" s="651"/>
      <c r="D412" s="651"/>
      <c r="E412" s="651"/>
      <c r="F412" s="651"/>
      <c r="G412" s="651"/>
      <c r="H412" s="651"/>
      <c r="I412" s="651"/>
      <c r="J412" s="651"/>
      <c r="K412" s="651"/>
      <c r="L412" s="651"/>
      <c r="M412" s="651"/>
      <c r="N412" s="651"/>
      <c r="O412" s="673"/>
      <c r="P412" s="647" t="s">
        <v>71</v>
      </c>
      <c r="Q412" s="648"/>
      <c r="R412" s="648"/>
      <c r="S412" s="648"/>
      <c r="T412" s="648"/>
      <c r="U412" s="648"/>
      <c r="V412" s="649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51"/>
      <c r="B413" s="651"/>
      <c r="C413" s="651"/>
      <c r="D413" s="651"/>
      <c r="E413" s="651"/>
      <c r="F413" s="651"/>
      <c r="G413" s="651"/>
      <c r="H413" s="651"/>
      <c r="I413" s="651"/>
      <c r="J413" s="651"/>
      <c r="K413" s="651"/>
      <c r="L413" s="651"/>
      <c r="M413" s="651"/>
      <c r="N413" s="651"/>
      <c r="O413" s="673"/>
      <c r="P413" s="647" t="s">
        <v>71</v>
      </c>
      <c r="Q413" s="648"/>
      <c r="R413" s="648"/>
      <c r="S413" s="648"/>
      <c r="T413" s="648"/>
      <c r="U413" s="648"/>
      <c r="V413" s="649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55" t="s">
        <v>666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6"/>
      <c r="AB414" s="636"/>
      <c r="AC414" s="636"/>
    </row>
    <row r="415" spans="1:68" ht="14.25" hidden="1" customHeight="1" x14ac:dyDescent="0.25">
      <c r="A415" s="650" t="s">
        <v>73</v>
      </c>
      <c r="B415" s="651"/>
      <c r="C415" s="651"/>
      <c r="D415" s="651"/>
      <c r="E415" s="651"/>
      <c r="F415" s="651"/>
      <c r="G415" s="651"/>
      <c r="H415" s="651"/>
      <c r="I415" s="651"/>
      <c r="J415" s="651"/>
      <c r="K415" s="651"/>
      <c r="L415" s="651"/>
      <c r="M415" s="651"/>
      <c r="N415" s="651"/>
      <c r="O415" s="651"/>
      <c r="P415" s="651"/>
      <c r="Q415" s="651"/>
      <c r="R415" s="651"/>
      <c r="S415" s="651"/>
      <c r="T415" s="651"/>
      <c r="U415" s="651"/>
      <c r="V415" s="651"/>
      <c r="W415" s="651"/>
      <c r="X415" s="651"/>
      <c r="Y415" s="651"/>
      <c r="Z415" s="651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59">
        <v>4680115889415</v>
      </c>
      <c r="E416" s="660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57"/>
      <c r="R416" s="657"/>
      <c r="S416" s="657"/>
      <c r="T416" s="658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59">
        <v>4680115889422</v>
      </c>
      <c r="E417" s="660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1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57"/>
      <c r="R417" s="657"/>
      <c r="S417" s="657"/>
      <c r="T417" s="658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2"/>
      <c r="B418" s="651"/>
      <c r="C418" s="651"/>
      <c r="D418" s="651"/>
      <c r="E418" s="651"/>
      <c r="F418" s="651"/>
      <c r="G418" s="651"/>
      <c r="H418" s="651"/>
      <c r="I418" s="651"/>
      <c r="J418" s="651"/>
      <c r="K418" s="651"/>
      <c r="L418" s="651"/>
      <c r="M418" s="651"/>
      <c r="N418" s="651"/>
      <c r="O418" s="673"/>
      <c r="P418" s="647" t="s">
        <v>71</v>
      </c>
      <c r="Q418" s="648"/>
      <c r="R418" s="648"/>
      <c r="S418" s="648"/>
      <c r="T418" s="648"/>
      <c r="U418" s="648"/>
      <c r="V418" s="649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51"/>
      <c r="B419" s="651"/>
      <c r="C419" s="651"/>
      <c r="D419" s="651"/>
      <c r="E419" s="651"/>
      <c r="F419" s="651"/>
      <c r="G419" s="651"/>
      <c r="H419" s="651"/>
      <c r="I419" s="651"/>
      <c r="J419" s="651"/>
      <c r="K419" s="651"/>
      <c r="L419" s="651"/>
      <c r="M419" s="651"/>
      <c r="N419" s="651"/>
      <c r="O419" s="673"/>
      <c r="P419" s="647" t="s">
        <v>71</v>
      </c>
      <c r="Q419" s="648"/>
      <c r="R419" s="648"/>
      <c r="S419" s="648"/>
      <c r="T419" s="648"/>
      <c r="U419" s="648"/>
      <c r="V419" s="649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55" t="s">
        <v>673</v>
      </c>
      <c r="B420" s="651"/>
      <c r="C420" s="651"/>
      <c r="D420" s="651"/>
      <c r="E420" s="651"/>
      <c r="F420" s="651"/>
      <c r="G420" s="651"/>
      <c r="H420" s="651"/>
      <c r="I420" s="651"/>
      <c r="J420" s="651"/>
      <c r="K420" s="651"/>
      <c r="L420" s="651"/>
      <c r="M420" s="651"/>
      <c r="N420" s="651"/>
      <c r="O420" s="651"/>
      <c r="P420" s="651"/>
      <c r="Q420" s="651"/>
      <c r="R420" s="651"/>
      <c r="S420" s="651"/>
      <c r="T420" s="651"/>
      <c r="U420" s="651"/>
      <c r="V420" s="651"/>
      <c r="W420" s="651"/>
      <c r="X420" s="651"/>
      <c r="Y420" s="651"/>
      <c r="Z420" s="651"/>
      <c r="AA420" s="636"/>
      <c r="AB420" s="636"/>
      <c r="AC420" s="636"/>
    </row>
    <row r="421" spans="1:68" ht="14.25" hidden="1" customHeight="1" x14ac:dyDescent="0.25">
      <c r="A421" s="650" t="s">
        <v>73</v>
      </c>
      <c r="B421" s="651"/>
      <c r="C421" s="651"/>
      <c r="D421" s="651"/>
      <c r="E421" s="651"/>
      <c r="F421" s="651"/>
      <c r="G421" s="651"/>
      <c r="H421" s="651"/>
      <c r="I421" s="651"/>
      <c r="J421" s="651"/>
      <c r="K421" s="651"/>
      <c r="L421" s="651"/>
      <c r="M421" s="651"/>
      <c r="N421" s="651"/>
      <c r="O421" s="651"/>
      <c r="P421" s="651"/>
      <c r="Q421" s="651"/>
      <c r="R421" s="651"/>
      <c r="S421" s="651"/>
      <c r="T421" s="651"/>
      <c r="U421" s="651"/>
      <c r="V421" s="651"/>
      <c r="W421" s="651"/>
      <c r="X421" s="651"/>
      <c r="Y421" s="651"/>
      <c r="Z421" s="651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59">
        <v>4607091387919</v>
      </c>
      <c r="E422" s="660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57"/>
      <c r="R422" s="657"/>
      <c r="S422" s="657"/>
      <c r="T422" s="658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677</v>
      </c>
      <c r="B423" s="54" t="s">
        <v>678</v>
      </c>
      <c r="C423" s="31">
        <v>4301051461</v>
      </c>
      <c r="D423" s="659">
        <v>4680115883604</v>
      </c>
      <c r="E423" s="660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57"/>
      <c r="R423" s="657"/>
      <c r="S423" s="657"/>
      <c r="T423" s="658"/>
      <c r="U423" s="34"/>
      <c r="V423" s="34"/>
      <c r="W423" s="35" t="s">
        <v>66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680</v>
      </c>
      <c r="B424" s="54" t="s">
        <v>681</v>
      </c>
      <c r="C424" s="31">
        <v>4301051864</v>
      </c>
      <c r="D424" s="659">
        <v>4680115883567</v>
      </c>
      <c r="E424" s="660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57"/>
      <c r="R424" s="657"/>
      <c r="S424" s="657"/>
      <c r="T424" s="658"/>
      <c r="U424" s="34"/>
      <c r="V424" s="34"/>
      <c r="W424" s="35" t="s">
        <v>66</v>
      </c>
      <c r="X424" s="641">
        <v>0</v>
      </c>
      <c r="Y424" s="642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2"/>
      <c r="B425" s="651"/>
      <c r="C425" s="651"/>
      <c r="D425" s="651"/>
      <c r="E425" s="651"/>
      <c r="F425" s="651"/>
      <c r="G425" s="651"/>
      <c r="H425" s="651"/>
      <c r="I425" s="651"/>
      <c r="J425" s="651"/>
      <c r="K425" s="651"/>
      <c r="L425" s="651"/>
      <c r="M425" s="651"/>
      <c r="N425" s="651"/>
      <c r="O425" s="673"/>
      <c r="P425" s="647" t="s">
        <v>71</v>
      </c>
      <c r="Q425" s="648"/>
      <c r="R425" s="648"/>
      <c r="S425" s="648"/>
      <c r="T425" s="648"/>
      <c r="U425" s="648"/>
      <c r="V425" s="649"/>
      <c r="W425" s="37" t="s">
        <v>72</v>
      </c>
      <c r="X425" s="643">
        <f>IFERROR(X422/H422,"0")+IFERROR(X423/H423,"0")+IFERROR(X424/H424,"0")</f>
        <v>0</v>
      </c>
      <c r="Y425" s="643">
        <f>IFERROR(Y422/H422,"0")+IFERROR(Y423/H423,"0")+IFERROR(Y424/H424,"0")</f>
        <v>0</v>
      </c>
      <c r="Z425" s="643">
        <f>IFERROR(IF(Z422="",0,Z422),"0")+IFERROR(IF(Z423="",0,Z423),"0")+IFERROR(IF(Z424="",0,Z424),"0")</f>
        <v>0</v>
      </c>
      <c r="AA425" s="644"/>
      <c r="AB425" s="644"/>
      <c r="AC425" s="644"/>
    </row>
    <row r="426" spans="1:68" hidden="1" x14ac:dyDescent="0.2">
      <c r="A426" s="651"/>
      <c r="B426" s="651"/>
      <c r="C426" s="651"/>
      <c r="D426" s="651"/>
      <c r="E426" s="651"/>
      <c r="F426" s="651"/>
      <c r="G426" s="651"/>
      <c r="H426" s="651"/>
      <c r="I426" s="651"/>
      <c r="J426" s="651"/>
      <c r="K426" s="651"/>
      <c r="L426" s="651"/>
      <c r="M426" s="651"/>
      <c r="N426" s="651"/>
      <c r="O426" s="673"/>
      <c r="P426" s="647" t="s">
        <v>71</v>
      </c>
      <c r="Q426" s="648"/>
      <c r="R426" s="648"/>
      <c r="S426" s="648"/>
      <c r="T426" s="648"/>
      <c r="U426" s="648"/>
      <c r="V426" s="649"/>
      <c r="W426" s="37" t="s">
        <v>66</v>
      </c>
      <c r="X426" s="643">
        <f>IFERROR(SUM(X422:X424),"0")</f>
        <v>0</v>
      </c>
      <c r="Y426" s="643">
        <f>IFERROR(SUM(Y422:Y424),"0")</f>
        <v>0</v>
      </c>
      <c r="Z426" s="37"/>
      <c r="AA426" s="644"/>
      <c r="AB426" s="644"/>
      <c r="AC426" s="644"/>
    </row>
    <row r="427" spans="1:68" ht="27.75" hidden="1" customHeight="1" x14ac:dyDescent="0.2">
      <c r="A427" s="666" t="s">
        <v>683</v>
      </c>
      <c r="B427" s="667"/>
      <c r="C427" s="667"/>
      <c r="D427" s="667"/>
      <c r="E427" s="667"/>
      <c r="F427" s="667"/>
      <c r="G427" s="667"/>
      <c r="H427" s="667"/>
      <c r="I427" s="667"/>
      <c r="J427" s="667"/>
      <c r="K427" s="667"/>
      <c r="L427" s="667"/>
      <c r="M427" s="667"/>
      <c r="N427" s="667"/>
      <c r="O427" s="667"/>
      <c r="P427" s="667"/>
      <c r="Q427" s="667"/>
      <c r="R427" s="667"/>
      <c r="S427" s="667"/>
      <c r="T427" s="667"/>
      <c r="U427" s="667"/>
      <c r="V427" s="667"/>
      <c r="W427" s="667"/>
      <c r="X427" s="667"/>
      <c r="Y427" s="667"/>
      <c r="Z427" s="667"/>
      <c r="AA427" s="48"/>
      <c r="AB427" s="48"/>
      <c r="AC427" s="48"/>
    </row>
    <row r="428" spans="1:68" ht="16.5" hidden="1" customHeight="1" x14ac:dyDescent="0.25">
      <c r="A428" s="655" t="s">
        <v>684</v>
      </c>
      <c r="B428" s="651"/>
      <c r="C428" s="651"/>
      <c r="D428" s="651"/>
      <c r="E428" s="651"/>
      <c r="F428" s="651"/>
      <c r="G428" s="651"/>
      <c r="H428" s="651"/>
      <c r="I428" s="651"/>
      <c r="J428" s="651"/>
      <c r="K428" s="651"/>
      <c r="L428" s="651"/>
      <c r="M428" s="651"/>
      <c r="N428" s="651"/>
      <c r="O428" s="651"/>
      <c r="P428" s="651"/>
      <c r="Q428" s="651"/>
      <c r="R428" s="651"/>
      <c r="S428" s="651"/>
      <c r="T428" s="651"/>
      <c r="U428" s="651"/>
      <c r="V428" s="651"/>
      <c r="W428" s="651"/>
      <c r="X428" s="651"/>
      <c r="Y428" s="651"/>
      <c r="Z428" s="651"/>
      <c r="AA428" s="636"/>
      <c r="AB428" s="636"/>
      <c r="AC428" s="636"/>
    </row>
    <row r="429" spans="1:68" ht="14.25" hidden="1" customHeight="1" x14ac:dyDescent="0.25">
      <c r="A429" s="650" t="s">
        <v>110</v>
      </c>
      <c r="B429" s="651"/>
      <c r="C429" s="651"/>
      <c r="D429" s="651"/>
      <c r="E429" s="651"/>
      <c r="F429" s="651"/>
      <c r="G429" s="651"/>
      <c r="H429" s="651"/>
      <c r="I429" s="651"/>
      <c r="J429" s="651"/>
      <c r="K429" s="651"/>
      <c r="L429" s="651"/>
      <c r="M429" s="651"/>
      <c r="N429" s="651"/>
      <c r="O429" s="651"/>
      <c r="P429" s="651"/>
      <c r="Q429" s="651"/>
      <c r="R429" s="651"/>
      <c r="S429" s="651"/>
      <c r="T429" s="651"/>
      <c r="U429" s="651"/>
      <c r="V429" s="651"/>
      <c r="W429" s="651"/>
      <c r="X429" s="651"/>
      <c r="Y429" s="651"/>
      <c r="Z429" s="651"/>
      <c r="AA429" s="637"/>
      <c r="AB429" s="637"/>
      <c r="AC429" s="637"/>
    </row>
    <row r="430" spans="1:68" ht="27" customHeight="1" x14ac:dyDescent="0.25">
      <c r="A430" s="54" t="s">
        <v>685</v>
      </c>
      <c r="B430" s="54" t="s">
        <v>686</v>
      </c>
      <c r="C430" s="31">
        <v>4301012332</v>
      </c>
      <c r="D430" s="659">
        <v>4680115888401</v>
      </c>
      <c r="E430" s="660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3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57"/>
      <c r="R430" s="657"/>
      <c r="S430" s="657"/>
      <c r="T430" s="658"/>
      <c r="U430" s="34"/>
      <c r="V430" s="34"/>
      <c r="W430" s="35" t="s">
        <v>66</v>
      </c>
      <c r="X430" s="641">
        <v>21</v>
      </c>
      <c r="Y430" s="642">
        <f t="shared" ref="Y430:Y437" si="72">IFERROR(IF(X430="",0,CEILING((X430/$H430),1)*$H430),"")</f>
        <v>30</v>
      </c>
      <c r="Z430" s="36">
        <f>IFERROR(IF(Y430=0,"",ROUNDUP(Y430/H430,0)*0.02175),"")</f>
        <v>4.3499999999999997E-2</v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21.658000000000001</v>
      </c>
      <c r="BN430" s="64">
        <f t="shared" ref="BN430:BN437" si="74">IFERROR(Y430*I430/H430,"0")</f>
        <v>30.94</v>
      </c>
      <c r="BO430" s="64">
        <f t="shared" ref="BO430:BO437" si="75">IFERROR(1/J430*(X430/H430),"0")</f>
        <v>2.9166666666666664E-2</v>
      </c>
      <c r="BP430" s="64">
        <f t="shared" ref="BP430:BP437" si="76">IFERROR(1/J430*(Y430/H430),"0")</f>
        <v>4.1666666666666664E-2</v>
      </c>
    </row>
    <row r="431" spans="1:68" ht="37.5" customHeight="1" x14ac:dyDescent="0.25">
      <c r="A431" s="54" t="s">
        <v>688</v>
      </c>
      <c r="B431" s="54" t="s">
        <v>689</v>
      </c>
      <c r="C431" s="31">
        <v>4301011869</v>
      </c>
      <c r="D431" s="659">
        <v>4680115884847</v>
      </c>
      <c r="E431" s="660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57"/>
      <c r="R431" s="657"/>
      <c r="S431" s="657"/>
      <c r="T431" s="658"/>
      <c r="U431" s="34"/>
      <c r="V431" s="34"/>
      <c r="W431" s="35" t="s">
        <v>66</v>
      </c>
      <c r="X431" s="641">
        <v>235</v>
      </c>
      <c r="Y431" s="642">
        <f t="shared" si="72"/>
        <v>240</v>
      </c>
      <c r="Z431" s="36">
        <f>IFERROR(IF(Y431=0,"",ROUNDUP(Y431/H431,0)*0.02175),"")</f>
        <v>0.34799999999999998</v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242.36333333333334</v>
      </c>
      <c r="BN431" s="64">
        <f t="shared" si="74"/>
        <v>247.52</v>
      </c>
      <c r="BO431" s="64">
        <f t="shared" si="75"/>
        <v>0.32638888888888884</v>
      </c>
      <c r="BP431" s="64">
        <f t="shared" si="76"/>
        <v>0.33333333333333331</v>
      </c>
    </row>
    <row r="432" spans="1:68" ht="27" customHeight="1" x14ac:dyDescent="0.25">
      <c r="A432" s="54" t="s">
        <v>691</v>
      </c>
      <c r="B432" s="54" t="s">
        <v>692</v>
      </c>
      <c r="C432" s="31">
        <v>4301012083</v>
      </c>
      <c r="D432" s="659">
        <v>4680115884854</v>
      </c>
      <c r="E432" s="660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9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57"/>
      <c r="R432" s="657"/>
      <c r="S432" s="657"/>
      <c r="T432" s="658"/>
      <c r="U432" s="34"/>
      <c r="V432" s="34"/>
      <c r="W432" s="35" t="s">
        <v>66</v>
      </c>
      <c r="X432" s="641">
        <v>27</v>
      </c>
      <c r="Y432" s="642">
        <f t="shared" si="72"/>
        <v>30</v>
      </c>
      <c r="Z432" s="36">
        <f>IFERROR(IF(Y432=0,"",ROUNDUP(Y432/H432,0)*0.02175),"")</f>
        <v>4.3499999999999997E-2</v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27.846</v>
      </c>
      <c r="BN432" s="64">
        <f t="shared" si="74"/>
        <v>30.94</v>
      </c>
      <c r="BO432" s="64">
        <f t="shared" si="75"/>
        <v>3.7499999999999999E-2</v>
      </c>
      <c r="BP432" s="64">
        <f t="shared" si="76"/>
        <v>4.1666666666666664E-2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59">
        <v>4680115884830</v>
      </c>
      <c r="E433" s="660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10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57"/>
      <c r="R433" s="657"/>
      <c r="S433" s="657"/>
      <c r="T433" s="658"/>
      <c r="U433" s="34"/>
      <c r="V433" s="34"/>
      <c r="W433" s="35" t="s">
        <v>66</v>
      </c>
      <c r="X433" s="641">
        <v>480</v>
      </c>
      <c r="Y433" s="642">
        <f t="shared" si="72"/>
        <v>480</v>
      </c>
      <c r="Z433" s="36">
        <f>IFERROR(IF(Y433=0,"",ROUNDUP(Y433/H433,0)*0.02175),"")</f>
        <v>0.69599999999999995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495.04</v>
      </c>
      <c r="BN433" s="64">
        <f t="shared" si="74"/>
        <v>495.04</v>
      </c>
      <c r="BO433" s="64">
        <f t="shared" si="75"/>
        <v>0.66666666666666663</v>
      </c>
      <c r="BP433" s="64">
        <f t="shared" si="76"/>
        <v>0.66666666666666663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59">
        <v>4680115889231</v>
      </c>
      <c r="E434" s="660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57"/>
      <c r="R434" s="657"/>
      <c r="S434" s="657"/>
      <c r="T434" s="658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59">
        <v>4680115882638</v>
      </c>
      <c r="E435" s="660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7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57"/>
      <c r="R435" s="657"/>
      <c r="S435" s="657"/>
      <c r="T435" s="658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59">
        <v>4680115884922</v>
      </c>
      <c r="E436" s="660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57"/>
      <c r="R436" s="657"/>
      <c r="S436" s="657"/>
      <c r="T436" s="658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59">
        <v>4680115884861</v>
      </c>
      <c r="E437" s="660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7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57"/>
      <c r="R437" s="657"/>
      <c r="S437" s="657"/>
      <c r="T437" s="658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2"/>
      <c r="B438" s="651"/>
      <c r="C438" s="651"/>
      <c r="D438" s="651"/>
      <c r="E438" s="651"/>
      <c r="F438" s="651"/>
      <c r="G438" s="651"/>
      <c r="H438" s="651"/>
      <c r="I438" s="651"/>
      <c r="J438" s="651"/>
      <c r="K438" s="651"/>
      <c r="L438" s="651"/>
      <c r="M438" s="651"/>
      <c r="N438" s="651"/>
      <c r="O438" s="673"/>
      <c r="P438" s="647" t="s">
        <v>71</v>
      </c>
      <c r="Q438" s="648"/>
      <c r="R438" s="648"/>
      <c r="S438" s="648"/>
      <c r="T438" s="648"/>
      <c r="U438" s="648"/>
      <c r="V438" s="649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50.866666666666667</v>
      </c>
      <c r="Y438" s="643">
        <f>IFERROR(Y430/H430,"0")+IFERROR(Y431/H431,"0")+IFERROR(Y432/H432,"0")+IFERROR(Y433/H433,"0")+IFERROR(Y434/H434,"0")+IFERROR(Y435/H435,"0")+IFERROR(Y436/H436,"0")+IFERROR(Y437/H437,"0")</f>
        <v>52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1.1309999999999998</v>
      </c>
      <c r="AA438" s="644"/>
      <c r="AB438" s="644"/>
      <c r="AC438" s="644"/>
    </row>
    <row r="439" spans="1:68" x14ac:dyDescent="0.2">
      <c r="A439" s="651"/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73"/>
      <c r="P439" s="647" t="s">
        <v>71</v>
      </c>
      <c r="Q439" s="648"/>
      <c r="R439" s="648"/>
      <c r="S439" s="648"/>
      <c r="T439" s="648"/>
      <c r="U439" s="648"/>
      <c r="V439" s="649"/>
      <c r="W439" s="37" t="s">
        <v>66</v>
      </c>
      <c r="X439" s="643">
        <f>IFERROR(SUM(X430:X437),"0")</f>
        <v>763</v>
      </c>
      <c r="Y439" s="643">
        <f>IFERROR(SUM(Y430:Y437),"0")</f>
        <v>780</v>
      </c>
      <c r="Z439" s="37"/>
      <c r="AA439" s="644"/>
      <c r="AB439" s="644"/>
      <c r="AC439" s="644"/>
    </row>
    <row r="440" spans="1:68" ht="14.25" hidden="1" customHeight="1" x14ac:dyDescent="0.25">
      <c r="A440" s="650" t="s">
        <v>147</v>
      </c>
      <c r="B440" s="651"/>
      <c r="C440" s="651"/>
      <c r="D440" s="651"/>
      <c r="E440" s="651"/>
      <c r="F440" s="651"/>
      <c r="G440" s="651"/>
      <c r="H440" s="651"/>
      <c r="I440" s="651"/>
      <c r="J440" s="651"/>
      <c r="K440" s="651"/>
      <c r="L440" s="651"/>
      <c r="M440" s="651"/>
      <c r="N440" s="651"/>
      <c r="O440" s="651"/>
      <c r="P440" s="651"/>
      <c r="Q440" s="651"/>
      <c r="R440" s="651"/>
      <c r="S440" s="651"/>
      <c r="T440" s="651"/>
      <c r="U440" s="651"/>
      <c r="V440" s="651"/>
      <c r="W440" s="651"/>
      <c r="X440" s="651"/>
      <c r="Y440" s="651"/>
      <c r="Z440" s="651"/>
      <c r="AA440" s="637"/>
      <c r="AB440" s="637"/>
      <c r="AC440" s="637"/>
    </row>
    <row r="441" spans="1:68" ht="27" customHeight="1" x14ac:dyDescent="0.25">
      <c r="A441" s="54" t="s">
        <v>709</v>
      </c>
      <c r="B441" s="54" t="s">
        <v>710</v>
      </c>
      <c r="C441" s="31">
        <v>4301020178</v>
      </c>
      <c r="D441" s="659">
        <v>4607091383980</v>
      </c>
      <c r="E441" s="660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57"/>
      <c r="R441" s="657"/>
      <c r="S441" s="657"/>
      <c r="T441" s="658"/>
      <c r="U441" s="34"/>
      <c r="V441" s="34"/>
      <c r="W441" s="35" t="s">
        <v>66</v>
      </c>
      <c r="X441" s="641">
        <v>348</v>
      </c>
      <c r="Y441" s="642">
        <f>IFERROR(IF(X441="",0,CEILING((X441/$H441),1)*$H441),"")</f>
        <v>360</v>
      </c>
      <c r="Z441" s="36">
        <f>IFERROR(IF(Y441=0,"",ROUNDUP(Y441/H441,0)*0.02175),"")</f>
        <v>0.52200000000000002</v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358.90400000000005</v>
      </c>
      <c r="BN441" s="64">
        <f>IFERROR(Y441*I441/H441,"0")</f>
        <v>371.28</v>
      </c>
      <c r="BO441" s="64">
        <f>IFERROR(1/J441*(X441/H441),"0")</f>
        <v>0.48333333333333328</v>
      </c>
      <c r="BP441" s="64">
        <f>IFERROR(1/J441*(Y441/H441),"0")</f>
        <v>0.5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59">
        <v>4680115888425</v>
      </c>
      <c r="E442" s="660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57"/>
      <c r="R442" s="657"/>
      <c r="S442" s="657"/>
      <c r="T442" s="658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59">
        <v>4607091384178</v>
      </c>
      <c r="E443" s="660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57"/>
      <c r="R443" s="657"/>
      <c r="S443" s="657"/>
      <c r="T443" s="658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72"/>
      <c r="B444" s="651"/>
      <c r="C444" s="651"/>
      <c r="D444" s="651"/>
      <c r="E444" s="651"/>
      <c r="F444" s="651"/>
      <c r="G444" s="651"/>
      <c r="H444" s="651"/>
      <c r="I444" s="651"/>
      <c r="J444" s="651"/>
      <c r="K444" s="651"/>
      <c r="L444" s="651"/>
      <c r="M444" s="651"/>
      <c r="N444" s="651"/>
      <c r="O444" s="673"/>
      <c r="P444" s="647" t="s">
        <v>71</v>
      </c>
      <c r="Q444" s="648"/>
      <c r="R444" s="648"/>
      <c r="S444" s="648"/>
      <c r="T444" s="648"/>
      <c r="U444" s="648"/>
      <c r="V444" s="649"/>
      <c r="W444" s="37" t="s">
        <v>72</v>
      </c>
      <c r="X444" s="643">
        <f>IFERROR(X441/H441,"0")+IFERROR(X442/H442,"0")+IFERROR(X443/H443,"0")</f>
        <v>23.2</v>
      </c>
      <c r="Y444" s="643">
        <f>IFERROR(Y441/H441,"0")+IFERROR(Y442/H442,"0")+IFERROR(Y443/H443,"0")</f>
        <v>24</v>
      </c>
      <c r="Z444" s="643">
        <f>IFERROR(IF(Z441="",0,Z441),"0")+IFERROR(IF(Z442="",0,Z442),"0")+IFERROR(IF(Z443="",0,Z443),"0")</f>
        <v>0.52200000000000002</v>
      </c>
      <c r="AA444" s="644"/>
      <c r="AB444" s="644"/>
      <c r="AC444" s="644"/>
    </row>
    <row r="445" spans="1:68" x14ac:dyDescent="0.2">
      <c r="A445" s="651"/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73"/>
      <c r="P445" s="647" t="s">
        <v>71</v>
      </c>
      <c r="Q445" s="648"/>
      <c r="R445" s="648"/>
      <c r="S445" s="648"/>
      <c r="T445" s="648"/>
      <c r="U445" s="648"/>
      <c r="V445" s="649"/>
      <c r="W445" s="37" t="s">
        <v>66</v>
      </c>
      <c r="X445" s="643">
        <f>IFERROR(SUM(X441:X443),"0")</f>
        <v>348</v>
      </c>
      <c r="Y445" s="643">
        <f>IFERROR(SUM(Y441:Y443),"0")</f>
        <v>360</v>
      </c>
      <c r="Z445" s="37"/>
      <c r="AA445" s="644"/>
      <c r="AB445" s="644"/>
      <c r="AC445" s="644"/>
    </row>
    <row r="446" spans="1:68" ht="14.25" hidden="1" customHeight="1" x14ac:dyDescent="0.25">
      <c r="A446" s="650" t="s">
        <v>73</v>
      </c>
      <c r="B446" s="651"/>
      <c r="C446" s="651"/>
      <c r="D446" s="651"/>
      <c r="E446" s="651"/>
      <c r="F446" s="651"/>
      <c r="G446" s="651"/>
      <c r="H446" s="651"/>
      <c r="I446" s="651"/>
      <c r="J446" s="651"/>
      <c r="K446" s="651"/>
      <c r="L446" s="651"/>
      <c r="M446" s="651"/>
      <c r="N446" s="651"/>
      <c r="O446" s="651"/>
      <c r="P446" s="651"/>
      <c r="Q446" s="651"/>
      <c r="R446" s="651"/>
      <c r="S446" s="651"/>
      <c r="T446" s="651"/>
      <c r="U446" s="651"/>
      <c r="V446" s="651"/>
      <c r="W446" s="651"/>
      <c r="X446" s="651"/>
      <c r="Y446" s="651"/>
      <c r="Z446" s="651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59">
        <v>4607091383928</v>
      </c>
      <c r="E447" s="660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57"/>
      <c r="R447" s="657"/>
      <c r="S447" s="657"/>
      <c r="T447" s="658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customHeight="1" x14ac:dyDescent="0.25">
      <c r="A448" s="54" t="s">
        <v>721</v>
      </c>
      <c r="B448" s="54" t="s">
        <v>722</v>
      </c>
      <c r="C448" s="31">
        <v>4301051897</v>
      </c>
      <c r="D448" s="659">
        <v>4607091384260</v>
      </c>
      <c r="E448" s="660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4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57"/>
      <c r="R448" s="657"/>
      <c r="S448" s="657"/>
      <c r="T448" s="658"/>
      <c r="U448" s="34"/>
      <c r="V448" s="34"/>
      <c r="W448" s="35" t="s">
        <v>66</v>
      </c>
      <c r="X448" s="641">
        <v>10</v>
      </c>
      <c r="Y448" s="642">
        <f>IFERROR(IF(X448="",0,CEILING((X448/$H448),1)*$H448),"")</f>
        <v>18</v>
      </c>
      <c r="Z448" s="36">
        <f>IFERROR(IF(Y448=0,"",ROUNDUP(Y448/H448,0)*0.01898),"")</f>
        <v>3.7960000000000001E-2</v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10.548888888888889</v>
      </c>
      <c r="BN448" s="64">
        <f>IFERROR(Y448*I448/H448,"0")</f>
        <v>18.988</v>
      </c>
      <c r="BO448" s="64">
        <f>IFERROR(1/J448*(X448/H448),"0")</f>
        <v>1.7361111111111112E-2</v>
      </c>
      <c r="BP448" s="64">
        <f>IFERROR(1/J448*(Y448/H448),"0")</f>
        <v>3.125E-2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59">
        <v>4680115889538</v>
      </c>
      <c r="E449" s="660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99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57"/>
      <c r="R449" s="657"/>
      <c r="S449" s="657"/>
      <c r="T449" s="658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x14ac:dyDescent="0.2">
      <c r="A450" s="672"/>
      <c r="B450" s="651"/>
      <c r="C450" s="651"/>
      <c r="D450" s="651"/>
      <c r="E450" s="651"/>
      <c r="F450" s="651"/>
      <c r="G450" s="651"/>
      <c r="H450" s="651"/>
      <c r="I450" s="651"/>
      <c r="J450" s="651"/>
      <c r="K450" s="651"/>
      <c r="L450" s="651"/>
      <c r="M450" s="651"/>
      <c r="N450" s="651"/>
      <c r="O450" s="673"/>
      <c r="P450" s="647" t="s">
        <v>71</v>
      </c>
      <c r="Q450" s="648"/>
      <c r="R450" s="648"/>
      <c r="S450" s="648"/>
      <c r="T450" s="648"/>
      <c r="U450" s="648"/>
      <c r="V450" s="649"/>
      <c r="W450" s="37" t="s">
        <v>72</v>
      </c>
      <c r="X450" s="643">
        <f>IFERROR(X447/H447,"0")+IFERROR(X448/H448,"0")+IFERROR(X449/H449,"0")</f>
        <v>1.1111111111111112</v>
      </c>
      <c r="Y450" s="643">
        <f>IFERROR(Y447/H447,"0")+IFERROR(Y448/H448,"0")+IFERROR(Y449/H449,"0")</f>
        <v>2</v>
      </c>
      <c r="Z450" s="643">
        <f>IFERROR(IF(Z447="",0,Z447),"0")+IFERROR(IF(Z448="",0,Z448),"0")+IFERROR(IF(Z449="",0,Z449),"0")</f>
        <v>3.7960000000000001E-2</v>
      </c>
      <c r="AA450" s="644"/>
      <c r="AB450" s="644"/>
      <c r="AC450" s="644"/>
    </row>
    <row r="451" spans="1:68" x14ac:dyDescent="0.2">
      <c r="A451" s="651"/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73"/>
      <c r="P451" s="647" t="s">
        <v>71</v>
      </c>
      <c r="Q451" s="648"/>
      <c r="R451" s="648"/>
      <c r="S451" s="648"/>
      <c r="T451" s="648"/>
      <c r="U451" s="648"/>
      <c r="V451" s="649"/>
      <c r="W451" s="37" t="s">
        <v>66</v>
      </c>
      <c r="X451" s="643">
        <f>IFERROR(SUM(X447:X449),"0")</f>
        <v>10</v>
      </c>
      <c r="Y451" s="643">
        <f>IFERROR(SUM(Y447:Y449),"0")</f>
        <v>18</v>
      </c>
      <c r="Z451" s="37"/>
      <c r="AA451" s="644"/>
      <c r="AB451" s="644"/>
      <c r="AC451" s="644"/>
    </row>
    <row r="452" spans="1:68" ht="14.25" hidden="1" customHeight="1" x14ac:dyDescent="0.25">
      <c r="A452" s="650" t="s">
        <v>166</v>
      </c>
      <c r="B452" s="651"/>
      <c r="C452" s="651"/>
      <c r="D452" s="651"/>
      <c r="E452" s="651"/>
      <c r="F452" s="651"/>
      <c r="G452" s="651"/>
      <c r="H452" s="651"/>
      <c r="I452" s="651"/>
      <c r="J452" s="651"/>
      <c r="K452" s="651"/>
      <c r="L452" s="651"/>
      <c r="M452" s="651"/>
      <c r="N452" s="651"/>
      <c r="O452" s="651"/>
      <c r="P452" s="651"/>
      <c r="Q452" s="651"/>
      <c r="R452" s="651"/>
      <c r="S452" s="651"/>
      <c r="T452" s="651"/>
      <c r="U452" s="651"/>
      <c r="V452" s="651"/>
      <c r="W452" s="651"/>
      <c r="X452" s="651"/>
      <c r="Y452" s="651"/>
      <c r="Z452" s="651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59">
        <v>4680115889545</v>
      </c>
      <c r="E453" s="660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1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57"/>
      <c r="R453" s="657"/>
      <c r="S453" s="657"/>
      <c r="T453" s="658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hidden="1" customHeight="1" x14ac:dyDescent="0.25">
      <c r="A454" s="54" t="s">
        <v>730</v>
      </c>
      <c r="B454" s="54" t="s">
        <v>731</v>
      </c>
      <c r="C454" s="31">
        <v>4301060524</v>
      </c>
      <c r="D454" s="659">
        <v>4607091384673</v>
      </c>
      <c r="E454" s="660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57"/>
      <c r="R454" s="657"/>
      <c r="S454" s="657"/>
      <c r="T454" s="658"/>
      <c r="U454" s="34"/>
      <c r="V454" s="34"/>
      <c r="W454" s="35" t="s">
        <v>66</v>
      </c>
      <c r="X454" s="641">
        <v>0</v>
      </c>
      <c r="Y454" s="642">
        <f>IFERROR(IF(X454="",0,CEILING((X454/$H454),1)*$H454),"")</f>
        <v>0</v>
      </c>
      <c r="Z454" s="36" t="str">
        <f>IFERROR(IF(Y454=0,"",ROUNDUP(Y454/H454,0)*0.01898),"")</f>
        <v/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72"/>
      <c r="B455" s="651"/>
      <c r="C455" s="651"/>
      <c r="D455" s="651"/>
      <c r="E455" s="651"/>
      <c r="F455" s="651"/>
      <c r="G455" s="651"/>
      <c r="H455" s="651"/>
      <c r="I455" s="651"/>
      <c r="J455" s="651"/>
      <c r="K455" s="651"/>
      <c r="L455" s="651"/>
      <c r="M455" s="651"/>
      <c r="N455" s="651"/>
      <c r="O455" s="673"/>
      <c r="P455" s="647" t="s">
        <v>71</v>
      </c>
      <c r="Q455" s="648"/>
      <c r="R455" s="648"/>
      <c r="S455" s="648"/>
      <c r="T455" s="648"/>
      <c r="U455" s="648"/>
      <c r="V455" s="649"/>
      <c r="W455" s="37" t="s">
        <v>72</v>
      </c>
      <c r="X455" s="643">
        <f>IFERROR(X453/H453,"0")+IFERROR(X454/H454,"0")</f>
        <v>0</v>
      </c>
      <c r="Y455" s="643">
        <f>IFERROR(Y453/H453,"0")+IFERROR(Y454/H454,"0")</f>
        <v>0</v>
      </c>
      <c r="Z455" s="643">
        <f>IFERROR(IF(Z453="",0,Z453),"0")+IFERROR(IF(Z454="",0,Z454),"0")</f>
        <v>0</v>
      </c>
      <c r="AA455" s="644"/>
      <c r="AB455" s="644"/>
      <c r="AC455" s="644"/>
    </row>
    <row r="456" spans="1:68" hidden="1" x14ac:dyDescent="0.2">
      <c r="A456" s="651"/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73"/>
      <c r="P456" s="647" t="s">
        <v>71</v>
      </c>
      <c r="Q456" s="648"/>
      <c r="R456" s="648"/>
      <c r="S456" s="648"/>
      <c r="T456" s="648"/>
      <c r="U456" s="648"/>
      <c r="V456" s="649"/>
      <c r="W456" s="37" t="s">
        <v>66</v>
      </c>
      <c r="X456" s="643">
        <f>IFERROR(SUM(X453:X454),"0")</f>
        <v>0</v>
      </c>
      <c r="Y456" s="643">
        <f>IFERROR(SUM(Y453:Y454),"0")</f>
        <v>0</v>
      </c>
      <c r="Z456" s="37"/>
      <c r="AA456" s="644"/>
      <c r="AB456" s="644"/>
      <c r="AC456" s="644"/>
    </row>
    <row r="457" spans="1:68" ht="16.5" hidden="1" customHeight="1" x14ac:dyDescent="0.25">
      <c r="A457" s="655" t="s">
        <v>733</v>
      </c>
      <c r="B457" s="651"/>
      <c r="C457" s="651"/>
      <c r="D457" s="651"/>
      <c r="E457" s="651"/>
      <c r="F457" s="651"/>
      <c r="G457" s="651"/>
      <c r="H457" s="651"/>
      <c r="I457" s="651"/>
      <c r="J457" s="651"/>
      <c r="K457" s="651"/>
      <c r="L457" s="651"/>
      <c r="M457" s="651"/>
      <c r="N457" s="651"/>
      <c r="O457" s="651"/>
      <c r="P457" s="651"/>
      <c r="Q457" s="651"/>
      <c r="R457" s="651"/>
      <c r="S457" s="651"/>
      <c r="T457" s="651"/>
      <c r="U457" s="651"/>
      <c r="V457" s="651"/>
      <c r="W457" s="651"/>
      <c r="X457" s="651"/>
      <c r="Y457" s="651"/>
      <c r="Z457" s="651"/>
      <c r="AA457" s="636"/>
      <c r="AB457" s="636"/>
      <c r="AC457" s="636"/>
    </row>
    <row r="458" spans="1:68" ht="14.25" hidden="1" customHeight="1" x14ac:dyDescent="0.25">
      <c r="A458" s="650" t="s">
        <v>110</v>
      </c>
      <c r="B458" s="651"/>
      <c r="C458" s="651"/>
      <c r="D458" s="651"/>
      <c r="E458" s="651"/>
      <c r="F458" s="651"/>
      <c r="G458" s="651"/>
      <c r="H458" s="651"/>
      <c r="I458" s="651"/>
      <c r="J458" s="651"/>
      <c r="K458" s="651"/>
      <c r="L458" s="651"/>
      <c r="M458" s="651"/>
      <c r="N458" s="651"/>
      <c r="O458" s="651"/>
      <c r="P458" s="651"/>
      <c r="Q458" s="651"/>
      <c r="R458" s="651"/>
      <c r="S458" s="651"/>
      <c r="T458" s="651"/>
      <c r="U458" s="651"/>
      <c r="V458" s="651"/>
      <c r="W458" s="651"/>
      <c r="X458" s="651"/>
      <c r="Y458" s="651"/>
      <c r="Z458" s="651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59">
        <v>4680115884885</v>
      </c>
      <c r="E459" s="660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57"/>
      <c r="R459" s="657"/>
      <c r="S459" s="657"/>
      <c r="T459" s="658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59">
        <v>4680115884908</v>
      </c>
      <c r="E460" s="660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57"/>
      <c r="R460" s="657"/>
      <c r="S460" s="657"/>
      <c r="T460" s="658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2"/>
      <c r="B461" s="651"/>
      <c r="C461" s="651"/>
      <c r="D461" s="651"/>
      <c r="E461" s="651"/>
      <c r="F461" s="651"/>
      <c r="G461" s="651"/>
      <c r="H461" s="651"/>
      <c r="I461" s="651"/>
      <c r="J461" s="651"/>
      <c r="K461" s="651"/>
      <c r="L461" s="651"/>
      <c r="M461" s="651"/>
      <c r="N461" s="651"/>
      <c r="O461" s="673"/>
      <c r="P461" s="647" t="s">
        <v>71</v>
      </c>
      <c r="Q461" s="648"/>
      <c r="R461" s="648"/>
      <c r="S461" s="648"/>
      <c r="T461" s="648"/>
      <c r="U461" s="648"/>
      <c r="V461" s="649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51"/>
      <c r="B462" s="651"/>
      <c r="C462" s="651"/>
      <c r="D462" s="651"/>
      <c r="E462" s="651"/>
      <c r="F462" s="651"/>
      <c r="G462" s="651"/>
      <c r="H462" s="651"/>
      <c r="I462" s="651"/>
      <c r="J462" s="651"/>
      <c r="K462" s="651"/>
      <c r="L462" s="651"/>
      <c r="M462" s="651"/>
      <c r="N462" s="651"/>
      <c r="O462" s="673"/>
      <c r="P462" s="647" t="s">
        <v>71</v>
      </c>
      <c r="Q462" s="648"/>
      <c r="R462" s="648"/>
      <c r="S462" s="648"/>
      <c r="T462" s="648"/>
      <c r="U462" s="648"/>
      <c r="V462" s="649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50" t="s">
        <v>61</v>
      </c>
      <c r="B463" s="651"/>
      <c r="C463" s="651"/>
      <c r="D463" s="651"/>
      <c r="E463" s="651"/>
      <c r="F463" s="651"/>
      <c r="G463" s="651"/>
      <c r="H463" s="651"/>
      <c r="I463" s="651"/>
      <c r="J463" s="651"/>
      <c r="K463" s="651"/>
      <c r="L463" s="651"/>
      <c r="M463" s="651"/>
      <c r="N463" s="651"/>
      <c r="O463" s="651"/>
      <c r="P463" s="651"/>
      <c r="Q463" s="651"/>
      <c r="R463" s="651"/>
      <c r="S463" s="651"/>
      <c r="T463" s="651"/>
      <c r="U463" s="651"/>
      <c r="V463" s="651"/>
      <c r="W463" s="651"/>
      <c r="X463" s="651"/>
      <c r="Y463" s="651"/>
      <c r="Z463" s="651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59">
        <v>4607091384802</v>
      </c>
      <c r="E464" s="660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84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57"/>
      <c r="R464" s="657"/>
      <c r="S464" s="657"/>
      <c r="T464" s="658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2"/>
      <c r="B465" s="651"/>
      <c r="C465" s="651"/>
      <c r="D465" s="651"/>
      <c r="E465" s="651"/>
      <c r="F465" s="651"/>
      <c r="G465" s="651"/>
      <c r="H465" s="651"/>
      <c r="I465" s="651"/>
      <c r="J465" s="651"/>
      <c r="K465" s="651"/>
      <c r="L465" s="651"/>
      <c r="M465" s="651"/>
      <c r="N465" s="651"/>
      <c r="O465" s="673"/>
      <c r="P465" s="647" t="s">
        <v>71</v>
      </c>
      <c r="Q465" s="648"/>
      <c r="R465" s="648"/>
      <c r="S465" s="648"/>
      <c r="T465" s="648"/>
      <c r="U465" s="648"/>
      <c r="V465" s="649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51"/>
      <c r="B466" s="651"/>
      <c r="C466" s="651"/>
      <c r="D466" s="651"/>
      <c r="E466" s="651"/>
      <c r="F466" s="651"/>
      <c r="G466" s="651"/>
      <c r="H466" s="651"/>
      <c r="I466" s="651"/>
      <c r="J466" s="651"/>
      <c r="K466" s="651"/>
      <c r="L466" s="651"/>
      <c r="M466" s="651"/>
      <c r="N466" s="651"/>
      <c r="O466" s="673"/>
      <c r="P466" s="647" t="s">
        <v>71</v>
      </c>
      <c r="Q466" s="648"/>
      <c r="R466" s="648"/>
      <c r="S466" s="648"/>
      <c r="T466" s="648"/>
      <c r="U466" s="648"/>
      <c r="V466" s="649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50" t="s">
        <v>73</v>
      </c>
      <c r="B467" s="651"/>
      <c r="C467" s="651"/>
      <c r="D467" s="651"/>
      <c r="E467" s="651"/>
      <c r="F467" s="651"/>
      <c r="G467" s="651"/>
      <c r="H467" s="651"/>
      <c r="I467" s="651"/>
      <c r="J467" s="651"/>
      <c r="K467" s="651"/>
      <c r="L467" s="651"/>
      <c r="M467" s="651"/>
      <c r="N467" s="651"/>
      <c r="O467" s="651"/>
      <c r="P467" s="651"/>
      <c r="Q467" s="651"/>
      <c r="R467" s="651"/>
      <c r="S467" s="651"/>
      <c r="T467" s="651"/>
      <c r="U467" s="651"/>
      <c r="V467" s="651"/>
      <c r="W467" s="651"/>
      <c r="X467" s="651"/>
      <c r="Y467" s="651"/>
      <c r="Z467" s="651"/>
      <c r="AA467" s="637"/>
      <c r="AB467" s="637"/>
      <c r="AC467" s="637"/>
    </row>
    <row r="468" spans="1:68" ht="27" customHeight="1" x14ac:dyDescent="0.25">
      <c r="A468" s="54" t="s">
        <v>742</v>
      </c>
      <c r="B468" s="54" t="s">
        <v>743</v>
      </c>
      <c r="C468" s="31">
        <v>4301051899</v>
      </c>
      <c r="D468" s="659">
        <v>4607091384246</v>
      </c>
      <c r="E468" s="660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57"/>
      <c r="R468" s="657"/>
      <c r="S468" s="657"/>
      <c r="T468" s="658"/>
      <c r="U468" s="34"/>
      <c r="V468" s="34"/>
      <c r="W468" s="35" t="s">
        <v>66</v>
      </c>
      <c r="X468" s="641">
        <v>357</v>
      </c>
      <c r="Y468" s="642">
        <f>IFERROR(IF(X468="",0,CEILING((X468/$H468),1)*$H468),"")</f>
        <v>360</v>
      </c>
      <c r="Z468" s="36">
        <f>IFERROR(IF(Y468=0,"",ROUNDUP(Y468/H468,0)*0.01898),"")</f>
        <v>0.75919999999999999</v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376.59533333333331</v>
      </c>
      <c r="BN468" s="64">
        <f>IFERROR(Y468*I468/H468,"0")</f>
        <v>379.76</v>
      </c>
      <c r="BO468" s="64">
        <f>IFERROR(1/J468*(X468/H468),"0")</f>
        <v>0.61979166666666663</v>
      </c>
      <c r="BP468" s="64">
        <f>IFERROR(1/J468*(Y468/H468),"0")</f>
        <v>0.625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59">
        <v>4607091384253</v>
      </c>
      <c r="E469" s="660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57"/>
      <c r="R469" s="657"/>
      <c r="S469" s="657"/>
      <c r="T469" s="658"/>
      <c r="U469" s="34"/>
      <c r="V469" s="34"/>
      <c r="W469" s="35" t="s">
        <v>66</v>
      </c>
      <c r="X469" s="641">
        <v>20</v>
      </c>
      <c r="Y469" s="642">
        <f>IFERROR(IF(X469="",0,CEILING((X469/$H469),1)*$H469),"")</f>
        <v>21.599999999999998</v>
      </c>
      <c r="Z469" s="36">
        <f>IFERROR(IF(Y469=0,"",ROUNDUP(Y469/H469,0)*0.00651),"")</f>
        <v>5.8590000000000003E-2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22.200000000000003</v>
      </c>
      <c r="BN469" s="64">
        <f>IFERROR(Y469*I469/H469,"0")</f>
        <v>23.976000000000003</v>
      </c>
      <c r="BO469" s="64">
        <f>IFERROR(1/J469*(X469/H469),"0")</f>
        <v>4.5787545787545791E-2</v>
      </c>
      <c r="BP469" s="64">
        <f>IFERROR(1/J469*(Y469/H469),"0")</f>
        <v>4.9450549450549455E-2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59">
        <v>4607091384253</v>
      </c>
      <c r="E470" s="660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1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57"/>
      <c r="R470" s="657"/>
      <c r="S470" s="657"/>
      <c r="T470" s="658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2"/>
      <c r="B471" s="651"/>
      <c r="C471" s="651"/>
      <c r="D471" s="651"/>
      <c r="E471" s="651"/>
      <c r="F471" s="651"/>
      <c r="G471" s="651"/>
      <c r="H471" s="651"/>
      <c r="I471" s="651"/>
      <c r="J471" s="651"/>
      <c r="K471" s="651"/>
      <c r="L471" s="651"/>
      <c r="M471" s="651"/>
      <c r="N471" s="651"/>
      <c r="O471" s="673"/>
      <c r="P471" s="647" t="s">
        <v>71</v>
      </c>
      <c r="Q471" s="648"/>
      <c r="R471" s="648"/>
      <c r="S471" s="648"/>
      <c r="T471" s="648"/>
      <c r="U471" s="648"/>
      <c r="V471" s="649"/>
      <c r="W471" s="37" t="s">
        <v>72</v>
      </c>
      <c r="X471" s="643">
        <f>IFERROR(X468/H468,"0")+IFERROR(X469/H469,"0")+IFERROR(X470/H470,"0")</f>
        <v>48</v>
      </c>
      <c r="Y471" s="643">
        <f>IFERROR(Y468/H468,"0")+IFERROR(Y469/H469,"0")+IFERROR(Y470/H470,"0")</f>
        <v>49</v>
      </c>
      <c r="Z471" s="643">
        <f>IFERROR(IF(Z468="",0,Z468),"0")+IFERROR(IF(Z469="",0,Z469),"0")+IFERROR(IF(Z470="",0,Z470),"0")</f>
        <v>0.81779000000000002</v>
      </c>
      <c r="AA471" s="644"/>
      <c r="AB471" s="644"/>
      <c r="AC471" s="644"/>
    </row>
    <row r="472" spans="1:68" x14ac:dyDescent="0.2">
      <c r="A472" s="651"/>
      <c r="B472" s="651"/>
      <c r="C472" s="651"/>
      <c r="D472" s="651"/>
      <c r="E472" s="651"/>
      <c r="F472" s="651"/>
      <c r="G472" s="651"/>
      <c r="H472" s="651"/>
      <c r="I472" s="651"/>
      <c r="J472" s="651"/>
      <c r="K472" s="651"/>
      <c r="L472" s="651"/>
      <c r="M472" s="651"/>
      <c r="N472" s="651"/>
      <c r="O472" s="673"/>
      <c r="P472" s="647" t="s">
        <v>71</v>
      </c>
      <c r="Q472" s="648"/>
      <c r="R472" s="648"/>
      <c r="S472" s="648"/>
      <c r="T472" s="648"/>
      <c r="U472" s="648"/>
      <c r="V472" s="649"/>
      <c r="W472" s="37" t="s">
        <v>66</v>
      </c>
      <c r="X472" s="643">
        <f>IFERROR(SUM(X468:X470),"0")</f>
        <v>377</v>
      </c>
      <c r="Y472" s="643">
        <f>IFERROR(SUM(Y468:Y470),"0")</f>
        <v>381.6</v>
      </c>
      <c r="Z472" s="37"/>
      <c r="AA472" s="644"/>
      <c r="AB472" s="644"/>
      <c r="AC472" s="644"/>
    </row>
    <row r="473" spans="1:68" ht="27.75" hidden="1" customHeight="1" x14ac:dyDescent="0.2">
      <c r="A473" s="666" t="s">
        <v>749</v>
      </c>
      <c r="B473" s="667"/>
      <c r="C473" s="667"/>
      <c r="D473" s="667"/>
      <c r="E473" s="667"/>
      <c r="F473" s="667"/>
      <c r="G473" s="667"/>
      <c r="H473" s="667"/>
      <c r="I473" s="667"/>
      <c r="J473" s="667"/>
      <c r="K473" s="667"/>
      <c r="L473" s="667"/>
      <c r="M473" s="667"/>
      <c r="N473" s="667"/>
      <c r="O473" s="667"/>
      <c r="P473" s="667"/>
      <c r="Q473" s="667"/>
      <c r="R473" s="667"/>
      <c r="S473" s="667"/>
      <c r="T473" s="667"/>
      <c r="U473" s="667"/>
      <c r="V473" s="667"/>
      <c r="W473" s="667"/>
      <c r="X473" s="667"/>
      <c r="Y473" s="667"/>
      <c r="Z473" s="667"/>
      <c r="AA473" s="48"/>
      <c r="AB473" s="48"/>
      <c r="AC473" s="48"/>
    </row>
    <row r="474" spans="1:68" ht="16.5" hidden="1" customHeight="1" x14ac:dyDescent="0.25">
      <c r="A474" s="655" t="s">
        <v>750</v>
      </c>
      <c r="B474" s="651"/>
      <c r="C474" s="651"/>
      <c r="D474" s="651"/>
      <c r="E474" s="651"/>
      <c r="F474" s="651"/>
      <c r="G474" s="651"/>
      <c r="H474" s="651"/>
      <c r="I474" s="651"/>
      <c r="J474" s="651"/>
      <c r="K474" s="651"/>
      <c r="L474" s="651"/>
      <c r="M474" s="651"/>
      <c r="N474" s="651"/>
      <c r="O474" s="651"/>
      <c r="P474" s="651"/>
      <c r="Q474" s="651"/>
      <c r="R474" s="651"/>
      <c r="S474" s="651"/>
      <c r="T474" s="651"/>
      <c r="U474" s="651"/>
      <c r="V474" s="651"/>
      <c r="W474" s="651"/>
      <c r="X474" s="651"/>
      <c r="Y474" s="651"/>
      <c r="Z474" s="651"/>
      <c r="AA474" s="636"/>
      <c r="AB474" s="636"/>
      <c r="AC474" s="636"/>
    </row>
    <row r="475" spans="1:68" ht="14.25" hidden="1" customHeight="1" x14ac:dyDescent="0.25">
      <c r="A475" s="650" t="s">
        <v>61</v>
      </c>
      <c r="B475" s="651"/>
      <c r="C475" s="651"/>
      <c r="D475" s="651"/>
      <c r="E475" s="651"/>
      <c r="F475" s="651"/>
      <c r="G475" s="651"/>
      <c r="H475" s="651"/>
      <c r="I475" s="651"/>
      <c r="J475" s="651"/>
      <c r="K475" s="651"/>
      <c r="L475" s="651"/>
      <c r="M475" s="651"/>
      <c r="N475" s="651"/>
      <c r="O475" s="651"/>
      <c r="P475" s="651"/>
      <c r="Q475" s="651"/>
      <c r="R475" s="651"/>
      <c r="S475" s="651"/>
      <c r="T475" s="651"/>
      <c r="U475" s="651"/>
      <c r="V475" s="651"/>
      <c r="W475" s="651"/>
      <c r="X475" s="651"/>
      <c r="Y475" s="651"/>
      <c r="Z475" s="651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59">
        <v>4680115886100</v>
      </c>
      <c r="E476" s="660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57"/>
      <c r="R476" s="657"/>
      <c r="S476" s="657"/>
      <c r="T476" s="658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59">
        <v>4680115886124</v>
      </c>
      <c r="E477" s="660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57"/>
      <c r="R477" s="657"/>
      <c r="S477" s="657"/>
      <c r="T477" s="658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59">
        <v>4607091384338</v>
      </c>
      <c r="E478" s="660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57"/>
      <c r="R478" s="657"/>
      <c r="S478" s="657"/>
      <c r="T478" s="658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59">
        <v>4680115883161</v>
      </c>
      <c r="E479" s="660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57"/>
      <c r="R479" s="657"/>
      <c r="S479" s="657"/>
      <c r="T479" s="658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59">
        <v>4607091389531</v>
      </c>
      <c r="E480" s="660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57"/>
      <c r="R480" s="657"/>
      <c r="S480" s="657"/>
      <c r="T480" s="658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59">
        <v>4607091384345</v>
      </c>
      <c r="E481" s="660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57"/>
      <c r="R481" s="657"/>
      <c r="S481" s="657"/>
      <c r="T481" s="658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2"/>
      <c r="B482" s="651"/>
      <c r="C482" s="651"/>
      <c r="D482" s="651"/>
      <c r="E482" s="651"/>
      <c r="F482" s="651"/>
      <c r="G482" s="651"/>
      <c r="H482" s="651"/>
      <c r="I482" s="651"/>
      <c r="J482" s="651"/>
      <c r="K482" s="651"/>
      <c r="L482" s="651"/>
      <c r="M482" s="651"/>
      <c r="N482" s="651"/>
      <c r="O482" s="673"/>
      <c r="P482" s="647" t="s">
        <v>71</v>
      </c>
      <c r="Q482" s="648"/>
      <c r="R482" s="648"/>
      <c r="S482" s="648"/>
      <c r="T482" s="648"/>
      <c r="U482" s="648"/>
      <c r="V482" s="649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51"/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73"/>
      <c r="P483" s="647" t="s">
        <v>71</v>
      </c>
      <c r="Q483" s="648"/>
      <c r="R483" s="648"/>
      <c r="S483" s="648"/>
      <c r="T483" s="648"/>
      <c r="U483" s="648"/>
      <c r="V483" s="649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50" t="s">
        <v>73</v>
      </c>
      <c r="B484" s="651"/>
      <c r="C484" s="651"/>
      <c r="D484" s="651"/>
      <c r="E484" s="651"/>
      <c r="F484" s="651"/>
      <c r="G484" s="651"/>
      <c r="H484" s="651"/>
      <c r="I484" s="651"/>
      <c r="J484" s="651"/>
      <c r="K484" s="651"/>
      <c r="L484" s="651"/>
      <c r="M484" s="651"/>
      <c r="N484" s="651"/>
      <c r="O484" s="651"/>
      <c r="P484" s="651"/>
      <c r="Q484" s="651"/>
      <c r="R484" s="651"/>
      <c r="S484" s="651"/>
      <c r="T484" s="651"/>
      <c r="U484" s="651"/>
      <c r="V484" s="651"/>
      <c r="W484" s="651"/>
      <c r="X484" s="651"/>
      <c r="Y484" s="651"/>
      <c r="Z484" s="651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59">
        <v>4607091384352</v>
      </c>
      <c r="E485" s="660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57"/>
      <c r="R485" s="657"/>
      <c r="S485" s="657"/>
      <c r="T485" s="658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59">
        <v>4607091389654</v>
      </c>
      <c r="E486" s="660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5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57"/>
      <c r="R486" s="657"/>
      <c r="S486" s="657"/>
      <c r="T486" s="658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2"/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73"/>
      <c r="P487" s="647" t="s">
        <v>71</v>
      </c>
      <c r="Q487" s="648"/>
      <c r="R487" s="648"/>
      <c r="S487" s="648"/>
      <c r="T487" s="648"/>
      <c r="U487" s="648"/>
      <c r="V487" s="649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51"/>
      <c r="B488" s="651"/>
      <c r="C488" s="651"/>
      <c r="D488" s="651"/>
      <c r="E488" s="651"/>
      <c r="F488" s="651"/>
      <c r="G488" s="651"/>
      <c r="H488" s="651"/>
      <c r="I488" s="651"/>
      <c r="J488" s="651"/>
      <c r="K488" s="651"/>
      <c r="L488" s="651"/>
      <c r="M488" s="651"/>
      <c r="N488" s="651"/>
      <c r="O488" s="673"/>
      <c r="P488" s="647" t="s">
        <v>71</v>
      </c>
      <c r="Q488" s="648"/>
      <c r="R488" s="648"/>
      <c r="S488" s="648"/>
      <c r="T488" s="648"/>
      <c r="U488" s="648"/>
      <c r="V488" s="649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55" t="s">
        <v>773</v>
      </c>
      <c r="B489" s="651"/>
      <c r="C489" s="651"/>
      <c r="D489" s="651"/>
      <c r="E489" s="651"/>
      <c r="F489" s="651"/>
      <c r="G489" s="651"/>
      <c r="H489" s="651"/>
      <c r="I489" s="651"/>
      <c r="J489" s="651"/>
      <c r="K489" s="651"/>
      <c r="L489" s="651"/>
      <c r="M489" s="651"/>
      <c r="N489" s="651"/>
      <c r="O489" s="651"/>
      <c r="P489" s="651"/>
      <c r="Q489" s="651"/>
      <c r="R489" s="651"/>
      <c r="S489" s="651"/>
      <c r="T489" s="651"/>
      <c r="U489" s="651"/>
      <c r="V489" s="651"/>
      <c r="W489" s="651"/>
      <c r="X489" s="651"/>
      <c r="Y489" s="651"/>
      <c r="Z489" s="651"/>
      <c r="AA489" s="636"/>
      <c r="AB489" s="636"/>
      <c r="AC489" s="636"/>
    </row>
    <row r="490" spans="1:68" ht="14.25" hidden="1" customHeight="1" x14ac:dyDescent="0.25">
      <c r="A490" s="650" t="s">
        <v>147</v>
      </c>
      <c r="B490" s="651"/>
      <c r="C490" s="651"/>
      <c r="D490" s="651"/>
      <c r="E490" s="651"/>
      <c r="F490" s="651"/>
      <c r="G490" s="651"/>
      <c r="H490" s="651"/>
      <c r="I490" s="651"/>
      <c r="J490" s="651"/>
      <c r="K490" s="651"/>
      <c r="L490" s="651"/>
      <c r="M490" s="651"/>
      <c r="N490" s="651"/>
      <c r="O490" s="651"/>
      <c r="P490" s="651"/>
      <c r="Q490" s="651"/>
      <c r="R490" s="651"/>
      <c r="S490" s="651"/>
      <c r="T490" s="651"/>
      <c r="U490" s="651"/>
      <c r="V490" s="651"/>
      <c r="W490" s="651"/>
      <c r="X490" s="651"/>
      <c r="Y490" s="651"/>
      <c r="Z490" s="651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59">
        <v>4680115885240</v>
      </c>
      <c r="E491" s="660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9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57"/>
      <c r="R491" s="657"/>
      <c r="S491" s="657"/>
      <c r="T491" s="658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2"/>
      <c r="B492" s="651"/>
      <c r="C492" s="651"/>
      <c r="D492" s="651"/>
      <c r="E492" s="651"/>
      <c r="F492" s="651"/>
      <c r="G492" s="651"/>
      <c r="H492" s="651"/>
      <c r="I492" s="651"/>
      <c r="J492" s="651"/>
      <c r="K492" s="651"/>
      <c r="L492" s="651"/>
      <c r="M492" s="651"/>
      <c r="N492" s="651"/>
      <c r="O492" s="673"/>
      <c r="P492" s="647" t="s">
        <v>71</v>
      </c>
      <c r="Q492" s="648"/>
      <c r="R492" s="648"/>
      <c r="S492" s="648"/>
      <c r="T492" s="648"/>
      <c r="U492" s="648"/>
      <c r="V492" s="649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51"/>
      <c r="B493" s="651"/>
      <c r="C493" s="651"/>
      <c r="D493" s="651"/>
      <c r="E493" s="651"/>
      <c r="F493" s="651"/>
      <c r="G493" s="651"/>
      <c r="H493" s="651"/>
      <c r="I493" s="651"/>
      <c r="J493" s="651"/>
      <c r="K493" s="651"/>
      <c r="L493" s="651"/>
      <c r="M493" s="651"/>
      <c r="N493" s="651"/>
      <c r="O493" s="673"/>
      <c r="P493" s="647" t="s">
        <v>71</v>
      </c>
      <c r="Q493" s="648"/>
      <c r="R493" s="648"/>
      <c r="S493" s="648"/>
      <c r="T493" s="648"/>
      <c r="U493" s="648"/>
      <c r="V493" s="649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50" t="s">
        <v>61</v>
      </c>
      <c r="B494" s="651"/>
      <c r="C494" s="651"/>
      <c r="D494" s="651"/>
      <c r="E494" s="651"/>
      <c r="F494" s="651"/>
      <c r="G494" s="651"/>
      <c r="H494" s="651"/>
      <c r="I494" s="651"/>
      <c r="J494" s="651"/>
      <c r="K494" s="651"/>
      <c r="L494" s="651"/>
      <c r="M494" s="651"/>
      <c r="N494" s="651"/>
      <c r="O494" s="651"/>
      <c r="P494" s="651"/>
      <c r="Q494" s="651"/>
      <c r="R494" s="651"/>
      <c r="S494" s="651"/>
      <c r="T494" s="651"/>
      <c r="U494" s="651"/>
      <c r="V494" s="651"/>
      <c r="W494" s="651"/>
      <c r="X494" s="651"/>
      <c r="Y494" s="651"/>
      <c r="Z494" s="651"/>
      <c r="AA494" s="637"/>
      <c r="AB494" s="637"/>
      <c r="AC494" s="637"/>
    </row>
    <row r="495" spans="1:68" ht="27" hidden="1" customHeight="1" x14ac:dyDescent="0.25">
      <c r="A495" s="54" t="s">
        <v>777</v>
      </c>
      <c r="B495" s="54" t="s">
        <v>778</v>
      </c>
      <c r="C495" s="31">
        <v>4301031407</v>
      </c>
      <c r="D495" s="659">
        <v>4680115886094</v>
      </c>
      <c r="E495" s="660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57"/>
      <c r="R495" s="657"/>
      <c r="S495" s="657"/>
      <c r="T495" s="658"/>
      <c r="U495" s="34"/>
      <c r="V495" s="34"/>
      <c r="W495" s="35" t="s">
        <v>66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IFERROR(IF(Y495=0,"",ROUNDUP(Y495/H495,0)*0.00902),"")</f>
        <v/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59">
        <v>4680115880771</v>
      </c>
      <c r="E496" s="660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57"/>
      <c r="R496" s="657"/>
      <c r="S496" s="657"/>
      <c r="T496" s="658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59">
        <v>4607091389500</v>
      </c>
      <c r="E497" s="660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57"/>
      <c r="R497" s="657"/>
      <c r="S497" s="657"/>
      <c r="T497" s="658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idden="1" x14ac:dyDescent="0.2">
      <c r="A498" s="672"/>
      <c r="B498" s="651"/>
      <c r="C498" s="651"/>
      <c r="D498" s="651"/>
      <c r="E498" s="651"/>
      <c r="F498" s="651"/>
      <c r="G498" s="651"/>
      <c r="H498" s="651"/>
      <c r="I498" s="651"/>
      <c r="J498" s="651"/>
      <c r="K498" s="651"/>
      <c r="L498" s="651"/>
      <c r="M498" s="651"/>
      <c r="N498" s="651"/>
      <c r="O498" s="673"/>
      <c r="P498" s="647" t="s">
        <v>71</v>
      </c>
      <c r="Q498" s="648"/>
      <c r="R498" s="648"/>
      <c r="S498" s="648"/>
      <c r="T498" s="648"/>
      <c r="U498" s="648"/>
      <c r="V498" s="649"/>
      <c r="W498" s="37" t="s">
        <v>72</v>
      </c>
      <c r="X498" s="643">
        <f>IFERROR(X495/H495,"0")+IFERROR(X496/H496,"0")+IFERROR(X497/H497,"0")</f>
        <v>0</v>
      </c>
      <c r="Y498" s="643">
        <f>IFERROR(Y495/H495,"0")+IFERROR(Y496/H496,"0")+IFERROR(Y497/H497,"0")</f>
        <v>0</v>
      </c>
      <c r="Z498" s="643">
        <f>IFERROR(IF(Z495="",0,Z495),"0")+IFERROR(IF(Z496="",0,Z496),"0")+IFERROR(IF(Z497="",0,Z497),"0")</f>
        <v>0</v>
      </c>
      <c r="AA498" s="644"/>
      <c r="AB498" s="644"/>
      <c r="AC498" s="644"/>
    </row>
    <row r="499" spans="1:68" hidden="1" x14ac:dyDescent="0.2">
      <c r="A499" s="651"/>
      <c r="B499" s="651"/>
      <c r="C499" s="651"/>
      <c r="D499" s="651"/>
      <c r="E499" s="651"/>
      <c r="F499" s="651"/>
      <c r="G499" s="651"/>
      <c r="H499" s="651"/>
      <c r="I499" s="651"/>
      <c r="J499" s="651"/>
      <c r="K499" s="651"/>
      <c r="L499" s="651"/>
      <c r="M499" s="651"/>
      <c r="N499" s="651"/>
      <c r="O499" s="673"/>
      <c r="P499" s="647" t="s">
        <v>71</v>
      </c>
      <c r="Q499" s="648"/>
      <c r="R499" s="648"/>
      <c r="S499" s="648"/>
      <c r="T499" s="648"/>
      <c r="U499" s="648"/>
      <c r="V499" s="649"/>
      <c r="W499" s="37" t="s">
        <v>66</v>
      </c>
      <c r="X499" s="643">
        <f>IFERROR(SUM(X495:X497),"0")</f>
        <v>0</v>
      </c>
      <c r="Y499" s="643">
        <f>IFERROR(SUM(Y495:Y497),"0")</f>
        <v>0</v>
      </c>
      <c r="Z499" s="37"/>
      <c r="AA499" s="644"/>
      <c r="AB499" s="644"/>
      <c r="AC499" s="644"/>
    </row>
    <row r="500" spans="1:68" ht="27.75" hidden="1" customHeight="1" x14ac:dyDescent="0.2">
      <c r="A500" s="666" t="s">
        <v>785</v>
      </c>
      <c r="B500" s="667"/>
      <c r="C500" s="667"/>
      <c r="D500" s="667"/>
      <c r="E500" s="667"/>
      <c r="F500" s="667"/>
      <c r="G500" s="667"/>
      <c r="H500" s="667"/>
      <c r="I500" s="667"/>
      <c r="J500" s="667"/>
      <c r="K500" s="667"/>
      <c r="L500" s="667"/>
      <c r="M500" s="667"/>
      <c r="N500" s="667"/>
      <c r="O500" s="667"/>
      <c r="P500" s="667"/>
      <c r="Q500" s="667"/>
      <c r="R500" s="667"/>
      <c r="S500" s="667"/>
      <c r="T500" s="667"/>
      <c r="U500" s="667"/>
      <c r="V500" s="667"/>
      <c r="W500" s="667"/>
      <c r="X500" s="667"/>
      <c r="Y500" s="667"/>
      <c r="Z500" s="667"/>
      <c r="AA500" s="48"/>
      <c r="AB500" s="48"/>
      <c r="AC500" s="48"/>
    </row>
    <row r="501" spans="1:68" ht="16.5" hidden="1" customHeight="1" x14ac:dyDescent="0.25">
      <c r="A501" s="655" t="s">
        <v>785</v>
      </c>
      <c r="B501" s="651"/>
      <c r="C501" s="651"/>
      <c r="D501" s="651"/>
      <c r="E501" s="651"/>
      <c r="F501" s="651"/>
      <c r="G501" s="651"/>
      <c r="H501" s="651"/>
      <c r="I501" s="651"/>
      <c r="J501" s="651"/>
      <c r="K501" s="651"/>
      <c r="L501" s="651"/>
      <c r="M501" s="651"/>
      <c r="N501" s="651"/>
      <c r="O501" s="651"/>
      <c r="P501" s="651"/>
      <c r="Q501" s="651"/>
      <c r="R501" s="651"/>
      <c r="S501" s="651"/>
      <c r="T501" s="651"/>
      <c r="U501" s="651"/>
      <c r="V501" s="651"/>
      <c r="W501" s="651"/>
      <c r="X501" s="651"/>
      <c r="Y501" s="651"/>
      <c r="Z501" s="651"/>
      <c r="AA501" s="636"/>
      <c r="AB501" s="636"/>
      <c r="AC501" s="636"/>
    </row>
    <row r="502" spans="1:68" ht="14.25" hidden="1" customHeight="1" x14ac:dyDescent="0.25">
      <c r="A502" s="650" t="s">
        <v>110</v>
      </c>
      <c r="B502" s="651"/>
      <c r="C502" s="651"/>
      <c r="D502" s="651"/>
      <c r="E502" s="651"/>
      <c r="F502" s="651"/>
      <c r="G502" s="651"/>
      <c r="H502" s="651"/>
      <c r="I502" s="651"/>
      <c r="J502" s="651"/>
      <c r="K502" s="651"/>
      <c r="L502" s="651"/>
      <c r="M502" s="651"/>
      <c r="N502" s="651"/>
      <c r="O502" s="651"/>
      <c r="P502" s="651"/>
      <c r="Q502" s="651"/>
      <c r="R502" s="651"/>
      <c r="S502" s="651"/>
      <c r="T502" s="651"/>
      <c r="U502" s="651"/>
      <c r="V502" s="651"/>
      <c r="W502" s="651"/>
      <c r="X502" s="651"/>
      <c r="Y502" s="651"/>
      <c r="Z502" s="651"/>
      <c r="AA502" s="637"/>
      <c r="AB502" s="637"/>
      <c r="AC502" s="637"/>
    </row>
    <row r="503" spans="1:68" ht="27" customHeight="1" x14ac:dyDescent="0.25">
      <c r="A503" s="54" t="s">
        <v>786</v>
      </c>
      <c r="B503" s="54" t="s">
        <v>787</v>
      </c>
      <c r="C503" s="31">
        <v>4301011769</v>
      </c>
      <c r="D503" s="659">
        <v>4607091389067</v>
      </c>
      <c r="E503" s="660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57"/>
      <c r="R503" s="657"/>
      <c r="S503" s="657"/>
      <c r="T503" s="658"/>
      <c r="U503" s="34"/>
      <c r="V503" s="34"/>
      <c r="W503" s="35" t="s">
        <v>66</v>
      </c>
      <c r="X503" s="641">
        <v>35</v>
      </c>
      <c r="Y503" s="642">
        <f t="shared" ref="Y503:Y511" si="82">IFERROR(IF(X503="",0,CEILING((X503/$H503),1)*$H503),"")</f>
        <v>36.96</v>
      </c>
      <c r="Z503" s="36">
        <f t="shared" ref="Z503:Z508" si="83">IFERROR(IF(Y503=0,"",ROUNDUP(Y503/H503,0)*0.01196),"")</f>
        <v>8.3720000000000003E-2</v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37.320075757575751</v>
      </c>
      <c r="BN503" s="64">
        <f t="shared" ref="BN503:BN511" si="85">IFERROR(Y503*I503/H503,"0")</f>
        <v>39.409999999999997</v>
      </c>
      <c r="BO503" s="64">
        <f t="shared" ref="BO503:BO511" si="86">IFERROR(1/J503*(X503/H503),"0")</f>
        <v>6.3738344988344992E-2</v>
      </c>
      <c r="BP503" s="64">
        <f t="shared" ref="BP503:BP511" si="87">IFERROR(1/J503*(Y503/H503),"0")</f>
        <v>6.7307692307692318E-2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59">
        <v>4680115889576</v>
      </c>
      <c r="E504" s="660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4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57"/>
      <c r="R504" s="657"/>
      <c r="S504" s="657"/>
      <c r="T504" s="658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hidden="1" customHeight="1" x14ac:dyDescent="0.25">
      <c r="A505" s="54" t="s">
        <v>791</v>
      </c>
      <c r="B505" s="54" t="s">
        <v>792</v>
      </c>
      <c r="C505" s="31">
        <v>4301011961</v>
      </c>
      <c r="D505" s="659">
        <v>4680115885271</v>
      </c>
      <c r="E505" s="660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57"/>
      <c r="R505" s="657"/>
      <c r="S505" s="657"/>
      <c r="T505" s="658"/>
      <c r="U505" s="34"/>
      <c r="V505" s="34"/>
      <c r="W505" s="35" t="s">
        <v>66</v>
      </c>
      <c r="X505" s="641">
        <v>0</v>
      </c>
      <c r="Y505" s="642">
        <f t="shared" si="82"/>
        <v>0</v>
      </c>
      <c r="Z505" s="36" t="str">
        <f t="shared" si="83"/>
        <v/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0</v>
      </c>
      <c r="BN505" s="64">
        <f t="shared" si="85"/>
        <v>0</v>
      </c>
      <c r="BO505" s="64">
        <f t="shared" si="86"/>
        <v>0</v>
      </c>
      <c r="BP505" s="64">
        <f t="shared" si="87"/>
        <v>0</v>
      </c>
    </row>
    <row r="506" spans="1:68" ht="27" hidden="1" customHeight="1" x14ac:dyDescent="0.25">
      <c r="A506" s="54" t="s">
        <v>794</v>
      </c>
      <c r="B506" s="54" t="s">
        <v>795</v>
      </c>
      <c r="C506" s="31">
        <v>4301011369</v>
      </c>
      <c r="D506" s="659">
        <v>4680115885226</v>
      </c>
      <c r="E506" s="660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57"/>
      <c r="R506" s="657"/>
      <c r="S506" s="657"/>
      <c r="T506" s="658"/>
      <c r="U506" s="34"/>
      <c r="V506" s="34"/>
      <c r="W506" s="35" t="s">
        <v>66</v>
      </c>
      <c r="X506" s="641">
        <v>0</v>
      </c>
      <c r="Y506" s="642">
        <f t="shared" si="82"/>
        <v>0</v>
      </c>
      <c r="Z506" s="36" t="str">
        <f t="shared" si="83"/>
        <v/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0</v>
      </c>
      <c r="BN506" s="64">
        <f t="shared" si="85"/>
        <v>0</v>
      </c>
      <c r="BO506" s="64">
        <f t="shared" si="86"/>
        <v>0</v>
      </c>
      <c r="BP506" s="64">
        <f t="shared" si="87"/>
        <v>0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59">
        <v>4680115884502</v>
      </c>
      <c r="E507" s="660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98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57"/>
      <c r="R507" s="657"/>
      <c r="S507" s="657"/>
      <c r="T507" s="658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hidden="1" customHeight="1" x14ac:dyDescent="0.25">
      <c r="A508" s="54" t="s">
        <v>800</v>
      </c>
      <c r="B508" s="54" t="s">
        <v>801</v>
      </c>
      <c r="C508" s="31">
        <v>4301011771</v>
      </c>
      <c r="D508" s="659">
        <v>4607091389104</v>
      </c>
      <c r="E508" s="660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57"/>
      <c r="R508" s="657"/>
      <c r="S508" s="657"/>
      <c r="T508" s="658"/>
      <c r="U508" s="34"/>
      <c r="V508" s="34"/>
      <c r="W508" s="35" t="s">
        <v>66</v>
      </c>
      <c r="X508" s="641">
        <v>0</v>
      </c>
      <c r="Y508" s="642">
        <f t="shared" si="82"/>
        <v>0</v>
      </c>
      <c r="Z508" s="36" t="str">
        <f t="shared" si="83"/>
        <v/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0</v>
      </c>
      <c r="BN508" s="64">
        <f t="shared" si="85"/>
        <v>0</v>
      </c>
      <c r="BO508" s="64">
        <f t="shared" si="86"/>
        <v>0</v>
      </c>
      <c r="BP508" s="64">
        <f t="shared" si="87"/>
        <v>0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59">
        <v>4680115886391</v>
      </c>
      <c r="E509" s="660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5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57"/>
      <c r="R509" s="657"/>
      <c r="S509" s="657"/>
      <c r="T509" s="658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59">
        <v>4680115880603</v>
      </c>
      <c r="E510" s="660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101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57"/>
      <c r="R510" s="657"/>
      <c r="S510" s="657"/>
      <c r="T510" s="658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59">
        <v>4607091389982</v>
      </c>
      <c r="E511" s="660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3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57"/>
      <c r="R511" s="657"/>
      <c r="S511" s="657"/>
      <c r="T511" s="658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x14ac:dyDescent="0.2">
      <c r="A512" s="672"/>
      <c r="B512" s="651"/>
      <c r="C512" s="651"/>
      <c r="D512" s="651"/>
      <c r="E512" s="651"/>
      <c r="F512" s="651"/>
      <c r="G512" s="651"/>
      <c r="H512" s="651"/>
      <c r="I512" s="651"/>
      <c r="J512" s="651"/>
      <c r="K512" s="651"/>
      <c r="L512" s="651"/>
      <c r="M512" s="651"/>
      <c r="N512" s="651"/>
      <c r="O512" s="673"/>
      <c r="P512" s="647" t="s">
        <v>71</v>
      </c>
      <c r="Q512" s="648"/>
      <c r="R512" s="648"/>
      <c r="S512" s="648"/>
      <c r="T512" s="648"/>
      <c r="U512" s="648"/>
      <c r="V512" s="649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6.6287878787878789</v>
      </c>
      <c r="Y512" s="643">
        <f>IFERROR(Y503/H503,"0")+IFERROR(Y504/H504,"0")+IFERROR(Y505/H505,"0")+IFERROR(Y506/H506,"0")+IFERROR(Y507/H507,"0")+IFERROR(Y508/H508,"0")+IFERROR(Y509/H509,"0")+IFERROR(Y510/H510,"0")+IFERROR(Y511/H511,"0")</f>
        <v>7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8.3720000000000003E-2</v>
      </c>
      <c r="AA512" s="644"/>
      <c r="AB512" s="644"/>
      <c r="AC512" s="644"/>
    </row>
    <row r="513" spans="1:68" x14ac:dyDescent="0.2">
      <c r="A513" s="651"/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73"/>
      <c r="P513" s="647" t="s">
        <v>71</v>
      </c>
      <c r="Q513" s="648"/>
      <c r="R513" s="648"/>
      <c r="S513" s="648"/>
      <c r="T513" s="648"/>
      <c r="U513" s="648"/>
      <c r="V513" s="649"/>
      <c r="W513" s="37" t="s">
        <v>66</v>
      </c>
      <c r="X513" s="643">
        <f>IFERROR(SUM(X503:X511),"0")</f>
        <v>35</v>
      </c>
      <c r="Y513" s="643">
        <f>IFERROR(SUM(Y503:Y511),"0")</f>
        <v>36.96</v>
      </c>
      <c r="Z513" s="37"/>
      <c r="AA513" s="644"/>
      <c r="AB513" s="644"/>
      <c r="AC513" s="644"/>
    </row>
    <row r="514" spans="1:68" ht="14.25" hidden="1" customHeight="1" x14ac:dyDescent="0.25">
      <c r="A514" s="650" t="s">
        <v>147</v>
      </c>
      <c r="B514" s="651"/>
      <c r="C514" s="651"/>
      <c r="D514" s="651"/>
      <c r="E514" s="651"/>
      <c r="F514" s="651"/>
      <c r="G514" s="651"/>
      <c r="H514" s="651"/>
      <c r="I514" s="651"/>
      <c r="J514" s="651"/>
      <c r="K514" s="651"/>
      <c r="L514" s="651"/>
      <c r="M514" s="651"/>
      <c r="N514" s="651"/>
      <c r="O514" s="651"/>
      <c r="P514" s="651"/>
      <c r="Q514" s="651"/>
      <c r="R514" s="651"/>
      <c r="S514" s="651"/>
      <c r="T514" s="651"/>
      <c r="U514" s="651"/>
      <c r="V514" s="651"/>
      <c r="W514" s="651"/>
      <c r="X514" s="651"/>
      <c r="Y514" s="651"/>
      <c r="Z514" s="651"/>
      <c r="AA514" s="637"/>
      <c r="AB514" s="637"/>
      <c r="AC514" s="637"/>
    </row>
    <row r="515" spans="1:68" ht="16.5" hidden="1" customHeight="1" x14ac:dyDescent="0.25">
      <c r="A515" s="54" t="s">
        <v>809</v>
      </c>
      <c r="B515" s="54" t="s">
        <v>810</v>
      </c>
      <c r="C515" s="31">
        <v>4301020334</v>
      </c>
      <c r="D515" s="659">
        <v>4607091388930</v>
      </c>
      <c r="E515" s="660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100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57"/>
      <c r="R515" s="657"/>
      <c r="S515" s="657"/>
      <c r="T515" s="658"/>
      <c r="U515" s="34"/>
      <c r="V515" s="34"/>
      <c r="W515" s="35" t="s">
        <v>66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IFERROR(IF(Y515=0,"",ROUNDUP(Y515/H515,0)*0.01196),"")</f>
        <v/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59">
        <v>4680115886407</v>
      </c>
      <c r="E516" s="660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5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57"/>
      <c r="R516" s="657"/>
      <c r="S516" s="657"/>
      <c r="T516" s="658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59">
        <v>4680115880054</v>
      </c>
      <c r="E517" s="660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9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57"/>
      <c r="R517" s="657"/>
      <c r="S517" s="657"/>
      <c r="T517" s="658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idden="1" x14ac:dyDescent="0.2">
      <c r="A518" s="672"/>
      <c r="B518" s="651"/>
      <c r="C518" s="651"/>
      <c r="D518" s="651"/>
      <c r="E518" s="651"/>
      <c r="F518" s="651"/>
      <c r="G518" s="651"/>
      <c r="H518" s="651"/>
      <c r="I518" s="651"/>
      <c r="J518" s="651"/>
      <c r="K518" s="651"/>
      <c r="L518" s="651"/>
      <c r="M518" s="651"/>
      <c r="N518" s="651"/>
      <c r="O518" s="673"/>
      <c r="P518" s="647" t="s">
        <v>71</v>
      </c>
      <c r="Q518" s="648"/>
      <c r="R518" s="648"/>
      <c r="S518" s="648"/>
      <c r="T518" s="648"/>
      <c r="U518" s="648"/>
      <c r="V518" s="649"/>
      <c r="W518" s="37" t="s">
        <v>72</v>
      </c>
      <c r="X518" s="643">
        <f>IFERROR(X515/H515,"0")+IFERROR(X516/H516,"0")+IFERROR(X517/H517,"0")</f>
        <v>0</v>
      </c>
      <c r="Y518" s="643">
        <f>IFERROR(Y515/H515,"0")+IFERROR(Y516/H516,"0")+IFERROR(Y517/H517,"0")</f>
        <v>0</v>
      </c>
      <c r="Z518" s="643">
        <f>IFERROR(IF(Z515="",0,Z515),"0")+IFERROR(IF(Z516="",0,Z516),"0")+IFERROR(IF(Z517="",0,Z517),"0")</f>
        <v>0</v>
      </c>
      <c r="AA518" s="644"/>
      <c r="AB518" s="644"/>
      <c r="AC518" s="644"/>
    </row>
    <row r="519" spans="1:68" hidden="1" x14ac:dyDescent="0.2">
      <c r="A519" s="651"/>
      <c r="B519" s="651"/>
      <c r="C519" s="651"/>
      <c r="D519" s="651"/>
      <c r="E519" s="651"/>
      <c r="F519" s="651"/>
      <c r="G519" s="651"/>
      <c r="H519" s="651"/>
      <c r="I519" s="651"/>
      <c r="J519" s="651"/>
      <c r="K519" s="651"/>
      <c r="L519" s="651"/>
      <c r="M519" s="651"/>
      <c r="N519" s="651"/>
      <c r="O519" s="673"/>
      <c r="P519" s="647" t="s">
        <v>71</v>
      </c>
      <c r="Q519" s="648"/>
      <c r="R519" s="648"/>
      <c r="S519" s="648"/>
      <c r="T519" s="648"/>
      <c r="U519" s="648"/>
      <c r="V519" s="649"/>
      <c r="W519" s="37" t="s">
        <v>66</v>
      </c>
      <c r="X519" s="643">
        <f>IFERROR(SUM(X515:X517),"0")</f>
        <v>0</v>
      </c>
      <c r="Y519" s="643">
        <f>IFERROR(SUM(Y515:Y517),"0")</f>
        <v>0</v>
      </c>
      <c r="Z519" s="37"/>
      <c r="AA519" s="644"/>
      <c r="AB519" s="644"/>
      <c r="AC519" s="644"/>
    </row>
    <row r="520" spans="1:68" ht="14.25" hidden="1" customHeight="1" x14ac:dyDescent="0.25">
      <c r="A520" s="650" t="s">
        <v>61</v>
      </c>
      <c r="B520" s="651"/>
      <c r="C520" s="651"/>
      <c r="D520" s="651"/>
      <c r="E520" s="651"/>
      <c r="F520" s="651"/>
      <c r="G520" s="651"/>
      <c r="H520" s="651"/>
      <c r="I520" s="651"/>
      <c r="J520" s="651"/>
      <c r="K520" s="651"/>
      <c r="L520" s="651"/>
      <c r="M520" s="651"/>
      <c r="N520" s="651"/>
      <c r="O520" s="651"/>
      <c r="P520" s="651"/>
      <c r="Q520" s="651"/>
      <c r="R520" s="651"/>
      <c r="S520" s="651"/>
      <c r="T520" s="651"/>
      <c r="U520" s="651"/>
      <c r="V520" s="651"/>
      <c r="W520" s="651"/>
      <c r="X520" s="651"/>
      <c r="Y520" s="651"/>
      <c r="Z520" s="651"/>
      <c r="AA520" s="637"/>
      <c r="AB520" s="637"/>
      <c r="AC520" s="637"/>
    </row>
    <row r="521" spans="1:68" ht="27" customHeight="1" x14ac:dyDescent="0.25">
      <c r="A521" s="54" t="s">
        <v>816</v>
      </c>
      <c r="B521" s="54" t="s">
        <v>817</v>
      </c>
      <c r="C521" s="31">
        <v>4301031349</v>
      </c>
      <c r="D521" s="659">
        <v>4680115883116</v>
      </c>
      <c r="E521" s="660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57"/>
      <c r="R521" s="657"/>
      <c r="S521" s="657"/>
      <c r="T521" s="658"/>
      <c r="U521" s="34"/>
      <c r="V521" s="34"/>
      <c r="W521" s="35" t="s">
        <v>66</v>
      </c>
      <c r="X521" s="641">
        <v>52</v>
      </c>
      <c r="Y521" s="642">
        <f t="shared" ref="Y521:Y527" si="88">IFERROR(IF(X521="",0,CEILING((X521/$H521),1)*$H521),"")</f>
        <v>52.800000000000004</v>
      </c>
      <c r="Z521" s="36">
        <f>IFERROR(IF(Y521=0,"",ROUNDUP(Y521/H521,0)*0.01196),"")</f>
        <v>0.1196</v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55.446969696969695</v>
      </c>
      <c r="BN521" s="64">
        <f t="shared" ref="BN521:BN527" si="90">IFERROR(Y521*I521/H521,"0")</f>
        <v>56.3</v>
      </c>
      <c r="BO521" s="64">
        <f t="shared" ref="BO521:BO527" si="91">IFERROR(1/J521*(X521/H521),"0")</f>
        <v>9.4696969696969696E-2</v>
      </c>
      <c r="BP521" s="64">
        <f t="shared" ref="BP521:BP527" si="92">IFERROR(1/J521*(Y521/H521),"0")</f>
        <v>9.6153846153846159E-2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59">
        <v>4680115883093</v>
      </c>
      <c r="E522" s="660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0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57"/>
      <c r="R522" s="657"/>
      <c r="S522" s="657"/>
      <c r="T522" s="658"/>
      <c r="U522" s="34"/>
      <c r="V522" s="34"/>
      <c r="W522" s="35" t="s">
        <v>66</v>
      </c>
      <c r="X522" s="641">
        <v>17</v>
      </c>
      <c r="Y522" s="642">
        <f t="shared" si="88"/>
        <v>21.12</v>
      </c>
      <c r="Z522" s="36">
        <f>IFERROR(IF(Y522=0,"",ROUNDUP(Y522/H522,0)*0.01196),"")</f>
        <v>4.7840000000000001E-2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18.126893939393938</v>
      </c>
      <c r="BN522" s="64">
        <f t="shared" si="90"/>
        <v>22.52</v>
      </c>
      <c r="BO522" s="64">
        <f t="shared" si="91"/>
        <v>3.0958624708624712E-2</v>
      </c>
      <c r="BP522" s="64">
        <f t="shared" si="92"/>
        <v>3.8461538461538464E-2</v>
      </c>
    </row>
    <row r="523" spans="1:68" ht="27" customHeight="1" x14ac:dyDescent="0.25">
      <c r="A523" s="54" t="s">
        <v>822</v>
      </c>
      <c r="B523" s="54" t="s">
        <v>823</v>
      </c>
      <c r="C523" s="31">
        <v>4301031353</v>
      </c>
      <c r="D523" s="659">
        <v>4680115883109</v>
      </c>
      <c r="E523" s="660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57"/>
      <c r="R523" s="657"/>
      <c r="S523" s="657"/>
      <c r="T523" s="658"/>
      <c r="U523" s="34"/>
      <c r="V523" s="34"/>
      <c r="W523" s="35" t="s">
        <v>66</v>
      </c>
      <c r="X523" s="641">
        <v>25</v>
      </c>
      <c r="Y523" s="642">
        <f t="shared" si="88"/>
        <v>26.400000000000002</v>
      </c>
      <c r="Z523" s="36">
        <f>IFERROR(IF(Y523=0,"",ROUNDUP(Y523/H523,0)*0.01196),"")</f>
        <v>5.9799999999999999E-2</v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26.657196969696969</v>
      </c>
      <c r="BN523" s="64">
        <f t="shared" si="90"/>
        <v>28.15</v>
      </c>
      <c r="BO523" s="64">
        <f t="shared" si="91"/>
        <v>4.5527389277389273E-2</v>
      </c>
      <c r="BP523" s="64">
        <f t="shared" si="92"/>
        <v>4.807692307692308E-2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59">
        <v>4680115882072</v>
      </c>
      <c r="E524" s="660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76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57"/>
      <c r="R524" s="657"/>
      <c r="S524" s="657"/>
      <c r="T524" s="658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59">
        <v>4680115882102</v>
      </c>
      <c r="E525" s="660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0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57"/>
      <c r="R525" s="657"/>
      <c r="S525" s="657"/>
      <c r="T525" s="658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59">
        <v>4680115882102</v>
      </c>
      <c r="E526" s="660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8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57"/>
      <c r="R526" s="657"/>
      <c r="S526" s="657"/>
      <c r="T526" s="658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59">
        <v>4680115882096</v>
      </c>
      <c r="E527" s="660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1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57"/>
      <c r="R527" s="657"/>
      <c r="S527" s="657"/>
      <c r="T527" s="658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2"/>
      <c r="B528" s="651"/>
      <c r="C528" s="651"/>
      <c r="D528" s="651"/>
      <c r="E528" s="651"/>
      <c r="F528" s="651"/>
      <c r="G528" s="651"/>
      <c r="H528" s="651"/>
      <c r="I528" s="651"/>
      <c r="J528" s="651"/>
      <c r="K528" s="651"/>
      <c r="L528" s="651"/>
      <c r="M528" s="651"/>
      <c r="N528" s="651"/>
      <c r="O528" s="673"/>
      <c r="P528" s="647" t="s">
        <v>71</v>
      </c>
      <c r="Q528" s="648"/>
      <c r="R528" s="648"/>
      <c r="S528" s="648"/>
      <c r="T528" s="648"/>
      <c r="U528" s="648"/>
      <c r="V528" s="649"/>
      <c r="W528" s="37" t="s">
        <v>72</v>
      </c>
      <c r="X528" s="643">
        <f>IFERROR(X521/H521,"0")+IFERROR(X522/H522,"0")+IFERROR(X523/H523,"0")+IFERROR(X524/H524,"0")+IFERROR(X525/H525,"0")+IFERROR(X526/H526,"0")+IFERROR(X527/H527,"0")</f>
        <v>17.803030303030301</v>
      </c>
      <c r="Y528" s="643">
        <f>IFERROR(Y521/H521,"0")+IFERROR(Y522/H522,"0")+IFERROR(Y523/H523,"0")+IFERROR(Y524/H524,"0")+IFERROR(Y525/H525,"0")+IFERROR(Y526/H526,"0")+IFERROR(Y527/H527,"0")</f>
        <v>19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0.22724</v>
      </c>
      <c r="AA528" s="644"/>
      <c r="AB528" s="644"/>
      <c r="AC528" s="644"/>
    </row>
    <row r="529" spans="1:68" x14ac:dyDescent="0.2">
      <c r="A529" s="651"/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73"/>
      <c r="P529" s="647" t="s">
        <v>71</v>
      </c>
      <c r="Q529" s="648"/>
      <c r="R529" s="648"/>
      <c r="S529" s="648"/>
      <c r="T529" s="648"/>
      <c r="U529" s="648"/>
      <c r="V529" s="649"/>
      <c r="W529" s="37" t="s">
        <v>66</v>
      </c>
      <c r="X529" s="643">
        <f>IFERROR(SUM(X521:X527),"0")</f>
        <v>94</v>
      </c>
      <c r="Y529" s="643">
        <f>IFERROR(SUM(Y521:Y527),"0")</f>
        <v>100.32000000000001</v>
      </c>
      <c r="Z529" s="37"/>
      <c r="AA529" s="644"/>
      <c r="AB529" s="644"/>
      <c r="AC529" s="644"/>
    </row>
    <row r="530" spans="1:68" ht="27.75" hidden="1" customHeight="1" x14ac:dyDescent="0.2">
      <c r="A530" s="666" t="s">
        <v>832</v>
      </c>
      <c r="B530" s="667"/>
      <c r="C530" s="667"/>
      <c r="D530" s="667"/>
      <c r="E530" s="667"/>
      <c r="F530" s="667"/>
      <c r="G530" s="667"/>
      <c r="H530" s="667"/>
      <c r="I530" s="667"/>
      <c r="J530" s="667"/>
      <c r="K530" s="667"/>
      <c r="L530" s="667"/>
      <c r="M530" s="667"/>
      <c r="N530" s="667"/>
      <c r="O530" s="667"/>
      <c r="P530" s="667"/>
      <c r="Q530" s="667"/>
      <c r="R530" s="667"/>
      <c r="S530" s="667"/>
      <c r="T530" s="667"/>
      <c r="U530" s="667"/>
      <c r="V530" s="667"/>
      <c r="W530" s="667"/>
      <c r="X530" s="667"/>
      <c r="Y530" s="667"/>
      <c r="Z530" s="667"/>
      <c r="AA530" s="48"/>
      <c r="AB530" s="48"/>
      <c r="AC530" s="48"/>
    </row>
    <row r="531" spans="1:68" ht="16.5" hidden="1" customHeight="1" x14ac:dyDescent="0.25">
      <c r="A531" s="655" t="s">
        <v>832</v>
      </c>
      <c r="B531" s="651"/>
      <c r="C531" s="651"/>
      <c r="D531" s="651"/>
      <c r="E531" s="651"/>
      <c r="F531" s="651"/>
      <c r="G531" s="651"/>
      <c r="H531" s="651"/>
      <c r="I531" s="651"/>
      <c r="J531" s="651"/>
      <c r="K531" s="651"/>
      <c r="L531" s="651"/>
      <c r="M531" s="651"/>
      <c r="N531" s="651"/>
      <c r="O531" s="651"/>
      <c r="P531" s="651"/>
      <c r="Q531" s="651"/>
      <c r="R531" s="651"/>
      <c r="S531" s="651"/>
      <c r="T531" s="651"/>
      <c r="U531" s="651"/>
      <c r="V531" s="651"/>
      <c r="W531" s="651"/>
      <c r="X531" s="651"/>
      <c r="Y531" s="651"/>
      <c r="Z531" s="651"/>
      <c r="AA531" s="636"/>
      <c r="AB531" s="636"/>
      <c r="AC531" s="636"/>
    </row>
    <row r="532" spans="1:68" ht="14.25" hidden="1" customHeight="1" x14ac:dyDescent="0.25">
      <c r="A532" s="650" t="s">
        <v>110</v>
      </c>
      <c r="B532" s="651"/>
      <c r="C532" s="651"/>
      <c r="D532" s="651"/>
      <c r="E532" s="651"/>
      <c r="F532" s="651"/>
      <c r="G532" s="651"/>
      <c r="H532" s="651"/>
      <c r="I532" s="651"/>
      <c r="J532" s="651"/>
      <c r="K532" s="651"/>
      <c r="L532" s="651"/>
      <c r="M532" s="651"/>
      <c r="N532" s="651"/>
      <c r="O532" s="651"/>
      <c r="P532" s="651"/>
      <c r="Q532" s="651"/>
      <c r="R532" s="651"/>
      <c r="S532" s="651"/>
      <c r="T532" s="651"/>
      <c r="U532" s="651"/>
      <c r="V532" s="651"/>
      <c r="W532" s="651"/>
      <c r="X532" s="651"/>
      <c r="Y532" s="651"/>
      <c r="Z532" s="651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59">
        <v>4680115889736</v>
      </c>
      <c r="E533" s="660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4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57"/>
      <c r="R533" s="657"/>
      <c r="S533" s="657"/>
      <c r="T533" s="658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2"/>
      <c r="B534" s="651"/>
      <c r="C534" s="651"/>
      <c r="D534" s="651"/>
      <c r="E534" s="651"/>
      <c r="F534" s="651"/>
      <c r="G534" s="651"/>
      <c r="H534" s="651"/>
      <c r="I534" s="651"/>
      <c r="J534" s="651"/>
      <c r="K534" s="651"/>
      <c r="L534" s="651"/>
      <c r="M534" s="651"/>
      <c r="N534" s="651"/>
      <c r="O534" s="673"/>
      <c r="P534" s="647" t="s">
        <v>71</v>
      </c>
      <c r="Q534" s="648"/>
      <c r="R534" s="648"/>
      <c r="S534" s="648"/>
      <c r="T534" s="648"/>
      <c r="U534" s="648"/>
      <c r="V534" s="649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51"/>
      <c r="B535" s="651"/>
      <c r="C535" s="651"/>
      <c r="D535" s="651"/>
      <c r="E535" s="651"/>
      <c r="F535" s="651"/>
      <c r="G535" s="651"/>
      <c r="H535" s="651"/>
      <c r="I535" s="651"/>
      <c r="J535" s="651"/>
      <c r="K535" s="651"/>
      <c r="L535" s="651"/>
      <c r="M535" s="651"/>
      <c r="N535" s="651"/>
      <c r="O535" s="673"/>
      <c r="P535" s="647" t="s">
        <v>71</v>
      </c>
      <c r="Q535" s="648"/>
      <c r="R535" s="648"/>
      <c r="S535" s="648"/>
      <c r="T535" s="648"/>
      <c r="U535" s="648"/>
      <c r="V535" s="649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50" t="s">
        <v>147</v>
      </c>
      <c r="B536" s="651"/>
      <c r="C536" s="651"/>
      <c r="D536" s="651"/>
      <c r="E536" s="651"/>
      <c r="F536" s="651"/>
      <c r="G536" s="651"/>
      <c r="H536" s="651"/>
      <c r="I536" s="651"/>
      <c r="J536" s="651"/>
      <c r="K536" s="651"/>
      <c r="L536" s="651"/>
      <c r="M536" s="651"/>
      <c r="N536" s="651"/>
      <c r="O536" s="651"/>
      <c r="P536" s="651"/>
      <c r="Q536" s="651"/>
      <c r="R536" s="651"/>
      <c r="S536" s="651"/>
      <c r="T536" s="651"/>
      <c r="U536" s="651"/>
      <c r="V536" s="651"/>
      <c r="W536" s="651"/>
      <c r="X536" s="651"/>
      <c r="Y536" s="651"/>
      <c r="Z536" s="651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59">
        <v>4680115889781</v>
      </c>
      <c r="E537" s="660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5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57"/>
      <c r="R537" s="657"/>
      <c r="S537" s="657"/>
      <c r="T537" s="658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2"/>
      <c r="B538" s="651"/>
      <c r="C538" s="651"/>
      <c r="D538" s="651"/>
      <c r="E538" s="651"/>
      <c r="F538" s="651"/>
      <c r="G538" s="651"/>
      <c r="H538" s="651"/>
      <c r="I538" s="651"/>
      <c r="J538" s="651"/>
      <c r="K538" s="651"/>
      <c r="L538" s="651"/>
      <c r="M538" s="651"/>
      <c r="N538" s="651"/>
      <c r="O538" s="673"/>
      <c r="P538" s="647" t="s">
        <v>71</v>
      </c>
      <c r="Q538" s="648"/>
      <c r="R538" s="648"/>
      <c r="S538" s="648"/>
      <c r="T538" s="648"/>
      <c r="U538" s="648"/>
      <c r="V538" s="649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51"/>
      <c r="B539" s="651"/>
      <c r="C539" s="651"/>
      <c r="D539" s="651"/>
      <c r="E539" s="651"/>
      <c r="F539" s="651"/>
      <c r="G539" s="651"/>
      <c r="H539" s="651"/>
      <c r="I539" s="651"/>
      <c r="J539" s="651"/>
      <c r="K539" s="651"/>
      <c r="L539" s="651"/>
      <c r="M539" s="651"/>
      <c r="N539" s="651"/>
      <c r="O539" s="673"/>
      <c r="P539" s="647" t="s">
        <v>71</v>
      </c>
      <c r="Q539" s="648"/>
      <c r="R539" s="648"/>
      <c r="S539" s="648"/>
      <c r="T539" s="648"/>
      <c r="U539" s="648"/>
      <c r="V539" s="649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50" t="s">
        <v>61</v>
      </c>
      <c r="B540" s="651"/>
      <c r="C540" s="651"/>
      <c r="D540" s="651"/>
      <c r="E540" s="651"/>
      <c r="F540" s="651"/>
      <c r="G540" s="651"/>
      <c r="H540" s="651"/>
      <c r="I540" s="651"/>
      <c r="J540" s="651"/>
      <c r="K540" s="651"/>
      <c r="L540" s="651"/>
      <c r="M540" s="651"/>
      <c r="N540" s="651"/>
      <c r="O540" s="651"/>
      <c r="P540" s="651"/>
      <c r="Q540" s="651"/>
      <c r="R540" s="651"/>
      <c r="S540" s="651"/>
      <c r="T540" s="651"/>
      <c r="U540" s="651"/>
      <c r="V540" s="651"/>
      <c r="W540" s="651"/>
      <c r="X540" s="651"/>
      <c r="Y540" s="651"/>
      <c r="Z540" s="651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59">
        <v>4680115889774</v>
      </c>
      <c r="E541" s="660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8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57"/>
      <c r="R541" s="657"/>
      <c r="S541" s="657"/>
      <c r="T541" s="658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2"/>
      <c r="B542" s="651"/>
      <c r="C542" s="651"/>
      <c r="D542" s="651"/>
      <c r="E542" s="651"/>
      <c r="F542" s="651"/>
      <c r="G542" s="651"/>
      <c r="H542" s="651"/>
      <c r="I542" s="651"/>
      <c r="J542" s="651"/>
      <c r="K542" s="651"/>
      <c r="L542" s="651"/>
      <c r="M542" s="651"/>
      <c r="N542" s="651"/>
      <c r="O542" s="673"/>
      <c r="P542" s="647" t="s">
        <v>71</v>
      </c>
      <c r="Q542" s="648"/>
      <c r="R542" s="648"/>
      <c r="S542" s="648"/>
      <c r="T542" s="648"/>
      <c r="U542" s="648"/>
      <c r="V542" s="649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51"/>
      <c r="B543" s="651"/>
      <c r="C543" s="651"/>
      <c r="D543" s="651"/>
      <c r="E543" s="651"/>
      <c r="F543" s="651"/>
      <c r="G543" s="651"/>
      <c r="H543" s="651"/>
      <c r="I543" s="651"/>
      <c r="J543" s="651"/>
      <c r="K543" s="651"/>
      <c r="L543" s="651"/>
      <c r="M543" s="651"/>
      <c r="N543" s="651"/>
      <c r="O543" s="673"/>
      <c r="P543" s="647" t="s">
        <v>71</v>
      </c>
      <c r="Q543" s="648"/>
      <c r="R543" s="648"/>
      <c r="S543" s="648"/>
      <c r="T543" s="648"/>
      <c r="U543" s="648"/>
      <c r="V543" s="649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50" t="s">
        <v>73</v>
      </c>
      <c r="B544" s="651"/>
      <c r="C544" s="651"/>
      <c r="D544" s="651"/>
      <c r="E544" s="651"/>
      <c r="F544" s="651"/>
      <c r="G544" s="651"/>
      <c r="H544" s="651"/>
      <c r="I544" s="651"/>
      <c r="J544" s="651"/>
      <c r="K544" s="651"/>
      <c r="L544" s="651"/>
      <c r="M544" s="651"/>
      <c r="N544" s="651"/>
      <c r="O544" s="651"/>
      <c r="P544" s="651"/>
      <c r="Q544" s="651"/>
      <c r="R544" s="651"/>
      <c r="S544" s="651"/>
      <c r="T544" s="651"/>
      <c r="U544" s="651"/>
      <c r="V544" s="651"/>
      <c r="W544" s="651"/>
      <c r="X544" s="651"/>
      <c r="Y544" s="651"/>
      <c r="Z544" s="651"/>
      <c r="AA544" s="637"/>
      <c r="AB544" s="637"/>
      <c r="AC544" s="637"/>
    </row>
    <row r="545" spans="1:68" ht="27" hidden="1" customHeight="1" x14ac:dyDescent="0.25">
      <c r="A545" s="54" t="s">
        <v>841</v>
      </c>
      <c r="B545" s="54" t="s">
        <v>842</v>
      </c>
      <c r="C545" s="31">
        <v>4301052282</v>
      </c>
      <c r="D545" s="659">
        <v>4680115889811</v>
      </c>
      <c r="E545" s="660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94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57"/>
      <c r="R545" s="657"/>
      <c r="S545" s="657"/>
      <c r="T545" s="658"/>
      <c r="U545" s="34"/>
      <c r="V545" s="34"/>
      <c r="W545" s="35" t="s">
        <v>66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idden="1" x14ac:dyDescent="0.2">
      <c r="A546" s="672"/>
      <c r="B546" s="651"/>
      <c r="C546" s="651"/>
      <c r="D546" s="651"/>
      <c r="E546" s="651"/>
      <c r="F546" s="651"/>
      <c r="G546" s="651"/>
      <c r="H546" s="651"/>
      <c r="I546" s="651"/>
      <c r="J546" s="651"/>
      <c r="K546" s="651"/>
      <c r="L546" s="651"/>
      <c r="M546" s="651"/>
      <c r="N546" s="651"/>
      <c r="O546" s="673"/>
      <c r="P546" s="647" t="s">
        <v>71</v>
      </c>
      <c r="Q546" s="648"/>
      <c r="R546" s="648"/>
      <c r="S546" s="648"/>
      <c r="T546" s="648"/>
      <c r="U546" s="648"/>
      <c r="V546" s="649"/>
      <c r="W546" s="37" t="s">
        <v>72</v>
      </c>
      <c r="X546" s="643">
        <f>IFERROR(X545/H545,"0")</f>
        <v>0</v>
      </c>
      <c r="Y546" s="643">
        <f>IFERROR(Y545/H545,"0")</f>
        <v>0</v>
      </c>
      <c r="Z546" s="643">
        <f>IFERROR(IF(Z545="",0,Z545),"0")</f>
        <v>0</v>
      </c>
      <c r="AA546" s="644"/>
      <c r="AB546" s="644"/>
      <c r="AC546" s="644"/>
    </row>
    <row r="547" spans="1:68" hidden="1" x14ac:dyDescent="0.2">
      <c r="A547" s="651"/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73"/>
      <c r="P547" s="647" t="s">
        <v>71</v>
      </c>
      <c r="Q547" s="648"/>
      <c r="R547" s="648"/>
      <c r="S547" s="648"/>
      <c r="T547" s="648"/>
      <c r="U547" s="648"/>
      <c r="V547" s="649"/>
      <c r="W547" s="37" t="s">
        <v>66</v>
      </c>
      <c r="X547" s="643">
        <f>IFERROR(SUM(X545:X545),"0")</f>
        <v>0</v>
      </c>
      <c r="Y547" s="643">
        <f>IFERROR(SUM(Y545:Y545),"0")</f>
        <v>0</v>
      </c>
      <c r="Z547" s="37"/>
      <c r="AA547" s="644"/>
      <c r="AB547" s="644"/>
      <c r="AC547" s="644"/>
    </row>
    <row r="548" spans="1:68" ht="14.25" hidden="1" customHeight="1" x14ac:dyDescent="0.25">
      <c r="A548" s="650" t="s">
        <v>166</v>
      </c>
      <c r="B548" s="651"/>
      <c r="C548" s="651"/>
      <c r="D548" s="651"/>
      <c r="E548" s="651"/>
      <c r="F548" s="651"/>
      <c r="G548" s="651"/>
      <c r="H548" s="651"/>
      <c r="I548" s="651"/>
      <c r="J548" s="651"/>
      <c r="K548" s="651"/>
      <c r="L548" s="651"/>
      <c r="M548" s="651"/>
      <c r="N548" s="651"/>
      <c r="O548" s="651"/>
      <c r="P548" s="651"/>
      <c r="Q548" s="651"/>
      <c r="R548" s="651"/>
      <c r="S548" s="651"/>
      <c r="T548" s="651"/>
      <c r="U548" s="651"/>
      <c r="V548" s="651"/>
      <c r="W548" s="651"/>
      <c r="X548" s="651"/>
      <c r="Y548" s="651"/>
      <c r="Z548" s="651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59">
        <v>4680115889804</v>
      </c>
      <c r="E549" s="660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9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57"/>
      <c r="R549" s="657"/>
      <c r="S549" s="657"/>
      <c r="T549" s="658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59">
        <v>4680115889828</v>
      </c>
      <c r="E550" s="660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0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57"/>
      <c r="R550" s="657"/>
      <c r="S550" s="657"/>
      <c r="T550" s="658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2"/>
      <c r="B551" s="651"/>
      <c r="C551" s="651"/>
      <c r="D551" s="651"/>
      <c r="E551" s="651"/>
      <c r="F551" s="651"/>
      <c r="G551" s="651"/>
      <c r="H551" s="651"/>
      <c r="I551" s="651"/>
      <c r="J551" s="651"/>
      <c r="K551" s="651"/>
      <c r="L551" s="651"/>
      <c r="M551" s="651"/>
      <c r="N551" s="651"/>
      <c r="O551" s="673"/>
      <c r="P551" s="647" t="s">
        <v>71</v>
      </c>
      <c r="Q551" s="648"/>
      <c r="R551" s="648"/>
      <c r="S551" s="648"/>
      <c r="T551" s="648"/>
      <c r="U551" s="648"/>
      <c r="V551" s="649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51"/>
      <c r="B552" s="651"/>
      <c r="C552" s="651"/>
      <c r="D552" s="651"/>
      <c r="E552" s="651"/>
      <c r="F552" s="651"/>
      <c r="G552" s="651"/>
      <c r="H552" s="651"/>
      <c r="I552" s="651"/>
      <c r="J552" s="651"/>
      <c r="K552" s="651"/>
      <c r="L552" s="651"/>
      <c r="M552" s="651"/>
      <c r="N552" s="651"/>
      <c r="O552" s="673"/>
      <c r="P552" s="647" t="s">
        <v>71</v>
      </c>
      <c r="Q552" s="648"/>
      <c r="R552" s="648"/>
      <c r="S552" s="648"/>
      <c r="T552" s="648"/>
      <c r="U552" s="648"/>
      <c r="V552" s="649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55" t="s">
        <v>850</v>
      </c>
      <c r="B553" s="651"/>
      <c r="C553" s="651"/>
      <c r="D553" s="651"/>
      <c r="E553" s="651"/>
      <c r="F553" s="651"/>
      <c r="G553" s="651"/>
      <c r="H553" s="651"/>
      <c r="I553" s="651"/>
      <c r="J553" s="651"/>
      <c r="K553" s="651"/>
      <c r="L553" s="651"/>
      <c r="M553" s="651"/>
      <c r="N553" s="651"/>
      <c r="O553" s="651"/>
      <c r="P553" s="651"/>
      <c r="Q553" s="651"/>
      <c r="R553" s="651"/>
      <c r="S553" s="651"/>
      <c r="T553" s="651"/>
      <c r="U553" s="651"/>
      <c r="V553" s="651"/>
      <c r="W553" s="651"/>
      <c r="X553" s="651"/>
      <c r="Y553" s="651"/>
      <c r="Z553" s="651"/>
      <c r="AA553" s="636"/>
      <c r="AB553" s="636"/>
      <c r="AC553" s="636"/>
    </row>
    <row r="554" spans="1:68" ht="14.25" hidden="1" customHeight="1" x14ac:dyDescent="0.25">
      <c r="A554" s="650" t="s">
        <v>147</v>
      </c>
      <c r="B554" s="651"/>
      <c r="C554" s="651"/>
      <c r="D554" s="651"/>
      <c r="E554" s="651"/>
      <c r="F554" s="651"/>
      <c r="G554" s="651"/>
      <c r="H554" s="651"/>
      <c r="I554" s="651"/>
      <c r="J554" s="651"/>
      <c r="K554" s="651"/>
      <c r="L554" s="651"/>
      <c r="M554" s="651"/>
      <c r="N554" s="651"/>
      <c r="O554" s="651"/>
      <c r="P554" s="651"/>
      <c r="Q554" s="651"/>
      <c r="R554" s="651"/>
      <c r="S554" s="651"/>
      <c r="T554" s="651"/>
      <c r="U554" s="651"/>
      <c r="V554" s="651"/>
      <c r="W554" s="651"/>
      <c r="X554" s="651"/>
      <c r="Y554" s="651"/>
      <c r="Z554" s="651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59">
        <v>4680115889798</v>
      </c>
      <c r="E555" s="660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57"/>
      <c r="R555" s="657"/>
      <c r="S555" s="657"/>
      <c r="T555" s="658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2"/>
      <c r="B556" s="651"/>
      <c r="C556" s="651"/>
      <c r="D556" s="651"/>
      <c r="E556" s="651"/>
      <c r="F556" s="651"/>
      <c r="G556" s="651"/>
      <c r="H556" s="651"/>
      <c r="I556" s="651"/>
      <c r="J556" s="651"/>
      <c r="K556" s="651"/>
      <c r="L556" s="651"/>
      <c r="M556" s="651"/>
      <c r="N556" s="651"/>
      <c r="O556" s="673"/>
      <c r="P556" s="647" t="s">
        <v>71</v>
      </c>
      <c r="Q556" s="648"/>
      <c r="R556" s="648"/>
      <c r="S556" s="648"/>
      <c r="T556" s="648"/>
      <c r="U556" s="648"/>
      <c r="V556" s="649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51"/>
      <c r="B557" s="651"/>
      <c r="C557" s="651"/>
      <c r="D557" s="651"/>
      <c r="E557" s="651"/>
      <c r="F557" s="651"/>
      <c r="G557" s="651"/>
      <c r="H557" s="651"/>
      <c r="I557" s="651"/>
      <c r="J557" s="651"/>
      <c r="K557" s="651"/>
      <c r="L557" s="651"/>
      <c r="M557" s="651"/>
      <c r="N557" s="651"/>
      <c r="O557" s="673"/>
      <c r="P557" s="647" t="s">
        <v>71</v>
      </c>
      <c r="Q557" s="648"/>
      <c r="R557" s="648"/>
      <c r="S557" s="648"/>
      <c r="T557" s="648"/>
      <c r="U557" s="648"/>
      <c r="V557" s="649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41"/>
      <c r="B558" s="651"/>
      <c r="C558" s="651"/>
      <c r="D558" s="651"/>
      <c r="E558" s="651"/>
      <c r="F558" s="651"/>
      <c r="G558" s="651"/>
      <c r="H558" s="651"/>
      <c r="I558" s="651"/>
      <c r="J558" s="651"/>
      <c r="K558" s="651"/>
      <c r="L558" s="651"/>
      <c r="M558" s="651"/>
      <c r="N558" s="651"/>
      <c r="O558" s="820"/>
      <c r="P558" s="652" t="s">
        <v>854</v>
      </c>
      <c r="Q558" s="653"/>
      <c r="R558" s="653"/>
      <c r="S558" s="653"/>
      <c r="T558" s="653"/>
      <c r="U558" s="653"/>
      <c r="V558" s="654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2670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2770.3900000000003</v>
      </c>
      <c r="Z558" s="37"/>
      <c r="AA558" s="644"/>
      <c r="AB558" s="644"/>
      <c r="AC558" s="644"/>
    </row>
    <row r="559" spans="1:68" x14ac:dyDescent="0.2">
      <c r="A559" s="651"/>
      <c r="B559" s="651"/>
      <c r="C559" s="651"/>
      <c r="D559" s="651"/>
      <c r="E559" s="651"/>
      <c r="F559" s="651"/>
      <c r="G559" s="651"/>
      <c r="H559" s="651"/>
      <c r="I559" s="651"/>
      <c r="J559" s="651"/>
      <c r="K559" s="651"/>
      <c r="L559" s="651"/>
      <c r="M559" s="651"/>
      <c r="N559" s="651"/>
      <c r="O559" s="820"/>
      <c r="P559" s="652" t="s">
        <v>855</v>
      </c>
      <c r="Q559" s="653"/>
      <c r="R559" s="653"/>
      <c r="S559" s="653"/>
      <c r="T559" s="653"/>
      <c r="U559" s="653"/>
      <c r="V559" s="654"/>
      <c r="W559" s="37" t="s">
        <v>66</v>
      </c>
      <c r="X559" s="643">
        <f>IFERROR(SUM(BM22:BM555),"0")</f>
        <v>2810.2090556121434</v>
      </c>
      <c r="Y559" s="643">
        <f>IFERROR(SUM(BN22:BN555),"0")</f>
        <v>2917.0970000000002</v>
      </c>
      <c r="Z559" s="37"/>
      <c r="AA559" s="644"/>
      <c r="AB559" s="644"/>
      <c r="AC559" s="644"/>
    </row>
    <row r="560" spans="1:68" x14ac:dyDescent="0.2">
      <c r="A560" s="651"/>
      <c r="B560" s="651"/>
      <c r="C560" s="651"/>
      <c r="D560" s="651"/>
      <c r="E560" s="651"/>
      <c r="F560" s="651"/>
      <c r="G560" s="651"/>
      <c r="H560" s="651"/>
      <c r="I560" s="651"/>
      <c r="J560" s="651"/>
      <c r="K560" s="651"/>
      <c r="L560" s="651"/>
      <c r="M560" s="651"/>
      <c r="N560" s="651"/>
      <c r="O560" s="820"/>
      <c r="P560" s="652" t="s">
        <v>856</v>
      </c>
      <c r="Q560" s="653"/>
      <c r="R560" s="653"/>
      <c r="S560" s="653"/>
      <c r="T560" s="653"/>
      <c r="U560" s="653"/>
      <c r="V560" s="654"/>
      <c r="W560" s="37" t="s">
        <v>857</v>
      </c>
      <c r="X560" s="38">
        <f>ROUNDUP(SUM(BO22:BO555),0)</f>
        <v>5</v>
      </c>
      <c r="Y560" s="38">
        <f>ROUNDUP(SUM(BP22:BP555),0)</f>
        <v>5</v>
      </c>
      <c r="Z560" s="37"/>
      <c r="AA560" s="644"/>
      <c r="AB560" s="644"/>
      <c r="AC560" s="644"/>
    </row>
    <row r="561" spans="1:32" x14ac:dyDescent="0.2">
      <c r="A561" s="651"/>
      <c r="B561" s="651"/>
      <c r="C561" s="651"/>
      <c r="D561" s="651"/>
      <c r="E561" s="651"/>
      <c r="F561" s="651"/>
      <c r="G561" s="651"/>
      <c r="H561" s="651"/>
      <c r="I561" s="651"/>
      <c r="J561" s="651"/>
      <c r="K561" s="651"/>
      <c r="L561" s="651"/>
      <c r="M561" s="651"/>
      <c r="N561" s="651"/>
      <c r="O561" s="820"/>
      <c r="P561" s="652" t="s">
        <v>858</v>
      </c>
      <c r="Q561" s="653"/>
      <c r="R561" s="653"/>
      <c r="S561" s="653"/>
      <c r="T561" s="653"/>
      <c r="U561" s="653"/>
      <c r="V561" s="654"/>
      <c r="W561" s="37" t="s">
        <v>66</v>
      </c>
      <c r="X561" s="643">
        <f>GrossWeightTotal+PalletQtyTotal*25</f>
        <v>2935.2090556121434</v>
      </c>
      <c r="Y561" s="643">
        <f>GrossWeightTotalR+PalletQtyTotalR*25</f>
        <v>3042.0970000000002</v>
      </c>
      <c r="Z561" s="37"/>
      <c r="AA561" s="644"/>
      <c r="AB561" s="644"/>
      <c r="AC561" s="644"/>
    </row>
    <row r="562" spans="1:32" x14ac:dyDescent="0.2">
      <c r="A562" s="651"/>
      <c r="B562" s="651"/>
      <c r="C562" s="651"/>
      <c r="D562" s="651"/>
      <c r="E562" s="651"/>
      <c r="F562" s="651"/>
      <c r="G562" s="651"/>
      <c r="H562" s="651"/>
      <c r="I562" s="651"/>
      <c r="J562" s="651"/>
      <c r="K562" s="651"/>
      <c r="L562" s="651"/>
      <c r="M562" s="651"/>
      <c r="N562" s="651"/>
      <c r="O562" s="820"/>
      <c r="P562" s="652" t="s">
        <v>859</v>
      </c>
      <c r="Q562" s="653"/>
      <c r="R562" s="653"/>
      <c r="S562" s="653"/>
      <c r="T562" s="653"/>
      <c r="U562" s="653"/>
      <c r="V562" s="654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434.92601646719294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455</v>
      </c>
      <c r="Z562" s="37"/>
      <c r="AA562" s="644"/>
      <c r="AB562" s="644"/>
      <c r="AC562" s="644"/>
    </row>
    <row r="563" spans="1:32" ht="14.25" hidden="1" customHeight="1" x14ac:dyDescent="0.2">
      <c r="A563" s="651"/>
      <c r="B563" s="651"/>
      <c r="C563" s="651"/>
      <c r="D563" s="651"/>
      <c r="E563" s="651"/>
      <c r="F563" s="651"/>
      <c r="G563" s="651"/>
      <c r="H563" s="651"/>
      <c r="I563" s="651"/>
      <c r="J563" s="651"/>
      <c r="K563" s="651"/>
      <c r="L563" s="651"/>
      <c r="M563" s="651"/>
      <c r="N563" s="651"/>
      <c r="O563" s="820"/>
      <c r="P563" s="652" t="s">
        <v>860</v>
      </c>
      <c r="Q563" s="653"/>
      <c r="R563" s="653"/>
      <c r="S563" s="653"/>
      <c r="T563" s="653"/>
      <c r="U563" s="653"/>
      <c r="V563" s="654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5.232149999999999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77" t="s">
        <v>108</v>
      </c>
      <c r="E565" s="970"/>
      <c r="F565" s="970"/>
      <c r="G565" s="970"/>
      <c r="H565" s="970"/>
      <c r="I565" s="970"/>
      <c r="J565" s="683"/>
      <c r="K565" s="677" t="s">
        <v>334</v>
      </c>
      <c r="L565" s="970"/>
      <c r="M565" s="970"/>
      <c r="N565" s="970"/>
      <c r="O565" s="970"/>
      <c r="P565" s="970"/>
      <c r="Q565" s="970"/>
      <c r="R565" s="970"/>
      <c r="S565" s="970"/>
      <c r="T565" s="970"/>
      <c r="U565" s="970"/>
      <c r="V565" s="683"/>
      <c r="W565" s="677" t="s">
        <v>683</v>
      </c>
      <c r="X565" s="683"/>
      <c r="Y565" s="677" t="s">
        <v>749</v>
      </c>
      <c r="Z565" s="683"/>
      <c r="AA565" s="638" t="s">
        <v>785</v>
      </c>
      <c r="AB565" s="677" t="s">
        <v>832</v>
      </c>
      <c r="AC565" s="683"/>
      <c r="AF565" s="639"/>
    </row>
    <row r="566" spans="1:32" ht="14.25" customHeight="1" thickTop="1" x14ac:dyDescent="0.2">
      <c r="A566" s="680" t="s">
        <v>863</v>
      </c>
      <c r="B566" s="677" t="s">
        <v>60</v>
      </c>
      <c r="C566" s="677" t="s">
        <v>92</v>
      </c>
      <c r="D566" s="677" t="s">
        <v>109</v>
      </c>
      <c r="E566" s="677" t="s">
        <v>125</v>
      </c>
      <c r="F566" s="677" t="s">
        <v>174</v>
      </c>
      <c r="G566" s="677" t="s">
        <v>198</v>
      </c>
      <c r="H566" s="677" t="s">
        <v>238</v>
      </c>
      <c r="I566" s="677" t="s">
        <v>251</v>
      </c>
      <c r="J566" s="677" t="s">
        <v>108</v>
      </c>
      <c r="K566" s="677" t="s">
        <v>335</v>
      </c>
      <c r="L566" s="677" t="s">
        <v>356</v>
      </c>
      <c r="M566" s="677" t="s">
        <v>427</v>
      </c>
      <c r="N566" s="639"/>
      <c r="O566" s="677" t="s">
        <v>495</v>
      </c>
      <c r="P566" s="677" t="s">
        <v>524</v>
      </c>
      <c r="Q566" s="677" t="s">
        <v>543</v>
      </c>
      <c r="R566" s="677" t="s">
        <v>552</v>
      </c>
      <c r="S566" s="677" t="s">
        <v>571</v>
      </c>
      <c r="T566" s="677" t="s">
        <v>580</v>
      </c>
      <c r="U566" s="677" t="s">
        <v>666</v>
      </c>
      <c r="V566" s="677" t="s">
        <v>673</v>
      </c>
      <c r="W566" s="677" t="s">
        <v>684</v>
      </c>
      <c r="X566" s="677" t="s">
        <v>733</v>
      </c>
      <c r="Y566" s="677" t="s">
        <v>750</v>
      </c>
      <c r="Z566" s="677" t="s">
        <v>773</v>
      </c>
      <c r="AA566" s="677" t="s">
        <v>785</v>
      </c>
      <c r="AB566" s="677" t="s">
        <v>832</v>
      </c>
      <c r="AC566" s="677" t="s">
        <v>850</v>
      </c>
      <c r="AF566" s="639"/>
    </row>
    <row r="567" spans="1:32" ht="13.5" customHeight="1" thickBot="1" x14ac:dyDescent="0.25">
      <c r="A567" s="681"/>
      <c r="B567" s="678"/>
      <c r="C567" s="678"/>
      <c r="D567" s="678"/>
      <c r="E567" s="678"/>
      <c r="F567" s="678"/>
      <c r="G567" s="678"/>
      <c r="H567" s="678"/>
      <c r="I567" s="678"/>
      <c r="J567" s="678"/>
      <c r="K567" s="678"/>
      <c r="L567" s="678"/>
      <c r="M567" s="678"/>
      <c r="N567" s="639"/>
      <c r="O567" s="678"/>
      <c r="P567" s="678"/>
      <c r="Q567" s="678"/>
      <c r="R567" s="678"/>
      <c r="S567" s="678"/>
      <c r="T567" s="678"/>
      <c r="U567" s="678"/>
      <c r="V567" s="678"/>
      <c r="W567" s="678"/>
      <c r="X567" s="678"/>
      <c r="Y567" s="678"/>
      <c r="Z567" s="678"/>
      <c r="AA567" s="678"/>
      <c r="AB567" s="678"/>
      <c r="AC567" s="678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7.2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0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14.8</v>
      </c>
      <c r="F568" s="46">
        <f>IFERROR(Y87*1,"0")+IFERROR(Y88*1,"0")+IFERROR(Y89*1,"0")+IFERROR(Y90*1,"0")+IFERROR(Y91*1,"0")+IFERROR(Y92*1,"0")+IFERROR(Y96*1,"0")+IFERROR(Y97*1,"0")+IFERROR(Y98*1,"0")+IFERROR(Y99*1,"0")</f>
        <v>159.30000000000001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253.44000000000003</v>
      </c>
      <c r="H568" s="46">
        <f>IFERROR(Y134*1,"0")+IFERROR(Y135*1,"0")+IFERROR(Y139*1,"0")+IFERROR(Y140*1,"0")+IFERROR(Y144*1,"0")+IFERROR(Y145*1,"0")</f>
        <v>0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30.3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69.720000000000013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530.40000000000009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1.8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0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0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26.55</v>
      </c>
      <c r="U568" s="46">
        <f>IFERROR(Y416*1,"0")+IFERROR(Y417*1,"0")</f>
        <v>0</v>
      </c>
      <c r="V568" s="46">
        <f>IFERROR(Y422*1,"0")+IFERROR(Y423*1,"0")+IFERROR(Y424*1,"0")</f>
        <v>0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1158</v>
      </c>
      <c r="X568" s="46">
        <f>IFERROR(Y459*1,"0")+IFERROR(Y460*1,"0")+IFERROR(Y464*1,"0")+IFERROR(Y468*1,"0")+IFERROR(Y469*1,"0")+IFERROR(Y470*1,"0")</f>
        <v>381.6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0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137.28</v>
      </c>
      <c r="AB568" s="46">
        <f>IFERROR(Y533*1,"0")+IFERROR(Y537*1,"0")+IFERROR(Y541*1,"0")+IFERROR(Y545*1,"0")+IFERROR(Y549*1,"0")+IFERROR(Y550*1,"0")</f>
        <v>0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78"/>
        <filter val="0,79"/>
        <filter val="1,00"/>
        <filter val="1,11"/>
        <filter val="1,43"/>
        <filter val="1,79"/>
        <filter val="10,00"/>
        <filter val="100,00"/>
        <filter val="111,25"/>
        <filter val="112,00"/>
        <filter val="12,00"/>
        <filter val="12,67"/>
        <filter val="149,00"/>
        <filter val="15,00"/>
        <filter val="154,00"/>
        <filter val="17,00"/>
        <filter val="17,80"/>
        <filter val="18,59"/>
        <filter val="184,00"/>
        <filter val="2 670,00"/>
        <filter val="2 810,21"/>
        <filter val="2 935,21"/>
        <filter val="2,00"/>
        <filter val="2,02"/>
        <filter val="20,00"/>
        <filter val="21,00"/>
        <filter val="23,20"/>
        <filter val="235,00"/>
        <filter val="25,00"/>
        <filter val="250,00"/>
        <filter val="267,00"/>
        <filter val="27,00"/>
        <filter val="3,33"/>
        <filter val="3,50"/>
        <filter val="30,00"/>
        <filter val="348,00"/>
        <filter val="35,00"/>
        <filter val="357,00"/>
        <filter val="37,00"/>
        <filter val="377,00"/>
        <filter val="4,00"/>
        <filter val="4,44"/>
        <filter val="434,93"/>
        <filter val="46,00"/>
        <filter val="46,30"/>
        <filter val="48,00"/>
        <filter val="480,00"/>
        <filter val="5"/>
        <filter val="50,00"/>
        <filter val="50,87"/>
        <filter val="52,00"/>
        <filter val="53,00"/>
        <filter val="57,00"/>
        <filter val="6,00"/>
        <filter val="6,63"/>
        <filter val="60,00"/>
        <filter val="60,74"/>
        <filter val="63,00"/>
        <filter val="763,00"/>
        <filter val="80,00"/>
        <filter val="81,00"/>
        <filter val="94,00"/>
      </filters>
    </filterColumn>
    <filterColumn colId="29" showButton="0"/>
    <filterColumn colId="30" showButton="0"/>
  </autoFilter>
  <mergeCells count="1001"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P515:T515"/>
    <mergeCell ref="A20:Z20"/>
    <mergeCell ref="P493:V493"/>
    <mergeCell ref="P371:V371"/>
    <mergeCell ref="D252:E252"/>
    <mergeCell ref="D550:E550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P344:T344"/>
    <mergeCell ref="P300:V300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K565:V565"/>
    <mergeCell ref="Y565:Z565"/>
    <mergeCell ref="D566:D567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D17:E18"/>
    <mergeCell ref="P71:T71"/>
    <mergeCell ref="P313:T313"/>
    <mergeCell ref="P373:T373"/>
    <mergeCell ref="P307:T307"/>
    <mergeCell ref="D123:E123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D152:E152"/>
    <mergeCell ref="D385:E385"/>
    <mergeCell ref="P178:T178"/>
    <mergeCell ref="P276:T276"/>
    <mergeCell ref="P105:T105"/>
    <mergeCell ref="A400:O401"/>
    <mergeCell ref="D384:E384"/>
    <mergeCell ref="A64:O65"/>
    <mergeCell ref="A457:Z457"/>
    <mergeCell ref="A387:O388"/>
    <mergeCell ref="D449:E449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558:O563"/>
    <mergeCell ref="A532:Z532"/>
    <mergeCell ref="P482:V482"/>
    <mergeCell ref="Y566:Y567"/>
    <mergeCell ref="Q566:Q567"/>
    <mergeCell ref="P545:T545"/>
    <mergeCell ref="D178:E178"/>
    <mergeCell ref="D172:E172"/>
    <mergeCell ref="A156:O157"/>
    <mergeCell ref="H566:H567"/>
    <mergeCell ref="J566:J567"/>
    <mergeCell ref="L566:L567"/>
    <mergeCell ref="D274:E274"/>
    <mergeCell ref="D245:E245"/>
    <mergeCell ref="D516:E516"/>
    <mergeCell ref="A349:Z349"/>
    <mergeCell ref="P262:T262"/>
    <mergeCell ref="A536:Z536"/>
    <mergeCell ref="D468:E468"/>
    <mergeCell ref="D250:E250"/>
    <mergeCell ref="P59:T59"/>
    <mergeCell ref="P190:T190"/>
    <mergeCell ref="D434:E434"/>
    <mergeCell ref="A412:O413"/>
    <mergeCell ref="P282:T282"/>
    <mergeCell ref="D154:E154"/>
    <mergeCell ref="D225:E225"/>
    <mergeCell ref="P409:T409"/>
    <mergeCell ref="P111:T111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D105:E105"/>
    <mergeCell ref="A83:O84"/>
    <mergeCell ref="D509:E509"/>
    <mergeCell ref="P96:T96"/>
    <mergeCell ref="P491:T491"/>
    <mergeCell ref="P211:T211"/>
    <mergeCell ref="D399:E399"/>
    <mergeCell ref="A141:O142"/>
    <mergeCell ref="P89:T89"/>
    <mergeCell ref="P309:T309"/>
    <mergeCell ref="D59:E59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P241:T241"/>
    <mergeCell ref="P41:T41"/>
    <mergeCell ref="D155:E155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A444:O445"/>
    <mergeCell ref="A489:Z489"/>
    <mergeCell ref="D39:E39"/>
    <mergeCell ref="P212:T212"/>
    <mergeCell ref="P552:V552"/>
    <mergeCell ref="A133:Z133"/>
    <mergeCell ref="P375:T375"/>
    <mergeCell ref="P179:T179"/>
    <mergeCell ref="D125:E125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P196:T196"/>
    <mergeCell ref="A312:Z312"/>
    <mergeCell ref="D177:E177"/>
    <mergeCell ref="D226:E226"/>
    <mergeCell ref="P352:V352"/>
    <mergeCell ref="P183:T183"/>
    <mergeCell ref="D164:E164"/>
    <mergeCell ref="P517:T517"/>
    <mergeCell ref="D267:E267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P516:T516"/>
    <mergeCell ref="P245:T245"/>
    <mergeCell ref="P126:V126"/>
    <mergeCell ref="D424:E424"/>
    <mergeCell ref="P224:T224"/>
    <mergeCell ref="AB565:AC565"/>
    <mergeCell ref="P83:V83"/>
    <mergeCell ref="P136:V136"/>
    <mergeCell ref="D377:E377"/>
    <mergeCell ref="P114:V114"/>
    <mergeCell ref="A119:O120"/>
    <mergeCell ref="P287:T287"/>
    <mergeCell ref="P523:T523"/>
    <mergeCell ref="P295:V295"/>
    <mergeCell ref="A301:Z301"/>
    <mergeCell ref="P547:V547"/>
    <mergeCell ref="P214:V214"/>
    <mergeCell ref="A95:Z95"/>
    <mergeCell ref="P337:T337"/>
    <mergeCell ref="D209:E209"/>
    <mergeCell ref="P464:T464"/>
    <mergeCell ref="A187:O188"/>
    <mergeCell ref="P261:T261"/>
    <mergeCell ref="P90:T90"/>
    <mergeCell ref="A518:O519"/>
    <mergeCell ref="P503:T503"/>
    <mergeCell ref="P217:T217"/>
    <mergeCell ref="P459:T459"/>
    <mergeCell ref="P154:T154"/>
    <mergeCell ref="P560:V560"/>
    <mergeCell ref="P247:V247"/>
    <mergeCell ref="P390:T390"/>
    <mergeCell ref="D206:E206"/>
    <mergeCell ref="D504:E504"/>
    <mergeCell ref="P483:V483"/>
    <mergeCell ref="D298:E298"/>
    <mergeCell ref="D181:E181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H17:H18"/>
    <mergeCell ref="P27:T27"/>
    <mergeCell ref="D75:E75"/>
    <mergeCell ref="A66:Z66"/>
    <mergeCell ref="A158:Z158"/>
    <mergeCell ref="P91:T91"/>
    <mergeCell ref="D273:E273"/>
    <mergeCell ref="P327:T327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D22:E22"/>
    <mergeCell ref="M17:M18"/>
    <mergeCell ref="O17:O18"/>
    <mergeCell ref="P365:T365"/>
    <mergeCell ref="P62:T62"/>
    <mergeCell ref="N17:N18"/>
    <mergeCell ref="I17:I18"/>
    <mergeCell ref="D306:E306"/>
    <mergeCell ref="D135:E135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26:Z26"/>
    <mergeCell ref="P39:T39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P230:T230"/>
    <mergeCell ref="P97:T97"/>
    <mergeCell ref="D211:E211"/>
    <mergeCell ref="P130:V130"/>
    <mergeCell ref="D145:E145"/>
    <mergeCell ref="D443:E443"/>
    <mergeCell ref="D272:E272"/>
    <mergeCell ref="D210:E210"/>
    <mergeCell ref="A316:Z316"/>
    <mergeCell ref="A492:O493"/>
    <mergeCell ref="D308:E308"/>
    <mergeCell ref="A46:Z46"/>
    <mergeCell ref="P537:T537"/>
    <mergeCell ref="P508:T508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A556:O557"/>
    <mergeCell ref="P465:V465"/>
    <mergeCell ref="P376:T376"/>
    <mergeCell ref="A395:Z395"/>
    <mergeCell ref="D453:E453"/>
    <mergeCell ref="P495:T495"/>
    <mergeCell ref="A406:O407"/>
    <mergeCell ref="P239:T239"/>
    <mergeCell ref="P68:T68"/>
    <mergeCell ref="A418:O419"/>
    <mergeCell ref="A247:O248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1:F1"/>
    <mergeCell ref="P488:V488"/>
    <mergeCell ref="P47:T47"/>
    <mergeCell ref="J17:J18"/>
    <mergeCell ref="D82:E82"/>
    <mergeCell ref="L17:L18"/>
    <mergeCell ref="P359:V359"/>
    <mergeCell ref="D240:E240"/>
    <mergeCell ref="A342:Z342"/>
    <mergeCell ref="P521:T521"/>
    <mergeCell ref="D442:E442"/>
    <mergeCell ref="P29:T29"/>
    <mergeCell ref="P271:T27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A512:O513"/>
    <mergeCell ref="D511:E511"/>
    <mergeCell ref="D38:E38"/>
    <mergeCell ref="P182:T182"/>
    <mergeCell ref="P480:T480"/>
    <mergeCell ref="D261:E261"/>
    <mergeCell ref="A149:Z149"/>
    <mergeCell ref="P209:T209"/>
    <mergeCell ref="A193:O194"/>
    <mergeCell ref="W17:W18"/>
    <mergeCell ref="A86:Z86"/>
    <mergeCell ref="P332:V332"/>
    <mergeCell ref="P33:V33"/>
    <mergeCell ref="D124:E124"/>
    <mergeCell ref="P81:T81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Q9:R9"/>
    <mergeCell ref="Q11:R11"/>
    <mergeCell ref="A6:C6"/>
    <mergeCell ref="Q12:R12"/>
    <mergeCell ref="D90:E90"/>
    <mergeCell ref="P411:T411"/>
    <mergeCell ref="A130:O131"/>
    <mergeCell ref="P442:T44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388:V388"/>
    <mergeCell ref="P161:V161"/>
    <mergeCell ref="P546:V546"/>
    <mergeCell ref="P234:T234"/>
    <mergeCell ref="A215:Z215"/>
    <mergeCell ref="D378:E378"/>
    <mergeCell ref="D129:E129"/>
    <mergeCell ref="D417:E417"/>
    <mergeCell ref="D69:E69"/>
    <mergeCell ref="P240:T240"/>
    <mergeCell ref="A538:O539"/>
    <mergeCell ref="A475:Z475"/>
    <mergeCell ref="A332:O333"/>
    <mergeCell ref="D527:E527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P559:V559"/>
    <mergeCell ref="B566:B567"/>
    <mergeCell ref="P561:V561"/>
    <mergeCell ref="S566:S567"/>
    <mergeCell ref="D356:E356"/>
    <mergeCell ref="P264:V264"/>
    <mergeCell ref="P269:V269"/>
    <mergeCell ref="A216:Z216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P462:V46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2026-10-02T12:30:16Z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