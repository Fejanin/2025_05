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267A9CB-AE2D-4D9E-AA1B-CBEE30B3E43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P555" i="1"/>
  <c r="BO555" i="1"/>
  <c r="BM555" i="1"/>
  <c r="Z555" i="1"/>
  <c r="Z556" i="1" s="1"/>
  <c r="Y555" i="1"/>
  <c r="AC568" i="1" s="1"/>
  <c r="P555" i="1"/>
  <c r="X552" i="1"/>
  <c r="X551" i="1"/>
  <c r="BO550" i="1"/>
  <c r="BM550" i="1"/>
  <c r="Y550" i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29" i="1"/>
  <c r="X528" i="1"/>
  <c r="BO527" i="1"/>
  <c r="BM527" i="1"/>
  <c r="Y527" i="1"/>
  <c r="P527" i="1"/>
  <c r="BO526" i="1"/>
  <c r="BM526" i="1"/>
  <c r="Y526" i="1"/>
  <c r="BN526" i="1" s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P523" i="1"/>
  <c r="BO522" i="1"/>
  <c r="BN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BP506" i="1"/>
  <c r="BO506" i="1"/>
  <c r="BM506" i="1"/>
  <c r="Z506" i="1"/>
  <c r="Y506" i="1"/>
  <c r="BN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Y493" i="1" s="1"/>
  <c r="P491" i="1"/>
  <c r="X488" i="1"/>
  <c r="X487" i="1"/>
  <c r="BO486" i="1"/>
  <c r="BM486" i="1"/>
  <c r="Y486" i="1"/>
  <c r="P486" i="1"/>
  <c r="BO485" i="1"/>
  <c r="BM485" i="1"/>
  <c r="Y485" i="1"/>
  <c r="Y488" i="1" s="1"/>
  <c r="P485" i="1"/>
  <c r="X483" i="1"/>
  <c r="X482" i="1"/>
  <c r="BO481" i="1"/>
  <c r="BM481" i="1"/>
  <c r="Y481" i="1"/>
  <c r="BP481" i="1" s="1"/>
  <c r="P481" i="1"/>
  <c r="BO480" i="1"/>
  <c r="BN480" i="1"/>
  <c r="BM480" i="1"/>
  <c r="Y480" i="1"/>
  <c r="BP480" i="1" s="1"/>
  <c r="P480" i="1"/>
  <c r="BO479" i="1"/>
  <c r="BM479" i="1"/>
  <c r="Y479" i="1"/>
  <c r="BP479" i="1" s="1"/>
  <c r="P479" i="1"/>
  <c r="BO478" i="1"/>
  <c r="BM478" i="1"/>
  <c r="Y478" i="1"/>
  <c r="P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X472" i="1"/>
  <c r="X471" i="1"/>
  <c r="BO470" i="1"/>
  <c r="BM470" i="1"/>
  <c r="Y470" i="1"/>
  <c r="P470" i="1"/>
  <c r="BO469" i="1"/>
  <c r="BM469" i="1"/>
  <c r="Y469" i="1"/>
  <c r="BP469" i="1" s="1"/>
  <c r="P469" i="1"/>
  <c r="BO468" i="1"/>
  <c r="BN468" i="1"/>
  <c r="BM468" i="1"/>
  <c r="Y468" i="1"/>
  <c r="BP468" i="1" s="1"/>
  <c r="P468" i="1"/>
  <c r="X466" i="1"/>
  <c r="X465" i="1"/>
  <c r="BP464" i="1"/>
  <c r="BO464" i="1"/>
  <c r="BM464" i="1"/>
  <c r="Z464" i="1"/>
  <c r="Z465" i="1" s="1"/>
  <c r="Y464" i="1"/>
  <c r="Y466" i="1" s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O454" i="1"/>
  <c r="BM454" i="1"/>
  <c r="Y454" i="1"/>
  <c r="BP454" i="1" s="1"/>
  <c r="P454" i="1"/>
  <c r="BO453" i="1"/>
  <c r="BM453" i="1"/>
  <c r="Y453" i="1"/>
  <c r="BN453" i="1" s="1"/>
  <c r="P453" i="1"/>
  <c r="X451" i="1"/>
  <c r="X450" i="1"/>
  <c r="BO449" i="1"/>
  <c r="BM449" i="1"/>
  <c r="Y449" i="1"/>
  <c r="P449" i="1"/>
  <c r="BO448" i="1"/>
  <c r="BM448" i="1"/>
  <c r="Y448" i="1"/>
  <c r="BP448" i="1" s="1"/>
  <c r="P448" i="1"/>
  <c r="BP447" i="1"/>
  <c r="BO447" i="1"/>
  <c r="BM447" i="1"/>
  <c r="Z447" i="1"/>
  <c r="Y447" i="1"/>
  <c r="BN447" i="1" s="1"/>
  <c r="P447" i="1"/>
  <c r="X445" i="1"/>
  <c r="X444" i="1"/>
  <c r="BO443" i="1"/>
  <c r="BM443" i="1"/>
  <c r="Y443" i="1"/>
  <c r="P443" i="1"/>
  <c r="BO442" i="1"/>
  <c r="BM442" i="1"/>
  <c r="Y442" i="1"/>
  <c r="BP442" i="1" s="1"/>
  <c r="P442" i="1"/>
  <c r="BO441" i="1"/>
  <c r="BN441" i="1"/>
  <c r="BM441" i="1"/>
  <c r="Y441" i="1"/>
  <c r="BP441" i="1" s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N435" i="1"/>
  <c r="BM435" i="1"/>
  <c r="Y435" i="1"/>
  <c r="BP435" i="1" s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BP432" i="1" s="1"/>
  <c r="P432" i="1"/>
  <c r="BO431" i="1"/>
  <c r="BN431" i="1"/>
  <c r="BM431" i="1"/>
  <c r="Y431" i="1"/>
  <c r="BP431" i="1" s="1"/>
  <c r="P431" i="1"/>
  <c r="BO430" i="1"/>
  <c r="BM430" i="1"/>
  <c r="Y430" i="1"/>
  <c r="P430" i="1"/>
  <c r="X426" i="1"/>
  <c r="X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9" i="1"/>
  <c r="X418" i="1"/>
  <c r="BO417" i="1"/>
  <c r="BM417" i="1"/>
  <c r="Y417" i="1"/>
  <c r="P417" i="1"/>
  <c r="BP416" i="1"/>
  <c r="BO416" i="1"/>
  <c r="BN416" i="1"/>
  <c r="BM416" i="1"/>
  <c r="Z416" i="1"/>
  <c r="Y416" i="1"/>
  <c r="P416" i="1"/>
  <c r="X413" i="1"/>
  <c r="Y412" i="1"/>
  <c r="X412" i="1"/>
  <c r="BO411" i="1"/>
  <c r="BN411" i="1"/>
  <c r="BM411" i="1"/>
  <c r="Y411" i="1"/>
  <c r="BP411" i="1" s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M405" i="1"/>
  <c r="Y405" i="1"/>
  <c r="BN405" i="1" s="1"/>
  <c r="P405" i="1"/>
  <c r="BO404" i="1"/>
  <c r="BM404" i="1"/>
  <c r="Y404" i="1"/>
  <c r="P404" i="1"/>
  <c r="BO403" i="1"/>
  <c r="BM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N391" i="1"/>
  <c r="BM391" i="1"/>
  <c r="Y391" i="1"/>
  <c r="BP391" i="1" s="1"/>
  <c r="P391" i="1"/>
  <c r="BO390" i="1"/>
  <c r="BM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N383" i="1"/>
  <c r="BM383" i="1"/>
  <c r="Y383" i="1"/>
  <c r="BP383" i="1" s="1"/>
  <c r="P383" i="1"/>
  <c r="X381" i="1"/>
  <c r="X380" i="1"/>
  <c r="BO379" i="1"/>
  <c r="BM379" i="1"/>
  <c r="Y379" i="1"/>
  <c r="P379" i="1"/>
  <c r="BO378" i="1"/>
  <c r="BM378" i="1"/>
  <c r="Y378" i="1"/>
  <c r="P378" i="1"/>
  <c r="BO377" i="1"/>
  <c r="BM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N373" i="1"/>
  <c r="BM373" i="1"/>
  <c r="Y373" i="1"/>
  <c r="BP373" i="1" s="1"/>
  <c r="P373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N363" i="1"/>
  <c r="BM363" i="1"/>
  <c r="Y363" i="1"/>
  <c r="BP363" i="1" s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N351" i="1"/>
  <c r="BM351" i="1"/>
  <c r="Y351" i="1"/>
  <c r="BP351" i="1" s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N343" i="1"/>
  <c r="BM343" i="1"/>
  <c r="Y343" i="1"/>
  <c r="BP343" i="1" s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BN336" i="1" s="1"/>
  <c r="P336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Z328" i="1" s="1"/>
  <c r="P328" i="1"/>
  <c r="BO327" i="1"/>
  <c r="BM327" i="1"/>
  <c r="Y327" i="1"/>
  <c r="BP327" i="1" s="1"/>
  <c r="P327" i="1"/>
  <c r="BO326" i="1"/>
  <c r="BM326" i="1"/>
  <c r="Y326" i="1"/>
  <c r="BP326" i="1" s="1"/>
  <c r="P326" i="1"/>
  <c r="X323" i="1"/>
  <c r="X322" i="1"/>
  <c r="BO321" i="1"/>
  <c r="BM321" i="1"/>
  <c r="Y321" i="1"/>
  <c r="Y323" i="1" s="1"/>
  <c r="P321" i="1"/>
  <c r="X319" i="1"/>
  <c r="X318" i="1"/>
  <c r="BO317" i="1"/>
  <c r="BM317" i="1"/>
  <c r="Y317" i="1"/>
  <c r="Y319" i="1" s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BN309" i="1" s="1"/>
  <c r="P309" i="1"/>
  <c r="BO308" i="1"/>
  <c r="BM308" i="1"/>
  <c r="Y308" i="1"/>
  <c r="BP308" i="1" s="1"/>
  <c r="P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N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X300" i="1"/>
  <c r="X299" i="1"/>
  <c r="BO298" i="1"/>
  <c r="BM298" i="1"/>
  <c r="Y298" i="1"/>
  <c r="BN298" i="1" s="1"/>
  <c r="P298" i="1"/>
  <c r="BO297" i="1"/>
  <c r="BM297" i="1"/>
  <c r="Y297" i="1"/>
  <c r="Y300" i="1" s="1"/>
  <c r="P297" i="1"/>
  <c r="X295" i="1"/>
  <c r="X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N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N282" i="1"/>
  <c r="BM282" i="1"/>
  <c r="Y282" i="1"/>
  <c r="BP282" i="1" s="1"/>
  <c r="P282" i="1"/>
  <c r="X280" i="1"/>
  <c r="X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N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N272" i="1"/>
  <c r="BM272" i="1"/>
  <c r="Y272" i="1"/>
  <c r="BP272" i="1" s="1"/>
  <c r="P272" i="1"/>
  <c r="BO271" i="1"/>
  <c r="BM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Y268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Y257" i="1" s="1"/>
  <c r="P256" i="1"/>
  <c r="X254" i="1"/>
  <c r="X253" i="1"/>
  <c r="BO252" i="1"/>
  <c r="BM252" i="1"/>
  <c r="Y252" i="1"/>
  <c r="BP252" i="1" s="1"/>
  <c r="P252" i="1"/>
  <c r="BO251" i="1"/>
  <c r="BM251" i="1"/>
  <c r="Y251" i="1"/>
  <c r="BP251" i="1" s="1"/>
  <c r="P251" i="1"/>
  <c r="BO250" i="1"/>
  <c r="BM250" i="1"/>
  <c r="Y250" i="1"/>
  <c r="Y253" i="1" s="1"/>
  <c r="P250" i="1"/>
  <c r="X248" i="1"/>
  <c r="X247" i="1"/>
  <c r="BO246" i="1"/>
  <c r="BM246" i="1"/>
  <c r="Y246" i="1"/>
  <c r="BP246" i="1" s="1"/>
  <c r="P246" i="1"/>
  <c r="BO245" i="1"/>
  <c r="BN245" i="1"/>
  <c r="BM245" i="1"/>
  <c r="Y245" i="1"/>
  <c r="BP245" i="1" s="1"/>
  <c r="P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N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M225" i="1"/>
  <c r="Z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X219" i="1"/>
  <c r="Y218" i="1"/>
  <c r="X218" i="1"/>
  <c r="BO217" i="1"/>
  <c r="BN217" i="1"/>
  <c r="BM217" i="1"/>
  <c r="Z217" i="1"/>
  <c r="Z218" i="1" s="1"/>
  <c r="Y217" i="1"/>
  <c r="BP217" i="1" s="1"/>
  <c r="P217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N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2" i="1"/>
  <c r="X201" i="1"/>
  <c r="BO200" i="1"/>
  <c r="BM200" i="1"/>
  <c r="Y200" i="1"/>
  <c r="Y202" i="1" s="1"/>
  <c r="P200" i="1"/>
  <c r="X198" i="1"/>
  <c r="Y197" i="1"/>
  <c r="X197" i="1"/>
  <c r="BP196" i="1"/>
  <c r="BO196" i="1"/>
  <c r="BN196" i="1"/>
  <c r="BM196" i="1"/>
  <c r="Z196" i="1"/>
  <c r="Z197" i="1" s="1"/>
  <c r="Y196" i="1"/>
  <c r="Y198" i="1" s="1"/>
  <c r="P196" i="1"/>
  <c r="X194" i="1"/>
  <c r="X193" i="1"/>
  <c r="BO192" i="1"/>
  <c r="BM192" i="1"/>
  <c r="Y192" i="1"/>
  <c r="BP192" i="1" s="1"/>
  <c r="P192" i="1"/>
  <c r="BO191" i="1"/>
  <c r="BM191" i="1"/>
  <c r="Y191" i="1"/>
  <c r="BP191" i="1" s="1"/>
  <c r="P191" i="1"/>
  <c r="BO190" i="1"/>
  <c r="BN190" i="1"/>
  <c r="BM190" i="1"/>
  <c r="Y190" i="1"/>
  <c r="BP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N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M166" i="1"/>
  <c r="Z166" i="1"/>
  <c r="Y166" i="1"/>
  <c r="BN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N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N151" i="1"/>
  <c r="BM151" i="1"/>
  <c r="Y151" i="1"/>
  <c r="BP151" i="1" s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O125" i="1"/>
  <c r="BN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M109" i="1"/>
  <c r="Z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P97" i="1"/>
  <c r="BP96" i="1"/>
  <c r="BO96" i="1"/>
  <c r="BM96" i="1"/>
  <c r="Z96" i="1"/>
  <c r="Y96" i="1"/>
  <c r="BN96" i="1" s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N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N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N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N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N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C568" i="1" l="1"/>
  <c r="Z105" i="1"/>
  <c r="Z155" i="1"/>
  <c r="BP184" i="1"/>
  <c r="Z200" i="1"/>
  <c r="Z201" i="1" s="1"/>
  <c r="BP200" i="1"/>
  <c r="BP276" i="1"/>
  <c r="BP286" i="1"/>
  <c r="Z298" i="1"/>
  <c r="BP298" i="1"/>
  <c r="Z336" i="1"/>
  <c r="BP336" i="1"/>
  <c r="Z367" i="1"/>
  <c r="BP367" i="1"/>
  <c r="Z377" i="1"/>
  <c r="BP377" i="1"/>
  <c r="Z405" i="1"/>
  <c r="BP405" i="1"/>
  <c r="Z453" i="1"/>
  <c r="BP453" i="1"/>
  <c r="Z491" i="1"/>
  <c r="Z492" i="1" s="1"/>
  <c r="BP491" i="1"/>
  <c r="Z526" i="1"/>
  <c r="BP526" i="1"/>
  <c r="BP117" i="1"/>
  <c r="Z184" i="1"/>
  <c r="Z221" i="1"/>
  <c r="BP221" i="1"/>
  <c r="Z276" i="1"/>
  <c r="Z286" i="1"/>
  <c r="Z309" i="1"/>
  <c r="BP309" i="1"/>
  <c r="Z40" i="1"/>
  <c r="Z81" i="1"/>
  <c r="F568" i="1"/>
  <c r="Z125" i="1"/>
  <c r="Z151" i="1"/>
  <c r="Z180" i="1"/>
  <c r="Z190" i="1"/>
  <c r="Z210" i="1"/>
  <c r="Z233" i="1"/>
  <c r="Y247" i="1"/>
  <c r="Z245" i="1"/>
  <c r="Z272" i="1"/>
  <c r="Z282" i="1"/>
  <c r="Z305" i="1"/>
  <c r="Z343" i="1"/>
  <c r="Z363" i="1"/>
  <c r="Z373" i="1"/>
  <c r="Z383" i="1"/>
  <c r="Z411" i="1"/>
  <c r="Z435" i="1"/>
  <c r="BN464" i="1"/>
  <c r="Y465" i="1"/>
  <c r="Z468" i="1"/>
  <c r="Z480" i="1"/>
  <c r="Z522" i="1"/>
  <c r="BN555" i="1"/>
  <c r="Y556" i="1"/>
  <c r="Z30" i="1"/>
  <c r="BP30" i="1"/>
  <c r="BP105" i="1"/>
  <c r="Z117" i="1"/>
  <c r="BP155" i="1"/>
  <c r="Z50" i="1"/>
  <c r="Z61" i="1"/>
  <c r="Z71" i="1"/>
  <c r="Z90" i="1"/>
  <c r="BN200" i="1"/>
  <c r="Y201" i="1"/>
  <c r="Z351" i="1"/>
  <c r="Z391" i="1"/>
  <c r="Z431" i="1"/>
  <c r="Z441" i="1"/>
  <c r="BN491" i="1"/>
  <c r="Y492" i="1"/>
  <c r="BP331" i="1"/>
  <c r="BN331" i="1"/>
  <c r="Z331" i="1"/>
  <c r="BP345" i="1"/>
  <c r="BN345" i="1"/>
  <c r="Z345" i="1"/>
  <c r="BP365" i="1"/>
  <c r="BN365" i="1"/>
  <c r="Z365" i="1"/>
  <c r="BP375" i="1"/>
  <c r="BN375" i="1"/>
  <c r="Z375" i="1"/>
  <c r="BP385" i="1"/>
  <c r="BN385" i="1"/>
  <c r="Z385" i="1"/>
  <c r="BP403" i="1"/>
  <c r="BN403" i="1"/>
  <c r="Z403" i="1"/>
  <c r="BP423" i="1"/>
  <c r="BN423" i="1"/>
  <c r="Z423" i="1"/>
  <c r="BP437" i="1"/>
  <c r="BN437" i="1"/>
  <c r="Z437" i="1"/>
  <c r="BP449" i="1"/>
  <c r="BN449" i="1"/>
  <c r="Z449" i="1"/>
  <c r="BP470" i="1"/>
  <c r="BN470" i="1"/>
  <c r="Z470" i="1"/>
  <c r="BP486" i="1"/>
  <c r="BN486" i="1"/>
  <c r="Z486" i="1"/>
  <c r="BP508" i="1"/>
  <c r="BN508" i="1"/>
  <c r="Z508" i="1"/>
  <c r="BP524" i="1"/>
  <c r="BN524" i="1"/>
  <c r="Z524" i="1"/>
  <c r="X562" i="1"/>
  <c r="Z28" i="1"/>
  <c r="BN28" i="1"/>
  <c r="Z38" i="1"/>
  <c r="BN38" i="1"/>
  <c r="Z48" i="1"/>
  <c r="BN48" i="1"/>
  <c r="Z55" i="1"/>
  <c r="BN55" i="1"/>
  <c r="Z59" i="1"/>
  <c r="BN59" i="1"/>
  <c r="Z63" i="1"/>
  <c r="BN63" i="1"/>
  <c r="Y73" i="1"/>
  <c r="Z69" i="1"/>
  <c r="BN69" i="1"/>
  <c r="Z75" i="1"/>
  <c r="BN75" i="1"/>
  <c r="BP75" i="1"/>
  <c r="Y83" i="1"/>
  <c r="Z88" i="1"/>
  <c r="BN88" i="1"/>
  <c r="Z92" i="1"/>
  <c r="BN92" i="1"/>
  <c r="Y100" i="1"/>
  <c r="Z98" i="1"/>
  <c r="BN98" i="1"/>
  <c r="G568" i="1"/>
  <c r="Z107" i="1"/>
  <c r="BN107" i="1"/>
  <c r="Z111" i="1"/>
  <c r="BN111" i="1"/>
  <c r="Y119" i="1"/>
  <c r="Z123" i="1"/>
  <c r="BN123" i="1"/>
  <c r="Z129" i="1"/>
  <c r="Z130" i="1" s="1"/>
  <c r="BN129" i="1"/>
  <c r="BP129" i="1"/>
  <c r="Y130" i="1"/>
  <c r="Z134" i="1"/>
  <c r="BN134" i="1"/>
  <c r="Z144" i="1"/>
  <c r="BN144" i="1"/>
  <c r="BP144" i="1"/>
  <c r="I568" i="1"/>
  <c r="Z153" i="1"/>
  <c r="BN153" i="1"/>
  <c r="Z159" i="1"/>
  <c r="Z160" i="1" s="1"/>
  <c r="BN159" i="1"/>
  <c r="BP159" i="1"/>
  <c r="Y160" i="1"/>
  <c r="Z164" i="1"/>
  <c r="BN164" i="1"/>
  <c r="Z172" i="1"/>
  <c r="BN172" i="1"/>
  <c r="Y188" i="1"/>
  <c r="Z178" i="1"/>
  <c r="BN178" i="1"/>
  <c r="Z182" i="1"/>
  <c r="BN182" i="1"/>
  <c r="Z186" i="1"/>
  <c r="BN186" i="1"/>
  <c r="Y194" i="1"/>
  <c r="Z192" i="1"/>
  <c r="BN192" i="1"/>
  <c r="Z208" i="1"/>
  <c r="BN208" i="1"/>
  <c r="Z212" i="1"/>
  <c r="BN212" i="1"/>
  <c r="Y235" i="1"/>
  <c r="Z223" i="1"/>
  <c r="BN223" i="1"/>
  <c r="Z227" i="1"/>
  <c r="BN227" i="1"/>
  <c r="Z231" i="1"/>
  <c r="BN231" i="1"/>
  <c r="Z239" i="1"/>
  <c r="BN239" i="1"/>
  <c r="Z243" i="1"/>
  <c r="BN243" i="1"/>
  <c r="Z251" i="1"/>
  <c r="BN251" i="1"/>
  <c r="M568" i="1"/>
  <c r="Z266" i="1"/>
  <c r="BN266" i="1"/>
  <c r="BP266" i="1"/>
  <c r="Y280" i="1"/>
  <c r="Z274" i="1"/>
  <c r="BN274" i="1"/>
  <c r="Z278" i="1"/>
  <c r="BN278" i="1"/>
  <c r="Y294" i="1"/>
  <c r="Z284" i="1"/>
  <c r="BN284" i="1"/>
  <c r="Z288" i="1"/>
  <c r="BN288" i="1"/>
  <c r="Z292" i="1"/>
  <c r="BN292" i="1"/>
  <c r="Z303" i="1"/>
  <c r="BN303" i="1"/>
  <c r="Z307" i="1"/>
  <c r="BN307" i="1"/>
  <c r="Z313" i="1"/>
  <c r="Z314" i="1" s="1"/>
  <c r="BN313" i="1"/>
  <c r="BP313" i="1"/>
  <c r="Y314" i="1"/>
  <c r="Z317" i="1"/>
  <c r="Z318" i="1" s="1"/>
  <c r="BN317" i="1"/>
  <c r="BP317" i="1"/>
  <c r="Y318" i="1"/>
  <c r="Z321" i="1"/>
  <c r="Z322" i="1" s="1"/>
  <c r="BN321" i="1"/>
  <c r="BP321" i="1"/>
  <c r="Y322" i="1"/>
  <c r="Z326" i="1"/>
  <c r="BN326" i="1"/>
  <c r="BP338" i="1"/>
  <c r="BN338" i="1"/>
  <c r="Z338" i="1"/>
  <c r="BP356" i="1"/>
  <c r="BN356" i="1"/>
  <c r="Z356" i="1"/>
  <c r="BP369" i="1"/>
  <c r="BN369" i="1"/>
  <c r="Z369" i="1"/>
  <c r="BP379" i="1"/>
  <c r="BN379" i="1"/>
  <c r="Z379" i="1"/>
  <c r="BP397" i="1"/>
  <c r="BN397" i="1"/>
  <c r="Z397" i="1"/>
  <c r="Y413" i="1"/>
  <c r="BP409" i="1"/>
  <c r="BN409" i="1"/>
  <c r="Z409" i="1"/>
  <c r="BP433" i="1"/>
  <c r="BN433" i="1"/>
  <c r="Z433" i="1"/>
  <c r="BP443" i="1"/>
  <c r="BN443" i="1"/>
  <c r="Z443" i="1"/>
  <c r="X568" i="1"/>
  <c r="BP460" i="1"/>
  <c r="BN460" i="1"/>
  <c r="Z460" i="1"/>
  <c r="BP478" i="1"/>
  <c r="BN478" i="1"/>
  <c r="Z478" i="1"/>
  <c r="BP504" i="1"/>
  <c r="BN504" i="1"/>
  <c r="Z504" i="1"/>
  <c r="BP516" i="1"/>
  <c r="BN516" i="1"/>
  <c r="Z516" i="1"/>
  <c r="BP550" i="1"/>
  <c r="BN550" i="1"/>
  <c r="Z550" i="1"/>
  <c r="Y347" i="1"/>
  <c r="Y381" i="1"/>
  <c r="Y445" i="1"/>
  <c r="Y451" i="1"/>
  <c r="Y455" i="1"/>
  <c r="Y472" i="1"/>
  <c r="F9" i="1"/>
  <c r="J9" i="1"/>
  <c r="F10" i="1"/>
  <c r="Y25" i="1"/>
  <c r="Y33" i="1"/>
  <c r="Y43" i="1"/>
  <c r="Y51" i="1"/>
  <c r="Y64" i="1"/>
  <c r="Y72" i="1"/>
  <c r="Y78" i="1"/>
  <c r="Y84" i="1"/>
  <c r="Y93" i="1"/>
  <c r="Y101" i="1"/>
  <c r="Y114" i="1"/>
  <c r="Y120" i="1"/>
  <c r="Y126" i="1"/>
  <c r="Y137" i="1"/>
  <c r="Y141" i="1"/>
  <c r="Y147" i="1"/>
  <c r="Y156" i="1"/>
  <c r="Y169" i="1"/>
  <c r="Y173" i="1"/>
  <c r="Y187" i="1"/>
  <c r="Y193" i="1"/>
  <c r="Y213" i="1"/>
  <c r="Y236" i="1"/>
  <c r="Y248" i="1"/>
  <c r="Y254" i="1"/>
  <c r="Y258" i="1"/>
  <c r="Y263" i="1"/>
  <c r="Y269" i="1"/>
  <c r="Y279" i="1"/>
  <c r="Y295" i="1"/>
  <c r="Y299" i="1"/>
  <c r="Y310" i="1"/>
  <c r="Y332" i="1"/>
  <c r="BP337" i="1"/>
  <c r="BN337" i="1"/>
  <c r="Z337" i="1"/>
  <c r="Z339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BP368" i="1"/>
  <c r="BN368" i="1"/>
  <c r="Z368" i="1"/>
  <c r="BP376" i="1"/>
  <c r="BN376" i="1"/>
  <c r="Z376" i="1"/>
  <c r="Y380" i="1"/>
  <c r="BP384" i="1"/>
  <c r="BN384" i="1"/>
  <c r="Z384" i="1"/>
  <c r="BP392" i="1"/>
  <c r="BN392" i="1"/>
  <c r="Z392" i="1"/>
  <c r="Y394" i="1"/>
  <c r="Y401" i="1"/>
  <c r="BP396" i="1"/>
  <c r="BN396" i="1"/>
  <c r="Z396" i="1"/>
  <c r="Y400" i="1"/>
  <c r="BP404" i="1"/>
  <c r="BN404" i="1"/>
  <c r="Z404" i="1"/>
  <c r="BP417" i="1"/>
  <c r="BN417" i="1"/>
  <c r="Z417" i="1"/>
  <c r="Z418" i="1" s="1"/>
  <c r="Y419" i="1"/>
  <c r="Y425" i="1"/>
  <c r="BP422" i="1"/>
  <c r="BN422" i="1"/>
  <c r="Z422" i="1"/>
  <c r="V568" i="1"/>
  <c r="H9" i="1"/>
  <c r="B568" i="1"/>
  <c r="X559" i="1"/>
  <c r="X560" i="1"/>
  <c r="Z23" i="1"/>
  <c r="Z24" i="1" s="1"/>
  <c r="BN23" i="1"/>
  <c r="Y24" i="1"/>
  <c r="X558" i="1"/>
  <c r="Z27" i="1"/>
  <c r="BN27" i="1"/>
  <c r="BP27" i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8" i="1"/>
  <c r="Z56" i="1"/>
  <c r="BN56" i="1"/>
  <c r="Z58" i="1"/>
  <c r="BN58" i="1"/>
  <c r="Z60" i="1"/>
  <c r="BN60" i="1"/>
  <c r="Z62" i="1"/>
  <c r="BN62" i="1"/>
  <c r="Y65" i="1"/>
  <c r="Z68" i="1"/>
  <c r="BN68" i="1"/>
  <c r="Z70" i="1"/>
  <c r="BN70" i="1"/>
  <c r="Z76" i="1"/>
  <c r="Z77" i="1" s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Z91" i="1"/>
  <c r="BN91" i="1"/>
  <c r="Y94" i="1"/>
  <c r="Z97" i="1"/>
  <c r="BN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2" i="1"/>
  <c r="Z126" i="1" s="1"/>
  <c r="BN122" i="1"/>
  <c r="BP122" i="1"/>
  <c r="Z124" i="1"/>
  <c r="BN124" i="1"/>
  <c r="H568" i="1"/>
  <c r="Z135" i="1"/>
  <c r="Z136" i="1" s="1"/>
  <c r="BN135" i="1"/>
  <c r="Y136" i="1"/>
  <c r="Z139" i="1"/>
  <c r="Z141" i="1" s="1"/>
  <c r="BN139" i="1"/>
  <c r="BP139" i="1"/>
  <c r="Z145" i="1"/>
  <c r="Z146" i="1" s="1"/>
  <c r="BN145" i="1"/>
  <c r="Z150" i="1"/>
  <c r="BN150" i="1"/>
  <c r="BP150" i="1"/>
  <c r="Z152" i="1"/>
  <c r="BN152" i="1"/>
  <c r="Z154" i="1"/>
  <c r="BN154" i="1"/>
  <c r="Y157" i="1"/>
  <c r="J568" i="1"/>
  <c r="Z165" i="1"/>
  <c r="Z168" i="1" s="1"/>
  <c r="BN165" i="1"/>
  <c r="Z167" i="1"/>
  <c r="BN167" i="1"/>
  <c r="Y168" i="1"/>
  <c r="Z171" i="1"/>
  <c r="Z173" i="1" s="1"/>
  <c r="BN171" i="1"/>
  <c r="BP171" i="1"/>
  <c r="Z177" i="1"/>
  <c r="BN177" i="1"/>
  <c r="Z179" i="1"/>
  <c r="BN179" i="1"/>
  <c r="Z181" i="1"/>
  <c r="BN181" i="1"/>
  <c r="Z183" i="1"/>
  <c r="BN183" i="1"/>
  <c r="Z185" i="1"/>
  <c r="BN185" i="1"/>
  <c r="Z191" i="1"/>
  <c r="Z193" i="1" s="1"/>
  <c r="BN191" i="1"/>
  <c r="K568" i="1"/>
  <c r="Z207" i="1"/>
  <c r="BN207" i="1"/>
  <c r="Z209" i="1"/>
  <c r="BN209" i="1"/>
  <c r="Z211" i="1"/>
  <c r="BN211" i="1"/>
  <c r="Y214" i="1"/>
  <c r="L568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4" i="1"/>
  <c r="BN244" i="1"/>
  <c r="Z246" i="1"/>
  <c r="BN246" i="1"/>
  <c r="Z250" i="1"/>
  <c r="Z253" i="1" s="1"/>
  <c r="BN250" i="1"/>
  <c r="BP250" i="1"/>
  <c r="Z252" i="1"/>
  <c r="BN252" i="1"/>
  <c r="Z256" i="1"/>
  <c r="Z257" i="1" s="1"/>
  <c r="BN256" i="1"/>
  <c r="BP256" i="1"/>
  <c r="Z261" i="1"/>
  <c r="Z263" i="1" s="1"/>
  <c r="BN261" i="1"/>
  <c r="BP261" i="1"/>
  <c r="Y264" i="1"/>
  <c r="Z267" i="1"/>
  <c r="Z268" i="1" s="1"/>
  <c r="BN267" i="1"/>
  <c r="Z271" i="1"/>
  <c r="Z279" i="1" s="1"/>
  <c r="BN271" i="1"/>
  <c r="BP271" i="1"/>
  <c r="Z273" i="1"/>
  <c r="BN273" i="1"/>
  <c r="Z275" i="1"/>
  <c r="BN275" i="1"/>
  <c r="Z277" i="1"/>
  <c r="BN277" i="1"/>
  <c r="Z283" i="1"/>
  <c r="Z294" i="1" s="1"/>
  <c r="BN283" i="1"/>
  <c r="Z285" i="1"/>
  <c r="BN285" i="1"/>
  <c r="Z287" i="1"/>
  <c r="BN287" i="1"/>
  <c r="Z289" i="1"/>
  <c r="BN289" i="1"/>
  <c r="Z291" i="1"/>
  <c r="BN291" i="1"/>
  <c r="Z293" i="1"/>
  <c r="BN293" i="1"/>
  <c r="Z297" i="1"/>
  <c r="Z299" i="1" s="1"/>
  <c r="BN297" i="1"/>
  <c r="BP297" i="1"/>
  <c r="O568" i="1"/>
  <c r="Z304" i="1"/>
  <c r="BN304" i="1"/>
  <c r="Z306" i="1"/>
  <c r="BN306" i="1"/>
  <c r="Z308" i="1"/>
  <c r="BN308" i="1"/>
  <c r="Y311" i="1"/>
  <c r="P568" i="1"/>
  <c r="Y333" i="1"/>
  <c r="Z327" i="1"/>
  <c r="BN327" i="1"/>
  <c r="BP328" i="1"/>
  <c r="BN328" i="1"/>
  <c r="BP330" i="1"/>
  <c r="BN330" i="1"/>
  <c r="Z330" i="1"/>
  <c r="Y339" i="1"/>
  <c r="BP344" i="1"/>
  <c r="BN344" i="1"/>
  <c r="Z344" i="1"/>
  <c r="Z347" i="1" s="1"/>
  <c r="Y352" i="1"/>
  <c r="Z359" i="1"/>
  <c r="BP357" i="1"/>
  <c r="BN357" i="1"/>
  <c r="Z357" i="1"/>
  <c r="T568" i="1"/>
  <c r="BP366" i="1"/>
  <c r="BN366" i="1"/>
  <c r="Z366" i="1"/>
  <c r="Y370" i="1"/>
  <c r="BP374" i="1"/>
  <c r="BN374" i="1"/>
  <c r="Z374" i="1"/>
  <c r="BP378" i="1"/>
  <c r="BN378" i="1"/>
  <c r="Z378" i="1"/>
  <c r="Y387" i="1"/>
  <c r="BP386" i="1"/>
  <c r="BN386" i="1"/>
  <c r="Z386" i="1"/>
  <c r="Y388" i="1"/>
  <c r="Y393" i="1"/>
  <c r="BP390" i="1"/>
  <c r="BN390" i="1"/>
  <c r="Z390" i="1"/>
  <c r="BP398" i="1"/>
  <c r="BN398" i="1"/>
  <c r="Z398" i="1"/>
  <c r="Y407" i="1"/>
  <c r="Y406" i="1"/>
  <c r="BP410" i="1"/>
  <c r="BN410" i="1"/>
  <c r="Z410" i="1"/>
  <c r="BP424" i="1"/>
  <c r="BN424" i="1"/>
  <c r="Z424" i="1"/>
  <c r="Y426" i="1"/>
  <c r="W568" i="1"/>
  <c r="Y439" i="1"/>
  <c r="BP430" i="1"/>
  <c r="BN430" i="1"/>
  <c r="Z430" i="1"/>
  <c r="Y438" i="1"/>
  <c r="Y444" i="1"/>
  <c r="Y450" i="1"/>
  <c r="Y456" i="1"/>
  <c r="Y461" i="1"/>
  <c r="Y471" i="1"/>
  <c r="Y483" i="1"/>
  <c r="Y487" i="1"/>
  <c r="BP497" i="1"/>
  <c r="BN497" i="1"/>
  <c r="Z497" i="1"/>
  <c r="Y499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29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R568" i="1"/>
  <c r="Z568" i="1"/>
  <c r="Q568" i="1"/>
  <c r="Y340" i="1"/>
  <c r="S568" i="1"/>
  <c r="Y360" i="1"/>
  <c r="Y371" i="1"/>
  <c r="U568" i="1"/>
  <c r="Y418" i="1"/>
  <c r="Z432" i="1"/>
  <c r="BN432" i="1"/>
  <c r="Z434" i="1"/>
  <c r="BN434" i="1"/>
  <c r="Z436" i="1"/>
  <c r="BN436" i="1"/>
  <c r="Z442" i="1"/>
  <c r="Z444" i="1" s="1"/>
  <c r="BN442" i="1"/>
  <c r="Z448" i="1"/>
  <c r="Z450" i="1" s="1"/>
  <c r="BN448" i="1"/>
  <c r="Z454" i="1"/>
  <c r="Z455" i="1" s="1"/>
  <c r="BN454" i="1"/>
  <c r="Z459" i="1"/>
  <c r="Z461" i="1" s="1"/>
  <c r="BN459" i="1"/>
  <c r="BP459" i="1"/>
  <c r="Y462" i="1"/>
  <c r="Z469" i="1"/>
  <c r="Z471" i="1" s="1"/>
  <c r="BN469" i="1"/>
  <c r="Y568" i="1"/>
  <c r="Z477" i="1"/>
  <c r="BN477" i="1"/>
  <c r="Z479" i="1"/>
  <c r="BN479" i="1"/>
  <c r="Z481" i="1"/>
  <c r="BN481" i="1"/>
  <c r="Y482" i="1"/>
  <c r="Z485" i="1"/>
  <c r="Z487" i="1" s="1"/>
  <c r="BN485" i="1"/>
  <c r="BP485" i="1"/>
  <c r="Y498" i="1"/>
  <c r="BP495" i="1"/>
  <c r="BN495" i="1"/>
  <c r="Z495" i="1"/>
  <c r="Z498" i="1" s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BP525" i="1"/>
  <c r="BN525" i="1"/>
  <c r="Z525" i="1"/>
  <c r="Y551" i="1"/>
  <c r="AB568" i="1"/>
  <c r="Y557" i="1"/>
  <c r="Z187" i="1" l="1"/>
  <c r="Z64" i="1"/>
  <c r="Z156" i="1"/>
  <c r="Z412" i="1"/>
  <c r="Z310" i="1"/>
  <c r="Z370" i="1"/>
  <c r="Z332" i="1"/>
  <c r="Z213" i="1"/>
  <c r="Z72" i="1"/>
  <c r="Y559" i="1"/>
  <c r="Y561" i="1" s="1"/>
  <c r="Z482" i="1"/>
  <c r="Z438" i="1"/>
  <c r="Z393" i="1"/>
  <c r="Z380" i="1"/>
  <c r="Z235" i="1"/>
  <c r="Z100" i="1"/>
  <c r="Y560" i="1"/>
  <c r="Z406" i="1"/>
  <c r="Z387" i="1"/>
  <c r="Z518" i="1"/>
  <c r="Z425" i="1"/>
  <c r="Y558" i="1"/>
  <c r="Z528" i="1"/>
  <c r="Z512" i="1"/>
  <c r="Z247" i="1"/>
  <c r="Z119" i="1"/>
  <c r="Z113" i="1"/>
  <c r="Z93" i="1"/>
  <c r="Z32" i="1"/>
  <c r="Y562" i="1"/>
  <c r="X561" i="1"/>
  <c r="Z400" i="1"/>
  <c r="Z563" i="1" l="1"/>
</calcChain>
</file>

<file path=xl/sharedStrings.xml><?xml version="1.0" encoding="utf-8"?>
<sst xmlns="http://schemas.openxmlformats.org/spreadsheetml/2006/main" count="2546" uniqueCount="910">
  <si>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</si>
  <si>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</si>
  <si>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</si>
  <si>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</si>
  <si>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</si>
  <si>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</si>
  <si>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</si>
  <si>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</si>
  <si>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</si>
  <si>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</si>
  <si>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</si>
  <si>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</si>
  <si>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</si>
  <si>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</si>
  <si>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</si>
  <si>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</si>
  <si>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</si>
  <si>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</si>
  <si>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</si>
  <si>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</si>
  <si>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</si>
  <si>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</si>
  <si>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</si>
  <si>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</si>
  <si>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</si>
  <si>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</si>
  <si>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</si>
  <si>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</si>
  <si>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</si>
  <si>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</si>
  <si>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</si>
  <si>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</si>
  <si>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</si>
  <si>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</si>
  <si>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</si>
  <si>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</si>
  <si>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</si>
  <si>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</si>
  <si>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</si>
  <si>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</si>
  <si>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</si>
  <si>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</si>
  <si>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</si>
  <si>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</si>
  <si>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</si>
  <si>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</si>
  <si>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</si>
  <si>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</si>
  <si>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</si>
  <si>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</si>
  <si>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</si>
  <si>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</si>
  <si>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</si>
  <si>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</si>
  <si>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</si>
  <si>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</si>
  <si>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</si>
  <si>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</si>
  <si>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</si>
  <si>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</si>
  <si>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</si>
  <si>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</si>
  <si>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</si>
  <si>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</si>
  <si>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</si>
  <si>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</si>
  <si>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</si>
  <si>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</si>
  <si>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</si>
  <si>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</si>
  <si>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</si>
  <si>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</si>
  <si>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</si>
  <si>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</si>
  <si>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</si>
  <si>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</si>
  <si>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</si>
  <si>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</si>
  <si>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</si>
  <si>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</si>
  <si>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</si>
  <si>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</si>
  <si>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</si>
  <si>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</si>
  <si>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</si>
  <si>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</si>
  <si>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</si>
  <si>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</si>
  <si>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</si>
  <si>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</si>
  <si>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</si>
  <si>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</si>
  <si>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</si>
  <si>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</si>
  <si>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</si>
  <si>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</si>
  <si>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</si>
  <si>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</si>
  <si>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</si>
  <si>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</si>
  <si>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</si>
  <si>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</si>
  <si>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</si>
  <si>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</si>
  <si>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</si>
  <si>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</si>
  <si>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</si>
  <si>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</si>
  <si>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</si>
  <si>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</si>
  <si>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</si>
  <si>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</si>
  <si>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</si>
  <si>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</si>
  <si>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</si>
  <si>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</si>
  <si>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</si>
  <si>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</si>
  <si>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</si>
  <si>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</si>
  <si>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</si>
  <si>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</si>
  <si>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</si>
  <si>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</si>
  <si>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</si>
  <si>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</si>
  <si>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</si>
  <si>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</si>
  <si>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</si>
  <si>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</si>
  <si>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</si>
  <si>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</si>
  <si>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</si>
  <si>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</si>
  <si>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</si>
  <si>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</si>
  <si>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</si>
  <si>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</si>
  <si>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</si>
  <si>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</si>
  <si>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</si>
  <si>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</si>
  <si>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</si>
  <si>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</si>
  <si>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</si>
  <si>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</si>
  <si>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</si>
  <si>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</si>
  <si>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</si>
  <si>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</si>
  <si>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</si>
  <si>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</si>
  <si>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</si>
  <si>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</si>
  <si>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</si>
  <si>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</si>
  <si>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</si>
  <si>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</si>
  <si>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</si>
  <si>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</si>
  <si>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</si>
  <si>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</si>
  <si>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</si>
  <si>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</si>
  <si>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</si>
  <si>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</si>
  <si>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</si>
  <si>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</si>
  <si>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</si>
  <si>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</si>
  <si>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</si>
  <si>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</si>
  <si>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</si>
  <si>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</si>
  <si>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</si>
  <si>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</si>
  <si>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</si>
  <si>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</si>
  <si>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</si>
  <si>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</si>
  <si>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</si>
  <si>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</si>
  <si>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</si>
  <si>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</si>
  <si>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</si>
  <si>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</si>
  <si>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</si>
  <si>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</si>
  <si>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</si>
  <si>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</si>
  <si>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</si>
  <si>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</si>
  <si>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</si>
  <si>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</si>
  <si>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</si>
  <si>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</si>
  <si>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</si>
  <si>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</si>
  <si>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</si>
  <si>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</si>
  <si>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</si>
  <si>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</si>
  <si>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</si>
  <si>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</si>
  <si>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</si>
  <si>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</si>
  <si>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</si>
  <si>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</si>
  <si>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</si>
  <si>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</si>
  <si>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</si>
  <si>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</si>
  <si>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</si>
  <si>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</si>
  <si>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</si>
  <si>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</si>
  <si>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</si>
  <si>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</si>
  <si>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</si>
  <si>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</si>
  <si>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</si>
  <si>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</si>
  <si>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</si>
  <si>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</si>
  <si>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</si>
  <si>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</si>
  <si>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</si>
  <si>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</si>
  <si>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</si>
  <si>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</si>
  <si>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</si>
  <si>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</si>
  <si>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</si>
  <si>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</si>
  <si>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</si>
  <si>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</si>
  <si>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</si>
  <si>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</si>
  <si>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</si>
  <si>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</si>
  <si>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</si>
  <si>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</si>
  <si>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</si>
  <si>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</si>
  <si>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</si>
  <si>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</si>
  <si>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</si>
  <si>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</si>
  <si>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</si>
  <si>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</si>
  <si>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</si>
  <si>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</si>
  <si>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</si>
  <si>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</si>
  <si>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</si>
  <si>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</si>
  <si>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</si>
  <si>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</si>
  <si>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</si>
  <si>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</si>
  <si>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</si>
  <si>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</si>
  <si>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</si>
  <si>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</si>
  <si>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</si>
  <si>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</si>
  <si>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</si>
  <si>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</si>
  <si>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</si>
  <si>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</si>
  <si>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</si>
  <si>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</si>
  <si>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</si>
  <si>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</si>
  <si>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</si>
  <si>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</si>
  <si>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</si>
  <si>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</si>
  <si>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</si>
  <si>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</si>
  <si>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</si>
  <si>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</si>
  <si>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</si>
  <si>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</si>
  <si>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</si>
  <si>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</si>
  <si>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</si>
  <si>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</si>
  <si>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</si>
  <si>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</si>
  <si>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</si>
  <si>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</si>
  <si>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</si>
  <si>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</si>
  <si>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</si>
  <si>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</si>
  <si>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</si>
  <si>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</si>
  <si>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</si>
  <si>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</si>
  <si>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</si>
  <si>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</si>
  <si>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</si>
  <si>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</si>
  <si>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</si>
  <si>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</si>
  <si>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</si>
  <si>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</si>
  <si>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</si>
  <si>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</si>
  <si>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</si>
  <si>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</si>
  <si>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</si>
  <si>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</si>
  <si>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</si>
  <si>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</si>
  <si>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</si>
  <si>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</si>
  <si>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</si>
  <si>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</si>
  <si>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</si>
  <si>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</si>
  <si>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</si>
  <si>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</si>
  <si>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</si>
  <si>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</si>
  <si>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</si>
  <si>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</si>
  <si>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</si>
  <si>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</si>
  <si>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</si>
  <si>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</si>
  <si>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</si>
  <si>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</si>
  <si>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</si>
  <si>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</si>
  <si>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</si>
  <si>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</si>
  <si>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</si>
  <si>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</si>
  <si>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</si>
  <si>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</si>
  <si>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</si>
  <si>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</si>
  <si>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</si>
  <si>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</si>
  <si>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</si>
  <si>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</si>
  <si>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</si>
  <si>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</si>
  <si>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</si>
  <si>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</si>
  <si>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</si>
  <si>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</si>
  <si>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</si>
  <si>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</si>
  <si>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</si>
  <si>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</si>
  <si>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</si>
  <si>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</si>
  <si>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</si>
  <si>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</si>
  <si>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</si>
  <si>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</si>
  <si>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</si>
  <si>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</si>
  <si>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</si>
  <si>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</si>
  <si>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</si>
  <si>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</si>
  <si>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</si>
  <si>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</si>
  <si>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</si>
  <si>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</si>
  <si>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</si>
  <si>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</si>
  <si>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</si>
  <si>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</si>
  <si>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</si>
  <si>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</si>
  <si>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</si>
  <si>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</si>
  <si>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</si>
  <si>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</si>
  <si>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</si>
  <si>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</si>
  <si>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</si>
  <si>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</si>
  <si>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</si>
  <si>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</si>
  <si>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</si>
  <si>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</si>
  <si>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</si>
  <si>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</si>
  <si>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</si>
  <si>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</si>
  <si>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</si>
  <si>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</si>
  <si>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</si>
  <si>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</si>
  <si>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</si>
  <si>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</si>
  <si>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</si>
  <si>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</si>
  <si>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</si>
  <si>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</si>
  <si>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</si>
  <si>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</si>
  <si>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</si>
  <si>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</si>
  <si>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</si>
  <si>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</si>
  <si>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</si>
  <si>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</si>
  <si>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</si>
  <si>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</si>
  <si>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</si>
  <si>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</si>
  <si>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</si>
  <si>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</si>
  <si>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</si>
  <si>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</si>
  <si>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</si>
  <si>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</si>
  <si>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</si>
  <si>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</si>
  <si>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</si>
  <si>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</si>
  <si>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</si>
  <si>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</si>
  <si>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</si>
  <si>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</si>
  <si>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</si>
  <si>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</si>
  <si>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</si>
  <si>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</si>
  <si>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</si>
  <si>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</si>
  <si>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</si>
  <si>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</si>
  <si>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</si>
  <si>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</si>
  <si>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</si>
  <si>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</si>
  <si>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</si>
  <si>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</si>
  <si>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</si>
  <si>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</si>
  <si>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</si>
  <si>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</si>
  <si>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</si>
  <si>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</si>
  <si>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</si>
  <si>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</si>
  <si>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</si>
  <si>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</si>
  <si>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</si>
  <si>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</si>
  <si>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</si>
  <si>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</si>
  <si>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</si>
  <si>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</si>
  <si>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</si>
  <si>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</si>
  <si>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</si>
  <si>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</si>
  <si>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</si>
  <si>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</si>
  <si>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</si>
  <si>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</si>
  <si>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</si>
  <si>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</si>
  <si>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</si>
  <si>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</si>
  <si>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</si>
  <si>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</si>
  <si>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</si>
  <si>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</si>
  <si>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</si>
  <si>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</si>
  <si>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</si>
  <si>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</si>
  <si>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</si>
  <si>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</si>
  <si>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</si>
  <si>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</si>
  <si>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</si>
  <si>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</si>
  <si>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</si>
  <si>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</si>
  <si>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</si>
  <si>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</si>
  <si>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</si>
  <si>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</si>
  <si>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</si>
  <si>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</si>
  <si>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</si>
  <si>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</si>
  <si>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</si>
  <si>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</si>
  <si>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</si>
  <si>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</si>
  <si>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</si>
  <si>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</si>
  <si>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</si>
  <si>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</si>
  <si>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</si>
  <si>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</si>
  <si>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</si>
  <si>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</si>
  <si>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</si>
  <si>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</si>
  <si>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</si>
  <si>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</si>
  <si>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</si>
  <si>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</si>
  <si>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</si>
  <si>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</si>
  <si>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</si>
  <si>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</si>
  <si>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</si>
  <si>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</si>
  <si>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</si>
  <si>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</si>
  <si>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</si>
  <si>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</si>
  <si>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</si>
  <si>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</si>
  <si>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</si>
  <si>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</si>
  <si>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</si>
  <si>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</si>
  <si>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</si>
  <si>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</si>
  <si>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</si>
  <si>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</si>
  <si>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</si>
  <si>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</si>
  <si>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</si>
  <si>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</si>
  <si>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</si>
  <si>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</si>
  <si>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</si>
  <si>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</si>
  <si>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</si>
  <si>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</si>
  <si>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</si>
  <si>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</si>
  <si>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</si>
  <si>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</si>
  <si>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</si>
  <si>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</si>
  <si>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</si>
  <si>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</si>
  <si>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</si>
  <si>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</si>
  <si>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</si>
  <si>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</si>
  <si>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</si>
  <si>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</si>
  <si>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</si>
  <si>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</si>
  <si>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</si>
  <si>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</si>
  <si>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</si>
  <si>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</si>
  <si>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</si>
  <si>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</si>
  <si>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</si>
  <si>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</si>
  <si>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</si>
  <si>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</si>
  <si>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</si>
  <si>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</si>
  <si>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</si>
  <si>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</si>
  <si>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</si>
  <si>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</si>
  <si>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</si>
  <si>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</si>
  <si>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</si>
  <si>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</si>
  <si>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</si>
  <si>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</si>
  <si>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</si>
  <si>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</si>
  <si>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</si>
  <si>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</si>
  <si>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</si>
  <si>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</si>
  <si>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</si>
  <si>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</si>
  <si>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</si>
  <si>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</si>
  <si>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</si>
  <si>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</si>
  <si>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</si>
  <si>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</si>
  <si>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</si>
  <si>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</si>
  <si>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</si>
  <si>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</si>
  <si>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</si>
  <si>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</si>
  <si>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</si>
  <si>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</si>
  <si>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</si>
  <si>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</si>
  <si>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</si>
  <si>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</si>
  <si>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</si>
  <si>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</si>
  <si>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</si>
  <si>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</si>
  <si>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</si>
  <si>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</si>
  <si>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</si>
  <si>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</si>
  <si>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</si>
  <si>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</si>
  <si>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</si>
  <si>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</si>
  <si>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</si>
  <si>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</si>
  <si>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</si>
  <si>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</si>
  <si>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</si>
  <si>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</si>
  <si>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</si>
  <si>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</si>
  <si>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</si>
  <si>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</si>
  <si>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</si>
  <si>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</si>
  <si>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</si>
  <si>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</si>
  <si>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</si>
  <si>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</si>
  <si>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</si>
  <si>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</si>
  <si>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</si>
  <si>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</si>
  <si>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</si>
  <si>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</si>
  <si>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</si>
  <si>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</si>
  <si>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</si>
  <si>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</si>
  <si>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</si>
  <si>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</si>
  <si>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</si>
  <si>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</si>
  <si>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</si>
  <si>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</si>
  <si>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</si>
  <si>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</si>
  <si>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</si>
  <si>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</si>
  <si>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</si>
  <si>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</si>
  <si>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</si>
  <si>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</si>
  <si>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</si>
  <si>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</si>
  <si>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</si>
  <si>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</si>
  <si>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</si>
  <si>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</si>
  <si>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</si>
  <si>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</si>
  <si>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</si>
  <si>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</si>
  <si>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</si>
  <si>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</si>
  <si>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</si>
  <si>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</si>
  <si>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</si>
  <si>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</si>
  <si>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</si>
  <si>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</si>
  <si>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</si>
  <si>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</si>
  <si>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</si>
  <si>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</si>
  <si>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</si>
  <si>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</si>
  <si>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</si>
  <si>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</si>
  <si>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</si>
  <si>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</si>
  <si>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</si>
  <si>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</si>
  <si>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</si>
  <si>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</si>
  <si>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</si>
  <si>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</si>
  <si>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</si>
  <si>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</si>
  <si>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</si>
  <si>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</si>
  <si>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</si>
  <si>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</si>
  <si>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</si>
  <si>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</si>
  <si>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</si>
  <si>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</si>
  <si>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</si>
  <si>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</si>
  <si>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</si>
  <si>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</si>
  <si>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</si>
  <si>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</si>
  <si>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</si>
  <si>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</si>
  <si>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</si>
  <si>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</si>
  <si>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</si>
  <si>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</si>
  <si>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</si>
  <si>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</si>
  <si>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</si>
  <si>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</si>
  <si>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</si>
  <si>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</si>
  <si>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</si>
  <si>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</si>
  <si>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</si>
  <si>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</si>
  <si>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</si>
  <si>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</si>
  <si>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</si>
  <si>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</si>
  <si>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</si>
  <si>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</si>
  <si>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</si>
  <si>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</si>
  <si>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</si>
  <si>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</si>
  <si>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</si>
  <si>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</si>
  <si>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</si>
  <si>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</si>
  <si>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</si>
  <si>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</si>
  <si>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</si>
  <si>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</si>
  <si>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</si>
  <si>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</si>
  <si>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</si>
  <si>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</si>
  <si>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</si>
  <si>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</si>
  <si>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</si>
  <si>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</si>
  <si>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</si>
  <si>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</si>
  <si>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</si>
  <si>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</si>
  <si>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</si>
  <si>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</si>
  <si>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</si>
  <si>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</si>
  <si>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</si>
  <si>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</si>
  <si>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</si>
  <si>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</si>
  <si>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</si>
  <si>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</si>
  <si>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</si>
  <si>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</si>
  <si>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</si>
  <si>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</si>
  <si>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</si>
  <si>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</si>
  <si>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</si>
  <si>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</si>
  <si>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</si>
  <si>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</si>
  <si>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</si>
  <si>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</si>
  <si>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</si>
  <si>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</si>
  <si>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</si>
  <si>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</si>
  <si>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</si>
  <si>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</si>
  <si>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</si>
  <si>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</si>
  <si>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</si>
  <si>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</si>
  <si>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</si>
  <si>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</si>
  <si>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</si>
  <si>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</si>
  <si>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</si>
  <si>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</si>
  <si>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</si>
  <si>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</si>
  <si>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</si>
  <si>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</si>
  <si>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</si>
  <si>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</si>
  <si>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</si>
  <si>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</si>
  <si>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</si>
  <si>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</si>
  <si>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</si>
  <si>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</si>
  <si>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</si>
  <si>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</si>
  <si>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</si>
  <si>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</si>
  <si>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</si>
  <si>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</si>
  <si>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</si>
  <si>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</si>
  <si>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</si>
  <si>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</si>
  <si>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</si>
  <si>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</si>
  <si>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</si>
  <si>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</si>
  <si>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</si>
  <si>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</si>
  <si>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</si>
  <si>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</si>
  <si>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</si>
  <si>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</si>
  <si>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</si>
  <si>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</si>
  <si>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</si>
  <si>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</si>
  <si>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</si>
  <si>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</si>
  <si>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</si>
  <si>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</si>
  <si>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</si>
  <si>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</si>
  <si>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</si>
  <si>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</si>
  <si>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</si>
  <si>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</si>
  <si>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</si>
  <si>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</si>
  <si>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</si>
  <si>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</si>
  <si>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</si>
  <si>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</si>
  <si>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</si>
  <si>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</si>
  <si>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</si>
  <si>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</si>
  <si>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</si>
  <si>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</si>
  <si>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</si>
  <si>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</si>
  <si>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</si>
  <si>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</si>
  <si>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</si>
  <si>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</si>
  <si>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</si>
  <si>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</si>
  <si>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</si>
  <si>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</si>
  <si>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</si>
  <si>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</si>
  <si>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</si>
  <si>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</si>
  <si>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</si>
  <si>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</si>
  <si>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</si>
  <si>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</si>
  <si>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</si>
  <si>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</si>
  <si>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</si>
  <si>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</si>
  <si>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</si>
  <si>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</si>
  <si>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</si>
  <si>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</si>
  <si>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</si>
  <si>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</si>
  <si>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</si>
  <si>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</si>
  <si>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</si>
  <si>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</si>
  <si>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</si>
  <si>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</si>
  <si>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</si>
  <si>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</si>
  <si>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</si>
  <si>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</si>
  <si>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</si>
  <si>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</si>
  <si>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</si>
  <si>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</si>
  <si>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</si>
  <si>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</si>
  <si>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</si>
  <si>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</si>
  <si>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</si>
  <si>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</si>
  <si>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</si>
  <si>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</si>
  <si>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</si>
  <si>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</si>
  <si>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</si>
  <si>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</si>
  <si>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</si>
  <si>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21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</si>
</sst>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34" t="s">
        <v>0</v>
      </c>
      <c r="E1" s="686"/>
      <c r="F1" s="686"/>
      <c r="G1" s="12" t="s">
        <v>1</v>
      </c>
      <c r="H1" s="734" t="s">
        <v>2</v>
      </c>
      <c r="I1" s="686"/>
      <c r="J1" s="686"/>
      <c r="K1" s="686"/>
      <c r="L1" s="686"/>
      <c r="M1" s="686"/>
      <c r="N1" s="686"/>
      <c r="O1" s="686"/>
      <c r="P1" s="686"/>
      <c r="Q1" s="686"/>
      <c r="R1" s="685" t="s">
        <v>3</v>
      </c>
      <c r="S1" s="686"/>
      <c r="T1" s="6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1"/>
      <c r="Q3" s="651"/>
      <c r="R3" s="651"/>
      <c r="S3" s="651"/>
      <c r="T3" s="651"/>
      <c r="U3" s="651"/>
      <c r="V3" s="651"/>
      <c r="W3" s="651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5" t="s">
        <v>7</v>
      </c>
      <c r="B5" s="653"/>
      <c r="C5" s="654"/>
      <c r="D5" s="714"/>
      <c r="E5" s="715"/>
      <c r="F5" s="951" t="s">
        <v>8</v>
      </c>
      <c r="G5" s="654"/>
      <c r="H5" s="714" t="s">
        <v>909</v>
      </c>
      <c r="I5" s="898"/>
      <c r="J5" s="898"/>
      <c r="K5" s="898"/>
      <c r="L5" s="898"/>
      <c r="M5" s="715"/>
      <c r="N5" s="58"/>
      <c r="P5" s="24" t="s">
        <v>9</v>
      </c>
      <c r="Q5" s="975">
        <v>46300</v>
      </c>
      <c r="R5" s="765"/>
      <c r="T5" s="819" t="s">
        <v>10</v>
      </c>
      <c r="U5" s="820"/>
      <c r="V5" s="822" t="s">
        <v>11</v>
      </c>
      <c r="W5" s="765"/>
      <c r="AB5" s="51"/>
      <c r="AC5" s="51"/>
      <c r="AD5" s="51"/>
      <c r="AE5" s="51"/>
    </row>
    <row r="6" spans="1:32" s="635" customFormat="1" ht="24" customHeight="1" x14ac:dyDescent="0.2">
      <c r="A6" s="775" t="s">
        <v>12</v>
      </c>
      <c r="B6" s="653"/>
      <c r="C6" s="654"/>
      <c r="D6" s="902" t="s">
        <v>879</v>
      </c>
      <c r="E6" s="903"/>
      <c r="F6" s="903"/>
      <c r="G6" s="903"/>
      <c r="H6" s="903"/>
      <c r="I6" s="903"/>
      <c r="J6" s="903"/>
      <c r="K6" s="903"/>
      <c r="L6" s="903"/>
      <c r="M6" s="765"/>
      <c r="N6" s="59"/>
      <c r="P6" s="24" t="s">
        <v>13</v>
      </c>
      <c r="Q6" s="988" t="str">
        <f>IF(Q5=0," ",CHOOSE(WEEKDAY(Q5,2),"Понедельник","Вторник","Среда","Четверг","Пятница","Суббота","Воскресенье"))</f>
        <v>Понедельник</v>
      </c>
      <c r="R6" s="660"/>
      <c r="T6" s="829" t="s">
        <v>14</v>
      </c>
      <c r="U6" s="820"/>
      <c r="V6" s="882" t="s">
        <v>15</v>
      </c>
      <c r="W6" s="738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17" t="str">
        <f>IFERROR(VLOOKUP(DeliveryAddress,Table,3,0),1)</f>
        <v>5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1"/>
      <c r="U7" s="820"/>
      <c r="V7" s="883"/>
      <c r="W7" s="884"/>
      <c r="AB7" s="51"/>
      <c r="AC7" s="51"/>
      <c r="AD7" s="51"/>
      <c r="AE7" s="51"/>
    </row>
    <row r="8" spans="1:32" s="635" customFormat="1" ht="25.5" customHeight="1" x14ac:dyDescent="0.2">
      <c r="A8" s="997" t="s">
        <v>16</v>
      </c>
      <c r="B8" s="648"/>
      <c r="C8" s="649"/>
      <c r="D8" s="702"/>
      <c r="E8" s="703"/>
      <c r="F8" s="703"/>
      <c r="G8" s="703"/>
      <c r="H8" s="703"/>
      <c r="I8" s="703"/>
      <c r="J8" s="703"/>
      <c r="K8" s="703"/>
      <c r="L8" s="703"/>
      <c r="M8" s="704"/>
      <c r="N8" s="61"/>
      <c r="P8" s="24" t="s">
        <v>17</v>
      </c>
      <c r="Q8" s="786">
        <v>0.41666666666666669</v>
      </c>
      <c r="R8" s="719"/>
      <c r="T8" s="651"/>
      <c r="U8" s="820"/>
      <c r="V8" s="883"/>
      <c r="W8" s="884"/>
      <c r="AB8" s="51"/>
      <c r="AC8" s="51"/>
      <c r="AD8" s="51"/>
      <c r="AE8" s="51"/>
    </row>
    <row r="9" spans="1:32" s="635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1"/>
      <c r="C9" s="651"/>
      <c r="D9" s="794"/>
      <c r="E9" s="646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1"/>
      <c r="H9" s="645" t="str">
        <f>IF(AND($A$9="Тип доверенности/получателя при получении в адресе перегруза:",$D$9="Разовая доверенность"),"Введите ФИО","")</f>
        <v/>
      </c>
      <c r="I9" s="646"/>
      <c r="J9" s="6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6"/>
      <c r="L9" s="646"/>
      <c r="M9" s="646"/>
      <c r="N9" s="633"/>
      <c r="P9" s="26" t="s">
        <v>18</v>
      </c>
      <c r="Q9" s="761"/>
      <c r="R9" s="762"/>
      <c r="T9" s="651"/>
      <c r="U9" s="820"/>
      <c r="V9" s="885"/>
      <c r="W9" s="886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1"/>
      <c r="C10" s="651"/>
      <c r="D10" s="794"/>
      <c r="E10" s="646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1"/>
      <c r="H10" s="875" t="str">
        <f>IFERROR(VLOOKUP($D$10,Proxy,2,FALSE),"")</f>
        <v/>
      </c>
      <c r="I10" s="651"/>
      <c r="J10" s="651"/>
      <c r="K10" s="651"/>
      <c r="L10" s="651"/>
      <c r="M10" s="651"/>
      <c r="N10" s="634"/>
      <c r="P10" s="26" t="s">
        <v>19</v>
      </c>
      <c r="Q10" s="830"/>
      <c r="R10" s="831"/>
      <c r="U10" s="24" t="s">
        <v>20</v>
      </c>
      <c r="V10" s="737" t="s">
        <v>21</v>
      </c>
      <c r="W10" s="738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6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0" t="s">
        <v>26</v>
      </c>
      <c r="B12" s="653"/>
      <c r="C12" s="653"/>
      <c r="D12" s="653"/>
      <c r="E12" s="653"/>
      <c r="F12" s="653"/>
      <c r="G12" s="653"/>
      <c r="H12" s="653"/>
      <c r="I12" s="653"/>
      <c r="J12" s="653"/>
      <c r="K12" s="653"/>
      <c r="L12" s="653"/>
      <c r="M12" s="654"/>
      <c r="N12" s="62"/>
      <c r="P12" s="24" t="s">
        <v>27</v>
      </c>
      <c r="Q12" s="786"/>
      <c r="R12" s="719"/>
      <c r="S12" s="23"/>
      <c r="U12" s="24"/>
      <c r="V12" s="686"/>
      <c r="W12" s="651"/>
      <c r="AB12" s="51"/>
      <c r="AC12" s="51"/>
      <c r="AD12" s="51"/>
      <c r="AE12" s="51"/>
    </row>
    <row r="13" spans="1:32" s="635" customFormat="1" ht="23.25" customHeight="1" x14ac:dyDescent="0.2">
      <c r="A13" s="810" t="s">
        <v>28</v>
      </c>
      <c r="B13" s="653"/>
      <c r="C13" s="653"/>
      <c r="D13" s="653"/>
      <c r="E13" s="653"/>
      <c r="F13" s="653"/>
      <c r="G13" s="653"/>
      <c r="H13" s="653"/>
      <c r="I13" s="653"/>
      <c r="J13" s="653"/>
      <c r="K13" s="653"/>
      <c r="L13" s="653"/>
      <c r="M13" s="654"/>
      <c r="N13" s="62"/>
      <c r="O13" s="26"/>
      <c r="P13" s="26" t="s">
        <v>29</v>
      </c>
      <c r="Q13" s="926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0" t="s">
        <v>30</v>
      </c>
      <c r="B14" s="653"/>
      <c r="C14" s="653"/>
      <c r="D14" s="653"/>
      <c r="E14" s="653"/>
      <c r="F14" s="653"/>
      <c r="G14" s="653"/>
      <c r="H14" s="653"/>
      <c r="I14" s="653"/>
      <c r="J14" s="653"/>
      <c r="K14" s="653"/>
      <c r="L14" s="653"/>
      <c r="M14" s="65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34" t="s">
        <v>31</v>
      </c>
      <c r="B15" s="653"/>
      <c r="C15" s="653"/>
      <c r="D15" s="653"/>
      <c r="E15" s="653"/>
      <c r="F15" s="653"/>
      <c r="G15" s="653"/>
      <c r="H15" s="653"/>
      <c r="I15" s="653"/>
      <c r="J15" s="653"/>
      <c r="K15" s="653"/>
      <c r="L15" s="653"/>
      <c r="M15" s="654"/>
      <c r="N15" s="63"/>
      <c r="P15" s="801" t="s">
        <v>32</v>
      </c>
      <c r="Q15" s="686"/>
      <c r="R15" s="686"/>
      <c r="S15" s="686"/>
      <c r="T15" s="6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0" t="s">
        <v>33</v>
      </c>
      <c r="B17" s="670" t="s">
        <v>34</v>
      </c>
      <c r="C17" s="791" t="s">
        <v>35</v>
      </c>
      <c r="D17" s="670" t="s">
        <v>36</v>
      </c>
      <c r="E17" s="746"/>
      <c r="F17" s="670" t="s">
        <v>37</v>
      </c>
      <c r="G17" s="670" t="s">
        <v>38</v>
      </c>
      <c r="H17" s="670" t="s">
        <v>39</v>
      </c>
      <c r="I17" s="670" t="s">
        <v>40</v>
      </c>
      <c r="J17" s="670" t="s">
        <v>41</v>
      </c>
      <c r="K17" s="670" t="s">
        <v>42</v>
      </c>
      <c r="L17" s="670" t="s">
        <v>43</v>
      </c>
      <c r="M17" s="670" t="s">
        <v>44</v>
      </c>
      <c r="N17" s="670" t="s">
        <v>45</v>
      </c>
      <c r="O17" s="670" t="s">
        <v>46</v>
      </c>
      <c r="P17" s="670" t="s">
        <v>47</v>
      </c>
      <c r="Q17" s="745"/>
      <c r="R17" s="745"/>
      <c r="S17" s="745"/>
      <c r="T17" s="746"/>
      <c r="U17" s="996" t="s">
        <v>48</v>
      </c>
      <c r="V17" s="654"/>
      <c r="W17" s="670" t="s">
        <v>49</v>
      </c>
      <c r="X17" s="670" t="s">
        <v>50</v>
      </c>
      <c r="Y17" s="994" t="s">
        <v>51</v>
      </c>
      <c r="Z17" s="880" t="s">
        <v>52</v>
      </c>
      <c r="AA17" s="872" t="s">
        <v>53</v>
      </c>
      <c r="AB17" s="872" t="s">
        <v>54</v>
      </c>
      <c r="AC17" s="872" t="s">
        <v>55</v>
      </c>
      <c r="AD17" s="872" t="s">
        <v>56</v>
      </c>
      <c r="AE17" s="965"/>
      <c r="AF17" s="966"/>
      <c r="AG17" s="66"/>
      <c r="BD17" s="65" t="s">
        <v>57</v>
      </c>
    </row>
    <row r="18" spans="1:68" ht="14.25" customHeight="1" x14ac:dyDescent="0.2">
      <c r="A18" s="671"/>
      <c r="B18" s="671"/>
      <c r="C18" s="671"/>
      <c r="D18" s="747"/>
      <c r="E18" s="749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71"/>
      <c r="X18" s="671"/>
      <c r="Y18" s="995"/>
      <c r="Z18" s="881"/>
      <c r="AA18" s="873"/>
      <c r="AB18" s="873"/>
      <c r="AC18" s="873"/>
      <c r="AD18" s="967"/>
      <c r="AE18" s="968"/>
      <c r="AF18" s="969"/>
      <c r="AG18" s="66"/>
      <c r="BD18" s="65"/>
    </row>
    <row r="19" spans="1:68" ht="27.75" hidden="1" customHeight="1" x14ac:dyDescent="0.2">
      <c r="A19" s="666" t="s">
        <v>60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hidden="1" customHeight="1" x14ac:dyDescent="0.25">
      <c r="A20" s="655" t="s">
        <v>60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36"/>
      <c r="AB20" s="636"/>
      <c r="AC20" s="636"/>
    </row>
    <row r="21" spans="1:68" ht="14.25" hidden="1" customHeight="1" x14ac:dyDescent="0.25">
      <c r="A21" s="650" t="s">
        <v>61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9">
        <v>4680115886643</v>
      </c>
      <c r="E22" s="660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9">
        <v>4680115889071</v>
      </c>
      <c r="E23" s="660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2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73"/>
      <c r="P24" s="647" t="s">
        <v>71</v>
      </c>
      <c r="Q24" s="648"/>
      <c r="R24" s="648"/>
      <c r="S24" s="648"/>
      <c r="T24" s="648"/>
      <c r="U24" s="648"/>
      <c r="V24" s="649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73"/>
      <c r="P25" s="647" t="s">
        <v>71</v>
      </c>
      <c r="Q25" s="648"/>
      <c r="R25" s="648"/>
      <c r="S25" s="648"/>
      <c r="T25" s="648"/>
      <c r="U25" s="648"/>
      <c r="V25" s="649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50" t="s">
        <v>73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9">
        <v>4680115885912</v>
      </c>
      <c r="E27" s="660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9">
        <v>4607091388237</v>
      </c>
      <c r="E28" s="660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59">
        <v>4680115887350</v>
      </c>
      <c r="E29" s="660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4"/>
      <c r="V29" s="34"/>
      <c r="W29" s="35" t="s">
        <v>66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9">
        <v>4680115885905</v>
      </c>
      <c r="E30" s="660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9">
        <v>4680115887619</v>
      </c>
      <c r="E31" s="660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73"/>
      <c r="P32" s="647" t="s">
        <v>71</v>
      </c>
      <c r="Q32" s="648"/>
      <c r="R32" s="648"/>
      <c r="S32" s="648"/>
      <c r="T32" s="648"/>
      <c r="U32" s="648"/>
      <c r="V32" s="649"/>
      <c r="W32" s="37" t="s">
        <v>72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73"/>
      <c r="P33" s="647" t="s">
        <v>71</v>
      </c>
      <c r="Q33" s="648"/>
      <c r="R33" s="648"/>
      <c r="S33" s="648"/>
      <c r="T33" s="648"/>
      <c r="U33" s="648"/>
      <c r="V33" s="649"/>
      <c r="W33" s="37" t="s">
        <v>66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6" t="s">
        <v>91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hidden="1" customHeight="1" x14ac:dyDescent="0.25">
      <c r="A35" s="655" t="s">
        <v>92</v>
      </c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1"/>
      <c r="U35" s="651"/>
      <c r="V35" s="651"/>
      <c r="W35" s="651"/>
      <c r="X35" s="651"/>
      <c r="Y35" s="651"/>
      <c r="Z35" s="651"/>
      <c r="AA35" s="636"/>
      <c r="AB35" s="636"/>
      <c r="AC35" s="636"/>
    </row>
    <row r="36" spans="1:68" ht="14.25" hidden="1" customHeight="1" x14ac:dyDescent="0.25">
      <c r="A36" s="650" t="s">
        <v>73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9">
        <v>4680115889354</v>
      </c>
      <c r="E37" s="660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9">
        <v>4680115888463</v>
      </c>
      <c r="E38" s="660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9">
        <v>4680115889590</v>
      </c>
      <c r="E39" s="660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7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9">
        <v>4680115888272</v>
      </c>
      <c r="E40" s="660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9">
        <v>4680115888364</v>
      </c>
      <c r="E41" s="660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2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73"/>
      <c r="P42" s="647" t="s">
        <v>71</v>
      </c>
      <c r="Q42" s="648"/>
      <c r="R42" s="648"/>
      <c r="S42" s="648"/>
      <c r="T42" s="648"/>
      <c r="U42" s="648"/>
      <c r="V42" s="649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73"/>
      <c r="P43" s="647" t="s">
        <v>71</v>
      </c>
      <c r="Q43" s="648"/>
      <c r="R43" s="648"/>
      <c r="S43" s="648"/>
      <c r="T43" s="648"/>
      <c r="U43" s="648"/>
      <c r="V43" s="649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6" t="s">
        <v>108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hidden="1" customHeight="1" x14ac:dyDescent="0.25">
      <c r="A45" s="655" t="s">
        <v>109</v>
      </c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1"/>
      <c r="P45" s="651"/>
      <c r="Q45" s="651"/>
      <c r="R45" s="651"/>
      <c r="S45" s="651"/>
      <c r="T45" s="651"/>
      <c r="U45" s="651"/>
      <c r="V45" s="651"/>
      <c r="W45" s="651"/>
      <c r="X45" s="651"/>
      <c r="Y45" s="651"/>
      <c r="Z45" s="651"/>
      <c r="AA45" s="636"/>
      <c r="AB45" s="636"/>
      <c r="AC45" s="636"/>
    </row>
    <row r="46" spans="1:68" ht="14.25" hidden="1" customHeight="1" x14ac:dyDescent="0.25">
      <c r="A46" s="650" t="s">
        <v>110</v>
      </c>
      <c r="B46" s="651"/>
      <c r="C46" s="651"/>
      <c r="D46" s="651"/>
      <c r="E46" s="651"/>
      <c r="F46" s="651"/>
      <c r="G46" s="651"/>
      <c r="H46" s="651"/>
      <c r="I46" s="651"/>
      <c r="J46" s="651"/>
      <c r="K46" s="651"/>
      <c r="L46" s="651"/>
      <c r="M46" s="651"/>
      <c r="N46" s="651"/>
      <c r="O46" s="651"/>
      <c r="P46" s="651"/>
      <c r="Q46" s="651"/>
      <c r="R46" s="651"/>
      <c r="S46" s="651"/>
      <c r="T46" s="651"/>
      <c r="U46" s="651"/>
      <c r="V46" s="651"/>
      <c r="W46" s="651"/>
      <c r="X46" s="651"/>
      <c r="Y46" s="651"/>
      <c r="Z46" s="651"/>
      <c r="AA46" s="637"/>
      <c r="AB46" s="637"/>
      <c r="AC46" s="637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59">
        <v>4607091385670</v>
      </c>
      <c r="E47" s="660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4"/>
      <c r="V47" s="34"/>
      <c r="W47" s="35" t="s">
        <v>66</v>
      </c>
      <c r="X47" s="641">
        <v>0</v>
      </c>
      <c r="Y47" s="64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9">
        <v>4680115887725</v>
      </c>
      <c r="E48" s="660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9">
        <v>4607091385687</v>
      </c>
      <c r="E49" s="660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4301011565</v>
      </c>
      <c r="D50" s="659">
        <v>4680115882539</v>
      </c>
      <c r="E50" s="660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4"/>
      <c r="V50" s="34"/>
      <c r="W50" s="35" t="s">
        <v>66</v>
      </c>
      <c r="X50" s="641">
        <v>19</v>
      </c>
      <c r="Y50" s="642">
        <f>IFERROR(IF(X50="",0,CEILING((X50/$H50),1)*$H50),"")</f>
        <v>22.200000000000003</v>
      </c>
      <c r="Z50" s="36">
        <f>IFERROR(IF(Y50=0,"",ROUNDUP(Y50/H50,0)*0.00902),"")</f>
        <v>5.4120000000000001E-2</v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19.975675675675674</v>
      </c>
      <c r="BN50" s="64">
        <f>IFERROR(Y50*I50/H50,"0")</f>
        <v>23.340000000000003</v>
      </c>
      <c r="BO50" s="64">
        <f>IFERROR(1/J50*(X50/H50),"0")</f>
        <v>3.8902538902538905E-2</v>
      </c>
      <c r="BP50" s="64">
        <f>IFERROR(1/J50*(Y50/H50),"0")</f>
        <v>4.5454545454545463E-2</v>
      </c>
    </row>
    <row r="51" spans="1:68" x14ac:dyDescent="0.2">
      <c r="A51" s="672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73"/>
      <c r="P51" s="647" t="s">
        <v>71</v>
      </c>
      <c r="Q51" s="648"/>
      <c r="R51" s="648"/>
      <c r="S51" s="648"/>
      <c r="T51" s="648"/>
      <c r="U51" s="648"/>
      <c r="V51" s="649"/>
      <c r="W51" s="37" t="s">
        <v>72</v>
      </c>
      <c r="X51" s="643">
        <f>IFERROR(X47/H47,"0")+IFERROR(X48/H48,"0")+IFERROR(X49/H49,"0")+IFERROR(X50/H50,"0")</f>
        <v>5.1351351351351351</v>
      </c>
      <c r="Y51" s="643">
        <f>IFERROR(Y47/H47,"0")+IFERROR(Y48/H48,"0")+IFERROR(Y49/H49,"0")+IFERROR(Y50/H50,"0")</f>
        <v>6.0000000000000009</v>
      </c>
      <c r="Z51" s="643">
        <f>IFERROR(IF(Z47="",0,Z47),"0")+IFERROR(IF(Z48="",0,Z48),"0")+IFERROR(IF(Z49="",0,Z49),"0")+IFERROR(IF(Z50="",0,Z50),"0")</f>
        <v>5.4120000000000001E-2</v>
      </c>
      <c r="AA51" s="644"/>
      <c r="AB51" s="644"/>
      <c r="AC51" s="644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73"/>
      <c r="P52" s="647" t="s">
        <v>71</v>
      </c>
      <c r="Q52" s="648"/>
      <c r="R52" s="648"/>
      <c r="S52" s="648"/>
      <c r="T52" s="648"/>
      <c r="U52" s="648"/>
      <c r="V52" s="649"/>
      <c r="W52" s="37" t="s">
        <v>66</v>
      </c>
      <c r="X52" s="643">
        <f>IFERROR(SUM(X47:X50),"0")</f>
        <v>19</v>
      </c>
      <c r="Y52" s="643">
        <f>IFERROR(SUM(Y47:Y50),"0")</f>
        <v>22.200000000000003</v>
      </c>
      <c r="Z52" s="37"/>
      <c r="AA52" s="644"/>
      <c r="AB52" s="644"/>
      <c r="AC52" s="644"/>
    </row>
    <row r="53" spans="1:68" ht="16.5" hidden="1" customHeight="1" x14ac:dyDescent="0.25">
      <c r="A53" s="655" t="s">
        <v>125</v>
      </c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1"/>
      <c r="P53" s="651"/>
      <c r="Q53" s="651"/>
      <c r="R53" s="651"/>
      <c r="S53" s="651"/>
      <c r="T53" s="651"/>
      <c r="U53" s="651"/>
      <c r="V53" s="651"/>
      <c r="W53" s="651"/>
      <c r="X53" s="651"/>
      <c r="Y53" s="651"/>
      <c r="Z53" s="651"/>
      <c r="AA53" s="636"/>
      <c r="AB53" s="636"/>
      <c r="AC53" s="636"/>
    </row>
    <row r="54" spans="1:68" ht="14.25" hidden="1" customHeight="1" x14ac:dyDescent="0.25">
      <c r="A54" s="650" t="s">
        <v>110</v>
      </c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1"/>
      <c r="P54" s="651"/>
      <c r="Q54" s="651"/>
      <c r="R54" s="651"/>
      <c r="S54" s="651"/>
      <c r="T54" s="651"/>
      <c r="U54" s="651"/>
      <c r="V54" s="651"/>
      <c r="W54" s="651"/>
      <c r="X54" s="651"/>
      <c r="Y54" s="651"/>
      <c r="Z54" s="651"/>
      <c r="AA54" s="637"/>
      <c r="AB54" s="637"/>
      <c r="AC54" s="637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59">
        <v>4680115885882</v>
      </c>
      <c r="E55" s="660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4"/>
      <c r="V55" s="34"/>
      <c r="W55" s="35" t="s">
        <v>66</v>
      </c>
      <c r="X55" s="641">
        <v>0</v>
      </c>
      <c r="Y55" s="642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9">
        <v>4680115881426</v>
      </c>
      <c r="E56" s="660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2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4"/>
      <c r="V56" s="34"/>
      <c r="W56" s="35" t="s">
        <v>66</v>
      </c>
      <c r="X56" s="641">
        <v>200</v>
      </c>
      <c r="Y56" s="642">
        <f t="shared" si="0"/>
        <v>205.20000000000002</v>
      </c>
      <c r="Z56" s="36">
        <f>IFERROR(IF(Y56=0,"",ROUNDUP(Y56/H56,0)*0.01898),"")</f>
        <v>0.36062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207.59259259259258</v>
      </c>
      <c r="BN56" s="64">
        <f t="shared" si="2"/>
        <v>212.99</v>
      </c>
      <c r="BO56" s="64">
        <f t="shared" si="3"/>
        <v>0.28935185185185186</v>
      </c>
      <c r="BP56" s="64">
        <f t="shared" si="4"/>
        <v>0.296875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9">
        <v>4680115881426</v>
      </c>
      <c r="E57" s="660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5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9">
        <v>4680115880283</v>
      </c>
      <c r="E58" s="660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59">
        <v>4680115881525</v>
      </c>
      <c r="E59" s="660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4"/>
      <c r="V59" s="34"/>
      <c r="W59" s="35" t="s">
        <v>66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9">
        <v>4680115881525</v>
      </c>
      <c r="E60" s="660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9">
        <v>4680115885899</v>
      </c>
      <c r="E61" s="660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59">
        <v>4680115881419</v>
      </c>
      <c r="E62" s="660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8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4"/>
      <c r="V62" s="34"/>
      <c r="W62" s="35" t="s">
        <v>66</v>
      </c>
      <c r="X62" s="641">
        <v>2</v>
      </c>
      <c r="Y62" s="642">
        <f t="shared" si="0"/>
        <v>4.5</v>
      </c>
      <c r="Z62" s="36">
        <f>IFERROR(IF(Y62=0,"",ROUNDUP(Y62/H62,0)*0.00902),"")</f>
        <v>9.0200000000000002E-3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2.0844444444444448</v>
      </c>
      <c r="BN62" s="64">
        <f t="shared" si="2"/>
        <v>4.6900000000000004</v>
      </c>
      <c r="BO62" s="64">
        <f t="shared" si="3"/>
        <v>3.3670033670033669E-3</v>
      </c>
      <c r="BP62" s="64">
        <f t="shared" si="4"/>
        <v>7.575757575757576E-3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9">
        <v>4680115881419</v>
      </c>
      <c r="E63" s="660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2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73"/>
      <c r="P64" s="647" t="s">
        <v>71</v>
      </c>
      <c r="Q64" s="648"/>
      <c r="R64" s="648"/>
      <c r="S64" s="648"/>
      <c r="T64" s="648"/>
      <c r="U64" s="648"/>
      <c r="V64" s="649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18.962962962962962</v>
      </c>
      <c r="Y64" s="643">
        <f>IFERROR(Y55/H55,"0")+IFERROR(Y56/H56,"0")+IFERROR(Y57/H57,"0")+IFERROR(Y58/H58,"0")+IFERROR(Y59/H59,"0")+IFERROR(Y60/H60,"0")+IFERROR(Y61/H61,"0")+IFERROR(Y62/H62,"0")+IFERROR(Y63/H63,"0")</f>
        <v>20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0.36963999999999997</v>
      </c>
      <c r="AA64" s="644"/>
      <c r="AB64" s="644"/>
      <c r="AC64" s="644"/>
    </row>
    <row r="65" spans="1:68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73"/>
      <c r="P65" s="647" t="s">
        <v>71</v>
      </c>
      <c r="Q65" s="648"/>
      <c r="R65" s="648"/>
      <c r="S65" s="648"/>
      <c r="T65" s="648"/>
      <c r="U65" s="648"/>
      <c r="V65" s="649"/>
      <c r="W65" s="37" t="s">
        <v>66</v>
      </c>
      <c r="X65" s="643">
        <f>IFERROR(SUM(X55:X63),"0")</f>
        <v>202</v>
      </c>
      <c r="Y65" s="643">
        <f>IFERROR(SUM(Y55:Y63),"0")</f>
        <v>209.70000000000002</v>
      </c>
      <c r="Z65" s="37"/>
      <c r="AA65" s="644"/>
      <c r="AB65" s="644"/>
      <c r="AC65" s="644"/>
    </row>
    <row r="66" spans="1:68" ht="14.25" hidden="1" customHeight="1" x14ac:dyDescent="0.25">
      <c r="A66" s="650" t="s">
        <v>147</v>
      </c>
      <c r="B66" s="651"/>
      <c r="C66" s="651"/>
      <c r="D66" s="651"/>
      <c r="E66" s="651"/>
      <c r="F66" s="651"/>
      <c r="G66" s="651"/>
      <c r="H66" s="651"/>
      <c r="I66" s="651"/>
      <c r="J66" s="651"/>
      <c r="K66" s="651"/>
      <c r="L66" s="651"/>
      <c r="M66" s="651"/>
      <c r="N66" s="651"/>
      <c r="O66" s="651"/>
      <c r="P66" s="651"/>
      <c r="Q66" s="651"/>
      <c r="R66" s="651"/>
      <c r="S66" s="651"/>
      <c r="T66" s="651"/>
      <c r="U66" s="651"/>
      <c r="V66" s="651"/>
      <c r="W66" s="651"/>
      <c r="X66" s="651"/>
      <c r="Y66" s="651"/>
      <c r="Z66" s="651"/>
      <c r="AA66" s="637"/>
      <c r="AB66" s="637"/>
      <c r="AC66" s="637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59">
        <v>4680115881440</v>
      </c>
      <c r="E67" s="660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4"/>
      <c r="V67" s="34"/>
      <c r="W67" s="35" t="s">
        <v>66</v>
      </c>
      <c r="X67" s="641">
        <v>200</v>
      </c>
      <c r="Y67" s="642">
        <f>IFERROR(IF(X67="",0,CEILING((X67/$H67),1)*$H67),"")</f>
        <v>205.20000000000002</v>
      </c>
      <c r="Z67" s="36">
        <f>IFERROR(IF(Y67=0,"",ROUNDUP(Y67/H67,0)*0.01898),"")</f>
        <v>0.36062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207.59259259259258</v>
      </c>
      <c r="BN67" s="64">
        <f>IFERROR(Y67*I67/H67,"0")</f>
        <v>212.99</v>
      </c>
      <c r="BO67" s="64">
        <f>IFERROR(1/J67*(X67/H67),"0")</f>
        <v>0.28935185185185186</v>
      </c>
      <c r="BP67" s="64">
        <f>IFERROR(1/J67*(Y67/H67),"0")</f>
        <v>0.296875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9">
        <v>4680115881440</v>
      </c>
      <c r="E68" s="660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6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9">
        <v>4680115885950</v>
      </c>
      <c r="E69" s="660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9">
        <v>4680115887688</v>
      </c>
      <c r="E70" s="660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9">
        <v>4680115881433</v>
      </c>
      <c r="E71" s="660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72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73"/>
      <c r="P72" s="647" t="s">
        <v>71</v>
      </c>
      <c r="Q72" s="648"/>
      <c r="R72" s="648"/>
      <c r="S72" s="648"/>
      <c r="T72" s="648"/>
      <c r="U72" s="648"/>
      <c r="V72" s="649"/>
      <c r="W72" s="37" t="s">
        <v>72</v>
      </c>
      <c r="X72" s="643">
        <f>IFERROR(X67/H67,"0")+IFERROR(X68/H68,"0")+IFERROR(X69/H69,"0")+IFERROR(X70/H70,"0")+IFERROR(X71/H71,"0")</f>
        <v>18.518518518518519</v>
      </c>
      <c r="Y72" s="643">
        <f>IFERROR(Y67/H67,"0")+IFERROR(Y68/H68,"0")+IFERROR(Y69/H69,"0")+IFERROR(Y70/H70,"0")+IFERROR(Y71/H71,"0")</f>
        <v>19</v>
      </c>
      <c r="Z72" s="643">
        <f>IFERROR(IF(Z67="",0,Z67),"0")+IFERROR(IF(Z68="",0,Z68),"0")+IFERROR(IF(Z69="",0,Z69),"0")+IFERROR(IF(Z70="",0,Z70),"0")+IFERROR(IF(Z71="",0,Z71),"0")</f>
        <v>0.36062</v>
      </c>
      <c r="AA72" s="644"/>
      <c r="AB72" s="644"/>
      <c r="AC72" s="644"/>
    </row>
    <row r="73" spans="1:68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73"/>
      <c r="P73" s="647" t="s">
        <v>71</v>
      </c>
      <c r="Q73" s="648"/>
      <c r="R73" s="648"/>
      <c r="S73" s="648"/>
      <c r="T73" s="648"/>
      <c r="U73" s="648"/>
      <c r="V73" s="649"/>
      <c r="W73" s="37" t="s">
        <v>66</v>
      </c>
      <c r="X73" s="643">
        <f>IFERROR(SUM(X67:X71),"0")</f>
        <v>200</v>
      </c>
      <c r="Y73" s="643">
        <f>IFERROR(SUM(Y67:Y71),"0")</f>
        <v>205.20000000000002</v>
      </c>
      <c r="Z73" s="37"/>
      <c r="AA73" s="644"/>
      <c r="AB73" s="644"/>
      <c r="AC73" s="644"/>
    </row>
    <row r="74" spans="1:68" ht="14.25" hidden="1" customHeight="1" x14ac:dyDescent="0.25">
      <c r="A74" s="650" t="s">
        <v>73</v>
      </c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1"/>
      <c r="X74" s="651"/>
      <c r="Y74" s="651"/>
      <c r="Z74" s="651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9">
        <v>4680115884311</v>
      </c>
      <c r="E75" s="660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9">
        <v>4680115884403</v>
      </c>
      <c r="E76" s="660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2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73"/>
      <c r="P77" s="647" t="s">
        <v>71</v>
      </c>
      <c r="Q77" s="648"/>
      <c r="R77" s="648"/>
      <c r="S77" s="648"/>
      <c r="T77" s="648"/>
      <c r="U77" s="648"/>
      <c r="V77" s="649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73"/>
      <c r="P78" s="647" t="s">
        <v>71</v>
      </c>
      <c r="Q78" s="648"/>
      <c r="R78" s="648"/>
      <c r="S78" s="648"/>
      <c r="T78" s="648"/>
      <c r="U78" s="648"/>
      <c r="V78" s="649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50" t="s">
        <v>166</v>
      </c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1"/>
      <c r="P79" s="651"/>
      <c r="Q79" s="651"/>
      <c r="R79" s="651"/>
      <c r="S79" s="651"/>
      <c r="T79" s="651"/>
      <c r="U79" s="651"/>
      <c r="V79" s="651"/>
      <c r="W79" s="651"/>
      <c r="X79" s="651"/>
      <c r="Y79" s="651"/>
      <c r="Z79" s="651"/>
      <c r="AA79" s="637"/>
      <c r="AB79" s="637"/>
      <c r="AC79" s="637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59">
        <v>4680115881532</v>
      </c>
      <c r="E80" s="660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4"/>
      <c r="V80" s="34"/>
      <c r="W80" s="35" t="s">
        <v>66</v>
      </c>
      <c r="X80" s="641">
        <v>100</v>
      </c>
      <c r="Y80" s="642">
        <f>IFERROR(IF(X80="",0,CEILING((X80/$H80),1)*$H80),"")</f>
        <v>101.39999999999999</v>
      </c>
      <c r="Z80" s="36">
        <f>IFERROR(IF(Y80=0,"",ROUNDUP(Y80/H80,0)*0.01898),"")</f>
        <v>0.24674000000000001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105.25641025641028</v>
      </c>
      <c r="BN80" s="64">
        <f>IFERROR(Y80*I80/H80,"0")</f>
        <v>106.73</v>
      </c>
      <c r="BO80" s="64">
        <f>IFERROR(1/J80*(X80/H80),"0")</f>
        <v>0.20032051282051283</v>
      </c>
      <c r="BP80" s="64">
        <f>IFERROR(1/J80*(Y80/H80),"0")</f>
        <v>0.203125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9">
        <v>4680115881532</v>
      </c>
      <c r="E81" s="660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71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9">
        <v>4680115881464</v>
      </c>
      <c r="E82" s="660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73"/>
      <c r="P83" s="647" t="s">
        <v>71</v>
      </c>
      <c r="Q83" s="648"/>
      <c r="R83" s="648"/>
      <c r="S83" s="648"/>
      <c r="T83" s="648"/>
      <c r="U83" s="648"/>
      <c r="V83" s="649"/>
      <c r="W83" s="37" t="s">
        <v>72</v>
      </c>
      <c r="X83" s="643">
        <f>IFERROR(X80/H80,"0")+IFERROR(X81/H81,"0")+IFERROR(X82/H82,"0")</f>
        <v>12.820512820512821</v>
      </c>
      <c r="Y83" s="643">
        <f>IFERROR(Y80/H80,"0")+IFERROR(Y81/H81,"0")+IFERROR(Y82/H82,"0")</f>
        <v>13</v>
      </c>
      <c r="Z83" s="643">
        <f>IFERROR(IF(Z80="",0,Z80),"0")+IFERROR(IF(Z81="",0,Z81),"0")+IFERROR(IF(Z82="",0,Z82),"0")</f>
        <v>0.24674000000000001</v>
      </c>
      <c r="AA83" s="644"/>
      <c r="AB83" s="644"/>
      <c r="AC83" s="644"/>
    </row>
    <row r="84" spans="1:68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73"/>
      <c r="P84" s="647" t="s">
        <v>71</v>
      </c>
      <c r="Q84" s="648"/>
      <c r="R84" s="648"/>
      <c r="S84" s="648"/>
      <c r="T84" s="648"/>
      <c r="U84" s="648"/>
      <c r="V84" s="649"/>
      <c r="W84" s="37" t="s">
        <v>66</v>
      </c>
      <c r="X84" s="643">
        <f>IFERROR(SUM(X80:X82),"0")</f>
        <v>100</v>
      </c>
      <c r="Y84" s="643">
        <f>IFERROR(SUM(Y80:Y82),"0")</f>
        <v>101.39999999999999</v>
      </c>
      <c r="Z84" s="37"/>
      <c r="AA84" s="644"/>
      <c r="AB84" s="644"/>
      <c r="AC84" s="644"/>
    </row>
    <row r="85" spans="1:68" ht="16.5" hidden="1" customHeight="1" x14ac:dyDescent="0.25">
      <c r="A85" s="655" t="s">
        <v>174</v>
      </c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1"/>
      <c r="P85" s="651"/>
      <c r="Q85" s="651"/>
      <c r="R85" s="651"/>
      <c r="S85" s="651"/>
      <c r="T85" s="651"/>
      <c r="U85" s="651"/>
      <c r="V85" s="651"/>
      <c r="W85" s="651"/>
      <c r="X85" s="651"/>
      <c r="Y85" s="651"/>
      <c r="Z85" s="651"/>
      <c r="AA85" s="636"/>
      <c r="AB85" s="636"/>
      <c r="AC85" s="636"/>
    </row>
    <row r="86" spans="1:68" ht="14.25" hidden="1" customHeight="1" x14ac:dyDescent="0.25">
      <c r="A86" s="650" t="s">
        <v>110</v>
      </c>
      <c r="B86" s="651"/>
      <c r="C86" s="651"/>
      <c r="D86" s="651"/>
      <c r="E86" s="651"/>
      <c r="F86" s="651"/>
      <c r="G86" s="651"/>
      <c r="H86" s="651"/>
      <c r="I86" s="651"/>
      <c r="J86" s="651"/>
      <c r="K86" s="651"/>
      <c r="L86" s="651"/>
      <c r="M86" s="651"/>
      <c r="N86" s="651"/>
      <c r="O86" s="651"/>
      <c r="P86" s="651"/>
      <c r="Q86" s="651"/>
      <c r="R86" s="651"/>
      <c r="S86" s="651"/>
      <c r="T86" s="651"/>
      <c r="U86" s="651"/>
      <c r="V86" s="651"/>
      <c r="W86" s="651"/>
      <c r="X86" s="651"/>
      <c r="Y86" s="651"/>
      <c r="Z86" s="651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9">
        <v>4680115881327</v>
      </c>
      <c r="E87" s="660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4"/>
      <c r="V87" s="34"/>
      <c r="W87" s="35" t="s">
        <v>66</v>
      </c>
      <c r="X87" s="641">
        <v>100</v>
      </c>
      <c r="Y87" s="642">
        <f t="shared" ref="Y87:Y92" si="5"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103.79629629629629</v>
      </c>
      <c r="BN87" s="64">
        <f t="shared" ref="BN87:BN92" si="7">IFERROR(Y87*I87/H87,"0")</f>
        <v>112.1</v>
      </c>
      <c r="BO87" s="64">
        <f t="shared" ref="BO87:BO92" si="8">IFERROR(1/J87*(X87/H87),"0")</f>
        <v>0.14467592592592593</v>
      </c>
      <c r="BP87" s="64">
        <f t="shared" ref="BP87:BP92" si="9">IFERROR(1/J87*(Y87/H87),"0")</f>
        <v>0.15625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59">
        <v>4680115881327</v>
      </c>
      <c r="E88" s="660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3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57"/>
      <c r="R88" s="657"/>
      <c r="S88" s="657"/>
      <c r="T88" s="658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59">
        <v>4680115887732</v>
      </c>
      <c r="E89" s="660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9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7"/>
      <c r="R89" s="657"/>
      <c r="S89" s="657"/>
      <c r="T89" s="658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59">
        <v>4680115881518</v>
      </c>
      <c r="E90" s="660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7"/>
      <c r="R90" s="657"/>
      <c r="S90" s="657"/>
      <c r="T90" s="658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59">
        <v>4680115881518</v>
      </c>
      <c r="E91" s="660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7"/>
      <c r="R91" s="657"/>
      <c r="S91" s="657"/>
      <c r="T91" s="658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4301012250</v>
      </c>
      <c r="D92" s="659">
        <v>4680115881303</v>
      </c>
      <c r="E92" s="660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7"/>
      <c r="R92" s="657"/>
      <c r="S92" s="657"/>
      <c r="T92" s="658"/>
      <c r="U92" s="34"/>
      <c r="V92" s="34"/>
      <c r="W92" s="35" t="s">
        <v>66</v>
      </c>
      <c r="X92" s="641">
        <v>0</v>
      </c>
      <c r="Y92" s="642">
        <f t="shared" si="5"/>
        <v>0</v>
      </c>
      <c r="Z92" s="36" t="str">
        <f>IFERROR(IF(Y92=0,"",ROUNDUP(Y92/H92,0)*0.00902),"")</f>
        <v/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x14ac:dyDescent="0.2">
      <c r="A93" s="672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73"/>
      <c r="P93" s="647" t="s">
        <v>71</v>
      </c>
      <c r="Q93" s="648"/>
      <c r="R93" s="648"/>
      <c r="S93" s="648"/>
      <c r="T93" s="648"/>
      <c r="U93" s="648"/>
      <c r="V93" s="649"/>
      <c r="W93" s="37" t="s">
        <v>72</v>
      </c>
      <c r="X93" s="643">
        <f>IFERROR(X87/H87,"0")+IFERROR(X88/H88,"0")+IFERROR(X89/H89,"0")+IFERROR(X90/H90,"0")+IFERROR(X91/H91,"0")+IFERROR(X92/H92,"0")</f>
        <v>9.2592592592592595</v>
      </c>
      <c r="Y93" s="643">
        <f>IFERROR(Y87/H87,"0")+IFERROR(Y88/H88,"0")+IFERROR(Y89/H89,"0")+IFERROR(Y90/H90,"0")+IFERROR(Y91/H91,"0")+IFERROR(Y92/H92,"0")</f>
        <v>10</v>
      </c>
      <c r="Z93" s="643">
        <f>IFERROR(IF(Z87="",0,Z87),"0")+IFERROR(IF(Z88="",0,Z88),"0")+IFERROR(IF(Z89="",0,Z89),"0")+IFERROR(IF(Z90="",0,Z90),"0")+IFERROR(IF(Z91="",0,Z91),"0")+IFERROR(IF(Z92="",0,Z92),"0")</f>
        <v>0.1898</v>
      </c>
      <c r="AA93" s="644"/>
      <c r="AB93" s="644"/>
      <c r="AC93" s="644"/>
    </row>
    <row r="94" spans="1:68" x14ac:dyDescent="0.2">
      <c r="A94" s="651"/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73"/>
      <c r="P94" s="647" t="s">
        <v>71</v>
      </c>
      <c r="Q94" s="648"/>
      <c r="R94" s="648"/>
      <c r="S94" s="648"/>
      <c r="T94" s="648"/>
      <c r="U94" s="648"/>
      <c r="V94" s="649"/>
      <c r="W94" s="37" t="s">
        <v>66</v>
      </c>
      <c r="X94" s="643">
        <f>IFERROR(SUM(X87:X92),"0")</f>
        <v>100</v>
      </c>
      <c r="Y94" s="643">
        <f>IFERROR(SUM(Y87:Y92),"0")</f>
        <v>108</v>
      </c>
      <c r="Z94" s="37"/>
      <c r="AA94" s="644"/>
      <c r="AB94" s="644"/>
      <c r="AC94" s="644"/>
    </row>
    <row r="95" spans="1:68" ht="14.25" hidden="1" customHeight="1" x14ac:dyDescent="0.25">
      <c r="A95" s="650" t="s">
        <v>73</v>
      </c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1"/>
      <c r="P95" s="651"/>
      <c r="Q95" s="651"/>
      <c r="R95" s="651"/>
      <c r="S95" s="651"/>
      <c r="T95" s="651"/>
      <c r="U95" s="651"/>
      <c r="V95" s="651"/>
      <c r="W95" s="651"/>
      <c r="X95" s="651"/>
      <c r="Y95" s="651"/>
      <c r="Z95" s="651"/>
      <c r="AA95" s="637"/>
      <c r="AB95" s="637"/>
      <c r="AC95" s="637"/>
    </row>
    <row r="96" spans="1:68" ht="27" hidden="1" customHeight="1" x14ac:dyDescent="0.25">
      <c r="A96" s="54" t="s">
        <v>187</v>
      </c>
      <c r="B96" s="54" t="s">
        <v>188</v>
      </c>
      <c r="C96" s="31">
        <v>4301052101</v>
      </c>
      <c r="D96" s="659">
        <v>4607091386967</v>
      </c>
      <c r="E96" s="660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9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7"/>
      <c r="R96" s="657"/>
      <c r="S96" s="657"/>
      <c r="T96" s="658"/>
      <c r="U96" s="34"/>
      <c r="V96" s="34"/>
      <c r="W96" s="35" t="s">
        <v>66</v>
      </c>
      <c r="X96" s="641">
        <v>0</v>
      </c>
      <c r="Y96" s="642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59">
        <v>4680115884953</v>
      </c>
      <c r="E97" s="660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7"/>
      <c r="R97" s="657"/>
      <c r="S97" s="657"/>
      <c r="T97" s="658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59">
        <v>4607091385731</v>
      </c>
      <c r="E98" s="660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89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7"/>
      <c r="R98" s="657"/>
      <c r="S98" s="657"/>
      <c r="T98" s="658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59">
        <v>4680115880894</v>
      </c>
      <c r="E99" s="660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7"/>
      <c r="R99" s="657"/>
      <c r="S99" s="657"/>
      <c r="T99" s="658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idden="1" x14ac:dyDescent="0.2">
      <c r="A100" s="672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73"/>
      <c r="P100" s="647" t="s">
        <v>71</v>
      </c>
      <c r="Q100" s="648"/>
      <c r="R100" s="648"/>
      <c r="S100" s="648"/>
      <c r="T100" s="648"/>
      <c r="U100" s="648"/>
      <c r="V100" s="649"/>
      <c r="W100" s="37" t="s">
        <v>72</v>
      </c>
      <c r="X100" s="643">
        <f>IFERROR(X96/H96,"0")+IFERROR(X97/H97,"0")+IFERROR(X98/H98,"0")+IFERROR(X99/H99,"0")</f>
        <v>0</v>
      </c>
      <c r="Y100" s="643">
        <f>IFERROR(Y96/H96,"0")+IFERROR(Y97/H97,"0")+IFERROR(Y98/H98,"0")+IFERROR(Y99/H99,"0")</f>
        <v>0</v>
      </c>
      <c r="Z100" s="643">
        <f>IFERROR(IF(Z96="",0,Z96),"0")+IFERROR(IF(Z97="",0,Z97),"0")+IFERROR(IF(Z98="",0,Z98),"0")+IFERROR(IF(Z99="",0,Z99),"0")</f>
        <v>0</v>
      </c>
      <c r="AA100" s="644"/>
      <c r="AB100" s="644"/>
      <c r="AC100" s="644"/>
    </row>
    <row r="101" spans="1:68" hidden="1" x14ac:dyDescent="0.2">
      <c r="A101" s="651"/>
      <c r="B101" s="651"/>
      <c r="C101" s="651"/>
      <c r="D101" s="651"/>
      <c r="E101" s="651"/>
      <c r="F101" s="651"/>
      <c r="G101" s="651"/>
      <c r="H101" s="651"/>
      <c r="I101" s="651"/>
      <c r="J101" s="651"/>
      <c r="K101" s="651"/>
      <c r="L101" s="651"/>
      <c r="M101" s="651"/>
      <c r="N101" s="651"/>
      <c r="O101" s="673"/>
      <c r="P101" s="647" t="s">
        <v>71</v>
      </c>
      <c r="Q101" s="648"/>
      <c r="R101" s="648"/>
      <c r="S101" s="648"/>
      <c r="T101" s="648"/>
      <c r="U101" s="648"/>
      <c r="V101" s="649"/>
      <c r="W101" s="37" t="s">
        <v>66</v>
      </c>
      <c r="X101" s="643">
        <f>IFERROR(SUM(X96:X99),"0")</f>
        <v>0</v>
      </c>
      <c r="Y101" s="643">
        <f>IFERROR(SUM(Y96:Y99),"0")</f>
        <v>0</v>
      </c>
      <c r="Z101" s="37"/>
      <c r="AA101" s="644"/>
      <c r="AB101" s="644"/>
      <c r="AC101" s="644"/>
    </row>
    <row r="102" spans="1:68" ht="16.5" hidden="1" customHeight="1" x14ac:dyDescent="0.25">
      <c r="A102" s="655" t="s">
        <v>198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6"/>
      <c r="AB102" s="636"/>
      <c r="AC102" s="636"/>
    </row>
    <row r="103" spans="1:68" ht="14.25" hidden="1" customHeight="1" x14ac:dyDescent="0.25">
      <c r="A103" s="650" t="s">
        <v>110</v>
      </c>
      <c r="B103" s="651"/>
      <c r="C103" s="651"/>
      <c r="D103" s="651"/>
      <c r="E103" s="651"/>
      <c r="F103" s="651"/>
      <c r="G103" s="651"/>
      <c r="H103" s="651"/>
      <c r="I103" s="651"/>
      <c r="J103" s="651"/>
      <c r="K103" s="651"/>
      <c r="L103" s="651"/>
      <c r="M103" s="651"/>
      <c r="N103" s="651"/>
      <c r="O103" s="651"/>
      <c r="P103" s="651"/>
      <c r="Q103" s="651"/>
      <c r="R103" s="651"/>
      <c r="S103" s="651"/>
      <c r="T103" s="651"/>
      <c r="U103" s="651"/>
      <c r="V103" s="651"/>
      <c r="W103" s="651"/>
      <c r="X103" s="651"/>
      <c r="Y103" s="651"/>
      <c r="Z103" s="651"/>
      <c r="AA103" s="637"/>
      <c r="AB103" s="637"/>
      <c r="AC103" s="637"/>
    </row>
    <row r="104" spans="1:68" ht="37.5" customHeight="1" x14ac:dyDescent="0.25">
      <c r="A104" s="54" t="s">
        <v>199</v>
      </c>
      <c r="B104" s="54" t="s">
        <v>200</v>
      </c>
      <c r="C104" s="31">
        <v>4301011514</v>
      </c>
      <c r="D104" s="659">
        <v>4680115882133</v>
      </c>
      <c r="E104" s="660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7"/>
      <c r="R104" s="657"/>
      <c r="S104" s="657"/>
      <c r="T104" s="658"/>
      <c r="U104" s="34"/>
      <c r="V104" s="34"/>
      <c r="W104" s="35" t="s">
        <v>66</v>
      </c>
      <c r="X104" s="641">
        <v>500</v>
      </c>
      <c r="Y104" s="642">
        <f t="shared" ref="Y104:Y112" si="10">IFERROR(IF(X104="",0,CEILING((X104/$H104),1)*$H104),"")</f>
        <v>507.6</v>
      </c>
      <c r="Z104" s="36">
        <f>IFERROR(IF(Y104=0,"",ROUNDUP(Y104/H104,0)*0.01898),"")</f>
        <v>0.89205999999999996</v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518.98148148148141</v>
      </c>
      <c r="BN104" s="64">
        <f t="shared" ref="BN104:BN112" si="12">IFERROR(Y104*I104/H104,"0")</f>
        <v>526.87</v>
      </c>
      <c r="BO104" s="64">
        <f t="shared" ref="BO104:BO112" si="13">IFERROR(1/J104*(X104/H104),"0")</f>
        <v>0.72337962962962954</v>
      </c>
      <c r="BP104" s="64">
        <f t="shared" ref="BP104:BP112" si="14">IFERROR(1/J104*(Y104/H104),"0")</f>
        <v>0.734375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59">
        <v>4680115882133</v>
      </c>
      <c r="E105" s="660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6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7"/>
      <c r="R105" s="657"/>
      <c r="S105" s="657"/>
      <c r="T105" s="658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204</v>
      </c>
      <c r="B106" s="54" t="s">
        <v>205</v>
      </c>
      <c r="C106" s="31">
        <v>4301012379</v>
      </c>
      <c r="D106" s="659">
        <v>4680115887718</v>
      </c>
      <c r="E106" s="660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0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4"/>
      <c r="V106" s="34"/>
      <c r="W106" s="35" t="s">
        <v>66</v>
      </c>
      <c r="X106" s="641">
        <v>5</v>
      </c>
      <c r="Y106" s="642">
        <f t="shared" si="10"/>
        <v>5.28</v>
      </c>
      <c r="Z106" s="36">
        <f>IFERROR(IF(Y106=0,"",ROUNDUP(Y106/H106,0)*0.00726),"")</f>
        <v>5.808E-2</v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6.2575757575757569</v>
      </c>
      <c r="BN106" s="64">
        <f t="shared" si="12"/>
        <v>6.6079999999999997</v>
      </c>
      <c r="BO106" s="64">
        <f t="shared" si="13"/>
        <v>3.9457070707070704E-2</v>
      </c>
      <c r="BP106" s="64">
        <f t="shared" si="14"/>
        <v>4.1666666666666664E-2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9">
        <v>4680115880269</v>
      </c>
      <c r="E107" s="660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59">
        <v>4680115880269</v>
      </c>
      <c r="E108" s="660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7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7"/>
      <c r="R108" s="657"/>
      <c r="S108" s="657"/>
      <c r="T108" s="658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59">
        <v>4680115880429</v>
      </c>
      <c r="E109" s="660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8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7"/>
      <c r="R109" s="657"/>
      <c r="S109" s="657"/>
      <c r="T109" s="658"/>
      <c r="U109" s="34"/>
      <c r="V109" s="34"/>
      <c r="W109" s="35" t="s">
        <v>66</v>
      </c>
      <c r="X109" s="641">
        <v>135</v>
      </c>
      <c r="Y109" s="642">
        <f t="shared" si="10"/>
        <v>135</v>
      </c>
      <c r="Z109" s="36">
        <f>IFERROR(IF(Y109=0,"",ROUNDUP(Y109/H109,0)*0.00902),"")</f>
        <v>0.27060000000000001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140.70000000000002</v>
      </c>
      <c r="BN109" s="64">
        <f t="shared" si="12"/>
        <v>140.70000000000002</v>
      </c>
      <c r="BO109" s="64">
        <f t="shared" si="13"/>
        <v>0.22727272727272729</v>
      </c>
      <c r="BP109" s="64">
        <f t="shared" si="14"/>
        <v>0.22727272727272729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59">
        <v>4680115881457</v>
      </c>
      <c r="E110" s="660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101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59">
        <v>4680115881457</v>
      </c>
      <c r="E111" s="660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3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7"/>
      <c r="R111" s="657"/>
      <c r="S111" s="657"/>
      <c r="T111" s="658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59">
        <v>4680115889477</v>
      </c>
      <c r="E112" s="660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7"/>
      <c r="R112" s="657"/>
      <c r="S112" s="657"/>
      <c r="T112" s="658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2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73"/>
      <c r="P113" s="647" t="s">
        <v>71</v>
      </c>
      <c r="Q113" s="648"/>
      <c r="R113" s="648"/>
      <c r="S113" s="648"/>
      <c r="T113" s="648"/>
      <c r="U113" s="648"/>
      <c r="V113" s="649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83.872053872053868</v>
      </c>
      <c r="Y113" s="643">
        <f>IFERROR(Y104/H104,"0")+IFERROR(Y105/H105,"0")+IFERROR(Y106/H106,"0")+IFERROR(Y107/H107,"0")+IFERROR(Y108/H108,"0")+IFERROR(Y109/H109,"0")+IFERROR(Y110/H110,"0")+IFERROR(Y111/H111,"0")+IFERROR(Y112/H112,"0")</f>
        <v>85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1.2207399999999999</v>
      </c>
      <c r="AA113" s="644"/>
      <c r="AB113" s="644"/>
      <c r="AC113" s="644"/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73"/>
      <c r="P114" s="647" t="s">
        <v>71</v>
      </c>
      <c r="Q114" s="648"/>
      <c r="R114" s="648"/>
      <c r="S114" s="648"/>
      <c r="T114" s="648"/>
      <c r="U114" s="648"/>
      <c r="V114" s="649"/>
      <c r="W114" s="37" t="s">
        <v>66</v>
      </c>
      <c r="X114" s="643">
        <f>IFERROR(SUM(X104:X112),"0")</f>
        <v>640</v>
      </c>
      <c r="Y114" s="643">
        <f>IFERROR(SUM(Y104:Y112),"0")</f>
        <v>647.88</v>
      </c>
      <c r="Z114" s="37"/>
      <c r="AA114" s="644"/>
      <c r="AB114" s="644"/>
      <c r="AC114" s="644"/>
    </row>
    <row r="115" spans="1:68" ht="14.25" hidden="1" customHeight="1" x14ac:dyDescent="0.25">
      <c r="A115" s="650" t="s">
        <v>147</v>
      </c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1"/>
      <c r="P115" s="651"/>
      <c r="Q115" s="651"/>
      <c r="R115" s="651"/>
      <c r="S115" s="651"/>
      <c r="T115" s="651"/>
      <c r="U115" s="651"/>
      <c r="V115" s="651"/>
      <c r="W115" s="651"/>
      <c r="X115" s="651"/>
      <c r="Y115" s="651"/>
      <c r="Z115" s="651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59">
        <v>4680115881488</v>
      </c>
      <c r="E116" s="660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3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7"/>
      <c r="R116" s="657"/>
      <c r="S116" s="657"/>
      <c r="T116" s="658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59">
        <v>4680115882775</v>
      </c>
      <c r="E117" s="660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223</v>
      </c>
      <c r="B118" s="54" t="s">
        <v>224</v>
      </c>
      <c r="C118" s="31">
        <v>4301020392</v>
      </c>
      <c r="D118" s="659">
        <v>4680115880658</v>
      </c>
      <c r="E118" s="660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4"/>
      <c r="V118" s="34"/>
      <c r="W118" s="35" t="s">
        <v>66</v>
      </c>
      <c r="X118" s="641">
        <v>0</v>
      </c>
      <c r="Y118" s="642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72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73"/>
      <c r="P119" s="647" t="s">
        <v>71</v>
      </c>
      <c r="Q119" s="648"/>
      <c r="R119" s="648"/>
      <c r="S119" s="648"/>
      <c r="T119" s="648"/>
      <c r="U119" s="648"/>
      <c r="V119" s="649"/>
      <c r="W119" s="37" t="s">
        <v>72</v>
      </c>
      <c r="X119" s="643">
        <f>IFERROR(X116/H116,"0")+IFERROR(X117/H117,"0")+IFERROR(X118/H118,"0")</f>
        <v>0</v>
      </c>
      <c r="Y119" s="643">
        <f>IFERROR(Y116/H116,"0")+IFERROR(Y117/H117,"0")+IFERROR(Y118/H118,"0")</f>
        <v>0</v>
      </c>
      <c r="Z119" s="643">
        <f>IFERROR(IF(Z116="",0,Z116),"0")+IFERROR(IF(Z117="",0,Z117),"0")+IFERROR(IF(Z118="",0,Z118),"0")</f>
        <v>0</v>
      </c>
      <c r="AA119" s="644"/>
      <c r="AB119" s="644"/>
      <c r="AC119" s="64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73"/>
      <c r="P120" s="647" t="s">
        <v>71</v>
      </c>
      <c r="Q120" s="648"/>
      <c r="R120" s="648"/>
      <c r="S120" s="648"/>
      <c r="T120" s="648"/>
      <c r="U120" s="648"/>
      <c r="V120" s="649"/>
      <c r="W120" s="37" t="s">
        <v>66</v>
      </c>
      <c r="X120" s="643">
        <f>IFERROR(SUM(X116:X118),"0")</f>
        <v>0</v>
      </c>
      <c r="Y120" s="643">
        <f>IFERROR(SUM(Y116:Y118),"0")</f>
        <v>0</v>
      </c>
      <c r="Z120" s="37"/>
      <c r="AA120" s="644"/>
      <c r="AB120" s="644"/>
      <c r="AC120" s="644"/>
    </row>
    <row r="121" spans="1:68" ht="14.25" hidden="1" customHeight="1" x14ac:dyDescent="0.25">
      <c r="A121" s="650" t="s">
        <v>73</v>
      </c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1"/>
      <c r="P121" s="651"/>
      <c r="Q121" s="651"/>
      <c r="R121" s="651"/>
      <c r="S121" s="651"/>
      <c r="T121" s="651"/>
      <c r="U121" s="651"/>
      <c r="V121" s="651"/>
      <c r="W121" s="651"/>
      <c r="X121" s="651"/>
      <c r="Y121" s="651"/>
      <c r="Z121" s="651"/>
      <c r="AA121" s="637"/>
      <c r="AB121" s="637"/>
      <c r="AC121" s="637"/>
    </row>
    <row r="122" spans="1:68" ht="27" customHeight="1" x14ac:dyDescent="0.25">
      <c r="A122" s="54" t="s">
        <v>225</v>
      </c>
      <c r="B122" s="54" t="s">
        <v>226</v>
      </c>
      <c r="C122" s="31">
        <v>4301052088</v>
      </c>
      <c r="D122" s="659">
        <v>4607091385168</v>
      </c>
      <c r="E122" s="660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73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7"/>
      <c r="R122" s="657"/>
      <c r="S122" s="657"/>
      <c r="T122" s="658"/>
      <c r="U122" s="34"/>
      <c r="V122" s="34"/>
      <c r="W122" s="35" t="s">
        <v>66</v>
      </c>
      <c r="X122" s="641">
        <v>300</v>
      </c>
      <c r="Y122" s="642">
        <f>IFERROR(IF(X122="",0,CEILING((X122/$H122),1)*$H122),"")</f>
        <v>307.8</v>
      </c>
      <c r="Z122" s="36">
        <f>IFERROR(IF(Y122=0,"",ROUNDUP(Y122/H122,0)*0.01898),"")</f>
        <v>0.72123999999999999</v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318.07407407407402</v>
      </c>
      <c r="BN122" s="64">
        <f>IFERROR(Y122*I122/H122,"0")</f>
        <v>326.34399999999999</v>
      </c>
      <c r="BO122" s="64">
        <f>IFERROR(1/J122*(X122/H122),"0")</f>
        <v>0.57870370370370372</v>
      </c>
      <c r="BP122" s="64">
        <f>IFERROR(1/J122*(Y122/H122),"0")</f>
        <v>0.59375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59">
        <v>4607091383256</v>
      </c>
      <c r="E123" s="660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7"/>
      <c r="R123" s="657"/>
      <c r="S123" s="657"/>
      <c r="T123" s="658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230</v>
      </c>
      <c r="B124" s="54" t="s">
        <v>231</v>
      </c>
      <c r="C124" s="31">
        <v>4301052086</v>
      </c>
      <c r="D124" s="659">
        <v>4607091385748</v>
      </c>
      <c r="E124" s="660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7"/>
      <c r="R124" s="657"/>
      <c r="S124" s="657"/>
      <c r="T124" s="658"/>
      <c r="U124" s="34"/>
      <c r="V124" s="34"/>
      <c r="W124" s="35" t="s">
        <v>66</v>
      </c>
      <c r="X124" s="641">
        <v>45</v>
      </c>
      <c r="Y124" s="642">
        <f>IFERROR(IF(X124="",0,CEILING((X124/$H124),1)*$H124),"")</f>
        <v>45.900000000000006</v>
      </c>
      <c r="Z124" s="36">
        <f>IFERROR(IF(Y124=0,"",ROUNDUP(Y124/H124,0)*0.00651),"")</f>
        <v>0.11067</v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49.199999999999996</v>
      </c>
      <c r="BN124" s="64">
        <f>IFERROR(Y124*I124/H124,"0")</f>
        <v>50.183999999999997</v>
      </c>
      <c r="BO124" s="64">
        <f>IFERROR(1/J124*(X124/H124),"0")</f>
        <v>9.1575091575091569E-2</v>
      </c>
      <c r="BP124" s="64">
        <f>IFERROR(1/J124*(Y124/H124),"0")</f>
        <v>9.3406593406593408E-2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59">
        <v>4680115884533</v>
      </c>
      <c r="E125" s="660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4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7"/>
      <c r="R125" s="657"/>
      <c r="S125" s="657"/>
      <c r="T125" s="658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72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73"/>
      <c r="P126" s="647" t="s">
        <v>71</v>
      </c>
      <c r="Q126" s="648"/>
      <c r="R126" s="648"/>
      <c r="S126" s="648"/>
      <c r="T126" s="648"/>
      <c r="U126" s="648"/>
      <c r="V126" s="649"/>
      <c r="W126" s="37" t="s">
        <v>72</v>
      </c>
      <c r="X126" s="643">
        <f>IFERROR(X122/H122,"0")+IFERROR(X123/H123,"0")+IFERROR(X124/H124,"0")+IFERROR(X125/H125,"0")</f>
        <v>53.703703703703702</v>
      </c>
      <c r="Y126" s="643">
        <f>IFERROR(Y122/H122,"0")+IFERROR(Y123/H123,"0")+IFERROR(Y124/H124,"0")+IFERROR(Y125/H125,"0")</f>
        <v>55</v>
      </c>
      <c r="Z126" s="643">
        <f>IFERROR(IF(Z122="",0,Z122),"0")+IFERROR(IF(Z123="",0,Z123),"0")+IFERROR(IF(Z124="",0,Z124),"0")+IFERROR(IF(Z125="",0,Z125),"0")</f>
        <v>0.83191000000000004</v>
      </c>
      <c r="AA126" s="644"/>
      <c r="AB126" s="644"/>
      <c r="AC126" s="644"/>
    </row>
    <row r="127" spans="1:68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73"/>
      <c r="P127" s="647" t="s">
        <v>71</v>
      </c>
      <c r="Q127" s="648"/>
      <c r="R127" s="648"/>
      <c r="S127" s="648"/>
      <c r="T127" s="648"/>
      <c r="U127" s="648"/>
      <c r="V127" s="649"/>
      <c r="W127" s="37" t="s">
        <v>66</v>
      </c>
      <c r="X127" s="643">
        <f>IFERROR(SUM(X122:X125),"0")</f>
        <v>345</v>
      </c>
      <c r="Y127" s="643">
        <f>IFERROR(SUM(Y122:Y125),"0")</f>
        <v>353.70000000000005</v>
      </c>
      <c r="Z127" s="37"/>
      <c r="AA127" s="644"/>
      <c r="AB127" s="644"/>
      <c r="AC127" s="644"/>
    </row>
    <row r="128" spans="1:68" ht="14.25" hidden="1" customHeight="1" x14ac:dyDescent="0.25">
      <c r="A128" s="650" t="s">
        <v>166</v>
      </c>
      <c r="B128" s="651"/>
      <c r="C128" s="651"/>
      <c r="D128" s="651"/>
      <c r="E128" s="651"/>
      <c r="F128" s="651"/>
      <c r="G128" s="651"/>
      <c r="H128" s="651"/>
      <c r="I128" s="651"/>
      <c r="J128" s="651"/>
      <c r="K128" s="651"/>
      <c r="L128" s="651"/>
      <c r="M128" s="651"/>
      <c r="N128" s="651"/>
      <c r="O128" s="651"/>
      <c r="P128" s="651"/>
      <c r="Q128" s="651"/>
      <c r="R128" s="651"/>
      <c r="S128" s="651"/>
      <c r="T128" s="651"/>
      <c r="U128" s="651"/>
      <c r="V128" s="651"/>
      <c r="W128" s="651"/>
      <c r="X128" s="651"/>
      <c r="Y128" s="651"/>
      <c r="Z128" s="651"/>
      <c r="AA128" s="637"/>
      <c r="AB128" s="637"/>
      <c r="AC128" s="637"/>
    </row>
    <row r="129" spans="1:68" ht="16.5" customHeight="1" x14ac:dyDescent="0.25">
      <c r="A129" s="54" t="s">
        <v>235</v>
      </c>
      <c r="B129" s="54" t="s">
        <v>236</v>
      </c>
      <c r="C129" s="31">
        <v>4301060525</v>
      </c>
      <c r="D129" s="659">
        <v>4680115880238</v>
      </c>
      <c r="E129" s="660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7"/>
      <c r="R129" s="657"/>
      <c r="S129" s="657"/>
      <c r="T129" s="658"/>
      <c r="U129" s="34"/>
      <c r="V129" s="34"/>
      <c r="W129" s="35" t="s">
        <v>66</v>
      </c>
      <c r="X129" s="641">
        <v>51</v>
      </c>
      <c r="Y129" s="642">
        <f>IFERROR(IF(X129="",0,CEILING((X129/$H129),1)*$H129),"")</f>
        <v>51.48</v>
      </c>
      <c r="Z129" s="36">
        <f>IFERROR(IF(Y129=0,"",ROUNDUP(Y129/H129,0)*0.00651),"")</f>
        <v>0.16925999999999999</v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57.645454545454548</v>
      </c>
      <c r="BN129" s="64">
        <f>IFERROR(Y129*I129/H129,"0")</f>
        <v>58.187999999999995</v>
      </c>
      <c r="BO129" s="64">
        <f>IFERROR(1/J129*(X129/H129),"0")</f>
        <v>0.14152514152514153</v>
      </c>
      <c r="BP129" s="64">
        <f>IFERROR(1/J129*(Y129/H129),"0")</f>
        <v>0.14285714285714288</v>
      </c>
    </row>
    <row r="130" spans="1:68" x14ac:dyDescent="0.2">
      <c r="A130" s="672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73"/>
      <c r="P130" s="647" t="s">
        <v>71</v>
      </c>
      <c r="Q130" s="648"/>
      <c r="R130" s="648"/>
      <c r="S130" s="648"/>
      <c r="T130" s="648"/>
      <c r="U130" s="648"/>
      <c r="V130" s="649"/>
      <c r="W130" s="37" t="s">
        <v>72</v>
      </c>
      <c r="X130" s="643">
        <f>IFERROR(X129/H129,"0")</f>
        <v>25.757575757575758</v>
      </c>
      <c r="Y130" s="643">
        <f>IFERROR(Y129/H129,"0")</f>
        <v>26</v>
      </c>
      <c r="Z130" s="643">
        <f>IFERROR(IF(Z129="",0,Z129),"0")</f>
        <v>0.16925999999999999</v>
      </c>
      <c r="AA130" s="644"/>
      <c r="AB130" s="644"/>
      <c r="AC130" s="644"/>
    </row>
    <row r="131" spans="1:68" x14ac:dyDescent="0.2">
      <c r="A131" s="651"/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73"/>
      <c r="P131" s="647" t="s">
        <v>71</v>
      </c>
      <c r="Q131" s="648"/>
      <c r="R131" s="648"/>
      <c r="S131" s="648"/>
      <c r="T131" s="648"/>
      <c r="U131" s="648"/>
      <c r="V131" s="649"/>
      <c r="W131" s="37" t="s">
        <v>66</v>
      </c>
      <c r="X131" s="643">
        <f>IFERROR(SUM(X129:X129),"0")</f>
        <v>51</v>
      </c>
      <c r="Y131" s="643">
        <f>IFERROR(SUM(Y129:Y129),"0")</f>
        <v>51.48</v>
      </c>
      <c r="Z131" s="37"/>
      <c r="AA131" s="644"/>
      <c r="AB131" s="644"/>
      <c r="AC131" s="644"/>
    </row>
    <row r="132" spans="1:68" ht="16.5" hidden="1" customHeight="1" x14ac:dyDescent="0.25">
      <c r="A132" s="655" t="s">
        <v>238</v>
      </c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1"/>
      <c r="P132" s="651"/>
      <c r="Q132" s="651"/>
      <c r="R132" s="651"/>
      <c r="S132" s="651"/>
      <c r="T132" s="651"/>
      <c r="U132" s="651"/>
      <c r="V132" s="651"/>
      <c r="W132" s="651"/>
      <c r="X132" s="651"/>
      <c r="Y132" s="651"/>
      <c r="Z132" s="651"/>
      <c r="AA132" s="636"/>
      <c r="AB132" s="636"/>
      <c r="AC132" s="636"/>
    </row>
    <row r="133" spans="1:68" ht="14.25" hidden="1" customHeight="1" x14ac:dyDescent="0.25">
      <c r="A133" s="650" t="s">
        <v>110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59">
        <v>4680115882577</v>
      </c>
      <c r="E134" s="660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7"/>
      <c r="R134" s="657"/>
      <c r="S134" s="657"/>
      <c r="T134" s="658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59">
        <v>4680115882577</v>
      </c>
      <c r="E135" s="660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7"/>
      <c r="R135" s="657"/>
      <c r="S135" s="657"/>
      <c r="T135" s="658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2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73"/>
      <c r="P136" s="647" t="s">
        <v>71</v>
      </c>
      <c r="Q136" s="648"/>
      <c r="R136" s="648"/>
      <c r="S136" s="648"/>
      <c r="T136" s="648"/>
      <c r="U136" s="648"/>
      <c r="V136" s="649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73"/>
      <c r="P137" s="647" t="s">
        <v>71</v>
      </c>
      <c r="Q137" s="648"/>
      <c r="R137" s="648"/>
      <c r="S137" s="648"/>
      <c r="T137" s="648"/>
      <c r="U137" s="648"/>
      <c r="V137" s="649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50" t="s">
        <v>61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7"/>
      <c r="AB138" s="637"/>
      <c r="AC138" s="637"/>
    </row>
    <row r="139" spans="1:68" ht="27" customHeight="1" x14ac:dyDescent="0.25">
      <c r="A139" s="54" t="s">
        <v>244</v>
      </c>
      <c r="B139" s="54" t="s">
        <v>245</v>
      </c>
      <c r="C139" s="31">
        <v>4301031234</v>
      </c>
      <c r="D139" s="659">
        <v>4680115883444</v>
      </c>
      <c r="E139" s="660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2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4"/>
      <c r="V139" s="34"/>
      <c r="W139" s="35" t="s">
        <v>66</v>
      </c>
      <c r="X139" s="641">
        <v>3</v>
      </c>
      <c r="Y139" s="642">
        <f>IFERROR(IF(X139="",0,CEILING((X139/$H139),1)*$H139),"")</f>
        <v>5.6</v>
      </c>
      <c r="Z139" s="36">
        <f>IFERROR(IF(Y139=0,"",ROUNDUP(Y139/H139,0)*0.00651),"")</f>
        <v>1.302E-2</v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3.2871428571428574</v>
      </c>
      <c r="BN139" s="64">
        <f>IFERROR(Y139*I139/H139,"0")</f>
        <v>6.1359999999999992</v>
      </c>
      <c r="BO139" s="64">
        <f>IFERROR(1/J139*(X139/H139),"0")</f>
        <v>5.8869701726844588E-3</v>
      </c>
      <c r="BP139" s="64">
        <f>IFERROR(1/J139*(Y139/H139),"0")</f>
        <v>1.098901098901099E-2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59">
        <v>4680115883444</v>
      </c>
      <c r="E140" s="660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7"/>
      <c r="R140" s="657"/>
      <c r="S140" s="657"/>
      <c r="T140" s="658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72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73"/>
      <c r="P141" s="647" t="s">
        <v>71</v>
      </c>
      <c r="Q141" s="648"/>
      <c r="R141" s="648"/>
      <c r="S141" s="648"/>
      <c r="T141" s="648"/>
      <c r="U141" s="648"/>
      <c r="V141" s="649"/>
      <c r="W141" s="37" t="s">
        <v>72</v>
      </c>
      <c r="X141" s="643">
        <f>IFERROR(X139/H139,"0")+IFERROR(X140/H140,"0")</f>
        <v>1.0714285714285714</v>
      </c>
      <c r="Y141" s="643">
        <f>IFERROR(Y139/H139,"0")+IFERROR(Y140/H140,"0")</f>
        <v>2</v>
      </c>
      <c r="Z141" s="643">
        <f>IFERROR(IF(Z139="",0,Z139),"0")+IFERROR(IF(Z140="",0,Z140),"0")</f>
        <v>1.302E-2</v>
      </c>
      <c r="AA141" s="644"/>
      <c r="AB141" s="644"/>
      <c r="AC141" s="644"/>
    </row>
    <row r="142" spans="1:68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73"/>
      <c r="P142" s="647" t="s">
        <v>71</v>
      </c>
      <c r="Q142" s="648"/>
      <c r="R142" s="648"/>
      <c r="S142" s="648"/>
      <c r="T142" s="648"/>
      <c r="U142" s="648"/>
      <c r="V142" s="649"/>
      <c r="W142" s="37" t="s">
        <v>66</v>
      </c>
      <c r="X142" s="643">
        <f>IFERROR(SUM(X139:X140),"0")</f>
        <v>3</v>
      </c>
      <c r="Y142" s="643">
        <f>IFERROR(SUM(Y139:Y140),"0")</f>
        <v>5.6</v>
      </c>
      <c r="Z142" s="37"/>
      <c r="AA142" s="644"/>
      <c r="AB142" s="644"/>
      <c r="AC142" s="644"/>
    </row>
    <row r="143" spans="1:68" ht="14.25" hidden="1" customHeight="1" x14ac:dyDescent="0.25">
      <c r="A143" s="650" t="s">
        <v>73</v>
      </c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1"/>
      <c r="P143" s="651"/>
      <c r="Q143" s="651"/>
      <c r="R143" s="651"/>
      <c r="S143" s="651"/>
      <c r="T143" s="651"/>
      <c r="U143" s="651"/>
      <c r="V143" s="651"/>
      <c r="W143" s="651"/>
      <c r="X143" s="651"/>
      <c r="Y143" s="651"/>
      <c r="Z143" s="651"/>
      <c r="AA143" s="637"/>
      <c r="AB143" s="637"/>
      <c r="AC143" s="637"/>
    </row>
    <row r="144" spans="1:68" ht="16.5" hidden="1" customHeight="1" x14ac:dyDescent="0.25">
      <c r="A144" s="54" t="s">
        <v>248</v>
      </c>
      <c r="B144" s="54" t="s">
        <v>249</v>
      </c>
      <c r="C144" s="31">
        <v>4301051476</v>
      </c>
      <c r="D144" s="659">
        <v>4680115882584</v>
      </c>
      <c r="E144" s="660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7"/>
      <c r="R144" s="657"/>
      <c r="S144" s="657"/>
      <c r="T144" s="658"/>
      <c r="U144" s="34"/>
      <c r="V144" s="34"/>
      <c r="W144" s="35" t="s">
        <v>66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59">
        <v>4680115882584</v>
      </c>
      <c r="E145" s="660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2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7"/>
      <c r="R145" s="657"/>
      <c r="S145" s="657"/>
      <c r="T145" s="658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72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73"/>
      <c r="P146" s="647" t="s">
        <v>71</v>
      </c>
      <c r="Q146" s="648"/>
      <c r="R146" s="648"/>
      <c r="S146" s="648"/>
      <c r="T146" s="648"/>
      <c r="U146" s="648"/>
      <c r="V146" s="649"/>
      <c r="W146" s="37" t="s">
        <v>72</v>
      </c>
      <c r="X146" s="643">
        <f>IFERROR(X144/H144,"0")+IFERROR(X145/H145,"0")</f>
        <v>0</v>
      </c>
      <c r="Y146" s="643">
        <f>IFERROR(Y144/H144,"0")+IFERROR(Y145/H145,"0")</f>
        <v>0</v>
      </c>
      <c r="Z146" s="643">
        <f>IFERROR(IF(Z144="",0,Z144),"0")+IFERROR(IF(Z145="",0,Z145),"0")</f>
        <v>0</v>
      </c>
      <c r="AA146" s="644"/>
      <c r="AB146" s="644"/>
      <c r="AC146" s="644"/>
    </row>
    <row r="147" spans="1:68" hidden="1" x14ac:dyDescent="0.2">
      <c r="A147" s="651"/>
      <c r="B147" s="651"/>
      <c r="C147" s="651"/>
      <c r="D147" s="651"/>
      <c r="E147" s="651"/>
      <c r="F147" s="651"/>
      <c r="G147" s="651"/>
      <c r="H147" s="651"/>
      <c r="I147" s="651"/>
      <c r="J147" s="651"/>
      <c r="K147" s="651"/>
      <c r="L147" s="651"/>
      <c r="M147" s="651"/>
      <c r="N147" s="651"/>
      <c r="O147" s="673"/>
      <c r="P147" s="647" t="s">
        <v>71</v>
      </c>
      <c r="Q147" s="648"/>
      <c r="R147" s="648"/>
      <c r="S147" s="648"/>
      <c r="T147" s="648"/>
      <c r="U147" s="648"/>
      <c r="V147" s="649"/>
      <c r="W147" s="37" t="s">
        <v>66</v>
      </c>
      <c r="X147" s="643">
        <f>IFERROR(SUM(X144:X145),"0")</f>
        <v>0</v>
      </c>
      <c r="Y147" s="643">
        <f>IFERROR(SUM(Y144:Y145),"0")</f>
        <v>0</v>
      </c>
      <c r="Z147" s="37"/>
      <c r="AA147" s="644"/>
      <c r="AB147" s="644"/>
      <c r="AC147" s="644"/>
    </row>
    <row r="148" spans="1:68" ht="16.5" hidden="1" customHeight="1" x14ac:dyDescent="0.25">
      <c r="A148" s="655" t="s">
        <v>251</v>
      </c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1"/>
      <c r="P148" s="651"/>
      <c r="Q148" s="651"/>
      <c r="R148" s="651"/>
      <c r="S148" s="651"/>
      <c r="T148" s="651"/>
      <c r="U148" s="651"/>
      <c r="V148" s="651"/>
      <c r="W148" s="651"/>
      <c r="X148" s="651"/>
      <c r="Y148" s="651"/>
      <c r="Z148" s="651"/>
      <c r="AA148" s="636"/>
      <c r="AB148" s="636"/>
      <c r="AC148" s="636"/>
    </row>
    <row r="149" spans="1:68" ht="14.25" hidden="1" customHeight="1" x14ac:dyDescent="0.25">
      <c r="A149" s="650" t="s">
        <v>73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59">
        <v>4680115888203</v>
      </c>
      <c r="E150" s="660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7"/>
      <c r="R150" s="657"/>
      <c r="S150" s="657"/>
      <c r="T150" s="658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59">
        <v>4680115888180</v>
      </c>
      <c r="E151" s="660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59">
        <v>4680115888180</v>
      </c>
      <c r="E152" s="660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7"/>
      <c r="R152" s="657"/>
      <c r="S152" s="657"/>
      <c r="T152" s="658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59">
        <v>4680115888197</v>
      </c>
      <c r="E153" s="660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59">
        <v>4680115888210</v>
      </c>
      <c r="E154" s="660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59">
        <v>4680115888210</v>
      </c>
      <c r="E155" s="660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2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73"/>
      <c r="P156" s="647" t="s">
        <v>71</v>
      </c>
      <c r="Q156" s="648"/>
      <c r="R156" s="648"/>
      <c r="S156" s="648"/>
      <c r="T156" s="648"/>
      <c r="U156" s="648"/>
      <c r="V156" s="649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73"/>
      <c r="P157" s="647" t="s">
        <v>71</v>
      </c>
      <c r="Q157" s="648"/>
      <c r="R157" s="648"/>
      <c r="S157" s="648"/>
      <c r="T157" s="648"/>
      <c r="U157" s="648"/>
      <c r="V157" s="649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50" t="s">
        <v>266</v>
      </c>
      <c r="B158" s="651"/>
      <c r="C158" s="651"/>
      <c r="D158" s="651"/>
      <c r="E158" s="651"/>
      <c r="F158" s="651"/>
      <c r="G158" s="651"/>
      <c r="H158" s="651"/>
      <c r="I158" s="651"/>
      <c r="J158" s="651"/>
      <c r="K158" s="651"/>
      <c r="L158" s="651"/>
      <c r="M158" s="651"/>
      <c r="N158" s="651"/>
      <c r="O158" s="651"/>
      <c r="P158" s="651"/>
      <c r="Q158" s="651"/>
      <c r="R158" s="651"/>
      <c r="S158" s="651"/>
      <c r="T158" s="651"/>
      <c r="U158" s="651"/>
      <c r="V158" s="651"/>
      <c r="W158" s="651"/>
      <c r="X158" s="651"/>
      <c r="Y158" s="651"/>
      <c r="Z158" s="651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59">
        <v>4680115889132</v>
      </c>
      <c r="E159" s="660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2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73"/>
      <c r="P160" s="647" t="s">
        <v>71</v>
      </c>
      <c r="Q160" s="648"/>
      <c r="R160" s="648"/>
      <c r="S160" s="648"/>
      <c r="T160" s="648"/>
      <c r="U160" s="648"/>
      <c r="V160" s="649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73"/>
      <c r="P161" s="647" t="s">
        <v>71</v>
      </c>
      <c r="Q161" s="648"/>
      <c r="R161" s="648"/>
      <c r="S161" s="648"/>
      <c r="T161" s="648"/>
      <c r="U161" s="648"/>
      <c r="V161" s="649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55" t="s">
        <v>108</v>
      </c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1"/>
      <c r="P162" s="651"/>
      <c r="Q162" s="651"/>
      <c r="R162" s="651"/>
      <c r="S162" s="651"/>
      <c r="T162" s="651"/>
      <c r="U162" s="651"/>
      <c r="V162" s="651"/>
      <c r="W162" s="651"/>
      <c r="X162" s="651"/>
      <c r="Y162" s="651"/>
      <c r="Z162" s="651"/>
      <c r="AA162" s="636"/>
      <c r="AB162" s="636"/>
      <c r="AC162" s="636"/>
    </row>
    <row r="163" spans="1:68" ht="14.25" hidden="1" customHeight="1" x14ac:dyDescent="0.25">
      <c r="A163" s="650" t="s">
        <v>110</v>
      </c>
      <c r="B163" s="651"/>
      <c r="C163" s="651"/>
      <c r="D163" s="651"/>
      <c r="E163" s="651"/>
      <c r="F163" s="651"/>
      <c r="G163" s="651"/>
      <c r="H163" s="651"/>
      <c r="I163" s="651"/>
      <c r="J163" s="651"/>
      <c r="K163" s="651"/>
      <c r="L163" s="651"/>
      <c r="M163" s="651"/>
      <c r="N163" s="651"/>
      <c r="O163" s="651"/>
      <c r="P163" s="651"/>
      <c r="Q163" s="651"/>
      <c r="R163" s="651"/>
      <c r="S163" s="651"/>
      <c r="T163" s="651"/>
      <c r="U163" s="651"/>
      <c r="V163" s="651"/>
      <c r="W163" s="651"/>
      <c r="X163" s="651"/>
      <c r="Y163" s="651"/>
      <c r="Z163" s="651"/>
      <c r="AA163" s="637"/>
      <c r="AB163" s="637"/>
      <c r="AC163" s="637"/>
    </row>
    <row r="164" spans="1:68" ht="27" hidden="1" customHeight="1" x14ac:dyDescent="0.25">
      <c r="A164" s="54" t="s">
        <v>273</v>
      </c>
      <c r="B164" s="54" t="s">
        <v>274</v>
      </c>
      <c r="C164" s="31">
        <v>4301012338</v>
      </c>
      <c r="D164" s="659">
        <v>4680115887374</v>
      </c>
      <c r="E164" s="660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4"/>
      <c r="V164" s="34"/>
      <c r="W164" s="35" t="s">
        <v>66</v>
      </c>
      <c r="X164" s="641">
        <v>0</v>
      </c>
      <c r="Y164" s="642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59">
        <v>4607091384604</v>
      </c>
      <c r="E165" s="660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59">
        <v>4607091384604</v>
      </c>
      <c r="E166" s="660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3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7"/>
      <c r="R166" s="657"/>
      <c r="S166" s="657"/>
      <c r="T166" s="658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59">
        <v>4680115888876</v>
      </c>
      <c r="E167" s="660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7"/>
      <c r="R167" s="657"/>
      <c r="S167" s="657"/>
      <c r="T167" s="658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72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73"/>
      <c r="P168" s="647" t="s">
        <v>71</v>
      </c>
      <c r="Q168" s="648"/>
      <c r="R168" s="648"/>
      <c r="S168" s="648"/>
      <c r="T168" s="648"/>
      <c r="U168" s="648"/>
      <c r="V168" s="649"/>
      <c r="W168" s="37" t="s">
        <v>72</v>
      </c>
      <c r="X168" s="643">
        <f>IFERROR(X164/H164,"0")+IFERROR(X165/H165,"0")+IFERROR(X166/H166,"0")+IFERROR(X167/H167,"0")</f>
        <v>0</v>
      </c>
      <c r="Y168" s="643">
        <f>IFERROR(Y164/H164,"0")+IFERROR(Y165/H165,"0")+IFERROR(Y166/H166,"0")+IFERROR(Y167/H167,"0")</f>
        <v>0</v>
      </c>
      <c r="Z168" s="643">
        <f>IFERROR(IF(Z164="",0,Z164),"0")+IFERROR(IF(Z165="",0,Z165),"0")+IFERROR(IF(Z166="",0,Z166),"0")+IFERROR(IF(Z167="",0,Z167),"0")</f>
        <v>0</v>
      </c>
      <c r="AA168" s="644"/>
      <c r="AB168" s="644"/>
      <c r="AC168" s="644"/>
    </row>
    <row r="169" spans="1:68" hidden="1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73"/>
      <c r="P169" s="647" t="s">
        <v>71</v>
      </c>
      <c r="Q169" s="648"/>
      <c r="R169" s="648"/>
      <c r="S169" s="648"/>
      <c r="T169" s="648"/>
      <c r="U169" s="648"/>
      <c r="V169" s="649"/>
      <c r="W169" s="37" t="s">
        <v>66</v>
      </c>
      <c r="X169" s="643">
        <f>IFERROR(SUM(X164:X167),"0")</f>
        <v>0</v>
      </c>
      <c r="Y169" s="643">
        <f>IFERROR(SUM(Y164:Y167),"0")</f>
        <v>0</v>
      </c>
      <c r="Z169" s="37"/>
      <c r="AA169" s="644"/>
      <c r="AB169" s="644"/>
      <c r="AC169" s="644"/>
    </row>
    <row r="170" spans="1:68" ht="14.25" hidden="1" customHeight="1" x14ac:dyDescent="0.25">
      <c r="A170" s="650" t="s">
        <v>147</v>
      </c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1"/>
      <c r="P170" s="651"/>
      <c r="Q170" s="651"/>
      <c r="R170" s="651"/>
      <c r="S170" s="651"/>
      <c r="T170" s="651"/>
      <c r="U170" s="651"/>
      <c r="V170" s="651"/>
      <c r="W170" s="651"/>
      <c r="X170" s="651"/>
      <c r="Y170" s="651"/>
      <c r="Z170" s="651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59">
        <v>4680115887695</v>
      </c>
      <c r="E171" s="660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7"/>
      <c r="R171" s="657"/>
      <c r="S171" s="657"/>
      <c r="T171" s="658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59">
        <v>4680115889491</v>
      </c>
      <c r="E172" s="660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7"/>
      <c r="R172" s="657"/>
      <c r="S172" s="657"/>
      <c r="T172" s="658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2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73"/>
      <c r="P173" s="647" t="s">
        <v>71</v>
      </c>
      <c r="Q173" s="648"/>
      <c r="R173" s="648"/>
      <c r="S173" s="648"/>
      <c r="T173" s="648"/>
      <c r="U173" s="648"/>
      <c r="V173" s="649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51"/>
      <c r="B174" s="651"/>
      <c r="C174" s="651"/>
      <c r="D174" s="651"/>
      <c r="E174" s="651"/>
      <c r="F174" s="651"/>
      <c r="G174" s="651"/>
      <c r="H174" s="651"/>
      <c r="I174" s="651"/>
      <c r="J174" s="651"/>
      <c r="K174" s="651"/>
      <c r="L174" s="651"/>
      <c r="M174" s="651"/>
      <c r="N174" s="651"/>
      <c r="O174" s="673"/>
      <c r="P174" s="647" t="s">
        <v>71</v>
      </c>
      <c r="Q174" s="648"/>
      <c r="R174" s="648"/>
      <c r="S174" s="648"/>
      <c r="T174" s="648"/>
      <c r="U174" s="648"/>
      <c r="V174" s="649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50" t="s">
        <v>61</v>
      </c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1"/>
      <c r="P175" s="651"/>
      <c r="Q175" s="651"/>
      <c r="R175" s="651"/>
      <c r="S175" s="651"/>
      <c r="T175" s="651"/>
      <c r="U175" s="651"/>
      <c r="V175" s="651"/>
      <c r="W175" s="651"/>
      <c r="X175" s="651"/>
      <c r="Y175" s="651"/>
      <c r="Z175" s="651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59">
        <v>4680115887428</v>
      </c>
      <c r="E176" s="660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7"/>
      <c r="R176" s="657"/>
      <c r="S176" s="657"/>
      <c r="T176" s="658"/>
      <c r="U176" s="34"/>
      <c r="V176" s="34"/>
      <c r="W176" s="35" t="s">
        <v>66</v>
      </c>
      <c r="X176" s="641">
        <v>20</v>
      </c>
      <c r="Y176" s="642">
        <f t="shared" ref="Y176:Y186" si="21">IFERROR(IF(X176="",0,CEILING((X176/$H176),1)*$H176),"")</f>
        <v>21</v>
      </c>
      <c r="Z176" s="36">
        <f>IFERROR(IF(Y176=0,"",ROUNDUP(Y176/H176,0)*0.00902),"")</f>
        <v>5.4120000000000001E-2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21.085714285714285</v>
      </c>
      <c r="BN176" s="64">
        <f t="shared" ref="BN176:BN186" si="23">IFERROR(Y176*I176/H176,"0")</f>
        <v>22.139999999999997</v>
      </c>
      <c r="BO176" s="64">
        <f t="shared" ref="BO176:BO186" si="24">IFERROR(1/J176*(X176/H176),"0")</f>
        <v>4.3290043290043295E-2</v>
      </c>
      <c r="BP176" s="64">
        <f t="shared" ref="BP176:BP186" si="25">IFERROR(1/J176*(Y176/H176),"0")</f>
        <v>4.5454545454545456E-2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59">
        <v>4680115889170</v>
      </c>
      <c r="E177" s="660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0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7"/>
      <c r="R177" s="657"/>
      <c r="S177" s="657"/>
      <c r="T177" s="658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59">
        <v>4680115887398</v>
      </c>
      <c r="E178" s="660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7"/>
      <c r="R178" s="657"/>
      <c r="S178" s="657"/>
      <c r="T178" s="658"/>
      <c r="U178" s="34"/>
      <c r="V178" s="34"/>
      <c r="W178" s="35" t="s">
        <v>66</v>
      </c>
      <c r="X178" s="641">
        <v>50</v>
      </c>
      <c r="Y178" s="642">
        <f t="shared" si="21"/>
        <v>52.5</v>
      </c>
      <c r="Z178" s="36">
        <f>IFERROR(IF(Y178=0,"",ROUNDUP(Y178/H178,0)*0.00902),"")</f>
        <v>0.1353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52.714285714285715</v>
      </c>
      <c r="BN178" s="64">
        <f t="shared" si="23"/>
        <v>55.35</v>
      </c>
      <c r="BO178" s="64">
        <f t="shared" si="24"/>
        <v>0.10822510822510824</v>
      </c>
      <c r="BP178" s="64">
        <f t="shared" si="25"/>
        <v>0.11363636363636365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59">
        <v>4680115887336</v>
      </c>
      <c r="E179" s="660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7"/>
      <c r="R179" s="657"/>
      <c r="S179" s="657"/>
      <c r="T179" s="658"/>
      <c r="U179" s="34"/>
      <c r="V179" s="34"/>
      <c r="W179" s="35" t="s">
        <v>66</v>
      </c>
      <c r="X179" s="641">
        <v>50</v>
      </c>
      <c r="Y179" s="642">
        <f t="shared" si="21"/>
        <v>52.5</v>
      </c>
      <c r="Z179" s="36">
        <f>IFERROR(IF(Y179=0,"",ROUNDUP(Y179/H179,0)*0.00902),"")</f>
        <v>0.1353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52.714285714285715</v>
      </c>
      <c r="BN179" s="64">
        <f t="shared" si="23"/>
        <v>55.35</v>
      </c>
      <c r="BO179" s="64">
        <f t="shared" si="24"/>
        <v>0.10822510822510824</v>
      </c>
      <c r="BP179" s="64">
        <f t="shared" si="25"/>
        <v>0.11363636363636365</v>
      </c>
    </row>
    <row r="180" spans="1:68" ht="16.5" hidden="1" customHeight="1" x14ac:dyDescent="0.25">
      <c r="A180" s="54" t="s">
        <v>301</v>
      </c>
      <c r="B180" s="54" t="s">
        <v>302</v>
      </c>
      <c r="C180" s="31">
        <v>4301032049</v>
      </c>
      <c r="D180" s="659">
        <v>4680115887787</v>
      </c>
      <c r="E180" s="660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4"/>
      <c r="V180" s="34"/>
      <c r="W180" s="35" t="s">
        <v>66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59">
        <v>4680115887787</v>
      </c>
      <c r="E181" s="660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4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7"/>
      <c r="R181" s="657"/>
      <c r="S181" s="657"/>
      <c r="T181" s="658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305</v>
      </c>
      <c r="B182" s="54" t="s">
        <v>306</v>
      </c>
      <c r="C182" s="31">
        <v>4301031448</v>
      </c>
      <c r="D182" s="659">
        <v>4680115887503</v>
      </c>
      <c r="E182" s="660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7"/>
      <c r="R182" s="657"/>
      <c r="S182" s="657"/>
      <c r="T182" s="658"/>
      <c r="U182" s="34"/>
      <c r="V182" s="34"/>
      <c r="W182" s="35" t="s">
        <v>66</v>
      </c>
      <c r="X182" s="641">
        <v>0</v>
      </c>
      <c r="Y182" s="642">
        <f t="shared" si="21"/>
        <v>0</v>
      </c>
      <c r="Z182" s="36" t="str">
        <f>IFERROR(IF(Y182=0,"",ROUNDUP(Y182/H182,0)*0.00502),"")</f>
        <v/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307</v>
      </c>
      <c r="B183" s="54" t="s">
        <v>308</v>
      </c>
      <c r="C183" s="31">
        <v>4301031389</v>
      </c>
      <c r="D183" s="659">
        <v>4680115887763</v>
      </c>
      <c r="E183" s="660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7"/>
      <c r="R183" s="657"/>
      <c r="S183" s="657"/>
      <c r="T183" s="658"/>
      <c r="U183" s="34"/>
      <c r="V183" s="34"/>
      <c r="W183" s="35" t="s">
        <v>66</v>
      </c>
      <c r="X183" s="641">
        <v>0</v>
      </c>
      <c r="Y183" s="642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310</v>
      </c>
      <c r="B184" s="54" t="s">
        <v>311</v>
      </c>
      <c r="C184" s="31">
        <v>4301031521</v>
      </c>
      <c r="D184" s="659">
        <v>4680115887480</v>
      </c>
      <c r="E184" s="660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7"/>
      <c r="R184" s="657"/>
      <c r="S184" s="657"/>
      <c r="T184" s="658"/>
      <c r="U184" s="34"/>
      <c r="V184" s="34"/>
      <c r="W184" s="35" t="s">
        <v>66</v>
      </c>
      <c r="X184" s="641">
        <v>98</v>
      </c>
      <c r="Y184" s="642">
        <f t="shared" si="21"/>
        <v>99.11999999999999</v>
      </c>
      <c r="Z184" s="36">
        <f>IFERROR(IF(Y184=0,"",ROUNDUP(Y184/H184,0)*0.00502),"")</f>
        <v>0.29618</v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103.83333333333334</v>
      </c>
      <c r="BN184" s="64">
        <f t="shared" si="23"/>
        <v>105.02</v>
      </c>
      <c r="BO184" s="64">
        <f t="shared" si="24"/>
        <v>0.24928774928774933</v>
      </c>
      <c r="BP184" s="64">
        <f t="shared" si="25"/>
        <v>0.25213675213675213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59">
        <v>4680115888067</v>
      </c>
      <c r="E185" s="660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7"/>
      <c r="R185" s="657"/>
      <c r="S185" s="657"/>
      <c r="T185" s="658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315</v>
      </c>
      <c r="B186" s="54" t="s">
        <v>316</v>
      </c>
      <c r="C186" s="31">
        <v>4301031519</v>
      </c>
      <c r="D186" s="659">
        <v>4680115887435</v>
      </c>
      <c r="E186" s="660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7"/>
      <c r="R186" s="657"/>
      <c r="S186" s="657"/>
      <c r="T186" s="658"/>
      <c r="U186" s="34"/>
      <c r="V186" s="34"/>
      <c r="W186" s="35" t="s">
        <v>66</v>
      </c>
      <c r="X186" s="641">
        <v>6</v>
      </c>
      <c r="Y186" s="642">
        <f t="shared" si="21"/>
        <v>6.72</v>
      </c>
      <c r="Z186" s="36">
        <f>IFERROR(IF(Y186=0,"",ROUNDUP(Y186/H186,0)*0.00502),"")</f>
        <v>2.0080000000000001E-2</v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6.3571428571428577</v>
      </c>
      <c r="BN186" s="64">
        <f t="shared" si="23"/>
        <v>7.1199999999999992</v>
      </c>
      <c r="BO186" s="64">
        <f t="shared" si="24"/>
        <v>1.5262515262515266E-2</v>
      </c>
      <c r="BP186" s="64">
        <f t="shared" si="25"/>
        <v>1.7094017094017096E-2</v>
      </c>
    </row>
    <row r="187" spans="1:68" x14ac:dyDescent="0.2">
      <c r="A187" s="672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73"/>
      <c r="P187" s="647" t="s">
        <v>71</v>
      </c>
      <c r="Q187" s="648"/>
      <c r="R187" s="648"/>
      <c r="S187" s="648"/>
      <c r="T187" s="648"/>
      <c r="U187" s="648"/>
      <c r="V187" s="649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96.19047619047619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99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0.64097999999999999</v>
      </c>
      <c r="AA187" s="644"/>
      <c r="AB187" s="644"/>
      <c r="AC187" s="644"/>
    </row>
    <row r="188" spans="1:68" x14ac:dyDescent="0.2">
      <c r="A188" s="651"/>
      <c r="B188" s="651"/>
      <c r="C188" s="651"/>
      <c r="D188" s="651"/>
      <c r="E188" s="651"/>
      <c r="F188" s="651"/>
      <c r="G188" s="651"/>
      <c r="H188" s="651"/>
      <c r="I188" s="651"/>
      <c r="J188" s="651"/>
      <c r="K188" s="651"/>
      <c r="L188" s="651"/>
      <c r="M188" s="651"/>
      <c r="N188" s="651"/>
      <c r="O188" s="673"/>
      <c r="P188" s="647" t="s">
        <v>71</v>
      </c>
      <c r="Q188" s="648"/>
      <c r="R188" s="648"/>
      <c r="S188" s="648"/>
      <c r="T188" s="648"/>
      <c r="U188" s="648"/>
      <c r="V188" s="649"/>
      <c r="W188" s="37" t="s">
        <v>66</v>
      </c>
      <c r="X188" s="643">
        <f>IFERROR(SUM(X176:X186),"0")</f>
        <v>224</v>
      </c>
      <c r="Y188" s="643">
        <f>IFERROR(SUM(Y176:Y186),"0")</f>
        <v>231.84</v>
      </c>
      <c r="Z188" s="37"/>
      <c r="AA188" s="644"/>
      <c r="AB188" s="644"/>
      <c r="AC188" s="644"/>
    </row>
    <row r="189" spans="1:68" ht="14.25" hidden="1" customHeight="1" x14ac:dyDescent="0.25">
      <c r="A189" s="650" t="s">
        <v>73</v>
      </c>
      <c r="B189" s="651"/>
      <c r="C189" s="651"/>
      <c r="D189" s="651"/>
      <c r="E189" s="651"/>
      <c r="F189" s="651"/>
      <c r="G189" s="651"/>
      <c r="H189" s="651"/>
      <c r="I189" s="651"/>
      <c r="J189" s="651"/>
      <c r="K189" s="651"/>
      <c r="L189" s="651"/>
      <c r="M189" s="651"/>
      <c r="N189" s="651"/>
      <c r="O189" s="651"/>
      <c r="P189" s="651"/>
      <c r="Q189" s="651"/>
      <c r="R189" s="651"/>
      <c r="S189" s="651"/>
      <c r="T189" s="651"/>
      <c r="U189" s="651"/>
      <c r="V189" s="651"/>
      <c r="W189" s="651"/>
      <c r="X189" s="651"/>
      <c r="Y189" s="651"/>
      <c r="Z189" s="651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59">
        <v>4680115888395</v>
      </c>
      <c r="E190" s="660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7"/>
      <c r="R190" s="657"/>
      <c r="S190" s="657"/>
      <c r="T190" s="658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59">
        <v>4680115888371</v>
      </c>
      <c r="E191" s="660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4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7"/>
      <c r="R191" s="657"/>
      <c r="S191" s="657"/>
      <c r="T191" s="658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4301052064</v>
      </c>
      <c r="D192" s="659">
        <v>4680115887459</v>
      </c>
      <c r="E192" s="660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7"/>
      <c r="R192" s="657"/>
      <c r="S192" s="657"/>
      <c r="T192" s="658"/>
      <c r="U192" s="34"/>
      <c r="V192" s="34"/>
      <c r="W192" s="35" t="s">
        <v>66</v>
      </c>
      <c r="X192" s="641">
        <v>4</v>
      </c>
      <c r="Y192" s="642">
        <f>IFERROR(IF(X192="",0,CEILING((X192/$H192),1)*$H192),"")</f>
        <v>5.4</v>
      </c>
      <c r="Z192" s="36">
        <f>IFERROR(IF(Y192=0,"",ROUNDUP(Y192/H192,0)*0.00651),"")</f>
        <v>1.9529999999999999E-2</v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4.5733333333333333</v>
      </c>
      <c r="BN192" s="64">
        <f>IFERROR(Y192*I192/H192,"0")</f>
        <v>6.1739999999999995</v>
      </c>
      <c r="BO192" s="64">
        <f>IFERROR(1/J192*(X192/H192),"0")</f>
        <v>1.2210012210012212E-2</v>
      </c>
      <c r="BP192" s="64">
        <f>IFERROR(1/J192*(Y192/H192),"0")</f>
        <v>1.6483516483516484E-2</v>
      </c>
    </row>
    <row r="193" spans="1:68" x14ac:dyDescent="0.2">
      <c r="A193" s="672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73"/>
      <c r="P193" s="647" t="s">
        <v>71</v>
      </c>
      <c r="Q193" s="648"/>
      <c r="R193" s="648"/>
      <c r="S193" s="648"/>
      <c r="T193" s="648"/>
      <c r="U193" s="648"/>
      <c r="V193" s="649"/>
      <c r="W193" s="37" t="s">
        <v>72</v>
      </c>
      <c r="X193" s="643">
        <f>IFERROR(X190/H190,"0")+IFERROR(X191/H191,"0")+IFERROR(X192/H192,"0")</f>
        <v>2.2222222222222223</v>
      </c>
      <c r="Y193" s="643">
        <f>IFERROR(Y190/H190,"0")+IFERROR(Y191/H191,"0")+IFERROR(Y192/H192,"0")</f>
        <v>3</v>
      </c>
      <c r="Z193" s="643">
        <f>IFERROR(IF(Z190="",0,Z190),"0")+IFERROR(IF(Z191="",0,Z191),"0")+IFERROR(IF(Z192="",0,Z192),"0")</f>
        <v>1.9529999999999999E-2</v>
      </c>
      <c r="AA193" s="644"/>
      <c r="AB193" s="644"/>
      <c r="AC193" s="644"/>
    </row>
    <row r="194" spans="1:68" x14ac:dyDescent="0.2">
      <c r="A194" s="651"/>
      <c r="B194" s="651"/>
      <c r="C194" s="651"/>
      <c r="D194" s="651"/>
      <c r="E194" s="651"/>
      <c r="F194" s="651"/>
      <c r="G194" s="651"/>
      <c r="H194" s="651"/>
      <c r="I194" s="651"/>
      <c r="J194" s="651"/>
      <c r="K194" s="651"/>
      <c r="L194" s="651"/>
      <c r="M194" s="651"/>
      <c r="N194" s="651"/>
      <c r="O194" s="673"/>
      <c r="P194" s="647" t="s">
        <v>71</v>
      </c>
      <c r="Q194" s="648"/>
      <c r="R194" s="648"/>
      <c r="S194" s="648"/>
      <c r="T194" s="648"/>
      <c r="U194" s="648"/>
      <c r="V194" s="649"/>
      <c r="W194" s="37" t="s">
        <v>66</v>
      </c>
      <c r="X194" s="643">
        <f>IFERROR(SUM(X190:X192),"0")</f>
        <v>4</v>
      </c>
      <c r="Y194" s="643">
        <f>IFERROR(SUM(Y190:Y192),"0")</f>
        <v>5.4</v>
      </c>
      <c r="Z194" s="37"/>
      <c r="AA194" s="644"/>
      <c r="AB194" s="644"/>
      <c r="AC194" s="644"/>
    </row>
    <row r="195" spans="1:68" ht="14.25" hidden="1" customHeight="1" x14ac:dyDescent="0.25">
      <c r="A195" s="650" t="s">
        <v>266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59">
        <v>4680115889026</v>
      </c>
      <c r="E196" s="660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7"/>
      <c r="R196" s="657"/>
      <c r="S196" s="657"/>
      <c r="T196" s="658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2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73"/>
      <c r="P197" s="647" t="s">
        <v>71</v>
      </c>
      <c r="Q197" s="648"/>
      <c r="R197" s="648"/>
      <c r="S197" s="648"/>
      <c r="T197" s="648"/>
      <c r="U197" s="648"/>
      <c r="V197" s="649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73"/>
      <c r="P198" s="647" t="s">
        <v>71</v>
      </c>
      <c r="Q198" s="648"/>
      <c r="R198" s="648"/>
      <c r="S198" s="648"/>
      <c r="T198" s="648"/>
      <c r="U198" s="648"/>
      <c r="V198" s="649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50" t="s">
        <v>330</v>
      </c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1"/>
      <c r="P199" s="651"/>
      <c r="Q199" s="651"/>
      <c r="R199" s="651"/>
      <c r="S199" s="651"/>
      <c r="T199" s="651"/>
      <c r="U199" s="651"/>
      <c r="V199" s="651"/>
      <c r="W199" s="651"/>
      <c r="X199" s="651"/>
      <c r="Y199" s="651"/>
      <c r="Z199" s="651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59">
        <v>4680115889033</v>
      </c>
      <c r="E200" s="660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8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2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73"/>
      <c r="P201" s="647" t="s">
        <v>71</v>
      </c>
      <c r="Q201" s="648"/>
      <c r="R201" s="648"/>
      <c r="S201" s="648"/>
      <c r="T201" s="648"/>
      <c r="U201" s="648"/>
      <c r="V201" s="649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73"/>
      <c r="P202" s="647" t="s">
        <v>71</v>
      </c>
      <c r="Q202" s="648"/>
      <c r="R202" s="648"/>
      <c r="S202" s="648"/>
      <c r="T202" s="648"/>
      <c r="U202" s="648"/>
      <c r="V202" s="649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66" t="s">
        <v>334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48"/>
      <c r="AB203" s="48"/>
      <c r="AC203" s="48"/>
    </row>
    <row r="204" spans="1:68" ht="16.5" hidden="1" customHeight="1" x14ac:dyDescent="0.25">
      <c r="A204" s="655" t="s">
        <v>335</v>
      </c>
      <c r="B204" s="651"/>
      <c r="C204" s="651"/>
      <c r="D204" s="651"/>
      <c r="E204" s="651"/>
      <c r="F204" s="651"/>
      <c r="G204" s="651"/>
      <c r="H204" s="651"/>
      <c r="I204" s="651"/>
      <c r="J204" s="651"/>
      <c r="K204" s="651"/>
      <c r="L204" s="651"/>
      <c r="M204" s="651"/>
      <c r="N204" s="651"/>
      <c r="O204" s="651"/>
      <c r="P204" s="651"/>
      <c r="Q204" s="651"/>
      <c r="R204" s="651"/>
      <c r="S204" s="651"/>
      <c r="T204" s="651"/>
      <c r="U204" s="651"/>
      <c r="V204" s="651"/>
      <c r="W204" s="651"/>
      <c r="X204" s="651"/>
      <c r="Y204" s="651"/>
      <c r="Z204" s="651"/>
      <c r="AA204" s="636"/>
      <c r="AB204" s="636"/>
      <c r="AC204" s="636"/>
    </row>
    <row r="205" spans="1:68" ht="14.25" hidden="1" customHeight="1" x14ac:dyDescent="0.25">
      <c r="A205" s="650" t="s">
        <v>110</v>
      </c>
      <c r="B205" s="651"/>
      <c r="C205" s="651"/>
      <c r="D205" s="651"/>
      <c r="E205" s="651"/>
      <c r="F205" s="651"/>
      <c r="G205" s="651"/>
      <c r="H205" s="651"/>
      <c r="I205" s="651"/>
      <c r="J205" s="651"/>
      <c r="K205" s="651"/>
      <c r="L205" s="651"/>
      <c r="M205" s="651"/>
      <c r="N205" s="651"/>
      <c r="O205" s="651"/>
      <c r="P205" s="651"/>
      <c r="Q205" s="651"/>
      <c r="R205" s="651"/>
      <c r="S205" s="651"/>
      <c r="T205" s="651"/>
      <c r="U205" s="651"/>
      <c r="V205" s="651"/>
      <c r="W205" s="651"/>
      <c r="X205" s="651"/>
      <c r="Y205" s="651"/>
      <c r="Z205" s="651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59">
        <v>4607091383423</v>
      </c>
      <c r="E206" s="660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59">
        <v>4680115888760</v>
      </c>
      <c r="E207" s="660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59">
        <v>4680115888807</v>
      </c>
      <c r="E208" s="660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59">
        <v>4680115888852</v>
      </c>
      <c r="E209" s="660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1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59">
        <v>4680115886957</v>
      </c>
      <c r="E210" s="660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59">
        <v>4680115885660</v>
      </c>
      <c r="E211" s="660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9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59">
        <v>4680115886773</v>
      </c>
      <c r="E212" s="660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2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73"/>
      <c r="P213" s="647" t="s">
        <v>71</v>
      </c>
      <c r="Q213" s="648"/>
      <c r="R213" s="648"/>
      <c r="S213" s="648"/>
      <c r="T213" s="648"/>
      <c r="U213" s="648"/>
      <c r="V213" s="649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73"/>
      <c r="P214" s="647" t="s">
        <v>71</v>
      </c>
      <c r="Q214" s="648"/>
      <c r="R214" s="648"/>
      <c r="S214" s="648"/>
      <c r="T214" s="648"/>
      <c r="U214" s="648"/>
      <c r="V214" s="649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55" t="s">
        <v>356</v>
      </c>
      <c r="B215" s="651"/>
      <c r="C215" s="651"/>
      <c r="D215" s="651"/>
      <c r="E215" s="651"/>
      <c r="F215" s="651"/>
      <c r="G215" s="651"/>
      <c r="H215" s="651"/>
      <c r="I215" s="651"/>
      <c r="J215" s="651"/>
      <c r="K215" s="651"/>
      <c r="L215" s="651"/>
      <c r="M215" s="651"/>
      <c r="N215" s="651"/>
      <c r="O215" s="651"/>
      <c r="P215" s="651"/>
      <c r="Q215" s="651"/>
      <c r="R215" s="651"/>
      <c r="S215" s="651"/>
      <c r="T215" s="651"/>
      <c r="U215" s="651"/>
      <c r="V215" s="651"/>
      <c r="W215" s="651"/>
      <c r="X215" s="651"/>
      <c r="Y215" s="651"/>
      <c r="Z215" s="651"/>
      <c r="AA215" s="636"/>
      <c r="AB215" s="636"/>
      <c r="AC215" s="636"/>
    </row>
    <row r="216" spans="1:68" ht="14.25" hidden="1" customHeight="1" x14ac:dyDescent="0.25">
      <c r="A216" s="650" t="s">
        <v>147</v>
      </c>
      <c r="B216" s="651"/>
      <c r="C216" s="651"/>
      <c r="D216" s="651"/>
      <c r="E216" s="651"/>
      <c r="F216" s="651"/>
      <c r="G216" s="651"/>
      <c r="H216" s="651"/>
      <c r="I216" s="651"/>
      <c r="J216" s="651"/>
      <c r="K216" s="651"/>
      <c r="L216" s="651"/>
      <c r="M216" s="651"/>
      <c r="N216" s="651"/>
      <c r="O216" s="651"/>
      <c r="P216" s="651"/>
      <c r="Q216" s="651"/>
      <c r="R216" s="651"/>
      <c r="S216" s="651"/>
      <c r="T216" s="651"/>
      <c r="U216" s="651"/>
      <c r="V216" s="651"/>
      <c r="W216" s="651"/>
      <c r="X216" s="651"/>
      <c r="Y216" s="651"/>
      <c r="Z216" s="651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59">
        <v>4680115886223</v>
      </c>
      <c r="E217" s="660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2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73"/>
      <c r="P218" s="647" t="s">
        <v>71</v>
      </c>
      <c r="Q218" s="648"/>
      <c r="R218" s="648"/>
      <c r="S218" s="648"/>
      <c r="T218" s="648"/>
      <c r="U218" s="648"/>
      <c r="V218" s="649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73"/>
      <c r="P219" s="647" t="s">
        <v>71</v>
      </c>
      <c r="Q219" s="648"/>
      <c r="R219" s="648"/>
      <c r="S219" s="648"/>
      <c r="T219" s="648"/>
      <c r="U219" s="648"/>
      <c r="V219" s="649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50" t="s">
        <v>61</v>
      </c>
      <c r="B220" s="651"/>
      <c r="C220" s="651"/>
      <c r="D220" s="651"/>
      <c r="E220" s="651"/>
      <c r="F220" s="651"/>
      <c r="G220" s="651"/>
      <c r="H220" s="651"/>
      <c r="I220" s="651"/>
      <c r="J220" s="651"/>
      <c r="K220" s="651"/>
      <c r="L220" s="651"/>
      <c r="M220" s="651"/>
      <c r="N220" s="651"/>
      <c r="O220" s="651"/>
      <c r="P220" s="651"/>
      <c r="Q220" s="651"/>
      <c r="R220" s="651"/>
      <c r="S220" s="651"/>
      <c r="T220" s="651"/>
      <c r="U220" s="651"/>
      <c r="V220" s="651"/>
      <c r="W220" s="651"/>
      <c r="X220" s="651"/>
      <c r="Y220" s="651"/>
      <c r="Z220" s="651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59">
        <v>4680115880993</v>
      </c>
      <c r="E221" s="660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4"/>
      <c r="V221" s="34"/>
      <c r="W221" s="35" t="s">
        <v>66</v>
      </c>
      <c r="X221" s="641">
        <v>10</v>
      </c>
      <c r="Y221" s="642">
        <f t="shared" ref="Y221:Y234" si="32">IFERROR(IF(X221="",0,CEILING((X221/$H221),1)*$H221),"")</f>
        <v>12.600000000000001</v>
      </c>
      <c r="Z221" s="36">
        <f>IFERROR(IF(Y221=0,"",ROUNDUP(Y221/H221,0)*0.00902),"")</f>
        <v>2.7060000000000001E-2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10.595238095238095</v>
      </c>
      <c r="BN221" s="64">
        <f t="shared" ref="BN221:BN234" si="34">IFERROR(Y221*I221/H221,"0")</f>
        <v>13.350000000000001</v>
      </c>
      <c r="BO221" s="64">
        <f t="shared" ref="BO221:BO234" si="35">IFERROR(1/J221*(X221/H221),"0")</f>
        <v>1.8037518037518036E-2</v>
      </c>
      <c r="BP221" s="64">
        <f t="shared" ref="BP221:BP234" si="36">IFERROR(1/J221*(Y221/H221),"0")</f>
        <v>2.2727272727272728E-2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59">
        <v>4680115881761</v>
      </c>
      <c r="E222" s="660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59">
        <v>4680115881563</v>
      </c>
      <c r="E223" s="660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4"/>
      <c r="V223" s="34"/>
      <c r="W223" s="35" t="s">
        <v>66</v>
      </c>
      <c r="X223" s="641">
        <v>100</v>
      </c>
      <c r="Y223" s="642">
        <f t="shared" si="32"/>
        <v>100.80000000000001</v>
      </c>
      <c r="Z223" s="36">
        <f>IFERROR(IF(Y223=0,"",ROUNDUP(Y223/H223,0)*0.00902),"")</f>
        <v>0.21648000000000001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104.5238095238095</v>
      </c>
      <c r="BN223" s="64">
        <f t="shared" si="34"/>
        <v>105.36</v>
      </c>
      <c r="BO223" s="64">
        <f t="shared" si="35"/>
        <v>0.18037518037518038</v>
      </c>
      <c r="BP223" s="64">
        <f t="shared" si="36"/>
        <v>0.18181818181818182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59">
        <v>4680115887565</v>
      </c>
      <c r="E224" s="660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59">
        <v>4680115880986</v>
      </c>
      <c r="E225" s="660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4"/>
      <c r="V225" s="34"/>
      <c r="W225" s="35" t="s">
        <v>66</v>
      </c>
      <c r="X225" s="641">
        <v>21</v>
      </c>
      <c r="Y225" s="642">
        <f t="shared" si="32"/>
        <v>21</v>
      </c>
      <c r="Z225" s="36">
        <f>IFERROR(IF(Y225=0,"",ROUNDUP(Y225/H225,0)*0.00502),"")</f>
        <v>5.0200000000000002E-2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22.299999999999997</v>
      </c>
      <c r="BN225" s="64">
        <f t="shared" si="34"/>
        <v>22.299999999999997</v>
      </c>
      <c r="BO225" s="64">
        <f t="shared" si="35"/>
        <v>4.2735042735042736E-2</v>
      </c>
      <c r="BP225" s="64">
        <f t="shared" si="36"/>
        <v>4.2735042735042736E-2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59">
        <v>4680115887213</v>
      </c>
      <c r="E226" s="660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59">
        <v>4680115881785</v>
      </c>
      <c r="E227" s="660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59">
        <v>4680115888432</v>
      </c>
      <c r="E228" s="660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382</v>
      </c>
      <c r="B229" s="54" t="s">
        <v>383</v>
      </c>
      <c r="C229" s="31">
        <v>4301031503</v>
      </c>
      <c r="D229" s="659">
        <v>4680115886537</v>
      </c>
      <c r="E229" s="660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4"/>
      <c r="V229" s="34"/>
      <c r="W229" s="35" t="s">
        <v>66</v>
      </c>
      <c r="X229" s="641">
        <v>0</v>
      </c>
      <c r="Y229" s="642">
        <f t="shared" si="32"/>
        <v>0</v>
      </c>
      <c r="Z229" s="36" t="str">
        <f>IFERROR(IF(Y229=0,"",ROUNDUP(Y229/H229,0)*0.00502),"")</f>
        <v/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59">
        <v>4680115887596</v>
      </c>
      <c r="E230" s="660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customHeight="1" x14ac:dyDescent="0.25">
      <c r="A231" s="54" t="s">
        <v>388</v>
      </c>
      <c r="B231" s="54" t="s">
        <v>389</v>
      </c>
      <c r="C231" s="31">
        <v>4301031530</v>
      </c>
      <c r="D231" s="659">
        <v>4680115881679</v>
      </c>
      <c r="E231" s="660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7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4"/>
      <c r="V231" s="34"/>
      <c r="W231" s="35" t="s">
        <v>66</v>
      </c>
      <c r="X231" s="641">
        <v>18</v>
      </c>
      <c r="Y231" s="642">
        <f t="shared" si="32"/>
        <v>18.900000000000002</v>
      </c>
      <c r="Z231" s="36">
        <f>IFERROR(IF(Y231=0,"",ROUNDUP(Y231/H231,0)*0.00502),"")</f>
        <v>4.5179999999999998E-2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18.857142857142858</v>
      </c>
      <c r="BN231" s="64">
        <f t="shared" si="34"/>
        <v>19.8</v>
      </c>
      <c r="BO231" s="64">
        <f t="shared" si="35"/>
        <v>3.6630036630036632E-2</v>
      </c>
      <c r="BP231" s="64">
        <f t="shared" si="36"/>
        <v>3.8461538461538464E-2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59">
        <v>4680115880191</v>
      </c>
      <c r="E232" s="660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59">
        <v>4680115880191</v>
      </c>
      <c r="E233" s="660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59">
        <v>4680115883963</v>
      </c>
      <c r="E234" s="660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69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2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73"/>
      <c r="P235" s="647" t="s">
        <v>71</v>
      </c>
      <c r="Q235" s="648"/>
      <c r="R235" s="648"/>
      <c r="S235" s="648"/>
      <c r="T235" s="648"/>
      <c r="U235" s="648"/>
      <c r="V235" s="649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44.761904761904759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46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0.33892</v>
      </c>
      <c r="AA235" s="644"/>
      <c r="AB235" s="644"/>
      <c r="AC235" s="644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73"/>
      <c r="P236" s="647" t="s">
        <v>71</v>
      </c>
      <c r="Q236" s="648"/>
      <c r="R236" s="648"/>
      <c r="S236" s="648"/>
      <c r="T236" s="648"/>
      <c r="U236" s="648"/>
      <c r="V236" s="649"/>
      <c r="W236" s="37" t="s">
        <v>66</v>
      </c>
      <c r="X236" s="643">
        <f>IFERROR(SUM(X221:X234),"0")</f>
        <v>149</v>
      </c>
      <c r="Y236" s="643">
        <f>IFERROR(SUM(Y221:Y234),"0")</f>
        <v>153.30000000000001</v>
      </c>
      <c r="Z236" s="37"/>
      <c r="AA236" s="644"/>
      <c r="AB236" s="644"/>
      <c r="AC236" s="644"/>
    </row>
    <row r="237" spans="1:68" ht="14.25" hidden="1" customHeight="1" x14ac:dyDescent="0.25">
      <c r="A237" s="650" t="s">
        <v>73</v>
      </c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1"/>
      <c r="P237" s="651"/>
      <c r="Q237" s="651"/>
      <c r="R237" s="651"/>
      <c r="S237" s="651"/>
      <c r="T237" s="651"/>
      <c r="U237" s="651"/>
      <c r="V237" s="651"/>
      <c r="W237" s="651"/>
      <c r="X237" s="651"/>
      <c r="Y237" s="651"/>
      <c r="Z237" s="651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59">
        <v>4680115888692</v>
      </c>
      <c r="E238" s="660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59">
        <v>4680115888692</v>
      </c>
      <c r="E239" s="660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6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59">
        <v>4680115888722</v>
      </c>
      <c r="E240" s="660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6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59">
        <v>4680115888722</v>
      </c>
      <c r="E241" s="660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59">
        <v>4680115888951</v>
      </c>
      <c r="E242" s="660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59">
        <v>4680115888951</v>
      </c>
      <c r="E243" s="660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59">
        <v>4680115888975</v>
      </c>
      <c r="E244" s="660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7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59">
        <v>4680115888982</v>
      </c>
      <c r="E245" s="660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59">
        <v>4680115888982</v>
      </c>
      <c r="E246" s="660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2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73"/>
      <c r="P247" s="647" t="s">
        <v>71</v>
      </c>
      <c r="Q247" s="648"/>
      <c r="R247" s="648"/>
      <c r="S247" s="648"/>
      <c r="T247" s="648"/>
      <c r="U247" s="648"/>
      <c r="V247" s="649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73"/>
      <c r="P248" s="647" t="s">
        <v>71</v>
      </c>
      <c r="Q248" s="648"/>
      <c r="R248" s="648"/>
      <c r="S248" s="648"/>
      <c r="T248" s="648"/>
      <c r="U248" s="648"/>
      <c r="V248" s="649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50" t="s">
        <v>266</v>
      </c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1"/>
      <c r="P249" s="651"/>
      <c r="Q249" s="651"/>
      <c r="R249" s="651"/>
      <c r="S249" s="651"/>
      <c r="T249" s="651"/>
      <c r="U249" s="651"/>
      <c r="V249" s="651"/>
      <c r="W249" s="651"/>
      <c r="X249" s="651"/>
      <c r="Y249" s="651"/>
      <c r="Z249" s="651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59">
        <v>4680115886780</v>
      </c>
      <c r="E250" s="660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59">
        <v>4680115886742</v>
      </c>
      <c r="E251" s="660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59">
        <v>4680115886766</v>
      </c>
      <c r="E252" s="660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4"/>
      <c r="V252" s="34"/>
      <c r="W252" s="35" t="s">
        <v>66</v>
      </c>
      <c r="X252" s="641">
        <v>6</v>
      </c>
      <c r="Y252" s="642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72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73"/>
      <c r="P253" s="647" t="s">
        <v>71</v>
      </c>
      <c r="Q253" s="648"/>
      <c r="R253" s="648"/>
      <c r="S253" s="648"/>
      <c r="T253" s="648"/>
      <c r="U253" s="648"/>
      <c r="V253" s="649"/>
      <c r="W253" s="37" t="s">
        <v>72</v>
      </c>
      <c r="X253" s="643">
        <f>IFERROR(X250/H250,"0")+IFERROR(X251/H251,"0")+IFERROR(X252/H252,"0")</f>
        <v>4.7619047619047619</v>
      </c>
      <c r="Y253" s="643">
        <f>IFERROR(Y250/H250,"0")+IFERROR(Y251/H251,"0")+IFERROR(Y252/H252,"0")</f>
        <v>5</v>
      </c>
      <c r="Z253" s="643">
        <f>IFERROR(IF(Z250="",0,Z250),"0")+IFERROR(IF(Z251="",0,Z251),"0")+IFERROR(IF(Z252="",0,Z252),"0")</f>
        <v>2.9499999999999998E-2</v>
      </c>
      <c r="AA253" s="644"/>
      <c r="AB253" s="644"/>
      <c r="AC253" s="644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73"/>
      <c r="P254" s="647" t="s">
        <v>71</v>
      </c>
      <c r="Q254" s="648"/>
      <c r="R254" s="648"/>
      <c r="S254" s="648"/>
      <c r="T254" s="648"/>
      <c r="U254" s="648"/>
      <c r="V254" s="649"/>
      <c r="W254" s="37" t="s">
        <v>66</v>
      </c>
      <c r="X254" s="643">
        <f>IFERROR(SUM(X250:X252),"0")</f>
        <v>6</v>
      </c>
      <c r="Y254" s="643">
        <f>IFERROR(SUM(Y250:Y252),"0")</f>
        <v>6.3</v>
      </c>
      <c r="Z254" s="37"/>
      <c r="AA254" s="644"/>
      <c r="AB254" s="644"/>
      <c r="AC254" s="644"/>
    </row>
    <row r="255" spans="1:68" ht="14.25" hidden="1" customHeight="1" x14ac:dyDescent="0.25">
      <c r="A255" s="650" t="s">
        <v>424</v>
      </c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1"/>
      <c r="P255" s="651"/>
      <c r="Q255" s="651"/>
      <c r="R255" s="651"/>
      <c r="S255" s="651"/>
      <c r="T255" s="651"/>
      <c r="U255" s="651"/>
      <c r="V255" s="651"/>
      <c r="W255" s="651"/>
      <c r="X255" s="651"/>
      <c r="Y255" s="651"/>
      <c r="Z255" s="651"/>
      <c r="AA255" s="637"/>
      <c r="AB255" s="637"/>
      <c r="AC255" s="637"/>
    </row>
    <row r="256" spans="1:68" ht="27" hidden="1" customHeight="1" x14ac:dyDescent="0.25">
      <c r="A256" s="54" t="s">
        <v>425</v>
      </c>
      <c r="B256" s="54" t="s">
        <v>426</v>
      </c>
      <c r="C256" s="31">
        <v>4301170013</v>
      </c>
      <c r="D256" s="659">
        <v>4680115886797</v>
      </c>
      <c r="E256" s="660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4"/>
      <c r="V256" s="34"/>
      <c r="W256" s="35" t="s">
        <v>66</v>
      </c>
      <c r="X256" s="641">
        <v>0</v>
      </c>
      <c r="Y256" s="64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72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73"/>
      <c r="P257" s="647" t="s">
        <v>71</v>
      </c>
      <c r="Q257" s="648"/>
      <c r="R257" s="648"/>
      <c r="S257" s="648"/>
      <c r="T257" s="648"/>
      <c r="U257" s="648"/>
      <c r="V257" s="649"/>
      <c r="W257" s="37" t="s">
        <v>72</v>
      </c>
      <c r="X257" s="643">
        <f>IFERROR(X256/H256,"0")</f>
        <v>0</v>
      </c>
      <c r="Y257" s="643">
        <f>IFERROR(Y256/H256,"0")</f>
        <v>0</v>
      </c>
      <c r="Z257" s="643">
        <f>IFERROR(IF(Z256="",0,Z256),"0")</f>
        <v>0</v>
      </c>
      <c r="AA257" s="644"/>
      <c r="AB257" s="644"/>
      <c r="AC257" s="64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73"/>
      <c r="P258" s="647" t="s">
        <v>71</v>
      </c>
      <c r="Q258" s="648"/>
      <c r="R258" s="648"/>
      <c r="S258" s="648"/>
      <c r="T258" s="648"/>
      <c r="U258" s="648"/>
      <c r="V258" s="649"/>
      <c r="W258" s="37" t="s">
        <v>66</v>
      </c>
      <c r="X258" s="643">
        <f>IFERROR(SUM(X256:X256),"0")</f>
        <v>0</v>
      </c>
      <c r="Y258" s="643">
        <f>IFERROR(SUM(Y256:Y256),"0")</f>
        <v>0</v>
      </c>
      <c r="Z258" s="37"/>
      <c r="AA258" s="644"/>
      <c r="AB258" s="644"/>
      <c r="AC258" s="644"/>
    </row>
    <row r="259" spans="1:68" ht="16.5" hidden="1" customHeight="1" x14ac:dyDescent="0.25">
      <c r="A259" s="655" t="s">
        <v>427</v>
      </c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1"/>
      <c r="P259" s="651"/>
      <c r="Q259" s="651"/>
      <c r="R259" s="651"/>
      <c r="S259" s="651"/>
      <c r="T259" s="651"/>
      <c r="U259" s="651"/>
      <c r="V259" s="651"/>
      <c r="W259" s="651"/>
      <c r="X259" s="651"/>
      <c r="Y259" s="651"/>
      <c r="Z259" s="651"/>
      <c r="AA259" s="636"/>
      <c r="AB259" s="636"/>
      <c r="AC259" s="636"/>
    </row>
    <row r="260" spans="1:68" ht="14.25" hidden="1" customHeight="1" x14ac:dyDescent="0.25">
      <c r="A260" s="650" t="s">
        <v>110</v>
      </c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1"/>
      <c r="P260" s="651"/>
      <c r="Q260" s="651"/>
      <c r="R260" s="651"/>
      <c r="S260" s="651"/>
      <c r="T260" s="651"/>
      <c r="U260" s="651"/>
      <c r="V260" s="651"/>
      <c r="W260" s="651"/>
      <c r="X260" s="651"/>
      <c r="Y260" s="651"/>
      <c r="Z260" s="651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59">
        <v>4680115881402</v>
      </c>
      <c r="E261" s="660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59">
        <v>4680115881396</v>
      </c>
      <c r="E262" s="660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2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73"/>
      <c r="P263" s="647" t="s">
        <v>71</v>
      </c>
      <c r="Q263" s="648"/>
      <c r="R263" s="648"/>
      <c r="S263" s="648"/>
      <c r="T263" s="648"/>
      <c r="U263" s="648"/>
      <c r="V263" s="649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73"/>
      <c r="P264" s="647" t="s">
        <v>71</v>
      </c>
      <c r="Q264" s="648"/>
      <c r="R264" s="648"/>
      <c r="S264" s="648"/>
      <c r="T264" s="648"/>
      <c r="U264" s="648"/>
      <c r="V264" s="649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50" t="s">
        <v>147</v>
      </c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1"/>
      <c r="P265" s="651"/>
      <c r="Q265" s="651"/>
      <c r="R265" s="651"/>
      <c r="S265" s="651"/>
      <c r="T265" s="651"/>
      <c r="U265" s="651"/>
      <c r="V265" s="651"/>
      <c r="W265" s="651"/>
      <c r="X265" s="651"/>
      <c r="Y265" s="651"/>
      <c r="Z265" s="651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59">
        <v>4680115882935</v>
      </c>
      <c r="E266" s="660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59">
        <v>4680115880764</v>
      </c>
      <c r="E267" s="660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2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73"/>
      <c r="P268" s="647" t="s">
        <v>71</v>
      </c>
      <c r="Q268" s="648"/>
      <c r="R268" s="648"/>
      <c r="S268" s="648"/>
      <c r="T268" s="648"/>
      <c r="U268" s="648"/>
      <c r="V268" s="649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73"/>
      <c r="P269" s="647" t="s">
        <v>71</v>
      </c>
      <c r="Q269" s="648"/>
      <c r="R269" s="648"/>
      <c r="S269" s="648"/>
      <c r="T269" s="648"/>
      <c r="U269" s="648"/>
      <c r="V269" s="649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50" t="s">
        <v>61</v>
      </c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1"/>
      <c r="P270" s="651"/>
      <c r="Q270" s="651"/>
      <c r="R270" s="651"/>
      <c r="S270" s="651"/>
      <c r="T270" s="651"/>
      <c r="U270" s="651"/>
      <c r="V270" s="651"/>
      <c r="W270" s="651"/>
      <c r="X270" s="651"/>
      <c r="Y270" s="651"/>
      <c r="Z270" s="651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59">
        <v>4680115882683</v>
      </c>
      <c r="E271" s="660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4"/>
      <c r="V271" s="34"/>
      <c r="W271" s="35" t="s">
        <v>66</v>
      </c>
      <c r="X271" s="641">
        <v>300</v>
      </c>
      <c r="Y271" s="642">
        <f t="shared" ref="Y271:Y278" si="42">IFERROR(IF(X271="",0,CEILING((X271/$H271),1)*$H271),"")</f>
        <v>302.40000000000003</v>
      </c>
      <c r="Z271" s="36">
        <f>IFERROR(IF(Y271=0,"",ROUNDUP(Y271/H271,0)*0.00902),"")</f>
        <v>0.50512000000000001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310.55555555555554</v>
      </c>
      <c r="BN271" s="64">
        <f t="shared" ref="BN271:BN278" si="44">IFERROR(Y271*I271/H271,"0")</f>
        <v>313.04000000000002</v>
      </c>
      <c r="BO271" s="64">
        <f t="shared" ref="BO271:BO278" si="45">IFERROR(1/J271*(X271/H271),"0")</f>
        <v>0.42087542087542085</v>
      </c>
      <c r="BP271" s="64">
        <f t="shared" ref="BP271:BP278" si="46">IFERROR(1/J271*(Y271/H271),"0")</f>
        <v>0.42424242424242425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59">
        <v>4680115882690</v>
      </c>
      <c r="E272" s="660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4"/>
      <c r="V272" s="34"/>
      <c r="W272" s="35" t="s">
        <v>66</v>
      </c>
      <c r="X272" s="641">
        <v>30</v>
      </c>
      <c r="Y272" s="642">
        <f t="shared" si="42"/>
        <v>32.400000000000006</v>
      </c>
      <c r="Z272" s="36">
        <f>IFERROR(IF(Y272=0,"",ROUNDUP(Y272/H272,0)*0.00902),"")</f>
        <v>5.4120000000000001E-2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31.05555555555555</v>
      </c>
      <c r="BN272" s="64">
        <f t="shared" si="44"/>
        <v>33.54</v>
      </c>
      <c r="BO272" s="64">
        <f t="shared" si="45"/>
        <v>4.208754208754209E-2</v>
      </c>
      <c r="BP272" s="64">
        <f t="shared" si="46"/>
        <v>4.5454545454545463E-2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59">
        <v>4680115882669</v>
      </c>
      <c r="E273" s="660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4"/>
      <c r="V273" s="34"/>
      <c r="W273" s="35" t="s">
        <v>66</v>
      </c>
      <c r="X273" s="641">
        <v>100</v>
      </c>
      <c r="Y273" s="642">
        <f t="shared" si="42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103.5185185185185</v>
      </c>
      <c r="BN273" s="64">
        <f t="shared" si="44"/>
        <v>106.21</v>
      </c>
      <c r="BO273" s="64">
        <f t="shared" si="45"/>
        <v>0.14029180695847362</v>
      </c>
      <c r="BP273" s="64">
        <f t="shared" si="46"/>
        <v>0.14393939393939395</v>
      </c>
    </row>
    <row r="274" spans="1:68" ht="27" customHeight="1" x14ac:dyDescent="0.25">
      <c r="A274" s="54" t="s">
        <v>447</v>
      </c>
      <c r="B274" s="54" t="s">
        <v>448</v>
      </c>
      <c r="C274" s="31">
        <v>4301031221</v>
      </c>
      <c r="D274" s="659">
        <v>4680115882676</v>
      </c>
      <c r="E274" s="660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4"/>
      <c r="V274" s="34"/>
      <c r="W274" s="35" t="s">
        <v>66</v>
      </c>
      <c r="X274" s="641">
        <v>50</v>
      </c>
      <c r="Y274" s="642">
        <f t="shared" si="42"/>
        <v>54</v>
      </c>
      <c r="Z274" s="36">
        <f>IFERROR(IF(Y274=0,"",ROUNDUP(Y274/H274,0)*0.00902),"")</f>
        <v>9.0200000000000002E-2</v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51.759259259259252</v>
      </c>
      <c r="BN274" s="64">
        <f t="shared" si="44"/>
        <v>55.9</v>
      </c>
      <c r="BO274" s="64">
        <f t="shared" si="45"/>
        <v>7.0145903479236812E-2</v>
      </c>
      <c r="BP274" s="64">
        <f t="shared" si="46"/>
        <v>7.575757575757576E-2</v>
      </c>
    </row>
    <row r="275" spans="1:68" ht="27" hidden="1" customHeight="1" x14ac:dyDescent="0.25">
      <c r="A275" s="54" t="s">
        <v>450</v>
      </c>
      <c r="B275" s="54" t="s">
        <v>451</v>
      </c>
      <c r="C275" s="31">
        <v>4301031223</v>
      </c>
      <c r="D275" s="659">
        <v>4680115884014</v>
      </c>
      <c r="E275" s="660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4"/>
      <c r="V275" s="34"/>
      <c r="W275" s="35" t="s">
        <v>66</v>
      </c>
      <c r="X275" s="641">
        <v>0</v>
      </c>
      <c r="Y275" s="642">
        <f t="shared" si="42"/>
        <v>0</v>
      </c>
      <c r="Z275" s="36" t="str">
        <f>IFERROR(IF(Y275=0,"",ROUNDUP(Y275/H275,0)*0.00502),"")</f>
        <v/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0</v>
      </c>
      <c r="BN275" s="64">
        <f t="shared" si="44"/>
        <v>0</v>
      </c>
      <c r="BO275" s="64">
        <f t="shared" si="45"/>
        <v>0</v>
      </c>
      <c r="BP275" s="64">
        <f t="shared" si="46"/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4301031222</v>
      </c>
      <c r="D276" s="659">
        <v>4680115884007</v>
      </c>
      <c r="E276" s="660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6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4"/>
      <c r="V276" s="34"/>
      <c r="W276" s="35" t="s">
        <v>66</v>
      </c>
      <c r="X276" s="641">
        <v>0</v>
      </c>
      <c r="Y276" s="642">
        <f t="shared" si="42"/>
        <v>0</v>
      </c>
      <c r="Z276" s="36" t="str">
        <f>IFERROR(IF(Y276=0,"",ROUNDUP(Y276/H276,0)*0.00502),"")</f>
        <v/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0</v>
      </c>
      <c r="BN276" s="64">
        <f t="shared" si="44"/>
        <v>0</v>
      </c>
      <c r="BO276" s="64">
        <f t="shared" si="45"/>
        <v>0</v>
      </c>
      <c r="BP276" s="64">
        <f t="shared" si="46"/>
        <v>0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59">
        <v>4680115884038</v>
      </c>
      <c r="E277" s="660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hidden="1" customHeight="1" x14ac:dyDescent="0.25">
      <c r="A278" s="54" t="s">
        <v>456</v>
      </c>
      <c r="B278" s="54" t="s">
        <v>457</v>
      </c>
      <c r="C278" s="31">
        <v>4301031225</v>
      </c>
      <c r="D278" s="659">
        <v>4680115884021</v>
      </c>
      <c r="E278" s="660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7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4"/>
      <c r="V278" s="34"/>
      <c r="W278" s="35" t="s">
        <v>66</v>
      </c>
      <c r="X278" s="641">
        <v>0</v>
      </c>
      <c r="Y278" s="642">
        <f t="shared" si="42"/>
        <v>0</v>
      </c>
      <c r="Z278" s="36" t="str">
        <f>IFERROR(IF(Y278=0,"",ROUNDUP(Y278/H278,0)*0.00502),"")</f>
        <v/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0</v>
      </c>
      <c r="BN278" s="64">
        <f t="shared" si="44"/>
        <v>0</v>
      </c>
      <c r="BO278" s="64">
        <f t="shared" si="45"/>
        <v>0</v>
      </c>
      <c r="BP278" s="64">
        <f t="shared" si="46"/>
        <v>0</v>
      </c>
    </row>
    <row r="279" spans="1:68" x14ac:dyDescent="0.2">
      <c r="A279" s="672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73"/>
      <c r="P279" s="647" t="s">
        <v>71</v>
      </c>
      <c r="Q279" s="648"/>
      <c r="R279" s="648"/>
      <c r="S279" s="648"/>
      <c r="T279" s="648"/>
      <c r="U279" s="648"/>
      <c r="V279" s="649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88.888888888888886</v>
      </c>
      <c r="Y279" s="643">
        <f>IFERROR(Y271/H271,"0")+IFERROR(Y272/H272,"0")+IFERROR(Y273/H273,"0")+IFERROR(Y274/H274,"0")+IFERROR(Y275/H275,"0")+IFERROR(Y276/H276,"0")+IFERROR(Y277/H277,"0")+IFERROR(Y278/H278,"0")</f>
        <v>91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0.82081999999999988</v>
      </c>
      <c r="AA279" s="644"/>
      <c r="AB279" s="644"/>
      <c r="AC279" s="644"/>
    </row>
    <row r="280" spans="1:68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73"/>
      <c r="P280" s="647" t="s">
        <v>71</v>
      </c>
      <c r="Q280" s="648"/>
      <c r="R280" s="648"/>
      <c r="S280" s="648"/>
      <c r="T280" s="648"/>
      <c r="U280" s="648"/>
      <c r="V280" s="649"/>
      <c r="W280" s="37" t="s">
        <v>66</v>
      </c>
      <c r="X280" s="643">
        <f>IFERROR(SUM(X271:X278),"0")</f>
        <v>480</v>
      </c>
      <c r="Y280" s="643">
        <f>IFERROR(SUM(Y271:Y278),"0")</f>
        <v>491.40000000000009</v>
      </c>
      <c r="Z280" s="37"/>
      <c r="AA280" s="644"/>
      <c r="AB280" s="644"/>
      <c r="AC280" s="644"/>
    </row>
    <row r="281" spans="1:68" ht="14.25" hidden="1" customHeight="1" x14ac:dyDescent="0.25">
      <c r="A281" s="650" t="s">
        <v>73</v>
      </c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1"/>
      <c r="P281" s="651"/>
      <c r="Q281" s="651"/>
      <c r="R281" s="651"/>
      <c r="S281" s="651"/>
      <c r="T281" s="651"/>
      <c r="U281" s="651"/>
      <c r="V281" s="651"/>
      <c r="W281" s="651"/>
      <c r="X281" s="651"/>
      <c r="Y281" s="651"/>
      <c r="Z281" s="651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59">
        <v>4680115881594</v>
      </c>
      <c r="E282" s="660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4"/>
      <c r="V282" s="34"/>
      <c r="W282" s="35" t="s">
        <v>66</v>
      </c>
      <c r="X282" s="641">
        <v>100</v>
      </c>
      <c r="Y282" s="642">
        <f t="shared" ref="Y282:Y293" si="47">IFERROR(IF(X282="",0,CEILING((X282/$H282),1)*$H282),"")</f>
        <v>105.3</v>
      </c>
      <c r="Z282" s="36">
        <f>IFERROR(IF(Y282=0,"",ROUNDUP(Y282/H282,0)*0.01898),"")</f>
        <v>0.24674000000000001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106.09876543209877</v>
      </c>
      <c r="BN282" s="64">
        <f t="shared" ref="BN282:BN293" si="49">IFERROR(Y282*I282/H282,"0")</f>
        <v>111.72199999999999</v>
      </c>
      <c r="BO282" s="64">
        <f t="shared" ref="BO282:BO293" si="50">IFERROR(1/J282*(X282/H282),"0")</f>
        <v>0.19290123456790123</v>
      </c>
      <c r="BP282" s="64">
        <f t="shared" ref="BP282:BP293" si="51">IFERROR(1/J282*(Y282/H282),"0")</f>
        <v>0.203125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59">
        <v>4680115881617</v>
      </c>
      <c r="E283" s="660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4"/>
      <c r="V283" s="34"/>
      <c r="W283" s="35" t="s">
        <v>66</v>
      </c>
      <c r="X283" s="641">
        <v>50</v>
      </c>
      <c r="Y283" s="642">
        <f t="shared" si="47"/>
        <v>56.699999999999996</v>
      </c>
      <c r="Z283" s="36">
        <f>IFERROR(IF(Y283=0,"",ROUNDUP(Y283/H283,0)*0.01898),"")</f>
        <v>0.13286000000000001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52.938271604938272</v>
      </c>
      <c r="BN283" s="64">
        <f t="shared" si="49"/>
        <v>60.031999999999996</v>
      </c>
      <c r="BO283" s="64">
        <f t="shared" si="50"/>
        <v>9.6450617283950615E-2</v>
      </c>
      <c r="BP283" s="64">
        <f t="shared" si="51"/>
        <v>0.109375</v>
      </c>
    </row>
    <row r="284" spans="1:68" ht="27" hidden="1" customHeight="1" x14ac:dyDescent="0.25">
      <c r="A284" s="54" t="s">
        <v>464</v>
      </c>
      <c r="B284" s="54" t="s">
        <v>465</v>
      </c>
      <c r="C284" s="31">
        <v>4301051656</v>
      </c>
      <c r="D284" s="659">
        <v>4680115880573</v>
      </c>
      <c r="E284" s="660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4"/>
      <c r="V284" s="34"/>
      <c r="W284" s="35" t="s">
        <v>66</v>
      </c>
      <c r="X284" s="641">
        <v>0</v>
      </c>
      <c r="Y284" s="642">
        <f t="shared" si="47"/>
        <v>0</v>
      </c>
      <c r="Z284" s="36" t="str">
        <f>IFERROR(IF(Y284=0,"",ROUNDUP(Y284/H284,0)*0.01898),"")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0</v>
      </c>
      <c r="BN284" s="64">
        <f t="shared" si="49"/>
        <v>0</v>
      </c>
      <c r="BO284" s="64">
        <f t="shared" si="50"/>
        <v>0</v>
      </c>
      <c r="BP284" s="64">
        <f t="shared" si="51"/>
        <v>0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59">
        <v>4680115882195</v>
      </c>
      <c r="E285" s="660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4"/>
      <c r="V285" s="34"/>
      <c r="W285" s="35" t="s">
        <v>66</v>
      </c>
      <c r="X285" s="641">
        <v>120</v>
      </c>
      <c r="Y285" s="642">
        <f t="shared" si="47"/>
        <v>120</v>
      </c>
      <c r="Z285" s="36">
        <f>IFERROR(IF(Y285=0,"",ROUNDUP(Y285/H285,0)*0.00651),"")</f>
        <v>0.32550000000000001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133.5</v>
      </c>
      <c r="BN285" s="64">
        <f t="shared" si="49"/>
        <v>133.5</v>
      </c>
      <c r="BO285" s="64">
        <f t="shared" si="50"/>
        <v>0.27472527472527475</v>
      </c>
      <c r="BP285" s="64">
        <f t="shared" si="51"/>
        <v>0.27472527472527475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59">
        <v>4680115882607</v>
      </c>
      <c r="E286" s="660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59">
        <v>4680115882607</v>
      </c>
      <c r="E287" s="660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59">
        <v>4680115880092</v>
      </c>
      <c r="E288" s="660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4"/>
      <c r="V288" s="34"/>
      <c r="W288" s="35" t="s">
        <v>66</v>
      </c>
      <c r="X288" s="641">
        <v>240</v>
      </c>
      <c r="Y288" s="642">
        <f t="shared" si="47"/>
        <v>240</v>
      </c>
      <c r="Z288" s="36">
        <f>IFERROR(IF(Y288=0,"",ROUNDUP(Y288/H288,0)*0.00651),"")</f>
        <v>0.65100000000000002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265.20000000000005</v>
      </c>
      <c r="BN288" s="64">
        <f t="shared" si="49"/>
        <v>265.20000000000005</v>
      </c>
      <c r="BO288" s="64">
        <f t="shared" si="50"/>
        <v>0.5494505494505495</v>
      </c>
      <c r="BP288" s="64">
        <f t="shared" si="51"/>
        <v>0.5494505494505495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59">
        <v>4680115889064</v>
      </c>
      <c r="E289" s="660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59">
        <v>4680115880221</v>
      </c>
      <c r="E290" s="660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4"/>
      <c r="V290" s="34"/>
      <c r="W290" s="35" t="s">
        <v>66</v>
      </c>
      <c r="X290" s="641">
        <v>140</v>
      </c>
      <c r="Y290" s="642">
        <f t="shared" si="47"/>
        <v>141.6</v>
      </c>
      <c r="Z290" s="36">
        <f>IFERROR(IF(Y290=0,"",ROUNDUP(Y290/H290,0)*0.00651),"")</f>
        <v>0.38408999999999999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154.70000000000002</v>
      </c>
      <c r="BN290" s="64">
        <f t="shared" si="49"/>
        <v>156.46800000000002</v>
      </c>
      <c r="BO290" s="64">
        <f t="shared" si="50"/>
        <v>0.32051282051282054</v>
      </c>
      <c r="BP290" s="64">
        <f t="shared" si="51"/>
        <v>0.32417582417582419</v>
      </c>
    </row>
    <row r="291" spans="1:68" ht="27" customHeight="1" x14ac:dyDescent="0.25">
      <c r="A291" s="54" t="s">
        <v>480</v>
      </c>
      <c r="B291" s="54" t="s">
        <v>481</v>
      </c>
      <c r="C291" s="31">
        <v>4301051945</v>
      </c>
      <c r="D291" s="659">
        <v>4680115880504</v>
      </c>
      <c r="E291" s="660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4"/>
      <c r="V291" s="34"/>
      <c r="W291" s="35" t="s">
        <v>66</v>
      </c>
      <c r="X291" s="641">
        <v>20</v>
      </c>
      <c r="Y291" s="642">
        <f t="shared" si="47"/>
        <v>21.599999999999998</v>
      </c>
      <c r="Z291" s="36">
        <f>IFERROR(IF(Y291=0,"",ROUNDUP(Y291/H291,0)*0.00651),"")</f>
        <v>5.8590000000000003E-2</v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22.100000000000005</v>
      </c>
      <c r="BN291" s="64">
        <f t="shared" si="49"/>
        <v>23.868000000000002</v>
      </c>
      <c r="BO291" s="64">
        <f t="shared" si="50"/>
        <v>4.5787545787545791E-2</v>
      </c>
      <c r="BP291" s="64">
        <f t="shared" si="51"/>
        <v>4.9450549450549455E-2</v>
      </c>
    </row>
    <row r="292" spans="1:68" ht="27" customHeight="1" x14ac:dyDescent="0.25">
      <c r="A292" s="54" t="s">
        <v>483</v>
      </c>
      <c r="B292" s="54" t="s">
        <v>484</v>
      </c>
      <c r="C292" s="31">
        <v>4301051410</v>
      </c>
      <c r="D292" s="659">
        <v>4680115882164</v>
      </c>
      <c r="E292" s="660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4"/>
      <c r="V292" s="34"/>
      <c r="W292" s="35" t="s">
        <v>66</v>
      </c>
      <c r="X292" s="641">
        <v>40</v>
      </c>
      <c r="Y292" s="642">
        <f t="shared" si="47"/>
        <v>40.799999999999997</v>
      </c>
      <c r="Z292" s="36">
        <f>IFERROR(IF(Y292=0,"",ROUNDUP(Y292/H292,0)*0.00651),"")</f>
        <v>0.11067</v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44.3</v>
      </c>
      <c r="BN292" s="64">
        <f t="shared" si="49"/>
        <v>45.185999999999993</v>
      </c>
      <c r="BO292" s="64">
        <f t="shared" si="50"/>
        <v>9.1575091575091583E-2</v>
      </c>
      <c r="BP292" s="64">
        <f t="shared" si="51"/>
        <v>9.3406593406593408E-2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59">
        <v>4680115888340</v>
      </c>
      <c r="E293" s="660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10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2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73"/>
      <c r="P294" s="647" t="s">
        <v>71</v>
      </c>
      <c r="Q294" s="648"/>
      <c r="R294" s="648"/>
      <c r="S294" s="648"/>
      <c r="T294" s="648"/>
      <c r="U294" s="648"/>
      <c r="V294" s="649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251.85185185185188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255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1.9094500000000001</v>
      </c>
      <c r="AA294" s="644"/>
      <c r="AB294" s="644"/>
      <c r="AC294" s="644"/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73"/>
      <c r="P295" s="647" t="s">
        <v>71</v>
      </c>
      <c r="Q295" s="648"/>
      <c r="R295" s="648"/>
      <c r="S295" s="648"/>
      <c r="T295" s="648"/>
      <c r="U295" s="648"/>
      <c r="V295" s="649"/>
      <c r="W295" s="37" t="s">
        <v>66</v>
      </c>
      <c r="X295" s="643">
        <f>IFERROR(SUM(X282:X293),"0")</f>
        <v>710</v>
      </c>
      <c r="Y295" s="643">
        <f>IFERROR(SUM(Y282:Y293),"0")</f>
        <v>726</v>
      </c>
      <c r="Z295" s="37"/>
      <c r="AA295" s="644"/>
      <c r="AB295" s="644"/>
      <c r="AC295" s="644"/>
    </row>
    <row r="296" spans="1:68" ht="14.25" hidden="1" customHeight="1" x14ac:dyDescent="0.25">
      <c r="A296" s="650" t="s">
        <v>166</v>
      </c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1"/>
      <c r="P296" s="651"/>
      <c r="Q296" s="651"/>
      <c r="R296" s="651"/>
      <c r="S296" s="651"/>
      <c r="T296" s="651"/>
      <c r="U296" s="651"/>
      <c r="V296" s="651"/>
      <c r="W296" s="651"/>
      <c r="X296" s="651"/>
      <c r="Y296" s="651"/>
      <c r="Z296" s="651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59">
        <v>4680115880818</v>
      </c>
      <c r="E297" s="660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59">
        <v>4680115880801</v>
      </c>
      <c r="E298" s="660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2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73"/>
      <c r="P299" s="647" t="s">
        <v>71</v>
      </c>
      <c r="Q299" s="648"/>
      <c r="R299" s="648"/>
      <c r="S299" s="648"/>
      <c r="T299" s="648"/>
      <c r="U299" s="648"/>
      <c r="V299" s="649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73"/>
      <c r="P300" s="647" t="s">
        <v>71</v>
      </c>
      <c r="Q300" s="648"/>
      <c r="R300" s="648"/>
      <c r="S300" s="648"/>
      <c r="T300" s="648"/>
      <c r="U300" s="648"/>
      <c r="V300" s="649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55" t="s">
        <v>495</v>
      </c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1"/>
      <c r="P301" s="651"/>
      <c r="Q301" s="651"/>
      <c r="R301" s="651"/>
      <c r="S301" s="651"/>
      <c r="T301" s="651"/>
      <c r="U301" s="651"/>
      <c r="V301" s="651"/>
      <c r="W301" s="651"/>
      <c r="X301" s="651"/>
      <c r="Y301" s="651"/>
      <c r="Z301" s="651"/>
      <c r="AA301" s="636"/>
      <c r="AB301" s="636"/>
      <c r="AC301" s="636"/>
    </row>
    <row r="302" spans="1:68" ht="14.25" hidden="1" customHeight="1" x14ac:dyDescent="0.25">
      <c r="A302" s="650" t="s">
        <v>110</v>
      </c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1"/>
      <c r="P302" s="651"/>
      <c r="Q302" s="651"/>
      <c r="R302" s="651"/>
      <c r="S302" s="651"/>
      <c r="T302" s="651"/>
      <c r="U302" s="651"/>
      <c r="V302" s="651"/>
      <c r="W302" s="651"/>
      <c r="X302" s="651"/>
      <c r="Y302" s="651"/>
      <c r="Z302" s="651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59">
        <v>4680115884137</v>
      </c>
      <c r="E303" s="660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7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59">
        <v>4680115884236</v>
      </c>
      <c r="E304" s="660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59">
        <v>4680115884175</v>
      </c>
      <c r="E305" s="660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7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59">
        <v>4680115884144</v>
      </c>
      <c r="E306" s="660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59">
        <v>4680115886551</v>
      </c>
      <c r="E307" s="660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59">
        <v>4680115887282</v>
      </c>
      <c r="E308" s="660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customHeight="1" x14ac:dyDescent="0.25">
      <c r="A309" s="54" t="s">
        <v>512</v>
      </c>
      <c r="B309" s="54" t="s">
        <v>513</v>
      </c>
      <c r="C309" s="31">
        <v>4301011722</v>
      </c>
      <c r="D309" s="659">
        <v>4680115884205</v>
      </c>
      <c r="E309" s="660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9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4"/>
      <c r="V309" s="34"/>
      <c r="W309" s="35" t="s">
        <v>66</v>
      </c>
      <c r="X309" s="641">
        <v>9</v>
      </c>
      <c r="Y309" s="642">
        <f t="shared" si="52"/>
        <v>12</v>
      </c>
      <c r="Z309" s="36">
        <f>IFERROR(IF(Y309=0,"",ROUNDUP(Y309/H309,0)*0.00902),"")</f>
        <v>2.7060000000000001E-2</v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9.4275000000000002</v>
      </c>
      <c r="BN309" s="64">
        <f t="shared" si="54"/>
        <v>12.57</v>
      </c>
      <c r="BO309" s="64">
        <f t="shared" si="55"/>
        <v>1.7045454545454544E-2</v>
      </c>
      <c r="BP309" s="64">
        <f t="shared" si="56"/>
        <v>2.2727272727272728E-2</v>
      </c>
    </row>
    <row r="310" spans="1:68" x14ac:dyDescent="0.2">
      <c r="A310" s="672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73"/>
      <c r="P310" s="647" t="s">
        <v>71</v>
      </c>
      <c r="Q310" s="648"/>
      <c r="R310" s="648"/>
      <c r="S310" s="648"/>
      <c r="T310" s="648"/>
      <c r="U310" s="648"/>
      <c r="V310" s="649"/>
      <c r="W310" s="37" t="s">
        <v>72</v>
      </c>
      <c r="X310" s="643">
        <f>IFERROR(X303/H303,"0")+IFERROR(X304/H304,"0")+IFERROR(X305/H305,"0")+IFERROR(X306/H306,"0")+IFERROR(X307/H307,"0")+IFERROR(X308/H308,"0")+IFERROR(X309/H309,"0")</f>
        <v>2.25</v>
      </c>
      <c r="Y310" s="643">
        <f>IFERROR(Y303/H303,"0")+IFERROR(Y304/H304,"0")+IFERROR(Y305/H305,"0")+IFERROR(Y306/H306,"0")+IFERROR(Y307/H307,"0")+IFERROR(Y308/H308,"0")+IFERROR(Y309/H309,"0")</f>
        <v>3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2.7060000000000001E-2</v>
      </c>
      <c r="AA310" s="644"/>
      <c r="AB310" s="644"/>
      <c r="AC310" s="644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73"/>
      <c r="P311" s="647" t="s">
        <v>71</v>
      </c>
      <c r="Q311" s="648"/>
      <c r="R311" s="648"/>
      <c r="S311" s="648"/>
      <c r="T311" s="648"/>
      <c r="U311" s="648"/>
      <c r="V311" s="649"/>
      <c r="W311" s="37" t="s">
        <v>66</v>
      </c>
      <c r="X311" s="643">
        <f>IFERROR(SUM(X303:X309),"0")</f>
        <v>9</v>
      </c>
      <c r="Y311" s="643">
        <f>IFERROR(SUM(Y303:Y309),"0")</f>
        <v>12</v>
      </c>
      <c r="Z311" s="37"/>
      <c r="AA311" s="644"/>
      <c r="AB311" s="644"/>
      <c r="AC311" s="644"/>
    </row>
    <row r="312" spans="1:68" ht="14.25" hidden="1" customHeight="1" x14ac:dyDescent="0.25">
      <c r="A312" s="650" t="s">
        <v>147</v>
      </c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1"/>
      <c r="P312" s="651"/>
      <c r="Q312" s="651"/>
      <c r="R312" s="651"/>
      <c r="S312" s="651"/>
      <c r="T312" s="651"/>
      <c r="U312" s="651"/>
      <c r="V312" s="651"/>
      <c r="W312" s="651"/>
      <c r="X312" s="651"/>
      <c r="Y312" s="651"/>
      <c r="Z312" s="651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59">
        <v>4680115885981</v>
      </c>
      <c r="E313" s="660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2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73"/>
      <c r="P314" s="647" t="s">
        <v>71</v>
      </c>
      <c r="Q314" s="648"/>
      <c r="R314" s="648"/>
      <c r="S314" s="648"/>
      <c r="T314" s="648"/>
      <c r="U314" s="648"/>
      <c r="V314" s="649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73"/>
      <c r="P315" s="647" t="s">
        <v>71</v>
      </c>
      <c r="Q315" s="648"/>
      <c r="R315" s="648"/>
      <c r="S315" s="648"/>
      <c r="T315" s="648"/>
      <c r="U315" s="648"/>
      <c r="V315" s="649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50" t="s">
        <v>517</v>
      </c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1"/>
      <c r="P316" s="651"/>
      <c r="Q316" s="651"/>
      <c r="R316" s="651"/>
      <c r="S316" s="651"/>
      <c r="T316" s="651"/>
      <c r="U316" s="651"/>
      <c r="V316" s="651"/>
      <c r="W316" s="651"/>
      <c r="X316" s="651"/>
      <c r="Y316" s="651"/>
      <c r="Z316" s="651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59">
        <v>4680115886803</v>
      </c>
      <c r="E317" s="660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4"/>
      <c r="V317" s="34"/>
      <c r="W317" s="35" t="s">
        <v>66</v>
      </c>
      <c r="X317" s="641">
        <v>1</v>
      </c>
      <c r="Y317" s="642">
        <f>IFERROR(IF(X317="",0,CEILING((X317/$H317),1)*$H317),"")</f>
        <v>1.8</v>
      </c>
      <c r="Z317" s="36">
        <f>IFERROR(IF(Y317=0,"",ROUNDUP(Y317/H317,0)*0.0059),"")</f>
        <v>5.8999999999999999E-3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1.0972222222222223</v>
      </c>
      <c r="BN317" s="64">
        <f>IFERROR(Y317*I317/H317,"0")</f>
        <v>1.9750000000000001</v>
      </c>
      <c r="BO317" s="64">
        <f>IFERROR(1/J317*(X317/H317),"0")</f>
        <v>2.5720164609053498E-3</v>
      </c>
      <c r="BP317" s="64">
        <f>IFERROR(1/J317*(Y317/H317),"0")</f>
        <v>4.6296296296296294E-3</v>
      </c>
    </row>
    <row r="318" spans="1:68" x14ac:dyDescent="0.2">
      <c r="A318" s="672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73"/>
      <c r="P318" s="647" t="s">
        <v>71</v>
      </c>
      <c r="Q318" s="648"/>
      <c r="R318" s="648"/>
      <c r="S318" s="648"/>
      <c r="T318" s="648"/>
      <c r="U318" s="648"/>
      <c r="V318" s="649"/>
      <c r="W318" s="37" t="s">
        <v>72</v>
      </c>
      <c r="X318" s="643">
        <f>IFERROR(X317/H317,"0")</f>
        <v>0.55555555555555558</v>
      </c>
      <c r="Y318" s="643">
        <f>IFERROR(Y317/H317,"0")</f>
        <v>1</v>
      </c>
      <c r="Z318" s="643">
        <f>IFERROR(IF(Z317="",0,Z317),"0")</f>
        <v>5.8999999999999999E-3</v>
      </c>
      <c r="AA318" s="644"/>
      <c r="AB318" s="644"/>
      <c r="AC318" s="644"/>
    </row>
    <row r="319" spans="1:68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73"/>
      <c r="P319" s="647" t="s">
        <v>71</v>
      </c>
      <c r="Q319" s="648"/>
      <c r="R319" s="648"/>
      <c r="S319" s="648"/>
      <c r="T319" s="648"/>
      <c r="U319" s="648"/>
      <c r="V319" s="649"/>
      <c r="W319" s="37" t="s">
        <v>66</v>
      </c>
      <c r="X319" s="643">
        <f>IFERROR(SUM(X317:X317),"0")</f>
        <v>1</v>
      </c>
      <c r="Y319" s="643">
        <f>IFERROR(SUM(Y317:Y317),"0")</f>
        <v>1.8</v>
      </c>
      <c r="Z319" s="37"/>
      <c r="AA319" s="644"/>
      <c r="AB319" s="644"/>
      <c r="AC319" s="644"/>
    </row>
    <row r="320" spans="1:68" ht="14.25" hidden="1" customHeight="1" x14ac:dyDescent="0.25">
      <c r="A320" s="650" t="s">
        <v>330</v>
      </c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1"/>
      <c r="P320" s="651"/>
      <c r="Q320" s="651"/>
      <c r="R320" s="651"/>
      <c r="S320" s="651"/>
      <c r="T320" s="651"/>
      <c r="U320" s="651"/>
      <c r="V320" s="651"/>
      <c r="W320" s="651"/>
      <c r="X320" s="651"/>
      <c r="Y320" s="651"/>
      <c r="Z320" s="651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59">
        <v>4680115886681</v>
      </c>
      <c r="E321" s="660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2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73"/>
      <c r="P322" s="647" t="s">
        <v>71</v>
      </c>
      <c r="Q322" s="648"/>
      <c r="R322" s="648"/>
      <c r="S322" s="648"/>
      <c r="T322" s="648"/>
      <c r="U322" s="648"/>
      <c r="V322" s="649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73"/>
      <c r="P323" s="647" t="s">
        <v>71</v>
      </c>
      <c r="Q323" s="648"/>
      <c r="R323" s="648"/>
      <c r="S323" s="648"/>
      <c r="T323" s="648"/>
      <c r="U323" s="648"/>
      <c r="V323" s="649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55" t="s">
        <v>524</v>
      </c>
      <c r="B324" s="651"/>
      <c r="C324" s="651"/>
      <c r="D324" s="651"/>
      <c r="E324" s="651"/>
      <c r="F324" s="651"/>
      <c r="G324" s="651"/>
      <c r="H324" s="651"/>
      <c r="I324" s="651"/>
      <c r="J324" s="651"/>
      <c r="K324" s="651"/>
      <c r="L324" s="651"/>
      <c r="M324" s="651"/>
      <c r="N324" s="651"/>
      <c r="O324" s="651"/>
      <c r="P324" s="651"/>
      <c r="Q324" s="651"/>
      <c r="R324" s="651"/>
      <c r="S324" s="651"/>
      <c r="T324" s="651"/>
      <c r="U324" s="651"/>
      <c r="V324" s="651"/>
      <c r="W324" s="651"/>
      <c r="X324" s="651"/>
      <c r="Y324" s="651"/>
      <c r="Z324" s="651"/>
      <c r="AA324" s="636"/>
      <c r="AB324" s="636"/>
      <c r="AC324" s="636"/>
    </row>
    <row r="325" spans="1:68" ht="14.25" hidden="1" customHeight="1" x14ac:dyDescent="0.25">
      <c r="A325" s="650" t="s">
        <v>110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59">
        <v>4680115885837</v>
      </c>
      <c r="E326" s="660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7"/>
      <c r="R326" s="657"/>
      <c r="S326" s="657"/>
      <c r="T326" s="658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59">
        <v>4680115889637</v>
      </c>
      <c r="E327" s="660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6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7"/>
      <c r="R327" s="657"/>
      <c r="S327" s="657"/>
      <c r="T327" s="658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59">
        <v>4680115887237</v>
      </c>
      <c r="E328" s="660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6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59">
        <v>4680115885806</v>
      </c>
      <c r="E329" s="660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59">
        <v>4680115885844</v>
      </c>
      <c r="E330" s="660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59">
        <v>4680115885820</v>
      </c>
      <c r="E331" s="660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1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2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73"/>
      <c r="P332" s="647" t="s">
        <v>71</v>
      </c>
      <c r="Q332" s="648"/>
      <c r="R332" s="648"/>
      <c r="S332" s="648"/>
      <c r="T332" s="648"/>
      <c r="U332" s="648"/>
      <c r="V332" s="649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73"/>
      <c r="P333" s="647" t="s">
        <v>71</v>
      </c>
      <c r="Q333" s="648"/>
      <c r="R333" s="648"/>
      <c r="S333" s="648"/>
      <c r="T333" s="648"/>
      <c r="U333" s="648"/>
      <c r="V333" s="649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55" t="s">
        <v>543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6"/>
      <c r="AB334" s="636"/>
      <c r="AC334" s="636"/>
    </row>
    <row r="335" spans="1:68" ht="14.25" hidden="1" customHeight="1" x14ac:dyDescent="0.25">
      <c r="A335" s="650" t="s">
        <v>73</v>
      </c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1"/>
      <c r="P335" s="651"/>
      <c r="Q335" s="651"/>
      <c r="R335" s="651"/>
      <c r="S335" s="651"/>
      <c r="T335" s="651"/>
      <c r="U335" s="651"/>
      <c r="V335" s="651"/>
      <c r="W335" s="651"/>
      <c r="X335" s="651"/>
      <c r="Y335" s="651"/>
      <c r="Z335" s="651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59">
        <v>4680115886186</v>
      </c>
      <c r="E336" s="660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3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59">
        <v>4680115881228</v>
      </c>
      <c r="E337" s="660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8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59">
        <v>4680115881211</v>
      </c>
      <c r="E338" s="660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9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4"/>
      <c r="V338" s="34"/>
      <c r="W338" s="35" t="s">
        <v>66</v>
      </c>
      <c r="X338" s="641">
        <v>40</v>
      </c>
      <c r="Y338" s="642">
        <f>IFERROR(IF(X338="",0,CEILING((X338/$H338),1)*$H338),"")</f>
        <v>40.799999999999997</v>
      </c>
      <c r="Z338" s="36">
        <f>IFERROR(IF(Y338=0,"",ROUNDUP(Y338/H338,0)*0.00651),"")</f>
        <v>0.11067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43</v>
      </c>
      <c r="BN338" s="64">
        <f>IFERROR(Y338*I338/H338,"0")</f>
        <v>43.86</v>
      </c>
      <c r="BO338" s="64">
        <f>IFERROR(1/J338*(X338/H338),"0")</f>
        <v>9.1575091575091583E-2</v>
      </c>
      <c r="BP338" s="64">
        <f>IFERROR(1/J338*(Y338/H338),"0")</f>
        <v>9.3406593406593408E-2</v>
      </c>
    </row>
    <row r="339" spans="1:68" x14ac:dyDescent="0.2">
      <c r="A339" s="672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73"/>
      <c r="P339" s="647" t="s">
        <v>71</v>
      </c>
      <c r="Q339" s="648"/>
      <c r="R339" s="648"/>
      <c r="S339" s="648"/>
      <c r="T339" s="648"/>
      <c r="U339" s="648"/>
      <c r="V339" s="649"/>
      <c r="W339" s="37" t="s">
        <v>72</v>
      </c>
      <c r="X339" s="643">
        <f>IFERROR(X336/H336,"0")+IFERROR(X337/H337,"0")+IFERROR(X338/H338,"0")</f>
        <v>16.666666666666668</v>
      </c>
      <c r="Y339" s="643">
        <f>IFERROR(Y336/H336,"0")+IFERROR(Y337/H337,"0")+IFERROR(Y338/H338,"0")</f>
        <v>17</v>
      </c>
      <c r="Z339" s="643">
        <f>IFERROR(IF(Z336="",0,Z336),"0")+IFERROR(IF(Z337="",0,Z337),"0")+IFERROR(IF(Z338="",0,Z338),"0")</f>
        <v>0.11067</v>
      </c>
      <c r="AA339" s="644"/>
      <c r="AB339" s="644"/>
      <c r="AC339" s="644"/>
    </row>
    <row r="340" spans="1:68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73"/>
      <c r="P340" s="647" t="s">
        <v>71</v>
      </c>
      <c r="Q340" s="648"/>
      <c r="R340" s="648"/>
      <c r="S340" s="648"/>
      <c r="T340" s="648"/>
      <c r="U340" s="648"/>
      <c r="V340" s="649"/>
      <c r="W340" s="37" t="s">
        <v>66</v>
      </c>
      <c r="X340" s="643">
        <f>IFERROR(SUM(X336:X338),"0")</f>
        <v>40</v>
      </c>
      <c r="Y340" s="643">
        <f>IFERROR(SUM(Y336:Y338),"0")</f>
        <v>40.799999999999997</v>
      </c>
      <c r="Z340" s="37"/>
      <c r="AA340" s="644"/>
      <c r="AB340" s="644"/>
      <c r="AC340" s="644"/>
    </row>
    <row r="341" spans="1:68" ht="16.5" hidden="1" customHeight="1" x14ac:dyDescent="0.25">
      <c r="A341" s="655" t="s">
        <v>552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6"/>
      <c r="AB341" s="636"/>
      <c r="AC341" s="636"/>
    </row>
    <row r="342" spans="1:68" ht="14.25" hidden="1" customHeight="1" x14ac:dyDescent="0.25">
      <c r="A342" s="650" t="s">
        <v>61</v>
      </c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1"/>
      <c r="P342" s="651"/>
      <c r="Q342" s="651"/>
      <c r="R342" s="651"/>
      <c r="S342" s="651"/>
      <c r="T342" s="651"/>
      <c r="U342" s="651"/>
      <c r="V342" s="651"/>
      <c r="W342" s="651"/>
      <c r="X342" s="651"/>
      <c r="Y342" s="651"/>
      <c r="Z342" s="651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59">
        <v>4680115888319</v>
      </c>
      <c r="E343" s="660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59">
        <v>4680115884700</v>
      </c>
      <c r="E344" s="660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10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59">
        <v>4680115880344</v>
      </c>
      <c r="E345" s="660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59">
        <v>4680115886919</v>
      </c>
      <c r="E346" s="660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2"/>
      <c r="B347" s="651"/>
      <c r="C347" s="651"/>
      <c r="D347" s="651"/>
      <c r="E347" s="651"/>
      <c r="F347" s="651"/>
      <c r="G347" s="651"/>
      <c r="H347" s="651"/>
      <c r="I347" s="651"/>
      <c r="J347" s="651"/>
      <c r="K347" s="651"/>
      <c r="L347" s="651"/>
      <c r="M347" s="651"/>
      <c r="N347" s="651"/>
      <c r="O347" s="673"/>
      <c r="P347" s="647" t="s">
        <v>71</v>
      </c>
      <c r="Q347" s="648"/>
      <c r="R347" s="648"/>
      <c r="S347" s="648"/>
      <c r="T347" s="648"/>
      <c r="U347" s="648"/>
      <c r="V347" s="649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73"/>
      <c r="P348" s="647" t="s">
        <v>71</v>
      </c>
      <c r="Q348" s="648"/>
      <c r="R348" s="648"/>
      <c r="S348" s="648"/>
      <c r="T348" s="648"/>
      <c r="U348" s="648"/>
      <c r="V348" s="649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50" t="s">
        <v>73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59">
        <v>4680115884618</v>
      </c>
      <c r="E350" s="660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7"/>
      <c r="R350" s="657"/>
      <c r="S350" s="657"/>
      <c r="T350" s="658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59">
        <v>4680115887114</v>
      </c>
      <c r="E351" s="660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7"/>
      <c r="R351" s="657"/>
      <c r="S351" s="657"/>
      <c r="T351" s="658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2"/>
      <c r="B352" s="651"/>
      <c r="C352" s="651"/>
      <c r="D352" s="651"/>
      <c r="E352" s="651"/>
      <c r="F352" s="651"/>
      <c r="G352" s="651"/>
      <c r="H352" s="651"/>
      <c r="I352" s="651"/>
      <c r="J352" s="651"/>
      <c r="K352" s="651"/>
      <c r="L352" s="651"/>
      <c r="M352" s="651"/>
      <c r="N352" s="651"/>
      <c r="O352" s="673"/>
      <c r="P352" s="647" t="s">
        <v>71</v>
      </c>
      <c r="Q352" s="648"/>
      <c r="R352" s="648"/>
      <c r="S352" s="648"/>
      <c r="T352" s="648"/>
      <c r="U352" s="648"/>
      <c r="V352" s="649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73"/>
      <c r="P353" s="647" t="s">
        <v>71</v>
      </c>
      <c r="Q353" s="648"/>
      <c r="R353" s="648"/>
      <c r="S353" s="648"/>
      <c r="T353" s="648"/>
      <c r="U353" s="648"/>
      <c r="V353" s="649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55" t="s">
        <v>571</v>
      </c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1"/>
      <c r="P354" s="651"/>
      <c r="Q354" s="651"/>
      <c r="R354" s="651"/>
      <c r="S354" s="651"/>
      <c r="T354" s="651"/>
      <c r="U354" s="651"/>
      <c r="V354" s="651"/>
      <c r="W354" s="651"/>
      <c r="X354" s="651"/>
      <c r="Y354" s="651"/>
      <c r="Z354" s="651"/>
      <c r="AA354" s="636"/>
      <c r="AB354" s="636"/>
      <c r="AC354" s="636"/>
    </row>
    <row r="355" spans="1:68" ht="14.25" hidden="1" customHeight="1" x14ac:dyDescent="0.25">
      <c r="A355" s="650" t="s">
        <v>110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7"/>
      <c r="AB355" s="637"/>
      <c r="AC355" s="637"/>
    </row>
    <row r="356" spans="1:68" ht="27" customHeight="1" x14ac:dyDescent="0.25">
      <c r="A356" s="54" t="s">
        <v>572</v>
      </c>
      <c r="B356" s="54" t="s">
        <v>573</v>
      </c>
      <c r="C356" s="31">
        <v>4301012324</v>
      </c>
      <c r="D356" s="659">
        <v>4680115887947</v>
      </c>
      <c r="E356" s="660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7"/>
      <c r="R356" s="657"/>
      <c r="S356" s="657"/>
      <c r="T356" s="658"/>
      <c r="U356" s="34"/>
      <c r="V356" s="34"/>
      <c r="W356" s="35" t="s">
        <v>66</v>
      </c>
      <c r="X356" s="641">
        <v>50</v>
      </c>
      <c r="Y356" s="642">
        <f>IFERROR(IF(X356="",0,CEILING((X356/$H356),1)*$H356),"")</f>
        <v>54.6</v>
      </c>
      <c r="Z356" s="36">
        <f>IFERROR(IF(Y356=0,"",ROUNDUP(Y356/H356,0)*0.01898),"")</f>
        <v>0.13286000000000001</v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52.628205128205138</v>
      </c>
      <c r="BN356" s="64">
        <f>IFERROR(Y356*I356/H356,"0")</f>
        <v>57.470000000000013</v>
      </c>
      <c r="BO356" s="64">
        <f>IFERROR(1/J356*(X356/H356),"0")</f>
        <v>0.10016025641025642</v>
      </c>
      <c r="BP356" s="64">
        <f>IFERROR(1/J356*(Y356/H356),"0")</f>
        <v>0.109375</v>
      </c>
    </row>
    <row r="357" spans="1:68" ht="27" customHeight="1" x14ac:dyDescent="0.25">
      <c r="A357" s="54" t="s">
        <v>574</v>
      </c>
      <c r="B357" s="54" t="s">
        <v>575</v>
      </c>
      <c r="C357" s="31">
        <v>4301012325</v>
      </c>
      <c r="D357" s="659">
        <v>4680115887978</v>
      </c>
      <c r="E357" s="660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7"/>
      <c r="R357" s="657"/>
      <c r="S357" s="657"/>
      <c r="T357" s="658"/>
      <c r="U357" s="34"/>
      <c r="V357" s="34"/>
      <c r="W357" s="35" t="s">
        <v>66</v>
      </c>
      <c r="X357" s="641">
        <v>141</v>
      </c>
      <c r="Y357" s="642">
        <f>IFERROR(IF(X357="",0,CEILING((X357/$H357),1)*$H357),"")</f>
        <v>148.19999999999999</v>
      </c>
      <c r="Z357" s="36">
        <f>IFERROR(IF(Y357=0,"",ROUNDUP(Y357/H357,0)*0.01898),"")</f>
        <v>0.36062</v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148.41153846153847</v>
      </c>
      <c r="BN357" s="64">
        <f>IFERROR(Y357*I357/H357,"0")</f>
        <v>155.99</v>
      </c>
      <c r="BO357" s="64">
        <f>IFERROR(1/J357*(X357/H357),"0")</f>
        <v>0.28245192307692307</v>
      </c>
      <c r="BP357" s="64">
        <f>IFERROR(1/J357*(Y357/H357),"0")</f>
        <v>0.296875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59">
        <v>4680115887992</v>
      </c>
      <c r="E358" s="660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7"/>
      <c r="R358" s="657"/>
      <c r="S358" s="657"/>
      <c r="T358" s="658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2"/>
      <c r="B359" s="651"/>
      <c r="C359" s="651"/>
      <c r="D359" s="651"/>
      <c r="E359" s="651"/>
      <c r="F359" s="651"/>
      <c r="G359" s="651"/>
      <c r="H359" s="651"/>
      <c r="I359" s="651"/>
      <c r="J359" s="651"/>
      <c r="K359" s="651"/>
      <c r="L359" s="651"/>
      <c r="M359" s="651"/>
      <c r="N359" s="651"/>
      <c r="O359" s="673"/>
      <c r="P359" s="647" t="s">
        <v>71</v>
      </c>
      <c r="Q359" s="648"/>
      <c r="R359" s="648"/>
      <c r="S359" s="648"/>
      <c r="T359" s="648"/>
      <c r="U359" s="648"/>
      <c r="V359" s="649"/>
      <c r="W359" s="37" t="s">
        <v>72</v>
      </c>
      <c r="X359" s="643">
        <f>IFERROR(X356/H356,"0")+IFERROR(X357/H357,"0")+IFERROR(X358/H358,"0")</f>
        <v>24.487179487179489</v>
      </c>
      <c r="Y359" s="643">
        <f>IFERROR(Y356/H356,"0")+IFERROR(Y357/H357,"0")+IFERROR(Y358/H358,"0")</f>
        <v>26</v>
      </c>
      <c r="Z359" s="643">
        <f>IFERROR(IF(Z356="",0,Z356),"0")+IFERROR(IF(Z357="",0,Z357),"0")+IFERROR(IF(Z358="",0,Z358),"0")</f>
        <v>0.49348000000000003</v>
      </c>
      <c r="AA359" s="644"/>
      <c r="AB359" s="644"/>
      <c r="AC359" s="644"/>
    </row>
    <row r="360" spans="1:68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73"/>
      <c r="P360" s="647" t="s">
        <v>71</v>
      </c>
      <c r="Q360" s="648"/>
      <c r="R360" s="648"/>
      <c r="S360" s="648"/>
      <c r="T360" s="648"/>
      <c r="U360" s="648"/>
      <c r="V360" s="649"/>
      <c r="W360" s="37" t="s">
        <v>66</v>
      </c>
      <c r="X360" s="643">
        <f>IFERROR(SUM(X356:X358),"0")</f>
        <v>191</v>
      </c>
      <c r="Y360" s="643">
        <f>IFERROR(SUM(Y356:Y358),"0")</f>
        <v>202.79999999999998</v>
      </c>
      <c r="Z360" s="37"/>
      <c r="AA360" s="644"/>
      <c r="AB360" s="644"/>
      <c r="AC360" s="644"/>
    </row>
    <row r="361" spans="1:68" ht="16.5" hidden="1" customHeight="1" x14ac:dyDescent="0.25">
      <c r="A361" s="655" t="s">
        <v>580</v>
      </c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1"/>
      <c r="P361" s="651"/>
      <c r="Q361" s="651"/>
      <c r="R361" s="651"/>
      <c r="S361" s="651"/>
      <c r="T361" s="651"/>
      <c r="U361" s="651"/>
      <c r="V361" s="651"/>
      <c r="W361" s="651"/>
      <c r="X361" s="651"/>
      <c r="Y361" s="651"/>
      <c r="Z361" s="651"/>
      <c r="AA361" s="636"/>
      <c r="AB361" s="636"/>
      <c r="AC361" s="636"/>
    </row>
    <row r="362" spans="1:68" ht="14.25" hidden="1" customHeight="1" x14ac:dyDescent="0.25">
      <c r="A362" s="650" t="s">
        <v>110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59">
        <v>4680115889293</v>
      </c>
      <c r="E363" s="660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98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7"/>
      <c r="R363" s="657"/>
      <c r="S363" s="657"/>
      <c r="T363" s="658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59">
        <v>4680115887190</v>
      </c>
      <c r="E364" s="660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7"/>
      <c r="R364" s="657"/>
      <c r="S364" s="657"/>
      <c r="T364" s="658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59">
        <v>4680115889880</v>
      </c>
      <c r="E365" s="660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81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7"/>
      <c r="R365" s="657"/>
      <c r="S365" s="657"/>
      <c r="T365" s="658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59">
        <v>4680115887138</v>
      </c>
      <c r="E366" s="660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57"/>
      <c r="R366" s="657"/>
      <c r="S366" s="657"/>
      <c r="T366" s="658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4301012016</v>
      </c>
      <c r="D367" s="659">
        <v>4680115885554</v>
      </c>
      <c r="E367" s="660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57"/>
      <c r="R367" s="657"/>
      <c r="S367" s="657"/>
      <c r="T367" s="658"/>
      <c r="U367" s="34"/>
      <c r="V367" s="34"/>
      <c r="W367" s="35" t="s">
        <v>66</v>
      </c>
      <c r="X367" s="641">
        <v>4</v>
      </c>
      <c r="Y367" s="642">
        <f t="shared" si="62"/>
        <v>10.8</v>
      </c>
      <c r="Z367" s="36">
        <f>IFERROR(IF(Y367=0,"",ROUNDUP(Y367/H367,0)*0.01898),"")</f>
        <v>1.898E-2</v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4.1518518518518519</v>
      </c>
      <c r="BN367" s="64">
        <f t="shared" si="64"/>
        <v>11.21</v>
      </c>
      <c r="BO367" s="64">
        <f t="shared" si="65"/>
        <v>5.7870370370370367E-3</v>
      </c>
      <c r="BP367" s="64">
        <f t="shared" si="66"/>
        <v>1.5625E-2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59">
        <v>4680115887220</v>
      </c>
      <c r="E368" s="660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10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57"/>
      <c r="R368" s="657"/>
      <c r="S368" s="657"/>
      <c r="T368" s="658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59">
        <v>4680115885608</v>
      </c>
      <c r="E369" s="660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57"/>
      <c r="R369" s="657"/>
      <c r="S369" s="657"/>
      <c r="T369" s="658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x14ac:dyDescent="0.2">
      <c r="A370" s="672"/>
      <c r="B370" s="651"/>
      <c r="C370" s="651"/>
      <c r="D370" s="651"/>
      <c r="E370" s="651"/>
      <c r="F370" s="651"/>
      <c r="G370" s="651"/>
      <c r="H370" s="651"/>
      <c r="I370" s="651"/>
      <c r="J370" s="651"/>
      <c r="K370" s="651"/>
      <c r="L370" s="651"/>
      <c r="M370" s="651"/>
      <c r="N370" s="651"/>
      <c r="O370" s="673"/>
      <c r="P370" s="647" t="s">
        <v>71</v>
      </c>
      <c r="Q370" s="648"/>
      <c r="R370" s="648"/>
      <c r="S370" s="648"/>
      <c r="T370" s="648"/>
      <c r="U370" s="648"/>
      <c r="V370" s="649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0.37037037037037035</v>
      </c>
      <c r="Y370" s="643">
        <f>IFERROR(Y363/H363,"0")+IFERROR(Y364/H364,"0")+IFERROR(Y365/H365,"0")+IFERROR(Y366/H366,"0")+IFERROR(Y367/H367,"0")+IFERROR(Y368/H368,"0")+IFERROR(Y369/H369,"0")</f>
        <v>1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1.898E-2</v>
      </c>
      <c r="AA370" s="644"/>
      <c r="AB370" s="644"/>
      <c r="AC370" s="644"/>
    </row>
    <row r="371" spans="1:68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73"/>
      <c r="P371" s="647" t="s">
        <v>71</v>
      </c>
      <c r="Q371" s="648"/>
      <c r="R371" s="648"/>
      <c r="S371" s="648"/>
      <c r="T371" s="648"/>
      <c r="U371" s="648"/>
      <c r="V371" s="649"/>
      <c r="W371" s="37" t="s">
        <v>66</v>
      </c>
      <c r="X371" s="643">
        <f>IFERROR(SUM(X363:X369),"0")</f>
        <v>4</v>
      </c>
      <c r="Y371" s="643">
        <f>IFERROR(SUM(Y363:Y369),"0")</f>
        <v>10.8</v>
      </c>
      <c r="Z371" s="37"/>
      <c r="AA371" s="644"/>
      <c r="AB371" s="644"/>
      <c r="AC371" s="644"/>
    </row>
    <row r="372" spans="1:68" ht="14.25" hidden="1" customHeight="1" x14ac:dyDescent="0.25">
      <c r="A372" s="650" t="s">
        <v>61</v>
      </c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1"/>
      <c r="P372" s="651"/>
      <c r="Q372" s="651"/>
      <c r="R372" s="651"/>
      <c r="S372" s="651"/>
      <c r="T372" s="651"/>
      <c r="U372" s="651"/>
      <c r="V372" s="651"/>
      <c r="W372" s="651"/>
      <c r="X372" s="651"/>
      <c r="Y372" s="651"/>
      <c r="Z372" s="651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59">
        <v>4607091387193</v>
      </c>
      <c r="E373" s="660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57"/>
      <c r="R373" s="657"/>
      <c r="S373" s="657"/>
      <c r="T373" s="658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customHeight="1" x14ac:dyDescent="0.25">
      <c r="A374" s="54" t="s">
        <v>603</v>
      </c>
      <c r="B374" s="54" t="s">
        <v>604</v>
      </c>
      <c r="C374" s="31">
        <v>4301031153</v>
      </c>
      <c r="D374" s="659">
        <v>4607091387230</v>
      </c>
      <c r="E374" s="660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57"/>
      <c r="R374" s="657"/>
      <c r="S374" s="657"/>
      <c r="T374" s="658"/>
      <c r="U374" s="34"/>
      <c r="V374" s="34"/>
      <c r="W374" s="35" t="s">
        <v>66</v>
      </c>
      <c r="X374" s="641">
        <v>20</v>
      </c>
      <c r="Y374" s="642">
        <f t="shared" si="67"/>
        <v>21</v>
      </c>
      <c r="Z374" s="36">
        <f>IFERROR(IF(Y374=0,"",ROUNDUP(Y374/H374,0)*0.00902),"")</f>
        <v>4.5100000000000001E-2</v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21.19047619047619</v>
      </c>
      <c r="BN374" s="64">
        <f t="shared" si="69"/>
        <v>22.25</v>
      </c>
      <c r="BO374" s="64">
        <f t="shared" si="70"/>
        <v>3.6075036075036072E-2</v>
      </c>
      <c r="BP374" s="64">
        <f t="shared" si="71"/>
        <v>3.787878787878788E-2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59">
        <v>4607091387292</v>
      </c>
      <c r="E375" s="660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57"/>
      <c r="R375" s="657"/>
      <c r="S375" s="657"/>
      <c r="T375" s="658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59">
        <v>4607091387285</v>
      </c>
      <c r="E376" s="660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57"/>
      <c r="R376" s="657"/>
      <c r="S376" s="657"/>
      <c r="T376" s="658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59">
        <v>4607091389845</v>
      </c>
      <c r="E377" s="660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57"/>
      <c r="R377" s="657"/>
      <c r="S377" s="657"/>
      <c r="T377" s="658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59">
        <v>4680115887442</v>
      </c>
      <c r="E378" s="660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57"/>
      <c r="R378" s="657"/>
      <c r="S378" s="657"/>
      <c r="T378" s="658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59">
        <v>4607091383836</v>
      </c>
      <c r="E379" s="660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57"/>
      <c r="R379" s="657"/>
      <c r="S379" s="657"/>
      <c r="T379" s="658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x14ac:dyDescent="0.2">
      <c r="A380" s="672"/>
      <c r="B380" s="651"/>
      <c r="C380" s="651"/>
      <c r="D380" s="651"/>
      <c r="E380" s="651"/>
      <c r="F380" s="651"/>
      <c r="G380" s="651"/>
      <c r="H380" s="651"/>
      <c r="I380" s="651"/>
      <c r="J380" s="651"/>
      <c r="K380" s="651"/>
      <c r="L380" s="651"/>
      <c r="M380" s="651"/>
      <c r="N380" s="651"/>
      <c r="O380" s="673"/>
      <c r="P380" s="647" t="s">
        <v>71</v>
      </c>
      <c r="Q380" s="648"/>
      <c r="R380" s="648"/>
      <c r="S380" s="648"/>
      <c r="T380" s="648"/>
      <c r="U380" s="648"/>
      <c r="V380" s="649"/>
      <c r="W380" s="37" t="s">
        <v>72</v>
      </c>
      <c r="X380" s="643">
        <f>IFERROR(X373/H373,"0")+IFERROR(X374/H374,"0")+IFERROR(X375/H375,"0")+IFERROR(X376/H376,"0")+IFERROR(X377/H377,"0")+IFERROR(X378/H378,"0")+IFERROR(X379/H379,"0")</f>
        <v>4.7619047619047619</v>
      </c>
      <c r="Y380" s="643">
        <f>IFERROR(Y373/H373,"0")+IFERROR(Y374/H374,"0")+IFERROR(Y375/H375,"0")+IFERROR(Y376/H376,"0")+IFERROR(Y377/H377,"0")+IFERROR(Y378/H378,"0")+IFERROR(Y379/H379,"0")</f>
        <v>5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4.5100000000000001E-2</v>
      </c>
      <c r="AA380" s="644"/>
      <c r="AB380" s="644"/>
      <c r="AC380" s="644"/>
    </row>
    <row r="381" spans="1:68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73"/>
      <c r="P381" s="647" t="s">
        <v>71</v>
      </c>
      <c r="Q381" s="648"/>
      <c r="R381" s="648"/>
      <c r="S381" s="648"/>
      <c r="T381" s="648"/>
      <c r="U381" s="648"/>
      <c r="V381" s="649"/>
      <c r="W381" s="37" t="s">
        <v>66</v>
      </c>
      <c r="X381" s="643">
        <f>IFERROR(SUM(X373:X379),"0")</f>
        <v>20</v>
      </c>
      <c r="Y381" s="643">
        <f>IFERROR(SUM(Y373:Y379),"0")</f>
        <v>21</v>
      </c>
      <c r="Z381" s="37"/>
      <c r="AA381" s="644"/>
      <c r="AB381" s="644"/>
      <c r="AC381" s="644"/>
    </row>
    <row r="382" spans="1:68" ht="14.25" hidden="1" customHeight="1" x14ac:dyDescent="0.25">
      <c r="A382" s="650" t="s">
        <v>73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59">
        <v>4607091387766</v>
      </c>
      <c r="E383" s="660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100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57"/>
      <c r="R383" s="657"/>
      <c r="S383" s="657"/>
      <c r="T383" s="658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59">
        <v>4607091387957</v>
      </c>
      <c r="E384" s="660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57"/>
      <c r="R384" s="657"/>
      <c r="S384" s="657"/>
      <c r="T384" s="658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59">
        <v>4607091387964</v>
      </c>
      <c r="E385" s="660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57"/>
      <c r="R385" s="657"/>
      <c r="S385" s="657"/>
      <c r="T385" s="658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59">
        <v>4680115884588</v>
      </c>
      <c r="E386" s="660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57"/>
      <c r="R386" s="657"/>
      <c r="S386" s="657"/>
      <c r="T386" s="658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2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73"/>
      <c r="P387" s="647" t="s">
        <v>71</v>
      </c>
      <c r="Q387" s="648"/>
      <c r="R387" s="648"/>
      <c r="S387" s="648"/>
      <c r="T387" s="648"/>
      <c r="U387" s="648"/>
      <c r="V387" s="649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73"/>
      <c r="P388" s="647" t="s">
        <v>71</v>
      </c>
      <c r="Q388" s="648"/>
      <c r="R388" s="648"/>
      <c r="S388" s="648"/>
      <c r="T388" s="648"/>
      <c r="U388" s="648"/>
      <c r="V388" s="649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50" t="s">
        <v>166</v>
      </c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1"/>
      <c r="P389" s="651"/>
      <c r="Q389" s="651"/>
      <c r="R389" s="651"/>
      <c r="S389" s="651"/>
      <c r="T389" s="651"/>
      <c r="U389" s="651"/>
      <c r="V389" s="651"/>
      <c r="W389" s="651"/>
      <c r="X389" s="651"/>
      <c r="Y389" s="651"/>
      <c r="Z389" s="651"/>
      <c r="AA389" s="637"/>
      <c r="AB389" s="637"/>
      <c r="AC389" s="637"/>
    </row>
    <row r="390" spans="1:68" ht="27" hidden="1" customHeight="1" x14ac:dyDescent="0.25">
      <c r="A390" s="54" t="s">
        <v>630</v>
      </c>
      <c r="B390" s="54" t="s">
        <v>631</v>
      </c>
      <c r="C390" s="31">
        <v>4301060387</v>
      </c>
      <c r="D390" s="659">
        <v>4607091380880</v>
      </c>
      <c r="E390" s="660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6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57"/>
      <c r="R390" s="657"/>
      <c r="S390" s="657"/>
      <c r="T390" s="658"/>
      <c r="U390" s="34"/>
      <c r="V390" s="34"/>
      <c r="W390" s="35" t="s">
        <v>66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59">
        <v>4607091384482</v>
      </c>
      <c r="E391" s="660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57"/>
      <c r="R391" s="657"/>
      <c r="S391" s="657"/>
      <c r="T391" s="658"/>
      <c r="U391" s="34"/>
      <c r="V391" s="34"/>
      <c r="W391" s="35" t="s">
        <v>66</v>
      </c>
      <c r="X391" s="641">
        <v>200</v>
      </c>
      <c r="Y391" s="642">
        <f>IFERROR(IF(X391="",0,CEILING((X391/$H391),1)*$H391),"")</f>
        <v>202.79999999999998</v>
      </c>
      <c r="Z391" s="36">
        <f>IFERROR(IF(Y391=0,"",ROUNDUP(Y391/H391,0)*0.01898),"")</f>
        <v>0.49348000000000003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212.66666666666669</v>
      </c>
      <c r="BN391" s="64">
        <f>IFERROR(Y391*I391/H391,"0")</f>
        <v>215.64399999999998</v>
      </c>
      <c r="BO391" s="64">
        <f>IFERROR(1/J391*(X391/H391),"0")</f>
        <v>0.40064102564102566</v>
      </c>
      <c r="BP391" s="64">
        <f>IFERROR(1/J391*(Y391/H391),"0")</f>
        <v>0.40625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59">
        <v>4607091380897</v>
      </c>
      <c r="E392" s="660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57"/>
      <c r="R392" s="657"/>
      <c r="S392" s="657"/>
      <c r="T392" s="658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2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73"/>
      <c r="P393" s="647" t="s">
        <v>71</v>
      </c>
      <c r="Q393" s="648"/>
      <c r="R393" s="648"/>
      <c r="S393" s="648"/>
      <c r="T393" s="648"/>
      <c r="U393" s="648"/>
      <c r="V393" s="649"/>
      <c r="W393" s="37" t="s">
        <v>72</v>
      </c>
      <c r="X393" s="643">
        <f>IFERROR(X390/H390,"0")+IFERROR(X391/H391,"0")+IFERROR(X392/H392,"0")</f>
        <v>25.641025641025642</v>
      </c>
      <c r="Y393" s="643">
        <f>IFERROR(Y390/H390,"0")+IFERROR(Y391/H391,"0")+IFERROR(Y392/H392,"0")</f>
        <v>26</v>
      </c>
      <c r="Z393" s="643">
        <f>IFERROR(IF(Z390="",0,Z390),"0")+IFERROR(IF(Z391="",0,Z391),"0")+IFERROR(IF(Z392="",0,Z392),"0")</f>
        <v>0.49348000000000003</v>
      </c>
      <c r="AA393" s="644"/>
      <c r="AB393" s="644"/>
      <c r="AC393" s="644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73"/>
      <c r="P394" s="647" t="s">
        <v>71</v>
      </c>
      <c r="Q394" s="648"/>
      <c r="R394" s="648"/>
      <c r="S394" s="648"/>
      <c r="T394" s="648"/>
      <c r="U394" s="648"/>
      <c r="V394" s="649"/>
      <c r="W394" s="37" t="s">
        <v>66</v>
      </c>
      <c r="X394" s="643">
        <f>IFERROR(SUM(X390:X392),"0")</f>
        <v>200</v>
      </c>
      <c r="Y394" s="643">
        <f>IFERROR(SUM(Y390:Y392),"0")</f>
        <v>202.79999999999998</v>
      </c>
      <c r="Z394" s="37"/>
      <c r="AA394" s="644"/>
      <c r="AB394" s="644"/>
      <c r="AC394" s="644"/>
    </row>
    <row r="395" spans="1:68" ht="14.25" hidden="1" customHeight="1" x14ac:dyDescent="0.25">
      <c r="A395" s="650" t="s">
        <v>266</v>
      </c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1"/>
      <c r="P395" s="651"/>
      <c r="Q395" s="651"/>
      <c r="R395" s="651"/>
      <c r="S395" s="651"/>
      <c r="T395" s="651"/>
      <c r="U395" s="651"/>
      <c r="V395" s="651"/>
      <c r="W395" s="651"/>
      <c r="X395" s="651"/>
      <c r="Y395" s="651"/>
      <c r="Z395" s="651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59">
        <v>4607091388381</v>
      </c>
      <c r="E396" s="660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57"/>
      <c r="R396" s="657"/>
      <c r="S396" s="657"/>
      <c r="T396" s="658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59">
        <v>4607091388374</v>
      </c>
      <c r="E397" s="660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57"/>
      <c r="R397" s="657"/>
      <c r="S397" s="657"/>
      <c r="T397" s="658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59">
        <v>4607091383102</v>
      </c>
      <c r="E398" s="660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57"/>
      <c r="R398" s="657"/>
      <c r="S398" s="657"/>
      <c r="T398" s="658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59">
        <v>4607091388404</v>
      </c>
      <c r="E399" s="660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8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57"/>
      <c r="R399" s="657"/>
      <c r="S399" s="657"/>
      <c r="T399" s="658"/>
      <c r="U399" s="34"/>
      <c r="V399" s="34"/>
      <c r="W399" s="35" t="s">
        <v>66</v>
      </c>
      <c r="X399" s="641">
        <v>53</v>
      </c>
      <c r="Y399" s="642">
        <f>IFERROR(IF(X399="",0,CEILING((X399/$H399),1)*$H399),"")</f>
        <v>53.55</v>
      </c>
      <c r="Z399" s="36">
        <f>IFERROR(IF(Y399=0,"",ROUNDUP(Y399/H399,0)*0.00651),"")</f>
        <v>0.13671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59.858823529411765</v>
      </c>
      <c r="BN399" s="64">
        <f>IFERROR(Y399*I399/H399,"0")</f>
        <v>60.48</v>
      </c>
      <c r="BO399" s="64">
        <f>IFERROR(1/J399*(X399/H399),"0")</f>
        <v>0.11419952596423186</v>
      </c>
      <c r="BP399" s="64">
        <f>IFERROR(1/J399*(Y399/H399),"0")</f>
        <v>0.11538461538461539</v>
      </c>
    </row>
    <row r="400" spans="1:68" x14ac:dyDescent="0.2">
      <c r="A400" s="672"/>
      <c r="B400" s="651"/>
      <c r="C400" s="651"/>
      <c r="D400" s="651"/>
      <c r="E400" s="651"/>
      <c r="F400" s="651"/>
      <c r="G400" s="651"/>
      <c r="H400" s="651"/>
      <c r="I400" s="651"/>
      <c r="J400" s="651"/>
      <c r="K400" s="651"/>
      <c r="L400" s="651"/>
      <c r="M400" s="651"/>
      <c r="N400" s="651"/>
      <c r="O400" s="673"/>
      <c r="P400" s="647" t="s">
        <v>71</v>
      </c>
      <c r="Q400" s="648"/>
      <c r="R400" s="648"/>
      <c r="S400" s="648"/>
      <c r="T400" s="648"/>
      <c r="U400" s="648"/>
      <c r="V400" s="649"/>
      <c r="W400" s="37" t="s">
        <v>72</v>
      </c>
      <c r="X400" s="643">
        <f>IFERROR(X396/H396,"0")+IFERROR(X397/H397,"0")+IFERROR(X398/H398,"0")+IFERROR(X399/H399,"0")</f>
        <v>20.784313725490197</v>
      </c>
      <c r="Y400" s="643">
        <f>IFERROR(Y396/H396,"0")+IFERROR(Y397/H397,"0")+IFERROR(Y398/H398,"0")+IFERROR(Y399/H399,"0")</f>
        <v>21</v>
      </c>
      <c r="Z400" s="643">
        <f>IFERROR(IF(Z396="",0,Z396),"0")+IFERROR(IF(Z397="",0,Z397),"0")+IFERROR(IF(Z398="",0,Z398),"0")+IFERROR(IF(Z399="",0,Z399),"0")</f>
        <v>0.13671</v>
      </c>
      <c r="AA400" s="644"/>
      <c r="AB400" s="644"/>
      <c r="AC400" s="644"/>
    </row>
    <row r="401" spans="1:68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73"/>
      <c r="P401" s="647" t="s">
        <v>71</v>
      </c>
      <c r="Q401" s="648"/>
      <c r="R401" s="648"/>
      <c r="S401" s="648"/>
      <c r="T401" s="648"/>
      <c r="U401" s="648"/>
      <c r="V401" s="649"/>
      <c r="W401" s="37" t="s">
        <v>66</v>
      </c>
      <c r="X401" s="643">
        <f>IFERROR(SUM(X396:X399),"0")</f>
        <v>53</v>
      </c>
      <c r="Y401" s="643">
        <f>IFERROR(SUM(Y396:Y399),"0")</f>
        <v>53.55</v>
      </c>
      <c r="Z401" s="37"/>
      <c r="AA401" s="644"/>
      <c r="AB401" s="644"/>
      <c r="AC401" s="644"/>
    </row>
    <row r="402" spans="1:68" ht="14.25" hidden="1" customHeight="1" x14ac:dyDescent="0.25">
      <c r="A402" s="650" t="s">
        <v>648</v>
      </c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1"/>
      <c r="P402" s="651"/>
      <c r="Q402" s="651"/>
      <c r="R402" s="651"/>
      <c r="S402" s="651"/>
      <c r="T402" s="651"/>
      <c r="U402" s="651"/>
      <c r="V402" s="651"/>
      <c r="W402" s="651"/>
      <c r="X402" s="651"/>
      <c r="Y402" s="651"/>
      <c r="Z402" s="651"/>
      <c r="AA402" s="637"/>
      <c r="AB402" s="637"/>
      <c r="AC402" s="637"/>
    </row>
    <row r="403" spans="1:68" ht="16.5" hidden="1" customHeight="1" x14ac:dyDescent="0.25">
      <c r="A403" s="54" t="s">
        <v>649</v>
      </c>
      <c r="B403" s="54" t="s">
        <v>650</v>
      </c>
      <c r="C403" s="31">
        <v>4301180007</v>
      </c>
      <c r="D403" s="659">
        <v>4680115881808</v>
      </c>
      <c r="E403" s="660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57"/>
      <c r="R403" s="657"/>
      <c r="S403" s="657"/>
      <c r="T403" s="658"/>
      <c r="U403" s="34"/>
      <c r="V403" s="34"/>
      <c r="W403" s="35" t="s">
        <v>66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59">
        <v>4680115881822</v>
      </c>
      <c r="E404" s="660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57"/>
      <c r="R404" s="657"/>
      <c r="S404" s="657"/>
      <c r="T404" s="658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655</v>
      </c>
      <c r="B405" s="54" t="s">
        <v>656</v>
      </c>
      <c r="C405" s="31">
        <v>4301180001</v>
      </c>
      <c r="D405" s="659">
        <v>4680115880016</v>
      </c>
      <c r="E405" s="660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57"/>
      <c r="R405" s="657"/>
      <c r="S405" s="657"/>
      <c r="T405" s="658"/>
      <c r="U405" s="34"/>
      <c r="V405" s="34"/>
      <c r="W405" s="35" t="s">
        <v>66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72"/>
      <c r="B406" s="651"/>
      <c r="C406" s="651"/>
      <c r="D406" s="651"/>
      <c r="E406" s="651"/>
      <c r="F406" s="651"/>
      <c r="G406" s="651"/>
      <c r="H406" s="651"/>
      <c r="I406" s="651"/>
      <c r="J406" s="651"/>
      <c r="K406" s="651"/>
      <c r="L406" s="651"/>
      <c r="M406" s="651"/>
      <c r="N406" s="651"/>
      <c r="O406" s="673"/>
      <c r="P406" s="647" t="s">
        <v>71</v>
      </c>
      <c r="Q406" s="648"/>
      <c r="R406" s="648"/>
      <c r="S406" s="648"/>
      <c r="T406" s="648"/>
      <c r="U406" s="648"/>
      <c r="V406" s="649"/>
      <c r="W406" s="37" t="s">
        <v>72</v>
      </c>
      <c r="X406" s="643">
        <f>IFERROR(X403/H403,"0")+IFERROR(X404/H404,"0")+IFERROR(X405/H405,"0")</f>
        <v>0</v>
      </c>
      <c r="Y406" s="643">
        <f>IFERROR(Y403/H403,"0")+IFERROR(Y404/H404,"0")+IFERROR(Y405/H405,"0")</f>
        <v>0</v>
      </c>
      <c r="Z406" s="643">
        <f>IFERROR(IF(Z403="",0,Z403),"0")+IFERROR(IF(Z404="",0,Z404),"0")+IFERROR(IF(Z405="",0,Z405),"0")</f>
        <v>0</v>
      </c>
      <c r="AA406" s="644"/>
      <c r="AB406" s="644"/>
      <c r="AC406" s="644"/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73"/>
      <c r="P407" s="647" t="s">
        <v>71</v>
      </c>
      <c r="Q407" s="648"/>
      <c r="R407" s="648"/>
      <c r="S407" s="648"/>
      <c r="T407" s="648"/>
      <c r="U407" s="648"/>
      <c r="V407" s="649"/>
      <c r="W407" s="37" t="s">
        <v>66</v>
      </c>
      <c r="X407" s="643">
        <f>IFERROR(SUM(X403:X405),"0")</f>
        <v>0</v>
      </c>
      <c r="Y407" s="643">
        <f>IFERROR(SUM(Y403:Y405),"0")</f>
        <v>0</v>
      </c>
      <c r="Z407" s="37"/>
      <c r="AA407" s="644"/>
      <c r="AB407" s="644"/>
      <c r="AC407" s="644"/>
    </row>
    <row r="408" spans="1:68" ht="14.25" hidden="1" customHeight="1" x14ac:dyDescent="0.25">
      <c r="A408" s="650" t="s">
        <v>657</v>
      </c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1"/>
      <c r="P408" s="651"/>
      <c r="Q408" s="651"/>
      <c r="R408" s="651"/>
      <c r="S408" s="651"/>
      <c r="T408" s="651"/>
      <c r="U408" s="651"/>
      <c r="V408" s="651"/>
      <c r="W408" s="651"/>
      <c r="X408" s="651"/>
      <c r="Y408" s="651"/>
      <c r="Z408" s="651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59">
        <v>4680115888678</v>
      </c>
      <c r="E409" s="660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57"/>
      <c r="R409" s="657"/>
      <c r="S409" s="657"/>
      <c r="T409" s="658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59">
        <v>4680115888654</v>
      </c>
      <c r="E410" s="660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57"/>
      <c r="R410" s="657"/>
      <c r="S410" s="657"/>
      <c r="T410" s="658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59">
        <v>4680115888753</v>
      </c>
      <c r="E411" s="660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57"/>
      <c r="R411" s="657"/>
      <c r="S411" s="657"/>
      <c r="T411" s="658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2"/>
      <c r="B412" s="651"/>
      <c r="C412" s="651"/>
      <c r="D412" s="651"/>
      <c r="E412" s="651"/>
      <c r="F412" s="651"/>
      <c r="G412" s="651"/>
      <c r="H412" s="651"/>
      <c r="I412" s="651"/>
      <c r="J412" s="651"/>
      <c r="K412" s="651"/>
      <c r="L412" s="651"/>
      <c r="M412" s="651"/>
      <c r="N412" s="651"/>
      <c r="O412" s="673"/>
      <c r="P412" s="647" t="s">
        <v>71</v>
      </c>
      <c r="Q412" s="648"/>
      <c r="R412" s="648"/>
      <c r="S412" s="648"/>
      <c r="T412" s="648"/>
      <c r="U412" s="648"/>
      <c r="V412" s="649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73"/>
      <c r="P413" s="647" t="s">
        <v>71</v>
      </c>
      <c r="Q413" s="648"/>
      <c r="R413" s="648"/>
      <c r="S413" s="648"/>
      <c r="T413" s="648"/>
      <c r="U413" s="648"/>
      <c r="V413" s="649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55" t="s">
        <v>666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6"/>
      <c r="AB414" s="636"/>
      <c r="AC414" s="636"/>
    </row>
    <row r="415" spans="1:68" ht="14.25" hidden="1" customHeight="1" x14ac:dyDescent="0.25">
      <c r="A415" s="650" t="s">
        <v>73</v>
      </c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1"/>
      <c r="P415" s="651"/>
      <c r="Q415" s="651"/>
      <c r="R415" s="651"/>
      <c r="S415" s="651"/>
      <c r="T415" s="651"/>
      <c r="U415" s="651"/>
      <c r="V415" s="651"/>
      <c r="W415" s="651"/>
      <c r="X415" s="651"/>
      <c r="Y415" s="651"/>
      <c r="Z415" s="651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59">
        <v>4680115889415</v>
      </c>
      <c r="E416" s="660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57"/>
      <c r="R416" s="657"/>
      <c r="S416" s="657"/>
      <c r="T416" s="658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59">
        <v>4680115889422</v>
      </c>
      <c r="E417" s="660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57"/>
      <c r="R417" s="657"/>
      <c r="S417" s="657"/>
      <c r="T417" s="658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2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73"/>
      <c r="P418" s="647" t="s">
        <v>71</v>
      </c>
      <c r="Q418" s="648"/>
      <c r="R418" s="648"/>
      <c r="S418" s="648"/>
      <c r="T418" s="648"/>
      <c r="U418" s="648"/>
      <c r="V418" s="649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73"/>
      <c r="P419" s="647" t="s">
        <v>71</v>
      </c>
      <c r="Q419" s="648"/>
      <c r="R419" s="648"/>
      <c r="S419" s="648"/>
      <c r="T419" s="648"/>
      <c r="U419" s="648"/>
      <c r="V419" s="649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55" t="s">
        <v>673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36"/>
      <c r="AB420" s="636"/>
      <c r="AC420" s="636"/>
    </row>
    <row r="421" spans="1:68" ht="14.25" hidden="1" customHeight="1" x14ac:dyDescent="0.25">
      <c r="A421" s="650" t="s">
        <v>73</v>
      </c>
      <c r="B421" s="651"/>
      <c r="C421" s="651"/>
      <c r="D421" s="651"/>
      <c r="E421" s="651"/>
      <c r="F421" s="651"/>
      <c r="G421" s="651"/>
      <c r="H421" s="651"/>
      <c r="I421" s="651"/>
      <c r="J421" s="651"/>
      <c r="K421" s="651"/>
      <c r="L421" s="651"/>
      <c r="M421" s="651"/>
      <c r="N421" s="651"/>
      <c r="O421" s="651"/>
      <c r="P421" s="651"/>
      <c r="Q421" s="651"/>
      <c r="R421" s="651"/>
      <c r="S421" s="651"/>
      <c r="T421" s="651"/>
      <c r="U421" s="651"/>
      <c r="V421" s="651"/>
      <c r="W421" s="651"/>
      <c r="X421" s="651"/>
      <c r="Y421" s="651"/>
      <c r="Z421" s="651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59">
        <v>4607091387919</v>
      </c>
      <c r="E422" s="660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57"/>
      <c r="R422" s="657"/>
      <c r="S422" s="657"/>
      <c r="T422" s="658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677</v>
      </c>
      <c r="B423" s="54" t="s">
        <v>678</v>
      </c>
      <c r="C423" s="31">
        <v>4301051461</v>
      </c>
      <c r="D423" s="659">
        <v>4680115883604</v>
      </c>
      <c r="E423" s="660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57"/>
      <c r="R423" s="657"/>
      <c r="S423" s="657"/>
      <c r="T423" s="658"/>
      <c r="U423" s="34"/>
      <c r="V423" s="34"/>
      <c r="W423" s="35" t="s">
        <v>66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680</v>
      </c>
      <c r="B424" s="54" t="s">
        <v>681</v>
      </c>
      <c r="C424" s="31">
        <v>4301051864</v>
      </c>
      <c r="D424" s="659">
        <v>4680115883567</v>
      </c>
      <c r="E424" s="660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57"/>
      <c r="R424" s="657"/>
      <c r="S424" s="657"/>
      <c r="T424" s="658"/>
      <c r="U424" s="34"/>
      <c r="V424" s="34"/>
      <c r="W424" s="35" t="s">
        <v>66</v>
      </c>
      <c r="X424" s="641">
        <v>18</v>
      </c>
      <c r="Y424" s="642">
        <f>IFERROR(IF(X424="",0,CEILING((X424/$H424),1)*$H424),"")</f>
        <v>18.900000000000002</v>
      </c>
      <c r="Z424" s="36">
        <f>IFERROR(IF(Y424=0,"",ROUNDUP(Y424/H424,0)*0.00651),"")</f>
        <v>5.8590000000000003E-2</v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20.057142857142853</v>
      </c>
      <c r="BN424" s="64">
        <f>IFERROR(Y424*I424/H424,"0")</f>
        <v>21.06</v>
      </c>
      <c r="BO424" s="64">
        <f>IFERROR(1/J424*(X424/H424),"0")</f>
        <v>4.709576138147567E-2</v>
      </c>
      <c r="BP424" s="64">
        <f>IFERROR(1/J424*(Y424/H424),"0")</f>
        <v>4.9450549450549455E-2</v>
      </c>
    </row>
    <row r="425" spans="1:68" x14ac:dyDescent="0.2">
      <c r="A425" s="672"/>
      <c r="B425" s="651"/>
      <c r="C425" s="651"/>
      <c r="D425" s="651"/>
      <c r="E425" s="651"/>
      <c r="F425" s="651"/>
      <c r="G425" s="651"/>
      <c r="H425" s="651"/>
      <c r="I425" s="651"/>
      <c r="J425" s="651"/>
      <c r="K425" s="651"/>
      <c r="L425" s="651"/>
      <c r="M425" s="651"/>
      <c r="N425" s="651"/>
      <c r="O425" s="673"/>
      <c r="P425" s="647" t="s">
        <v>71</v>
      </c>
      <c r="Q425" s="648"/>
      <c r="R425" s="648"/>
      <c r="S425" s="648"/>
      <c r="T425" s="648"/>
      <c r="U425" s="648"/>
      <c r="V425" s="649"/>
      <c r="W425" s="37" t="s">
        <v>72</v>
      </c>
      <c r="X425" s="643">
        <f>IFERROR(X422/H422,"0")+IFERROR(X423/H423,"0")+IFERROR(X424/H424,"0")</f>
        <v>8.5714285714285712</v>
      </c>
      <c r="Y425" s="643">
        <f>IFERROR(Y422/H422,"0")+IFERROR(Y423/H423,"0")+IFERROR(Y424/H424,"0")</f>
        <v>9</v>
      </c>
      <c r="Z425" s="643">
        <f>IFERROR(IF(Z422="",0,Z422),"0")+IFERROR(IF(Z423="",0,Z423),"0")+IFERROR(IF(Z424="",0,Z424),"0")</f>
        <v>5.8590000000000003E-2</v>
      </c>
      <c r="AA425" s="644"/>
      <c r="AB425" s="644"/>
      <c r="AC425" s="644"/>
    </row>
    <row r="426" spans="1:68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73"/>
      <c r="P426" s="647" t="s">
        <v>71</v>
      </c>
      <c r="Q426" s="648"/>
      <c r="R426" s="648"/>
      <c r="S426" s="648"/>
      <c r="T426" s="648"/>
      <c r="U426" s="648"/>
      <c r="V426" s="649"/>
      <c r="W426" s="37" t="s">
        <v>66</v>
      </c>
      <c r="X426" s="643">
        <f>IFERROR(SUM(X422:X424),"0")</f>
        <v>18</v>
      </c>
      <c r="Y426" s="643">
        <f>IFERROR(SUM(Y422:Y424),"0")</f>
        <v>18.900000000000002</v>
      </c>
      <c r="Z426" s="37"/>
      <c r="AA426" s="644"/>
      <c r="AB426" s="644"/>
      <c r="AC426" s="644"/>
    </row>
    <row r="427" spans="1:68" ht="27.75" hidden="1" customHeight="1" x14ac:dyDescent="0.2">
      <c r="A427" s="666" t="s">
        <v>683</v>
      </c>
      <c r="B427" s="667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48"/>
      <c r="AB427" s="48"/>
      <c r="AC427" s="48"/>
    </row>
    <row r="428" spans="1:68" ht="16.5" hidden="1" customHeight="1" x14ac:dyDescent="0.25">
      <c r="A428" s="655" t="s">
        <v>684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36"/>
      <c r="AB428" s="636"/>
      <c r="AC428" s="636"/>
    </row>
    <row r="429" spans="1:68" ht="14.25" hidden="1" customHeight="1" x14ac:dyDescent="0.25">
      <c r="A429" s="650" t="s">
        <v>110</v>
      </c>
      <c r="B429" s="651"/>
      <c r="C429" s="651"/>
      <c r="D429" s="651"/>
      <c r="E429" s="651"/>
      <c r="F429" s="651"/>
      <c r="G429" s="651"/>
      <c r="H429" s="651"/>
      <c r="I429" s="651"/>
      <c r="J429" s="651"/>
      <c r="K429" s="651"/>
      <c r="L429" s="651"/>
      <c r="M429" s="651"/>
      <c r="N429" s="651"/>
      <c r="O429" s="651"/>
      <c r="P429" s="651"/>
      <c r="Q429" s="651"/>
      <c r="R429" s="651"/>
      <c r="S429" s="651"/>
      <c r="T429" s="651"/>
      <c r="U429" s="651"/>
      <c r="V429" s="651"/>
      <c r="W429" s="651"/>
      <c r="X429" s="651"/>
      <c r="Y429" s="651"/>
      <c r="Z429" s="651"/>
      <c r="AA429" s="637"/>
      <c r="AB429" s="637"/>
      <c r="AC429" s="637"/>
    </row>
    <row r="430" spans="1:68" ht="27" hidden="1" customHeight="1" x14ac:dyDescent="0.25">
      <c r="A430" s="54" t="s">
        <v>685</v>
      </c>
      <c r="B430" s="54" t="s">
        <v>686</v>
      </c>
      <c r="C430" s="31">
        <v>4301012332</v>
      </c>
      <c r="D430" s="659">
        <v>4680115888401</v>
      </c>
      <c r="E430" s="660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57"/>
      <c r="R430" s="657"/>
      <c r="S430" s="657"/>
      <c r="T430" s="658"/>
      <c r="U430" s="34"/>
      <c r="V430" s="34"/>
      <c r="W430" s="35" t="s">
        <v>66</v>
      </c>
      <c r="X430" s="641">
        <v>0</v>
      </c>
      <c r="Y430" s="642">
        <f t="shared" ref="Y430:Y437" si="72">IFERROR(IF(X430="",0,CEILING((X430/$H430),1)*$H430),"")</f>
        <v>0</v>
      </c>
      <c r="Z430" s="36" t="str">
        <f>IFERROR(IF(Y430=0,"",ROUNDUP(Y430/H430,0)*0.02175),"")</f>
        <v/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0</v>
      </c>
      <c r="BN430" s="64">
        <f t="shared" ref="BN430:BN437" si="74">IFERROR(Y430*I430/H430,"0")</f>
        <v>0</v>
      </c>
      <c r="BO430" s="64">
        <f t="shared" ref="BO430:BO437" si="75">IFERROR(1/J430*(X430/H430),"0")</f>
        <v>0</v>
      </c>
      <c r="BP430" s="64">
        <f t="shared" ref="BP430:BP437" si="76">IFERROR(1/J430*(Y430/H430),"0")</f>
        <v>0</v>
      </c>
    </row>
    <row r="431" spans="1:68" ht="37.5" hidden="1" customHeight="1" x14ac:dyDescent="0.25">
      <c r="A431" s="54" t="s">
        <v>688</v>
      </c>
      <c r="B431" s="54" t="s">
        <v>689</v>
      </c>
      <c r="C431" s="31">
        <v>4301011869</v>
      </c>
      <c r="D431" s="659">
        <v>4680115884847</v>
      </c>
      <c r="E431" s="660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57"/>
      <c r="R431" s="657"/>
      <c r="S431" s="657"/>
      <c r="T431" s="658"/>
      <c r="U431" s="34"/>
      <c r="V431" s="34"/>
      <c r="W431" s="35" t="s">
        <v>66</v>
      </c>
      <c r="X431" s="641">
        <v>0</v>
      </c>
      <c r="Y431" s="642">
        <f t="shared" si="72"/>
        <v>0</v>
      </c>
      <c r="Z431" s="36" t="str">
        <f>IFERROR(IF(Y431=0,"",ROUNDUP(Y431/H431,0)*0.02175),"")</f>
        <v/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0</v>
      </c>
      <c r="BN431" s="64">
        <f t="shared" si="74"/>
        <v>0</v>
      </c>
      <c r="BO431" s="64">
        <f t="shared" si="75"/>
        <v>0</v>
      </c>
      <c r="BP431" s="64">
        <f t="shared" si="76"/>
        <v>0</v>
      </c>
    </row>
    <row r="432" spans="1:68" ht="27" hidden="1" customHeight="1" x14ac:dyDescent="0.25">
      <c r="A432" s="54" t="s">
        <v>691</v>
      </c>
      <c r="B432" s="54" t="s">
        <v>692</v>
      </c>
      <c r="C432" s="31">
        <v>4301012083</v>
      </c>
      <c r="D432" s="659">
        <v>4680115884854</v>
      </c>
      <c r="E432" s="660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57"/>
      <c r="R432" s="657"/>
      <c r="S432" s="657"/>
      <c r="T432" s="658"/>
      <c r="U432" s="34"/>
      <c r="V432" s="34"/>
      <c r="W432" s="35" t="s">
        <v>66</v>
      </c>
      <c r="X432" s="641">
        <v>0</v>
      </c>
      <c r="Y432" s="642">
        <f t="shared" si="72"/>
        <v>0</v>
      </c>
      <c r="Z432" s="36" t="str">
        <f>IFERROR(IF(Y432=0,"",ROUNDUP(Y432/H432,0)*0.02175),"")</f>
        <v/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0</v>
      </c>
      <c r="BN432" s="64">
        <f t="shared" si="74"/>
        <v>0</v>
      </c>
      <c r="BO432" s="64">
        <f t="shared" si="75"/>
        <v>0</v>
      </c>
      <c r="BP432" s="64">
        <f t="shared" si="76"/>
        <v>0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59">
        <v>4680115884830</v>
      </c>
      <c r="E433" s="660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10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57"/>
      <c r="R433" s="657"/>
      <c r="S433" s="657"/>
      <c r="T433" s="658"/>
      <c r="U433" s="34"/>
      <c r="V433" s="34"/>
      <c r="W433" s="35" t="s">
        <v>66</v>
      </c>
      <c r="X433" s="641">
        <v>400</v>
      </c>
      <c r="Y433" s="642">
        <f t="shared" si="72"/>
        <v>405</v>
      </c>
      <c r="Z433" s="36">
        <f>IFERROR(IF(Y433=0,"",ROUNDUP(Y433/H433,0)*0.02175),"")</f>
        <v>0.58724999999999994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412.53333333333336</v>
      </c>
      <c r="BN433" s="64">
        <f t="shared" si="74"/>
        <v>417.69</v>
      </c>
      <c r="BO433" s="64">
        <f t="shared" si="75"/>
        <v>0.55555555555555558</v>
      </c>
      <c r="BP433" s="64">
        <f t="shared" si="76"/>
        <v>0.5625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59">
        <v>4680115889231</v>
      </c>
      <c r="E434" s="660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57"/>
      <c r="R434" s="657"/>
      <c r="S434" s="657"/>
      <c r="T434" s="658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59">
        <v>4680115882638</v>
      </c>
      <c r="E435" s="660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7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57"/>
      <c r="R435" s="657"/>
      <c r="S435" s="657"/>
      <c r="T435" s="658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59">
        <v>4680115884922</v>
      </c>
      <c r="E436" s="660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57"/>
      <c r="R436" s="657"/>
      <c r="S436" s="657"/>
      <c r="T436" s="658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59">
        <v>4680115884861</v>
      </c>
      <c r="E437" s="660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7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57"/>
      <c r="R437" s="657"/>
      <c r="S437" s="657"/>
      <c r="T437" s="658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2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73"/>
      <c r="P438" s="647" t="s">
        <v>71</v>
      </c>
      <c r="Q438" s="648"/>
      <c r="R438" s="648"/>
      <c r="S438" s="648"/>
      <c r="T438" s="648"/>
      <c r="U438" s="648"/>
      <c r="V438" s="649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26.666666666666668</v>
      </c>
      <c r="Y438" s="643">
        <f>IFERROR(Y430/H430,"0")+IFERROR(Y431/H431,"0")+IFERROR(Y432/H432,"0")+IFERROR(Y433/H433,"0")+IFERROR(Y434/H434,"0")+IFERROR(Y435/H435,"0")+IFERROR(Y436/H436,"0")+IFERROR(Y437/H437,"0")</f>
        <v>27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0.58724999999999994</v>
      </c>
      <c r="AA438" s="644"/>
      <c r="AB438" s="644"/>
      <c r="AC438" s="644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73"/>
      <c r="P439" s="647" t="s">
        <v>71</v>
      </c>
      <c r="Q439" s="648"/>
      <c r="R439" s="648"/>
      <c r="S439" s="648"/>
      <c r="T439" s="648"/>
      <c r="U439" s="648"/>
      <c r="V439" s="649"/>
      <c r="W439" s="37" t="s">
        <v>66</v>
      </c>
      <c r="X439" s="643">
        <f>IFERROR(SUM(X430:X437),"0")</f>
        <v>400</v>
      </c>
      <c r="Y439" s="643">
        <f>IFERROR(SUM(Y430:Y437),"0")</f>
        <v>405</v>
      </c>
      <c r="Z439" s="37"/>
      <c r="AA439" s="644"/>
      <c r="AB439" s="644"/>
      <c r="AC439" s="644"/>
    </row>
    <row r="440" spans="1:68" ht="14.25" hidden="1" customHeight="1" x14ac:dyDescent="0.25">
      <c r="A440" s="650" t="s">
        <v>147</v>
      </c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1"/>
      <c r="P440" s="651"/>
      <c r="Q440" s="651"/>
      <c r="R440" s="651"/>
      <c r="S440" s="651"/>
      <c r="T440" s="651"/>
      <c r="U440" s="651"/>
      <c r="V440" s="651"/>
      <c r="W440" s="651"/>
      <c r="X440" s="651"/>
      <c r="Y440" s="651"/>
      <c r="Z440" s="651"/>
      <c r="AA440" s="637"/>
      <c r="AB440" s="637"/>
      <c r="AC440" s="637"/>
    </row>
    <row r="441" spans="1:68" ht="27" customHeight="1" x14ac:dyDescent="0.25">
      <c r="A441" s="54" t="s">
        <v>709</v>
      </c>
      <c r="B441" s="54" t="s">
        <v>710</v>
      </c>
      <c r="C441" s="31">
        <v>4301020178</v>
      </c>
      <c r="D441" s="659">
        <v>4607091383980</v>
      </c>
      <c r="E441" s="660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57"/>
      <c r="R441" s="657"/>
      <c r="S441" s="657"/>
      <c r="T441" s="658"/>
      <c r="U441" s="34"/>
      <c r="V441" s="34"/>
      <c r="W441" s="35" t="s">
        <v>66</v>
      </c>
      <c r="X441" s="641">
        <v>1924</v>
      </c>
      <c r="Y441" s="642">
        <f>IFERROR(IF(X441="",0,CEILING((X441/$H441),1)*$H441),"")</f>
        <v>1935</v>
      </c>
      <c r="Z441" s="36">
        <f>IFERROR(IF(Y441=0,"",ROUNDUP(Y441/H441,0)*0.02175),"")</f>
        <v>2.8057499999999997</v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1984.2853333333335</v>
      </c>
      <c r="BN441" s="64">
        <f>IFERROR(Y441*I441/H441,"0")</f>
        <v>1995.63</v>
      </c>
      <c r="BO441" s="64">
        <f>IFERROR(1/J441*(X441/H441),"0")</f>
        <v>2.6722222222222225</v>
      </c>
      <c r="BP441" s="64">
        <f>IFERROR(1/J441*(Y441/H441),"0")</f>
        <v>2.6875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59">
        <v>4680115888425</v>
      </c>
      <c r="E442" s="660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57"/>
      <c r="R442" s="657"/>
      <c r="S442" s="657"/>
      <c r="T442" s="658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59">
        <v>4607091384178</v>
      </c>
      <c r="E443" s="660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57"/>
      <c r="R443" s="657"/>
      <c r="S443" s="657"/>
      <c r="T443" s="658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2"/>
      <c r="B444" s="651"/>
      <c r="C444" s="651"/>
      <c r="D444" s="651"/>
      <c r="E444" s="651"/>
      <c r="F444" s="651"/>
      <c r="G444" s="651"/>
      <c r="H444" s="651"/>
      <c r="I444" s="651"/>
      <c r="J444" s="651"/>
      <c r="K444" s="651"/>
      <c r="L444" s="651"/>
      <c r="M444" s="651"/>
      <c r="N444" s="651"/>
      <c r="O444" s="673"/>
      <c r="P444" s="647" t="s">
        <v>71</v>
      </c>
      <c r="Q444" s="648"/>
      <c r="R444" s="648"/>
      <c r="S444" s="648"/>
      <c r="T444" s="648"/>
      <c r="U444" s="648"/>
      <c r="V444" s="649"/>
      <c r="W444" s="37" t="s">
        <v>72</v>
      </c>
      <c r="X444" s="643">
        <f>IFERROR(X441/H441,"0")+IFERROR(X442/H442,"0")+IFERROR(X443/H443,"0")</f>
        <v>128.26666666666668</v>
      </c>
      <c r="Y444" s="643">
        <f>IFERROR(Y441/H441,"0")+IFERROR(Y442/H442,"0")+IFERROR(Y443/H443,"0")</f>
        <v>129</v>
      </c>
      <c r="Z444" s="643">
        <f>IFERROR(IF(Z441="",0,Z441),"0")+IFERROR(IF(Z442="",0,Z442),"0")+IFERROR(IF(Z443="",0,Z443),"0")</f>
        <v>2.8057499999999997</v>
      </c>
      <c r="AA444" s="644"/>
      <c r="AB444" s="644"/>
      <c r="AC444" s="644"/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73"/>
      <c r="P445" s="647" t="s">
        <v>71</v>
      </c>
      <c r="Q445" s="648"/>
      <c r="R445" s="648"/>
      <c r="S445" s="648"/>
      <c r="T445" s="648"/>
      <c r="U445" s="648"/>
      <c r="V445" s="649"/>
      <c r="W445" s="37" t="s">
        <v>66</v>
      </c>
      <c r="X445" s="643">
        <f>IFERROR(SUM(X441:X443),"0")</f>
        <v>1924</v>
      </c>
      <c r="Y445" s="643">
        <f>IFERROR(SUM(Y441:Y443),"0")</f>
        <v>1935</v>
      </c>
      <c r="Z445" s="37"/>
      <c r="AA445" s="644"/>
      <c r="AB445" s="644"/>
      <c r="AC445" s="644"/>
    </row>
    <row r="446" spans="1:68" ht="14.25" hidden="1" customHeight="1" x14ac:dyDescent="0.25">
      <c r="A446" s="650" t="s">
        <v>73</v>
      </c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1"/>
      <c r="P446" s="651"/>
      <c r="Q446" s="651"/>
      <c r="R446" s="651"/>
      <c r="S446" s="651"/>
      <c r="T446" s="651"/>
      <c r="U446" s="651"/>
      <c r="V446" s="651"/>
      <c r="W446" s="651"/>
      <c r="X446" s="651"/>
      <c r="Y446" s="651"/>
      <c r="Z446" s="651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59">
        <v>4607091383928</v>
      </c>
      <c r="E447" s="660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57"/>
      <c r="R447" s="657"/>
      <c r="S447" s="657"/>
      <c r="T447" s="658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59">
        <v>4607091384260</v>
      </c>
      <c r="E448" s="660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4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57"/>
      <c r="R448" s="657"/>
      <c r="S448" s="657"/>
      <c r="T448" s="658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59">
        <v>4680115889538</v>
      </c>
      <c r="E449" s="660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99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57"/>
      <c r="R449" s="657"/>
      <c r="S449" s="657"/>
      <c r="T449" s="658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2"/>
      <c r="B450" s="651"/>
      <c r="C450" s="651"/>
      <c r="D450" s="651"/>
      <c r="E450" s="651"/>
      <c r="F450" s="651"/>
      <c r="G450" s="651"/>
      <c r="H450" s="651"/>
      <c r="I450" s="651"/>
      <c r="J450" s="651"/>
      <c r="K450" s="651"/>
      <c r="L450" s="651"/>
      <c r="M450" s="651"/>
      <c r="N450" s="651"/>
      <c r="O450" s="673"/>
      <c r="P450" s="647" t="s">
        <v>71</v>
      </c>
      <c r="Q450" s="648"/>
      <c r="R450" s="648"/>
      <c r="S450" s="648"/>
      <c r="T450" s="648"/>
      <c r="U450" s="648"/>
      <c r="V450" s="649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73"/>
      <c r="P451" s="647" t="s">
        <v>71</v>
      </c>
      <c r="Q451" s="648"/>
      <c r="R451" s="648"/>
      <c r="S451" s="648"/>
      <c r="T451" s="648"/>
      <c r="U451" s="648"/>
      <c r="V451" s="649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50" t="s">
        <v>166</v>
      </c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1"/>
      <c r="P452" s="651"/>
      <c r="Q452" s="651"/>
      <c r="R452" s="651"/>
      <c r="S452" s="651"/>
      <c r="T452" s="651"/>
      <c r="U452" s="651"/>
      <c r="V452" s="651"/>
      <c r="W452" s="651"/>
      <c r="X452" s="651"/>
      <c r="Y452" s="651"/>
      <c r="Z452" s="651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59">
        <v>4680115889545</v>
      </c>
      <c r="E453" s="660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1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57"/>
      <c r="R453" s="657"/>
      <c r="S453" s="657"/>
      <c r="T453" s="658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hidden="1" customHeight="1" x14ac:dyDescent="0.25">
      <c r="A454" s="54" t="s">
        <v>730</v>
      </c>
      <c r="B454" s="54" t="s">
        <v>731</v>
      </c>
      <c r="C454" s="31">
        <v>4301060524</v>
      </c>
      <c r="D454" s="659">
        <v>4607091384673</v>
      </c>
      <c r="E454" s="660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57"/>
      <c r="R454" s="657"/>
      <c r="S454" s="657"/>
      <c r="T454" s="658"/>
      <c r="U454" s="34"/>
      <c r="V454" s="34"/>
      <c r="W454" s="35" t="s">
        <v>66</v>
      </c>
      <c r="X454" s="641">
        <v>0</v>
      </c>
      <c r="Y454" s="642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72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73"/>
      <c r="P455" s="647" t="s">
        <v>71</v>
      </c>
      <c r="Q455" s="648"/>
      <c r="R455" s="648"/>
      <c r="S455" s="648"/>
      <c r="T455" s="648"/>
      <c r="U455" s="648"/>
      <c r="V455" s="649"/>
      <c r="W455" s="37" t="s">
        <v>72</v>
      </c>
      <c r="X455" s="643">
        <f>IFERROR(X453/H453,"0")+IFERROR(X454/H454,"0")</f>
        <v>0</v>
      </c>
      <c r="Y455" s="643">
        <f>IFERROR(Y453/H453,"0")+IFERROR(Y454/H454,"0")</f>
        <v>0</v>
      </c>
      <c r="Z455" s="643">
        <f>IFERROR(IF(Z453="",0,Z453),"0")+IFERROR(IF(Z454="",0,Z454),"0")</f>
        <v>0</v>
      </c>
      <c r="AA455" s="644"/>
      <c r="AB455" s="644"/>
      <c r="AC455" s="644"/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73"/>
      <c r="P456" s="647" t="s">
        <v>71</v>
      </c>
      <c r="Q456" s="648"/>
      <c r="R456" s="648"/>
      <c r="S456" s="648"/>
      <c r="T456" s="648"/>
      <c r="U456" s="648"/>
      <c r="V456" s="649"/>
      <c r="W456" s="37" t="s">
        <v>66</v>
      </c>
      <c r="X456" s="643">
        <f>IFERROR(SUM(X453:X454),"0")</f>
        <v>0</v>
      </c>
      <c r="Y456" s="643">
        <f>IFERROR(SUM(Y453:Y454),"0")</f>
        <v>0</v>
      </c>
      <c r="Z456" s="37"/>
      <c r="AA456" s="644"/>
      <c r="AB456" s="644"/>
      <c r="AC456" s="644"/>
    </row>
    <row r="457" spans="1:68" ht="16.5" hidden="1" customHeight="1" x14ac:dyDescent="0.25">
      <c r="A457" s="655" t="s">
        <v>733</v>
      </c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1"/>
      <c r="P457" s="651"/>
      <c r="Q457" s="651"/>
      <c r="R457" s="651"/>
      <c r="S457" s="651"/>
      <c r="T457" s="651"/>
      <c r="U457" s="651"/>
      <c r="V457" s="651"/>
      <c r="W457" s="651"/>
      <c r="X457" s="651"/>
      <c r="Y457" s="651"/>
      <c r="Z457" s="651"/>
      <c r="AA457" s="636"/>
      <c r="AB457" s="636"/>
      <c r="AC457" s="636"/>
    </row>
    <row r="458" spans="1:68" ht="14.25" hidden="1" customHeight="1" x14ac:dyDescent="0.25">
      <c r="A458" s="650" t="s">
        <v>110</v>
      </c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1"/>
      <c r="P458" s="651"/>
      <c r="Q458" s="651"/>
      <c r="R458" s="651"/>
      <c r="S458" s="651"/>
      <c r="T458" s="651"/>
      <c r="U458" s="651"/>
      <c r="V458" s="651"/>
      <c r="W458" s="651"/>
      <c r="X458" s="651"/>
      <c r="Y458" s="651"/>
      <c r="Z458" s="651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59">
        <v>4680115884885</v>
      </c>
      <c r="E459" s="660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57"/>
      <c r="R459" s="657"/>
      <c r="S459" s="657"/>
      <c r="T459" s="658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59">
        <v>4680115884908</v>
      </c>
      <c r="E460" s="660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57"/>
      <c r="R460" s="657"/>
      <c r="S460" s="657"/>
      <c r="T460" s="658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2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73"/>
      <c r="P461" s="647" t="s">
        <v>71</v>
      </c>
      <c r="Q461" s="648"/>
      <c r="R461" s="648"/>
      <c r="S461" s="648"/>
      <c r="T461" s="648"/>
      <c r="U461" s="648"/>
      <c r="V461" s="649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73"/>
      <c r="P462" s="647" t="s">
        <v>71</v>
      </c>
      <c r="Q462" s="648"/>
      <c r="R462" s="648"/>
      <c r="S462" s="648"/>
      <c r="T462" s="648"/>
      <c r="U462" s="648"/>
      <c r="V462" s="649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50" t="s">
        <v>61</v>
      </c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1"/>
      <c r="P463" s="651"/>
      <c r="Q463" s="651"/>
      <c r="R463" s="651"/>
      <c r="S463" s="651"/>
      <c r="T463" s="651"/>
      <c r="U463" s="651"/>
      <c r="V463" s="651"/>
      <c r="W463" s="651"/>
      <c r="X463" s="651"/>
      <c r="Y463" s="651"/>
      <c r="Z463" s="651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59">
        <v>4607091384802</v>
      </c>
      <c r="E464" s="660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8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57"/>
      <c r="R464" s="657"/>
      <c r="S464" s="657"/>
      <c r="T464" s="658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2"/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73"/>
      <c r="P465" s="647" t="s">
        <v>71</v>
      </c>
      <c r="Q465" s="648"/>
      <c r="R465" s="648"/>
      <c r="S465" s="648"/>
      <c r="T465" s="648"/>
      <c r="U465" s="648"/>
      <c r="V465" s="649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73"/>
      <c r="P466" s="647" t="s">
        <v>71</v>
      </c>
      <c r="Q466" s="648"/>
      <c r="R466" s="648"/>
      <c r="S466" s="648"/>
      <c r="T466" s="648"/>
      <c r="U466" s="648"/>
      <c r="V466" s="649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50" t="s">
        <v>73</v>
      </c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1"/>
      <c r="P467" s="651"/>
      <c r="Q467" s="651"/>
      <c r="R467" s="651"/>
      <c r="S467" s="651"/>
      <c r="T467" s="651"/>
      <c r="U467" s="651"/>
      <c r="V467" s="651"/>
      <c r="W467" s="651"/>
      <c r="X467" s="651"/>
      <c r="Y467" s="651"/>
      <c r="Z467" s="651"/>
      <c r="AA467" s="637"/>
      <c r="AB467" s="637"/>
      <c r="AC467" s="637"/>
    </row>
    <row r="468" spans="1:68" ht="27" hidden="1" customHeight="1" x14ac:dyDescent="0.25">
      <c r="A468" s="54" t="s">
        <v>742</v>
      </c>
      <c r="B468" s="54" t="s">
        <v>743</v>
      </c>
      <c r="C468" s="31">
        <v>4301051899</v>
      </c>
      <c r="D468" s="659">
        <v>4607091384246</v>
      </c>
      <c r="E468" s="660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57"/>
      <c r="R468" s="657"/>
      <c r="S468" s="657"/>
      <c r="T468" s="658"/>
      <c r="U468" s="34"/>
      <c r="V468" s="34"/>
      <c r="W468" s="35" t="s">
        <v>66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59">
        <v>4607091384253</v>
      </c>
      <c r="E469" s="660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57"/>
      <c r="R469" s="657"/>
      <c r="S469" s="657"/>
      <c r="T469" s="658"/>
      <c r="U469" s="34"/>
      <c r="V469" s="34"/>
      <c r="W469" s="35" t="s">
        <v>66</v>
      </c>
      <c r="X469" s="641">
        <v>160</v>
      </c>
      <c r="Y469" s="642">
        <f>IFERROR(IF(X469="",0,CEILING((X469/$H469),1)*$H469),"")</f>
        <v>160.79999999999998</v>
      </c>
      <c r="Z469" s="36">
        <f>IFERROR(IF(Y469=0,"",ROUNDUP(Y469/H469,0)*0.00651),"")</f>
        <v>0.43617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177.60000000000002</v>
      </c>
      <c r="BN469" s="64">
        <f>IFERROR(Y469*I469/H469,"0")</f>
        <v>178.488</v>
      </c>
      <c r="BO469" s="64">
        <f>IFERROR(1/J469*(X469/H469),"0")</f>
        <v>0.36630036630036633</v>
      </c>
      <c r="BP469" s="64">
        <f>IFERROR(1/J469*(Y469/H469),"0")</f>
        <v>0.36813186813186816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59">
        <v>4607091384253</v>
      </c>
      <c r="E470" s="660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57"/>
      <c r="R470" s="657"/>
      <c r="S470" s="657"/>
      <c r="T470" s="658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2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73"/>
      <c r="P471" s="647" t="s">
        <v>71</v>
      </c>
      <c r="Q471" s="648"/>
      <c r="R471" s="648"/>
      <c r="S471" s="648"/>
      <c r="T471" s="648"/>
      <c r="U471" s="648"/>
      <c r="V471" s="649"/>
      <c r="W471" s="37" t="s">
        <v>72</v>
      </c>
      <c r="X471" s="643">
        <f>IFERROR(X468/H468,"0")+IFERROR(X469/H469,"0")+IFERROR(X470/H470,"0")</f>
        <v>66.666666666666671</v>
      </c>
      <c r="Y471" s="643">
        <f>IFERROR(Y468/H468,"0")+IFERROR(Y469/H469,"0")+IFERROR(Y470/H470,"0")</f>
        <v>67</v>
      </c>
      <c r="Z471" s="643">
        <f>IFERROR(IF(Z468="",0,Z468),"0")+IFERROR(IF(Z469="",0,Z469),"0")+IFERROR(IF(Z470="",0,Z470),"0")</f>
        <v>0.43617</v>
      </c>
      <c r="AA471" s="644"/>
      <c r="AB471" s="644"/>
      <c r="AC471" s="644"/>
    </row>
    <row r="472" spans="1:68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73"/>
      <c r="P472" s="647" t="s">
        <v>71</v>
      </c>
      <c r="Q472" s="648"/>
      <c r="R472" s="648"/>
      <c r="S472" s="648"/>
      <c r="T472" s="648"/>
      <c r="U472" s="648"/>
      <c r="V472" s="649"/>
      <c r="W472" s="37" t="s">
        <v>66</v>
      </c>
      <c r="X472" s="643">
        <f>IFERROR(SUM(X468:X470),"0")</f>
        <v>160</v>
      </c>
      <c r="Y472" s="643">
        <f>IFERROR(SUM(Y468:Y470),"0")</f>
        <v>160.79999999999998</v>
      </c>
      <c r="Z472" s="37"/>
      <c r="AA472" s="644"/>
      <c r="AB472" s="644"/>
      <c r="AC472" s="644"/>
    </row>
    <row r="473" spans="1:68" ht="27.75" hidden="1" customHeight="1" x14ac:dyDescent="0.2">
      <c r="A473" s="666" t="s">
        <v>749</v>
      </c>
      <c r="B473" s="667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48"/>
      <c r="AB473" s="48"/>
      <c r="AC473" s="48"/>
    </row>
    <row r="474" spans="1:68" ht="16.5" hidden="1" customHeight="1" x14ac:dyDescent="0.25">
      <c r="A474" s="655" t="s">
        <v>750</v>
      </c>
      <c r="B474" s="651"/>
      <c r="C474" s="651"/>
      <c r="D474" s="651"/>
      <c r="E474" s="651"/>
      <c r="F474" s="651"/>
      <c r="G474" s="651"/>
      <c r="H474" s="651"/>
      <c r="I474" s="651"/>
      <c r="J474" s="651"/>
      <c r="K474" s="651"/>
      <c r="L474" s="651"/>
      <c r="M474" s="651"/>
      <c r="N474" s="651"/>
      <c r="O474" s="651"/>
      <c r="P474" s="651"/>
      <c r="Q474" s="651"/>
      <c r="R474" s="651"/>
      <c r="S474" s="651"/>
      <c r="T474" s="651"/>
      <c r="U474" s="651"/>
      <c r="V474" s="651"/>
      <c r="W474" s="651"/>
      <c r="X474" s="651"/>
      <c r="Y474" s="651"/>
      <c r="Z474" s="651"/>
      <c r="AA474" s="636"/>
      <c r="AB474" s="636"/>
      <c r="AC474" s="636"/>
    </row>
    <row r="475" spans="1:68" ht="14.25" hidden="1" customHeight="1" x14ac:dyDescent="0.25">
      <c r="A475" s="650" t="s">
        <v>61</v>
      </c>
      <c r="B475" s="651"/>
      <c r="C475" s="651"/>
      <c r="D475" s="651"/>
      <c r="E475" s="651"/>
      <c r="F475" s="651"/>
      <c r="G475" s="651"/>
      <c r="H475" s="651"/>
      <c r="I475" s="651"/>
      <c r="J475" s="651"/>
      <c r="K475" s="651"/>
      <c r="L475" s="651"/>
      <c r="M475" s="651"/>
      <c r="N475" s="651"/>
      <c r="O475" s="651"/>
      <c r="P475" s="651"/>
      <c r="Q475" s="651"/>
      <c r="R475" s="651"/>
      <c r="S475" s="651"/>
      <c r="T475" s="651"/>
      <c r="U475" s="651"/>
      <c r="V475" s="651"/>
      <c r="W475" s="651"/>
      <c r="X475" s="651"/>
      <c r="Y475" s="651"/>
      <c r="Z475" s="651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59">
        <v>4680115886100</v>
      </c>
      <c r="E476" s="660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57"/>
      <c r="R476" s="657"/>
      <c r="S476" s="657"/>
      <c r="T476" s="658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59">
        <v>4680115886124</v>
      </c>
      <c r="E477" s="660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57"/>
      <c r="R477" s="657"/>
      <c r="S477" s="657"/>
      <c r="T477" s="658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59">
        <v>4607091384338</v>
      </c>
      <c r="E478" s="660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57"/>
      <c r="R478" s="657"/>
      <c r="S478" s="657"/>
      <c r="T478" s="658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59">
        <v>4680115883161</v>
      </c>
      <c r="E479" s="660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57"/>
      <c r="R479" s="657"/>
      <c r="S479" s="657"/>
      <c r="T479" s="658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59">
        <v>4607091389531</v>
      </c>
      <c r="E480" s="660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57"/>
      <c r="R480" s="657"/>
      <c r="S480" s="657"/>
      <c r="T480" s="658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59">
        <v>4607091384345</v>
      </c>
      <c r="E481" s="660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57"/>
      <c r="R481" s="657"/>
      <c r="S481" s="657"/>
      <c r="T481" s="658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2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73"/>
      <c r="P482" s="647" t="s">
        <v>71</v>
      </c>
      <c r="Q482" s="648"/>
      <c r="R482" s="648"/>
      <c r="S482" s="648"/>
      <c r="T482" s="648"/>
      <c r="U482" s="648"/>
      <c r="V482" s="649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73"/>
      <c r="P483" s="647" t="s">
        <v>71</v>
      </c>
      <c r="Q483" s="648"/>
      <c r="R483" s="648"/>
      <c r="S483" s="648"/>
      <c r="T483" s="648"/>
      <c r="U483" s="648"/>
      <c r="V483" s="649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50" t="s">
        <v>73</v>
      </c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1"/>
      <c r="P484" s="651"/>
      <c r="Q484" s="651"/>
      <c r="R484" s="651"/>
      <c r="S484" s="651"/>
      <c r="T484" s="651"/>
      <c r="U484" s="651"/>
      <c r="V484" s="651"/>
      <c r="W484" s="651"/>
      <c r="X484" s="651"/>
      <c r="Y484" s="651"/>
      <c r="Z484" s="651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59">
        <v>4607091384352</v>
      </c>
      <c r="E485" s="660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57"/>
      <c r="R485" s="657"/>
      <c r="S485" s="657"/>
      <c r="T485" s="658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59">
        <v>4607091389654</v>
      </c>
      <c r="E486" s="660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57"/>
      <c r="R486" s="657"/>
      <c r="S486" s="657"/>
      <c r="T486" s="658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2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73"/>
      <c r="P487" s="647" t="s">
        <v>71</v>
      </c>
      <c r="Q487" s="648"/>
      <c r="R487" s="648"/>
      <c r="S487" s="648"/>
      <c r="T487" s="648"/>
      <c r="U487" s="648"/>
      <c r="V487" s="649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73"/>
      <c r="P488" s="647" t="s">
        <v>71</v>
      </c>
      <c r="Q488" s="648"/>
      <c r="R488" s="648"/>
      <c r="S488" s="648"/>
      <c r="T488" s="648"/>
      <c r="U488" s="648"/>
      <c r="V488" s="649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55" t="s">
        <v>773</v>
      </c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1"/>
      <c r="P489" s="651"/>
      <c r="Q489" s="651"/>
      <c r="R489" s="651"/>
      <c r="S489" s="651"/>
      <c r="T489" s="651"/>
      <c r="U489" s="651"/>
      <c r="V489" s="651"/>
      <c r="W489" s="651"/>
      <c r="X489" s="651"/>
      <c r="Y489" s="651"/>
      <c r="Z489" s="651"/>
      <c r="AA489" s="636"/>
      <c r="AB489" s="636"/>
      <c r="AC489" s="636"/>
    </row>
    <row r="490" spans="1:68" ht="14.25" hidden="1" customHeight="1" x14ac:dyDescent="0.25">
      <c r="A490" s="650" t="s">
        <v>147</v>
      </c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1"/>
      <c r="P490" s="651"/>
      <c r="Q490" s="651"/>
      <c r="R490" s="651"/>
      <c r="S490" s="651"/>
      <c r="T490" s="651"/>
      <c r="U490" s="651"/>
      <c r="V490" s="651"/>
      <c r="W490" s="651"/>
      <c r="X490" s="651"/>
      <c r="Y490" s="651"/>
      <c r="Z490" s="651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59">
        <v>4680115885240</v>
      </c>
      <c r="E491" s="660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57"/>
      <c r="R491" s="657"/>
      <c r="S491" s="657"/>
      <c r="T491" s="658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2"/>
      <c r="B492" s="651"/>
      <c r="C492" s="651"/>
      <c r="D492" s="651"/>
      <c r="E492" s="651"/>
      <c r="F492" s="651"/>
      <c r="G492" s="651"/>
      <c r="H492" s="651"/>
      <c r="I492" s="651"/>
      <c r="J492" s="651"/>
      <c r="K492" s="651"/>
      <c r="L492" s="651"/>
      <c r="M492" s="651"/>
      <c r="N492" s="651"/>
      <c r="O492" s="673"/>
      <c r="P492" s="647" t="s">
        <v>71</v>
      </c>
      <c r="Q492" s="648"/>
      <c r="R492" s="648"/>
      <c r="S492" s="648"/>
      <c r="T492" s="648"/>
      <c r="U492" s="648"/>
      <c r="V492" s="649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73"/>
      <c r="P493" s="647" t="s">
        <v>71</v>
      </c>
      <c r="Q493" s="648"/>
      <c r="R493" s="648"/>
      <c r="S493" s="648"/>
      <c r="T493" s="648"/>
      <c r="U493" s="648"/>
      <c r="V493" s="649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50" t="s">
        <v>61</v>
      </c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1"/>
      <c r="P494" s="651"/>
      <c r="Q494" s="651"/>
      <c r="R494" s="651"/>
      <c r="S494" s="651"/>
      <c r="T494" s="651"/>
      <c r="U494" s="651"/>
      <c r="V494" s="651"/>
      <c r="W494" s="651"/>
      <c r="X494" s="651"/>
      <c r="Y494" s="651"/>
      <c r="Z494" s="651"/>
      <c r="AA494" s="637"/>
      <c r="AB494" s="637"/>
      <c r="AC494" s="637"/>
    </row>
    <row r="495" spans="1:68" ht="27" hidden="1" customHeight="1" x14ac:dyDescent="0.25">
      <c r="A495" s="54" t="s">
        <v>777</v>
      </c>
      <c r="B495" s="54" t="s">
        <v>778</v>
      </c>
      <c r="C495" s="31">
        <v>4301031407</v>
      </c>
      <c r="D495" s="659">
        <v>4680115886094</v>
      </c>
      <c r="E495" s="660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57"/>
      <c r="R495" s="657"/>
      <c r="S495" s="657"/>
      <c r="T495" s="658"/>
      <c r="U495" s="34"/>
      <c r="V495" s="34"/>
      <c r="W495" s="35" t="s">
        <v>66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IFERROR(IF(Y495=0,"",ROUNDUP(Y495/H495,0)*0.00902),"")</f>
        <v/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59">
        <v>4680115880771</v>
      </c>
      <c r="E496" s="660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57"/>
      <c r="R496" s="657"/>
      <c r="S496" s="657"/>
      <c r="T496" s="658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59">
        <v>4607091389500</v>
      </c>
      <c r="E497" s="660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57"/>
      <c r="R497" s="657"/>
      <c r="S497" s="657"/>
      <c r="T497" s="658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idden="1" x14ac:dyDescent="0.2">
      <c r="A498" s="672"/>
      <c r="B498" s="651"/>
      <c r="C498" s="651"/>
      <c r="D498" s="651"/>
      <c r="E498" s="651"/>
      <c r="F498" s="651"/>
      <c r="G498" s="651"/>
      <c r="H498" s="651"/>
      <c r="I498" s="651"/>
      <c r="J498" s="651"/>
      <c r="K498" s="651"/>
      <c r="L498" s="651"/>
      <c r="M498" s="651"/>
      <c r="N498" s="651"/>
      <c r="O498" s="673"/>
      <c r="P498" s="647" t="s">
        <v>71</v>
      </c>
      <c r="Q498" s="648"/>
      <c r="R498" s="648"/>
      <c r="S498" s="648"/>
      <c r="T498" s="648"/>
      <c r="U498" s="648"/>
      <c r="V498" s="649"/>
      <c r="W498" s="37" t="s">
        <v>72</v>
      </c>
      <c r="X498" s="643">
        <f>IFERROR(X495/H495,"0")+IFERROR(X496/H496,"0")+IFERROR(X497/H497,"0")</f>
        <v>0</v>
      </c>
      <c r="Y498" s="643">
        <f>IFERROR(Y495/H495,"0")+IFERROR(Y496/H496,"0")+IFERROR(Y497/H497,"0")</f>
        <v>0</v>
      </c>
      <c r="Z498" s="643">
        <f>IFERROR(IF(Z495="",0,Z495),"0")+IFERROR(IF(Z496="",0,Z496),"0")+IFERROR(IF(Z497="",0,Z497),"0")</f>
        <v>0</v>
      </c>
      <c r="AA498" s="644"/>
      <c r="AB498" s="644"/>
      <c r="AC498" s="644"/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73"/>
      <c r="P499" s="647" t="s">
        <v>71</v>
      </c>
      <c r="Q499" s="648"/>
      <c r="R499" s="648"/>
      <c r="S499" s="648"/>
      <c r="T499" s="648"/>
      <c r="U499" s="648"/>
      <c r="V499" s="649"/>
      <c r="W499" s="37" t="s">
        <v>66</v>
      </c>
      <c r="X499" s="643">
        <f>IFERROR(SUM(X495:X497),"0")</f>
        <v>0</v>
      </c>
      <c r="Y499" s="643">
        <f>IFERROR(SUM(Y495:Y497),"0")</f>
        <v>0</v>
      </c>
      <c r="Z499" s="37"/>
      <c r="AA499" s="644"/>
      <c r="AB499" s="644"/>
      <c r="AC499" s="644"/>
    </row>
    <row r="500" spans="1:68" ht="27.75" hidden="1" customHeight="1" x14ac:dyDescent="0.2">
      <c r="A500" s="666" t="s">
        <v>785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48"/>
      <c r="AB500" s="48"/>
      <c r="AC500" s="48"/>
    </row>
    <row r="501" spans="1:68" ht="16.5" hidden="1" customHeight="1" x14ac:dyDescent="0.25">
      <c r="A501" s="655" t="s">
        <v>785</v>
      </c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1"/>
      <c r="P501" s="651"/>
      <c r="Q501" s="651"/>
      <c r="R501" s="651"/>
      <c r="S501" s="651"/>
      <c r="T501" s="651"/>
      <c r="U501" s="651"/>
      <c r="V501" s="651"/>
      <c r="W501" s="651"/>
      <c r="X501" s="651"/>
      <c r="Y501" s="651"/>
      <c r="Z501" s="651"/>
      <c r="AA501" s="636"/>
      <c r="AB501" s="636"/>
      <c r="AC501" s="636"/>
    </row>
    <row r="502" spans="1:68" ht="14.25" hidden="1" customHeight="1" x14ac:dyDescent="0.25">
      <c r="A502" s="650" t="s">
        <v>110</v>
      </c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651"/>
      <c r="P502" s="651"/>
      <c r="Q502" s="651"/>
      <c r="R502" s="651"/>
      <c r="S502" s="651"/>
      <c r="T502" s="651"/>
      <c r="U502" s="651"/>
      <c r="V502" s="651"/>
      <c r="W502" s="651"/>
      <c r="X502" s="651"/>
      <c r="Y502" s="651"/>
      <c r="Z502" s="651"/>
      <c r="AA502" s="637"/>
      <c r="AB502" s="637"/>
      <c r="AC502" s="637"/>
    </row>
    <row r="503" spans="1:68" ht="27" hidden="1" customHeight="1" x14ac:dyDescent="0.25">
      <c r="A503" s="54" t="s">
        <v>786</v>
      </c>
      <c r="B503" s="54" t="s">
        <v>787</v>
      </c>
      <c r="C503" s="31">
        <v>4301011769</v>
      </c>
      <c r="D503" s="659">
        <v>4607091389067</v>
      </c>
      <c r="E503" s="660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57"/>
      <c r="R503" s="657"/>
      <c r="S503" s="657"/>
      <c r="T503" s="658"/>
      <c r="U503" s="34"/>
      <c r="V503" s="34"/>
      <c r="W503" s="35" t="s">
        <v>66</v>
      </c>
      <c r="X503" s="641">
        <v>0</v>
      </c>
      <c r="Y503" s="642">
        <f t="shared" ref="Y503:Y511" si="82">IFERROR(IF(X503="",0,CEILING((X503/$H503),1)*$H503),"")</f>
        <v>0</v>
      </c>
      <c r="Z503" s="36" t="str">
        <f t="shared" ref="Z503:Z508" si="83">IFERROR(IF(Y503=0,"",ROUNDUP(Y503/H503,0)*0.01196),"")</f>
        <v/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0</v>
      </c>
      <c r="BN503" s="64">
        <f t="shared" ref="BN503:BN511" si="85">IFERROR(Y503*I503/H503,"0")</f>
        <v>0</v>
      </c>
      <c r="BO503" s="64">
        <f t="shared" ref="BO503:BO511" si="86">IFERROR(1/J503*(X503/H503),"0")</f>
        <v>0</v>
      </c>
      <c r="BP503" s="64">
        <f t="shared" ref="BP503:BP511" si="87">IFERROR(1/J503*(Y503/H503),"0")</f>
        <v>0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59">
        <v>4680115889576</v>
      </c>
      <c r="E504" s="660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57"/>
      <c r="R504" s="657"/>
      <c r="S504" s="657"/>
      <c r="T504" s="658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59">
        <v>4680115885271</v>
      </c>
      <c r="E505" s="660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57"/>
      <c r="R505" s="657"/>
      <c r="S505" s="657"/>
      <c r="T505" s="658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customHeight="1" x14ac:dyDescent="0.25">
      <c r="A506" s="54" t="s">
        <v>794</v>
      </c>
      <c r="B506" s="54" t="s">
        <v>795</v>
      </c>
      <c r="C506" s="31">
        <v>4301011369</v>
      </c>
      <c r="D506" s="659">
        <v>4680115885226</v>
      </c>
      <c r="E506" s="660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57"/>
      <c r="R506" s="657"/>
      <c r="S506" s="657"/>
      <c r="T506" s="658"/>
      <c r="U506" s="34"/>
      <c r="V506" s="34"/>
      <c r="W506" s="35" t="s">
        <v>66</v>
      </c>
      <c r="X506" s="641">
        <v>600</v>
      </c>
      <c r="Y506" s="642">
        <f t="shared" si="82"/>
        <v>601.92000000000007</v>
      </c>
      <c r="Z506" s="36">
        <f t="shared" si="83"/>
        <v>1.36344</v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639.77272727272725</v>
      </c>
      <c r="BN506" s="64">
        <f t="shared" si="85"/>
        <v>641.82000000000005</v>
      </c>
      <c r="BO506" s="64">
        <f t="shared" si="86"/>
        <v>1.0926573426573427</v>
      </c>
      <c r="BP506" s="64">
        <f t="shared" si="87"/>
        <v>1.0961538461538463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59">
        <v>4680115884502</v>
      </c>
      <c r="E507" s="660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9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57"/>
      <c r="R507" s="657"/>
      <c r="S507" s="657"/>
      <c r="T507" s="658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hidden="1" customHeight="1" x14ac:dyDescent="0.25">
      <c r="A508" s="54" t="s">
        <v>800</v>
      </c>
      <c r="B508" s="54" t="s">
        <v>801</v>
      </c>
      <c r="C508" s="31">
        <v>4301011771</v>
      </c>
      <c r="D508" s="659">
        <v>4607091389104</v>
      </c>
      <c r="E508" s="660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57"/>
      <c r="R508" s="657"/>
      <c r="S508" s="657"/>
      <c r="T508" s="658"/>
      <c r="U508" s="34"/>
      <c r="V508" s="34"/>
      <c r="W508" s="35" t="s">
        <v>66</v>
      </c>
      <c r="X508" s="641">
        <v>0</v>
      </c>
      <c r="Y508" s="642">
        <f t="shared" si="82"/>
        <v>0</v>
      </c>
      <c r="Z508" s="36" t="str">
        <f t="shared" si="83"/>
        <v/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0</v>
      </c>
      <c r="BN508" s="64">
        <f t="shared" si="85"/>
        <v>0</v>
      </c>
      <c r="BO508" s="64">
        <f t="shared" si="86"/>
        <v>0</v>
      </c>
      <c r="BP508" s="64">
        <f t="shared" si="87"/>
        <v>0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59">
        <v>4680115886391</v>
      </c>
      <c r="E509" s="660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57"/>
      <c r="R509" s="657"/>
      <c r="S509" s="657"/>
      <c r="T509" s="658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59">
        <v>4680115880603</v>
      </c>
      <c r="E510" s="660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10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57"/>
      <c r="R510" s="657"/>
      <c r="S510" s="657"/>
      <c r="T510" s="658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customHeight="1" x14ac:dyDescent="0.25">
      <c r="A511" s="54" t="s">
        <v>807</v>
      </c>
      <c r="B511" s="54" t="s">
        <v>808</v>
      </c>
      <c r="C511" s="31">
        <v>4301012034</v>
      </c>
      <c r="D511" s="659">
        <v>4607091389982</v>
      </c>
      <c r="E511" s="660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57"/>
      <c r="R511" s="657"/>
      <c r="S511" s="657"/>
      <c r="T511" s="658"/>
      <c r="U511" s="34"/>
      <c r="V511" s="34"/>
      <c r="W511" s="35" t="s">
        <v>66</v>
      </c>
      <c r="X511" s="641">
        <v>360</v>
      </c>
      <c r="Y511" s="642">
        <f t="shared" si="82"/>
        <v>360</v>
      </c>
      <c r="Z511" s="36">
        <f>IFERROR(IF(Y511=0,"",ROUNDUP(Y511/H511,0)*0.00902),"")</f>
        <v>0.67649999999999999</v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518.25</v>
      </c>
      <c r="BN511" s="64">
        <f t="shared" si="85"/>
        <v>518.25</v>
      </c>
      <c r="BO511" s="64">
        <f t="shared" si="86"/>
        <v>0.56818181818181823</v>
      </c>
      <c r="BP511" s="64">
        <f t="shared" si="87"/>
        <v>0.56818181818181823</v>
      </c>
    </row>
    <row r="512" spans="1:68" x14ac:dyDescent="0.2">
      <c r="A512" s="672"/>
      <c r="B512" s="651"/>
      <c r="C512" s="651"/>
      <c r="D512" s="651"/>
      <c r="E512" s="651"/>
      <c r="F512" s="651"/>
      <c r="G512" s="651"/>
      <c r="H512" s="651"/>
      <c r="I512" s="651"/>
      <c r="J512" s="651"/>
      <c r="K512" s="651"/>
      <c r="L512" s="651"/>
      <c r="M512" s="651"/>
      <c r="N512" s="651"/>
      <c r="O512" s="673"/>
      <c r="P512" s="647" t="s">
        <v>71</v>
      </c>
      <c r="Q512" s="648"/>
      <c r="R512" s="648"/>
      <c r="S512" s="648"/>
      <c r="T512" s="648"/>
      <c r="U512" s="648"/>
      <c r="V512" s="649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188.63636363636363</v>
      </c>
      <c r="Y512" s="643">
        <f>IFERROR(Y503/H503,"0")+IFERROR(Y504/H504,"0")+IFERROR(Y505/H505,"0")+IFERROR(Y506/H506,"0")+IFERROR(Y507/H507,"0")+IFERROR(Y508/H508,"0")+IFERROR(Y509/H509,"0")+IFERROR(Y510/H510,"0")+IFERROR(Y511/H511,"0")</f>
        <v>189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2.0399400000000001</v>
      </c>
      <c r="AA512" s="644"/>
      <c r="AB512" s="644"/>
      <c r="AC512" s="644"/>
    </row>
    <row r="513" spans="1:68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73"/>
      <c r="P513" s="647" t="s">
        <v>71</v>
      </c>
      <c r="Q513" s="648"/>
      <c r="R513" s="648"/>
      <c r="S513" s="648"/>
      <c r="T513" s="648"/>
      <c r="U513" s="648"/>
      <c r="V513" s="649"/>
      <c r="W513" s="37" t="s">
        <v>66</v>
      </c>
      <c r="X513" s="643">
        <f>IFERROR(SUM(X503:X511),"0")</f>
        <v>960</v>
      </c>
      <c r="Y513" s="643">
        <f>IFERROR(SUM(Y503:Y511),"0")</f>
        <v>961.92000000000007</v>
      </c>
      <c r="Z513" s="37"/>
      <c r="AA513" s="644"/>
      <c r="AB513" s="644"/>
      <c r="AC513" s="644"/>
    </row>
    <row r="514" spans="1:68" ht="14.25" hidden="1" customHeight="1" x14ac:dyDescent="0.25">
      <c r="A514" s="650" t="s">
        <v>147</v>
      </c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1"/>
      <c r="P514" s="651"/>
      <c r="Q514" s="651"/>
      <c r="R514" s="651"/>
      <c r="S514" s="651"/>
      <c r="T514" s="651"/>
      <c r="U514" s="651"/>
      <c r="V514" s="651"/>
      <c r="W514" s="651"/>
      <c r="X514" s="651"/>
      <c r="Y514" s="651"/>
      <c r="Z514" s="651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59">
        <v>4607091388930</v>
      </c>
      <c r="E515" s="660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10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57"/>
      <c r="R515" s="657"/>
      <c r="S515" s="657"/>
      <c r="T515" s="658"/>
      <c r="U515" s="34"/>
      <c r="V515" s="34"/>
      <c r="W515" s="35" t="s">
        <v>66</v>
      </c>
      <c r="X515" s="641">
        <v>1731</v>
      </c>
      <c r="Y515" s="642">
        <f>IFERROR(IF(X515="",0,CEILING((X515/$H515),1)*$H515),"")</f>
        <v>1731.8400000000001</v>
      </c>
      <c r="Z515" s="36">
        <f>IFERROR(IF(Y515=0,"",ROUNDUP(Y515/H515,0)*0.01196),"")</f>
        <v>3.9228800000000001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1845.7443181818182</v>
      </c>
      <c r="BN515" s="64">
        <f>IFERROR(Y515*I515/H515,"0")</f>
        <v>1846.64</v>
      </c>
      <c r="BO515" s="64">
        <f>IFERROR(1/J515*(X515/H515),"0")</f>
        <v>3.1523164335664333</v>
      </c>
      <c r="BP515" s="64">
        <f>IFERROR(1/J515*(Y515/H515),"0")</f>
        <v>3.1538461538461542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59">
        <v>4680115886407</v>
      </c>
      <c r="E516" s="660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57"/>
      <c r="R516" s="657"/>
      <c r="S516" s="657"/>
      <c r="T516" s="658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59">
        <v>4680115880054</v>
      </c>
      <c r="E517" s="660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9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57"/>
      <c r="R517" s="657"/>
      <c r="S517" s="657"/>
      <c r="T517" s="658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72"/>
      <c r="B518" s="651"/>
      <c r="C518" s="651"/>
      <c r="D518" s="651"/>
      <c r="E518" s="651"/>
      <c r="F518" s="651"/>
      <c r="G518" s="651"/>
      <c r="H518" s="651"/>
      <c r="I518" s="651"/>
      <c r="J518" s="651"/>
      <c r="K518" s="651"/>
      <c r="L518" s="651"/>
      <c r="M518" s="651"/>
      <c r="N518" s="651"/>
      <c r="O518" s="673"/>
      <c r="P518" s="647" t="s">
        <v>71</v>
      </c>
      <c r="Q518" s="648"/>
      <c r="R518" s="648"/>
      <c r="S518" s="648"/>
      <c r="T518" s="648"/>
      <c r="U518" s="648"/>
      <c r="V518" s="649"/>
      <c r="W518" s="37" t="s">
        <v>72</v>
      </c>
      <c r="X518" s="643">
        <f>IFERROR(X515/H515,"0")+IFERROR(X516/H516,"0")+IFERROR(X517/H517,"0")</f>
        <v>327.84090909090907</v>
      </c>
      <c r="Y518" s="643">
        <f>IFERROR(Y515/H515,"0")+IFERROR(Y516/H516,"0")+IFERROR(Y517/H517,"0")</f>
        <v>328</v>
      </c>
      <c r="Z518" s="643">
        <f>IFERROR(IF(Z515="",0,Z515),"0")+IFERROR(IF(Z516="",0,Z516),"0")+IFERROR(IF(Z517="",0,Z517),"0")</f>
        <v>3.9228800000000001</v>
      </c>
      <c r="AA518" s="644"/>
      <c r="AB518" s="644"/>
      <c r="AC518" s="644"/>
    </row>
    <row r="519" spans="1:68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73"/>
      <c r="P519" s="647" t="s">
        <v>71</v>
      </c>
      <c r="Q519" s="648"/>
      <c r="R519" s="648"/>
      <c r="S519" s="648"/>
      <c r="T519" s="648"/>
      <c r="U519" s="648"/>
      <c r="V519" s="649"/>
      <c r="W519" s="37" t="s">
        <v>66</v>
      </c>
      <c r="X519" s="643">
        <f>IFERROR(SUM(X515:X517),"0")</f>
        <v>1731</v>
      </c>
      <c r="Y519" s="643">
        <f>IFERROR(SUM(Y515:Y517),"0")</f>
        <v>1731.8400000000001</v>
      </c>
      <c r="Z519" s="37"/>
      <c r="AA519" s="644"/>
      <c r="AB519" s="644"/>
      <c r="AC519" s="644"/>
    </row>
    <row r="520" spans="1:68" ht="14.25" hidden="1" customHeight="1" x14ac:dyDescent="0.25">
      <c r="A520" s="650" t="s">
        <v>61</v>
      </c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1"/>
      <c r="P520" s="651"/>
      <c r="Q520" s="651"/>
      <c r="R520" s="651"/>
      <c r="S520" s="651"/>
      <c r="T520" s="651"/>
      <c r="U520" s="651"/>
      <c r="V520" s="651"/>
      <c r="W520" s="651"/>
      <c r="X520" s="651"/>
      <c r="Y520" s="651"/>
      <c r="Z520" s="651"/>
      <c r="AA520" s="637"/>
      <c r="AB520" s="637"/>
      <c r="AC520" s="637"/>
    </row>
    <row r="521" spans="1:68" ht="27" hidden="1" customHeight="1" x14ac:dyDescent="0.25">
      <c r="A521" s="54" t="s">
        <v>816</v>
      </c>
      <c r="B521" s="54" t="s">
        <v>817</v>
      </c>
      <c r="C521" s="31">
        <v>4301031349</v>
      </c>
      <c r="D521" s="659">
        <v>4680115883116</v>
      </c>
      <c r="E521" s="660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57"/>
      <c r="R521" s="657"/>
      <c r="S521" s="657"/>
      <c r="T521" s="658"/>
      <c r="U521" s="34"/>
      <c r="V521" s="34"/>
      <c r="W521" s="35" t="s">
        <v>66</v>
      </c>
      <c r="X521" s="641">
        <v>0</v>
      </c>
      <c r="Y521" s="642">
        <f t="shared" ref="Y521:Y527" si="88"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0</v>
      </c>
      <c r="BN521" s="64">
        <f t="shared" ref="BN521:BN527" si="90">IFERROR(Y521*I521/H521,"0")</f>
        <v>0</v>
      </c>
      <c r="BO521" s="64">
        <f t="shared" ref="BO521:BO527" si="91">IFERROR(1/J521*(X521/H521),"0")</f>
        <v>0</v>
      </c>
      <c r="BP521" s="64">
        <f t="shared" ref="BP521:BP527" si="92">IFERROR(1/J521*(Y521/H521),"0")</f>
        <v>0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59">
        <v>4680115883093</v>
      </c>
      <c r="E522" s="660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0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57"/>
      <c r="R522" s="657"/>
      <c r="S522" s="657"/>
      <c r="T522" s="658"/>
      <c r="U522" s="34"/>
      <c r="V522" s="34"/>
      <c r="W522" s="35" t="s">
        <v>66</v>
      </c>
      <c r="X522" s="641">
        <v>1500</v>
      </c>
      <c r="Y522" s="642">
        <f t="shared" si="88"/>
        <v>1504.8000000000002</v>
      </c>
      <c r="Z522" s="36">
        <f>IFERROR(IF(Y522=0,"",ROUNDUP(Y522/H522,0)*0.01196),"")</f>
        <v>3.4085999999999999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1599.431818181818</v>
      </c>
      <c r="BN522" s="64">
        <f t="shared" si="90"/>
        <v>1604.5500000000002</v>
      </c>
      <c r="BO522" s="64">
        <f t="shared" si="91"/>
        <v>2.7316433566433567</v>
      </c>
      <c r="BP522" s="64">
        <f t="shared" si="92"/>
        <v>2.7403846153846154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59">
        <v>4680115883109</v>
      </c>
      <c r="E523" s="660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57"/>
      <c r="R523" s="657"/>
      <c r="S523" s="657"/>
      <c r="T523" s="658"/>
      <c r="U523" s="34"/>
      <c r="V523" s="34"/>
      <c r="W523" s="35" t="s">
        <v>66</v>
      </c>
      <c r="X523" s="641">
        <v>1800</v>
      </c>
      <c r="Y523" s="642">
        <f t="shared" si="88"/>
        <v>1800.48</v>
      </c>
      <c r="Z523" s="36">
        <f>IFERROR(IF(Y523=0,"",ROUNDUP(Y523/H523,0)*0.01196),"")</f>
        <v>4.07836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1919.3181818181818</v>
      </c>
      <c r="BN523" s="64">
        <f t="shared" si="90"/>
        <v>1919.83</v>
      </c>
      <c r="BO523" s="64">
        <f t="shared" si="91"/>
        <v>3.2779720279720279</v>
      </c>
      <c r="BP523" s="64">
        <f t="shared" si="92"/>
        <v>3.2788461538461542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59">
        <v>4680115882072</v>
      </c>
      <c r="E524" s="660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7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57"/>
      <c r="R524" s="657"/>
      <c r="S524" s="657"/>
      <c r="T524" s="658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59">
        <v>4680115882102</v>
      </c>
      <c r="E525" s="660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57"/>
      <c r="R525" s="657"/>
      <c r="S525" s="657"/>
      <c r="T525" s="658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59">
        <v>4680115882102</v>
      </c>
      <c r="E526" s="660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8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57"/>
      <c r="R526" s="657"/>
      <c r="S526" s="657"/>
      <c r="T526" s="658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customHeight="1" x14ac:dyDescent="0.25">
      <c r="A527" s="54" t="s">
        <v>830</v>
      </c>
      <c r="B527" s="54" t="s">
        <v>831</v>
      </c>
      <c r="C527" s="31">
        <v>4301031417</v>
      </c>
      <c r="D527" s="659">
        <v>4680115882096</v>
      </c>
      <c r="E527" s="660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1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57"/>
      <c r="R527" s="657"/>
      <c r="S527" s="657"/>
      <c r="T527" s="658"/>
      <c r="U527" s="34"/>
      <c r="V527" s="34"/>
      <c r="W527" s="35" t="s">
        <v>66</v>
      </c>
      <c r="X527" s="641">
        <v>90</v>
      </c>
      <c r="Y527" s="642">
        <f t="shared" si="88"/>
        <v>91.2</v>
      </c>
      <c r="Z527" s="36">
        <f>IFERROR(IF(Y527=0,"",ROUNDUP(Y527/H527,0)*0.00902),"")</f>
        <v>0.17138</v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125.0625</v>
      </c>
      <c r="BN527" s="64">
        <f t="shared" si="90"/>
        <v>126.73</v>
      </c>
      <c r="BO527" s="64">
        <f t="shared" si="91"/>
        <v>0.14204545454545456</v>
      </c>
      <c r="BP527" s="64">
        <f t="shared" si="92"/>
        <v>0.14393939393939395</v>
      </c>
    </row>
    <row r="528" spans="1:68" x14ac:dyDescent="0.2">
      <c r="A528" s="672"/>
      <c r="B528" s="651"/>
      <c r="C528" s="651"/>
      <c r="D528" s="651"/>
      <c r="E528" s="651"/>
      <c r="F528" s="651"/>
      <c r="G528" s="651"/>
      <c r="H528" s="651"/>
      <c r="I528" s="651"/>
      <c r="J528" s="651"/>
      <c r="K528" s="651"/>
      <c r="L528" s="651"/>
      <c r="M528" s="651"/>
      <c r="N528" s="651"/>
      <c r="O528" s="673"/>
      <c r="P528" s="647" t="s">
        <v>71</v>
      </c>
      <c r="Q528" s="648"/>
      <c r="R528" s="648"/>
      <c r="S528" s="648"/>
      <c r="T528" s="648"/>
      <c r="U528" s="648"/>
      <c r="V528" s="649"/>
      <c r="W528" s="37" t="s">
        <v>72</v>
      </c>
      <c r="X528" s="643">
        <f>IFERROR(X521/H521,"0")+IFERROR(X522/H522,"0")+IFERROR(X523/H523,"0")+IFERROR(X524/H524,"0")+IFERROR(X525/H525,"0")+IFERROR(X526/H526,"0")+IFERROR(X527/H527,"0")</f>
        <v>643.75</v>
      </c>
      <c r="Y528" s="643">
        <f>IFERROR(Y521/H521,"0")+IFERROR(Y522/H522,"0")+IFERROR(Y523/H523,"0")+IFERROR(Y524/H524,"0")+IFERROR(Y525/H525,"0")+IFERROR(Y526/H526,"0")+IFERROR(Y527/H527,"0")</f>
        <v>645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7.6583399999999999</v>
      </c>
      <c r="AA528" s="644"/>
      <c r="AB528" s="644"/>
      <c r="AC528" s="644"/>
    </row>
    <row r="529" spans="1:68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73"/>
      <c r="P529" s="647" t="s">
        <v>71</v>
      </c>
      <c r="Q529" s="648"/>
      <c r="R529" s="648"/>
      <c r="S529" s="648"/>
      <c r="T529" s="648"/>
      <c r="U529" s="648"/>
      <c r="V529" s="649"/>
      <c r="W529" s="37" t="s">
        <v>66</v>
      </c>
      <c r="X529" s="643">
        <f>IFERROR(SUM(X521:X527),"0")</f>
        <v>3390</v>
      </c>
      <c r="Y529" s="643">
        <f>IFERROR(SUM(Y521:Y527),"0")</f>
        <v>3396.48</v>
      </c>
      <c r="Z529" s="37"/>
      <c r="AA529" s="644"/>
      <c r="AB529" s="644"/>
      <c r="AC529" s="644"/>
    </row>
    <row r="530" spans="1:68" ht="27.75" hidden="1" customHeight="1" x14ac:dyDescent="0.2">
      <c r="A530" s="666" t="s">
        <v>832</v>
      </c>
      <c r="B530" s="667"/>
      <c r="C530" s="667"/>
      <c r="D530" s="667"/>
      <c r="E530" s="667"/>
      <c r="F530" s="667"/>
      <c r="G530" s="667"/>
      <c r="H530" s="667"/>
      <c r="I530" s="667"/>
      <c r="J530" s="667"/>
      <c r="K530" s="667"/>
      <c r="L530" s="667"/>
      <c r="M530" s="667"/>
      <c r="N530" s="667"/>
      <c r="O530" s="667"/>
      <c r="P530" s="667"/>
      <c r="Q530" s="667"/>
      <c r="R530" s="667"/>
      <c r="S530" s="667"/>
      <c r="T530" s="667"/>
      <c r="U530" s="667"/>
      <c r="V530" s="667"/>
      <c r="W530" s="667"/>
      <c r="X530" s="667"/>
      <c r="Y530" s="667"/>
      <c r="Z530" s="667"/>
      <c r="AA530" s="48"/>
      <c r="AB530" s="48"/>
      <c r="AC530" s="48"/>
    </row>
    <row r="531" spans="1:68" ht="16.5" hidden="1" customHeight="1" x14ac:dyDescent="0.25">
      <c r="A531" s="655" t="s">
        <v>832</v>
      </c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1"/>
      <c r="P531" s="651"/>
      <c r="Q531" s="651"/>
      <c r="R531" s="651"/>
      <c r="S531" s="651"/>
      <c r="T531" s="651"/>
      <c r="U531" s="651"/>
      <c r="V531" s="651"/>
      <c r="W531" s="651"/>
      <c r="X531" s="651"/>
      <c r="Y531" s="651"/>
      <c r="Z531" s="651"/>
      <c r="AA531" s="636"/>
      <c r="AB531" s="636"/>
      <c r="AC531" s="636"/>
    </row>
    <row r="532" spans="1:68" ht="14.25" hidden="1" customHeight="1" x14ac:dyDescent="0.25">
      <c r="A532" s="650" t="s">
        <v>110</v>
      </c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1"/>
      <c r="P532" s="651"/>
      <c r="Q532" s="651"/>
      <c r="R532" s="651"/>
      <c r="S532" s="651"/>
      <c r="T532" s="651"/>
      <c r="U532" s="651"/>
      <c r="V532" s="651"/>
      <c r="W532" s="651"/>
      <c r="X532" s="651"/>
      <c r="Y532" s="651"/>
      <c r="Z532" s="651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59">
        <v>4680115889736</v>
      </c>
      <c r="E533" s="660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57"/>
      <c r="R533" s="657"/>
      <c r="S533" s="657"/>
      <c r="T533" s="658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2"/>
      <c r="B534" s="651"/>
      <c r="C534" s="651"/>
      <c r="D534" s="651"/>
      <c r="E534" s="651"/>
      <c r="F534" s="651"/>
      <c r="G534" s="651"/>
      <c r="H534" s="651"/>
      <c r="I534" s="651"/>
      <c r="J534" s="651"/>
      <c r="K534" s="651"/>
      <c r="L534" s="651"/>
      <c r="M534" s="651"/>
      <c r="N534" s="651"/>
      <c r="O534" s="673"/>
      <c r="P534" s="647" t="s">
        <v>71</v>
      </c>
      <c r="Q534" s="648"/>
      <c r="R534" s="648"/>
      <c r="S534" s="648"/>
      <c r="T534" s="648"/>
      <c r="U534" s="648"/>
      <c r="V534" s="649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73"/>
      <c r="P535" s="647" t="s">
        <v>71</v>
      </c>
      <c r="Q535" s="648"/>
      <c r="R535" s="648"/>
      <c r="S535" s="648"/>
      <c r="T535" s="648"/>
      <c r="U535" s="648"/>
      <c r="V535" s="649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50" t="s">
        <v>147</v>
      </c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1"/>
      <c r="P536" s="651"/>
      <c r="Q536" s="651"/>
      <c r="R536" s="651"/>
      <c r="S536" s="651"/>
      <c r="T536" s="651"/>
      <c r="U536" s="651"/>
      <c r="V536" s="651"/>
      <c r="W536" s="651"/>
      <c r="X536" s="651"/>
      <c r="Y536" s="651"/>
      <c r="Z536" s="651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59">
        <v>4680115889781</v>
      </c>
      <c r="E537" s="660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5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57"/>
      <c r="R537" s="657"/>
      <c r="S537" s="657"/>
      <c r="T537" s="658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2"/>
      <c r="B538" s="651"/>
      <c r="C538" s="651"/>
      <c r="D538" s="651"/>
      <c r="E538" s="651"/>
      <c r="F538" s="651"/>
      <c r="G538" s="651"/>
      <c r="H538" s="651"/>
      <c r="I538" s="651"/>
      <c r="J538" s="651"/>
      <c r="K538" s="651"/>
      <c r="L538" s="651"/>
      <c r="M538" s="651"/>
      <c r="N538" s="651"/>
      <c r="O538" s="673"/>
      <c r="P538" s="647" t="s">
        <v>71</v>
      </c>
      <c r="Q538" s="648"/>
      <c r="R538" s="648"/>
      <c r="S538" s="648"/>
      <c r="T538" s="648"/>
      <c r="U538" s="648"/>
      <c r="V538" s="649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73"/>
      <c r="P539" s="647" t="s">
        <v>71</v>
      </c>
      <c r="Q539" s="648"/>
      <c r="R539" s="648"/>
      <c r="S539" s="648"/>
      <c r="T539" s="648"/>
      <c r="U539" s="648"/>
      <c r="V539" s="649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50" t="s">
        <v>61</v>
      </c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1"/>
      <c r="P540" s="651"/>
      <c r="Q540" s="651"/>
      <c r="R540" s="651"/>
      <c r="S540" s="651"/>
      <c r="T540" s="651"/>
      <c r="U540" s="651"/>
      <c r="V540" s="651"/>
      <c r="W540" s="651"/>
      <c r="X540" s="651"/>
      <c r="Y540" s="651"/>
      <c r="Z540" s="651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59">
        <v>4680115889774</v>
      </c>
      <c r="E541" s="660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8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57"/>
      <c r="R541" s="657"/>
      <c r="S541" s="657"/>
      <c r="T541" s="658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2"/>
      <c r="B542" s="651"/>
      <c r="C542" s="651"/>
      <c r="D542" s="651"/>
      <c r="E542" s="651"/>
      <c r="F542" s="651"/>
      <c r="G542" s="651"/>
      <c r="H542" s="651"/>
      <c r="I542" s="651"/>
      <c r="J542" s="651"/>
      <c r="K542" s="651"/>
      <c r="L542" s="651"/>
      <c r="M542" s="651"/>
      <c r="N542" s="651"/>
      <c r="O542" s="673"/>
      <c r="P542" s="647" t="s">
        <v>71</v>
      </c>
      <c r="Q542" s="648"/>
      <c r="R542" s="648"/>
      <c r="S542" s="648"/>
      <c r="T542" s="648"/>
      <c r="U542" s="648"/>
      <c r="V542" s="649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73"/>
      <c r="P543" s="647" t="s">
        <v>71</v>
      </c>
      <c r="Q543" s="648"/>
      <c r="R543" s="648"/>
      <c r="S543" s="648"/>
      <c r="T543" s="648"/>
      <c r="U543" s="648"/>
      <c r="V543" s="649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50" t="s">
        <v>73</v>
      </c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1"/>
      <c r="P544" s="651"/>
      <c r="Q544" s="651"/>
      <c r="R544" s="651"/>
      <c r="S544" s="651"/>
      <c r="T544" s="651"/>
      <c r="U544" s="651"/>
      <c r="V544" s="651"/>
      <c r="W544" s="651"/>
      <c r="X544" s="651"/>
      <c r="Y544" s="651"/>
      <c r="Z544" s="651"/>
      <c r="AA544" s="637"/>
      <c r="AB544" s="637"/>
      <c r="AC544" s="637"/>
    </row>
    <row r="545" spans="1:68" ht="27" hidden="1" customHeight="1" x14ac:dyDescent="0.25">
      <c r="A545" s="54" t="s">
        <v>841</v>
      </c>
      <c r="B545" s="54" t="s">
        <v>842</v>
      </c>
      <c r="C545" s="31">
        <v>4301052282</v>
      </c>
      <c r="D545" s="659">
        <v>4680115889811</v>
      </c>
      <c r="E545" s="660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94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57"/>
      <c r="R545" s="657"/>
      <c r="S545" s="657"/>
      <c r="T545" s="658"/>
      <c r="U545" s="34"/>
      <c r="V545" s="34"/>
      <c r="W545" s="35" t="s">
        <v>66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72"/>
      <c r="B546" s="651"/>
      <c r="C546" s="651"/>
      <c r="D546" s="651"/>
      <c r="E546" s="651"/>
      <c r="F546" s="651"/>
      <c r="G546" s="651"/>
      <c r="H546" s="651"/>
      <c r="I546" s="651"/>
      <c r="J546" s="651"/>
      <c r="K546" s="651"/>
      <c r="L546" s="651"/>
      <c r="M546" s="651"/>
      <c r="N546" s="651"/>
      <c r="O546" s="673"/>
      <c r="P546" s="647" t="s">
        <v>71</v>
      </c>
      <c r="Q546" s="648"/>
      <c r="R546" s="648"/>
      <c r="S546" s="648"/>
      <c r="T546" s="648"/>
      <c r="U546" s="648"/>
      <c r="V546" s="649"/>
      <c r="W546" s="37" t="s">
        <v>72</v>
      </c>
      <c r="X546" s="643">
        <f>IFERROR(X545/H545,"0")</f>
        <v>0</v>
      </c>
      <c r="Y546" s="643">
        <f>IFERROR(Y545/H545,"0")</f>
        <v>0</v>
      </c>
      <c r="Z546" s="643">
        <f>IFERROR(IF(Z545="",0,Z545),"0")</f>
        <v>0</v>
      </c>
      <c r="AA546" s="644"/>
      <c r="AB546" s="644"/>
      <c r="AC546" s="644"/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73"/>
      <c r="P547" s="647" t="s">
        <v>71</v>
      </c>
      <c r="Q547" s="648"/>
      <c r="R547" s="648"/>
      <c r="S547" s="648"/>
      <c r="T547" s="648"/>
      <c r="U547" s="648"/>
      <c r="V547" s="649"/>
      <c r="W547" s="37" t="s">
        <v>66</v>
      </c>
      <c r="X547" s="643">
        <f>IFERROR(SUM(X545:X545),"0")</f>
        <v>0</v>
      </c>
      <c r="Y547" s="643">
        <f>IFERROR(SUM(Y545:Y545),"0")</f>
        <v>0</v>
      </c>
      <c r="Z547" s="37"/>
      <c r="AA547" s="644"/>
      <c r="AB547" s="644"/>
      <c r="AC547" s="644"/>
    </row>
    <row r="548" spans="1:68" ht="14.25" hidden="1" customHeight="1" x14ac:dyDescent="0.25">
      <c r="A548" s="650" t="s">
        <v>166</v>
      </c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1"/>
      <c r="P548" s="651"/>
      <c r="Q548" s="651"/>
      <c r="R548" s="651"/>
      <c r="S548" s="651"/>
      <c r="T548" s="651"/>
      <c r="U548" s="651"/>
      <c r="V548" s="651"/>
      <c r="W548" s="651"/>
      <c r="X548" s="651"/>
      <c r="Y548" s="651"/>
      <c r="Z548" s="651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59">
        <v>4680115889804</v>
      </c>
      <c r="E549" s="660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9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57"/>
      <c r="R549" s="657"/>
      <c r="S549" s="657"/>
      <c r="T549" s="658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59">
        <v>4680115889828</v>
      </c>
      <c r="E550" s="660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0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57"/>
      <c r="R550" s="657"/>
      <c r="S550" s="657"/>
      <c r="T550" s="658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2"/>
      <c r="B551" s="651"/>
      <c r="C551" s="651"/>
      <c r="D551" s="651"/>
      <c r="E551" s="651"/>
      <c r="F551" s="651"/>
      <c r="G551" s="651"/>
      <c r="H551" s="651"/>
      <c r="I551" s="651"/>
      <c r="J551" s="651"/>
      <c r="K551" s="651"/>
      <c r="L551" s="651"/>
      <c r="M551" s="651"/>
      <c r="N551" s="651"/>
      <c r="O551" s="673"/>
      <c r="P551" s="647" t="s">
        <v>71</v>
      </c>
      <c r="Q551" s="648"/>
      <c r="R551" s="648"/>
      <c r="S551" s="648"/>
      <c r="T551" s="648"/>
      <c r="U551" s="648"/>
      <c r="V551" s="649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73"/>
      <c r="P552" s="647" t="s">
        <v>71</v>
      </c>
      <c r="Q552" s="648"/>
      <c r="R552" s="648"/>
      <c r="S552" s="648"/>
      <c r="T552" s="648"/>
      <c r="U552" s="648"/>
      <c r="V552" s="649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55" t="s">
        <v>850</v>
      </c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1"/>
      <c r="P553" s="651"/>
      <c r="Q553" s="651"/>
      <c r="R553" s="651"/>
      <c r="S553" s="651"/>
      <c r="T553" s="651"/>
      <c r="U553" s="651"/>
      <c r="V553" s="651"/>
      <c r="W553" s="651"/>
      <c r="X553" s="651"/>
      <c r="Y553" s="651"/>
      <c r="Z553" s="651"/>
      <c r="AA553" s="636"/>
      <c r="AB553" s="636"/>
      <c r="AC553" s="636"/>
    </row>
    <row r="554" spans="1:68" ht="14.25" hidden="1" customHeight="1" x14ac:dyDescent="0.25">
      <c r="A554" s="650" t="s">
        <v>147</v>
      </c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1"/>
      <c r="P554" s="651"/>
      <c r="Q554" s="651"/>
      <c r="R554" s="651"/>
      <c r="S554" s="651"/>
      <c r="T554" s="651"/>
      <c r="U554" s="651"/>
      <c r="V554" s="651"/>
      <c r="W554" s="651"/>
      <c r="X554" s="651"/>
      <c r="Y554" s="651"/>
      <c r="Z554" s="651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59">
        <v>4680115889798</v>
      </c>
      <c r="E555" s="660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57"/>
      <c r="R555" s="657"/>
      <c r="S555" s="657"/>
      <c r="T555" s="658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2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73"/>
      <c r="P556" s="647" t="s">
        <v>71</v>
      </c>
      <c r="Q556" s="648"/>
      <c r="R556" s="648"/>
      <c r="S556" s="648"/>
      <c r="T556" s="648"/>
      <c r="U556" s="648"/>
      <c r="V556" s="649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73"/>
      <c r="P557" s="647" t="s">
        <v>71</v>
      </c>
      <c r="Q557" s="648"/>
      <c r="R557" s="648"/>
      <c r="S557" s="648"/>
      <c r="T557" s="648"/>
      <c r="U557" s="648"/>
      <c r="V557" s="649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4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820"/>
      <c r="P558" s="652" t="s">
        <v>854</v>
      </c>
      <c r="Q558" s="653"/>
      <c r="R558" s="653"/>
      <c r="S558" s="653"/>
      <c r="T558" s="653"/>
      <c r="U558" s="653"/>
      <c r="V558" s="654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12334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12474.890000000003</v>
      </c>
      <c r="Z558" s="37"/>
      <c r="AA558" s="644"/>
      <c r="AB558" s="644"/>
      <c r="AC558" s="644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820"/>
      <c r="P559" s="652" t="s">
        <v>855</v>
      </c>
      <c r="Q559" s="653"/>
      <c r="R559" s="653"/>
      <c r="S559" s="653"/>
      <c r="T559" s="653"/>
      <c r="U559" s="653"/>
      <c r="V559" s="654"/>
      <c r="W559" s="37" t="s">
        <v>66</v>
      </c>
      <c r="X559" s="643">
        <f>IFERROR(SUM(BM22:BM555),"0")</f>
        <v>13215.116353147441</v>
      </c>
      <c r="Y559" s="643">
        <f>IFERROR(SUM(BN22:BN555),"0")</f>
        <v>13363.887000000001</v>
      </c>
      <c r="Z559" s="37"/>
      <c r="AA559" s="644"/>
      <c r="AB559" s="644"/>
      <c r="AC559" s="64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820"/>
      <c r="P560" s="652" t="s">
        <v>856</v>
      </c>
      <c r="Q560" s="653"/>
      <c r="R560" s="653"/>
      <c r="S560" s="653"/>
      <c r="T560" s="653"/>
      <c r="U560" s="653"/>
      <c r="V560" s="654"/>
      <c r="W560" s="37" t="s">
        <v>857</v>
      </c>
      <c r="X560" s="38">
        <f>ROUNDUP(SUM(BO22:BO555),0)</f>
        <v>22</v>
      </c>
      <c r="Y560" s="38">
        <f>ROUNDUP(SUM(BP22:BP555),0)</f>
        <v>22</v>
      </c>
      <c r="Z560" s="37"/>
      <c r="AA560" s="644"/>
      <c r="AB560" s="644"/>
      <c r="AC560" s="64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820"/>
      <c r="P561" s="652" t="s">
        <v>858</v>
      </c>
      <c r="Q561" s="653"/>
      <c r="R561" s="653"/>
      <c r="S561" s="653"/>
      <c r="T561" s="653"/>
      <c r="U561" s="653"/>
      <c r="V561" s="654"/>
      <c r="W561" s="37" t="s">
        <v>66</v>
      </c>
      <c r="X561" s="643">
        <f>GrossWeightTotal+PalletQtyTotal*25</f>
        <v>13765.116353147441</v>
      </c>
      <c r="Y561" s="643">
        <f>GrossWeightTotalR+PalletQtyTotalR*25</f>
        <v>13913.887000000001</v>
      </c>
      <c r="Z561" s="37"/>
      <c r="AA561" s="644"/>
      <c r="AB561" s="644"/>
      <c r="AC561" s="64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820"/>
      <c r="P562" s="652" t="s">
        <v>859</v>
      </c>
      <c r="Q562" s="653"/>
      <c r="R562" s="653"/>
      <c r="S562" s="653"/>
      <c r="T562" s="653"/>
      <c r="U562" s="653"/>
      <c r="V562" s="654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2203.6941167852929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2229</v>
      </c>
      <c r="Z562" s="37"/>
      <c r="AA562" s="644"/>
      <c r="AB562" s="644"/>
      <c r="AC562" s="644"/>
    </row>
    <row r="563" spans="1:32" ht="14.25" hidden="1" customHeight="1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820"/>
      <c r="P563" s="652" t="s">
        <v>860</v>
      </c>
      <c r="Q563" s="653"/>
      <c r="R563" s="653"/>
      <c r="S563" s="653"/>
      <c r="T563" s="653"/>
      <c r="U563" s="653"/>
      <c r="V563" s="654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26.055349999999997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77" t="s">
        <v>108</v>
      </c>
      <c r="E565" s="970"/>
      <c r="F565" s="970"/>
      <c r="G565" s="970"/>
      <c r="H565" s="970"/>
      <c r="I565" s="970"/>
      <c r="J565" s="683"/>
      <c r="K565" s="677" t="s">
        <v>334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683"/>
      <c r="W565" s="677" t="s">
        <v>683</v>
      </c>
      <c r="X565" s="683"/>
      <c r="Y565" s="677" t="s">
        <v>749</v>
      </c>
      <c r="Z565" s="683"/>
      <c r="AA565" s="638" t="s">
        <v>785</v>
      </c>
      <c r="AB565" s="677" t="s">
        <v>832</v>
      </c>
      <c r="AC565" s="683"/>
      <c r="AF565" s="639"/>
    </row>
    <row r="566" spans="1:32" ht="14.25" customHeight="1" thickTop="1" x14ac:dyDescent="0.2">
      <c r="A566" s="680" t="s">
        <v>863</v>
      </c>
      <c r="B566" s="677" t="s">
        <v>60</v>
      </c>
      <c r="C566" s="677" t="s">
        <v>92</v>
      </c>
      <c r="D566" s="677" t="s">
        <v>109</v>
      </c>
      <c r="E566" s="677" t="s">
        <v>125</v>
      </c>
      <c r="F566" s="677" t="s">
        <v>174</v>
      </c>
      <c r="G566" s="677" t="s">
        <v>198</v>
      </c>
      <c r="H566" s="677" t="s">
        <v>238</v>
      </c>
      <c r="I566" s="677" t="s">
        <v>251</v>
      </c>
      <c r="J566" s="677" t="s">
        <v>108</v>
      </c>
      <c r="K566" s="677" t="s">
        <v>335</v>
      </c>
      <c r="L566" s="677" t="s">
        <v>356</v>
      </c>
      <c r="M566" s="677" t="s">
        <v>427</v>
      </c>
      <c r="N566" s="639"/>
      <c r="O566" s="677" t="s">
        <v>495</v>
      </c>
      <c r="P566" s="677" t="s">
        <v>524</v>
      </c>
      <c r="Q566" s="677" t="s">
        <v>543</v>
      </c>
      <c r="R566" s="677" t="s">
        <v>552</v>
      </c>
      <c r="S566" s="677" t="s">
        <v>571</v>
      </c>
      <c r="T566" s="677" t="s">
        <v>580</v>
      </c>
      <c r="U566" s="677" t="s">
        <v>666</v>
      </c>
      <c r="V566" s="677" t="s">
        <v>673</v>
      </c>
      <c r="W566" s="677" t="s">
        <v>684</v>
      </c>
      <c r="X566" s="677" t="s">
        <v>733</v>
      </c>
      <c r="Y566" s="677" t="s">
        <v>750</v>
      </c>
      <c r="Z566" s="677" t="s">
        <v>773</v>
      </c>
      <c r="AA566" s="677" t="s">
        <v>785</v>
      </c>
      <c r="AB566" s="677" t="s">
        <v>832</v>
      </c>
      <c r="AC566" s="677" t="s">
        <v>850</v>
      </c>
      <c r="AF566" s="639"/>
    </row>
    <row r="567" spans="1:32" ht="13.5" customHeight="1" thickBot="1" x14ac:dyDescent="0.25">
      <c r="A567" s="681"/>
      <c r="B567" s="678"/>
      <c r="C567" s="678"/>
      <c r="D567" s="678"/>
      <c r="E567" s="678"/>
      <c r="F567" s="678"/>
      <c r="G567" s="678"/>
      <c r="H567" s="678"/>
      <c r="I567" s="678"/>
      <c r="J567" s="678"/>
      <c r="K567" s="678"/>
      <c r="L567" s="678"/>
      <c r="M567" s="678"/>
      <c r="N567" s="639"/>
      <c r="O567" s="678"/>
      <c r="P567" s="678"/>
      <c r="Q567" s="678"/>
      <c r="R567" s="678"/>
      <c r="S567" s="678"/>
      <c r="T567" s="678"/>
      <c r="U567" s="678"/>
      <c r="V567" s="678"/>
      <c r="W567" s="678"/>
      <c r="X567" s="678"/>
      <c r="Y567" s="678"/>
      <c r="Z567" s="678"/>
      <c r="AA567" s="678"/>
      <c r="AB567" s="678"/>
      <c r="AC567" s="678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22.200000000000003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516.30000000000007</v>
      </c>
      <c r="F568" s="46">
        <f>IFERROR(Y87*1,"0")+IFERROR(Y88*1,"0")+IFERROR(Y89*1,"0")+IFERROR(Y90*1,"0")+IFERROR(Y91*1,"0")+IFERROR(Y92*1,"0")+IFERROR(Y96*1,"0")+IFERROR(Y97*1,"0")+IFERROR(Y98*1,"0")+IFERROR(Y99*1,"0")</f>
        <v>108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1053.06</v>
      </c>
      <c r="H568" s="46">
        <f>IFERROR(Y134*1,"0")+IFERROR(Y135*1,"0")+IFERROR(Y139*1,"0")+IFERROR(Y140*1,"0")+IFERROR(Y144*1,"0")+IFERROR(Y145*1,"0")</f>
        <v>5.6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237.24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159.60000000000002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1217.3999999999999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13.8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40.799999999999997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202.79999999999998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288.14999999999998</v>
      </c>
      <c r="U568" s="46">
        <f>IFERROR(Y416*1,"0")+IFERROR(Y417*1,"0")</f>
        <v>0</v>
      </c>
      <c r="V568" s="46">
        <f>IFERROR(Y422*1,"0")+IFERROR(Y423*1,"0")+IFERROR(Y424*1,"0")</f>
        <v>18.900000000000002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2340</v>
      </c>
      <c r="X568" s="46">
        <f>IFERROR(Y459*1,"0")+IFERROR(Y460*1,"0")+IFERROR(Y464*1,"0")+IFERROR(Y468*1,"0")+IFERROR(Y469*1,"0")+IFERROR(Y470*1,"0")</f>
        <v>160.79999999999998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0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6090.2400000000007</v>
      </c>
      <c r="AB568" s="46">
        <f>IFERROR(Y533*1,"0")+IFERROR(Y537*1,"0")+IFERROR(Y541*1,"0")+IFERROR(Y545*1,"0")+IFERROR(Y549*1,"0")+IFERROR(Y550*1,"0")</f>
        <v>0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1 500,00"/>
        <filter val="1 731,00"/>
        <filter val="1 800,00"/>
        <filter val="1 924,00"/>
        <filter val="1,00"/>
        <filter val="1,07"/>
        <filter val="10,00"/>
        <filter val="100,00"/>
        <filter val="12 334,00"/>
        <filter val="12,82"/>
        <filter val="120,00"/>
        <filter val="128,27"/>
        <filter val="13 215,12"/>
        <filter val="13 765,12"/>
        <filter val="135,00"/>
        <filter val="140,00"/>
        <filter val="141,00"/>
        <filter val="149,00"/>
        <filter val="16,67"/>
        <filter val="160,00"/>
        <filter val="18,00"/>
        <filter val="18,52"/>
        <filter val="18,96"/>
        <filter val="188,64"/>
        <filter val="19,00"/>
        <filter val="191,00"/>
        <filter val="2 203,69"/>
        <filter val="2,00"/>
        <filter val="2,22"/>
        <filter val="2,25"/>
        <filter val="20,00"/>
        <filter val="20,78"/>
        <filter val="200,00"/>
        <filter val="202,00"/>
        <filter val="21,00"/>
        <filter val="22"/>
        <filter val="224,00"/>
        <filter val="24,49"/>
        <filter val="240,00"/>
        <filter val="25,64"/>
        <filter val="25,76"/>
        <filter val="251,85"/>
        <filter val="26,67"/>
        <filter val="3 390,00"/>
        <filter val="3,00"/>
        <filter val="30,00"/>
        <filter val="300,00"/>
        <filter val="327,84"/>
        <filter val="345,00"/>
        <filter val="360,00"/>
        <filter val="4,00"/>
        <filter val="4,76"/>
        <filter val="40,00"/>
        <filter val="400,00"/>
        <filter val="44,76"/>
        <filter val="45,00"/>
        <filter val="480,00"/>
        <filter val="5,00"/>
        <filter val="5,14"/>
        <filter val="50,00"/>
        <filter val="500,00"/>
        <filter val="51,00"/>
        <filter val="53,00"/>
        <filter val="53,70"/>
        <filter val="6,00"/>
        <filter val="600,00"/>
        <filter val="640,00"/>
        <filter val="643,75"/>
        <filter val="66,67"/>
        <filter val="710,00"/>
        <filter val="8,57"/>
        <filter val="83,87"/>
        <filter val="88,89"/>
        <filter val="9,00"/>
        <filter val="9,26"/>
        <filter val="90,00"/>
        <filter val="96,19"/>
        <filter val="960,00"/>
        <filter val="98,00"/>
      </filters>
    </filterColumn>
    <filterColumn colId="29" showButton="0"/>
    <filterColumn colId="30" showButton="0"/>
  </autoFilter>
  <mergeCells count="1001"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P515:T515"/>
    <mergeCell ref="A20:Z20"/>
    <mergeCell ref="P493:V493"/>
    <mergeCell ref="P371:V371"/>
    <mergeCell ref="D252:E252"/>
    <mergeCell ref="D550:E550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P344:T344"/>
    <mergeCell ref="P300:V300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K565:V565"/>
    <mergeCell ref="Y565:Z565"/>
    <mergeCell ref="D566:D567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D17:E18"/>
    <mergeCell ref="P71:T71"/>
    <mergeCell ref="P313:T313"/>
    <mergeCell ref="P373:T373"/>
    <mergeCell ref="P307:T307"/>
    <mergeCell ref="D123:E123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D152:E152"/>
    <mergeCell ref="D385:E385"/>
    <mergeCell ref="P178:T178"/>
    <mergeCell ref="P276:T276"/>
    <mergeCell ref="P105:T105"/>
    <mergeCell ref="A400:O401"/>
    <mergeCell ref="D384:E384"/>
    <mergeCell ref="A64:O65"/>
    <mergeCell ref="A457:Z457"/>
    <mergeCell ref="A387:O388"/>
    <mergeCell ref="D449:E449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558:O563"/>
    <mergeCell ref="A532:Z532"/>
    <mergeCell ref="P482:V482"/>
    <mergeCell ref="Y566:Y567"/>
    <mergeCell ref="Q566:Q567"/>
    <mergeCell ref="P545:T545"/>
    <mergeCell ref="D178:E178"/>
    <mergeCell ref="D172:E172"/>
    <mergeCell ref="A156:O157"/>
    <mergeCell ref="H566:H567"/>
    <mergeCell ref="J566:J567"/>
    <mergeCell ref="L566:L567"/>
    <mergeCell ref="D274:E274"/>
    <mergeCell ref="D245:E245"/>
    <mergeCell ref="D516:E516"/>
    <mergeCell ref="A349:Z349"/>
    <mergeCell ref="P262:T262"/>
    <mergeCell ref="A536:Z536"/>
    <mergeCell ref="D468:E468"/>
    <mergeCell ref="D250:E250"/>
    <mergeCell ref="P59:T59"/>
    <mergeCell ref="P190:T190"/>
    <mergeCell ref="D434:E434"/>
    <mergeCell ref="A412:O413"/>
    <mergeCell ref="P282:T282"/>
    <mergeCell ref="D154:E154"/>
    <mergeCell ref="D225:E225"/>
    <mergeCell ref="P409:T409"/>
    <mergeCell ref="P111:T111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D105:E105"/>
    <mergeCell ref="A83:O84"/>
    <mergeCell ref="D509:E509"/>
    <mergeCell ref="P96:T96"/>
    <mergeCell ref="P491:T491"/>
    <mergeCell ref="P211:T211"/>
    <mergeCell ref="D399:E399"/>
    <mergeCell ref="A141:O142"/>
    <mergeCell ref="P89:T89"/>
    <mergeCell ref="P309:T309"/>
    <mergeCell ref="D59:E59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P241:T241"/>
    <mergeCell ref="P41:T41"/>
    <mergeCell ref="D155:E155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A444:O445"/>
    <mergeCell ref="A489:Z489"/>
    <mergeCell ref="D39:E39"/>
    <mergeCell ref="P212:T212"/>
    <mergeCell ref="P552:V552"/>
    <mergeCell ref="A133:Z133"/>
    <mergeCell ref="P375:T375"/>
    <mergeCell ref="P179:T179"/>
    <mergeCell ref="D125:E125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P196:T196"/>
    <mergeCell ref="A312:Z312"/>
    <mergeCell ref="D177:E177"/>
    <mergeCell ref="D226:E226"/>
    <mergeCell ref="P352:V352"/>
    <mergeCell ref="P183:T183"/>
    <mergeCell ref="D164:E164"/>
    <mergeCell ref="P517:T517"/>
    <mergeCell ref="D267:E267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P516:T516"/>
    <mergeCell ref="P245:T245"/>
    <mergeCell ref="P126:V126"/>
    <mergeCell ref="D424:E424"/>
    <mergeCell ref="P224:T224"/>
    <mergeCell ref="AB565:AC565"/>
    <mergeCell ref="P83:V83"/>
    <mergeCell ref="P136:V136"/>
    <mergeCell ref="D377:E377"/>
    <mergeCell ref="P114:V114"/>
    <mergeCell ref="A119:O120"/>
    <mergeCell ref="P287:T287"/>
    <mergeCell ref="P523:T523"/>
    <mergeCell ref="P295:V295"/>
    <mergeCell ref="A301:Z301"/>
    <mergeCell ref="P547:V547"/>
    <mergeCell ref="P214:V214"/>
    <mergeCell ref="A95:Z95"/>
    <mergeCell ref="P337:T337"/>
    <mergeCell ref="D209:E209"/>
    <mergeCell ref="P464:T464"/>
    <mergeCell ref="A187:O188"/>
    <mergeCell ref="P261:T261"/>
    <mergeCell ref="P90:T90"/>
    <mergeCell ref="A518:O519"/>
    <mergeCell ref="P503:T503"/>
    <mergeCell ref="P217:T217"/>
    <mergeCell ref="P459:T459"/>
    <mergeCell ref="P154:T154"/>
    <mergeCell ref="P560:V560"/>
    <mergeCell ref="P247:V247"/>
    <mergeCell ref="P390:T390"/>
    <mergeCell ref="D206:E206"/>
    <mergeCell ref="D504:E504"/>
    <mergeCell ref="P483:V483"/>
    <mergeCell ref="D298:E298"/>
    <mergeCell ref="D181:E181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H17:H18"/>
    <mergeCell ref="P27:T27"/>
    <mergeCell ref="D75:E75"/>
    <mergeCell ref="A66:Z66"/>
    <mergeCell ref="A158:Z158"/>
    <mergeCell ref="P91:T91"/>
    <mergeCell ref="D273:E273"/>
    <mergeCell ref="P327:T327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D22:E22"/>
    <mergeCell ref="M17:M18"/>
    <mergeCell ref="O17:O18"/>
    <mergeCell ref="P365:T365"/>
    <mergeCell ref="P62:T62"/>
    <mergeCell ref="N17:N18"/>
    <mergeCell ref="I17:I18"/>
    <mergeCell ref="D306:E306"/>
    <mergeCell ref="D135:E135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26:Z26"/>
    <mergeCell ref="P39:T39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P230:T230"/>
    <mergeCell ref="P97:T97"/>
    <mergeCell ref="D211:E211"/>
    <mergeCell ref="P130:V130"/>
    <mergeCell ref="D145:E145"/>
    <mergeCell ref="D443:E443"/>
    <mergeCell ref="D272:E272"/>
    <mergeCell ref="D210:E210"/>
    <mergeCell ref="A316:Z316"/>
    <mergeCell ref="A492:O493"/>
    <mergeCell ref="D308:E308"/>
    <mergeCell ref="A46:Z46"/>
    <mergeCell ref="P537:T537"/>
    <mergeCell ref="P508:T508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A556:O557"/>
    <mergeCell ref="P465:V465"/>
    <mergeCell ref="P376:T376"/>
    <mergeCell ref="A395:Z395"/>
    <mergeCell ref="D453:E453"/>
    <mergeCell ref="P495:T495"/>
    <mergeCell ref="A406:O407"/>
    <mergeCell ref="P239:T239"/>
    <mergeCell ref="P68:T68"/>
    <mergeCell ref="A418:O419"/>
    <mergeCell ref="A247:O248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1:F1"/>
    <mergeCell ref="P488:V488"/>
    <mergeCell ref="P47:T47"/>
    <mergeCell ref="J17:J18"/>
    <mergeCell ref="D82:E82"/>
    <mergeCell ref="L17:L18"/>
    <mergeCell ref="P359:V359"/>
    <mergeCell ref="D240:E240"/>
    <mergeCell ref="A342:Z342"/>
    <mergeCell ref="P521:T521"/>
    <mergeCell ref="D442:E442"/>
    <mergeCell ref="P29:T29"/>
    <mergeCell ref="P271:T27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A512:O513"/>
    <mergeCell ref="D511:E511"/>
    <mergeCell ref="D38:E38"/>
    <mergeCell ref="P182:T182"/>
    <mergeCell ref="P480:T480"/>
    <mergeCell ref="D261:E261"/>
    <mergeCell ref="A149:Z149"/>
    <mergeCell ref="P209:T209"/>
    <mergeCell ref="A193:O194"/>
    <mergeCell ref="W17:W18"/>
    <mergeCell ref="A86:Z86"/>
    <mergeCell ref="P332:V332"/>
    <mergeCell ref="P33:V33"/>
    <mergeCell ref="D124:E124"/>
    <mergeCell ref="P81:T81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Q9:R9"/>
    <mergeCell ref="Q11:R11"/>
    <mergeCell ref="A6:C6"/>
    <mergeCell ref="Q12:R12"/>
    <mergeCell ref="D90:E90"/>
    <mergeCell ref="P411:T411"/>
    <mergeCell ref="A130:O131"/>
    <mergeCell ref="P442:T44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388:V388"/>
    <mergeCell ref="P161:V161"/>
    <mergeCell ref="P546:V546"/>
    <mergeCell ref="P234:T234"/>
    <mergeCell ref="A215:Z215"/>
    <mergeCell ref="D378:E378"/>
    <mergeCell ref="D129:E129"/>
    <mergeCell ref="D417:E417"/>
    <mergeCell ref="D69:E69"/>
    <mergeCell ref="P240:T240"/>
    <mergeCell ref="A538:O539"/>
    <mergeCell ref="A475:Z475"/>
    <mergeCell ref="A332:O333"/>
    <mergeCell ref="D527:E527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P559:V559"/>
    <mergeCell ref="B566:B567"/>
    <mergeCell ref="P561:V561"/>
    <mergeCell ref="S566:S567"/>
    <mergeCell ref="D356:E356"/>
    <mergeCell ref="P264:V264"/>
    <mergeCell ref="P269:V269"/>
    <mergeCell ref="A216:Z216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P462:V46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