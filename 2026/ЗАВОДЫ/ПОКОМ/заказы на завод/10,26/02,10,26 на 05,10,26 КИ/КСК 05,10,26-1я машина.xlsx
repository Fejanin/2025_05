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DC535F8-BC64-4AFE-A222-E1EC5D0FCB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P525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Z498" i="2" s="1"/>
  <c r="P498" i="2"/>
  <c r="X496" i="2"/>
  <c r="X495" i="2"/>
  <c r="BO494" i="2"/>
  <c r="BM494" i="2"/>
  <c r="Y494" i="2"/>
  <c r="Z494" i="2" s="1"/>
  <c r="Z495" i="2" s="1"/>
  <c r="P494" i="2"/>
  <c r="X491" i="2"/>
  <c r="X490" i="2"/>
  <c r="BO489" i="2"/>
  <c r="BM489" i="2"/>
  <c r="Y489" i="2"/>
  <c r="BN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P480" i="2"/>
  <c r="BO479" i="2"/>
  <c r="BM479" i="2"/>
  <c r="Y479" i="2"/>
  <c r="BN479" i="2" s="1"/>
  <c r="P479" i="2"/>
  <c r="X475" i="2"/>
  <c r="X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Z462" i="2" s="1"/>
  <c r="P462" i="2"/>
  <c r="X459" i="2"/>
  <c r="X458" i="2"/>
  <c r="BO457" i="2"/>
  <c r="BM457" i="2"/>
  <c r="Y457" i="2"/>
  <c r="Y459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Z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N433" i="2" s="1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N425" i="2" s="1"/>
  <c r="P425" i="2"/>
  <c r="X422" i="2"/>
  <c r="X421" i="2"/>
  <c r="BO420" i="2"/>
  <c r="BM420" i="2"/>
  <c r="Y420" i="2"/>
  <c r="BP420" i="2" s="1"/>
  <c r="P420" i="2"/>
  <c r="BO419" i="2"/>
  <c r="BM419" i="2"/>
  <c r="Y419" i="2"/>
  <c r="Y422" i="2" s="1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N379" i="2"/>
  <c r="BM379" i="2"/>
  <c r="Z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Z369" i="2" s="1"/>
  <c r="P369" i="2"/>
  <c r="BO368" i="2"/>
  <c r="BM368" i="2"/>
  <c r="Y368" i="2"/>
  <c r="Z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Y356" i="2" s="1"/>
  <c r="P353" i="2"/>
  <c r="X351" i="2"/>
  <c r="X350" i="2"/>
  <c r="BO349" i="2"/>
  <c r="BM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P338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P307" i="2"/>
  <c r="BO306" i="2"/>
  <c r="BM306" i="2"/>
  <c r="Z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Y270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Y218" i="2" s="1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Z209" i="2"/>
  <c r="Y209" i="2"/>
  <c r="BN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N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Z122" i="2"/>
  <c r="Y122" i="2"/>
  <c r="BN122" i="2" s="1"/>
  <c r="P122" i="2"/>
  <c r="X120" i="2"/>
  <c r="Y119" i="2"/>
  <c r="X119" i="2"/>
  <c r="BO118" i="2"/>
  <c r="BM118" i="2"/>
  <c r="Z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N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Z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BN76" i="2" s="1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P23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BN27" i="2" l="1"/>
  <c r="BN107" i="2"/>
  <c r="BN111" i="2"/>
  <c r="BN211" i="2"/>
  <c r="BN233" i="2"/>
  <c r="BN239" i="2"/>
  <c r="BN243" i="2"/>
  <c r="BN252" i="2"/>
  <c r="BN268" i="2"/>
  <c r="BN272" i="2"/>
  <c r="BN291" i="2"/>
  <c r="BN332" i="2"/>
  <c r="BN507" i="2"/>
  <c r="BN558" i="2"/>
  <c r="Z90" i="2"/>
  <c r="BN90" i="2"/>
  <c r="BN92" i="2"/>
  <c r="BP124" i="2"/>
  <c r="BN167" i="2"/>
  <c r="BN228" i="2"/>
  <c r="BN235" i="2"/>
  <c r="BN242" i="2"/>
  <c r="BN246" i="2"/>
  <c r="BN286" i="2"/>
  <c r="BN309" i="2"/>
  <c r="BP314" i="2"/>
  <c r="Z348" i="2"/>
  <c r="BN371" i="2"/>
  <c r="BN402" i="2"/>
  <c r="BP438" i="2"/>
  <c r="BN456" i="2"/>
  <c r="BN488" i="2"/>
  <c r="BN419" i="2"/>
  <c r="BP40" i="2"/>
  <c r="Y255" i="2"/>
  <c r="BN322" i="2"/>
  <c r="Y325" i="2"/>
  <c r="Y320" i="2"/>
  <c r="BN139" i="2"/>
  <c r="BN513" i="2"/>
  <c r="Z513" i="2"/>
  <c r="Y300" i="2"/>
  <c r="BN536" i="2"/>
  <c r="BN232" i="2"/>
  <c r="Z457" i="2"/>
  <c r="BN526" i="2"/>
  <c r="Z47" i="2"/>
  <c r="BP47" i="2"/>
  <c r="BN553" i="2"/>
  <c r="BN548" i="2"/>
  <c r="Y546" i="2"/>
  <c r="Z536" i="2"/>
  <c r="Z537" i="2" s="1"/>
  <c r="BP536" i="2"/>
  <c r="BN529" i="2"/>
  <c r="BN511" i="2"/>
  <c r="Y490" i="2"/>
  <c r="BN484" i="2"/>
  <c r="BN481" i="2"/>
  <c r="BN451" i="2"/>
  <c r="Z445" i="2"/>
  <c r="Z436" i="2"/>
  <c r="BN426" i="2"/>
  <c r="Z425" i="2"/>
  <c r="BP425" i="2"/>
  <c r="Z402" i="2"/>
  <c r="Z400" i="2"/>
  <c r="Y391" i="2"/>
  <c r="BN388" i="2"/>
  <c r="Y384" i="2"/>
  <c r="BN377" i="2"/>
  <c r="BP376" i="2"/>
  <c r="Z376" i="2"/>
  <c r="BN368" i="2"/>
  <c r="BP353" i="2"/>
  <c r="Z353" i="2"/>
  <c r="Z349" i="2"/>
  <c r="BP348" i="2"/>
  <c r="Z346" i="2"/>
  <c r="BP340" i="2"/>
  <c r="Z340" i="2"/>
  <c r="BN329" i="2"/>
  <c r="Z329" i="2"/>
  <c r="Z322" i="2"/>
  <c r="BP318" i="2"/>
  <c r="Z318" i="2"/>
  <c r="Z319" i="2" s="1"/>
  <c r="BN306" i="2"/>
  <c r="BN299" i="2"/>
  <c r="Z299" i="2"/>
  <c r="BN288" i="2"/>
  <c r="BP285" i="2"/>
  <c r="Z285" i="2"/>
  <c r="BN278" i="2"/>
  <c r="BN276" i="2"/>
  <c r="Z275" i="2"/>
  <c r="BP275" i="2"/>
  <c r="Z257" i="2"/>
  <c r="Z258" i="2" s="1"/>
  <c r="Z252" i="2"/>
  <c r="Z246" i="2"/>
  <c r="BN245" i="2"/>
  <c r="BN229" i="2"/>
  <c r="Z226" i="2"/>
  <c r="BN222" i="2"/>
  <c r="Y219" i="2"/>
  <c r="BN207" i="2"/>
  <c r="Y201" i="2"/>
  <c r="BN200" i="2"/>
  <c r="BN184" i="2"/>
  <c r="BN183" i="2"/>
  <c r="Z181" i="2"/>
  <c r="BN177" i="2"/>
  <c r="BN152" i="2"/>
  <c r="Z145" i="2"/>
  <c r="BP145" i="2"/>
  <c r="BN140" i="2"/>
  <c r="Z139" i="2"/>
  <c r="Y136" i="2"/>
  <c r="BP122" i="2"/>
  <c r="BP117" i="2"/>
  <c r="Z117" i="2"/>
  <c r="BN106" i="2"/>
  <c r="Z106" i="2"/>
  <c r="Z96" i="2"/>
  <c r="BP96" i="2"/>
  <c r="BP89" i="2"/>
  <c r="Z89" i="2"/>
  <c r="BN80" i="2"/>
  <c r="Y77" i="2"/>
  <c r="BN68" i="2"/>
  <c r="BN62" i="2"/>
  <c r="BN58" i="2"/>
  <c r="BP49" i="2"/>
  <c r="Y52" i="2"/>
  <c r="Z41" i="2"/>
  <c r="Z40" i="2"/>
  <c r="BN31" i="2"/>
  <c r="Z31" i="2"/>
  <c r="BN28" i="2"/>
  <c r="Z27" i="2"/>
  <c r="B571" i="2"/>
  <c r="Y24" i="2"/>
  <c r="BP22" i="2"/>
  <c r="Z22" i="2"/>
  <c r="BN63" i="2"/>
  <c r="BP63" i="2"/>
  <c r="Z63" i="2"/>
  <c r="Z112" i="2"/>
  <c r="BN112" i="2"/>
  <c r="Y160" i="2"/>
  <c r="Y161" i="2"/>
  <c r="BN159" i="2"/>
  <c r="Z331" i="2"/>
  <c r="BN331" i="2"/>
  <c r="BP331" i="2"/>
  <c r="BP446" i="2"/>
  <c r="Z446" i="2"/>
  <c r="Z23" i="2"/>
  <c r="BN23" i="2"/>
  <c r="BN29" i="2"/>
  <c r="Z29" i="2"/>
  <c r="Z135" i="2"/>
  <c r="BN135" i="2"/>
  <c r="BN185" i="2"/>
  <c r="Z185" i="2"/>
  <c r="BP206" i="2"/>
  <c r="Z206" i="2"/>
  <c r="Y214" i="2"/>
  <c r="Z234" i="2"/>
  <c r="BN234" i="2"/>
  <c r="Z244" i="2"/>
  <c r="BN244" i="2"/>
  <c r="BP310" i="2"/>
  <c r="BN310" i="2"/>
  <c r="Z310" i="2"/>
  <c r="BP366" i="2"/>
  <c r="Z366" i="2"/>
  <c r="Y374" i="2"/>
  <c r="BN366" i="2"/>
  <c r="BN437" i="2"/>
  <c r="Z437" i="2"/>
  <c r="BN212" i="2"/>
  <c r="BP212" i="2"/>
  <c r="Z212" i="2"/>
  <c r="BN22" i="2"/>
  <c r="E571" i="2"/>
  <c r="J571" i="2"/>
  <c r="BN164" i="2"/>
  <c r="BP164" i="2"/>
  <c r="Z164" i="2"/>
  <c r="BN179" i="2"/>
  <c r="Z179" i="2"/>
  <c r="BP179" i="2"/>
  <c r="BN208" i="2"/>
  <c r="BP208" i="2"/>
  <c r="Z208" i="2"/>
  <c r="BN230" i="2"/>
  <c r="Z230" i="2"/>
  <c r="BN240" i="2"/>
  <c r="Z240" i="2"/>
  <c r="Z277" i="2"/>
  <c r="BN277" i="2"/>
  <c r="BP277" i="2"/>
  <c r="BP389" i="2"/>
  <c r="BN389" i="2"/>
  <c r="Z389" i="2"/>
  <c r="Z480" i="2"/>
  <c r="BN480" i="2"/>
  <c r="BP480" i="2"/>
  <c r="BN99" i="2"/>
  <c r="BP99" i="2"/>
  <c r="Z99" i="2"/>
  <c r="BN191" i="2"/>
  <c r="Z191" i="2"/>
  <c r="BN395" i="2"/>
  <c r="Z395" i="2"/>
  <c r="BP56" i="2"/>
  <c r="BN56" i="2"/>
  <c r="X563" i="2"/>
  <c r="Y25" i="2"/>
  <c r="BN39" i="2"/>
  <c r="BP39" i="2"/>
  <c r="Z39" i="2"/>
  <c r="Z60" i="2"/>
  <c r="BP60" i="2"/>
  <c r="Z70" i="2"/>
  <c r="BP70" i="2"/>
  <c r="BN108" i="2"/>
  <c r="Z108" i="2"/>
  <c r="BP112" i="2"/>
  <c r="Y120" i="2"/>
  <c r="BN116" i="2"/>
  <c r="BP116" i="2"/>
  <c r="Z116" i="2"/>
  <c r="Z119" i="2" s="1"/>
  <c r="Y137" i="2"/>
  <c r="BP172" i="2"/>
  <c r="Y174" i="2"/>
  <c r="BP191" i="2"/>
  <c r="BN224" i="2"/>
  <c r="BP224" i="2"/>
  <c r="Z224" i="2"/>
  <c r="BP395" i="2"/>
  <c r="Y404" i="2"/>
  <c r="Z399" i="2"/>
  <c r="BP399" i="2"/>
  <c r="BP471" i="2"/>
  <c r="Y475" i="2"/>
  <c r="Z472" i="2"/>
  <c r="BN472" i="2"/>
  <c r="BP472" i="2"/>
  <c r="BP527" i="2"/>
  <c r="BN527" i="2"/>
  <c r="Z527" i="2"/>
  <c r="BP81" i="2"/>
  <c r="Y83" i="2"/>
  <c r="BP87" i="2"/>
  <c r="BP91" i="2"/>
  <c r="G571" i="2"/>
  <c r="Y130" i="2"/>
  <c r="I571" i="2"/>
  <c r="Y197" i="2"/>
  <c r="Y249" i="2"/>
  <c r="BN283" i="2"/>
  <c r="Z283" i="2"/>
  <c r="BN304" i="2"/>
  <c r="Y311" i="2"/>
  <c r="BP347" i="2"/>
  <c r="Z360" i="2"/>
  <c r="BN360" i="2"/>
  <c r="Z367" i="2"/>
  <c r="BN367" i="2"/>
  <c r="BP407" i="2"/>
  <c r="Z413" i="2"/>
  <c r="BN413" i="2"/>
  <c r="AA571" i="2"/>
  <c r="BN506" i="2"/>
  <c r="Y33" i="2"/>
  <c r="Z28" i="2"/>
  <c r="Z32" i="2" s="1"/>
  <c r="BP41" i="2"/>
  <c r="D571" i="2"/>
  <c r="Z58" i="2"/>
  <c r="Z62" i="2"/>
  <c r="Z68" i="2"/>
  <c r="BN82" i="2"/>
  <c r="Y100" i="2"/>
  <c r="BP97" i="2"/>
  <c r="Z107" i="2"/>
  <c r="Z111" i="2"/>
  <c r="BP118" i="2"/>
  <c r="Y127" i="2"/>
  <c r="Z134" i="2"/>
  <c r="BP134" i="2"/>
  <c r="Y142" i="2"/>
  <c r="Z140" i="2"/>
  <c r="Y146" i="2"/>
  <c r="Z150" i="2"/>
  <c r="Z167" i="2"/>
  <c r="Y173" i="2"/>
  <c r="BP171" i="2"/>
  <c r="Z182" i="2"/>
  <c r="Z184" i="2"/>
  <c r="Z200" i="2"/>
  <c r="Z201" i="2" s="1"/>
  <c r="BP200" i="2"/>
  <c r="Z207" i="2"/>
  <c r="Z211" i="2"/>
  <c r="Z227" i="2"/>
  <c r="Z229" i="2"/>
  <c r="Z233" i="2"/>
  <c r="Z239" i="2"/>
  <c r="Z243" i="2"/>
  <c r="BP253" i="2"/>
  <c r="Z253" i="2"/>
  <c r="BP263" i="2"/>
  <c r="BN263" i="2"/>
  <c r="Y264" i="2"/>
  <c r="BP279" i="2"/>
  <c r="BN279" i="2"/>
  <c r="Z304" i="2"/>
  <c r="Z308" i="2"/>
  <c r="BN308" i="2"/>
  <c r="BP333" i="2"/>
  <c r="BN333" i="2"/>
  <c r="Y351" i="2"/>
  <c r="BP345" i="2"/>
  <c r="Z347" i="2"/>
  <c r="Y350" i="2"/>
  <c r="Z381" i="2"/>
  <c r="BN381" i="2"/>
  <c r="Z387" i="2"/>
  <c r="BN387" i="2"/>
  <c r="BP401" i="2"/>
  <c r="Z407" i="2"/>
  <c r="Z420" i="2"/>
  <c r="BN420" i="2"/>
  <c r="BN427" i="2"/>
  <c r="Z427" i="2"/>
  <c r="BN435" i="2"/>
  <c r="Z435" i="2"/>
  <c r="BP482" i="2"/>
  <c r="BN482" i="2"/>
  <c r="BP518" i="2"/>
  <c r="Y522" i="2"/>
  <c r="Z519" i="2"/>
  <c r="BN519" i="2"/>
  <c r="Z525" i="2"/>
  <c r="BN525" i="2"/>
  <c r="Y541" i="2"/>
  <c r="Z540" i="2"/>
  <c r="Z541" i="2" s="1"/>
  <c r="X565" i="2"/>
  <c r="F571" i="2"/>
  <c r="H571" i="2"/>
  <c r="Z267" i="2"/>
  <c r="BN267" i="2"/>
  <c r="Z287" i="2"/>
  <c r="BN287" i="2"/>
  <c r="BP293" i="2"/>
  <c r="BN293" i="2"/>
  <c r="BP304" i="2"/>
  <c r="BP307" i="2"/>
  <c r="Z307" i="2"/>
  <c r="Y341" i="2"/>
  <c r="Z338" i="2"/>
  <c r="S571" i="2"/>
  <c r="Y363" i="2"/>
  <c r="Y390" i="2"/>
  <c r="BP386" i="2"/>
  <c r="Z386" i="2"/>
  <c r="BP524" i="2"/>
  <c r="Z524" i="2"/>
  <c r="X562" i="2"/>
  <c r="X561" i="2"/>
  <c r="C571" i="2"/>
  <c r="Y78" i="2"/>
  <c r="BP80" i="2"/>
  <c r="BN81" i="2"/>
  <c r="Y84" i="2"/>
  <c r="BN91" i="2"/>
  <c r="BP92" i="2"/>
  <c r="Y131" i="2"/>
  <c r="BP152" i="2"/>
  <c r="BN154" i="2"/>
  <c r="Y168" i="2"/>
  <c r="BP165" i="2"/>
  <c r="Y188" i="2"/>
  <c r="BP181" i="2"/>
  <c r="Z183" i="2"/>
  <c r="Z192" i="2"/>
  <c r="Y198" i="2"/>
  <c r="BP209" i="2"/>
  <c r="Z217" i="2"/>
  <c r="Z218" i="2" s="1"/>
  <c r="BP226" i="2"/>
  <c r="Z228" i="2"/>
  <c r="Z232" i="2"/>
  <c r="Z242" i="2"/>
  <c r="Y254" i="2"/>
  <c r="BN273" i="2"/>
  <c r="Z273" i="2"/>
  <c r="Z279" i="2"/>
  <c r="BP289" i="2"/>
  <c r="Z289" i="2"/>
  <c r="Z298" i="2"/>
  <c r="Y301" i="2"/>
  <c r="BN298" i="2"/>
  <c r="BN307" i="2"/>
  <c r="BN314" i="2"/>
  <c r="Y315" i="2"/>
  <c r="Z314" i="2"/>
  <c r="Z315" i="2" s="1"/>
  <c r="BP330" i="2"/>
  <c r="Z330" i="2"/>
  <c r="Z333" i="2"/>
  <c r="Z345" i="2"/>
  <c r="BP369" i="2"/>
  <c r="BN369" i="2"/>
  <c r="Z378" i="2"/>
  <c r="BN378" i="2"/>
  <c r="BN386" i="2"/>
  <c r="Z401" i="2"/>
  <c r="Y416" i="2"/>
  <c r="BP457" i="2"/>
  <c r="BN457" i="2"/>
  <c r="Y571" i="2"/>
  <c r="BP479" i="2"/>
  <c r="Z479" i="2"/>
  <c r="Z482" i="2"/>
  <c r="BP489" i="2"/>
  <c r="Z489" i="2"/>
  <c r="Z571" i="2"/>
  <c r="Y496" i="2"/>
  <c r="BP499" i="2"/>
  <c r="BN499" i="2"/>
  <c r="Y515" i="2"/>
  <c r="Z509" i="2"/>
  <c r="BN509" i="2"/>
  <c r="BN524" i="2"/>
  <c r="Y532" i="2"/>
  <c r="Y542" i="2"/>
  <c r="Y259" i="2"/>
  <c r="Y269" i="2"/>
  <c r="Y280" i="2"/>
  <c r="BP309" i="2"/>
  <c r="BN318" i="2"/>
  <c r="BP332" i="2"/>
  <c r="Y334" i="2"/>
  <c r="BP346" i="2"/>
  <c r="BP349" i="2"/>
  <c r="BN353" i="2"/>
  <c r="Y355" i="2"/>
  <c r="BP368" i="2"/>
  <c r="T571" i="2"/>
  <c r="BP371" i="2"/>
  <c r="BN376" i="2"/>
  <c r="BP377" i="2"/>
  <c r="BP388" i="2"/>
  <c r="Y397" i="2"/>
  <c r="BP393" i="2"/>
  <c r="U571" i="2"/>
  <c r="W571" i="2"/>
  <c r="BP439" i="2"/>
  <c r="Y448" i="2"/>
  <c r="BP445" i="2"/>
  <c r="Z458" i="2"/>
  <c r="BP456" i="2"/>
  <c r="Y458" i="2"/>
  <c r="X571" i="2"/>
  <c r="BP462" i="2"/>
  <c r="BP481" i="2"/>
  <c r="Y485" i="2"/>
  <c r="BP484" i="2"/>
  <c r="Y491" i="2"/>
  <c r="BP526" i="2"/>
  <c r="BP529" i="2"/>
  <c r="Y545" i="2"/>
  <c r="Z272" i="2"/>
  <c r="Z276" i="2"/>
  <c r="Z286" i="2"/>
  <c r="BP288" i="2"/>
  <c r="BP291" i="2"/>
  <c r="Z393" i="2"/>
  <c r="Z419" i="2"/>
  <c r="BP419" i="2"/>
  <c r="Y421" i="2"/>
  <c r="Y429" i="2"/>
  <c r="Z426" i="2"/>
  <c r="Z428" i="2" s="1"/>
  <c r="Y428" i="2"/>
  <c r="Z433" i="2"/>
  <c r="BP433" i="2"/>
  <c r="Z439" i="2"/>
  <c r="Z488" i="2"/>
  <c r="Z507" i="2"/>
  <c r="Y538" i="2"/>
  <c r="Z548" i="2"/>
  <c r="Z549" i="2" s="1"/>
  <c r="Z552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BP361" i="2"/>
  <c r="Z370" i="2"/>
  <c r="Z373" i="2" s="1"/>
  <c r="BP372" i="2"/>
  <c r="Z380" i="2"/>
  <c r="BP382" i="2"/>
  <c r="Z412" i="2"/>
  <c r="BP414" i="2"/>
  <c r="Y441" i="2"/>
  <c r="BP450" i="2"/>
  <c r="Y464" i="2"/>
  <c r="Z471" i="2"/>
  <c r="BP473" i="2"/>
  <c r="Z483" i="2"/>
  <c r="BP498" i="2"/>
  <c r="Z508" i="2"/>
  <c r="BP510" i="2"/>
  <c r="Z518" i="2"/>
  <c r="Z521" i="2" s="1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Z453" i="2" s="1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47" i="2" s="1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 s="1"/>
  <c r="Z98" i="2"/>
  <c r="Z100" i="2" s="1"/>
  <c r="Z109" i="2"/>
  <c r="BN144" i="2"/>
  <c r="BN155" i="2"/>
  <c r="Z166" i="2"/>
  <c r="Z168" i="2" s="1"/>
  <c r="Z210" i="2"/>
  <c r="Z231" i="2"/>
  <c r="Z241" i="2"/>
  <c r="Z251" i="2"/>
  <c r="Z254" i="2" s="1"/>
  <c r="Y265" i="2"/>
  <c r="Z274" i="2"/>
  <c r="BN294" i="2"/>
  <c r="Z305" i="2"/>
  <c r="Z328" i="2"/>
  <c r="Z339" i="2"/>
  <c r="Z341" i="2" s="1"/>
  <c r="Z394" i="2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24" i="2" l="1"/>
  <c r="Z334" i="2"/>
  <c r="Z146" i="2"/>
  <c r="Z350" i="2"/>
  <c r="Z300" i="2"/>
  <c r="Z390" i="2"/>
  <c r="Z136" i="2"/>
  <c r="Z72" i="2"/>
  <c r="Z554" i="2"/>
  <c r="Z485" i="2"/>
  <c r="Z421" i="2"/>
  <c r="Z415" i="2"/>
  <c r="Z383" i="2"/>
  <c r="Z355" i="2"/>
  <c r="Z311" i="2"/>
  <c r="Z280" i="2"/>
  <c r="Z141" i="2"/>
  <c r="X564" i="2"/>
  <c r="Z236" i="2"/>
  <c r="Z396" i="2"/>
  <c r="Z193" i="2"/>
  <c r="Z126" i="2"/>
  <c r="Z295" i="2"/>
  <c r="Y562" i="2"/>
  <c r="Y561" i="2"/>
  <c r="Z51" i="2"/>
  <c r="Z269" i="2"/>
  <c r="Z501" i="2"/>
  <c r="Z362" i="2"/>
  <c r="Y563" i="2"/>
  <c r="Z490" i="2"/>
  <c r="Z403" i="2"/>
  <c r="Z42" i="2"/>
  <c r="Z248" i="2"/>
  <c r="Y565" i="2"/>
  <c r="Z213" i="2"/>
  <c r="Z441" i="2"/>
  <c r="Z474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<sst xmlns="http://schemas.openxmlformats.org/spreadsheetml/2006/main" count="4313" uniqueCount="897">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</sst>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46300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878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Понедельник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4.1666666666666664E-2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38</v>
      </c>
      <c r="Y40" s="55">
        <f>IFERROR(IF(X40="",0,CEILING((X40/$H40),1)*$H40),"")</f>
        <v>38.4</v>
      </c>
      <c r="Z40" s="41">
        <f>IFERROR(IF(Y40=0,"",ROUNDUP(Y40/H40,0)*0.00651),"")</f>
        <v>0.13020000000000001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41.5625</v>
      </c>
      <c r="BN40" s="78">
        <f>IFERROR(Y40*I40/H40,"0")</f>
        <v>42</v>
      </c>
      <c r="BO40" s="78">
        <f>IFERROR(1/J40*(X40/H40),"0")</f>
        <v>0.10874542124542126</v>
      </c>
      <c r="BP40" s="78">
        <f>IFERROR(1/J40*(Y40/H40),"0")</f>
        <v>0.1098901098901099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19.791666666666668</v>
      </c>
      <c r="Y42" s="43">
        <f>IFERROR(Y37/H37,"0")+IFERROR(Y38/H38,"0")+IFERROR(Y39/H39,"0")+IFERROR(Y40/H40,"0")+IFERROR(Y41/H41,"0")</f>
        <v>20</v>
      </c>
      <c r="Z42" s="43">
        <f>IFERROR(IF(Z37="",0,Z37),"0")+IFERROR(IF(Z38="",0,Z38),"0")+IFERROR(IF(Z39="",0,Z39),"0")+IFERROR(IF(Z40="",0,Z40),"0")+IFERROR(IF(Z41="",0,Z41),"0")</f>
        <v>0.13020000000000001</v>
      </c>
      <c r="AA42" s="67"/>
      <c r="AB42" s="67"/>
      <c r="AC42" s="67"/>
    </row>
    <row r="43" spans="1:68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38</v>
      </c>
      <c r="Y43" s="43">
        <f>IFERROR(SUM(Y37:Y41),"0")</f>
        <v>38.4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150</v>
      </c>
      <c r="Y47" s="55">
        <f>IFERROR(IF(X47="",0,CEILING((X47/$H47),1)*$H47),"")</f>
        <v>151.20000000000002</v>
      </c>
      <c r="Z47" s="41">
        <f>IFERROR(IF(Y47=0,"",ROUNDUP(Y47/H47,0)*0.01898),"")</f>
        <v>0.26572000000000001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155.69444444444446</v>
      </c>
      <c r="BN47" s="78">
        <f>IFERROR(Y47*I47/H47,"0")</f>
        <v>156.94</v>
      </c>
      <c r="BO47" s="78">
        <f>IFERROR(1/J47*(X47/H47),"0")</f>
        <v>0.21701388888888887</v>
      </c>
      <c r="BP47" s="78">
        <f>IFERROR(1/J47*(Y47/H47),"0")</f>
        <v>0.21875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340</v>
      </c>
      <c r="Y49" s="55">
        <f>IFERROR(IF(X49="",0,CEILING((X49/$H49),1)*$H49),"")</f>
        <v>340</v>
      </c>
      <c r="Z49" s="41">
        <f>IFERROR(IF(Y49=0,"",ROUNDUP(Y49/H49,0)*0.00902),"")</f>
        <v>0.76670000000000005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356.15000000000003</v>
      </c>
      <c r="BN49" s="78">
        <f>IFERROR(Y49*I49/H49,"0")</f>
        <v>356.15000000000003</v>
      </c>
      <c r="BO49" s="78">
        <f>IFERROR(1/J49*(X49/H49),"0")</f>
        <v>0.64393939393939392</v>
      </c>
      <c r="BP49" s="78">
        <f>IFERROR(1/J49*(Y49/H49),"0")</f>
        <v>0.64393939393939392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98.888888888888886</v>
      </c>
      <c r="Y51" s="43">
        <f>IFERROR(Y47/H47,"0")+IFERROR(Y48/H48,"0")+IFERROR(Y49/H49,"0")+IFERROR(Y50/H50,"0")</f>
        <v>99</v>
      </c>
      <c r="Z51" s="43">
        <f>IFERROR(IF(Z47="",0,Z47),"0")+IFERROR(IF(Z48="",0,Z48),"0")+IFERROR(IF(Z49="",0,Z49),"0")+IFERROR(IF(Z50="",0,Z50),"0")</f>
        <v>1.0324200000000001</v>
      </c>
      <c r="AA51" s="67"/>
      <c r="AB51" s="67"/>
      <c r="AC51" s="67"/>
    </row>
    <row r="52" spans="1:68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490</v>
      </c>
      <c r="Y52" s="43">
        <f>IFERROR(SUM(Y47:Y50),"0")</f>
        <v>491.20000000000005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720</v>
      </c>
      <c r="Y62" s="55">
        <f t="shared" si="0"/>
        <v>720</v>
      </c>
      <c r="Z62" s="41">
        <f>IFERROR(IF(Y62=0,"",ROUNDUP(Y62/H62,0)*0.00902),"")</f>
        <v>1.4432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750.40000000000009</v>
      </c>
      <c r="BN62" s="78">
        <f t="shared" si="2"/>
        <v>750.40000000000009</v>
      </c>
      <c r="BO62" s="78">
        <f t="shared" si="3"/>
        <v>1.2121212121212122</v>
      </c>
      <c r="BP62" s="78">
        <f t="shared" si="4"/>
        <v>1.2121212121212122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173.88888888888889</v>
      </c>
      <c r="Y64" s="43">
        <f>IFERROR(Y55/H55,"0")+IFERROR(Y56/H56,"0")+IFERROR(Y57/H57,"0")+IFERROR(Y58/H58,"0")+IFERROR(Y59/H59,"0")+IFERROR(Y60/H60,"0")+IFERROR(Y61/H61,"0")+IFERROR(Y62/H62,"0")+IFERROR(Y63/H63,"0")</f>
        <v>174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1.70892</v>
      </c>
      <c r="AA64" s="67"/>
      <c r="AB64" s="67"/>
      <c r="AC64" s="67"/>
    </row>
    <row r="65" spans="1:68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870</v>
      </c>
      <c r="Y65" s="43">
        <f>IFERROR(SUM(Y55:Y63),"0")</f>
        <v>871.2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158</v>
      </c>
      <c r="Y71" s="55">
        <f>IFERROR(IF(X71="",0,CEILING((X71/$H71),1)*$H71),"")</f>
        <v>159.30000000000001</v>
      </c>
      <c r="Z71" s="41">
        <f>IFERROR(IF(Y71=0,"",ROUNDUP(Y71/H71,0)*0.00651),"")</f>
        <v>0.38408999999999999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168.5333333333333</v>
      </c>
      <c r="BN71" s="78">
        <f>IFERROR(Y71*I71/H71,"0")</f>
        <v>169.92</v>
      </c>
      <c r="BO71" s="78">
        <f>IFERROR(1/J71*(X71/H71),"0")</f>
        <v>0.32153032153032152</v>
      </c>
      <c r="BP71" s="78">
        <f>IFERROR(1/J71*(Y71/H71),"0")</f>
        <v>0.32417582417582419</v>
      </c>
    </row>
    <row r="72" spans="1:68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58.518518518518512</v>
      </c>
      <c r="Y72" s="43">
        <f>IFERROR(Y67/H67,"0")+IFERROR(Y68/H68,"0")+IFERROR(Y69/H69,"0")+IFERROR(Y70/H70,"0")+IFERROR(Y71/H71,"0")</f>
        <v>59</v>
      </c>
      <c r="Z72" s="43">
        <f>IFERROR(IF(Z67="",0,Z67),"0")+IFERROR(IF(Z68="",0,Z68),"0")+IFERROR(IF(Z69="",0,Z69),"0")+IFERROR(IF(Z70="",0,Z70),"0")+IFERROR(IF(Z71="",0,Z71),"0")</f>
        <v>0.38408999999999999</v>
      </c>
      <c r="AA72" s="67"/>
      <c r="AB72" s="67"/>
      <c r="AC72" s="67"/>
    </row>
    <row r="73" spans="1:68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158</v>
      </c>
      <c r="Y73" s="43">
        <f>IFERROR(SUM(Y67:Y71),"0")</f>
        <v>159.30000000000001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200</v>
      </c>
      <c r="Y87" s="55">
        <f t="shared" ref="Y87:Y92" si="5"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207.59259259259258</v>
      </c>
      <c r="BN87" s="78">
        <f t="shared" ref="BN87:BN92" si="7">IFERROR(Y87*I87/H87,"0")</f>
        <v>212.99</v>
      </c>
      <c r="BO87" s="78">
        <f t="shared" ref="BO87:BO92" si="8">IFERROR(1/J87*(X87/H87),"0")</f>
        <v>0.28935185185185186</v>
      </c>
      <c r="BP87" s="78">
        <f t="shared" ref="BP87:BP92" si="9">IFERROR(1/J87*(Y87/H87),"0")</f>
        <v>0.296875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495</v>
      </c>
      <c r="Y92" s="55">
        <f t="shared" si="5"/>
        <v>495</v>
      </c>
      <c r="Z92" s="41">
        <f>IFERROR(IF(Y92=0,"",ROUNDUP(Y92/H92,0)*0.00902),"")</f>
        <v>0.99219999999999997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515.90000000000009</v>
      </c>
      <c r="BN92" s="78">
        <f t="shared" si="7"/>
        <v>515.90000000000009</v>
      </c>
      <c r="BO92" s="78">
        <f t="shared" si="8"/>
        <v>0.83333333333333337</v>
      </c>
      <c r="BP92" s="78">
        <f t="shared" si="9"/>
        <v>0.83333333333333337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128.51851851851853</v>
      </c>
      <c r="Y93" s="43">
        <f>IFERROR(Y87/H87,"0")+IFERROR(Y88/H88,"0")+IFERROR(Y89/H89,"0")+IFERROR(Y90/H90,"0")+IFERROR(Y91/H91,"0")+IFERROR(Y92/H92,"0")</f>
        <v>129</v>
      </c>
      <c r="Z93" s="43">
        <f>IFERROR(IF(Z87="",0,Z87),"0")+IFERROR(IF(Z88="",0,Z88),"0")+IFERROR(IF(Z89="",0,Z89),"0")+IFERROR(IF(Z90="",0,Z90),"0")+IFERROR(IF(Z91="",0,Z91),"0")+IFERROR(IF(Z92="",0,Z92),"0")</f>
        <v>1.3528199999999999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695</v>
      </c>
      <c r="Y94" s="43">
        <f>IFERROR(SUM(Y87:Y92),"0")</f>
        <v>700.2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150</v>
      </c>
      <c r="Y96" s="55">
        <f>IFERROR(IF(X96="",0,CEILING((X96/$H96),1)*$H96),"")</f>
        <v>153.9</v>
      </c>
      <c r="Z96" s="41">
        <f>IFERROR(IF(Y96=0,"",ROUNDUP(Y96/H96,0)*0.01898),"")</f>
        <v>0.36062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159.14814814814815</v>
      </c>
      <c r="BN96" s="78">
        <f>IFERROR(Y96*I96/H96,"0")</f>
        <v>163.286</v>
      </c>
      <c r="BO96" s="78">
        <f>IFERROR(1/J96*(X96/H96),"0")</f>
        <v>0.28935185185185186</v>
      </c>
      <c r="BP96" s="78">
        <f>IFERROR(1/J96*(Y96/H96),"0")</f>
        <v>0.296875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720</v>
      </c>
      <c r="Y98" s="55">
        <f>IFERROR(IF(X98="",0,CEILING((X98/$H98),1)*$H98),"")</f>
        <v>720.90000000000009</v>
      </c>
      <c r="Z98" s="41">
        <f>IFERROR(IF(Y98=0,"",ROUNDUP(Y98/H98,0)*0.00651),"")</f>
        <v>1.73817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787.19999999999993</v>
      </c>
      <c r="BN98" s="78">
        <f>IFERROR(Y98*I98/H98,"0")</f>
        <v>788.18400000000008</v>
      </c>
      <c r="BO98" s="78">
        <f>IFERROR(1/J98*(X98/H98),"0")</f>
        <v>1.4652014652014651</v>
      </c>
      <c r="BP98" s="78">
        <f>IFERROR(1/J98*(Y98/H98),"0")</f>
        <v>1.4670329670329672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285.18518518518516</v>
      </c>
      <c r="Y100" s="43">
        <f>IFERROR(Y96/H96,"0")+IFERROR(Y97/H97,"0")+IFERROR(Y98/H98,"0")+IFERROR(Y99/H99,"0")</f>
        <v>286</v>
      </c>
      <c r="Z100" s="43">
        <f>IFERROR(IF(Z96="",0,Z96),"0")+IFERROR(IF(Z97="",0,Z97),"0")+IFERROR(IF(Z98="",0,Z98),"0")+IFERROR(IF(Z99="",0,Z99),"0")</f>
        <v>2.0987900000000002</v>
      </c>
      <c r="AA100" s="67"/>
      <c r="AB100" s="67"/>
      <c r="AC100" s="67"/>
    </row>
    <row r="101" spans="1:68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870</v>
      </c>
      <c r="Y101" s="43">
        <f>IFERROR(SUM(Y96:Y99),"0")</f>
        <v>874.80000000000007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50</v>
      </c>
      <c r="Y104" s="55">
        <f t="shared" ref="Y104:Y112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51.898148148148145</v>
      </c>
      <c r="BN104" s="78">
        <f t="shared" ref="BN104:BN112" si="12">IFERROR(Y104*I104/H104,"0")</f>
        <v>56.05</v>
      </c>
      <c r="BO104" s="78">
        <f t="shared" ref="BO104:BO112" si="13">IFERROR(1/J104*(X104/H104),"0")</f>
        <v>7.2337962962962965E-2</v>
      </c>
      <c r="BP104" s="78">
        <f t="shared" ref="BP104:BP112" si="14">IFERROR(1/J104*(Y104/H104),"0")</f>
        <v>7.8125E-2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450</v>
      </c>
      <c r="Y109" s="55">
        <f t="shared" si="10"/>
        <v>450</v>
      </c>
      <c r="Z109" s="41">
        <f>IFERROR(IF(Y109=0,"",ROUNDUP(Y109/H109,0)*0.00902),"")</f>
        <v>0.90200000000000002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469</v>
      </c>
      <c r="BN109" s="78">
        <f t="shared" si="12"/>
        <v>469</v>
      </c>
      <c r="BO109" s="78">
        <f t="shared" si="13"/>
        <v>0.75757575757575757</v>
      </c>
      <c r="BP109" s="78">
        <f t="shared" si="14"/>
        <v>0.75757575757575757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104.62962962962963</v>
      </c>
      <c r="Y113" s="43">
        <f>IFERROR(Y104/H104,"0")+IFERROR(Y105/H105,"0")+IFERROR(Y106/H106,"0")+IFERROR(Y107/H107,"0")+IFERROR(Y108/H108,"0")+IFERROR(Y109/H109,"0")+IFERROR(Y110/H110,"0")+IFERROR(Y111/H111,"0")+IFERROR(Y112/H112,"0")</f>
        <v>105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0.99690000000000001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500</v>
      </c>
      <c r="Y114" s="43">
        <f>IFERROR(SUM(Y104:Y112),"0")</f>
        <v>504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450</v>
      </c>
      <c r="Y124" s="55">
        <f>IFERROR(IF(X124="",0,CEILING((X124/$H124),1)*$H124),"")</f>
        <v>450.90000000000003</v>
      </c>
      <c r="Z124" s="41">
        <f>IFERROR(IF(Y124=0,"",ROUNDUP(Y124/H124,0)*0.00651),"")</f>
        <v>1.08717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492</v>
      </c>
      <c r="BN124" s="78">
        <f>IFERROR(Y124*I124/H124,"0")</f>
        <v>492.98399999999998</v>
      </c>
      <c r="BO124" s="78">
        <f>IFERROR(1/J124*(X124/H124),"0")</f>
        <v>0.91575091575091572</v>
      </c>
      <c r="BP124" s="78">
        <f>IFERROR(1/J124*(Y124/H124),"0")</f>
        <v>0.91758241758241765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90</v>
      </c>
      <c r="Y125" s="55">
        <f>IFERROR(IF(X125="",0,CEILING((X125/$H125),1)*$H125),"")</f>
        <v>90</v>
      </c>
      <c r="Z125" s="41">
        <f>IFERROR(IF(Y125=0,"",ROUNDUP(Y125/H125,0)*0.00651),"")</f>
        <v>0.32550000000000001</v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98.999999999999986</v>
      </c>
      <c r="BN125" s="78">
        <f>IFERROR(Y125*I125/H125,"0")</f>
        <v>98.999999999999986</v>
      </c>
      <c r="BO125" s="78">
        <f>IFERROR(1/J125*(X125/H125),"0")</f>
        <v>0.27472527472527475</v>
      </c>
      <c r="BP125" s="78">
        <f>IFERROR(1/J125*(Y125/H125),"0")</f>
        <v>0.27472527472527475</v>
      </c>
    </row>
    <row r="126" spans="1:68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216.66666666666666</v>
      </c>
      <c r="Y126" s="43">
        <f>IFERROR(Y122/H122,"0")+IFERROR(Y123/H123,"0")+IFERROR(Y124/H124,"0")+IFERROR(Y125/H125,"0")</f>
        <v>217</v>
      </c>
      <c r="Z126" s="43">
        <f>IFERROR(IF(Z122="",0,Z122),"0")+IFERROR(IF(Z123="",0,Z123),"0")+IFERROR(IF(Z124="",0,Z124),"0")+IFERROR(IF(Z125="",0,Z125),"0")</f>
        <v>1.4126699999999999</v>
      </c>
      <c r="AA126" s="67"/>
      <c r="AB126" s="67"/>
      <c r="AC126" s="67"/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540</v>
      </c>
      <c r="Y127" s="43">
        <f>IFERROR(SUM(Y122:Y125),"0")</f>
        <v>540.90000000000009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40</v>
      </c>
      <c r="Y129" s="55">
        <f>IFERROR(IF(X129="",0,CEILING((X129/$H129),1)*$H129),"")</f>
        <v>41.58</v>
      </c>
      <c r="Z129" s="41">
        <f>IFERROR(IF(Y129=0,"",ROUNDUP(Y129/H129,0)*0.00651),"")</f>
        <v>0.13671</v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45.212121212121211</v>
      </c>
      <c r="BN129" s="78">
        <f>IFERROR(Y129*I129/H129,"0")</f>
        <v>46.997999999999998</v>
      </c>
      <c r="BO129" s="78">
        <f>IFERROR(1/J129*(X129/H129),"0")</f>
        <v>0.11100011100011101</v>
      </c>
      <c r="BP129" s="78">
        <f>IFERROR(1/J129*(Y129/H129),"0")</f>
        <v>0.11538461538461539</v>
      </c>
    </row>
    <row r="130" spans="1:68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20.202020202020201</v>
      </c>
      <c r="Y130" s="43">
        <f>IFERROR(Y129/H129,"0")</f>
        <v>21</v>
      </c>
      <c r="Z130" s="43">
        <f>IFERROR(IF(Z129="",0,Z129),"0")</f>
        <v>0.13671</v>
      </c>
      <c r="AA130" s="67"/>
      <c r="AB130" s="67"/>
      <c r="AC130" s="67"/>
    </row>
    <row r="131" spans="1:68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40</v>
      </c>
      <c r="Y131" s="43">
        <f>IFERROR(SUM(Y129:Y129),"0")</f>
        <v>41.58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40</v>
      </c>
      <c r="Y135" s="55">
        <f>IFERROR(IF(X135="",0,CEILING((X135/$H135),1)*$H135),"")</f>
        <v>41.6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42.249999999999993</v>
      </c>
      <c r="BN135" s="78">
        <f>IFERROR(Y135*I135/H135,"0")</f>
        <v>43.94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12.5</v>
      </c>
      <c r="Y136" s="43">
        <f>IFERROR(Y134/H134,"0")+IFERROR(Y135/H135,"0")</f>
        <v>13</v>
      </c>
      <c r="Z136" s="43">
        <f>IFERROR(IF(Z134="",0,Z134),"0")+IFERROR(IF(Z135="",0,Z135),"0")</f>
        <v>8.4629999999999997E-2</v>
      </c>
      <c r="AA136" s="67"/>
      <c r="AB136" s="67"/>
      <c r="AC136" s="67"/>
    </row>
    <row r="137" spans="1:68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40</v>
      </c>
      <c r="Y137" s="43">
        <f>IFERROR(SUM(Y134:Y135),"0")</f>
        <v>41.6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70</v>
      </c>
      <c r="Y139" s="55">
        <f>IFERROR(IF(X139="",0,CEILING((X139/$H139),1)*$H139),"")</f>
        <v>70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76.7</v>
      </c>
      <c r="BN139" s="78">
        <f>IFERROR(Y139*I139/H139,"0")</f>
        <v>76.7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25</v>
      </c>
      <c r="Y141" s="43">
        <f>IFERROR(Y139/H139,"0")+IFERROR(Y140/H140,"0")</f>
        <v>25</v>
      </c>
      <c r="Z141" s="43">
        <f>IFERROR(IF(Z139="",0,Z139),"0")+IFERROR(IF(Z140="",0,Z140),"0")</f>
        <v>0.16275000000000001</v>
      </c>
      <c r="AA141" s="67"/>
      <c r="AB141" s="67"/>
      <c r="AC141" s="67"/>
    </row>
    <row r="142" spans="1:68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70</v>
      </c>
      <c r="Y142" s="43">
        <f>IFERROR(SUM(Y139:Y140),"0")</f>
        <v>70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66</v>
      </c>
      <c r="Y144" s="55">
        <f>IFERROR(IF(X144="",0,CEILING((X144/$H144),1)*$H144),"")</f>
        <v>66</v>
      </c>
      <c r="Z144" s="41">
        <f>IFERROR(IF(Y144=0,"",ROUNDUP(Y144/H144,0)*0.00651),"")</f>
        <v>0.16275000000000001</v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72.699999999999989</v>
      </c>
      <c r="BN144" s="78">
        <f>IFERROR(Y144*I144/H144,"0")</f>
        <v>72.699999999999989</v>
      </c>
      <c r="BO144" s="78">
        <f>IFERROR(1/J144*(X144/H144),"0")</f>
        <v>0.13736263736263737</v>
      </c>
      <c r="BP144" s="78">
        <f>IFERROR(1/J144*(Y144/H144),"0")</f>
        <v>0.13736263736263737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25</v>
      </c>
      <c r="Y146" s="43">
        <f>IFERROR(Y144/H144,"0")+IFERROR(Y145/H145,"0")</f>
        <v>25</v>
      </c>
      <c r="Z146" s="43">
        <f>IFERROR(IF(Z144="",0,Z144),"0")+IFERROR(IF(Z145="",0,Z145),"0")</f>
        <v>0.16275000000000001</v>
      </c>
      <c r="AA146" s="67"/>
      <c r="AB146" s="67"/>
      <c r="AC146" s="67"/>
    </row>
    <row r="147" spans="1:68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66</v>
      </c>
      <c r="Y147" s="43">
        <f>IFERROR(SUM(Y144:Y145),"0")</f>
        <v>66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12</v>
      </c>
      <c r="Y171" s="55">
        <f>IFERROR(IF(X171="",0,CEILING((X171/$H171),1)*$H171),"")</f>
        <v>12.24</v>
      </c>
      <c r="Z171" s="41">
        <f>IFERROR(IF(Y171=0,"",ROUNDUP(Y171/H171,0)*0.00556),"")</f>
        <v>9.4519999999999993E-2</v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14.166666666666666</v>
      </c>
      <c r="BN171" s="78">
        <f>IFERROR(Y171*I171/H171,"0")</f>
        <v>14.450000000000001</v>
      </c>
      <c r="BO171" s="78">
        <f>IFERROR(1/J171*(X171/H171),"0")</f>
        <v>6.6137566137566134E-2</v>
      </c>
      <c r="BP171" s="78">
        <f>IFERROR(1/J171*(Y171/H171),"0")</f>
        <v>6.7460317460317457E-2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16.666666666666668</v>
      </c>
      <c r="Y173" s="43">
        <f>IFERROR(Y171/H171,"0")+IFERROR(Y172/H172,"0")</f>
        <v>17</v>
      </c>
      <c r="Z173" s="43">
        <f>IFERROR(IF(Z171="",0,Z171),"0")+IFERROR(IF(Z172="",0,Z172),"0")</f>
        <v>9.4519999999999993E-2</v>
      </c>
      <c r="AA173" s="67"/>
      <c r="AB173" s="67"/>
      <c r="AC173" s="67"/>
    </row>
    <row r="174" spans="1:68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12</v>
      </c>
      <c r="Y174" s="43">
        <f>IFERROR(SUM(Y171:Y172),"0")</f>
        <v>12.24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ref="Y176:Y186" si="21">IFERROR(IF(X176="",0,CEILING((X176/$H176),1)*$H176),"")</f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316.28571428571428</v>
      </c>
      <c r="BN176" s="78">
        <f t="shared" ref="BN176:BN186" si="23">IFERROR(Y176*I176/H176,"0")</f>
        <v>317.34000000000003</v>
      </c>
      <c r="BO176" s="78">
        <f t="shared" ref="BO176:BO186" si="24">IFERROR(1/J176*(X176/H176),"0")</f>
        <v>0.64935064935064934</v>
      </c>
      <c r="BP176" s="78">
        <f t="shared" ref="BP176:BP186" si="25">IFERROR(1/J176*(Y176/H176),"0")</f>
        <v>0.65151515151515149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200</v>
      </c>
      <c r="Y179" s="55">
        <f t="shared" si="21"/>
        <v>203</v>
      </c>
      <c r="Z179" s="41">
        <f>IFERROR(IF(Y179=0,"",ROUNDUP(Y179/H179,0)*0.00902),"")</f>
        <v>0.52316000000000007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210.85714285714286</v>
      </c>
      <c r="BN179" s="78">
        <f t="shared" si="23"/>
        <v>214.01999999999998</v>
      </c>
      <c r="BO179" s="78">
        <f t="shared" si="24"/>
        <v>0.43290043290043295</v>
      </c>
      <c r="BP179" s="78">
        <f t="shared" si="25"/>
        <v>0.43939393939393939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9</v>
      </c>
      <c r="Y180" s="55">
        <f t="shared" si="21"/>
        <v>9</v>
      </c>
      <c r="Z180" s="41">
        <f>IFERROR(IF(Y180=0,"",ROUNDUP(Y180/H180,0)*0.00417),"")</f>
        <v>4.1700000000000001E-2</v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11.1</v>
      </c>
      <c r="BN180" s="78">
        <f t="shared" si="23"/>
        <v>11.1</v>
      </c>
      <c r="BO180" s="78">
        <f t="shared" si="24"/>
        <v>2.976190476190476E-2</v>
      </c>
      <c r="BP180" s="78">
        <f t="shared" si="25"/>
        <v>2.976190476190476E-2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140</v>
      </c>
      <c r="Y182" s="55">
        <f t="shared" si="21"/>
        <v>141.12</v>
      </c>
      <c r="Z182" s="41">
        <f>IFERROR(IF(Y182=0,"",ROUNDUP(Y182/H182,0)*0.00502),"")</f>
        <v>0.42168</v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148.33333333333334</v>
      </c>
      <c r="BN182" s="78">
        <f t="shared" si="23"/>
        <v>149.52000000000001</v>
      </c>
      <c r="BO182" s="78">
        <f t="shared" si="24"/>
        <v>0.35612535612535623</v>
      </c>
      <c r="BP182" s="78">
        <f t="shared" si="25"/>
        <v>0.35897435897435903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21"/>
        <v>141.12</v>
      </c>
      <c r="Z184" s="41">
        <f>IFERROR(IF(Y184=0,"",ROUNDUP(Y184/H184,0)*0.00502),"")</f>
        <v>0.42168</v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148.33333333333334</v>
      </c>
      <c r="BN184" s="78">
        <f t="shared" si="23"/>
        <v>149.52000000000001</v>
      </c>
      <c r="BO184" s="78">
        <f t="shared" si="24"/>
        <v>0.35612535612535623</v>
      </c>
      <c r="BP184" s="78">
        <f t="shared" si="25"/>
        <v>0.35897435897435903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84</v>
      </c>
      <c r="Y186" s="55">
        <f t="shared" si="21"/>
        <v>84</v>
      </c>
      <c r="Z186" s="41">
        <f>IFERROR(IF(Y186=0,"",ROUNDUP(Y186/H186,0)*0.00502),"")</f>
        <v>0.251</v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89.000000000000014</v>
      </c>
      <c r="BN186" s="78">
        <f t="shared" si="23"/>
        <v>89.000000000000014</v>
      </c>
      <c r="BO186" s="78">
        <f t="shared" si="24"/>
        <v>0.21367521367521369</v>
      </c>
      <c r="BP186" s="78">
        <f t="shared" si="25"/>
        <v>0.21367521367521369</v>
      </c>
    </row>
    <row r="187" spans="1:68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369.52380952380952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372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2.4349400000000001</v>
      </c>
      <c r="AA187" s="67"/>
      <c r="AB187" s="67"/>
      <c r="AC187" s="67"/>
    </row>
    <row r="188" spans="1:68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873</v>
      </c>
      <c r="Y188" s="43">
        <f>IFERROR(SUM(Y176:Y186),"0")</f>
        <v>879.24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90</v>
      </c>
      <c r="Y221" s="55">
        <f t="shared" ref="Y221:Y235" si="32">IFERROR(IF(X221="",0,CEILING((X221/$H221),1)*$H221),"")</f>
        <v>92.4</v>
      </c>
      <c r="Z221" s="41">
        <f>IFERROR(IF(Y221=0,"",ROUNDUP(Y221/H221,0)*0.00902),"")</f>
        <v>0.19844000000000001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95.357142857142847</v>
      </c>
      <c r="BN221" s="78">
        <f t="shared" ref="BN221:BN235" si="34">IFERROR(Y221*I221/H221,"0")</f>
        <v>97.9</v>
      </c>
      <c r="BO221" s="78">
        <f t="shared" ref="BO221:BO235" si="35">IFERROR(1/J221*(X221/H221),"0")</f>
        <v>0.16233766233766234</v>
      </c>
      <c r="BP221" s="78">
        <f t="shared" ref="BP221:BP235" si="36">IFERROR(1/J221*(Y221/H221),"0")</f>
        <v>0.16666666666666669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60</v>
      </c>
      <c r="Y222" s="55">
        <f t="shared" si="32"/>
        <v>63</v>
      </c>
      <c r="Z222" s="41">
        <f>IFERROR(IF(Y222=0,"",ROUNDUP(Y222/H222,0)*0.00902),"")</f>
        <v>0.1353</v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63.571428571428569</v>
      </c>
      <c r="BN222" s="78">
        <f t="shared" si="34"/>
        <v>66.75</v>
      </c>
      <c r="BO222" s="78">
        <f t="shared" si="35"/>
        <v>0.10822510822510822</v>
      </c>
      <c r="BP222" s="78">
        <f t="shared" si="36"/>
        <v>0.11363636363636365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100</v>
      </c>
      <c r="Y223" s="55">
        <f t="shared" si="32"/>
        <v>100.80000000000001</v>
      </c>
      <c r="Z223" s="41">
        <f>IFERROR(IF(Y223=0,"",ROUNDUP(Y223/H223,0)*0.00902),"")</f>
        <v>0.21648000000000001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104.5238095238095</v>
      </c>
      <c r="BN223" s="78">
        <f t="shared" si="34"/>
        <v>105.36</v>
      </c>
      <c r="BO223" s="78">
        <f t="shared" si="35"/>
        <v>0.18037518037518038</v>
      </c>
      <c r="BP223" s="78">
        <f t="shared" si="36"/>
        <v>0.18181818181818182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32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9.3000000000000007</v>
      </c>
      <c r="BN224" s="78">
        <f t="shared" si="34"/>
        <v>9.3000000000000007</v>
      </c>
      <c r="BO224" s="78">
        <f t="shared" si="35"/>
        <v>3.968253968253968E-2</v>
      </c>
      <c r="BP224" s="78">
        <f t="shared" si="36"/>
        <v>3.968253968253968E-2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32"/>
        <v>140.70000000000002</v>
      </c>
      <c r="Z227" s="41">
        <f t="shared" si="37"/>
        <v>0.33634000000000003</v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148.66666666666666</v>
      </c>
      <c r="BN227" s="78">
        <f t="shared" si="34"/>
        <v>149.41</v>
      </c>
      <c r="BO227" s="78">
        <f t="shared" si="35"/>
        <v>0.28490028490028491</v>
      </c>
      <c r="BP227" s="78">
        <f t="shared" si="36"/>
        <v>0.28632478632478636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12</v>
      </c>
      <c r="Y231" s="55">
        <f t="shared" si="32"/>
        <v>12</v>
      </c>
      <c r="Z231" s="41">
        <f>IFERROR(IF(Y231=0,"",ROUNDUP(Y231/H231,0)*0.00417),"")</f>
        <v>6.2549999999999994E-2</v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15.15</v>
      </c>
      <c r="BN231" s="78">
        <f t="shared" si="34"/>
        <v>15.15</v>
      </c>
      <c r="BO231" s="78">
        <f t="shared" si="35"/>
        <v>4.4642857142857137E-2</v>
      </c>
      <c r="BP231" s="78">
        <f t="shared" si="36"/>
        <v>4.4642857142857137E-2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245</v>
      </c>
      <c r="Y232" s="55">
        <f t="shared" si="32"/>
        <v>245.70000000000002</v>
      </c>
      <c r="Z232" s="41">
        <f>IFERROR(IF(Y232=0,"",ROUNDUP(Y232/H232,0)*0.00502),"")</f>
        <v>0.58733999999999997</v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256.66666666666663</v>
      </c>
      <c r="BN232" s="78">
        <f t="shared" si="34"/>
        <v>257.40000000000003</v>
      </c>
      <c r="BO232" s="78">
        <f t="shared" si="35"/>
        <v>0.4985754985754986</v>
      </c>
      <c r="BP232" s="78">
        <f t="shared" si="36"/>
        <v>0.5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267.85714285714283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270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1.5920500000000002</v>
      </c>
      <c r="AA236" s="67"/>
      <c r="AB236" s="67"/>
      <c r="AC236" s="67"/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655</v>
      </c>
      <c r="Y237" s="43">
        <f>IFERROR(SUM(Y221:Y235),"0")</f>
        <v>662.60000000000014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7</v>
      </c>
      <c r="Y251" s="55">
        <f>IFERROR(IF(X251="",0,CEILING((X251/$H251),1)*$H251),"")</f>
        <v>7.5600000000000005</v>
      </c>
      <c r="Z251" s="41">
        <f>IFERROR(IF(Y251=0,"",ROUNDUP(Y251/H251,0)*0.0059),"")</f>
        <v>3.5400000000000001E-2</v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8.0555555555555554</v>
      </c>
      <c r="BN251" s="78">
        <f>IFERROR(Y251*I251/H251,"0")</f>
        <v>8.6999999999999993</v>
      </c>
      <c r="BO251" s="78">
        <f>IFERROR(1/J251*(X251/H251),"0")</f>
        <v>2.5720164609053495E-2</v>
      </c>
      <c r="BP251" s="78">
        <f>IFERROR(1/J251*(Y251/H251),"0")</f>
        <v>2.7777777777777776E-2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11</v>
      </c>
      <c r="Y252" s="55">
        <f>IFERROR(IF(X252="",0,CEILING((X252/$H252),1)*$H252),"")</f>
        <v>11.34</v>
      </c>
      <c r="Z252" s="41">
        <f>IFERROR(IF(Y252=0,"",ROUNDUP(Y252/H252,0)*0.0059),"")</f>
        <v>5.3100000000000001E-2</v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12.658730158730158</v>
      </c>
      <c r="BN252" s="78">
        <f>IFERROR(Y252*I252/H252,"0")</f>
        <v>13.049999999999999</v>
      </c>
      <c r="BO252" s="78">
        <f>IFERROR(1/J252*(X252/H252),"0")</f>
        <v>4.0417401528512635E-2</v>
      </c>
      <c r="BP252" s="78">
        <f>IFERROR(1/J252*(Y252/H252),"0")</f>
        <v>4.1666666666666664E-2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7</v>
      </c>
      <c r="Y253" s="55">
        <f>IFERROR(IF(X253="",0,CEILING((X253/$H253),1)*$H253),"")</f>
        <v>7.5600000000000005</v>
      </c>
      <c r="Z253" s="41">
        <f>IFERROR(IF(Y253=0,"",ROUNDUP(Y253/H253,0)*0.0059),"")</f>
        <v>3.5400000000000001E-2</v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8.0555555555555554</v>
      </c>
      <c r="BN253" s="78">
        <f>IFERROR(Y253*I253/H253,"0")</f>
        <v>8.6999999999999993</v>
      </c>
      <c r="BO253" s="78">
        <f>IFERROR(1/J253*(X253/H253),"0")</f>
        <v>2.5720164609053495E-2</v>
      </c>
      <c r="BP253" s="78">
        <f>IFERROR(1/J253*(Y253/H253),"0")</f>
        <v>2.7777777777777776E-2</v>
      </c>
    </row>
    <row r="254" spans="1:68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19.841269841269842</v>
      </c>
      <c r="Y254" s="43">
        <f>IFERROR(Y251/H251,"0")+IFERROR(Y252/H252,"0")+IFERROR(Y253/H253,"0")</f>
        <v>21</v>
      </c>
      <c r="Z254" s="43">
        <f>IFERROR(IF(Z251="",0,Z251),"0")+IFERROR(IF(Z252="",0,Z252),"0")+IFERROR(IF(Z253="",0,Z253),"0")</f>
        <v>0.1239</v>
      </c>
      <c r="AA254" s="67"/>
      <c r="AB254" s="67"/>
      <c r="AC254" s="67"/>
    </row>
    <row r="255" spans="1:68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25</v>
      </c>
      <c r="Y255" s="43">
        <f>IFERROR(SUM(Y251:Y253),"0")</f>
        <v>26.46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7</v>
      </c>
      <c r="Y257" s="55">
        <f>IFERROR(IF(X257="",0,CEILING((X257/$H257),1)*$H257),"")</f>
        <v>7.5600000000000005</v>
      </c>
      <c r="Z257" s="41">
        <f>IFERROR(IF(Y257=0,"",ROUNDUP(Y257/H257,0)*0.0059),"")</f>
        <v>3.5400000000000001E-2</v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8.0555555555555554</v>
      </c>
      <c r="BN257" s="78">
        <f>IFERROR(Y257*I257/H257,"0")</f>
        <v>8.6999999999999993</v>
      </c>
      <c r="BO257" s="78">
        <f>IFERROR(1/J257*(X257/H257),"0")</f>
        <v>2.5720164609053495E-2</v>
      </c>
      <c r="BP257" s="78">
        <f>IFERROR(1/J257*(Y257/H257),"0")</f>
        <v>2.7777777777777776E-2</v>
      </c>
    </row>
    <row r="258" spans="1:68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5.5555555555555554</v>
      </c>
      <c r="Y258" s="43">
        <f>IFERROR(Y257/H257,"0")</f>
        <v>6</v>
      </c>
      <c r="Z258" s="43">
        <f>IFERROR(IF(Z257="",0,Z257),"0")</f>
        <v>3.5400000000000001E-2</v>
      </c>
      <c r="AA258" s="67"/>
      <c r="AB258" s="67"/>
      <c r="AC258" s="67"/>
    </row>
    <row r="259" spans="1:68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7</v>
      </c>
      <c r="Y259" s="43">
        <f>IFERROR(SUM(Y257:Y257),"0")</f>
        <v>7.5600000000000005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40</v>
      </c>
      <c r="Y273" s="55">
        <f t="shared" si="43"/>
        <v>43.2</v>
      </c>
      <c r="Z273" s="41">
        <f>IFERROR(IF(Y273=0,"",ROUNDUP(Y273/H273,0)*0.00902),"")</f>
        <v>7.2160000000000002E-2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41.407407407407405</v>
      </c>
      <c r="BN273" s="78">
        <f t="shared" si="45"/>
        <v>44.72</v>
      </c>
      <c r="BO273" s="78">
        <f t="shared" si="46"/>
        <v>5.6116722783389444E-2</v>
      </c>
      <c r="BP273" s="78">
        <f t="shared" si="47"/>
        <v>6.0606060606060608E-2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100</v>
      </c>
      <c r="Y274" s="55">
        <f t="shared" si="43"/>
        <v>102.60000000000001</v>
      </c>
      <c r="Z274" s="41">
        <f>IFERROR(IF(Y274=0,"",ROUNDUP(Y274/H274,0)*0.00902),"")</f>
        <v>0.17138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103.5185185185185</v>
      </c>
      <c r="BN274" s="78">
        <f t="shared" si="45"/>
        <v>106.21</v>
      </c>
      <c r="BO274" s="78">
        <f t="shared" si="46"/>
        <v>0.14029180695847362</v>
      </c>
      <c r="BP274" s="78">
        <f t="shared" si="47"/>
        <v>0.14393939393939395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50</v>
      </c>
      <c r="Y275" s="55">
        <f t="shared" si="43"/>
        <v>54</v>
      </c>
      <c r="Z275" s="41">
        <f>IFERROR(IF(Y275=0,"",ROUNDUP(Y275/H275,0)*0.00902),"")</f>
        <v>9.0200000000000002E-2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51.759259259259252</v>
      </c>
      <c r="BN275" s="78">
        <f t="shared" si="45"/>
        <v>55.9</v>
      </c>
      <c r="BO275" s="78">
        <f t="shared" si="46"/>
        <v>7.0145903479236812E-2</v>
      </c>
      <c r="BP275" s="78">
        <f t="shared" si="47"/>
        <v>7.575757575757576E-2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180</v>
      </c>
      <c r="Y276" s="55">
        <f t="shared" si="43"/>
        <v>180</v>
      </c>
      <c r="Z276" s="41">
        <f>IFERROR(IF(Y276=0,"",ROUNDUP(Y276/H276,0)*0.00502),"")</f>
        <v>0.502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192.99999999999997</v>
      </c>
      <c r="BN276" s="78">
        <f t="shared" si="45"/>
        <v>192.99999999999997</v>
      </c>
      <c r="BO276" s="78">
        <f t="shared" si="46"/>
        <v>0.42735042735042739</v>
      </c>
      <c r="BP276" s="78">
        <f t="shared" si="47"/>
        <v>0.42735042735042739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120</v>
      </c>
      <c r="Y277" s="55">
        <f t="shared" si="43"/>
        <v>120.60000000000001</v>
      </c>
      <c r="Z277" s="41">
        <f>IFERROR(IF(Y277=0,"",ROUNDUP(Y277/H277,0)*0.00502),"")</f>
        <v>0.33634000000000003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126.66666666666666</v>
      </c>
      <c r="BN277" s="78">
        <f t="shared" si="45"/>
        <v>127.30000000000001</v>
      </c>
      <c r="BO277" s="78">
        <f t="shared" si="46"/>
        <v>0.28490028490028496</v>
      </c>
      <c r="BP277" s="78">
        <f t="shared" si="47"/>
        <v>0.28632478632478636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180</v>
      </c>
      <c r="Y278" s="55">
        <f t="shared" si="43"/>
        <v>180</v>
      </c>
      <c r="Z278" s="41">
        <f>IFERROR(IF(Y278=0,"",ROUNDUP(Y278/H278,0)*0.00502),"")</f>
        <v>0.502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190</v>
      </c>
      <c r="BN278" s="78">
        <f t="shared" si="45"/>
        <v>190</v>
      </c>
      <c r="BO278" s="78">
        <f t="shared" si="46"/>
        <v>0.42735042735042739</v>
      </c>
      <c r="BP278" s="78">
        <f t="shared" si="47"/>
        <v>0.42735042735042739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120</v>
      </c>
      <c r="Y279" s="55">
        <f t="shared" si="43"/>
        <v>120.60000000000001</v>
      </c>
      <c r="Z279" s="41">
        <f>IFERROR(IF(Y279=0,"",ROUNDUP(Y279/H279,0)*0.00502),"")</f>
        <v>0.33634000000000003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126.66666666666666</v>
      </c>
      <c r="BN279" s="78">
        <f t="shared" si="45"/>
        <v>127.30000000000001</v>
      </c>
      <c r="BO279" s="78">
        <f t="shared" si="46"/>
        <v>0.28490028490028496</v>
      </c>
      <c r="BP279" s="78">
        <f t="shared" si="47"/>
        <v>0.28632478632478636</v>
      </c>
    </row>
    <row r="280" spans="1:68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368.51851851851853</v>
      </c>
      <c r="Y280" s="43">
        <f>IFERROR(Y272/H272,"0")+IFERROR(Y273/H273,"0")+IFERROR(Y274/H274,"0")+IFERROR(Y275/H275,"0")+IFERROR(Y276/H276,"0")+IFERROR(Y277/H277,"0")+IFERROR(Y278/H278,"0")+IFERROR(Y279/H279,"0")</f>
        <v>371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2.0104199999999999</v>
      </c>
      <c r="AA280" s="67"/>
      <c r="AB280" s="67"/>
      <c r="AC280" s="67"/>
    </row>
    <row r="281" spans="1:68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790</v>
      </c>
      <c r="Y281" s="43">
        <f>IFERROR(SUM(Y272:Y279),"0")</f>
        <v>801.00000000000011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200</v>
      </c>
      <c r="Y283" s="55">
        <f t="shared" ref="Y283:Y294" si="48">IFERROR(IF(X283="",0,CEILING((X283/$H283),1)*$H283),"")</f>
        <v>202.5</v>
      </c>
      <c r="Z283" s="41">
        <f>IFERROR(IF(Y283=0,"",ROUNDUP(Y283/H283,0)*0.01898),"")</f>
        <v>0.47450000000000003</v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212.19753086419755</v>
      </c>
      <c r="BN283" s="78">
        <f t="shared" ref="BN283:BN294" si="50">IFERROR(Y283*I283/H283,"0")</f>
        <v>214.85</v>
      </c>
      <c r="BO283" s="78">
        <f t="shared" ref="BO283:BO294" si="51">IFERROR(1/J283*(X283/H283),"0")</f>
        <v>0.38580246913580246</v>
      </c>
      <c r="BP283" s="78">
        <f t="shared" ref="BP283:BP294" si="52">IFERROR(1/J283*(Y283/H283),"0")</f>
        <v>0.390625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560</v>
      </c>
      <c r="Y286" s="55">
        <f t="shared" si="48"/>
        <v>561.6</v>
      </c>
      <c r="Z286" s="41">
        <f>IFERROR(IF(Y286=0,"",ROUNDUP(Y286/H286,0)*0.00651),"")</f>
        <v>1.5233400000000001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623</v>
      </c>
      <c r="BN286" s="78">
        <f t="shared" si="50"/>
        <v>624.78</v>
      </c>
      <c r="BO286" s="78">
        <f t="shared" si="51"/>
        <v>1.2820512820512822</v>
      </c>
      <c r="BP286" s="78">
        <f t="shared" si="52"/>
        <v>1.285714285714286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400</v>
      </c>
      <c r="Y289" s="55">
        <f t="shared" si="48"/>
        <v>400.8</v>
      </c>
      <c r="Z289" s="41">
        <f>IFERROR(IF(Y289=0,"",ROUNDUP(Y289/H289,0)*0.00651),"")</f>
        <v>1.08717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442</v>
      </c>
      <c r="BN289" s="78">
        <f t="shared" si="50"/>
        <v>442.88400000000007</v>
      </c>
      <c r="BO289" s="78">
        <f t="shared" si="51"/>
        <v>0.91575091575091594</v>
      </c>
      <c r="BP289" s="78">
        <f t="shared" si="52"/>
        <v>0.91758241758241765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80</v>
      </c>
      <c r="Y292" s="55">
        <f t="shared" si="48"/>
        <v>81.599999999999994</v>
      </c>
      <c r="Z292" s="41">
        <f>IFERROR(IF(Y292=0,"",ROUNDUP(Y292/H292,0)*0.00651),"")</f>
        <v>0.22134000000000001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88.40000000000002</v>
      </c>
      <c r="BN292" s="78">
        <f t="shared" si="50"/>
        <v>90.168000000000006</v>
      </c>
      <c r="BO292" s="78">
        <f t="shared" si="51"/>
        <v>0.18315018315018317</v>
      </c>
      <c r="BP292" s="78">
        <f t="shared" si="52"/>
        <v>0.18681318681318682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420</v>
      </c>
      <c r="Y293" s="55">
        <f t="shared" si="48"/>
        <v>420</v>
      </c>
      <c r="Z293" s="41">
        <f>IFERROR(IF(Y293=0,"",ROUNDUP(Y293/H293,0)*0.00651),"")</f>
        <v>1.1392500000000001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465.15</v>
      </c>
      <c r="BN293" s="78">
        <f t="shared" si="50"/>
        <v>465.15</v>
      </c>
      <c r="BO293" s="78">
        <f t="shared" si="51"/>
        <v>0.96153846153846156</v>
      </c>
      <c r="BP293" s="78">
        <f t="shared" si="52"/>
        <v>0.96153846153846156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633.02469135802471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635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4.4456000000000007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1660</v>
      </c>
      <c r="Y296" s="43">
        <f>IFERROR(SUM(Y283:Y294),"0")</f>
        <v>1666.5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32</v>
      </c>
      <c r="Y298" s="55">
        <f>IFERROR(IF(X298="",0,CEILING((X298/$H298),1)*$H298),"")</f>
        <v>33.6</v>
      </c>
      <c r="Z298" s="41">
        <f>IFERROR(IF(Y298=0,"",ROUNDUP(Y298/H298,0)*0.00651),"")</f>
        <v>9.1139999999999999E-2</v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35.360000000000007</v>
      </c>
      <c r="BN298" s="78">
        <f>IFERROR(Y298*I298/H298,"0")</f>
        <v>37.128000000000007</v>
      </c>
      <c r="BO298" s="78">
        <f>IFERROR(1/J298*(X298/H298),"0")</f>
        <v>7.3260073260073263E-2</v>
      </c>
      <c r="BP298" s="78">
        <f>IFERROR(1/J298*(Y298/H298),"0")</f>
        <v>7.6923076923076941E-2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13.333333333333334</v>
      </c>
      <c r="Y300" s="43">
        <f>IFERROR(Y298/H298,"0")+IFERROR(Y299/H299,"0")</f>
        <v>14.000000000000002</v>
      </c>
      <c r="Z300" s="43">
        <f>IFERROR(IF(Z298="",0,Z298),"0")+IFERROR(IF(Z299="",0,Z299),"0")</f>
        <v>9.1139999999999999E-2</v>
      </c>
      <c r="AA300" s="67"/>
      <c r="AB300" s="67"/>
      <c r="AC300" s="67"/>
    </row>
    <row r="301" spans="1:68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32</v>
      </c>
      <c r="Y301" s="43">
        <f>IFERROR(SUM(Y298:Y299),"0")</f>
        <v>33.6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80</v>
      </c>
      <c r="Y310" s="55">
        <f t="shared" si="53"/>
        <v>80</v>
      </c>
      <c r="Z310" s="41">
        <f>IFERROR(IF(Y310=0,"",ROUNDUP(Y310/H310,0)*0.00902),"")</f>
        <v>0.1804</v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83.800000000000011</v>
      </c>
      <c r="BN310" s="78">
        <f t="shared" si="55"/>
        <v>83.800000000000011</v>
      </c>
      <c r="BO310" s="78">
        <f t="shared" si="56"/>
        <v>0.15151515151515152</v>
      </c>
      <c r="BP310" s="78">
        <f t="shared" si="57"/>
        <v>0.15151515151515152</v>
      </c>
    </row>
    <row r="311" spans="1:68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20</v>
      </c>
      <c r="Y311" s="43">
        <f>IFERROR(Y304/H304,"0")+IFERROR(Y305/H305,"0")+IFERROR(Y306/H306,"0")+IFERROR(Y307/H307,"0")+IFERROR(Y308/H308,"0")+IFERROR(Y309/H309,"0")+IFERROR(Y310/H310,"0")</f>
        <v>20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0.1804</v>
      </c>
      <c r="AA311" s="67"/>
      <c r="AB311" s="67"/>
      <c r="AC311" s="67"/>
    </row>
    <row r="312" spans="1:68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80</v>
      </c>
      <c r="Y312" s="43">
        <f>IFERROR(SUM(Y304:Y310),"0")</f>
        <v>80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6.6666666666666661</v>
      </c>
      <c r="Y319" s="43">
        <f>IFERROR(Y318/H318,"0")</f>
        <v>7</v>
      </c>
      <c r="Z319" s="43">
        <f>IFERROR(IF(Z318="",0,Z318),"0")</f>
        <v>4.1299999999999996E-2</v>
      </c>
      <c r="AA319" s="67"/>
      <c r="AB319" s="67"/>
      <c r="AC319" s="67"/>
    </row>
    <row r="320" spans="1:68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12</v>
      </c>
      <c r="Y320" s="43">
        <f>IFERROR(SUM(Y318:Y318),"0")</f>
        <v>12.6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18</v>
      </c>
      <c r="Y322" s="55">
        <f>IFERROR(IF(X322="",0,CEILING((X322/$H322),1)*$H322),"")</f>
        <v>18</v>
      </c>
      <c r="Z322" s="41">
        <f>IFERROR(IF(Y322=0,"",ROUNDUP(Y322/H322,0)*0.0059),"")</f>
        <v>5.8999999999999997E-2</v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19.750000000000004</v>
      </c>
      <c r="BN322" s="78">
        <f>IFERROR(Y322*I322/H322,"0")</f>
        <v>19.750000000000004</v>
      </c>
      <c r="BO322" s="78">
        <f>IFERROR(1/J322*(X322/H322),"0")</f>
        <v>4.6296296296296294E-2</v>
      </c>
      <c r="BP322" s="78">
        <f>IFERROR(1/J322*(Y322/H322),"0")</f>
        <v>4.6296296296296294E-2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10</v>
      </c>
      <c r="Y324" s="43">
        <f>IFERROR(Y322/H322,"0")+IFERROR(Y323/H323,"0")</f>
        <v>10</v>
      </c>
      <c r="Z324" s="43">
        <f>IFERROR(IF(Z322="",0,Z322),"0")+IFERROR(IF(Z323="",0,Z323),"0")</f>
        <v>5.8999999999999997E-2</v>
      </c>
      <c r="AA324" s="67"/>
      <c r="AB324" s="67"/>
      <c r="AC324" s="67"/>
    </row>
    <row r="325" spans="1:68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18</v>
      </c>
      <c r="Y325" s="43">
        <f>IFERROR(SUM(Y322:Y323),"0")</f>
        <v>18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81.599999999999994</v>
      </c>
      <c r="Z339" s="41">
        <f>IFERROR(IF(Y339=0,"",ROUNDUP(Y339/H339,0)*0.00651),"")</f>
        <v>0.22134000000000001</v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88.40000000000002</v>
      </c>
      <c r="BN339" s="78">
        <f>IFERROR(Y339*I339/H339,"0")</f>
        <v>90.168000000000006</v>
      </c>
      <c r="BO339" s="78">
        <f>IFERROR(1/J339*(X339/H339),"0")</f>
        <v>0.18315018315018317</v>
      </c>
      <c r="BP339" s="78">
        <f>IFERROR(1/J339*(Y339/H339),"0")</f>
        <v>0.18681318681318682</v>
      </c>
    </row>
    <row r="340" spans="1:68" ht="27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720</v>
      </c>
      <c r="Y340" s="55">
        <f>IFERROR(IF(X340="",0,CEILING((X340/$H340),1)*$H340),"")</f>
        <v>720</v>
      </c>
      <c r="Z340" s="41">
        <f>IFERROR(IF(Y340=0,"",ROUNDUP(Y340/H340,0)*0.00651),"")</f>
        <v>1.9530000000000001</v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774.00000000000011</v>
      </c>
      <c r="BN340" s="78">
        <f>IFERROR(Y340*I340/H340,"0")</f>
        <v>774.00000000000011</v>
      </c>
      <c r="BO340" s="78">
        <f>IFERROR(1/J340*(X340/H340),"0")</f>
        <v>1.6483516483516485</v>
      </c>
      <c r="BP340" s="78">
        <f>IFERROR(1/J340*(Y340/H340),"0")</f>
        <v>1.6483516483516485</v>
      </c>
    </row>
    <row r="341" spans="1:68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333.33333333333331</v>
      </c>
      <c r="Y341" s="43">
        <f>IFERROR(Y338/H338,"0")+IFERROR(Y339/H339,"0")+IFERROR(Y340/H340,"0")</f>
        <v>334</v>
      </c>
      <c r="Z341" s="43">
        <f>IFERROR(IF(Z338="",0,Z338),"0")+IFERROR(IF(Z339="",0,Z339),"0")+IFERROR(IF(Z340="",0,Z340),"0")</f>
        <v>2.1743399999999999</v>
      </c>
      <c r="AA341" s="67"/>
      <c r="AB341" s="67"/>
      <c r="AC341" s="67"/>
    </row>
    <row r="342" spans="1:68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800</v>
      </c>
      <c r="Y342" s="43">
        <f>IFERROR(SUM(Y338:Y340),"0")</f>
        <v>801.6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50</v>
      </c>
      <c r="Y359" s="55">
        <f>IFERROR(IF(X359="",0,CEILING((X359/$H359),1)*$H359),"")</f>
        <v>54.6</v>
      </c>
      <c r="Z359" s="41">
        <f>IFERROR(IF(Y359=0,"",ROUNDUP(Y359/H359,0)*0.01898),"")</f>
        <v>0.13286000000000001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52.628205128205138</v>
      </c>
      <c r="BN359" s="78">
        <f>IFERROR(Y359*I359/H359,"0")</f>
        <v>57.470000000000013</v>
      </c>
      <c r="BO359" s="78">
        <f>IFERROR(1/J359*(X359/H359),"0")</f>
        <v>0.10016025641025642</v>
      </c>
      <c r="BP359" s="78">
        <f>IFERROR(1/J359*(Y359/H359),"0")</f>
        <v>0.109375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6.4102564102564106</v>
      </c>
      <c r="Y362" s="43">
        <f>IFERROR(Y359/H359,"0")+IFERROR(Y360/H360,"0")+IFERROR(Y361/H361,"0")</f>
        <v>7</v>
      </c>
      <c r="Z362" s="43">
        <f>IFERROR(IF(Z359="",0,Z359),"0")+IFERROR(IF(Z360="",0,Z360),"0")+IFERROR(IF(Z361="",0,Z361),"0")</f>
        <v>0.13286000000000001</v>
      </c>
      <c r="AA362" s="67"/>
      <c r="AB362" s="67"/>
      <c r="AC362" s="67"/>
    </row>
    <row r="363" spans="1:68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50</v>
      </c>
      <c r="Y363" s="43">
        <f>IFERROR(SUM(Y359:Y361),"0")</f>
        <v>54.6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175</v>
      </c>
      <c r="Y380" s="55">
        <f t="shared" si="68"/>
        <v>176.4</v>
      </c>
      <c r="Z380" s="41">
        <f>IFERROR(IF(Y380=0,"",ROUNDUP(Y380/H380,0)*0.00502),"")</f>
        <v>0.42168</v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183.33333333333334</v>
      </c>
      <c r="BN380" s="78">
        <f t="shared" si="70"/>
        <v>184.8</v>
      </c>
      <c r="BO380" s="78">
        <f t="shared" si="71"/>
        <v>0.35612535612535612</v>
      </c>
      <c r="BP380" s="78">
        <f t="shared" si="72"/>
        <v>0.35897435897435903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60</v>
      </c>
      <c r="Y382" s="55">
        <f t="shared" si="68"/>
        <v>61.2</v>
      </c>
      <c r="Z382" s="41">
        <f>IFERROR(IF(Y382=0,"",ROUNDUP(Y382/H382,0)*0.00651),"")</f>
        <v>0.22134000000000001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67.600000000000009</v>
      </c>
      <c r="BN382" s="78">
        <f t="shared" si="70"/>
        <v>68.951999999999998</v>
      </c>
      <c r="BO382" s="78">
        <f t="shared" si="71"/>
        <v>0.18315018315018317</v>
      </c>
      <c r="BP382" s="78">
        <f t="shared" si="72"/>
        <v>0.18681318681318682</v>
      </c>
    </row>
    <row r="383" spans="1:68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116.66666666666666</v>
      </c>
      <c r="Y383" s="43">
        <f>IFERROR(Y376/H376,"0")+IFERROR(Y377/H377,"0")+IFERROR(Y378/H378,"0")+IFERROR(Y379/H379,"0")+IFERROR(Y380/H380,"0")+IFERROR(Y381/H381,"0")+IFERROR(Y382/H382,"0")</f>
        <v>118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0.64302000000000004</v>
      </c>
      <c r="AA383" s="67"/>
      <c r="AB383" s="67"/>
      <c r="AC383" s="67"/>
    </row>
    <row r="384" spans="1:68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235</v>
      </c>
      <c r="Y384" s="43">
        <f>IFERROR(SUM(Y376:Y382),"0")</f>
        <v>237.60000000000002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150</v>
      </c>
      <c r="Y393" s="55">
        <f>IFERROR(IF(X393="",0,CEILING((X393/$H393),1)*$H393),"")</f>
        <v>151.20000000000002</v>
      </c>
      <c r="Z393" s="41">
        <f>IFERROR(IF(Y393=0,"",ROUNDUP(Y393/H393,0)*0.01898),"")</f>
        <v>0.34164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158.82142857142856</v>
      </c>
      <c r="BN393" s="78">
        <f>IFERROR(Y393*I393/H393,"0")</f>
        <v>160.09200000000001</v>
      </c>
      <c r="BO393" s="78">
        <f>IFERROR(1/J393*(X393/H393),"0")</f>
        <v>0.27901785714285715</v>
      </c>
      <c r="BP393" s="78">
        <f>IFERROR(1/J393*(Y393/H393),"0")</f>
        <v>0.28125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400</v>
      </c>
      <c r="Y394" s="55">
        <f>IFERROR(IF(X394="",0,CEILING((X394/$H394),1)*$H394),"")</f>
        <v>405.59999999999997</v>
      </c>
      <c r="Z394" s="41">
        <f>IFERROR(IF(Y394=0,"",ROUNDUP(Y394/H394,0)*0.01898),"")</f>
        <v>0.98696000000000006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425.33333333333337</v>
      </c>
      <c r="BN394" s="78">
        <f>IFERROR(Y394*I394/H394,"0")</f>
        <v>431.28799999999995</v>
      </c>
      <c r="BO394" s="78">
        <f>IFERROR(1/J394*(X394/H394),"0")</f>
        <v>0.80128205128205132</v>
      </c>
      <c r="BP394" s="78">
        <f>IFERROR(1/J394*(Y394/H394),"0")</f>
        <v>0.8125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75.091575091575095</v>
      </c>
      <c r="Y396" s="43">
        <f>IFERROR(Y393/H393,"0")+IFERROR(Y394/H394,"0")+IFERROR(Y395/H395,"0")</f>
        <v>76</v>
      </c>
      <c r="Z396" s="43">
        <f>IFERROR(IF(Z393="",0,Z393),"0")+IFERROR(IF(Z394="",0,Z394),"0")+IFERROR(IF(Z395="",0,Z395),"0")</f>
        <v>1.44248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600</v>
      </c>
      <c r="Y397" s="43">
        <f>IFERROR(SUM(Y393:Y395),"0")</f>
        <v>607.19999999999993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30</v>
      </c>
      <c r="Y419" s="55">
        <f>IFERROR(IF(X419="",0,CEILING((X419/$H419),1)*$H419),"")</f>
        <v>31.2</v>
      </c>
      <c r="Z419" s="41">
        <f>IFERROR(IF(Y419=0,"",ROUNDUP(Y419/H419,0)*0.01898),"")</f>
        <v>7.5920000000000001E-2</v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31.57692307692308</v>
      </c>
      <c r="BN419" s="78">
        <f>IFERROR(Y419*I419/H419,"0")</f>
        <v>32.840000000000003</v>
      </c>
      <c r="BO419" s="78">
        <f>IFERROR(1/J419*(X419/H419),"0")</f>
        <v>6.0096153846153848E-2</v>
      </c>
      <c r="BP419" s="78">
        <f>IFERROR(1/J419*(Y419/H419),"0")</f>
        <v>6.25E-2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3.8461538461538463</v>
      </c>
      <c r="Y421" s="43">
        <f>IFERROR(Y419/H419,"0")+IFERROR(Y420/H420,"0")</f>
        <v>4</v>
      </c>
      <c r="Z421" s="43">
        <f>IFERROR(IF(Z419="",0,Z419),"0")+IFERROR(IF(Z420="",0,Z420),"0")</f>
        <v>7.5920000000000001E-2</v>
      </c>
      <c r="AA421" s="67"/>
      <c r="AB421" s="67"/>
      <c r="AC421" s="67"/>
    </row>
    <row r="422" spans="1:68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30</v>
      </c>
      <c r="Y422" s="43">
        <f>IFERROR(SUM(Y419:Y420),"0")</f>
        <v>31.2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73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1547</v>
      </c>
      <c r="BN434" s="78">
        <f t="shared" si="75"/>
        <v>1547</v>
      </c>
      <c r="BO434" s="78">
        <f t="shared" si="76"/>
        <v>2.083333333333333</v>
      </c>
      <c r="BP434" s="78">
        <f t="shared" si="77"/>
        <v>2.083333333333333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1000</v>
      </c>
      <c r="Y435" s="55">
        <f t="shared" si="73"/>
        <v>1005</v>
      </c>
      <c r="Z435" s="41">
        <f>IFERROR(IF(Y435=0,"",ROUNDUP(Y435/H435,0)*0.02175),"")</f>
        <v>1.4572499999999999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1031.3333333333333</v>
      </c>
      <c r="BN435" s="78">
        <f t="shared" si="75"/>
        <v>1036.49</v>
      </c>
      <c r="BO435" s="78">
        <f t="shared" si="76"/>
        <v>1.3888888888888888</v>
      </c>
      <c r="BP435" s="78">
        <f t="shared" si="77"/>
        <v>1.3958333333333333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1200</v>
      </c>
      <c r="Y436" s="55">
        <f t="shared" si="73"/>
        <v>1200</v>
      </c>
      <c r="Z436" s="41">
        <f>IFERROR(IF(Y436=0,"",ROUNDUP(Y436/H436,0)*0.02175),"")</f>
        <v>1.7399999999999998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1237.5999999999999</v>
      </c>
      <c r="BN436" s="78">
        <f t="shared" si="75"/>
        <v>1237.5999999999999</v>
      </c>
      <c r="BO436" s="78">
        <f t="shared" si="76"/>
        <v>1.6666666666666665</v>
      </c>
      <c r="BP436" s="78">
        <f t="shared" si="77"/>
        <v>1.6666666666666665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10</v>
      </c>
      <c r="Y440" s="55">
        <f t="shared" si="73"/>
        <v>10</v>
      </c>
      <c r="Z440" s="41">
        <f>IFERROR(IF(Y440=0,"",ROUNDUP(Y440/H440,0)*0.00902),"")</f>
        <v>1.804E-2</v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10.38</v>
      </c>
      <c r="BN440" s="78">
        <f t="shared" si="75"/>
        <v>10.38</v>
      </c>
      <c r="BO440" s="78">
        <f t="shared" si="76"/>
        <v>1.5151515151515152E-2</v>
      </c>
      <c r="BP440" s="78">
        <f t="shared" si="77"/>
        <v>1.5151515151515152E-2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255.33333333333334</v>
      </c>
      <c r="Y441" s="43">
        <f>IFERROR(Y433/H433,"0")+IFERROR(Y434/H434,"0")+IFERROR(Y435/H435,"0")+IFERROR(Y436/H436,"0")+IFERROR(Y437/H437,"0")+IFERROR(Y438/H438,"0")+IFERROR(Y439/H439,"0")+IFERROR(Y440/H440,"0")</f>
        <v>256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5.5425399999999998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3810</v>
      </c>
      <c r="Y442" s="43">
        <f>IFERROR(SUM(Y433:Y440),"0")</f>
        <v>3820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800</v>
      </c>
      <c r="Y444" s="55">
        <f>IFERROR(IF(X444="",0,CEILING((X444/$H444),1)*$H444),"")</f>
        <v>810</v>
      </c>
      <c r="Z444" s="41">
        <f>IFERROR(IF(Y444=0,"",ROUNDUP(Y444/H444,0)*0.02175),"")</f>
        <v>1.1744999999999999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825.06666666666672</v>
      </c>
      <c r="BN444" s="78">
        <f>IFERROR(Y444*I444/H444,"0")</f>
        <v>835.38</v>
      </c>
      <c r="BO444" s="78">
        <f>IFERROR(1/J444*(X444/H444),"0")</f>
        <v>1.1111111111111112</v>
      </c>
      <c r="BP444" s="78">
        <f>IFERROR(1/J444*(Y444/H444),"0")</f>
        <v>1.125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60</v>
      </c>
      <c r="Y447" s="43">
        <f>IFERROR(Y444/H444,"0")+IFERROR(Y445/H445,"0")+IFERROR(Y446/H446,"0")</f>
        <v>61</v>
      </c>
      <c r="Z447" s="43">
        <f>IFERROR(IF(Z444="",0,Z444),"0")+IFERROR(IF(Z445="",0,Z445),"0")+IFERROR(IF(Z446="",0,Z446),"0")</f>
        <v>1.3267499999999999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900</v>
      </c>
      <c r="Y448" s="43">
        <f>IFERROR(SUM(Y444:Y446),"0")</f>
        <v>915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20</v>
      </c>
      <c r="Y457" s="55">
        <f>IFERROR(IF(X457="",0,CEILING((X457/$H457),1)*$H457),"")</f>
        <v>27</v>
      </c>
      <c r="Z457" s="41">
        <f>IFERROR(IF(Y457=0,"",ROUNDUP(Y457/H457,0)*0.01898),"")</f>
        <v>5.6940000000000004E-2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21.097777777777779</v>
      </c>
      <c r="BN457" s="78">
        <f>IFERROR(Y457*I457/H457,"0")</f>
        <v>28.481999999999996</v>
      </c>
      <c r="BO457" s="78">
        <f>IFERROR(1/J457*(X457/H457),"0")</f>
        <v>3.4722222222222224E-2</v>
      </c>
      <c r="BP457" s="78">
        <f>IFERROR(1/J457*(Y457/H457),"0")</f>
        <v>4.6875E-2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2.2222222222222223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20</v>
      </c>
      <c r="Y459" s="43">
        <f>IFERROR(SUM(Y456:Y457),"0")</f>
        <v>27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50</v>
      </c>
      <c r="Y462" s="55">
        <f>IFERROR(IF(X462="",0,CEILING((X462/$H462),1)*$H462),"")</f>
        <v>60</v>
      </c>
      <c r="Z462" s="41">
        <f>IFERROR(IF(Y462=0,"",ROUNDUP(Y462/H462,0)*0.01898),"")</f>
        <v>9.4899999999999998E-2</v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51.708333333333336</v>
      </c>
      <c r="BN462" s="78">
        <f>IFERROR(Y462*I462/H462,"0")</f>
        <v>62.050000000000004</v>
      </c>
      <c r="BO462" s="78">
        <f>IFERROR(1/J462*(X462/H462),"0")</f>
        <v>6.5104166666666671E-2</v>
      </c>
      <c r="BP462" s="78">
        <f>IFERROR(1/J462*(Y462/H462),"0")</f>
        <v>7.8125E-2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4.166666666666667</v>
      </c>
      <c r="Y464" s="43">
        <f>IFERROR(Y462/H462,"0")+IFERROR(Y463/H463,"0")</f>
        <v>5</v>
      </c>
      <c r="Z464" s="43">
        <f>IFERROR(IF(Z462="",0,Z462),"0")+IFERROR(IF(Z463="",0,Z463),"0")</f>
        <v>9.4899999999999998E-2</v>
      </c>
      <c r="AA464" s="67"/>
      <c r="AB464" s="67"/>
      <c r="AC464" s="67"/>
    </row>
    <row r="465" spans="1:68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50</v>
      </c>
      <c r="Y465" s="43">
        <f>IFERROR(SUM(Y462:Y463),"0")</f>
        <v>60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20</v>
      </c>
      <c r="Y471" s="55">
        <f>IFERROR(IF(X471="",0,CEILING((X471/$H471),1)*$H471),"")</f>
        <v>27</v>
      </c>
      <c r="Z471" s="41">
        <f>IFERROR(IF(Y471=0,"",ROUNDUP(Y471/H471,0)*0.01898),"")</f>
        <v>5.6940000000000004E-2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21.097777777777779</v>
      </c>
      <c r="BN471" s="78">
        <f>IFERROR(Y471*I471/H471,"0")</f>
        <v>28.481999999999996</v>
      </c>
      <c r="BO471" s="78">
        <f>IFERROR(1/J471*(X471/H471),"0")</f>
        <v>3.4722222222222224E-2</v>
      </c>
      <c r="BP471" s="78">
        <f>IFERROR(1/J471*(Y471/H471),"0")</f>
        <v>4.6875E-2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2.2222222222222223</v>
      </c>
      <c r="Y474" s="43">
        <f>IFERROR(Y471/H471,"0")+IFERROR(Y472/H472,"0")+IFERROR(Y473/H473,"0")</f>
        <v>3</v>
      </c>
      <c r="Z474" s="43">
        <f>IFERROR(IF(Z471="",0,Z471),"0")+IFERROR(IF(Z472="",0,Z472),"0")+IFERROR(IF(Z473="",0,Z473),"0")</f>
        <v>5.6940000000000004E-2</v>
      </c>
      <c r="AA474" s="67"/>
      <c r="AB474" s="67"/>
      <c r="AC474" s="67"/>
    </row>
    <row r="475" spans="1:68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20</v>
      </c>
      <c r="Y475" s="43">
        <f>IFERROR(SUM(Y471:Y473),"0")</f>
        <v>27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30</v>
      </c>
      <c r="Y506" s="55">
        <f t="shared" ref="Y506:Y514" si="83">IFERROR(IF(X506="",0,CEILING((X506/$H506),1)*$H506),"")</f>
        <v>31.68</v>
      </c>
      <c r="Z506" s="41">
        <f t="shared" ref="Z506:Z511" si="84">IFERROR(IF(Y506=0,"",ROUNDUP(Y506/H506,0)*0.01196),"")</f>
        <v>7.1760000000000004E-2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31.988636363636363</v>
      </c>
      <c r="BN506" s="78">
        <f t="shared" ref="BN506:BN514" si="86">IFERROR(Y506*I506/H506,"0")</f>
        <v>33.779999999999994</v>
      </c>
      <c r="BO506" s="78">
        <f t="shared" ref="BO506:BO514" si="87">IFERROR(1/J506*(X506/H506),"0")</f>
        <v>5.4632867132867136E-2</v>
      </c>
      <c r="BP506" s="78">
        <f t="shared" ref="BP506:BP514" si="88">IFERROR(1/J506*(Y506/H506),"0")</f>
        <v>5.7692307692307696E-2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40</v>
      </c>
      <c r="Y509" s="55">
        <f t="shared" si="83"/>
        <v>42.24</v>
      </c>
      <c r="Z509" s="41">
        <f t="shared" si="84"/>
        <v>9.5680000000000001E-2</v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42.651515151515149</v>
      </c>
      <c r="BN509" s="78">
        <f t="shared" si="86"/>
        <v>45.04</v>
      </c>
      <c r="BO509" s="78">
        <f t="shared" si="87"/>
        <v>7.2843822843822847E-2</v>
      </c>
      <c r="BP509" s="78">
        <f t="shared" si="88"/>
        <v>7.6923076923076927E-2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120</v>
      </c>
      <c r="Y511" s="55">
        <f t="shared" si="83"/>
        <v>121.44000000000001</v>
      </c>
      <c r="Z511" s="41">
        <f t="shared" si="84"/>
        <v>0.27507999999999999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127.95454545454545</v>
      </c>
      <c r="BN511" s="78">
        <f t="shared" si="86"/>
        <v>129.49</v>
      </c>
      <c r="BO511" s="78">
        <f t="shared" si="87"/>
        <v>0.21853146853146854</v>
      </c>
      <c r="BP511" s="78">
        <f t="shared" si="88"/>
        <v>0.22115384615384617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180</v>
      </c>
      <c r="Y513" s="55">
        <f t="shared" si="83"/>
        <v>182.4</v>
      </c>
      <c r="Z513" s="41">
        <f>IFERROR(IF(Y513=0,"",ROUNDUP(Y513/H513,0)*0.00902),"")</f>
        <v>0.34276000000000001</v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259.125</v>
      </c>
      <c r="BN513" s="78">
        <f t="shared" si="86"/>
        <v>262.58000000000004</v>
      </c>
      <c r="BO513" s="78">
        <f t="shared" si="87"/>
        <v>0.28409090909090912</v>
      </c>
      <c r="BP513" s="78">
        <f t="shared" si="88"/>
        <v>0.2878787878787879</v>
      </c>
    </row>
    <row r="514" spans="1:68" ht="27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270</v>
      </c>
      <c r="Y514" s="55">
        <f t="shared" si="83"/>
        <v>273.59999999999997</v>
      </c>
      <c r="Z514" s="41">
        <f>IFERROR(IF(Y514=0,"",ROUNDUP(Y514/H514,0)*0.00902),"")</f>
        <v>0.51414000000000004</v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388.6875</v>
      </c>
      <c r="BN514" s="78">
        <f t="shared" si="86"/>
        <v>393.86999999999995</v>
      </c>
      <c r="BO514" s="78">
        <f t="shared" si="87"/>
        <v>0.42613636363636365</v>
      </c>
      <c r="BP514" s="78">
        <f t="shared" si="88"/>
        <v>0.43181818181818177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129.7348484848485</v>
      </c>
      <c r="Y515" s="43">
        <f>IFERROR(Y506/H506,"0")+IFERROR(Y507/H507,"0")+IFERROR(Y508/H508,"0")+IFERROR(Y509/H509,"0")+IFERROR(Y510/H510,"0")+IFERROR(Y511/H511,"0")+IFERROR(Y512/H512,"0")+IFERROR(Y513/H513,"0")+IFERROR(Y514/H514,"0")</f>
        <v>132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1.29942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640</v>
      </c>
      <c r="Y516" s="43">
        <f>IFERROR(SUM(Y506:Y514),"0")</f>
        <v>651.3599999999999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200</v>
      </c>
      <c r="Y518" s="55">
        <f>IFERROR(IF(X518="",0,CEILING((X518/$H518),1)*$H518),"")</f>
        <v>200.64000000000001</v>
      </c>
      <c r="Z518" s="41">
        <f>IFERROR(IF(Y518=0,"",ROUNDUP(Y518/H518,0)*0.01196),"")</f>
        <v>0.45448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213.25757575757575</v>
      </c>
      <c r="BN518" s="78">
        <f>IFERROR(Y518*I518/H518,"0")</f>
        <v>213.94</v>
      </c>
      <c r="BO518" s="78">
        <f>IFERROR(1/J518*(X518/H518),"0")</f>
        <v>0.36421911421911418</v>
      </c>
      <c r="BP518" s="78">
        <f>IFERROR(1/J518*(Y518/H518),"0")</f>
        <v>0.36538461538461542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60</v>
      </c>
      <c r="Y520" s="55">
        <f>IFERROR(IF(X520="",0,CEILING((X520/$H520),1)*$H520),"")</f>
        <v>62.4</v>
      </c>
      <c r="Z520" s="41">
        <f>IFERROR(IF(Y520=0,"",ROUNDUP(Y520/H520,0)*0.00902),"")</f>
        <v>0.11726</v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86.375000000000014</v>
      </c>
      <c r="BN520" s="78">
        <f>IFERROR(Y520*I520/H520,"0")</f>
        <v>89.830000000000013</v>
      </c>
      <c r="BO520" s="78">
        <f>IFERROR(1/J520*(X520/H520),"0")</f>
        <v>9.4696969696969696E-2</v>
      </c>
      <c r="BP520" s="78">
        <f>IFERROR(1/J520*(Y520/H520),"0")</f>
        <v>9.8484848484848481E-2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50.378787878787875</v>
      </c>
      <c r="Y521" s="43">
        <f>IFERROR(Y518/H518,"0")+IFERROR(Y519/H519,"0")+IFERROR(Y520/H520,"0")</f>
        <v>51</v>
      </c>
      <c r="Z521" s="43">
        <f>IFERROR(IF(Z518="",0,Z518),"0")+IFERROR(IF(Z519="",0,Z519),"0")+IFERROR(IF(Z520="",0,Z520),"0")</f>
        <v>0.57174000000000003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260</v>
      </c>
      <c r="Y522" s="43">
        <f>IFERROR(SUM(Y518:Y520),"0")</f>
        <v>263.04000000000002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30</v>
      </c>
      <c r="Y524" s="55">
        <f t="shared" ref="Y524:Y530" si="89">IFERROR(IF(X524="",0,CEILING((X524/$H524),1)*$H524),"")</f>
        <v>31.68</v>
      </c>
      <c r="Z524" s="41">
        <f>IFERROR(IF(Y524=0,"",ROUNDUP(Y524/H524,0)*0.01196),"")</f>
        <v>7.1760000000000004E-2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31.988636363636363</v>
      </c>
      <c r="BN524" s="78">
        <f t="shared" ref="BN524:BN530" si="91">IFERROR(Y524*I524/H524,"0")</f>
        <v>33.779999999999994</v>
      </c>
      <c r="BO524" s="78">
        <f t="shared" ref="BO524:BO530" si="92">IFERROR(1/J524*(X524/H524),"0")</f>
        <v>5.4632867132867136E-2</v>
      </c>
      <c r="BP524" s="78">
        <f t="shared" ref="BP524:BP530" si="93">IFERROR(1/J524*(Y524/H524),"0")</f>
        <v>5.7692307692307696E-2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20</v>
      </c>
      <c r="Y525" s="55">
        <f t="shared" si="89"/>
        <v>21.12</v>
      </c>
      <c r="Z525" s="41">
        <f>IFERROR(IF(Y525=0,"",ROUNDUP(Y525/H525,0)*0.01196),"")</f>
        <v>4.7840000000000001E-2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21.325757575757574</v>
      </c>
      <c r="BN525" s="78">
        <f t="shared" si="91"/>
        <v>22.52</v>
      </c>
      <c r="BO525" s="78">
        <f t="shared" si="92"/>
        <v>3.6421911421911424E-2</v>
      </c>
      <c r="BP525" s="78">
        <f t="shared" si="93"/>
        <v>3.8461538461538464E-2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100</v>
      </c>
      <c r="Y526" s="55">
        <f t="shared" si="89"/>
        <v>100.32000000000001</v>
      </c>
      <c r="Z526" s="41">
        <f>IFERROR(IF(Y526=0,"",ROUNDUP(Y526/H526,0)*0.01196),"")</f>
        <v>0.22724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106.62878787878788</v>
      </c>
      <c r="BN526" s="78">
        <f t="shared" si="91"/>
        <v>106.97</v>
      </c>
      <c r="BO526" s="78">
        <f t="shared" si="92"/>
        <v>0.18210955710955709</v>
      </c>
      <c r="BP526" s="78">
        <f t="shared" si="93"/>
        <v>0.18269230769230771</v>
      </c>
    </row>
    <row r="527" spans="1:68" ht="27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60</v>
      </c>
      <c r="Y527" s="55">
        <f t="shared" si="89"/>
        <v>62.4</v>
      </c>
      <c r="Z527" s="41">
        <f>IFERROR(IF(Y527=0,"",ROUNDUP(Y527/H527,0)*0.00902),"")</f>
        <v>0.11726</v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86.375000000000014</v>
      </c>
      <c r="BN527" s="78">
        <f t="shared" si="91"/>
        <v>89.830000000000013</v>
      </c>
      <c r="BO527" s="78">
        <f t="shared" si="92"/>
        <v>9.4696969696969696E-2</v>
      </c>
      <c r="BP527" s="78">
        <f t="shared" si="93"/>
        <v>9.8484848484848481E-2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132</v>
      </c>
      <c r="Y530" s="55">
        <f t="shared" si="89"/>
        <v>134.4</v>
      </c>
      <c r="Z530" s="41">
        <f>IFERROR(IF(Y530=0,"",ROUNDUP(Y530/H530,0)*0.00902),"")</f>
        <v>0.25256000000000001</v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183.42499999999998</v>
      </c>
      <c r="BN530" s="78">
        <f t="shared" si="91"/>
        <v>186.76</v>
      </c>
      <c r="BO530" s="78">
        <f t="shared" si="92"/>
        <v>0.20833333333333334</v>
      </c>
      <c r="BP530" s="78">
        <f t="shared" si="93"/>
        <v>0.21212121212121215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68.409090909090907</v>
      </c>
      <c r="Y531" s="43">
        <f>IFERROR(Y524/H524,"0")+IFERROR(Y525/H525,"0")+IFERROR(Y526/H526,"0")+IFERROR(Y527/H527,"0")+IFERROR(Y528/H528,"0")+IFERROR(Y529/H529,"0")+IFERROR(Y530/H530,"0")</f>
        <v>70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0.71666000000000007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342</v>
      </c>
      <c r="Y532" s="43">
        <f>IFERROR(SUM(Y524:Y530),"0")</f>
        <v>349.92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260</v>
      </c>
      <c r="Y536" s="55">
        <f>IFERROR(IF(X536="",0,CEILING((X536/$H536),1)*$H536),"")</f>
        <v>264</v>
      </c>
      <c r="Z536" s="41">
        <f>IFERROR(IF(Y536=0,"",ROUNDUP(Y536/H536,0)*0.01898),"")</f>
        <v>0.41755999999999999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268.88333333333333</v>
      </c>
      <c r="BN536" s="78">
        <f>IFERROR(Y536*I536/H536,"0")</f>
        <v>273.02000000000004</v>
      </c>
      <c r="BO536" s="78">
        <f>IFERROR(1/J536*(X536/H536),"0")</f>
        <v>0.33854166666666669</v>
      </c>
      <c r="BP536" s="78">
        <f>IFERROR(1/J536*(Y536/H536),"0")</f>
        <v>0.34375</v>
      </c>
    </row>
    <row r="537" spans="1:68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21.666666666666668</v>
      </c>
      <c r="Y537" s="43">
        <f>IFERROR(Y536/H536,"0")</f>
        <v>22</v>
      </c>
      <c r="Z537" s="43">
        <f>IFERROR(IF(Z536="",0,Z536),"0")</f>
        <v>0.41755999999999999</v>
      </c>
      <c r="AA537" s="67"/>
      <c r="AB537" s="67"/>
      <c r="AC537" s="67"/>
    </row>
    <row r="538" spans="1:68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260</v>
      </c>
      <c r="Y538" s="43">
        <f>IFERROR(SUM(Y536:Y536),"0")</f>
        <v>264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1000</v>
      </c>
      <c r="Y548" s="55">
        <f>IFERROR(IF(X548="",0,CEILING((X548/$H548),1)*$H548),"")</f>
        <v>1008</v>
      </c>
      <c r="Z548" s="41">
        <f>IFERROR(IF(Y548=0,"",ROUNDUP(Y548/H548,0)*0.01898),"")</f>
        <v>2.1257600000000001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1054.8888888888889</v>
      </c>
      <c r="BN548" s="78">
        <f>IFERROR(Y548*I548/H548,"0")</f>
        <v>1063.328</v>
      </c>
      <c r="BO548" s="78">
        <f>IFERROR(1/J548*(X548/H548),"0")</f>
        <v>1.7361111111111112</v>
      </c>
      <c r="BP548" s="78">
        <f>IFERROR(1/J548*(Y548/H548),"0")</f>
        <v>1.75</v>
      </c>
    </row>
    <row r="549" spans="1:68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111.11111111111111</v>
      </c>
      <c r="Y549" s="43">
        <f>IFERROR(Y548/H548,"0")</f>
        <v>112</v>
      </c>
      <c r="Z549" s="43">
        <f>IFERROR(IF(Z548="",0,Z548),"0")</f>
        <v>2.1257600000000001</v>
      </c>
      <c r="AA549" s="67"/>
      <c r="AB549" s="67"/>
      <c r="AC549" s="67"/>
    </row>
    <row r="550" spans="1:68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1000</v>
      </c>
      <c r="Y550" s="43">
        <f>IFERROR(SUM(Y548:Y548),"0")</f>
        <v>1008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17558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17716.500000000004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18820.355181916853</v>
      </c>
      <c r="Y562" s="43">
        <f>IFERROR(SUM(BN22:BN558),"0")</f>
        <v>18992.373000000003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32</v>
      </c>
      <c r="Y563" s="44">
        <f>ROUNDUP(SUM(BP22:BP558),0)</f>
        <v>33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19620.355181916853</v>
      </c>
      <c r="Y564" s="43">
        <f>GrossWeightTotalR+PalletQtyTotalR*25</f>
        <v>19817.373000000003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4140.3705723289058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4170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37.450149999999994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38.4</v>
      </c>
      <c r="D571" s="52">
        <f>IFERROR(Y47*1,"0")+IFERROR(Y48*1,"0")+IFERROR(Y49*1,"0")+IFERROR(Y50*1,"0")</f>
        <v>491.20000000000005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1030.5</v>
      </c>
      <c r="F571" s="52">
        <f>IFERROR(Y87*1,"0")+IFERROR(Y88*1,"0")+IFERROR(Y89*1,"0")+IFERROR(Y90*1,"0")+IFERROR(Y91*1,"0")+IFERROR(Y92*1,"0")+IFERROR(Y96*1,"0")+IFERROR(Y97*1,"0")+IFERROR(Y98*1,"0")+IFERROR(Y99*1,"0")</f>
        <v>1575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1086.48</v>
      </c>
      <c r="H571" s="52">
        <f>IFERROR(Y134*1,"0")+IFERROR(Y135*1,"0")+IFERROR(Y139*1,"0")+IFERROR(Y140*1,"0")+IFERROR(Y144*1,"0")+IFERROR(Y145*1,"0")</f>
        <v>177.6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891.48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696.62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2501.1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110.6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801.6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54.6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844.80000000000007</v>
      </c>
      <c r="U571" s="52">
        <f>IFERROR(Y419*1,"0")+IFERROR(Y420*1,"0")</f>
        <v>31.2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4762</v>
      </c>
      <c r="X571" s="52">
        <f>IFERROR(Y462*1,"0")+IFERROR(Y463*1,"0")+IFERROR(Y467*1,"0")+IFERROR(Y471*1,"0")+IFERROR(Y472*1,"0")+IFERROR(Y473*1,"0")</f>
        <v>87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1264.32</v>
      </c>
      <c r="AB571" s="52">
        <f>IFERROR(Y536*1,"0")+IFERROR(Y540*1,"0")+IFERROR(Y544*1,"0")+IFERROR(Y548*1,"0")+IFERROR(Y552*1,"0")+IFERROR(Y553*1,"0")</f>
        <v>1272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500,00"/>
        <filter val="1 660,00"/>
        <filter val="10,00"/>
        <filter val="100,00"/>
        <filter val="104,63"/>
        <filter val="11,00"/>
        <filter val="111,11"/>
        <filter val="116,67"/>
        <filter val="12,00"/>
        <filter val="12,50"/>
        <filter val="120,00"/>
        <filter val="128,52"/>
        <filter val="129,73"/>
        <filter val="13,33"/>
        <filter val="132,00"/>
        <filter val="140,00"/>
        <filter val="150,00"/>
        <filter val="158,00"/>
        <filter val="16,67"/>
        <filter val="17 558,00"/>
        <filter val="173,89"/>
        <filter val="175,00"/>
        <filter val="18 820,36"/>
        <filter val="18,00"/>
        <filter val="180,00"/>
        <filter val="19 620,36"/>
        <filter val="19,79"/>
        <filter val="19,84"/>
        <filter val="2,22"/>
        <filter val="20,00"/>
        <filter val="20,20"/>
        <filter val="200,00"/>
        <filter val="21,67"/>
        <filter val="216,67"/>
        <filter val="235,00"/>
        <filter val="245,00"/>
        <filter val="25,00"/>
        <filter val="255,33"/>
        <filter val="260,00"/>
        <filter val="267,86"/>
        <filter val="270,00"/>
        <filter val="285,19"/>
        <filter val="3 810,00"/>
        <filter val="3,85"/>
        <filter val="30,00"/>
        <filter val="300,00"/>
        <filter val="32"/>
        <filter val="32,00"/>
        <filter val="333,33"/>
        <filter val="340,00"/>
        <filter val="342,00"/>
        <filter val="368,52"/>
        <filter val="369,52"/>
        <filter val="38,00"/>
        <filter val="4 140,37"/>
        <filter val="4,17"/>
        <filter val="40,00"/>
        <filter val="400,00"/>
        <filter val="420,00"/>
        <filter val="450,00"/>
        <filter val="490,00"/>
        <filter val="495,00"/>
        <filter val="5,56"/>
        <filter val="50,00"/>
        <filter val="50,38"/>
        <filter val="500,00"/>
        <filter val="540,00"/>
        <filter val="560,00"/>
        <filter val="58,52"/>
        <filter val="6,41"/>
        <filter val="6,67"/>
        <filter val="60,00"/>
        <filter val="600,00"/>
        <filter val="633,02"/>
        <filter val="640,00"/>
        <filter val="655,00"/>
        <filter val="66,00"/>
        <filter val="68,41"/>
        <filter val="695,00"/>
        <filter val="7,00"/>
        <filter val="70,00"/>
        <filter val="720,00"/>
        <filter val="75,09"/>
        <filter val="790,00"/>
        <filter val="8,00"/>
        <filter val="80,00"/>
        <filter val="800,00"/>
        <filter val="84,00"/>
        <filter val="870,00"/>
        <filter val="873,00"/>
        <filter val="9,00"/>
        <filter val="90,00"/>
        <filter val="900,00"/>
        <filter val="98,89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