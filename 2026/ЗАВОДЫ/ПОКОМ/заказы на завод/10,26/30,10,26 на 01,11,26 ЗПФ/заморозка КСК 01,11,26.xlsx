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058BE7-F5AA-4DE0-8A9F-3624DF4538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заказа'!$B$274:$B$274</definedName>
    <definedName name="ProductId101">'Бланк заказа'!$B$275:$B$275</definedName>
    <definedName name="ProductId102">'Бланк заказа'!$B$276:$B$276</definedName>
    <definedName name="ProductId103">'Бланк заказа'!$B$277:$B$277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заказа'!$B$96:$B$96</definedName>
    <definedName name="ProductId36">'Бланк заказа'!$B$97:$B$97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заказа'!$B$117:$B$117</definedName>
    <definedName name="ProductId47">'Бланк заказа'!$B$122:$B$122</definedName>
    <definedName name="ProductId48">'Бланк заказа'!$B$126:$B$126</definedName>
    <definedName name="ProductId49">'Бланк заказа'!$B$127:$B$127</definedName>
    <definedName name="ProductId5">'Бланк заказа'!$B$26:$B$26</definedName>
    <definedName name="ProductId50">'Бланк заказа'!$B$128:$B$128</definedName>
    <definedName name="ProductId51">'Бланк заказа'!$B$129:$B$129</definedName>
    <definedName name="ProductId52">'Бланк заказа'!$B$133:$B$133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заказа'!$B$181:$B$181</definedName>
    <definedName name="ProductId69">'Бланк заказа'!$B$182:$B$182</definedName>
    <definedName name="ProductId7">'Бланк заказа'!$B$28:$B$28</definedName>
    <definedName name="ProductId70">'Бланк заказа'!$B$187:$B$187</definedName>
    <definedName name="ProductId71">'Бланк заказа'!$B$188:$B$188</definedName>
    <definedName name="ProductId72">'Бланк заказа'!$B$193:$B$193</definedName>
    <definedName name="ProductId73">'Бланк заказа'!$B$199:$B$199</definedName>
    <definedName name="ProductId74">'Бланк заказа'!$B$200:$B$200</definedName>
    <definedName name="ProductId75">'Бланк заказа'!$B$201:$B$201</definedName>
    <definedName name="ProductId76">'Бланк заказа'!$B$202:$B$202</definedName>
    <definedName name="ProductId77">'Бланк заказа'!$B$208:$B$208</definedName>
    <definedName name="ProductId78">'Бланк заказа'!$B$212:$B$212</definedName>
    <definedName name="ProductId79">'Бланк заказа'!$B$213:$B$213</definedName>
    <definedName name="ProductId8">'Бланк заказа'!$B$29:$B$29</definedName>
    <definedName name="ProductId80">'Бланк заказа'!$B$218:$B$218</definedName>
    <definedName name="ProductId81">'Бланк заказа'!$B$219:$B$219</definedName>
    <definedName name="ProductId82">'Бланк заказа'!$B$224:$B$224</definedName>
    <definedName name="ProductId83">'Бланк заказа'!$B$230:$B$230</definedName>
    <definedName name="ProductId84">'Бланк заказа'!$B$236:$B$236</definedName>
    <definedName name="ProductId85">'Бланк заказа'!$B$240:$B$240</definedName>
    <definedName name="ProductId86">'Бланк заказа'!$B$246:$B$246</definedName>
    <definedName name="ProductId87">'Бланк заказа'!$B$250:$B$250</definedName>
    <definedName name="ProductId88">'Бланк заказа'!$B$256:$B$256</definedName>
    <definedName name="ProductId89">'Бланк заказа'!$B$257:$B$257</definedName>
    <definedName name="ProductId9">'Бланк заказа'!$B$33:$B$33</definedName>
    <definedName name="ProductId90">'Бланк заказа'!$B$261:$B$261</definedName>
    <definedName name="ProductId91">'Бланк заказа'!$B$262:$B$262</definedName>
    <definedName name="ProductId92">'Бланк заказа'!$B$263:$B$263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ductId98">'Бланк заказа'!$B$272:$B$272</definedName>
    <definedName name="ProductId99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заказа'!$X$274:$X$274</definedName>
    <definedName name="SalesQty101">'Бланк заказа'!$X$275:$X$275</definedName>
    <definedName name="SalesQty102">'Бланк заказа'!$X$276:$X$276</definedName>
    <definedName name="SalesQty103">'Бланк заказа'!$X$277:$X$277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заказа'!$X$96:$X$96</definedName>
    <definedName name="SalesQty36">'Бланк заказа'!$X$97:$X$97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заказа'!$X$117:$X$117</definedName>
    <definedName name="SalesQty47">'Бланк заказа'!$X$122:$X$122</definedName>
    <definedName name="SalesQty48">'Бланк заказа'!$X$126:$X$126</definedName>
    <definedName name="SalesQty49">'Бланк заказа'!$X$127:$X$127</definedName>
    <definedName name="SalesQty5">'Бланк заказа'!$X$26:$X$26</definedName>
    <definedName name="SalesQty50">'Бланк заказа'!$X$128:$X$128</definedName>
    <definedName name="SalesQty51">'Бланк заказа'!$X$129:$X$129</definedName>
    <definedName name="SalesQty52">'Бланк заказа'!$X$133:$X$133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заказа'!$X$181:$X$181</definedName>
    <definedName name="SalesQty69">'Бланк заказа'!$X$182:$X$182</definedName>
    <definedName name="SalesQty7">'Бланк заказа'!$X$28:$X$28</definedName>
    <definedName name="SalesQty70">'Бланк заказа'!$X$187:$X$187</definedName>
    <definedName name="SalesQty71">'Бланк заказа'!$X$188:$X$188</definedName>
    <definedName name="SalesQty72">'Бланк заказа'!$X$193:$X$193</definedName>
    <definedName name="SalesQty73">'Бланк заказа'!$X$199:$X$199</definedName>
    <definedName name="SalesQty74">'Бланк заказа'!$X$200:$X$200</definedName>
    <definedName name="SalesQty75">'Бланк заказа'!$X$201:$X$201</definedName>
    <definedName name="SalesQty76">'Бланк заказа'!$X$202:$X$202</definedName>
    <definedName name="SalesQty77">'Бланк заказа'!$X$208:$X$208</definedName>
    <definedName name="SalesQty78">'Бланк заказа'!$X$212:$X$212</definedName>
    <definedName name="SalesQty79">'Бланк заказа'!$X$213:$X$213</definedName>
    <definedName name="SalesQty8">'Бланк заказа'!$X$29:$X$29</definedName>
    <definedName name="SalesQty80">'Бланк заказа'!$X$218:$X$218</definedName>
    <definedName name="SalesQty81">'Бланк заказа'!$X$219:$X$219</definedName>
    <definedName name="SalesQty82">'Бланк заказа'!$X$224:$X$224</definedName>
    <definedName name="SalesQty83">'Бланк заказа'!$X$230:$X$230</definedName>
    <definedName name="SalesQty84">'Бланк заказа'!$X$236:$X$236</definedName>
    <definedName name="SalesQty85">'Бланк заказа'!$X$240:$X$240</definedName>
    <definedName name="SalesQty86">'Бланк заказа'!$X$246:$X$246</definedName>
    <definedName name="SalesQty87">'Бланк заказа'!$X$250:$X$250</definedName>
    <definedName name="SalesQty88">'Бланк заказа'!$X$256:$X$256</definedName>
    <definedName name="SalesQty89">'Бланк заказа'!$X$257:$X$257</definedName>
    <definedName name="SalesQty9">'Бланк заказа'!$X$33:$X$33</definedName>
    <definedName name="SalesQty90">'Бланк заказа'!$X$261:$X$261</definedName>
    <definedName name="SalesQty91">'Бланк заказа'!$X$262:$X$262</definedName>
    <definedName name="SalesQty92">'Бланк заказа'!$X$263:$X$263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Qty98">'Бланк заказа'!$X$272:$X$272</definedName>
    <definedName name="SalesQty99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заказа'!$Y$274:$Y$274</definedName>
    <definedName name="SalesRoundBox101">'Бланк заказа'!$Y$275:$Y$275</definedName>
    <definedName name="SalesRoundBox102">'Бланк заказа'!$Y$276:$Y$276</definedName>
    <definedName name="SalesRoundBox103">'Бланк заказа'!$Y$277:$Y$277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заказа'!$Y$96:$Y$96</definedName>
    <definedName name="SalesRoundBox36">'Бланк заказа'!$Y$97:$Y$97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заказа'!$Y$117:$Y$117</definedName>
    <definedName name="SalesRoundBox47">'Бланк заказа'!$Y$122:$Y$122</definedName>
    <definedName name="SalesRoundBox48">'Бланк заказа'!$Y$126:$Y$126</definedName>
    <definedName name="SalesRoundBox49">'Бланк заказа'!$Y$127:$Y$127</definedName>
    <definedName name="SalesRoundBox5">'Бланк заказа'!$Y$26:$Y$26</definedName>
    <definedName name="SalesRoundBox50">'Бланк заказа'!$Y$128:$Y$128</definedName>
    <definedName name="SalesRoundBox51">'Бланк заказа'!$Y$129:$Y$129</definedName>
    <definedName name="SalesRoundBox52">'Бланк заказа'!$Y$133:$Y$133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заказа'!$Y$181:$Y$181</definedName>
    <definedName name="SalesRoundBox69">'Бланк заказа'!$Y$182:$Y$182</definedName>
    <definedName name="SalesRoundBox7">'Бланк заказа'!$Y$28:$Y$28</definedName>
    <definedName name="SalesRoundBox70">'Бланк заказа'!$Y$187:$Y$187</definedName>
    <definedName name="SalesRoundBox71">'Бланк заказа'!$Y$188:$Y$188</definedName>
    <definedName name="SalesRoundBox72">'Бланк заказа'!$Y$193:$Y$193</definedName>
    <definedName name="SalesRoundBox73">'Бланк заказа'!$Y$199:$Y$199</definedName>
    <definedName name="SalesRoundBox74">'Бланк заказа'!$Y$200:$Y$200</definedName>
    <definedName name="SalesRoundBox75">'Бланк заказа'!$Y$201:$Y$201</definedName>
    <definedName name="SalesRoundBox76">'Бланк заказа'!$Y$202:$Y$202</definedName>
    <definedName name="SalesRoundBox77">'Бланк заказа'!$Y$208:$Y$208</definedName>
    <definedName name="SalesRoundBox78">'Бланк заказа'!$Y$212:$Y$212</definedName>
    <definedName name="SalesRoundBox79">'Бланк заказа'!$Y$213:$Y$213</definedName>
    <definedName name="SalesRoundBox8">'Бланк заказа'!$Y$29:$Y$29</definedName>
    <definedName name="SalesRoundBox80">'Бланк заказа'!$Y$218:$Y$218</definedName>
    <definedName name="SalesRoundBox81">'Бланк заказа'!$Y$219:$Y$219</definedName>
    <definedName name="SalesRoundBox82">'Бланк заказа'!$Y$224:$Y$224</definedName>
    <definedName name="SalesRoundBox83">'Бланк заказа'!$Y$230:$Y$230</definedName>
    <definedName name="SalesRoundBox84">'Бланк заказа'!$Y$236:$Y$236</definedName>
    <definedName name="SalesRoundBox85">'Бланк заказа'!$Y$240:$Y$240</definedName>
    <definedName name="SalesRoundBox86">'Бланк заказа'!$Y$246:$Y$246</definedName>
    <definedName name="SalesRoundBox87">'Бланк заказа'!$Y$250:$Y$250</definedName>
    <definedName name="SalesRoundBox88">'Бланк заказа'!$Y$256:$Y$256</definedName>
    <definedName name="SalesRoundBox89">'Бланк заказа'!$Y$257:$Y$257</definedName>
    <definedName name="SalesRoundBox9">'Бланк заказа'!$Y$33:$Y$33</definedName>
    <definedName name="SalesRoundBox90">'Бланк заказа'!$Y$261:$Y$261</definedName>
    <definedName name="SalesRoundBox91">'Бланк заказа'!$Y$262:$Y$262</definedName>
    <definedName name="SalesRoundBox92">'Бланк заказа'!$Y$263:$Y$263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SalesRoundBox98">'Бланк заказа'!$Y$272:$Y$272</definedName>
    <definedName name="SalesRoundBox99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заказа'!$W$274:$W$274</definedName>
    <definedName name="UnitOfMeasure101">'Бланк заказа'!$W$275:$W$275</definedName>
    <definedName name="UnitOfMeasure102">'Бланк заказа'!$W$276:$W$276</definedName>
    <definedName name="UnitOfMeasure103">'Бланк заказа'!$W$277:$W$277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заказа'!$W$96:$W$96</definedName>
    <definedName name="UnitOfMeasure36">'Бланк заказа'!$W$97:$W$97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заказа'!$W$117:$W$117</definedName>
    <definedName name="UnitOfMeasure47">'Бланк заказа'!$W$122:$W$122</definedName>
    <definedName name="UnitOfMeasure48">'Бланк заказа'!$W$126:$W$126</definedName>
    <definedName name="UnitOfMeasure49">'Бланк заказа'!$W$127:$W$127</definedName>
    <definedName name="UnitOfMeasure5">'Бланк заказа'!$W$26:$W$26</definedName>
    <definedName name="UnitOfMeasure50">'Бланк заказа'!$W$128:$W$128</definedName>
    <definedName name="UnitOfMeasure51">'Бланк заказа'!$W$129:$W$129</definedName>
    <definedName name="UnitOfMeasure52">'Бланк заказа'!$W$133:$W$133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заказа'!$W$181:$W$181</definedName>
    <definedName name="UnitOfMeasure69">'Бланк заказа'!$W$182:$W$182</definedName>
    <definedName name="UnitOfMeasure7">'Бланк заказа'!$W$28:$W$28</definedName>
    <definedName name="UnitOfMeasure70">'Бланк заказа'!$W$187:$W$187</definedName>
    <definedName name="UnitOfMeasure71">'Бланк заказа'!$W$188:$W$188</definedName>
    <definedName name="UnitOfMeasure72">'Бланк заказа'!$W$193:$W$193</definedName>
    <definedName name="UnitOfMeasure73">'Бланк заказа'!$W$199:$W$199</definedName>
    <definedName name="UnitOfMeasure74">'Бланк заказа'!$W$200:$W$200</definedName>
    <definedName name="UnitOfMeasure75">'Бланк заказа'!$W$201:$W$201</definedName>
    <definedName name="UnitOfMeasure76">'Бланк заказа'!$W$202:$W$202</definedName>
    <definedName name="UnitOfMeasure77">'Бланк заказа'!$W$208:$W$208</definedName>
    <definedName name="UnitOfMeasure78">'Бланк заказа'!$W$212:$W$212</definedName>
    <definedName name="UnitOfMeasure79">'Бланк заказа'!$W$213:$W$213</definedName>
    <definedName name="UnitOfMeasure8">'Бланк заказа'!$W$29:$W$29</definedName>
    <definedName name="UnitOfMeasure80">'Бланк заказа'!$W$218:$W$218</definedName>
    <definedName name="UnitOfMeasure81">'Бланк заказа'!$W$219:$W$219</definedName>
    <definedName name="UnitOfMeasure82">'Бланк заказа'!$W$224:$W$224</definedName>
    <definedName name="UnitOfMeasure83">'Бланк заказа'!$W$230:$W$230</definedName>
    <definedName name="UnitOfMeasure84">'Бланк заказа'!$W$236:$W$236</definedName>
    <definedName name="UnitOfMeasure85">'Бланк заказа'!$W$240:$W$240</definedName>
    <definedName name="UnitOfMeasure86">'Бланк заказа'!$W$246:$W$246</definedName>
    <definedName name="UnitOfMeasure87">'Бланк заказа'!$W$250:$W$250</definedName>
    <definedName name="UnitOfMeasure88">'Бланк заказа'!$W$256:$W$256</definedName>
    <definedName name="UnitOfMeasure89">'Бланк заказа'!$W$257:$W$257</definedName>
    <definedName name="UnitOfMeasure9">'Бланк заказа'!$W$33:$W$33</definedName>
    <definedName name="UnitOfMeasure90">'Бланк заказа'!$W$261:$W$261</definedName>
    <definedName name="UnitOfMeasure91">'Бланк заказа'!$W$262:$W$262</definedName>
    <definedName name="UnitOfMeasure92">'Бланк заказа'!$W$263:$W$263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itOfMeasure98">'Бланк заказа'!$W$272:$W$272</definedName>
    <definedName name="UnitOfMeasure99">'Бланк заказа'!$W$273:$W$273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90" i="2" l="1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BO275" i="2"/>
  <c r="BM275" i="2"/>
  <c r="Z275" i="2"/>
  <c r="Y275" i="2"/>
  <c r="BN275" i="2" s="1"/>
  <c r="P275" i="2"/>
  <c r="BO274" i="2"/>
  <c r="BM274" i="2"/>
  <c r="Z274" i="2"/>
  <c r="Y274" i="2"/>
  <c r="BP274" i="2" s="1"/>
  <c r="BO273" i="2"/>
  <c r="BM273" i="2"/>
  <c r="Z273" i="2"/>
  <c r="Y273" i="2"/>
  <c r="BN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N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BN267" i="2" s="1"/>
  <c r="X265" i="2"/>
  <c r="X264" i="2"/>
  <c r="BO263" i="2"/>
  <c r="BM263" i="2"/>
  <c r="Z263" i="2"/>
  <c r="Y263" i="2"/>
  <c r="BO262" i="2"/>
  <c r="BM262" i="2"/>
  <c r="Z262" i="2"/>
  <c r="Y262" i="2"/>
  <c r="BN262" i="2" s="1"/>
  <c r="BO261" i="2"/>
  <c r="BM261" i="2"/>
  <c r="Z261" i="2"/>
  <c r="Y261" i="2"/>
  <c r="Y264" i="2" s="1"/>
  <c r="X259" i="2"/>
  <c r="X258" i="2"/>
  <c r="BO257" i="2"/>
  <c r="BM257" i="2"/>
  <c r="Z257" i="2"/>
  <c r="Y257" i="2"/>
  <c r="BP257" i="2" s="1"/>
  <c r="P257" i="2"/>
  <c r="BO256" i="2"/>
  <c r="BN256" i="2"/>
  <c r="BM256" i="2"/>
  <c r="Z256" i="2"/>
  <c r="Z258" i="2" s="1"/>
  <c r="Y256" i="2"/>
  <c r="Y258" i="2" s="1"/>
  <c r="P256" i="2"/>
  <c r="X252" i="2"/>
  <c r="X251" i="2"/>
  <c r="BO250" i="2"/>
  <c r="BM250" i="2"/>
  <c r="Z250" i="2"/>
  <c r="Z251" i="2" s="1"/>
  <c r="Y250" i="2"/>
  <c r="BN250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1" i="2" s="1"/>
  <c r="P240" i="2"/>
  <c r="X238" i="2"/>
  <c r="X237" i="2"/>
  <c r="BO236" i="2"/>
  <c r="BM236" i="2"/>
  <c r="Z236" i="2"/>
  <c r="Z237" i="2" s="1"/>
  <c r="Y236" i="2"/>
  <c r="BN236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5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N213" i="2" s="1"/>
  <c r="P213" i="2"/>
  <c r="BO212" i="2"/>
  <c r="BM212" i="2"/>
  <c r="Z212" i="2"/>
  <c r="Y212" i="2"/>
  <c r="BP212" i="2" s="1"/>
  <c r="P212" i="2"/>
  <c r="X210" i="2"/>
  <c r="X209" i="2"/>
  <c r="BO208" i="2"/>
  <c r="BM208" i="2"/>
  <c r="Z208" i="2"/>
  <c r="Z209" i="2" s="1"/>
  <c r="Y208" i="2"/>
  <c r="BN208" i="2" s="1"/>
  <c r="P208" i="2"/>
  <c r="X204" i="2"/>
  <c r="X203" i="2"/>
  <c r="BO202" i="2"/>
  <c r="BM202" i="2"/>
  <c r="Z202" i="2"/>
  <c r="Y202" i="2"/>
  <c r="BN202" i="2" s="1"/>
  <c r="P202" i="2"/>
  <c r="BO201" i="2"/>
  <c r="BM201" i="2"/>
  <c r="Z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Z199" i="2"/>
  <c r="Y199" i="2"/>
  <c r="P199" i="2"/>
  <c r="X195" i="2"/>
  <c r="X194" i="2"/>
  <c r="BO193" i="2"/>
  <c r="BM193" i="2"/>
  <c r="Z193" i="2"/>
  <c r="Z194" i="2" s="1"/>
  <c r="Y193" i="2"/>
  <c r="Y194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Y187" i="2"/>
  <c r="P187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P181" i="2"/>
  <c r="X179" i="2"/>
  <c r="X178" i="2"/>
  <c r="BO177" i="2"/>
  <c r="BM177" i="2"/>
  <c r="Z177" i="2"/>
  <c r="Z178" i="2" s="1"/>
  <c r="Y177" i="2"/>
  <c r="BP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Y161" i="2"/>
  <c r="BN161" i="2" s="1"/>
  <c r="P161" i="2"/>
  <c r="BO160" i="2"/>
  <c r="BM160" i="2"/>
  <c r="Z160" i="2"/>
  <c r="Y160" i="2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Y154" i="2"/>
  <c r="P154" i="2"/>
  <c r="BO153" i="2"/>
  <c r="BM153" i="2"/>
  <c r="Z153" i="2"/>
  <c r="Y153" i="2"/>
  <c r="BP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BO140" i="2"/>
  <c r="BM140" i="2"/>
  <c r="Z140" i="2"/>
  <c r="Y140" i="2"/>
  <c r="BP140" i="2" s="1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P134" i="2"/>
  <c r="BO133" i="2"/>
  <c r="BM133" i="2"/>
  <c r="Z133" i="2"/>
  <c r="Y133" i="2"/>
  <c r="BP133" i="2" s="1"/>
  <c r="P133" i="2"/>
  <c r="X131" i="2"/>
  <c r="X130" i="2"/>
  <c r="BO129" i="2"/>
  <c r="BM129" i="2"/>
  <c r="Z129" i="2"/>
  <c r="Y129" i="2"/>
  <c r="BP129" i="2" s="1"/>
  <c r="P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BO126" i="2"/>
  <c r="BM126" i="2"/>
  <c r="Z126" i="2"/>
  <c r="Y126" i="2"/>
  <c r="BN126" i="2" s="1"/>
  <c r="P126" i="2"/>
  <c r="X124" i="2"/>
  <c r="X123" i="2"/>
  <c r="BO122" i="2"/>
  <c r="BM122" i="2"/>
  <c r="Z122" i="2"/>
  <c r="Z123" i="2" s="1"/>
  <c r="Y122" i="2"/>
  <c r="Y124" i="2" s="1"/>
  <c r="P122" i="2"/>
  <c r="X119" i="2"/>
  <c r="X118" i="2"/>
  <c r="BO117" i="2"/>
  <c r="BM117" i="2"/>
  <c r="Z117" i="2"/>
  <c r="Z118" i="2" s="1"/>
  <c r="Y117" i="2"/>
  <c r="Y118" i="2" s="1"/>
  <c r="P117" i="2"/>
  <c r="X115" i="2"/>
  <c r="X114" i="2"/>
  <c r="BO113" i="2"/>
  <c r="BM113" i="2"/>
  <c r="Z113" i="2"/>
  <c r="Z114" i="2" s="1"/>
  <c r="Y113" i="2"/>
  <c r="BN113" i="2" s="1"/>
  <c r="P113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Z107" i="2"/>
  <c r="Y107" i="2"/>
  <c r="BP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X99" i="2"/>
  <c r="X98" i="2"/>
  <c r="BO97" i="2"/>
  <c r="BM97" i="2"/>
  <c r="Z97" i="2"/>
  <c r="Z98" i="2" s="1"/>
  <c r="Y97" i="2"/>
  <c r="BN97" i="2" s="1"/>
  <c r="P97" i="2"/>
  <c r="BO96" i="2"/>
  <c r="BM96" i="2"/>
  <c r="Z96" i="2"/>
  <c r="Y96" i="2"/>
  <c r="BP96" i="2" s="1"/>
  <c r="P96" i="2"/>
  <c r="X93" i="2"/>
  <c r="X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BO87" i="2"/>
  <c r="BM87" i="2"/>
  <c r="Z87" i="2"/>
  <c r="Y87" i="2"/>
  <c r="BP87" i="2" s="1"/>
  <c r="P87" i="2"/>
  <c r="BO86" i="2"/>
  <c r="BM86" i="2"/>
  <c r="Z86" i="2"/>
  <c r="Y86" i="2"/>
  <c r="BN86" i="2" s="1"/>
  <c r="P86" i="2"/>
  <c r="BO85" i="2"/>
  <c r="BM85" i="2"/>
  <c r="Z85" i="2"/>
  <c r="Y85" i="2"/>
  <c r="BP85" i="2" s="1"/>
  <c r="P85" i="2"/>
  <c r="BO84" i="2"/>
  <c r="BM84" i="2"/>
  <c r="Z84" i="2"/>
  <c r="Y84" i="2"/>
  <c r="BP84" i="2" s="1"/>
  <c r="P84" i="2"/>
  <c r="X81" i="2"/>
  <c r="X80" i="2"/>
  <c r="BO79" i="2"/>
  <c r="BM79" i="2"/>
  <c r="Z79" i="2"/>
  <c r="Y79" i="2"/>
  <c r="BP79" i="2" s="1"/>
  <c r="P79" i="2"/>
  <c r="BO78" i="2"/>
  <c r="BN78" i="2"/>
  <c r="BM78" i="2"/>
  <c r="Z78" i="2"/>
  <c r="Y78" i="2"/>
  <c r="P78" i="2"/>
  <c r="X75" i="2"/>
  <c r="X74" i="2"/>
  <c r="BO73" i="2"/>
  <c r="BM73" i="2"/>
  <c r="Z73" i="2"/>
  <c r="Z74" i="2" s="1"/>
  <c r="Y73" i="2"/>
  <c r="Y74" i="2" s="1"/>
  <c r="P73" i="2"/>
  <c r="X70" i="2"/>
  <c r="X69" i="2"/>
  <c r="BO68" i="2"/>
  <c r="BM68" i="2"/>
  <c r="Z68" i="2"/>
  <c r="Z69" i="2" s="1"/>
  <c r="Y68" i="2"/>
  <c r="BP68" i="2" s="1"/>
  <c r="P68" i="2"/>
  <c r="BO67" i="2"/>
  <c r="BM67" i="2"/>
  <c r="Z67" i="2"/>
  <c r="Y67" i="2"/>
  <c r="P67" i="2"/>
  <c r="X64" i="2"/>
  <c r="X63" i="2"/>
  <c r="BO62" i="2"/>
  <c r="BM62" i="2"/>
  <c r="Z62" i="2"/>
  <c r="Y62" i="2"/>
  <c r="BP62" i="2" s="1"/>
  <c r="P62" i="2"/>
  <c r="BO61" i="2"/>
  <c r="BM61" i="2"/>
  <c r="Z61" i="2"/>
  <c r="Y61" i="2"/>
  <c r="BN61" i="2" s="1"/>
  <c r="P61" i="2"/>
  <c r="BO60" i="2"/>
  <c r="BM60" i="2"/>
  <c r="Z60" i="2"/>
  <c r="Y60" i="2"/>
  <c r="P60" i="2"/>
  <c r="BO59" i="2"/>
  <c r="BM59" i="2"/>
  <c r="Z59" i="2"/>
  <c r="Y59" i="2"/>
  <c r="BP59" i="2" s="1"/>
  <c r="P59" i="2"/>
  <c r="X56" i="2"/>
  <c r="X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BN39" i="2" s="1"/>
  <c r="P39" i="2"/>
  <c r="BO38" i="2"/>
  <c r="BM38" i="2"/>
  <c r="Z38" i="2"/>
  <c r="Z40" i="2" s="1"/>
  <c r="Y38" i="2"/>
  <c r="BN38" i="2" s="1"/>
  <c r="P38" i="2"/>
  <c r="X35" i="2"/>
  <c r="X34" i="2"/>
  <c r="BO33" i="2"/>
  <c r="BM33" i="2"/>
  <c r="Z33" i="2"/>
  <c r="Z34" i="2" s="1"/>
  <c r="Y33" i="2"/>
  <c r="BN33" i="2" s="1"/>
  <c r="P33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N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BN62" i="2" l="1"/>
  <c r="Y149" i="2"/>
  <c r="Z156" i="2"/>
  <c r="Y69" i="2"/>
  <c r="BN68" i="2"/>
  <c r="BP52" i="2"/>
  <c r="BN153" i="2"/>
  <c r="BN257" i="2"/>
  <c r="BP256" i="2"/>
  <c r="BP224" i="2"/>
  <c r="BN224" i="2"/>
  <c r="Z220" i="2"/>
  <c r="Y204" i="2"/>
  <c r="Z203" i="2"/>
  <c r="BP188" i="2"/>
  <c r="Y189" i="2"/>
  <c r="BP182" i="2"/>
  <c r="Y179" i="2"/>
  <c r="Y163" i="2"/>
  <c r="Z149" i="2"/>
  <c r="BP142" i="2"/>
  <c r="BN128" i="2"/>
  <c r="BN106" i="2"/>
  <c r="Z110" i="2"/>
  <c r="BN89" i="2"/>
  <c r="BN88" i="2"/>
  <c r="Z80" i="2"/>
  <c r="Y63" i="2"/>
  <c r="BP51" i="2"/>
  <c r="BP46" i="2"/>
  <c r="Z47" i="2"/>
  <c r="X280" i="2"/>
  <c r="BP25" i="2"/>
  <c r="Z30" i="2"/>
  <c r="H9" i="2"/>
  <c r="Y31" i="2"/>
  <c r="X284" i="2"/>
  <c r="X282" i="2"/>
  <c r="Z55" i="2"/>
  <c r="Y55" i="2"/>
  <c r="BP60" i="2"/>
  <c r="BP126" i="2"/>
  <c r="BN129" i="2"/>
  <c r="BN133" i="2"/>
  <c r="Y137" i="2"/>
  <c r="BN147" i="2"/>
  <c r="Y150" i="2"/>
  <c r="Y157" i="2"/>
  <c r="Z183" i="2"/>
  <c r="Y184" i="2"/>
  <c r="BN199" i="2"/>
  <c r="BN201" i="2"/>
  <c r="Y209" i="2"/>
  <c r="BP236" i="2"/>
  <c r="BN240" i="2"/>
  <c r="Y259" i="2"/>
  <c r="BN261" i="2"/>
  <c r="Y265" i="2"/>
  <c r="BP273" i="2"/>
  <c r="J9" i="2"/>
  <c r="BP23" i="2"/>
  <c r="BP39" i="2"/>
  <c r="Z63" i="2"/>
  <c r="Y81" i="2"/>
  <c r="Z92" i="2"/>
  <c r="BP91" i="2"/>
  <c r="BP103" i="2"/>
  <c r="BP108" i="2"/>
  <c r="BP135" i="2"/>
  <c r="BP213" i="2"/>
  <c r="Y242" i="2"/>
  <c r="X281" i="2"/>
  <c r="BP45" i="2"/>
  <c r="Y48" i="2"/>
  <c r="BP78" i="2"/>
  <c r="BP113" i="2"/>
  <c r="Z136" i="2"/>
  <c r="Z143" i="2"/>
  <c r="BP141" i="2"/>
  <c r="BP147" i="2"/>
  <c r="BP171" i="2"/>
  <c r="BP199" i="2"/>
  <c r="BP208" i="2"/>
  <c r="Y210" i="2"/>
  <c r="Z214" i="2"/>
  <c r="BP219" i="2"/>
  <c r="BP240" i="2"/>
  <c r="BP250" i="2"/>
  <c r="Z264" i="2"/>
  <c r="BP261" i="2"/>
  <c r="BP267" i="2"/>
  <c r="BP275" i="2"/>
  <c r="BP33" i="2"/>
  <c r="BP38" i="2"/>
  <c r="Y47" i="2"/>
  <c r="Y64" i="2"/>
  <c r="Y70" i="2"/>
  <c r="Y75" i="2"/>
  <c r="BN84" i="2"/>
  <c r="BP86" i="2"/>
  <c r="Y92" i="2"/>
  <c r="BP97" i="2"/>
  <c r="BP102" i="2"/>
  <c r="BN105" i="2"/>
  <c r="BP117" i="2"/>
  <c r="Y119" i="2"/>
  <c r="Z130" i="2"/>
  <c r="BN148" i="2"/>
  <c r="BN154" i="2"/>
  <c r="Y156" i="2"/>
  <c r="Z162" i="2"/>
  <c r="BP161" i="2"/>
  <c r="Y178" i="2"/>
  <c r="Y183" i="2"/>
  <c r="Z189" i="2"/>
  <c r="Y190" i="2"/>
  <c r="Y195" i="2"/>
  <c r="Y226" i="2"/>
  <c r="BP262" i="2"/>
  <c r="Z278" i="2"/>
  <c r="BP270" i="2"/>
  <c r="BP276" i="2"/>
  <c r="Y167" i="2"/>
  <c r="BP193" i="2"/>
  <c r="BP277" i="2"/>
  <c r="Y56" i="2"/>
  <c r="Y93" i="2"/>
  <c r="Y143" i="2"/>
  <c r="BP154" i="2"/>
  <c r="BN181" i="2"/>
  <c r="BN24" i="2"/>
  <c r="Y35" i="2"/>
  <c r="BN87" i="2"/>
  <c r="BN109" i="2"/>
  <c r="Y215" i="2"/>
  <c r="BN263" i="2"/>
  <c r="BN67" i="2"/>
  <c r="Y115" i="2"/>
  <c r="BN127" i="2"/>
  <c r="BP61" i="2"/>
  <c r="BN73" i="2"/>
  <c r="BP122" i="2"/>
  <c r="Y144" i="2"/>
  <c r="BP187" i="2"/>
  <c r="BN200" i="2"/>
  <c r="Y203" i="2"/>
  <c r="BP230" i="2"/>
  <c r="BP246" i="2"/>
  <c r="BP263" i="2"/>
  <c r="BN27" i="2"/>
  <c r="BN53" i="2"/>
  <c r="BP67" i="2"/>
  <c r="BN79" i="2"/>
  <c r="BN90" i="2"/>
  <c r="BP104" i="2"/>
  <c r="BN22" i="2"/>
  <c r="BN59" i="2"/>
  <c r="BP73" i="2"/>
  <c r="BN85" i="2"/>
  <c r="BN96" i="2"/>
  <c r="BN107" i="2"/>
  <c r="Y110" i="2"/>
  <c r="Y123" i="2"/>
  <c r="Y131" i="2"/>
  <c r="BN155" i="2"/>
  <c r="BN212" i="2"/>
  <c r="Y231" i="2"/>
  <c r="Y247" i="2"/>
  <c r="Y98" i="2"/>
  <c r="Y172" i="2"/>
  <c r="Y214" i="2"/>
  <c r="F10" i="2"/>
  <c r="Y40" i="2"/>
  <c r="BN134" i="2"/>
  <c r="BN160" i="2"/>
  <c r="Y237" i="2"/>
  <c r="Y251" i="2"/>
  <c r="BN29" i="2"/>
  <c r="BN140" i="2"/>
  <c r="BN268" i="2"/>
  <c r="BN271" i="2"/>
  <c r="BN274" i="2"/>
  <c r="Y99" i="2"/>
  <c r="BN122" i="2"/>
  <c r="BP160" i="2"/>
  <c r="Y173" i="2"/>
  <c r="BP202" i="2"/>
  <c r="BN230" i="2"/>
  <c r="BN246" i="2"/>
  <c r="BP166" i="2"/>
  <c r="BP181" i="2"/>
  <c r="BN193" i="2"/>
  <c r="Y221" i="2"/>
  <c r="Y30" i="2"/>
  <c r="BN177" i="2"/>
  <c r="BN218" i="2"/>
  <c r="BN269" i="2"/>
  <c r="BN272" i="2"/>
  <c r="Y278" i="2"/>
  <c r="A10" i="2"/>
  <c r="Y34" i="2"/>
  <c r="Y114" i="2"/>
  <c r="Y220" i="2"/>
  <c r="BN166" i="2"/>
  <c r="BP134" i="2"/>
  <c r="BN187" i="2"/>
  <c r="Y41" i="2"/>
  <c r="Y130" i="2"/>
  <c r="Y238" i="2"/>
  <c r="Y252" i="2"/>
  <c r="BP22" i="2"/>
  <c r="BN117" i="2"/>
  <c r="Y80" i="2"/>
  <c r="Y111" i="2"/>
  <c r="Y279" i="2"/>
  <c r="BN28" i="2"/>
  <c r="BN54" i="2"/>
  <c r="BN60" i="2"/>
  <c r="Y136" i="2"/>
  <c r="Y162" i="2"/>
  <c r="Z285" i="2" l="1"/>
  <c r="X283" i="2"/>
  <c r="Y280" i="2"/>
  <c r="Y281" i="2"/>
  <c r="Y284" i="2"/>
  <c r="Y282" i="2"/>
  <c r="Y283" i="2" l="1"/>
  <c r="C293" i="2"/>
  <c r="B293" i="2"/>
  <c r="A293" i="2"/>
</calcChain>
</file>

<file path=xl/sharedStrings.xml><?xml version="1.0" encoding="utf-8"?>
<sst xmlns="http://schemas.openxmlformats.org/spreadsheetml/2006/main" count="1791" uniqueCount="426">
  <si>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</si>
  <si>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</si>
  <si>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</si>
  <si>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</si>
  <si>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</si>
  <si>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</si>
  <si>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</si>
  <si>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</si>
  <si>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</si>
  <si>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</si>
  <si>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</si>
  <si>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</si>
  <si>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</si>
  <si>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</si>
  <si>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</si>
  <si>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</si>
  <si>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</si>
  <si>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</si>
  <si>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</si>
  <si>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</si>
  <si>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</si>
  <si>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</si>
  <si>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</si>
  <si>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</si>
  <si>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</si>
  <si>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</si>
  <si>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</si>
  <si>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</si>
  <si>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</si>
  <si>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</si>
  <si>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</si>
  <si>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</si>
  <si>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</si>
  <si>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</si>
  <si>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</si>
  <si>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</si>
  <si>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</si>
  <si>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</si>
  <si>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</si>
  <si>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</si>
  <si>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</si>
  <si>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</si>
  <si>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</si>
  <si>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</si>
  <si>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</si>
  <si>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</si>
  <si>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</si>
  <si>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</si>
  <si>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</si>
  <si>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</si>
  <si>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</si>
  <si>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</si>
  <si>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</si>
  <si>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</si>
  <si>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</si>
  <si>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</si>
  <si>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</si>
  <si>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</si>
  <si>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</si>
  <si>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</si>
  <si>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</si>
  <si>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</si>
  <si>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</si>
  <si>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</si>
  <si>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</si>
  <si>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</si>
  <si>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</si>
  <si>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</si>
  <si>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</si>
  <si>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</si>
  <si>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</si>
  <si>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30.10.2026</t>
  </si>
  <si>
    <t>27.10.2026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</si>
  <si>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</si>
  <si>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</si>
  <si>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</si>
  <si>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</si>
  <si>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</si>
  <si>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</si>
  <si>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</si>
  <si>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</si>
  <si>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</si>
  <si>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</si>
  <si>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</si>
  <si>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</si>
  <si>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</si>
  <si>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</si>
  <si>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</si>
  <si>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</si>
  <si>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</si>
  <si>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</si>
  <si>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</si>
  <si>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</si>
  <si>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</si>
  <si>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</si>
  <si>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</si>
  <si>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</si>
  <si>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</si>
  <si>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</si>
  <si>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</si>
  <si>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</si>
  <si>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</si>
  <si>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</si>
  <si>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</si>
  <si>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</si>
  <si>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</si>
  <si>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</si>
  <si>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</si>
  <si>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</si>
  <si>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</si>
  <si>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</si>
  <si>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</si>
  <si>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</si>
  <si>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</si>
  <si>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</si>
  <si>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</si>
  <si>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</si>
  <si>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</si>
  <si>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</si>
  <si>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</si>
  <si>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</si>
  <si>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</si>
  <si>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</si>
  <si>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</si>
  <si>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</si>
  <si>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</si>
  <si>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</si>
  <si>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</si>
  <si>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</si>
  <si>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</si>
  <si>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</si>
  <si>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</si>
  <si>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</si>
  <si>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</si>
  <si>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</si>
  <si>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</si>
  <si>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</si>
  <si>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</si>
  <si>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</si>
  <si>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</si>
  <si>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</si>
  <si>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</si>
  <si>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</si>
  <si>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</si>
  <si>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</si>
  <si>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</si>
  <si>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</si>
  <si>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</si>
  <si>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</si>
  <si>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</si>
  <si>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</si>
  <si>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</si>
  <si>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</si>
  <si>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</si>
  <si>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</si>
  <si>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</si>
  <si>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</si>
  <si>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</si>
  <si>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</si>
  <si>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</si>
  <si>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</si>
  <si>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</si>
  <si>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</si>
  <si>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</si>
  <si>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</si>
  <si>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</si>
  <si>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</si>
  <si>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</si>
  <si>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</si>
  <si>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</si>
  <si>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</si>
  <si>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</si>
  <si>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</si>
  <si>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</si>
  <si>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</si>
  <si>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</si>
  <si>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</si>
  <si>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</si>
  <si>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</si>
  <si>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</si>
  <si>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</si>
  <si>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</si>
  <si>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</si>
  <si>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</si>
  <si>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</si>
  <si>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</si>
  <si>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</si>
  <si>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</si>
  <si>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</si>
  <si>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</si>
  <si>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</si>
  <si>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</si>
  <si>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</si>
  <si>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</si>
  <si>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</si>
  <si>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</si>
  <si>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</si>
  <si>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</si>
  <si>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</si>
  <si>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</si>
  <si>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</si>
  <si>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</si>
  <si>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</si>
  <si>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</si>
  <si>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</si>
  <si>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</si>
  <si>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</si>
  <si>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</si>
  <si>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</si>
  <si>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</si>
  <si>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</si>
  <si>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</si>
  <si>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</si>
  <si>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</si>
  <si>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</si>
  <si>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</si>
  <si>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</si>
  <si>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</si>
  <si>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</si>
  <si>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</si>
  <si>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</si>
  <si>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</si>
  <si>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</si>
  <si>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</si>
  <si>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</si>
  <si>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</si>
  <si>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</si>
  <si>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</si>
  <si>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</si>
  <si>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</si>
  <si>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</si>
  <si>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</si>
  <si>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</si>
  <si>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</si>
  <si>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</si>
  <si>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</si>
  <si>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</si>
  <si>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</si>
  <si>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</si>
  <si>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</si>
  <si>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</si>
  <si>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</si>
  <si>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</si>
  <si>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</si>
  <si>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</si>
  <si>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</si>
  <si>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</si>
  <si>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</si>
  <si>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</si>
  <si>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</si>
  <si>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</si>
  <si>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</si>
  <si>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</si>
  <si>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SU002430</t>
  </si>
  <si>
    <t>P004638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</si>
  <si>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</si>
  <si>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</si>
  <si>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</si>
  <si>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</si>
  <si>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</si>
  <si>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</si>
  <si>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</si>
  <si>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</si>
  <si>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</si>
  <si>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</si>
  <si>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</si>
  <si>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</si>
  <si>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SU004217</t>
  </si>
  <si>
    <t>P005483</t>
  </si>
  <si>
    <t>SU004219</t>
  </si>
  <si>
    <t>P005485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</si>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</sst>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74" t="s">
        <v>26</v>
      </c>
      <c r="E1" s="474"/>
      <c r="F1" s="474"/>
      <c r="G1" s="14" t="s">
        <v>70</v>
      </c>
      <c r="H1" s="474" t="s">
        <v>47</v>
      </c>
      <c r="I1" s="474"/>
      <c r="J1" s="474"/>
      <c r="K1" s="474"/>
      <c r="L1" s="474"/>
      <c r="M1" s="474"/>
      <c r="N1" s="474"/>
      <c r="O1" s="474"/>
      <c r="P1" s="474"/>
      <c r="Q1" s="474"/>
      <c r="R1" s="475" t="s">
        <v>71</v>
      </c>
      <c r="S1" s="476"/>
      <c r="T1" s="47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7"/>
      <c r="R2" s="477"/>
      <c r="S2" s="477"/>
      <c r="T2" s="477"/>
      <c r="U2" s="477"/>
      <c r="V2" s="477"/>
      <c r="W2" s="47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7"/>
      <c r="Q3" s="477"/>
      <c r="R3" s="477"/>
      <c r="S3" s="477"/>
      <c r="T3" s="477"/>
      <c r="U3" s="477"/>
      <c r="V3" s="477"/>
      <c r="W3" s="47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6" t="s">
        <v>8</v>
      </c>
      <c r="B5" s="456"/>
      <c r="C5" s="456"/>
      <c r="D5" s="478"/>
      <c r="E5" s="478"/>
      <c r="F5" s="479" t="s">
        <v>14</v>
      </c>
      <c r="G5" s="479"/>
      <c r="H5" s="478"/>
      <c r="I5" s="478"/>
      <c r="J5" s="478"/>
      <c r="K5" s="478"/>
      <c r="L5" s="478"/>
      <c r="M5" s="478"/>
      <c r="N5" s="75"/>
      <c r="P5" s="27" t="s">
        <v>4</v>
      </c>
      <c r="Q5" s="480">
        <v>46327</v>
      </c>
      <c r="R5" s="480"/>
      <c r="T5" s="481" t="s">
        <v>3</v>
      </c>
      <c r="U5" s="482"/>
      <c r="V5" s="483" t="s">
        <v>412</v>
      </c>
      <c r="W5" s="484"/>
      <c r="AB5" s="59"/>
      <c r="AC5" s="59"/>
      <c r="AD5" s="59"/>
      <c r="AE5" s="59"/>
    </row>
    <row r="6" spans="1:32" s="17" customFormat="1" ht="24" customHeight="1" x14ac:dyDescent="0.2">
      <c r="A6" s="456" t="s">
        <v>1</v>
      </c>
      <c r="B6" s="456"/>
      <c r="C6" s="456"/>
      <c r="D6" s="457" t="s">
        <v>79</v>
      </c>
      <c r="E6" s="457"/>
      <c r="F6" s="457"/>
      <c r="G6" s="457"/>
      <c r="H6" s="457"/>
      <c r="I6" s="457"/>
      <c r="J6" s="457"/>
      <c r="K6" s="457"/>
      <c r="L6" s="457"/>
      <c r="M6" s="457"/>
      <c r="N6" s="76"/>
      <c r="P6" s="27" t="s">
        <v>27</v>
      </c>
      <c r="Q6" s="458" t="str">
        <f>IF(Q5=0," ",CHOOSE(WEEKDAY(Q5,2),"Понедельник","Вторник","Среда","Четверг","Пятница","Суббота","Воскресенье"))</f>
        <v>Воскресенье</v>
      </c>
      <c r="R6" s="458"/>
      <c r="T6" s="459" t="s">
        <v>5</v>
      </c>
      <c r="U6" s="460"/>
      <c r="V6" s="461" t="s">
        <v>73</v>
      </c>
      <c r="W6" s="46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7" t="str">
        <f>IFERROR(VLOOKUP(DeliveryAddress,Table,3,0),1)</f>
        <v>1</v>
      </c>
      <c r="E7" s="468"/>
      <c r="F7" s="468"/>
      <c r="G7" s="468"/>
      <c r="H7" s="468"/>
      <c r="I7" s="468"/>
      <c r="J7" s="468"/>
      <c r="K7" s="468"/>
      <c r="L7" s="468"/>
      <c r="M7" s="469"/>
      <c r="N7" s="77"/>
      <c r="P7" s="29"/>
      <c r="Q7" s="48"/>
      <c r="R7" s="48"/>
      <c r="T7" s="459"/>
      <c r="U7" s="460"/>
      <c r="V7" s="463"/>
      <c r="W7" s="464"/>
      <c r="AB7" s="59"/>
      <c r="AC7" s="59"/>
      <c r="AD7" s="59"/>
      <c r="AE7" s="59"/>
    </row>
    <row r="8" spans="1:32" s="17" customFormat="1" ht="25.5" customHeight="1" x14ac:dyDescent="0.2">
      <c r="A8" s="470" t="s">
        <v>58</v>
      </c>
      <c r="B8" s="470"/>
      <c r="C8" s="470"/>
      <c r="D8" s="471" t="s">
        <v>80</v>
      </c>
      <c r="E8" s="471"/>
      <c r="F8" s="471"/>
      <c r="G8" s="471"/>
      <c r="H8" s="471"/>
      <c r="I8" s="471"/>
      <c r="J8" s="471"/>
      <c r="K8" s="471"/>
      <c r="L8" s="471"/>
      <c r="M8" s="471"/>
      <c r="N8" s="78"/>
      <c r="P8" s="27" t="s">
        <v>11</v>
      </c>
      <c r="Q8" s="454">
        <v>4.1666666666666664E-2</v>
      </c>
      <c r="R8" s="454"/>
      <c r="T8" s="459"/>
      <c r="U8" s="460"/>
      <c r="V8" s="463"/>
      <c r="W8" s="464"/>
      <c r="AB8" s="59"/>
      <c r="AC8" s="59"/>
      <c r="AD8" s="59"/>
      <c r="AE8" s="59"/>
    </row>
    <row r="9" spans="1:32" s="17" customFormat="1" ht="39.950000000000003" customHeight="1" x14ac:dyDescent="0.2">
      <c r="A9" s="44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6"/>
      <c r="C9" s="446"/>
      <c r="D9" s="447" t="s">
        <v>46</v>
      </c>
      <c r="E9" s="448"/>
      <c r="F9" s="44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6"/>
      <c r="H9" s="472" t="str">
        <f>IF(AND($A$9="Тип доверенности/получателя при получении в адресе перегруза:",$D$9="Разовая доверенность"),"Введите ФИО","")</f>
        <v/>
      </c>
      <c r="I9" s="472"/>
      <c r="J9" s="4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72"/>
      <c r="L9" s="472"/>
      <c r="M9" s="472"/>
      <c r="N9" s="73"/>
      <c r="P9" s="31" t="s">
        <v>15</v>
      </c>
      <c r="Q9" s="473"/>
      <c r="R9" s="473"/>
      <c r="T9" s="459"/>
      <c r="U9" s="460"/>
      <c r="V9" s="465"/>
      <c r="W9" s="46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6"/>
      <c r="C10" s="446"/>
      <c r="D10" s="447"/>
      <c r="E10" s="448"/>
      <c r="F10" s="44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6"/>
      <c r="H10" s="449" t="str">
        <f>IFERROR(VLOOKUP($D$10,Proxy,2,FALSE),"")</f>
        <v/>
      </c>
      <c r="I10" s="449"/>
      <c r="J10" s="449"/>
      <c r="K10" s="449"/>
      <c r="L10" s="449"/>
      <c r="M10" s="449"/>
      <c r="N10" s="74"/>
      <c r="P10" s="31" t="s">
        <v>32</v>
      </c>
      <c r="Q10" s="450"/>
      <c r="R10" s="450"/>
      <c r="U10" s="29" t="s">
        <v>12</v>
      </c>
      <c r="V10" s="451" t="s">
        <v>74</v>
      </c>
      <c r="W10" s="4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53"/>
      <c r="R11" s="453"/>
      <c r="U11" s="29" t="s">
        <v>28</v>
      </c>
      <c r="V11" s="432" t="s">
        <v>55</v>
      </c>
      <c r="W11" s="43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31" t="s">
        <v>75</v>
      </c>
      <c r="B12" s="431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79"/>
      <c r="P12" s="27" t="s">
        <v>30</v>
      </c>
      <c r="Q12" s="454"/>
      <c r="R12" s="454"/>
      <c r="S12" s="28"/>
      <c r="T12"/>
      <c r="U12" s="29" t="s">
        <v>46</v>
      </c>
      <c r="V12" s="455"/>
      <c r="W12" s="455"/>
      <c r="X12"/>
      <c r="AB12" s="59"/>
      <c r="AC12" s="59"/>
      <c r="AD12" s="59"/>
      <c r="AE12" s="59"/>
    </row>
    <row r="13" spans="1:32" s="17" customFormat="1" ht="23.25" customHeight="1" x14ac:dyDescent="0.2">
      <c r="A13" s="431" t="s">
        <v>76</v>
      </c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79"/>
      <c r="O13" s="31"/>
      <c r="P13" s="31" t="s">
        <v>31</v>
      </c>
      <c r="Q13" s="432"/>
      <c r="R13" s="43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31" t="s">
        <v>77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33" t="s">
        <v>78</v>
      </c>
      <c r="B15" s="433"/>
      <c r="C15" s="433"/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80"/>
      <c r="O15"/>
      <c r="P15" s="434" t="s">
        <v>61</v>
      </c>
      <c r="Q15" s="434"/>
      <c r="R15" s="434"/>
      <c r="S15" s="434"/>
      <c r="T15" s="43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35"/>
      <c r="Q16" s="435"/>
      <c r="R16" s="435"/>
      <c r="S16" s="435"/>
      <c r="T16" s="43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7" t="s">
        <v>59</v>
      </c>
      <c r="B17" s="417" t="s">
        <v>49</v>
      </c>
      <c r="C17" s="438" t="s">
        <v>48</v>
      </c>
      <c r="D17" s="440" t="s">
        <v>50</v>
      </c>
      <c r="E17" s="441"/>
      <c r="F17" s="417" t="s">
        <v>21</v>
      </c>
      <c r="G17" s="417" t="s">
        <v>24</v>
      </c>
      <c r="H17" s="417" t="s">
        <v>22</v>
      </c>
      <c r="I17" s="417" t="s">
        <v>23</v>
      </c>
      <c r="J17" s="417" t="s">
        <v>16</v>
      </c>
      <c r="K17" s="417" t="s">
        <v>69</v>
      </c>
      <c r="L17" s="417" t="s">
        <v>67</v>
      </c>
      <c r="M17" s="417" t="s">
        <v>2</v>
      </c>
      <c r="N17" s="417" t="s">
        <v>66</v>
      </c>
      <c r="O17" s="417" t="s">
        <v>25</v>
      </c>
      <c r="P17" s="440" t="s">
        <v>17</v>
      </c>
      <c r="Q17" s="444"/>
      <c r="R17" s="444"/>
      <c r="S17" s="444"/>
      <c r="T17" s="441"/>
      <c r="U17" s="436" t="s">
        <v>56</v>
      </c>
      <c r="V17" s="437"/>
      <c r="W17" s="417" t="s">
        <v>6</v>
      </c>
      <c r="X17" s="417" t="s">
        <v>41</v>
      </c>
      <c r="Y17" s="419" t="s">
        <v>54</v>
      </c>
      <c r="Z17" s="421" t="s">
        <v>18</v>
      </c>
      <c r="AA17" s="423" t="s">
        <v>60</v>
      </c>
      <c r="AB17" s="423" t="s">
        <v>19</v>
      </c>
      <c r="AC17" s="423" t="s">
        <v>68</v>
      </c>
      <c r="AD17" s="425" t="s">
        <v>57</v>
      </c>
      <c r="AE17" s="426"/>
      <c r="AF17" s="427"/>
      <c r="AG17" s="85"/>
      <c r="BD17" s="84" t="s">
        <v>64</v>
      </c>
    </row>
    <row r="18" spans="1:68" ht="14.25" customHeight="1" x14ac:dyDescent="0.2">
      <c r="A18" s="418"/>
      <c r="B18" s="418"/>
      <c r="C18" s="439"/>
      <c r="D18" s="442"/>
      <c r="E18" s="443"/>
      <c r="F18" s="418"/>
      <c r="G18" s="418"/>
      <c r="H18" s="418"/>
      <c r="I18" s="418"/>
      <c r="J18" s="418"/>
      <c r="K18" s="418"/>
      <c r="L18" s="418"/>
      <c r="M18" s="418"/>
      <c r="N18" s="418"/>
      <c r="O18" s="418"/>
      <c r="P18" s="442"/>
      <c r="Q18" s="445"/>
      <c r="R18" s="445"/>
      <c r="S18" s="445"/>
      <c r="T18" s="443"/>
      <c r="U18" s="86" t="s">
        <v>44</v>
      </c>
      <c r="V18" s="86" t="s">
        <v>43</v>
      </c>
      <c r="W18" s="418"/>
      <c r="X18" s="418"/>
      <c r="Y18" s="420"/>
      <c r="Z18" s="422"/>
      <c r="AA18" s="424"/>
      <c r="AB18" s="424"/>
      <c r="AC18" s="424"/>
      <c r="AD18" s="428"/>
      <c r="AE18" s="429"/>
      <c r="AF18" s="430"/>
      <c r="AG18" s="85"/>
      <c r="BD18" s="84"/>
    </row>
    <row r="19" spans="1:68" ht="27.75" hidden="1" customHeight="1" x14ac:dyDescent="0.2">
      <c r="A19" s="326" t="s">
        <v>81</v>
      </c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54"/>
      <c r="AB19" s="54"/>
      <c r="AC19" s="54"/>
    </row>
    <row r="20" spans="1:68" ht="16.5" hidden="1" customHeight="1" x14ac:dyDescent="0.25">
      <c r="A20" s="327" t="s">
        <v>81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65"/>
      <c r="AB20" s="65"/>
      <c r="AC20" s="82"/>
    </row>
    <row r="21" spans="1:68" ht="14.25" hidden="1" customHeight="1" x14ac:dyDescent="0.25">
      <c r="A21" s="318" t="s">
        <v>82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9">
        <v>4620207491508</v>
      </c>
      <c r="E22" s="29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1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9">
        <v>4620207491256</v>
      </c>
      <c r="E23" s="29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1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9">
        <v>4620207491713</v>
      </c>
      <c r="E24" s="29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1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9">
        <v>4620207491720</v>
      </c>
      <c r="E25" s="29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9">
        <v>4607111035912</v>
      </c>
      <c r="E26" s="29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9">
        <v>4607111035929</v>
      </c>
      <c r="E27" s="29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9">
        <v>4607111035882</v>
      </c>
      <c r="E28" s="29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1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9">
        <v>4607111035905</v>
      </c>
      <c r="E29" s="29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1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8"/>
      <c r="P30" s="304" t="s">
        <v>40</v>
      </c>
      <c r="Q30" s="305"/>
      <c r="R30" s="305"/>
      <c r="S30" s="305"/>
      <c r="T30" s="305"/>
      <c r="U30" s="305"/>
      <c r="V30" s="306"/>
      <c r="W30" s="42" t="s">
        <v>39</v>
      </c>
      <c r="X30" s="43">
        <f>IFERROR(SUM(X22:X29),"0")</f>
        <v>24</v>
      </c>
      <c r="Y30" s="43">
        <f>IFERROR(SUM(Y22:Y29),"0")</f>
        <v>24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8"/>
      <c r="P31" s="304" t="s">
        <v>40</v>
      </c>
      <c r="Q31" s="305"/>
      <c r="R31" s="305"/>
      <c r="S31" s="305"/>
      <c r="T31" s="305"/>
      <c r="U31" s="305"/>
      <c r="V31" s="306"/>
      <c r="W31" s="42" t="s">
        <v>0</v>
      </c>
      <c r="X31" s="43">
        <f>IFERROR(SUMPRODUCT(X22:X29*H22:H29),"0")</f>
        <v>163.20000000000002</v>
      </c>
      <c r="Y31" s="43">
        <f>IFERROR(SUMPRODUCT(Y22:Y29*H22:H29),"0")</f>
        <v>163.20000000000002</v>
      </c>
      <c r="Z31" s="42"/>
      <c r="AA31" s="67"/>
      <c r="AB31" s="67"/>
      <c r="AC31" s="67"/>
    </row>
    <row r="32" spans="1:68" ht="14.2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299">
        <v>4620207492178</v>
      </c>
      <c r="E33" s="299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407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01"/>
      <c r="R33" s="301"/>
      <c r="S33" s="301"/>
      <c r="T33" s="302"/>
      <c r="U33" s="39" t="s">
        <v>46</v>
      </c>
      <c r="V33" s="39" t="s">
        <v>46</v>
      </c>
      <c r="W33" s="40" t="s">
        <v>39</v>
      </c>
      <c r="X33" s="58">
        <v>96</v>
      </c>
      <c r="Y33" s="55">
        <f>IFERROR(IF(X33="","",X33),"")</f>
        <v>96</v>
      </c>
      <c r="Z33" s="41">
        <f>IFERROR(IF(X33="","",X33*0.0155),"")</f>
        <v>1.488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598.08000000000004</v>
      </c>
      <c r="BN33" s="81">
        <f>IFERROR(Y33*I33,"0")</f>
        <v>598.08000000000004</v>
      </c>
      <c r="BO33" s="81">
        <f>IFERROR(X33/J33,"0")</f>
        <v>1.1428571428571428</v>
      </c>
      <c r="BP33" s="81">
        <f>IFERROR(Y33/J33,"0")</f>
        <v>1.1428571428571428</v>
      </c>
    </row>
    <row r="34" spans="1:68" x14ac:dyDescent="0.2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8"/>
      <c r="P34" s="304" t="s">
        <v>40</v>
      </c>
      <c r="Q34" s="305"/>
      <c r="R34" s="305"/>
      <c r="S34" s="305"/>
      <c r="T34" s="305"/>
      <c r="U34" s="305"/>
      <c r="V34" s="306"/>
      <c r="W34" s="42" t="s">
        <v>39</v>
      </c>
      <c r="X34" s="43">
        <f>IFERROR(SUM(X33:X33),"0")</f>
        <v>96</v>
      </c>
      <c r="Y34" s="43">
        <f>IFERROR(SUM(Y33:Y33),"0")</f>
        <v>96</v>
      </c>
      <c r="Z34" s="43">
        <f>IFERROR(IF(Z33="",0,Z33),"0")</f>
        <v>1.488</v>
      </c>
      <c r="AA34" s="67"/>
      <c r="AB34" s="67"/>
      <c r="AC34" s="67"/>
    </row>
    <row r="35" spans="1:68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8"/>
      <c r="P35" s="304" t="s">
        <v>40</v>
      </c>
      <c r="Q35" s="305"/>
      <c r="R35" s="305"/>
      <c r="S35" s="305"/>
      <c r="T35" s="305"/>
      <c r="U35" s="305"/>
      <c r="V35" s="306"/>
      <c r="W35" s="42" t="s">
        <v>0</v>
      </c>
      <c r="X35" s="43">
        <f>IFERROR(SUMPRODUCT(X33:X33*H33:H33),"0")</f>
        <v>576</v>
      </c>
      <c r="Y35" s="43">
        <f>IFERROR(SUMPRODUCT(Y33:Y33*H33:H33),"0")</f>
        <v>576</v>
      </c>
      <c r="Z35" s="42"/>
      <c r="AA35" s="67"/>
      <c r="AB35" s="67"/>
      <c r="AC35" s="67"/>
    </row>
    <row r="36" spans="1:68" ht="16.5" hidden="1" customHeight="1" x14ac:dyDescent="0.25">
      <c r="A36" s="327" t="s">
        <v>111</v>
      </c>
      <c r="B36" s="327"/>
      <c r="C36" s="327"/>
      <c r="D36" s="327"/>
      <c r="E36" s="327"/>
      <c r="F36" s="327"/>
      <c r="G36" s="327"/>
      <c r="H36" s="327"/>
      <c r="I36" s="327"/>
      <c r="J36" s="327"/>
      <c r="K36" s="327"/>
      <c r="L36" s="327"/>
      <c r="M36" s="327"/>
      <c r="N36" s="327"/>
      <c r="O36" s="327"/>
      <c r="P36" s="327"/>
      <c r="Q36" s="327"/>
      <c r="R36" s="327"/>
      <c r="S36" s="327"/>
      <c r="T36" s="327"/>
      <c r="U36" s="327"/>
      <c r="V36" s="327"/>
      <c r="W36" s="327"/>
      <c r="X36" s="327"/>
      <c r="Y36" s="327"/>
      <c r="Z36" s="327"/>
      <c r="AA36" s="65"/>
      <c r="AB36" s="65"/>
      <c r="AC36" s="82"/>
    </row>
    <row r="37" spans="1:68" ht="14.25" hidden="1" customHeight="1" x14ac:dyDescent="0.25">
      <c r="A37" s="318" t="s">
        <v>82</v>
      </c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299">
        <v>4607111039019</v>
      </c>
      <c r="E38" s="299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40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01"/>
      <c r="R38" s="301"/>
      <c r="S38" s="301"/>
      <c r="T38" s="302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299">
        <v>4607111038708</v>
      </c>
      <c r="E39" s="299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40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01"/>
      <c r="R39" s="301"/>
      <c r="S39" s="301"/>
      <c r="T39" s="30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8"/>
      <c r="P40" s="304" t="s">
        <v>40</v>
      </c>
      <c r="Q40" s="305"/>
      <c r="R40" s="305"/>
      <c r="S40" s="305"/>
      <c r="T40" s="305"/>
      <c r="U40" s="305"/>
      <c r="V40" s="306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8"/>
      <c r="P41" s="304" t="s">
        <v>40</v>
      </c>
      <c r="Q41" s="305"/>
      <c r="R41" s="305"/>
      <c r="S41" s="305"/>
      <c r="T41" s="305"/>
      <c r="U41" s="305"/>
      <c r="V41" s="306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26" t="s">
        <v>45</v>
      </c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54"/>
      <c r="AB42" s="54"/>
      <c r="AC42" s="54"/>
    </row>
    <row r="43" spans="1:68" ht="16.5" hidden="1" customHeight="1" x14ac:dyDescent="0.25">
      <c r="A43" s="327" t="s">
        <v>117</v>
      </c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  <c r="V43" s="327"/>
      <c r="W43" s="327"/>
      <c r="X43" s="327"/>
      <c r="Y43" s="327"/>
      <c r="Z43" s="327"/>
      <c r="AA43" s="65"/>
      <c r="AB43" s="65"/>
      <c r="AC43" s="82"/>
    </row>
    <row r="44" spans="1:68" ht="14.25" hidden="1" customHeight="1" x14ac:dyDescent="0.25">
      <c r="A44" s="318" t="s">
        <v>118</v>
      </c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299">
        <v>4607111036537</v>
      </c>
      <c r="E45" s="299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40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01"/>
      <c r="R45" s="301"/>
      <c r="S45" s="301"/>
      <c r="T45" s="302"/>
      <c r="U45" s="39" t="s">
        <v>46</v>
      </c>
      <c r="V45" s="39" t="s">
        <v>46</v>
      </c>
      <c r="W45" s="40" t="s">
        <v>39</v>
      </c>
      <c r="X45" s="58">
        <v>126</v>
      </c>
      <c r="Y45" s="55">
        <f>IFERROR(IF(X45="","",X45),"")</f>
        <v>126</v>
      </c>
      <c r="Z45" s="41">
        <f>IFERROR(IF(X45="","",X45*0.00941),"")</f>
        <v>1.1856599999999999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242.14679999999998</v>
      </c>
      <c r="BN45" s="81">
        <f>IFERROR(Y45*I45,"0")</f>
        <v>242.14679999999998</v>
      </c>
      <c r="BO45" s="81">
        <f>IFERROR(X45/J45,"0")</f>
        <v>0.9</v>
      </c>
      <c r="BP45" s="81">
        <f>IFERROR(Y45/J45,"0")</f>
        <v>0.9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299">
        <v>4607111036605</v>
      </c>
      <c r="E46" s="299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01"/>
      <c r="R46" s="301"/>
      <c r="S46" s="301"/>
      <c r="T46" s="302"/>
      <c r="U46" s="39" t="s">
        <v>46</v>
      </c>
      <c r="V46" s="39" t="s">
        <v>46</v>
      </c>
      <c r="W46" s="40" t="s">
        <v>39</v>
      </c>
      <c r="X46" s="58">
        <v>28</v>
      </c>
      <c r="Y46" s="55">
        <f>IFERROR(IF(X46="","",X46),"")</f>
        <v>28</v>
      </c>
      <c r="Z46" s="41">
        <f>IFERROR(IF(X46="","",X46*0.00941),"")</f>
        <v>0.26347999999999999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53.810400000000001</v>
      </c>
      <c r="BN46" s="81">
        <f>IFERROR(Y46*I46,"0")</f>
        <v>53.810400000000001</v>
      </c>
      <c r="BO46" s="81">
        <f>IFERROR(X46/J46,"0")</f>
        <v>0.2</v>
      </c>
      <c r="BP46" s="81">
        <f>IFERROR(Y46/J46,"0")</f>
        <v>0.2</v>
      </c>
    </row>
    <row r="47" spans="1:68" x14ac:dyDescent="0.2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8"/>
      <c r="P47" s="304" t="s">
        <v>40</v>
      </c>
      <c r="Q47" s="305"/>
      <c r="R47" s="305"/>
      <c r="S47" s="305"/>
      <c r="T47" s="305"/>
      <c r="U47" s="305"/>
      <c r="V47" s="306"/>
      <c r="W47" s="42" t="s">
        <v>39</v>
      </c>
      <c r="X47" s="43">
        <f>IFERROR(SUM(X45:X46),"0")</f>
        <v>154</v>
      </c>
      <c r="Y47" s="43">
        <f>IFERROR(SUM(Y45:Y46),"0")</f>
        <v>154</v>
      </c>
      <c r="Z47" s="43">
        <f>IFERROR(IF(Z45="",0,Z45),"0")+IFERROR(IF(Z46="",0,Z46),"0")</f>
        <v>1.4491399999999999</v>
      </c>
      <c r="AA47" s="67"/>
      <c r="AB47" s="67"/>
      <c r="AC47" s="67"/>
    </row>
    <row r="48" spans="1:68" x14ac:dyDescent="0.2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8"/>
      <c r="P48" s="304" t="s">
        <v>40</v>
      </c>
      <c r="Q48" s="305"/>
      <c r="R48" s="305"/>
      <c r="S48" s="305"/>
      <c r="T48" s="305"/>
      <c r="U48" s="305"/>
      <c r="V48" s="306"/>
      <c r="W48" s="42" t="s">
        <v>0</v>
      </c>
      <c r="X48" s="43">
        <f>IFERROR(SUMPRODUCT(X45:X46*H45:H46),"0")</f>
        <v>231</v>
      </c>
      <c r="Y48" s="43">
        <f>IFERROR(SUMPRODUCT(Y45:Y46*H45:H46),"0")</f>
        <v>231</v>
      </c>
      <c r="Z48" s="42"/>
      <c r="AA48" s="67"/>
      <c r="AB48" s="67"/>
      <c r="AC48" s="67"/>
    </row>
    <row r="49" spans="1:68" ht="16.5" hidden="1" customHeight="1" x14ac:dyDescent="0.25">
      <c r="A49" s="327" t="s">
        <v>128</v>
      </c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65"/>
      <c r="AB49" s="65"/>
      <c r="AC49" s="82"/>
    </row>
    <row r="50" spans="1:68" ht="14.25" hidden="1" customHeight="1" x14ac:dyDescent="0.25">
      <c r="A50" s="318" t="s">
        <v>82</v>
      </c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4301071044</v>
      </c>
      <c r="D51" s="299">
        <v>4607111039385</v>
      </c>
      <c r="E51" s="299"/>
      <c r="F51" s="62">
        <v>0.7</v>
      </c>
      <c r="G51" s="37">
        <v>10</v>
      </c>
      <c r="H51" s="62">
        <v>7</v>
      </c>
      <c r="I51" s="62">
        <v>7.3</v>
      </c>
      <c r="J51" s="37">
        <v>84</v>
      </c>
      <c r="K51" s="37" t="s">
        <v>87</v>
      </c>
      <c r="L51" s="37" t="s">
        <v>124</v>
      </c>
      <c r="M51" s="38" t="s">
        <v>86</v>
      </c>
      <c r="N51" s="38"/>
      <c r="O51" s="37">
        <v>180</v>
      </c>
      <c r="P51" s="40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301"/>
      <c r="R51" s="301"/>
      <c r="S51" s="301"/>
      <c r="T51" s="302"/>
      <c r="U51" s="39" t="s">
        <v>46</v>
      </c>
      <c r="V51" s="39" t="s">
        <v>46</v>
      </c>
      <c r="W51" s="40" t="s">
        <v>39</v>
      </c>
      <c r="X51" s="58">
        <v>120</v>
      </c>
      <c r="Y51" s="55">
        <f>IFERROR(IF(X51="","",X51),"")</f>
        <v>120</v>
      </c>
      <c r="Z51" s="41">
        <f>IFERROR(IF(X51="","",X51*0.0155),"")</f>
        <v>1.8599999999999999</v>
      </c>
      <c r="AA51" s="68" t="s">
        <v>46</v>
      </c>
      <c r="AB51" s="69" t="s">
        <v>46</v>
      </c>
      <c r="AC51" s="115" t="s">
        <v>131</v>
      </c>
      <c r="AG51" s="81"/>
      <c r="AJ51" s="87" t="s">
        <v>125</v>
      </c>
      <c r="AK51" s="87">
        <v>12</v>
      </c>
      <c r="BB51" s="116" t="s">
        <v>70</v>
      </c>
      <c r="BM51" s="81">
        <f>IFERROR(X51*I51,"0")</f>
        <v>876</v>
      </c>
      <c r="BN51" s="81">
        <f>IFERROR(Y51*I51,"0")</f>
        <v>876</v>
      </c>
      <c r="BO51" s="81">
        <f>IFERROR(X51/J51,"0")</f>
        <v>1.4285714285714286</v>
      </c>
      <c r="BP51" s="81">
        <f>IFERROR(Y51/J51,"0")</f>
        <v>1.4285714285714286</v>
      </c>
    </row>
    <row r="52" spans="1:68" ht="27" customHeight="1" x14ac:dyDescent="0.25">
      <c r="A52" s="63" t="s">
        <v>132</v>
      </c>
      <c r="B52" s="63" t="s">
        <v>133</v>
      </c>
      <c r="C52" s="36">
        <v>4301071031</v>
      </c>
      <c r="D52" s="299">
        <v>4607111038982</v>
      </c>
      <c r="E52" s="299"/>
      <c r="F52" s="62">
        <v>0.7</v>
      </c>
      <c r="G52" s="37">
        <v>10</v>
      </c>
      <c r="H52" s="62">
        <v>7</v>
      </c>
      <c r="I52" s="62">
        <v>7.2859999999999996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40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301"/>
      <c r="R52" s="301"/>
      <c r="S52" s="301"/>
      <c r="T52" s="302"/>
      <c r="U52" s="39" t="s">
        <v>46</v>
      </c>
      <c r="V52" s="39" t="s">
        <v>46</v>
      </c>
      <c r="W52" s="40" t="s">
        <v>39</v>
      </c>
      <c r="X52" s="58">
        <v>84</v>
      </c>
      <c r="Y52" s="55">
        <f>IFERROR(IF(X52="","",X52),"")</f>
        <v>84</v>
      </c>
      <c r="Z52" s="41">
        <f>IFERROR(IF(X52="","",X52*0.0155),"")</f>
        <v>1.302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612.024</v>
      </c>
      <c r="BN52" s="81">
        <f>IFERROR(Y52*I52,"0")</f>
        <v>612.024</v>
      </c>
      <c r="BO52" s="81">
        <f>IFERROR(X52/J52,"0")</f>
        <v>1</v>
      </c>
      <c r="BP52" s="81">
        <f>IFERROR(Y52/J52,"0")</f>
        <v>1</v>
      </c>
    </row>
    <row r="53" spans="1:68" ht="27" customHeight="1" x14ac:dyDescent="0.25">
      <c r="A53" s="63" t="s">
        <v>135</v>
      </c>
      <c r="B53" s="63" t="s">
        <v>136</v>
      </c>
      <c r="C53" s="36">
        <v>4301071046</v>
      </c>
      <c r="D53" s="299">
        <v>4607111039354</v>
      </c>
      <c r="E53" s="299"/>
      <c r="F53" s="62">
        <v>0.4</v>
      </c>
      <c r="G53" s="37">
        <v>16</v>
      </c>
      <c r="H53" s="62">
        <v>6.4</v>
      </c>
      <c r="I53" s="62">
        <v>6.7195999999999998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40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301"/>
      <c r="R53" s="301"/>
      <c r="S53" s="301"/>
      <c r="T53" s="302"/>
      <c r="U53" s="39" t="s">
        <v>46</v>
      </c>
      <c r="V53" s="39" t="s">
        <v>46</v>
      </c>
      <c r="W53" s="40" t="s">
        <v>39</v>
      </c>
      <c r="X53" s="58">
        <v>12</v>
      </c>
      <c r="Y53" s="55">
        <f>IFERROR(IF(X53="","",X53),"")</f>
        <v>12</v>
      </c>
      <c r="Z53" s="41">
        <f>IFERROR(IF(X53="","",X53*0.0155),"")</f>
        <v>0.186</v>
      </c>
      <c r="AA53" s="68" t="s">
        <v>46</v>
      </c>
      <c r="AB53" s="69" t="s">
        <v>46</v>
      </c>
      <c r="AC53" s="119" t="s">
        <v>134</v>
      </c>
      <c r="AG53" s="81"/>
      <c r="AJ53" s="87" t="s">
        <v>125</v>
      </c>
      <c r="AK53" s="87">
        <v>12</v>
      </c>
      <c r="BB53" s="120" t="s">
        <v>70</v>
      </c>
      <c r="BM53" s="81">
        <f>IFERROR(X53*I53,"0")</f>
        <v>80.635199999999998</v>
      </c>
      <c r="BN53" s="81">
        <f>IFERROR(Y53*I53,"0")</f>
        <v>80.635199999999998</v>
      </c>
      <c r="BO53" s="81">
        <f>IFERROR(X53/J53,"0")</f>
        <v>0.14285714285714285</v>
      </c>
      <c r="BP53" s="81">
        <f>IFERROR(Y53/J53,"0")</f>
        <v>0.14285714285714285</v>
      </c>
    </row>
    <row r="54" spans="1:68" ht="27" customHeight="1" x14ac:dyDescent="0.25">
      <c r="A54" s="63" t="s">
        <v>137</v>
      </c>
      <c r="B54" s="63" t="s">
        <v>138</v>
      </c>
      <c r="C54" s="36">
        <v>4301071047</v>
      </c>
      <c r="D54" s="299">
        <v>4607111039330</v>
      </c>
      <c r="E54" s="299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40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301"/>
      <c r="R54" s="301"/>
      <c r="S54" s="301"/>
      <c r="T54" s="302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21" t="s">
        <v>134</v>
      </c>
      <c r="AG54" s="81"/>
      <c r="AJ54" s="87" t="s">
        <v>125</v>
      </c>
      <c r="AK54" s="87">
        <v>12</v>
      </c>
      <c r="BB54" s="122" t="s">
        <v>70</v>
      </c>
      <c r="BM54" s="81">
        <f>IFERROR(X54*I54,"0")</f>
        <v>438</v>
      </c>
      <c r="BN54" s="81">
        <f>IFERROR(Y54*I54,"0")</f>
        <v>438</v>
      </c>
      <c r="BO54" s="81">
        <f>IFERROR(X54/J54,"0")</f>
        <v>0.7142857142857143</v>
      </c>
      <c r="BP54" s="81">
        <f>IFERROR(Y54/J54,"0")</f>
        <v>0.7142857142857143</v>
      </c>
    </row>
    <row r="55" spans="1:68" x14ac:dyDescent="0.2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8"/>
      <c r="P55" s="304" t="s">
        <v>40</v>
      </c>
      <c r="Q55" s="305"/>
      <c r="R55" s="305"/>
      <c r="S55" s="305"/>
      <c r="T55" s="305"/>
      <c r="U55" s="305"/>
      <c r="V55" s="306"/>
      <c r="W55" s="42" t="s">
        <v>39</v>
      </c>
      <c r="X55" s="43">
        <f>IFERROR(SUM(X51:X54),"0")</f>
        <v>276</v>
      </c>
      <c r="Y55" s="43">
        <f>IFERROR(SUM(Y51:Y54),"0")</f>
        <v>276</v>
      </c>
      <c r="Z55" s="43">
        <f>IFERROR(IF(Z51="",0,Z51),"0")+IFERROR(IF(Z52="",0,Z52),"0")+IFERROR(IF(Z53="",0,Z53),"0")+IFERROR(IF(Z54="",0,Z54),"0")</f>
        <v>4.2779999999999996</v>
      </c>
      <c r="AA55" s="67"/>
      <c r="AB55" s="67"/>
      <c r="AC55" s="67"/>
    </row>
    <row r="56" spans="1:68" x14ac:dyDescent="0.2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8"/>
      <c r="P56" s="304" t="s">
        <v>40</v>
      </c>
      <c r="Q56" s="305"/>
      <c r="R56" s="305"/>
      <c r="S56" s="305"/>
      <c r="T56" s="305"/>
      <c r="U56" s="305"/>
      <c r="V56" s="306"/>
      <c r="W56" s="42" t="s">
        <v>0</v>
      </c>
      <c r="X56" s="43">
        <f>IFERROR(SUMPRODUCT(X51:X54*H51:H54),"0")</f>
        <v>1924.8</v>
      </c>
      <c r="Y56" s="43">
        <f>IFERROR(SUMPRODUCT(Y51:Y54*H51:H54),"0")</f>
        <v>1924.8</v>
      </c>
      <c r="Z56" s="42"/>
      <c r="AA56" s="67"/>
      <c r="AB56" s="67"/>
      <c r="AC56" s="67"/>
    </row>
    <row r="57" spans="1:68" ht="16.5" hidden="1" customHeight="1" x14ac:dyDescent="0.25">
      <c r="A57" s="327" t="s">
        <v>139</v>
      </c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65"/>
      <c r="AB57" s="65"/>
      <c r="AC57" s="82"/>
    </row>
    <row r="58" spans="1:68" ht="14.25" hidden="1" customHeight="1" x14ac:dyDescent="0.25">
      <c r="A58" s="318" t="s">
        <v>140</v>
      </c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66"/>
      <c r="AB58" s="66"/>
      <c r="AC58" s="83"/>
    </row>
    <row r="59" spans="1:68" ht="27" hidden="1" customHeight="1" x14ac:dyDescent="0.25">
      <c r="A59" s="63" t="s">
        <v>141</v>
      </c>
      <c r="B59" s="63" t="s">
        <v>142</v>
      </c>
      <c r="C59" s="36">
        <v>4301132194</v>
      </c>
      <c r="D59" s="299">
        <v>4607111039712</v>
      </c>
      <c r="E59" s="299"/>
      <c r="F59" s="62">
        <v>0.2</v>
      </c>
      <c r="G59" s="37">
        <v>6</v>
      </c>
      <c r="H59" s="62">
        <v>1.2</v>
      </c>
      <c r="I59" s="62">
        <v>1.56</v>
      </c>
      <c r="J59" s="37">
        <v>140</v>
      </c>
      <c r="K59" s="37" t="s">
        <v>123</v>
      </c>
      <c r="L59" s="37" t="s">
        <v>88</v>
      </c>
      <c r="M59" s="38" t="s">
        <v>86</v>
      </c>
      <c r="N59" s="38"/>
      <c r="O59" s="37">
        <v>365</v>
      </c>
      <c r="P59" s="396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301"/>
      <c r="R59" s="301"/>
      <c r="S59" s="301"/>
      <c r="T59" s="302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IFERROR(IF(X59="","",X59*0.00941),"")</f>
        <v>0</v>
      </c>
      <c r="AA59" s="68" t="s">
        <v>46</v>
      </c>
      <c r="AB59" s="69" t="s">
        <v>46</v>
      </c>
      <c r="AC59" s="123" t="s">
        <v>143</v>
      </c>
      <c r="AG59" s="81"/>
      <c r="AJ59" s="87" t="s">
        <v>89</v>
      </c>
      <c r="AK59" s="87">
        <v>1</v>
      </c>
      <c r="BB59" s="124" t="s">
        <v>122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hidden="1" customHeight="1" x14ac:dyDescent="0.25">
      <c r="A60" s="63" t="s">
        <v>144</v>
      </c>
      <c r="B60" s="63" t="s">
        <v>145</v>
      </c>
      <c r="C60" s="36">
        <v>4301135664</v>
      </c>
      <c r="D60" s="299">
        <v>4607111039705</v>
      </c>
      <c r="E60" s="299"/>
      <c r="F60" s="62">
        <v>0.2</v>
      </c>
      <c r="G60" s="37">
        <v>6</v>
      </c>
      <c r="H60" s="62">
        <v>1.2</v>
      </c>
      <c r="I60" s="62">
        <v>1.56</v>
      </c>
      <c r="J60" s="37">
        <v>140</v>
      </c>
      <c r="K60" s="37" t="s">
        <v>123</v>
      </c>
      <c r="L60" s="37" t="s">
        <v>88</v>
      </c>
      <c r="M60" s="38" t="s">
        <v>86</v>
      </c>
      <c r="N60" s="38"/>
      <c r="O60" s="37">
        <v>365</v>
      </c>
      <c r="P60" s="39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301"/>
      <c r="R60" s="301"/>
      <c r="S60" s="301"/>
      <c r="T60" s="30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IFERROR(IF(X60="","",X60*0.00941),"")</f>
        <v>0</v>
      </c>
      <c r="AA60" s="68" t="s">
        <v>46</v>
      </c>
      <c r="AB60" s="69" t="s">
        <v>46</v>
      </c>
      <c r="AC60" s="125" t="s">
        <v>146</v>
      </c>
      <c r="AG60" s="81"/>
      <c r="AJ60" s="87" t="s">
        <v>89</v>
      </c>
      <c r="AK60" s="87">
        <v>1</v>
      </c>
      <c r="BB60" s="126" t="s">
        <v>122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t="27" hidden="1" customHeight="1" x14ac:dyDescent="0.25">
      <c r="A61" s="63" t="s">
        <v>147</v>
      </c>
      <c r="B61" s="63" t="s">
        <v>148</v>
      </c>
      <c r="C61" s="36">
        <v>4301135665</v>
      </c>
      <c r="D61" s="299">
        <v>4607111039729</v>
      </c>
      <c r="E61" s="29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123</v>
      </c>
      <c r="L61" s="37" t="s">
        <v>124</v>
      </c>
      <c r="M61" s="38" t="s">
        <v>86</v>
      </c>
      <c r="N61" s="38"/>
      <c r="O61" s="37">
        <v>365</v>
      </c>
      <c r="P61" s="39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301"/>
      <c r="R61" s="301"/>
      <c r="S61" s="301"/>
      <c r="T61" s="30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7" t="s">
        <v>149</v>
      </c>
      <c r="AG61" s="81"/>
      <c r="AJ61" s="87" t="s">
        <v>125</v>
      </c>
      <c r="AK61" s="87">
        <v>14</v>
      </c>
      <c r="BB61" s="128" t="s">
        <v>122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hidden="1" customHeight="1" x14ac:dyDescent="0.25">
      <c r="A62" s="63" t="s">
        <v>150</v>
      </c>
      <c r="B62" s="63" t="s">
        <v>151</v>
      </c>
      <c r="C62" s="36">
        <v>4301135702</v>
      </c>
      <c r="D62" s="299">
        <v>4620207490228</v>
      </c>
      <c r="E62" s="299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123</v>
      </c>
      <c r="L62" s="37" t="s">
        <v>124</v>
      </c>
      <c r="M62" s="38" t="s">
        <v>86</v>
      </c>
      <c r="N62" s="38"/>
      <c r="O62" s="37">
        <v>365</v>
      </c>
      <c r="P62" s="399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301"/>
      <c r="R62" s="301"/>
      <c r="S62" s="301"/>
      <c r="T62" s="302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9" t="s">
        <v>149</v>
      </c>
      <c r="AG62" s="81"/>
      <c r="AJ62" s="87" t="s">
        <v>125</v>
      </c>
      <c r="AK62" s="87">
        <v>14</v>
      </c>
      <c r="BB62" s="130" t="s">
        <v>122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8"/>
      <c r="P63" s="304" t="s">
        <v>40</v>
      </c>
      <c r="Q63" s="305"/>
      <c r="R63" s="305"/>
      <c r="S63" s="305"/>
      <c r="T63" s="305"/>
      <c r="U63" s="305"/>
      <c r="V63" s="306"/>
      <c r="W63" s="42" t="s">
        <v>39</v>
      </c>
      <c r="X63" s="43">
        <f>IFERROR(SUM(X59:X62),"0")</f>
        <v>0</v>
      </c>
      <c r="Y63" s="43">
        <f>IFERROR(SUM(Y59:Y62),"0")</f>
        <v>0</v>
      </c>
      <c r="Z63" s="43">
        <f>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8"/>
      <c r="P64" s="304" t="s">
        <v>40</v>
      </c>
      <c r="Q64" s="305"/>
      <c r="R64" s="305"/>
      <c r="S64" s="305"/>
      <c r="T64" s="305"/>
      <c r="U64" s="305"/>
      <c r="V64" s="306"/>
      <c r="W64" s="42" t="s">
        <v>0</v>
      </c>
      <c r="X64" s="43">
        <f>IFERROR(SUMPRODUCT(X59:X62*H59:H62),"0")</f>
        <v>0</v>
      </c>
      <c r="Y64" s="43">
        <f>IFERROR(SUMPRODUCT(Y59:Y62*H59:H62),"0")</f>
        <v>0</v>
      </c>
      <c r="Z64" s="42"/>
      <c r="AA64" s="67"/>
      <c r="AB64" s="67"/>
      <c r="AC64" s="67"/>
    </row>
    <row r="65" spans="1:68" ht="16.5" hidden="1" customHeight="1" x14ac:dyDescent="0.25">
      <c r="A65" s="327" t="s">
        <v>152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65"/>
      <c r="AB65" s="65"/>
      <c r="AC65" s="82"/>
    </row>
    <row r="66" spans="1:68" ht="14.25" hidden="1" customHeight="1" x14ac:dyDescent="0.25">
      <c r="A66" s="318" t="s">
        <v>82</v>
      </c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66"/>
      <c r="AB66" s="66"/>
      <c r="AC66" s="83"/>
    </row>
    <row r="67" spans="1:68" ht="27" hidden="1" customHeight="1" x14ac:dyDescent="0.25">
      <c r="A67" s="63" t="s">
        <v>153</v>
      </c>
      <c r="B67" s="63" t="s">
        <v>154</v>
      </c>
      <c r="C67" s="36">
        <v>4301070977</v>
      </c>
      <c r="D67" s="299">
        <v>4607111037411</v>
      </c>
      <c r="E67" s="299"/>
      <c r="F67" s="62">
        <v>2.7</v>
      </c>
      <c r="G67" s="37">
        <v>1</v>
      </c>
      <c r="H67" s="62">
        <v>2.7</v>
      </c>
      <c r="I67" s="62">
        <v>2.8132000000000001</v>
      </c>
      <c r="J67" s="37">
        <v>234</v>
      </c>
      <c r="K67" s="37" t="s">
        <v>156</v>
      </c>
      <c r="L67" s="37" t="s">
        <v>124</v>
      </c>
      <c r="M67" s="38" t="s">
        <v>86</v>
      </c>
      <c r="N67" s="38"/>
      <c r="O67" s="37">
        <v>180</v>
      </c>
      <c r="P6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301"/>
      <c r="R67" s="301"/>
      <c r="S67" s="301"/>
      <c r="T67" s="302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IFERROR(IF(X67="","",X67*0.00502),"")</f>
        <v>0</v>
      </c>
      <c r="AA67" s="68" t="s">
        <v>46</v>
      </c>
      <c r="AB67" s="69" t="s">
        <v>46</v>
      </c>
      <c r="AC67" s="131" t="s">
        <v>155</v>
      </c>
      <c r="AG67" s="81"/>
      <c r="AJ67" s="87" t="s">
        <v>125</v>
      </c>
      <c r="AK67" s="87">
        <v>18</v>
      </c>
      <c r="BB67" s="132" t="s">
        <v>70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4301070981</v>
      </c>
      <c r="D68" s="299">
        <v>4607111036728</v>
      </c>
      <c r="E68" s="299"/>
      <c r="F68" s="62">
        <v>5</v>
      </c>
      <c r="G68" s="37">
        <v>1</v>
      </c>
      <c r="H68" s="62">
        <v>5</v>
      </c>
      <c r="I68" s="62">
        <v>5.2131999999999996</v>
      </c>
      <c r="J68" s="37">
        <v>144</v>
      </c>
      <c r="K68" s="37" t="s">
        <v>87</v>
      </c>
      <c r="L68" s="37" t="s">
        <v>124</v>
      </c>
      <c r="M68" s="38" t="s">
        <v>86</v>
      </c>
      <c r="N68" s="38"/>
      <c r="O68" s="37">
        <v>180</v>
      </c>
      <c r="P6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301"/>
      <c r="R68" s="301"/>
      <c r="S68" s="301"/>
      <c r="T68" s="302"/>
      <c r="U68" s="39" t="s">
        <v>46</v>
      </c>
      <c r="V68" s="39" t="s">
        <v>46</v>
      </c>
      <c r="W68" s="40" t="s">
        <v>39</v>
      </c>
      <c r="X68" s="58">
        <v>300</v>
      </c>
      <c r="Y68" s="55">
        <f>IFERROR(IF(X68="","",X68),"")</f>
        <v>300</v>
      </c>
      <c r="Z68" s="41">
        <f>IFERROR(IF(X68="","",X68*0.00866),"")</f>
        <v>2.5979999999999999</v>
      </c>
      <c r="AA68" s="68" t="s">
        <v>46</v>
      </c>
      <c r="AB68" s="69" t="s">
        <v>46</v>
      </c>
      <c r="AC68" s="133" t="s">
        <v>155</v>
      </c>
      <c r="AG68" s="81"/>
      <c r="AJ68" s="87" t="s">
        <v>125</v>
      </c>
      <c r="AK68" s="87">
        <v>12</v>
      </c>
      <c r="BB68" s="134" t="s">
        <v>70</v>
      </c>
      <c r="BM68" s="81">
        <f>IFERROR(X68*I68,"0")</f>
        <v>1563.9599999999998</v>
      </c>
      <c r="BN68" s="81">
        <f>IFERROR(Y68*I68,"0")</f>
        <v>1563.9599999999998</v>
      </c>
      <c r="BO68" s="81">
        <f>IFERROR(X68/J68,"0")</f>
        <v>2.0833333333333335</v>
      </c>
      <c r="BP68" s="81">
        <f>IFERROR(Y68/J68,"0")</f>
        <v>2.0833333333333335</v>
      </c>
    </row>
    <row r="69" spans="1:68" x14ac:dyDescent="0.2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8"/>
      <c r="P69" s="304" t="s">
        <v>40</v>
      </c>
      <c r="Q69" s="305"/>
      <c r="R69" s="305"/>
      <c r="S69" s="305"/>
      <c r="T69" s="305"/>
      <c r="U69" s="305"/>
      <c r="V69" s="306"/>
      <c r="W69" s="42" t="s">
        <v>39</v>
      </c>
      <c r="X69" s="43">
        <f>IFERROR(SUM(X67:X68),"0")</f>
        <v>300</v>
      </c>
      <c r="Y69" s="43">
        <f>IFERROR(SUM(Y67:Y68),"0")</f>
        <v>300</v>
      </c>
      <c r="Z69" s="43">
        <f>IFERROR(IF(Z67="",0,Z67),"0")+IFERROR(IF(Z68="",0,Z68),"0")</f>
        <v>2.5979999999999999</v>
      </c>
      <c r="AA69" s="67"/>
      <c r="AB69" s="67"/>
      <c r="AC69" s="67"/>
    </row>
    <row r="70" spans="1:68" x14ac:dyDescent="0.2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8"/>
      <c r="P70" s="304" t="s">
        <v>40</v>
      </c>
      <c r="Q70" s="305"/>
      <c r="R70" s="305"/>
      <c r="S70" s="305"/>
      <c r="T70" s="305"/>
      <c r="U70" s="305"/>
      <c r="V70" s="306"/>
      <c r="W70" s="42" t="s">
        <v>0</v>
      </c>
      <c r="X70" s="43">
        <f>IFERROR(SUMPRODUCT(X67:X68*H67:H68),"0")</f>
        <v>1500</v>
      </c>
      <c r="Y70" s="43">
        <f>IFERROR(SUMPRODUCT(Y67:Y68*H67:H68),"0")</f>
        <v>1500</v>
      </c>
      <c r="Z70" s="42"/>
      <c r="AA70" s="67"/>
      <c r="AB70" s="67"/>
      <c r="AC70" s="67"/>
    </row>
    <row r="71" spans="1:68" ht="16.5" hidden="1" customHeight="1" x14ac:dyDescent="0.25">
      <c r="A71" s="327" t="s">
        <v>159</v>
      </c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65"/>
      <c r="AB71" s="65"/>
      <c r="AC71" s="82"/>
    </row>
    <row r="72" spans="1:68" ht="14.25" hidden="1" customHeight="1" x14ac:dyDescent="0.25">
      <c r="A72" s="318" t="s">
        <v>160</v>
      </c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66"/>
      <c r="AB72" s="66"/>
      <c r="AC72" s="83"/>
    </row>
    <row r="73" spans="1:68" ht="27" customHeight="1" x14ac:dyDescent="0.25">
      <c r="A73" s="63" t="s">
        <v>161</v>
      </c>
      <c r="B73" s="63" t="s">
        <v>162</v>
      </c>
      <c r="C73" s="36">
        <v>4301135910</v>
      </c>
      <c r="D73" s="299">
        <v>4620207491638</v>
      </c>
      <c r="E73" s="299"/>
      <c r="F73" s="62">
        <v>0.3</v>
      </c>
      <c r="G73" s="37">
        <v>12</v>
      </c>
      <c r="H73" s="62">
        <v>3.6</v>
      </c>
      <c r="I73" s="62">
        <v>4.3036000000000003</v>
      </c>
      <c r="J73" s="37">
        <v>70</v>
      </c>
      <c r="K73" s="37" t="s">
        <v>123</v>
      </c>
      <c r="L73" s="37" t="s">
        <v>88</v>
      </c>
      <c r="M73" s="38" t="s">
        <v>86</v>
      </c>
      <c r="N73" s="38"/>
      <c r="O73" s="37">
        <v>180</v>
      </c>
      <c r="P73" s="39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301"/>
      <c r="R73" s="301"/>
      <c r="S73" s="301"/>
      <c r="T73" s="302"/>
      <c r="U73" s="39" t="s">
        <v>46</v>
      </c>
      <c r="V73" s="39" t="s">
        <v>46</v>
      </c>
      <c r="W73" s="40" t="s">
        <v>39</v>
      </c>
      <c r="X73" s="58">
        <v>14</v>
      </c>
      <c r="Y73" s="55">
        <f>IFERROR(IF(X73="","",X73),"")</f>
        <v>14</v>
      </c>
      <c r="Z73" s="41">
        <f>IFERROR(IF(X73="","",X73*0.01788),"")</f>
        <v>0.25031999999999999</v>
      </c>
      <c r="AA73" s="68" t="s">
        <v>46</v>
      </c>
      <c r="AB73" s="69" t="s">
        <v>46</v>
      </c>
      <c r="AC73" s="135" t="s">
        <v>163</v>
      </c>
      <c r="AG73" s="81"/>
      <c r="AJ73" s="87" t="s">
        <v>89</v>
      </c>
      <c r="AK73" s="87">
        <v>1</v>
      </c>
      <c r="BB73" s="136" t="s">
        <v>122</v>
      </c>
      <c r="BM73" s="81">
        <f>IFERROR(X73*I73,"0")</f>
        <v>60.250400000000006</v>
      </c>
      <c r="BN73" s="81">
        <f>IFERROR(Y73*I73,"0")</f>
        <v>60.250400000000006</v>
      </c>
      <c r="BO73" s="81">
        <f>IFERROR(X73/J73,"0")</f>
        <v>0.2</v>
      </c>
      <c r="BP73" s="81">
        <f>IFERROR(Y73/J73,"0")</f>
        <v>0.2</v>
      </c>
    </row>
    <row r="74" spans="1:68" x14ac:dyDescent="0.2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8"/>
      <c r="P74" s="304" t="s">
        <v>40</v>
      </c>
      <c r="Q74" s="305"/>
      <c r="R74" s="305"/>
      <c r="S74" s="305"/>
      <c r="T74" s="305"/>
      <c r="U74" s="305"/>
      <c r="V74" s="306"/>
      <c r="W74" s="42" t="s">
        <v>39</v>
      </c>
      <c r="X74" s="43">
        <f>IFERROR(SUM(X73:X73),"0")</f>
        <v>14</v>
      </c>
      <c r="Y74" s="43">
        <f>IFERROR(SUM(Y73:Y73),"0")</f>
        <v>14</v>
      </c>
      <c r="Z74" s="43">
        <f>IFERROR(IF(Z73="",0,Z73),"0")</f>
        <v>0.25031999999999999</v>
      </c>
      <c r="AA74" s="67"/>
      <c r="AB74" s="67"/>
      <c r="AC74" s="67"/>
    </row>
    <row r="75" spans="1:68" x14ac:dyDescent="0.2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8"/>
      <c r="P75" s="304" t="s">
        <v>40</v>
      </c>
      <c r="Q75" s="305"/>
      <c r="R75" s="305"/>
      <c r="S75" s="305"/>
      <c r="T75" s="305"/>
      <c r="U75" s="305"/>
      <c r="V75" s="306"/>
      <c r="W75" s="42" t="s">
        <v>0</v>
      </c>
      <c r="X75" s="43">
        <f>IFERROR(SUMPRODUCT(X73:X73*H73:H73),"0")</f>
        <v>50.4</v>
      </c>
      <c r="Y75" s="43">
        <f>IFERROR(SUMPRODUCT(Y73:Y73*H73:H73),"0")</f>
        <v>50.4</v>
      </c>
      <c r="Z75" s="42"/>
      <c r="AA75" s="67"/>
      <c r="AB75" s="67"/>
      <c r="AC75" s="67"/>
    </row>
    <row r="76" spans="1:68" ht="16.5" hidden="1" customHeight="1" x14ac:dyDescent="0.25">
      <c r="A76" s="327" t="s">
        <v>164</v>
      </c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7"/>
      <c r="X76" s="327"/>
      <c r="Y76" s="327"/>
      <c r="Z76" s="327"/>
      <c r="AA76" s="65"/>
      <c r="AB76" s="65"/>
      <c r="AC76" s="82"/>
    </row>
    <row r="77" spans="1:68" ht="14.25" hidden="1" customHeight="1" x14ac:dyDescent="0.25">
      <c r="A77" s="318" t="s">
        <v>165</v>
      </c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66"/>
      <c r="AB77" s="66"/>
      <c r="AC77" s="83"/>
    </row>
    <row r="78" spans="1:68" ht="27" customHeight="1" x14ac:dyDescent="0.25">
      <c r="A78" s="63" t="s">
        <v>166</v>
      </c>
      <c r="B78" s="63" t="s">
        <v>167</v>
      </c>
      <c r="C78" s="36">
        <v>4301131047</v>
      </c>
      <c r="D78" s="299">
        <v>4607111034120</v>
      </c>
      <c r="E78" s="299"/>
      <c r="F78" s="62">
        <v>0.3</v>
      </c>
      <c r="G78" s="37">
        <v>12</v>
      </c>
      <c r="H78" s="62">
        <v>3.6</v>
      </c>
      <c r="I78" s="62">
        <v>4.3036000000000003</v>
      </c>
      <c r="J78" s="37">
        <v>70</v>
      </c>
      <c r="K78" s="37" t="s">
        <v>123</v>
      </c>
      <c r="L78" s="37" t="s">
        <v>124</v>
      </c>
      <c r="M78" s="38" t="s">
        <v>86</v>
      </c>
      <c r="N78" s="38"/>
      <c r="O78" s="37">
        <v>180</v>
      </c>
      <c r="P7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301"/>
      <c r="R78" s="301"/>
      <c r="S78" s="301"/>
      <c r="T78" s="302"/>
      <c r="U78" s="39" t="s">
        <v>46</v>
      </c>
      <c r="V78" s="39" t="s">
        <v>46</v>
      </c>
      <c r="W78" s="40" t="s">
        <v>39</v>
      </c>
      <c r="X78" s="58">
        <v>42</v>
      </c>
      <c r="Y78" s="55">
        <f>IFERROR(IF(X78="","",X78),"")</f>
        <v>42</v>
      </c>
      <c r="Z78" s="41">
        <f>IFERROR(IF(X78="","",X78*0.01788),"")</f>
        <v>0.75095999999999996</v>
      </c>
      <c r="AA78" s="68" t="s">
        <v>46</v>
      </c>
      <c r="AB78" s="69" t="s">
        <v>46</v>
      </c>
      <c r="AC78" s="137" t="s">
        <v>168</v>
      </c>
      <c r="AG78" s="81"/>
      <c r="AJ78" s="87" t="s">
        <v>125</v>
      </c>
      <c r="AK78" s="87">
        <v>14</v>
      </c>
      <c r="BB78" s="138" t="s">
        <v>122</v>
      </c>
      <c r="BM78" s="81">
        <f>IFERROR(X78*I78,"0")</f>
        <v>180.75120000000001</v>
      </c>
      <c r="BN78" s="81">
        <f>IFERROR(Y78*I78,"0")</f>
        <v>180.75120000000001</v>
      </c>
      <c r="BO78" s="81">
        <f>IFERROR(X78/J78,"0")</f>
        <v>0.6</v>
      </c>
      <c r="BP78" s="81">
        <f>IFERROR(Y78/J78,"0")</f>
        <v>0.6</v>
      </c>
    </row>
    <row r="79" spans="1:68" ht="27" customHeight="1" x14ac:dyDescent="0.25">
      <c r="A79" s="63" t="s">
        <v>169</v>
      </c>
      <c r="B79" s="63" t="s">
        <v>170</v>
      </c>
      <c r="C79" s="36">
        <v>4301131046</v>
      </c>
      <c r="D79" s="299">
        <v>4607111034137</v>
      </c>
      <c r="E79" s="299"/>
      <c r="F79" s="62">
        <v>0.3</v>
      </c>
      <c r="G79" s="37">
        <v>12</v>
      </c>
      <c r="H79" s="62">
        <v>3.6</v>
      </c>
      <c r="I79" s="62">
        <v>4.3036000000000003</v>
      </c>
      <c r="J79" s="37">
        <v>70</v>
      </c>
      <c r="K79" s="37" t="s">
        <v>123</v>
      </c>
      <c r="L79" s="37" t="s">
        <v>124</v>
      </c>
      <c r="M79" s="38" t="s">
        <v>86</v>
      </c>
      <c r="N79" s="38"/>
      <c r="O79" s="37">
        <v>180</v>
      </c>
      <c r="P7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301"/>
      <c r="R79" s="301"/>
      <c r="S79" s="301"/>
      <c r="T79" s="302"/>
      <c r="U79" s="39" t="s">
        <v>46</v>
      </c>
      <c r="V79" s="39" t="s">
        <v>46</v>
      </c>
      <c r="W79" s="40" t="s">
        <v>39</v>
      </c>
      <c r="X79" s="58">
        <v>42</v>
      </c>
      <c r="Y79" s="55">
        <f>IFERROR(IF(X79="","",X79),"")</f>
        <v>42</v>
      </c>
      <c r="Z79" s="41">
        <f>IFERROR(IF(X79="","",X79*0.01788),"")</f>
        <v>0.75095999999999996</v>
      </c>
      <c r="AA79" s="68" t="s">
        <v>46</v>
      </c>
      <c r="AB79" s="69" t="s">
        <v>46</v>
      </c>
      <c r="AC79" s="139" t="s">
        <v>171</v>
      </c>
      <c r="AG79" s="81"/>
      <c r="AJ79" s="87" t="s">
        <v>125</v>
      </c>
      <c r="AK79" s="87">
        <v>14</v>
      </c>
      <c r="BB79" s="140" t="s">
        <v>122</v>
      </c>
      <c r="BM79" s="81">
        <f>IFERROR(X79*I79,"0")</f>
        <v>180.75120000000001</v>
      </c>
      <c r="BN79" s="81">
        <f>IFERROR(Y79*I79,"0")</f>
        <v>180.75120000000001</v>
      </c>
      <c r="BO79" s="81">
        <f>IFERROR(X79/J79,"0")</f>
        <v>0.6</v>
      </c>
      <c r="BP79" s="81">
        <f>IFERROR(Y79/J79,"0")</f>
        <v>0.6</v>
      </c>
    </row>
    <row r="80" spans="1:68" x14ac:dyDescent="0.2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8"/>
      <c r="P80" s="304" t="s">
        <v>40</v>
      </c>
      <c r="Q80" s="305"/>
      <c r="R80" s="305"/>
      <c r="S80" s="305"/>
      <c r="T80" s="305"/>
      <c r="U80" s="305"/>
      <c r="V80" s="306"/>
      <c r="W80" s="42" t="s">
        <v>39</v>
      </c>
      <c r="X80" s="43">
        <f>IFERROR(SUM(X78:X79),"0")</f>
        <v>84</v>
      </c>
      <c r="Y80" s="43">
        <f>IFERROR(SUM(Y78:Y79),"0")</f>
        <v>84</v>
      </c>
      <c r="Z80" s="43">
        <f>IFERROR(IF(Z78="",0,Z78),"0")+IFERROR(IF(Z79="",0,Z79),"0")</f>
        <v>1.5019199999999999</v>
      </c>
      <c r="AA80" s="67"/>
      <c r="AB80" s="67"/>
      <c r="AC80" s="67"/>
    </row>
    <row r="81" spans="1:68" x14ac:dyDescent="0.2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8"/>
      <c r="P81" s="304" t="s">
        <v>40</v>
      </c>
      <c r="Q81" s="305"/>
      <c r="R81" s="305"/>
      <c r="S81" s="305"/>
      <c r="T81" s="305"/>
      <c r="U81" s="305"/>
      <c r="V81" s="306"/>
      <c r="W81" s="42" t="s">
        <v>0</v>
      </c>
      <c r="X81" s="43">
        <f>IFERROR(SUMPRODUCT(X78:X79*H78:H79),"0")</f>
        <v>302.40000000000003</v>
      </c>
      <c r="Y81" s="43">
        <f>IFERROR(SUMPRODUCT(Y78:Y79*H78:H79),"0")</f>
        <v>302.40000000000003</v>
      </c>
      <c r="Z81" s="42"/>
      <c r="AA81" s="67"/>
      <c r="AB81" s="67"/>
      <c r="AC81" s="67"/>
    </row>
    <row r="82" spans="1:68" ht="16.5" hidden="1" customHeight="1" x14ac:dyDescent="0.25">
      <c r="A82" s="327" t="s">
        <v>172</v>
      </c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7"/>
      <c r="X82" s="327"/>
      <c r="Y82" s="327"/>
      <c r="Z82" s="327"/>
      <c r="AA82" s="65"/>
      <c r="AB82" s="65"/>
      <c r="AC82" s="82"/>
    </row>
    <row r="83" spans="1:68" ht="14.25" hidden="1" customHeight="1" x14ac:dyDescent="0.25">
      <c r="A83" s="318" t="s">
        <v>160</v>
      </c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66"/>
      <c r="AB83" s="66"/>
      <c r="AC83" s="83"/>
    </row>
    <row r="84" spans="1:68" ht="27" customHeight="1" x14ac:dyDescent="0.25">
      <c r="A84" s="63" t="s">
        <v>173</v>
      </c>
      <c r="B84" s="63" t="s">
        <v>174</v>
      </c>
      <c r="C84" s="36">
        <v>4301135763</v>
      </c>
      <c r="D84" s="299">
        <v>4620207491027</v>
      </c>
      <c r="E84" s="299"/>
      <c r="F84" s="62">
        <v>0.24</v>
      </c>
      <c r="G84" s="37">
        <v>12</v>
      </c>
      <c r="H84" s="62">
        <v>2.88</v>
      </c>
      <c r="I84" s="62">
        <v>3.5836000000000001</v>
      </c>
      <c r="J84" s="37">
        <v>70</v>
      </c>
      <c r="K84" s="37" t="s">
        <v>123</v>
      </c>
      <c r="L84" s="37" t="s">
        <v>124</v>
      </c>
      <c r="M84" s="38" t="s">
        <v>86</v>
      </c>
      <c r="N84" s="38"/>
      <c r="O84" s="37">
        <v>180</v>
      </c>
      <c r="P84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301"/>
      <c r="R84" s="301"/>
      <c r="S84" s="301"/>
      <c r="T84" s="302"/>
      <c r="U84" s="39" t="s">
        <v>46</v>
      </c>
      <c r="V84" s="39" t="s">
        <v>46</v>
      </c>
      <c r="W84" s="40" t="s">
        <v>39</v>
      </c>
      <c r="X84" s="58">
        <v>14</v>
      </c>
      <c r="Y84" s="55">
        <f t="shared" ref="Y84:Y91" si="6">IFERROR(IF(X84="","",X84),"")</f>
        <v>14</v>
      </c>
      <c r="Z84" s="41">
        <f t="shared" ref="Z84:Z91" si="7">IFERROR(IF(X84="","",X84*0.01788),"")</f>
        <v>0.25031999999999999</v>
      </c>
      <c r="AA84" s="68" t="s">
        <v>46</v>
      </c>
      <c r="AB84" s="69" t="s">
        <v>46</v>
      </c>
      <c r="AC84" s="141" t="s">
        <v>175</v>
      </c>
      <c r="AG84" s="81"/>
      <c r="AJ84" s="87" t="s">
        <v>125</v>
      </c>
      <c r="AK84" s="87">
        <v>14</v>
      </c>
      <c r="BB84" s="142" t="s">
        <v>122</v>
      </c>
      <c r="BM84" s="81">
        <f t="shared" ref="BM84:BM91" si="8">IFERROR(X84*I84,"0")</f>
        <v>50.170400000000001</v>
      </c>
      <c r="BN84" s="81">
        <f t="shared" ref="BN84:BN91" si="9">IFERROR(Y84*I84,"0")</f>
        <v>50.170400000000001</v>
      </c>
      <c r="BO84" s="81">
        <f t="shared" ref="BO84:BO91" si="10">IFERROR(X84/J84,"0")</f>
        <v>0.2</v>
      </c>
      <c r="BP84" s="81">
        <f t="shared" ref="BP84:BP91" si="11">IFERROR(Y84/J84,"0")</f>
        <v>0.2</v>
      </c>
    </row>
    <row r="85" spans="1:68" ht="27" hidden="1" customHeight="1" x14ac:dyDescent="0.25">
      <c r="A85" s="63" t="s">
        <v>176</v>
      </c>
      <c r="B85" s="63" t="s">
        <v>177</v>
      </c>
      <c r="C85" s="36">
        <v>4301135758</v>
      </c>
      <c r="D85" s="299">
        <v>4620207491003</v>
      </c>
      <c r="E85" s="299"/>
      <c r="F85" s="62">
        <v>0.24</v>
      </c>
      <c r="G85" s="37">
        <v>12</v>
      </c>
      <c r="H85" s="62">
        <v>2.88</v>
      </c>
      <c r="I85" s="62">
        <v>3.5836000000000001</v>
      </c>
      <c r="J85" s="37">
        <v>70</v>
      </c>
      <c r="K85" s="37" t="s">
        <v>123</v>
      </c>
      <c r="L85" s="37" t="s">
        <v>88</v>
      </c>
      <c r="M85" s="38" t="s">
        <v>86</v>
      </c>
      <c r="N85" s="38"/>
      <c r="O85" s="37">
        <v>180</v>
      </c>
      <c r="P85" s="388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301"/>
      <c r="R85" s="301"/>
      <c r="S85" s="301"/>
      <c r="T85" s="302"/>
      <c r="U85" s="39" t="s">
        <v>46</v>
      </c>
      <c r="V85" s="39" t="s">
        <v>46</v>
      </c>
      <c r="W85" s="40" t="s">
        <v>39</v>
      </c>
      <c r="X85" s="58">
        <v>0</v>
      </c>
      <c r="Y85" s="55">
        <f t="shared" si="6"/>
        <v>0</v>
      </c>
      <c r="Z85" s="41">
        <f t="shared" si="7"/>
        <v>0</v>
      </c>
      <c r="AA85" s="68" t="s">
        <v>46</v>
      </c>
      <c r="AB85" s="69" t="s">
        <v>46</v>
      </c>
      <c r="AC85" s="143" t="s">
        <v>175</v>
      </c>
      <c r="AG85" s="81"/>
      <c r="AJ85" s="87" t="s">
        <v>89</v>
      </c>
      <c r="AK85" s="87">
        <v>1</v>
      </c>
      <c r="BB85" s="144" t="s">
        <v>122</v>
      </c>
      <c r="BM85" s="81">
        <f t="shared" si="8"/>
        <v>0</v>
      </c>
      <c r="BN85" s="81">
        <f t="shared" si="9"/>
        <v>0</v>
      </c>
      <c r="BO85" s="81">
        <f t="shared" si="10"/>
        <v>0</v>
      </c>
      <c r="BP85" s="81">
        <f t="shared" si="11"/>
        <v>0</v>
      </c>
    </row>
    <row r="86" spans="1:68" ht="27" customHeight="1" x14ac:dyDescent="0.25">
      <c r="A86" s="63" t="s">
        <v>178</v>
      </c>
      <c r="B86" s="63" t="s">
        <v>179</v>
      </c>
      <c r="C86" s="36">
        <v>4301135914</v>
      </c>
      <c r="D86" s="299">
        <v>4620207491621</v>
      </c>
      <c r="E86" s="299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123</v>
      </c>
      <c r="L86" s="37" t="s">
        <v>88</v>
      </c>
      <c r="M86" s="38" t="s">
        <v>86</v>
      </c>
      <c r="N86" s="38"/>
      <c r="O86" s="37">
        <v>180</v>
      </c>
      <c r="P86" s="38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6" s="301"/>
      <c r="R86" s="301"/>
      <c r="S86" s="301"/>
      <c r="T86" s="302"/>
      <c r="U86" s="39" t="s">
        <v>46</v>
      </c>
      <c r="V86" s="39" t="s">
        <v>46</v>
      </c>
      <c r="W86" s="40" t="s">
        <v>39</v>
      </c>
      <c r="X86" s="58">
        <v>28</v>
      </c>
      <c r="Y86" s="55">
        <f t="shared" si="6"/>
        <v>28</v>
      </c>
      <c r="Z86" s="41">
        <f t="shared" si="7"/>
        <v>0.50063999999999997</v>
      </c>
      <c r="AA86" s="68" t="s">
        <v>46</v>
      </c>
      <c r="AB86" s="69" t="s">
        <v>46</v>
      </c>
      <c r="AC86" s="145" t="s">
        <v>180</v>
      </c>
      <c r="AG86" s="81"/>
      <c r="AJ86" s="87" t="s">
        <v>89</v>
      </c>
      <c r="AK86" s="87">
        <v>1</v>
      </c>
      <c r="BB86" s="146" t="s">
        <v>122</v>
      </c>
      <c r="BM86" s="81">
        <f t="shared" si="8"/>
        <v>100.3408</v>
      </c>
      <c r="BN86" s="81">
        <f t="shared" si="9"/>
        <v>100.3408</v>
      </c>
      <c r="BO86" s="81">
        <f t="shared" si="10"/>
        <v>0.4</v>
      </c>
      <c r="BP86" s="81">
        <f t="shared" si="11"/>
        <v>0.4</v>
      </c>
    </row>
    <row r="87" spans="1:68" ht="27" hidden="1" customHeight="1" x14ac:dyDescent="0.25">
      <c r="A87" s="63" t="s">
        <v>181</v>
      </c>
      <c r="B87" s="63" t="s">
        <v>182</v>
      </c>
      <c r="C87" s="36">
        <v>4301135759</v>
      </c>
      <c r="D87" s="299">
        <v>4620207491034</v>
      </c>
      <c r="E87" s="299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123</v>
      </c>
      <c r="L87" s="37" t="s">
        <v>88</v>
      </c>
      <c r="M87" s="38" t="s">
        <v>86</v>
      </c>
      <c r="N87" s="38"/>
      <c r="O87" s="37">
        <v>180</v>
      </c>
      <c r="P87" s="390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7" s="301"/>
      <c r="R87" s="301"/>
      <c r="S87" s="301"/>
      <c r="T87" s="302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6"/>
        <v>0</v>
      </c>
      <c r="Z87" s="41">
        <f t="shared" si="7"/>
        <v>0</v>
      </c>
      <c r="AA87" s="68" t="s">
        <v>46</v>
      </c>
      <c r="AB87" s="69" t="s">
        <v>46</v>
      </c>
      <c r="AC87" s="147" t="s">
        <v>183</v>
      </c>
      <c r="AG87" s="81"/>
      <c r="AJ87" s="87" t="s">
        <v>89</v>
      </c>
      <c r="AK87" s="87">
        <v>1</v>
      </c>
      <c r="BB87" s="148" t="s">
        <v>122</v>
      </c>
      <c r="BM87" s="81">
        <f t="shared" si="8"/>
        <v>0</v>
      </c>
      <c r="BN87" s="81">
        <f t="shared" si="9"/>
        <v>0</v>
      </c>
      <c r="BO87" s="81">
        <f t="shared" si="10"/>
        <v>0</v>
      </c>
      <c r="BP87" s="81">
        <f t="shared" si="11"/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4301135990</v>
      </c>
      <c r="D88" s="299">
        <v>4620207491881</v>
      </c>
      <c r="E88" s="299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123</v>
      </c>
      <c r="L88" s="37" t="s">
        <v>88</v>
      </c>
      <c r="M88" s="38" t="s">
        <v>86</v>
      </c>
      <c r="N88" s="38"/>
      <c r="O88" s="37">
        <v>180</v>
      </c>
      <c r="P88" s="38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8" s="301"/>
      <c r="R88" s="301"/>
      <c r="S88" s="301"/>
      <c r="T88" s="302"/>
      <c r="U88" s="39" t="s">
        <v>46</v>
      </c>
      <c r="V88" s="39" t="s">
        <v>46</v>
      </c>
      <c r="W88" s="40" t="s">
        <v>39</v>
      </c>
      <c r="X88" s="58">
        <v>14</v>
      </c>
      <c r="Y88" s="55">
        <f t="shared" si="6"/>
        <v>14</v>
      </c>
      <c r="Z88" s="41">
        <f t="shared" si="7"/>
        <v>0.25031999999999999</v>
      </c>
      <c r="AA88" s="68" t="s">
        <v>46</v>
      </c>
      <c r="AB88" s="69" t="s">
        <v>46</v>
      </c>
      <c r="AC88" s="149" t="s">
        <v>180</v>
      </c>
      <c r="AG88" s="81"/>
      <c r="AJ88" s="87" t="s">
        <v>89</v>
      </c>
      <c r="AK88" s="87">
        <v>1</v>
      </c>
      <c r="BB88" s="150" t="s">
        <v>122</v>
      </c>
      <c r="BM88" s="81">
        <f t="shared" si="8"/>
        <v>50.170400000000001</v>
      </c>
      <c r="BN88" s="81">
        <f t="shared" si="9"/>
        <v>50.170400000000001</v>
      </c>
      <c r="BO88" s="81">
        <f t="shared" si="10"/>
        <v>0.2</v>
      </c>
      <c r="BP88" s="81">
        <f t="shared" si="11"/>
        <v>0.2</v>
      </c>
    </row>
    <row r="89" spans="1:68" ht="27" customHeight="1" x14ac:dyDescent="0.25">
      <c r="A89" s="63" t="s">
        <v>186</v>
      </c>
      <c r="B89" s="63" t="s">
        <v>187</v>
      </c>
      <c r="C89" s="36">
        <v>4301135920</v>
      </c>
      <c r="D89" s="299">
        <v>4620207491577</v>
      </c>
      <c r="E89" s="299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123</v>
      </c>
      <c r="L89" s="37" t="s">
        <v>88</v>
      </c>
      <c r="M89" s="38" t="s">
        <v>86</v>
      </c>
      <c r="N89" s="38"/>
      <c r="O89" s="37">
        <v>180</v>
      </c>
      <c r="P89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01"/>
      <c r="R89" s="301"/>
      <c r="S89" s="301"/>
      <c r="T89" s="302"/>
      <c r="U89" s="39" t="s">
        <v>46</v>
      </c>
      <c r="V89" s="39" t="s">
        <v>46</v>
      </c>
      <c r="W89" s="40" t="s">
        <v>39</v>
      </c>
      <c r="X89" s="58">
        <v>42</v>
      </c>
      <c r="Y89" s="55">
        <f t="shared" si="6"/>
        <v>42</v>
      </c>
      <c r="Z89" s="41">
        <f t="shared" si="7"/>
        <v>0.75095999999999996</v>
      </c>
      <c r="AA89" s="68" t="s">
        <v>46</v>
      </c>
      <c r="AB89" s="69" t="s">
        <v>46</v>
      </c>
      <c r="AC89" s="151" t="s">
        <v>180</v>
      </c>
      <c r="AG89" s="81"/>
      <c r="AJ89" s="87" t="s">
        <v>89</v>
      </c>
      <c r="AK89" s="87">
        <v>1</v>
      </c>
      <c r="BB89" s="152" t="s">
        <v>122</v>
      </c>
      <c r="BM89" s="81">
        <f t="shared" si="8"/>
        <v>150.5112</v>
      </c>
      <c r="BN89" s="81">
        <f t="shared" si="9"/>
        <v>150.5112</v>
      </c>
      <c r="BO89" s="81">
        <f t="shared" si="10"/>
        <v>0.6</v>
      </c>
      <c r="BP89" s="81">
        <f t="shared" si="11"/>
        <v>0.6</v>
      </c>
    </row>
    <row r="90" spans="1:68" ht="27" hidden="1" customHeight="1" x14ac:dyDescent="0.25">
      <c r="A90" s="63" t="s">
        <v>188</v>
      </c>
      <c r="B90" s="63" t="s">
        <v>189</v>
      </c>
      <c r="C90" s="36">
        <v>4301135984</v>
      </c>
      <c r="D90" s="299">
        <v>4620207491874</v>
      </c>
      <c r="E90" s="299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123</v>
      </c>
      <c r="L90" s="37" t="s">
        <v>88</v>
      </c>
      <c r="M90" s="38" t="s">
        <v>86</v>
      </c>
      <c r="N90" s="38"/>
      <c r="O90" s="37">
        <v>180</v>
      </c>
      <c r="P90" s="38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01"/>
      <c r="R90" s="301"/>
      <c r="S90" s="301"/>
      <c r="T90" s="302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6"/>
        <v>0</v>
      </c>
      <c r="Z90" s="41">
        <f t="shared" si="7"/>
        <v>0</v>
      </c>
      <c r="AA90" s="68" t="s">
        <v>46</v>
      </c>
      <c r="AB90" s="69" t="s">
        <v>46</v>
      </c>
      <c r="AC90" s="153" t="s">
        <v>180</v>
      </c>
      <c r="AG90" s="81"/>
      <c r="AJ90" s="87" t="s">
        <v>89</v>
      </c>
      <c r="AK90" s="87">
        <v>1</v>
      </c>
      <c r="BB90" s="154" t="s">
        <v>122</v>
      </c>
      <c r="BM90" s="81">
        <f t="shared" si="8"/>
        <v>0</v>
      </c>
      <c r="BN90" s="81">
        <f t="shared" si="9"/>
        <v>0</v>
      </c>
      <c r="BO90" s="81">
        <f t="shared" si="10"/>
        <v>0</v>
      </c>
      <c r="BP90" s="81">
        <f t="shared" si="11"/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4301137008</v>
      </c>
      <c r="D91" s="299">
        <v>4620207491782</v>
      </c>
      <c r="E91" s="299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123</v>
      </c>
      <c r="L91" s="37" t="s">
        <v>88</v>
      </c>
      <c r="M91" s="38" t="s">
        <v>86</v>
      </c>
      <c r="N91" s="38"/>
      <c r="O91" s="37">
        <v>180</v>
      </c>
      <c r="P91" s="386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1" s="301"/>
      <c r="R91" s="301"/>
      <c r="S91" s="301"/>
      <c r="T91" s="302"/>
      <c r="U91" s="39" t="s">
        <v>46</v>
      </c>
      <c r="V91" s="39" t="s">
        <v>46</v>
      </c>
      <c r="W91" s="40" t="s">
        <v>39</v>
      </c>
      <c r="X91" s="58">
        <v>28</v>
      </c>
      <c r="Y91" s="55">
        <f t="shared" si="6"/>
        <v>28</v>
      </c>
      <c r="Z91" s="41">
        <f t="shared" si="7"/>
        <v>0.50063999999999997</v>
      </c>
      <c r="AA91" s="68" t="s">
        <v>46</v>
      </c>
      <c r="AB91" s="69" t="s">
        <v>46</v>
      </c>
      <c r="AC91" s="155" t="s">
        <v>180</v>
      </c>
      <c r="AG91" s="81"/>
      <c r="AJ91" s="87" t="s">
        <v>89</v>
      </c>
      <c r="AK91" s="87">
        <v>1</v>
      </c>
      <c r="BB91" s="156" t="s">
        <v>122</v>
      </c>
      <c r="BM91" s="81">
        <f t="shared" si="8"/>
        <v>126.81760000000001</v>
      </c>
      <c r="BN91" s="81">
        <f t="shared" si="9"/>
        <v>126.81760000000001</v>
      </c>
      <c r="BO91" s="81">
        <f t="shared" si="10"/>
        <v>0.4</v>
      </c>
      <c r="BP91" s="81">
        <f t="shared" si="11"/>
        <v>0.4</v>
      </c>
    </row>
    <row r="92" spans="1:68" x14ac:dyDescent="0.2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8"/>
      <c r="P92" s="304" t="s">
        <v>40</v>
      </c>
      <c r="Q92" s="305"/>
      <c r="R92" s="305"/>
      <c r="S92" s="305"/>
      <c r="T92" s="305"/>
      <c r="U92" s="305"/>
      <c r="V92" s="306"/>
      <c r="W92" s="42" t="s">
        <v>39</v>
      </c>
      <c r="X92" s="43">
        <f>IFERROR(SUM(X84:X91),"0")</f>
        <v>126</v>
      </c>
      <c r="Y92" s="43">
        <f>IFERROR(SUM(Y84:Y91),"0")</f>
        <v>126</v>
      </c>
      <c r="Z92" s="43">
        <f>IFERROR(IF(Z84="",0,Z84),"0")+IFERROR(IF(Z85="",0,Z85),"0")+IFERROR(IF(Z86="",0,Z86),"0")+IFERROR(IF(Z87="",0,Z87),"0")+IFERROR(IF(Z88="",0,Z88),"0")+IFERROR(IF(Z89="",0,Z89),"0")+IFERROR(IF(Z90="",0,Z90),"0")+IFERROR(IF(Z91="",0,Z91),"0")</f>
        <v>2.2528800000000002</v>
      </c>
      <c r="AA92" s="67"/>
      <c r="AB92" s="67"/>
      <c r="AC92" s="67"/>
    </row>
    <row r="93" spans="1:68" x14ac:dyDescent="0.2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8"/>
      <c r="P93" s="304" t="s">
        <v>40</v>
      </c>
      <c r="Q93" s="305"/>
      <c r="R93" s="305"/>
      <c r="S93" s="305"/>
      <c r="T93" s="305"/>
      <c r="U93" s="305"/>
      <c r="V93" s="306"/>
      <c r="W93" s="42" t="s">
        <v>0</v>
      </c>
      <c r="X93" s="43">
        <f>IFERROR(SUMPRODUCT(X84:X91*H84:H91),"0")</f>
        <v>399.84000000000003</v>
      </c>
      <c r="Y93" s="43">
        <f>IFERROR(SUMPRODUCT(Y84:Y91*H84:H91),"0")</f>
        <v>399.84000000000003</v>
      </c>
      <c r="Z93" s="42"/>
      <c r="AA93" s="67"/>
      <c r="AB93" s="67"/>
      <c r="AC93" s="67"/>
    </row>
    <row r="94" spans="1:68" ht="16.5" hidden="1" customHeight="1" x14ac:dyDescent="0.25">
      <c r="A94" s="327" t="s">
        <v>192</v>
      </c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  <c r="AA94" s="65"/>
      <c r="AB94" s="65"/>
      <c r="AC94" s="82"/>
    </row>
    <row r="95" spans="1:68" ht="14.25" hidden="1" customHeight="1" x14ac:dyDescent="0.25">
      <c r="A95" s="318" t="s">
        <v>193</v>
      </c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66"/>
      <c r="AB95" s="66"/>
      <c r="AC95" s="83"/>
    </row>
    <row r="96" spans="1:68" ht="27" customHeight="1" x14ac:dyDescent="0.25">
      <c r="A96" s="63" t="s">
        <v>194</v>
      </c>
      <c r="B96" s="63" t="s">
        <v>195</v>
      </c>
      <c r="C96" s="36">
        <v>4301136101</v>
      </c>
      <c r="D96" s="299">
        <v>4620207491652</v>
      </c>
      <c r="E96" s="299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8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6" s="301"/>
      <c r="R96" s="301"/>
      <c r="S96" s="301"/>
      <c r="T96" s="302"/>
      <c r="U96" s="39" t="s">
        <v>46</v>
      </c>
      <c r="V96" s="39" t="s">
        <v>46</v>
      </c>
      <c r="W96" s="40" t="s">
        <v>39</v>
      </c>
      <c r="X96" s="58">
        <v>28</v>
      </c>
      <c r="Y96" s="55">
        <f>IFERROR(IF(X96="","",X96),"")</f>
        <v>28</v>
      </c>
      <c r="Z96" s="41">
        <f>IFERROR(IF(X96="","",X96*0.00936),"")</f>
        <v>0.26207999999999998</v>
      </c>
      <c r="AA96" s="68" t="s">
        <v>46</v>
      </c>
      <c r="AB96" s="69" t="s">
        <v>46</v>
      </c>
      <c r="AC96" s="157" t="s">
        <v>196</v>
      </c>
      <c r="AG96" s="81"/>
      <c r="AJ96" s="87" t="s">
        <v>89</v>
      </c>
      <c r="AK96" s="87">
        <v>1</v>
      </c>
      <c r="BB96" s="158" t="s">
        <v>122</v>
      </c>
      <c r="BM96" s="81">
        <f>IFERROR(X96*I96,"0")</f>
        <v>69.753600000000006</v>
      </c>
      <c r="BN96" s="81">
        <f>IFERROR(Y96*I96,"0")</f>
        <v>69.753600000000006</v>
      </c>
      <c r="BO96" s="81">
        <f>IFERROR(X96/J96,"0")</f>
        <v>0.22222222222222221</v>
      </c>
      <c r="BP96" s="81">
        <f>IFERROR(Y96/J96,"0")</f>
        <v>0.22222222222222221</v>
      </c>
    </row>
    <row r="97" spans="1:68" ht="27" customHeight="1" x14ac:dyDescent="0.25">
      <c r="A97" s="63" t="s">
        <v>197</v>
      </c>
      <c r="B97" s="63" t="s">
        <v>198</v>
      </c>
      <c r="C97" s="36">
        <v>4301136103</v>
      </c>
      <c r="D97" s="299">
        <v>4620207491645</v>
      </c>
      <c r="E97" s="299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38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7" s="301"/>
      <c r="R97" s="301"/>
      <c r="S97" s="301"/>
      <c r="T97" s="302"/>
      <c r="U97" s="39" t="s">
        <v>46</v>
      </c>
      <c r="V97" s="39" t="s">
        <v>46</v>
      </c>
      <c r="W97" s="40" t="s">
        <v>39</v>
      </c>
      <c r="X97" s="58">
        <v>14</v>
      </c>
      <c r="Y97" s="55">
        <f>IFERROR(IF(X97="","",X97),"")</f>
        <v>14</v>
      </c>
      <c r="Z97" s="41">
        <f>IFERROR(IF(X97="","",X97*0.01788),"")</f>
        <v>0.25031999999999999</v>
      </c>
      <c r="AA97" s="68" t="s">
        <v>46</v>
      </c>
      <c r="AB97" s="69" t="s">
        <v>46</v>
      </c>
      <c r="AC97" s="159" t="s">
        <v>196</v>
      </c>
      <c r="AG97" s="81"/>
      <c r="AJ97" s="87" t="s">
        <v>89</v>
      </c>
      <c r="AK97" s="87">
        <v>1</v>
      </c>
      <c r="BB97" s="160" t="s">
        <v>122</v>
      </c>
      <c r="BM97" s="81">
        <f>IFERROR(X97*I97,"0")</f>
        <v>59.415999999999997</v>
      </c>
      <c r="BN97" s="81">
        <f>IFERROR(Y97*I97,"0")</f>
        <v>59.415999999999997</v>
      </c>
      <c r="BO97" s="81">
        <f>IFERROR(X97/J97,"0")</f>
        <v>0.2</v>
      </c>
      <c r="BP97" s="81">
        <f>IFERROR(Y97/J97,"0")</f>
        <v>0.2</v>
      </c>
    </row>
    <row r="98" spans="1:68" x14ac:dyDescent="0.2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8"/>
      <c r="P98" s="304" t="s">
        <v>40</v>
      </c>
      <c r="Q98" s="305"/>
      <c r="R98" s="305"/>
      <c r="S98" s="305"/>
      <c r="T98" s="305"/>
      <c r="U98" s="305"/>
      <c r="V98" s="306"/>
      <c r="W98" s="42" t="s">
        <v>39</v>
      </c>
      <c r="X98" s="43">
        <f>IFERROR(SUM(X96:X97),"0")</f>
        <v>42</v>
      </c>
      <c r="Y98" s="43">
        <f>IFERROR(SUM(Y96:Y97),"0")</f>
        <v>42</v>
      </c>
      <c r="Z98" s="43">
        <f>IFERROR(IF(Z96="",0,Z96),"0")+IFERROR(IF(Z97="",0,Z97),"0")</f>
        <v>0.51239999999999997</v>
      </c>
      <c r="AA98" s="67"/>
      <c r="AB98" s="67"/>
      <c r="AC98" s="67"/>
    </row>
    <row r="99" spans="1:68" x14ac:dyDescent="0.2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8"/>
      <c r="P99" s="304" t="s">
        <v>40</v>
      </c>
      <c r="Q99" s="305"/>
      <c r="R99" s="305"/>
      <c r="S99" s="305"/>
      <c r="T99" s="305"/>
      <c r="U99" s="305"/>
      <c r="V99" s="306"/>
      <c r="W99" s="42" t="s">
        <v>0</v>
      </c>
      <c r="X99" s="43">
        <f>IFERROR(SUMPRODUCT(X96:X97*H96:H97),"0")</f>
        <v>110.88</v>
      </c>
      <c r="Y99" s="43">
        <f>IFERROR(SUMPRODUCT(Y96:Y97*H96:H97),"0")</f>
        <v>110.88</v>
      </c>
      <c r="Z99" s="42"/>
      <c r="AA99" s="67"/>
      <c r="AB99" s="67"/>
      <c r="AC99" s="67"/>
    </row>
    <row r="100" spans="1:68" ht="16.5" hidden="1" customHeight="1" x14ac:dyDescent="0.25">
      <c r="A100" s="327" t="s">
        <v>199</v>
      </c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  <c r="AA100" s="65"/>
      <c r="AB100" s="65"/>
      <c r="AC100" s="82"/>
    </row>
    <row r="101" spans="1:68" ht="14.25" hidden="1" customHeight="1" x14ac:dyDescent="0.25">
      <c r="A101" s="318" t="s">
        <v>82</v>
      </c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66"/>
      <c r="AB101" s="66"/>
      <c r="AC101" s="83"/>
    </row>
    <row r="102" spans="1:68" ht="27" customHeight="1" x14ac:dyDescent="0.25">
      <c r="A102" s="63" t="s">
        <v>200</v>
      </c>
      <c r="B102" s="63" t="s">
        <v>201</v>
      </c>
      <c r="C102" s="36">
        <v>4301071074</v>
      </c>
      <c r="D102" s="299">
        <v>4620207491157</v>
      </c>
      <c r="E102" s="299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124</v>
      </c>
      <c r="M102" s="38" t="s">
        <v>86</v>
      </c>
      <c r="N102" s="38"/>
      <c r="O102" s="37">
        <v>180</v>
      </c>
      <c r="P102" s="37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01"/>
      <c r="R102" s="301"/>
      <c r="S102" s="301"/>
      <c r="T102" s="302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ref="Y102:Y109" si="12">IFERROR(IF(X102="","",X102),"")</f>
        <v>84</v>
      </c>
      <c r="Z102" s="41">
        <f t="shared" ref="Z102:Z109" si="13">IFERROR(IF(X102="","",X102*0.0155),"")</f>
        <v>1.302</v>
      </c>
      <c r="AA102" s="68" t="s">
        <v>46</v>
      </c>
      <c r="AB102" s="69" t="s">
        <v>46</v>
      </c>
      <c r="AC102" s="161" t="s">
        <v>202</v>
      </c>
      <c r="AG102" s="81"/>
      <c r="AJ102" s="87" t="s">
        <v>125</v>
      </c>
      <c r="AK102" s="87">
        <v>12</v>
      </c>
      <c r="BB102" s="162" t="s">
        <v>70</v>
      </c>
      <c r="BM102" s="81">
        <f t="shared" ref="BM102:BM109" si="14">IFERROR(X102*I102,"0")</f>
        <v>611.52</v>
      </c>
      <c r="BN102" s="81">
        <f t="shared" ref="BN102:BN109" si="15">IFERROR(Y102*I102,"0")</f>
        <v>611.52</v>
      </c>
      <c r="BO102" s="81">
        <f t="shared" ref="BO102:BO109" si="16">IFERROR(X102/J102,"0")</f>
        <v>1</v>
      </c>
      <c r="BP102" s="81">
        <f t="shared" ref="BP102:BP109" si="17">IFERROR(Y102/J102,"0")</f>
        <v>1</v>
      </c>
    </row>
    <row r="103" spans="1:68" ht="27" customHeight="1" x14ac:dyDescent="0.25">
      <c r="A103" s="63" t="s">
        <v>203</v>
      </c>
      <c r="B103" s="63" t="s">
        <v>204</v>
      </c>
      <c r="C103" s="36">
        <v>4301071121</v>
      </c>
      <c r="D103" s="299">
        <v>4620207491393</v>
      </c>
      <c r="E103" s="299"/>
      <c r="F103" s="62">
        <v>0.4</v>
      </c>
      <c r="G103" s="37">
        <v>16</v>
      </c>
      <c r="H103" s="62">
        <v>6.4</v>
      </c>
      <c r="I103" s="62">
        <v>6.71</v>
      </c>
      <c r="J103" s="37">
        <v>84</v>
      </c>
      <c r="K103" s="37" t="s">
        <v>87</v>
      </c>
      <c r="L103" s="37" t="s">
        <v>88</v>
      </c>
      <c r="M103" s="38" t="s">
        <v>86</v>
      </c>
      <c r="N103" s="38"/>
      <c r="O103" s="37">
        <v>180</v>
      </c>
      <c r="P103" s="37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3" s="301"/>
      <c r="R103" s="301"/>
      <c r="S103" s="301"/>
      <c r="T103" s="302"/>
      <c r="U103" s="39" t="s">
        <v>46</v>
      </c>
      <c r="V103" s="39" t="s">
        <v>46</v>
      </c>
      <c r="W103" s="40" t="s">
        <v>39</v>
      </c>
      <c r="X103" s="58">
        <v>12</v>
      </c>
      <c r="Y103" s="55">
        <f t="shared" si="12"/>
        <v>12</v>
      </c>
      <c r="Z103" s="41">
        <f t="shared" si="13"/>
        <v>0.186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70</v>
      </c>
      <c r="BM103" s="81">
        <f t="shared" si="14"/>
        <v>80.52</v>
      </c>
      <c r="BN103" s="81">
        <f t="shared" si="15"/>
        <v>80.52</v>
      </c>
      <c r="BO103" s="81">
        <f t="shared" si="16"/>
        <v>0.14285714285714285</v>
      </c>
      <c r="BP103" s="81">
        <f t="shared" si="17"/>
        <v>0.14285714285714285</v>
      </c>
    </row>
    <row r="104" spans="1:68" ht="27" customHeight="1" x14ac:dyDescent="0.25">
      <c r="A104" s="63" t="s">
        <v>206</v>
      </c>
      <c r="B104" s="63" t="s">
        <v>207</v>
      </c>
      <c r="C104" s="36">
        <v>4301071051</v>
      </c>
      <c r="D104" s="299">
        <v>4607111039262</v>
      </c>
      <c r="E104" s="299"/>
      <c r="F104" s="62">
        <v>0.4</v>
      </c>
      <c r="G104" s="37">
        <v>16</v>
      </c>
      <c r="H104" s="62">
        <v>6.4</v>
      </c>
      <c r="I104" s="62">
        <v>6.7195999999999998</v>
      </c>
      <c r="J104" s="37">
        <v>84</v>
      </c>
      <c r="K104" s="37" t="s">
        <v>87</v>
      </c>
      <c r="L104" s="37" t="s">
        <v>124</v>
      </c>
      <c r="M104" s="38" t="s">
        <v>86</v>
      </c>
      <c r="N104" s="38"/>
      <c r="O104" s="37">
        <v>180</v>
      </c>
      <c r="P104" s="37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301"/>
      <c r="R104" s="301"/>
      <c r="S104" s="301"/>
      <c r="T104" s="302"/>
      <c r="U104" s="39" t="s">
        <v>46</v>
      </c>
      <c r="V104" s="39" t="s">
        <v>46</v>
      </c>
      <c r="W104" s="40" t="s">
        <v>39</v>
      </c>
      <c r="X104" s="58">
        <v>24</v>
      </c>
      <c r="Y104" s="55">
        <f t="shared" si="12"/>
        <v>24</v>
      </c>
      <c r="Z104" s="41">
        <f t="shared" si="13"/>
        <v>0.372</v>
      </c>
      <c r="AA104" s="68" t="s">
        <v>46</v>
      </c>
      <c r="AB104" s="69" t="s">
        <v>46</v>
      </c>
      <c r="AC104" s="165" t="s">
        <v>155</v>
      </c>
      <c r="AG104" s="81"/>
      <c r="AJ104" s="87" t="s">
        <v>125</v>
      </c>
      <c r="AK104" s="87">
        <v>12</v>
      </c>
      <c r="BB104" s="166" t="s">
        <v>70</v>
      </c>
      <c r="BM104" s="81">
        <f t="shared" si="14"/>
        <v>161.2704</v>
      </c>
      <c r="BN104" s="81">
        <f t="shared" si="15"/>
        <v>161.2704</v>
      </c>
      <c r="BO104" s="81">
        <f t="shared" si="16"/>
        <v>0.2857142857142857</v>
      </c>
      <c r="BP104" s="81">
        <f t="shared" si="17"/>
        <v>0.2857142857142857</v>
      </c>
    </row>
    <row r="105" spans="1:68" ht="27" customHeight="1" x14ac:dyDescent="0.25">
      <c r="A105" s="63" t="s">
        <v>208</v>
      </c>
      <c r="B105" s="63" t="s">
        <v>209</v>
      </c>
      <c r="C105" s="36">
        <v>4301071038</v>
      </c>
      <c r="D105" s="299">
        <v>4607111039248</v>
      </c>
      <c r="E105" s="299"/>
      <c r="F105" s="62">
        <v>0.7</v>
      </c>
      <c r="G105" s="37">
        <v>10</v>
      </c>
      <c r="H105" s="62">
        <v>7</v>
      </c>
      <c r="I105" s="62">
        <v>7.3</v>
      </c>
      <c r="J105" s="37">
        <v>84</v>
      </c>
      <c r="K105" s="37" t="s">
        <v>87</v>
      </c>
      <c r="L105" s="37" t="s">
        <v>124</v>
      </c>
      <c r="M105" s="38" t="s">
        <v>86</v>
      </c>
      <c r="N105" s="38"/>
      <c r="O105" s="37">
        <v>180</v>
      </c>
      <c r="P105" s="3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301"/>
      <c r="R105" s="301"/>
      <c r="S105" s="301"/>
      <c r="T105" s="302"/>
      <c r="U105" s="39" t="s">
        <v>46</v>
      </c>
      <c r="V105" s="39" t="s">
        <v>46</v>
      </c>
      <c r="W105" s="40" t="s">
        <v>39</v>
      </c>
      <c r="X105" s="58">
        <v>132</v>
      </c>
      <c r="Y105" s="55">
        <f t="shared" si="12"/>
        <v>132</v>
      </c>
      <c r="Z105" s="41">
        <f t="shared" si="13"/>
        <v>2.0459999999999998</v>
      </c>
      <c r="AA105" s="68" t="s">
        <v>46</v>
      </c>
      <c r="AB105" s="69" t="s">
        <v>46</v>
      </c>
      <c r="AC105" s="167" t="s">
        <v>155</v>
      </c>
      <c r="AG105" s="81"/>
      <c r="AJ105" s="87" t="s">
        <v>125</v>
      </c>
      <c r="AK105" s="87">
        <v>12</v>
      </c>
      <c r="BB105" s="168" t="s">
        <v>70</v>
      </c>
      <c r="BM105" s="81">
        <f t="shared" si="14"/>
        <v>963.6</v>
      </c>
      <c r="BN105" s="81">
        <f t="shared" si="15"/>
        <v>963.6</v>
      </c>
      <c r="BO105" s="81">
        <f t="shared" si="16"/>
        <v>1.5714285714285714</v>
      </c>
      <c r="BP105" s="81">
        <f t="shared" si="17"/>
        <v>1.5714285714285714</v>
      </c>
    </row>
    <row r="106" spans="1:68" ht="27" hidden="1" customHeight="1" x14ac:dyDescent="0.25">
      <c r="A106" s="63" t="s">
        <v>210</v>
      </c>
      <c r="B106" s="63" t="s">
        <v>211</v>
      </c>
      <c r="C106" s="36">
        <v>4301070979</v>
      </c>
      <c r="D106" s="299">
        <v>4607111037145</v>
      </c>
      <c r="E106" s="299"/>
      <c r="F106" s="62">
        <v>0.8</v>
      </c>
      <c r="G106" s="37">
        <v>8</v>
      </c>
      <c r="H106" s="62">
        <v>6.4</v>
      </c>
      <c r="I106" s="62">
        <v>6.6748000000000003</v>
      </c>
      <c r="J106" s="37">
        <v>84</v>
      </c>
      <c r="K106" s="37" t="s">
        <v>87</v>
      </c>
      <c r="L106" s="37" t="s">
        <v>88</v>
      </c>
      <c r="M106" s="38" t="s">
        <v>86</v>
      </c>
      <c r="N106" s="38"/>
      <c r="O106" s="37">
        <v>180</v>
      </c>
      <c r="P106" s="37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301"/>
      <c r="R106" s="301"/>
      <c r="S106" s="301"/>
      <c r="T106" s="302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12"/>
        <v>0</v>
      </c>
      <c r="Z106" s="41">
        <f t="shared" si="13"/>
        <v>0</v>
      </c>
      <c r="AA106" s="68" t="s">
        <v>46</v>
      </c>
      <c r="AB106" s="69" t="s">
        <v>46</v>
      </c>
      <c r="AC106" s="169" t="s">
        <v>212</v>
      </c>
      <c r="AG106" s="81"/>
      <c r="AJ106" s="87" t="s">
        <v>89</v>
      </c>
      <c r="AK106" s="87">
        <v>1</v>
      </c>
      <c r="BB106" s="170" t="s">
        <v>70</v>
      </c>
      <c r="BM106" s="81">
        <f t="shared" si="14"/>
        <v>0</v>
      </c>
      <c r="BN106" s="81">
        <f t="shared" si="15"/>
        <v>0</v>
      </c>
      <c r="BO106" s="81">
        <f t="shared" si="16"/>
        <v>0</v>
      </c>
      <c r="BP106" s="81">
        <f t="shared" si="17"/>
        <v>0</v>
      </c>
    </row>
    <row r="107" spans="1:68" ht="27" customHeight="1" x14ac:dyDescent="0.25">
      <c r="A107" s="63" t="s">
        <v>213</v>
      </c>
      <c r="B107" s="63" t="s">
        <v>214</v>
      </c>
      <c r="C107" s="36">
        <v>4301071075</v>
      </c>
      <c r="D107" s="299">
        <v>4620207491102</v>
      </c>
      <c r="E107" s="299"/>
      <c r="F107" s="62">
        <v>0.7</v>
      </c>
      <c r="G107" s="37">
        <v>10</v>
      </c>
      <c r="H107" s="62">
        <v>7</v>
      </c>
      <c r="I107" s="62">
        <v>7.23</v>
      </c>
      <c r="J107" s="37">
        <v>84</v>
      </c>
      <c r="K107" s="37" t="s">
        <v>87</v>
      </c>
      <c r="L107" s="37" t="s">
        <v>88</v>
      </c>
      <c r="M107" s="38" t="s">
        <v>86</v>
      </c>
      <c r="N107" s="38"/>
      <c r="O107" s="37">
        <v>180</v>
      </c>
      <c r="P107" s="37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7" s="301"/>
      <c r="R107" s="301"/>
      <c r="S107" s="301"/>
      <c r="T107" s="302"/>
      <c r="U107" s="39" t="s">
        <v>46</v>
      </c>
      <c r="V107" s="39" t="s">
        <v>46</v>
      </c>
      <c r="W107" s="40" t="s">
        <v>39</v>
      </c>
      <c r="X107" s="58">
        <v>84</v>
      </c>
      <c r="Y107" s="55">
        <f t="shared" si="12"/>
        <v>84</v>
      </c>
      <c r="Z107" s="41">
        <f t="shared" si="13"/>
        <v>1.302</v>
      </c>
      <c r="AA107" s="68" t="s">
        <v>46</v>
      </c>
      <c r="AB107" s="69" t="s">
        <v>46</v>
      </c>
      <c r="AC107" s="171" t="s">
        <v>215</v>
      </c>
      <c r="AG107" s="81"/>
      <c r="AJ107" s="87" t="s">
        <v>89</v>
      </c>
      <c r="AK107" s="87">
        <v>1</v>
      </c>
      <c r="BB107" s="172" t="s">
        <v>70</v>
      </c>
      <c r="BM107" s="81">
        <f t="shared" si="14"/>
        <v>607.32000000000005</v>
      </c>
      <c r="BN107" s="81">
        <f t="shared" si="15"/>
        <v>607.32000000000005</v>
      </c>
      <c r="BO107" s="81">
        <f t="shared" si="16"/>
        <v>1</v>
      </c>
      <c r="BP107" s="81">
        <f t="shared" si="17"/>
        <v>1</v>
      </c>
    </row>
    <row r="108" spans="1:68" ht="27" customHeight="1" x14ac:dyDescent="0.25">
      <c r="A108" s="63" t="s">
        <v>216</v>
      </c>
      <c r="B108" s="63" t="s">
        <v>217</v>
      </c>
      <c r="C108" s="36">
        <v>4301071139</v>
      </c>
      <c r="D108" s="299">
        <v>4607111039293</v>
      </c>
      <c r="E108" s="299"/>
      <c r="F108" s="62">
        <v>0.4</v>
      </c>
      <c r="G108" s="37">
        <v>16</v>
      </c>
      <c r="H108" s="62">
        <v>6.4</v>
      </c>
      <c r="I108" s="62">
        <v>6.7195999999999998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7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8" s="301"/>
      <c r="R108" s="301"/>
      <c r="S108" s="301"/>
      <c r="T108" s="302"/>
      <c r="U108" s="39" t="s">
        <v>46</v>
      </c>
      <c r="V108" s="39" t="s">
        <v>46</v>
      </c>
      <c r="W108" s="40" t="s">
        <v>39</v>
      </c>
      <c r="X108" s="58">
        <v>24</v>
      </c>
      <c r="Y108" s="55">
        <f t="shared" si="12"/>
        <v>24</v>
      </c>
      <c r="Z108" s="41">
        <f t="shared" si="13"/>
        <v>0.372</v>
      </c>
      <c r="AA108" s="68" t="s">
        <v>46</v>
      </c>
      <c r="AB108" s="69" t="s">
        <v>46</v>
      </c>
      <c r="AC108" s="173" t="s">
        <v>218</v>
      </c>
      <c r="AG108" s="81"/>
      <c r="AJ108" s="87" t="s">
        <v>89</v>
      </c>
      <c r="AK108" s="87">
        <v>1</v>
      </c>
      <c r="BB108" s="174" t="s">
        <v>70</v>
      </c>
      <c r="BM108" s="81">
        <f t="shared" si="14"/>
        <v>161.2704</v>
      </c>
      <c r="BN108" s="81">
        <f t="shared" si="15"/>
        <v>161.2704</v>
      </c>
      <c r="BO108" s="81">
        <f t="shared" si="16"/>
        <v>0.2857142857142857</v>
      </c>
      <c r="BP108" s="81">
        <f t="shared" si="17"/>
        <v>0.2857142857142857</v>
      </c>
    </row>
    <row r="109" spans="1:68" ht="27" customHeight="1" x14ac:dyDescent="0.25">
      <c r="A109" s="63" t="s">
        <v>219</v>
      </c>
      <c r="B109" s="63" t="s">
        <v>220</v>
      </c>
      <c r="C109" s="36">
        <v>4301071138</v>
      </c>
      <c r="D109" s="299">
        <v>4607111039279</v>
      </c>
      <c r="E109" s="299"/>
      <c r="F109" s="62">
        <v>0.7</v>
      </c>
      <c r="G109" s="37">
        <v>10</v>
      </c>
      <c r="H109" s="62">
        <v>7</v>
      </c>
      <c r="I109" s="62">
        <v>7.3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76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9" s="301"/>
      <c r="R109" s="301"/>
      <c r="S109" s="301"/>
      <c r="T109" s="302"/>
      <c r="U109" s="39" t="s">
        <v>46</v>
      </c>
      <c r="V109" s="39" t="s">
        <v>46</v>
      </c>
      <c r="W109" s="40" t="s">
        <v>39</v>
      </c>
      <c r="X109" s="58">
        <v>84</v>
      </c>
      <c r="Y109" s="55">
        <f t="shared" si="12"/>
        <v>84</v>
      </c>
      <c r="Z109" s="41">
        <f t="shared" si="13"/>
        <v>1.302</v>
      </c>
      <c r="AA109" s="68" t="s">
        <v>46</v>
      </c>
      <c r="AB109" s="69" t="s">
        <v>46</v>
      </c>
      <c r="AC109" s="175" t="s">
        <v>218</v>
      </c>
      <c r="AG109" s="81"/>
      <c r="AJ109" s="87" t="s">
        <v>89</v>
      </c>
      <c r="AK109" s="87">
        <v>1</v>
      </c>
      <c r="BB109" s="176" t="s">
        <v>70</v>
      </c>
      <c r="BM109" s="81">
        <f t="shared" si="14"/>
        <v>613.19999999999993</v>
      </c>
      <c r="BN109" s="81">
        <f t="shared" si="15"/>
        <v>613.19999999999993</v>
      </c>
      <c r="BO109" s="81">
        <f t="shared" si="16"/>
        <v>1</v>
      </c>
      <c r="BP109" s="81">
        <f t="shared" si="17"/>
        <v>1</v>
      </c>
    </row>
    <row r="110" spans="1:68" x14ac:dyDescent="0.2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8"/>
      <c r="P110" s="304" t="s">
        <v>40</v>
      </c>
      <c r="Q110" s="305"/>
      <c r="R110" s="305"/>
      <c r="S110" s="305"/>
      <c r="T110" s="305"/>
      <c r="U110" s="305"/>
      <c r="V110" s="306"/>
      <c r="W110" s="42" t="s">
        <v>39</v>
      </c>
      <c r="X110" s="43">
        <f>IFERROR(SUM(X102:X109),"0")</f>
        <v>444</v>
      </c>
      <c r="Y110" s="43">
        <f>IFERROR(SUM(Y102:Y109),"0")</f>
        <v>444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6.8819999999999997</v>
      </c>
      <c r="AA110" s="67"/>
      <c r="AB110" s="67"/>
      <c r="AC110" s="67"/>
    </row>
    <row r="111" spans="1:68" x14ac:dyDescent="0.2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8"/>
      <c r="P111" s="304" t="s">
        <v>40</v>
      </c>
      <c r="Q111" s="305"/>
      <c r="R111" s="305"/>
      <c r="S111" s="305"/>
      <c r="T111" s="305"/>
      <c r="U111" s="305"/>
      <c r="V111" s="306"/>
      <c r="W111" s="42" t="s">
        <v>0</v>
      </c>
      <c r="X111" s="43">
        <f>IFERROR(SUMPRODUCT(X102:X109*H102:H109),"0")</f>
        <v>3072</v>
      </c>
      <c r="Y111" s="43">
        <f>IFERROR(SUMPRODUCT(Y102:Y109*H102:H109),"0")</f>
        <v>3072</v>
      </c>
      <c r="Z111" s="42"/>
      <c r="AA111" s="67"/>
      <c r="AB111" s="67"/>
      <c r="AC111" s="67"/>
    </row>
    <row r="112" spans="1:68" ht="14.25" hidden="1" customHeight="1" x14ac:dyDescent="0.25">
      <c r="A112" s="318" t="s">
        <v>160</v>
      </c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66"/>
      <c r="AB112" s="66"/>
      <c r="AC112" s="83"/>
    </row>
    <row r="113" spans="1:68" ht="27" customHeight="1" x14ac:dyDescent="0.25">
      <c r="A113" s="63" t="s">
        <v>221</v>
      </c>
      <c r="B113" s="63" t="s">
        <v>222</v>
      </c>
      <c r="C113" s="36">
        <v>4301135826</v>
      </c>
      <c r="D113" s="299">
        <v>4620207490983</v>
      </c>
      <c r="E113" s="299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123</v>
      </c>
      <c r="L113" s="37" t="s">
        <v>88</v>
      </c>
      <c r="M113" s="38" t="s">
        <v>86</v>
      </c>
      <c r="N113" s="38"/>
      <c r="O113" s="37">
        <v>180</v>
      </c>
      <c r="P113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01"/>
      <c r="R113" s="301"/>
      <c r="S113" s="301"/>
      <c r="T113" s="302"/>
      <c r="U113" s="39" t="s">
        <v>46</v>
      </c>
      <c r="V113" s="39" t="s">
        <v>46</v>
      </c>
      <c r="W113" s="40" t="s">
        <v>39</v>
      </c>
      <c r="X113" s="58">
        <v>14</v>
      </c>
      <c r="Y113" s="55">
        <f>IFERROR(IF(X113="","",X113),"")</f>
        <v>14</v>
      </c>
      <c r="Z113" s="41">
        <f>IFERROR(IF(X113="","",X113*0.01788),"")</f>
        <v>0.25031999999999999</v>
      </c>
      <c r="AA113" s="68" t="s">
        <v>46</v>
      </c>
      <c r="AB113" s="69" t="s">
        <v>46</v>
      </c>
      <c r="AC113" s="177" t="s">
        <v>223</v>
      </c>
      <c r="AG113" s="81"/>
      <c r="AJ113" s="87" t="s">
        <v>89</v>
      </c>
      <c r="AK113" s="87">
        <v>1</v>
      </c>
      <c r="BB113" s="178" t="s">
        <v>122</v>
      </c>
      <c r="BM113" s="81">
        <f>IFERROR(X113*I113,"0")</f>
        <v>46.810400000000001</v>
      </c>
      <c r="BN113" s="81">
        <f>IFERROR(Y113*I113,"0")</f>
        <v>46.810400000000001</v>
      </c>
      <c r="BO113" s="81">
        <f>IFERROR(X113/J113,"0")</f>
        <v>0.2</v>
      </c>
      <c r="BP113" s="81">
        <f>IFERROR(Y113/J113,"0")</f>
        <v>0.2</v>
      </c>
    </row>
    <row r="114" spans="1:68" x14ac:dyDescent="0.2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8"/>
      <c r="P114" s="304" t="s">
        <v>40</v>
      </c>
      <c r="Q114" s="305"/>
      <c r="R114" s="305"/>
      <c r="S114" s="305"/>
      <c r="T114" s="305"/>
      <c r="U114" s="305"/>
      <c r="V114" s="306"/>
      <c r="W114" s="42" t="s">
        <v>39</v>
      </c>
      <c r="X114" s="43">
        <f>IFERROR(SUM(X113:X113),"0")</f>
        <v>14</v>
      </c>
      <c r="Y114" s="43">
        <f>IFERROR(SUM(Y113:Y113),"0")</f>
        <v>14</v>
      </c>
      <c r="Z114" s="43">
        <f>IFERROR(IF(Z113="",0,Z113),"0")</f>
        <v>0.25031999999999999</v>
      </c>
      <c r="AA114" s="67"/>
      <c r="AB114" s="67"/>
      <c r="AC114" s="67"/>
    </row>
    <row r="115" spans="1:68" x14ac:dyDescent="0.2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8"/>
      <c r="P115" s="304" t="s">
        <v>40</v>
      </c>
      <c r="Q115" s="305"/>
      <c r="R115" s="305"/>
      <c r="S115" s="305"/>
      <c r="T115" s="305"/>
      <c r="U115" s="305"/>
      <c r="V115" s="306"/>
      <c r="W115" s="42" t="s">
        <v>0</v>
      </c>
      <c r="X115" s="43">
        <f>IFERROR(SUMPRODUCT(X113:X113*H113:H113),"0")</f>
        <v>36.96</v>
      </c>
      <c r="Y115" s="43">
        <f>IFERROR(SUMPRODUCT(Y113:Y113*H113:H113),"0")</f>
        <v>36.96</v>
      </c>
      <c r="Z115" s="42"/>
      <c r="AA115" s="67"/>
      <c r="AB115" s="67"/>
      <c r="AC115" s="67"/>
    </row>
    <row r="116" spans="1:68" ht="14.25" hidden="1" customHeight="1" x14ac:dyDescent="0.25">
      <c r="A116" s="318" t="s">
        <v>224</v>
      </c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66"/>
      <c r="AB116" s="66"/>
      <c r="AC116" s="83"/>
    </row>
    <row r="117" spans="1:68" ht="27" customHeight="1" x14ac:dyDescent="0.25">
      <c r="A117" s="63" t="s">
        <v>225</v>
      </c>
      <c r="B117" s="63" t="s">
        <v>226</v>
      </c>
      <c r="C117" s="36">
        <v>4301071094</v>
      </c>
      <c r="D117" s="299">
        <v>4620207491140</v>
      </c>
      <c r="E117" s="299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7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01"/>
      <c r="R117" s="301"/>
      <c r="S117" s="301"/>
      <c r="T117" s="302"/>
      <c r="U117" s="39" t="s">
        <v>46</v>
      </c>
      <c r="V117" s="39" t="s">
        <v>46</v>
      </c>
      <c r="W117" s="40" t="s">
        <v>39</v>
      </c>
      <c r="X117" s="58">
        <v>12</v>
      </c>
      <c r="Y117" s="55">
        <f>IFERROR(IF(X117="","",X117),"")</f>
        <v>12</v>
      </c>
      <c r="Z117" s="41">
        <f>IFERROR(IF(X117="","",X117*0.0155),"")</f>
        <v>0.186</v>
      </c>
      <c r="AA117" s="68" t="s">
        <v>46</v>
      </c>
      <c r="AB117" s="69" t="s">
        <v>46</v>
      </c>
      <c r="AC117" s="179" t="s">
        <v>227</v>
      </c>
      <c r="AG117" s="81"/>
      <c r="AJ117" s="87" t="s">
        <v>89</v>
      </c>
      <c r="AK117" s="87">
        <v>1</v>
      </c>
      <c r="BB117" s="180" t="s">
        <v>122</v>
      </c>
      <c r="BM117" s="81">
        <f>IFERROR(X117*I117,"0")</f>
        <v>75.36</v>
      </c>
      <c r="BN117" s="81">
        <f>IFERROR(Y117*I117,"0")</f>
        <v>75.36</v>
      </c>
      <c r="BO117" s="81">
        <f>IFERROR(X117/J117,"0")</f>
        <v>0.14285714285714285</v>
      </c>
      <c r="BP117" s="81">
        <f>IFERROR(Y117/J117,"0")</f>
        <v>0.14285714285714285</v>
      </c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8"/>
      <c r="P118" s="304" t="s">
        <v>40</v>
      </c>
      <c r="Q118" s="305"/>
      <c r="R118" s="305"/>
      <c r="S118" s="305"/>
      <c r="T118" s="305"/>
      <c r="U118" s="305"/>
      <c r="V118" s="306"/>
      <c r="W118" s="42" t="s">
        <v>39</v>
      </c>
      <c r="X118" s="43">
        <f>IFERROR(SUM(X117:X117),"0")</f>
        <v>12</v>
      </c>
      <c r="Y118" s="43">
        <f>IFERROR(SUM(Y117:Y117),"0")</f>
        <v>12</v>
      </c>
      <c r="Z118" s="43">
        <f>IFERROR(IF(Z117="",0,Z117),"0")</f>
        <v>0.186</v>
      </c>
      <c r="AA118" s="67"/>
      <c r="AB118" s="67"/>
      <c r="AC118" s="67"/>
    </row>
    <row r="119" spans="1:68" x14ac:dyDescent="0.2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8"/>
      <c r="P119" s="304" t="s">
        <v>40</v>
      </c>
      <c r="Q119" s="305"/>
      <c r="R119" s="305"/>
      <c r="S119" s="305"/>
      <c r="T119" s="305"/>
      <c r="U119" s="305"/>
      <c r="V119" s="306"/>
      <c r="W119" s="42" t="s">
        <v>0</v>
      </c>
      <c r="X119" s="43">
        <f>IFERROR(SUMPRODUCT(X117:X117*H117:H117),"0")</f>
        <v>72</v>
      </c>
      <c r="Y119" s="43">
        <f>IFERROR(SUMPRODUCT(Y117:Y117*H117:H117),"0")</f>
        <v>72</v>
      </c>
      <c r="Z119" s="42"/>
      <c r="AA119" s="67"/>
      <c r="AB119" s="67"/>
      <c r="AC119" s="67"/>
    </row>
    <row r="120" spans="1:68" ht="16.5" hidden="1" customHeight="1" x14ac:dyDescent="0.25">
      <c r="A120" s="327" t="s">
        <v>228</v>
      </c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65"/>
      <c r="AB120" s="65"/>
      <c r="AC120" s="82"/>
    </row>
    <row r="121" spans="1:68" ht="14.25" hidden="1" customHeight="1" x14ac:dyDescent="0.25">
      <c r="A121" s="318" t="s">
        <v>82</v>
      </c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66"/>
      <c r="AB121" s="66"/>
      <c r="AC121" s="83"/>
    </row>
    <row r="122" spans="1:68" ht="27" hidden="1" customHeight="1" x14ac:dyDescent="0.25">
      <c r="A122" s="63" t="s">
        <v>229</v>
      </c>
      <c r="B122" s="63" t="s">
        <v>230</v>
      </c>
      <c r="C122" s="36">
        <v>4301071142</v>
      </c>
      <c r="D122" s="299">
        <v>4620207491904</v>
      </c>
      <c r="E122" s="299"/>
      <c r="F122" s="62">
        <v>0.56999999999999995</v>
      </c>
      <c r="G122" s="37">
        <v>10</v>
      </c>
      <c r="H122" s="62">
        <v>5.7</v>
      </c>
      <c r="I122" s="62">
        <v>5.98</v>
      </c>
      <c r="J122" s="37">
        <v>84</v>
      </c>
      <c r="K122" s="37" t="s">
        <v>87</v>
      </c>
      <c r="L122" s="37" t="s">
        <v>88</v>
      </c>
      <c r="M122" s="38" t="s">
        <v>86</v>
      </c>
      <c r="N122" s="38"/>
      <c r="O122" s="37">
        <v>180</v>
      </c>
      <c r="P122" s="3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2" s="301"/>
      <c r="R122" s="301"/>
      <c r="S122" s="301"/>
      <c r="T122" s="30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110</v>
      </c>
      <c r="AC122" s="181" t="s">
        <v>231</v>
      </c>
      <c r="AG122" s="81"/>
      <c r="AJ122" s="87" t="s">
        <v>89</v>
      </c>
      <c r="AK122" s="87">
        <v>1</v>
      </c>
      <c r="BB122" s="182" t="s">
        <v>70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8"/>
      <c r="P123" s="304" t="s">
        <v>40</v>
      </c>
      <c r="Q123" s="305"/>
      <c r="R123" s="305"/>
      <c r="S123" s="305"/>
      <c r="T123" s="305"/>
      <c r="U123" s="305"/>
      <c r="V123" s="306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8"/>
      <c r="P124" s="304" t="s">
        <v>40</v>
      </c>
      <c r="Q124" s="305"/>
      <c r="R124" s="305"/>
      <c r="S124" s="305"/>
      <c r="T124" s="305"/>
      <c r="U124" s="305"/>
      <c r="V124" s="306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8" t="s">
        <v>160</v>
      </c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66"/>
      <c r="AB125" s="66"/>
      <c r="AC125" s="83"/>
    </row>
    <row r="126" spans="1:68" ht="27" customHeight="1" x14ac:dyDescent="0.25">
      <c r="A126" s="63" t="s">
        <v>232</v>
      </c>
      <c r="B126" s="63" t="s">
        <v>233</v>
      </c>
      <c r="C126" s="36">
        <v>4301135850</v>
      </c>
      <c r="D126" s="299">
        <v>4620207491492</v>
      </c>
      <c r="E126" s="299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123</v>
      </c>
      <c r="L126" s="37" t="s">
        <v>88</v>
      </c>
      <c r="M126" s="38" t="s">
        <v>86</v>
      </c>
      <c r="N126" s="38"/>
      <c r="O126" s="37">
        <v>180</v>
      </c>
      <c r="P126" s="36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6" s="301"/>
      <c r="R126" s="301"/>
      <c r="S126" s="301"/>
      <c r="T126" s="302"/>
      <c r="U126" s="39" t="s">
        <v>46</v>
      </c>
      <c r="V126" s="39" t="s">
        <v>46</v>
      </c>
      <c r="W126" s="40" t="s">
        <v>39</v>
      </c>
      <c r="X126" s="58">
        <v>28</v>
      </c>
      <c r="Y126" s="55">
        <f>IFERROR(IF(X126="","",X126),"")</f>
        <v>28</v>
      </c>
      <c r="Z126" s="41">
        <f>IFERROR(IF(X126="","",X126*0.00941),"")</f>
        <v>0.26347999999999999</v>
      </c>
      <c r="AA126" s="68" t="s">
        <v>46</v>
      </c>
      <c r="AB126" s="69" t="s">
        <v>46</v>
      </c>
      <c r="AC126" s="183" t="s">
        <v>234</v>
      </c>
      <c r="AG126" s="81"/>
      <c r="AJ126" s="87" t="s">
        <v>89</v>
      </c>
      <c r="AK126" s="87">
        <v>1</v>
      </c>
      <c r="BB126" s="184" t="s">
        <v>122</v>
      </c>
      <c r="BM126" s="81">
        <f>IFERROR(X126*I126,"0")</f>
        <v>50.4</v>
      </c>
      <c r="BN126" s="81">
        <f>IFERROR(Y126*I126,"0")</f>
        <v>50.4</v>
      </c>
      <c r="BO126" s="81">
        <f>IFERROR(X126/J126,"0")</f>
        <v>0.2</v>
      </c>
      <c r="BP126" s="81">
        <f>IFERROR(Y126/J126,"0")</f>
        <v>0.2</v>
      </c>
    </row>
    <row r="127" spans="1:68" ht="27" customHeight="1" x14ac:dyDescent="0.25">
      <c r="A127" s="63" t="s">
        <v>235</v>
      </c>
      <c r="B127" s="63" t="s">
        <v>236</v>
      </c>
      <c r="C127" s="36">
        <v>4301190118</v>
      </c>
      <c r="D127" s="299">
        <v>4620207491461</v>
      </c>
      <c r="E127" s="299"/>
      <c r="F127" s="62">
        <v>0.22</v>
      </c>
      <c r="G127" s="37">
        <v>6</v>
      </c>
      <c r="H127" s="62">
        <v>1.32</v>
      </c>
      <c r="I127" s="62">
        <v>1.74</v>
      </c>
      <c r="J127" s="37">
        <v>140</v>
      </c>
      <c r="K127" s="37" t="s">
        <v>123</v>
      </c>
      <c r="L127" s="37" t="s">
        <v>88</v>
      </c>
      <c r="M127" s="38" t="s">
        <v>86</v>
      </c>
      <c r="N127" s="38"/>
      <c r="O127" s="37">
        <v>180</v>
      </c>
      <c r="P127" s="3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7" s="301"/>
      <c r="R127" s="301"/>
      <c r="S127" s="301"/>
      <c r="T127" s="302"/>
      <c r="U127" s="39" t="s">
        <v>46</v>
      </c>
      <c r="V127" s="39" t="s">
        <v>46</v>
      </c>
      <c r="W127" s="40" t="s">
        <v>39</v>
      </c>
      <c r="X127" s="58">
        <v>84</v>
      </c>
      <c r="Y127" s="55">
        <f>IFERROR(IF(X127="","",X127),"")</f>
        <v>84</v>
      </c>
      <c r="Z127" s="41">
        <f>IFERROR(IF(X127="","",X127*0.00941),"")</f>
        <v>0.79044000000000003</v>
      </c>
      <c r="AA127" s="68" t="s">
        <v>46</v>
      </c>
      <c r="AB127" s="69" t="s">
        <v>46</v>
      </c>
      <c r="AC127" s="185" t="s">
        <v>234</v>
      </c>
      <c r="AG127" s="81"/>
      <c r="AJ127" s="87" t="s">
        <v>89</v>
      </c>
      <c r="AK127" s="87">
        <v>1</v>
      </c>
      <c r="BB127" s="186" t="s">
        <v>122</v>
      </c>
      <c r="BM127" s="81">
        <f>IFERROR(X127*I127,"0")</f>
        <v>146.16</v>
      </c>
      <c r="BN127" s="81">
        <f>IFERROR(Y127*I127,"0")</f>
        <v>146.16</v>
      </c>
      <c r="BO127" s="81">
        <f>IFERROR(X127/J127,"0")</f>
        <v>0.6</v>
      </c>
      <c r="BP127" s="81">
        <f>IFERROR(Y127/J127,"0")</f>
        <v>0.6</v>
      </c>
    </row>
    <row r="128" spans="1:68" ht="27" customHeight="1" x14ac:dyDescent="0.25">
      <c r="A128" s="63" t="s">
        <v>237</v>
      </c>
      <c r="B128" s="63" t="s">
        <v>238</v>
      </c>
      <c r="C128" s="36">
        <v>4301135865</v>
      </c>
      <c r="D128" s="299">
        <v>4620207491485</v>
      </c>
      <c r="E128" s="299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123</v>
      </c>
      <c r="L128" s="37" t="s">
        <v>88</v>
      </c>
      <c r="M128" s="38" t="s">
        <v>86</v>
      </c>
      <c r="N128" s="38"/>
      <c r="O128" s="37">
        <v>180</v>
      </c>
      <c r="P128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8" s="301"/>
      <c r="R128" s="301"/>
      <c r="S128" s="301"/>
      <c r="T128" s="302"/>
      <c r="U128" s="39" t="s">
        <v>46</v>
      </c>
      <c r="V128" s="39" t="s">
        <v>46</v>
      </c>
      <c r="W128" s="40" t="s">
        <v>39</v>
      </c>
      <c r="X128" s="58">
        <v>84</v>
      </c>
      <c r="Y128" s="55">
        <f>IFERROR(IF(X128="","",X128),"")</f>
        <v>84</v>
      </c>
      <c r="Z128" s="41">
        <f>IFERROR(IF(X128="","",X128*0.00941),"")</f>
        <v>0.79044000000000003</v>
      </c>
      <c r="AA128" s="68" t="s">
        <v>46</v>
      </c>
      <c r="AB128" s="69" t="s">
        <v>46</v>
      </c>
      <c r="AC128" s="187" t="s">
        <v>234</v>
      </c>
      <c r="AG128" s="81"/>
      <c r="AJ128" s="87" t="s">
        <v>89</v>
      </c>
      <c r="AK128" s="87">
        <v>1</v>
      </c>
      <c r="BB128" s="188" t="s">
        <v>122</v>
      </c>
      <c r="BM128" s="81">
        <f>IFERROR(X128*I128,"0")</f>
        <v>151.20000000000002</v>
      </c>
      <c r="BN128" s="81">
        <f>IFERROR(Y128*I128,"0")</f>
        <v>151.20000000000002</v>
      </c>
      <c r="BO128" s="81">
        <f>IFERROR(X128/J128,"0")</f>
        <v>0.6</v>
      </c>
      <c r="BP128" s="81">
        <f>IFERROR(Y128/J128,"0")</f>
        <v>0.6</v>
      </c>
    </row>
    <row r="129" spans="1:68" ht="27" customHeight="1" x14ac:dyDescent="0.25">
      <c r="A129" s="63" t="s">
        <v>239</v>
      </c>
      <c r="B129" s="63" t="s">
        <v>240</v>
      </c>
      <c r="C129" s="36">
        <v>4301135848</v>
      </c>
      <c r="D129" s="299">
        <v>4620207491799</v>
      </c>
      <c r="E129" s="29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123</v>
      </c>
      <c r="L129" s="37" t="s">
        <v>88</v>
      </c>
      <c r="M129" s="38" t="s">
        <v>86</v>
      </c>
      <c r="N129" s="38"/>
      <c r="O129" s="37">
        <v>180</v>
      </c>
      <c r="P129" s="36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01"/>
      <c r="R129" s="301"/>
      <c r="S129" s="301"/>
      <c r="T129" s="302"/>
      <c r="U129" s="39" t="s">
        <v>46</v>
      </c>
      <c r="V129" s="39" t="s">
        <v>46</v>
      </c>
      <c r="W129" s="40" t="s">
        <v>39</v>
      </c>
      <c r="X129" s="58">
        <v>56</v>
      </c>
      <c r="Y129" s="55">
        <f>IFERROR(IF(X129="","",X129),"")</f>
        <v>56</v>
      </c>
      <c r="Z129" s="41">
        <f>IFERROR(IF(X129="","",X129*0.00941),"")</f>
        <v>0.52695999999999998</v>
      </c>
      <c r="AA129" s="68" t="s">
        <v>46</v>
      </c>
      <c r="AB129" s="69" t="s">
        <v>46</v>
      </c>
      <c r="AC129" s="189" t="s">
        <v>234</v>
      </c>
      <c r="AG129" s="81"/>
      <c r="AJ129" s="87" t="s">
        <v>89</v>
      </c>
      <c r="AK129" s="87">
        <v>1</v>
      </c>
      <c r="BB129" s="190" t="s">
        <v>122</v>
      </c>
      <c r="BM129" s="81">
        <f>IFERROR(X129*I129,"0")</f>
        <v>100.8</v>
      </c>
      <c r="BN129" s="81">
        <f>IFERROR(Y129*I129,"0")</f>
        <v>100.8</v>
      </c>
      <c r="BO129" s="81">
        <f>IFERROR(X129/J129,"0")</f>
        <v>0.4</v>
      </c>
      <c r="BP129" s="81">
        <f>IFERROR(Y129/J129,"0")</f>
        <v>0.4</v>
      </c>
    </row>
    <row r="130" spans="1:68" x14ac:dyDescent="0.2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8"/>
      <c r="P130" s="304" t="s">
        <v>40</v>
      </c>
      <c r="Q130" s="305"/>
      <c r="R130" s="305"/>
      <c r="S130" s="305"/>
      <c r="T130" s="305"/>
      <c r="U130" s="305"/>
      <c r="V130" s="306"/>
      <c r="W130" s="42" t="s">
        <v>39</v>
      </c>
      <c r="X130" s="43">
        <f>IFERROR(SUM(X126:X129),"0")</f>
        <v>252</v>
      </c>
      <c r="Y130" s="43">
        <f>IFERROR(SUM(Y126:Y129),"0")</f>
        <v>252</v>
      </c>
      <c r="Z130" s="43">
        <f>IFERROR(IF(Z126="",0,Z126),"0")+IFERROR(IF(Z127="",0,Z127),"0")+IFERROR(IF(Z128="",0,Z128),"0")+IFERROR(IF(Z129="",0,Z129),"0")</f>
        <v>2.3713199999999999</v>
      </c>
      <c r="AA130" s="67"/>
      <c r="AB130" s="67"/>
      <c r="AC130" s="67"/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8"/>
      <c r="P131" s="304" t="s">
        <v>40</v>
      </c>
      <c r="Q131" s="305"/>
      <c r="R131" s="305"/>
      <c r="S131" s="305"/>
      <c r="T131" s="305"/>
      <c r="U131" s="305"/>
      <c r="V131" s="306"/>
      <c r="W131" s="42" t="s">
        <v>0</v>
      </c>
      <c r="X131" s="43">
        <f>IFERROR(SUMPRODUCT(X126:X129*H126:H129),"0")</f>
        <v>342.72</v>
      </c>
      <c r="Y131" s="43">
        <f>IFERROR(SUMPRODUCT(Y126:Y129*H126:H129),"0")</f>
        <v>342.72</v>
      </c>
      <c r="Z131" s="42"/>
      <c r="AA131" s="67"/>
      <c r="AB131" s="67"/>
      <c r="AC131" s="67"/>
    </row>
    <row r="132" spans="1:68" ht="14.25" hidden="1" customHeight="1" x14ac:dyDescent="0.25">
      <c r="A132" s="318" t="s">
        <v>241</v>
      </c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66"/>
      <c r="AB132" s="66"/>
      <c r="AC132" s="83"/>
    </row>
    <row r="133" spans="1:68" ht="27" hidden="1" customHeight="1" x14ac:dyDescent="0.25">
      <c r="A133" s="63" t="s">
        <v>242</v>
      </c>
      <c r="B133" s="63" t="s">
        <v>243</v>
      </c>
      <c r="C133" s="36">
        <v>4301190117</v>
      </c>
      <c r="D133" s="299">
        <v>4620207491386</v>
      </c>
      <c r="E133" s="299"/>
      <c r="F133" s="62">
        <v>0.18</v>
      </c>
      <c r="G133" s="37">
        <v>6</v>
      </c>
      <c r="H133" s="62">
        <v>1.08</v>
      </c>
      <c r="I133" s="62">
        <v>1.3979999999999999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01"/>
      <c r="R133" s="301"/>
      <c r="S133" s="301"/>
      <c r="T133" s="30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91" t="s">
        <v>244</v>
      </c>
      <c r="AG133" s="81"/>
      <c r="AJ133" s="87" t="s">
        <v>89</v>
      </c>
      <c r="AK133" s="87">
        <v>1</v>
      </c>
      <c r="BB133" s="192" t="s">
        <v>122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245</v>
      </c>
      <c r="B134" s="63" t="s">
        <v>246</v>
      </c>
      <c r="C134" s="36">
        <v>4301190115</v>
      </c>
      <c r="D134" s="299">
        <v>4620207491362</v>
      </c>
      <c r="E134" s="299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6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01"/>
      <c r="R134" s="301"/>
      <c r="S134" s="301"/>
      <c r="T134" s="30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3" t="s">
        <v>244</v>
      </c>
      <c r="AG134" s="81"/>
      <c r="AJ134" s="87" t="s">
        <v>89</v>
      </c>
      <c r="AK134" s="87">
        <v>1</v>
      </c>
      <c r="BB134" s="194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hidden="1" customHeight="1" x14ac:dyDescent="0.25">
      <c r="A135" s="63" t="s">
        <v>247</v>
      </c>
      <c r="B135" s="63" t="s">
        <v>248</v>
      </c>
      <c r="C135" s="36">
        <v>4301190116</v>
      </c>
      <c r="D135" s="299">
        <v>4620207491379</v>
      </c>
      <c r="E135" s="299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01"/>
      <c r="R135" s="301"/>
      <c r="S135" s="301"/>
      <c r="T135" s="30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95" t="s">
        <v>244</v>
      </c>
      <c r="AG135" s="81"/>
      <c r="AJ135" s="87" t="s">
        <v>89</v>
      </c>
      <c r="AK135" s="87">
        <v>1</v>
      </c>
      <c r="BB135" s="196" t="s">
        <v>122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idden="1" x14ac:dyDescent="0.2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8"/>
      <c r="P136" s="304" t="s">
        <v>40</v>
      </c>
      <c r="Q136" s="305"/>
      <c r="R136" s="305"/>
      <c r="S136" s="305"/>
      <c r="T136" s="305"/>
      <c r="U136" s="305"/>
      <c r="V136" s="306"/>
      <c r="W136" s="42" t="s">
        <v>39</v>
      </c>
      <c r="X136" s="43">
        <f>IFERROR(SUM(X133:X135),"0")</f>
        <v>0</v>
      </c>
      <c r="Y136" s="43">
        <f>IFERROR(SUM(Y133:Y135),"0")</f>
        <v>0</v>
      </c>
      <c r="Z136" s="43">
        <f>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8"/>
      <c r="P137" s="304" t="s">
        <v>40</v>
      </c>
      <c r="Q137" s="305"/>
      <c r="R137" s="305"/>
      <c r="S137" s="305"/>
      <c r="T137" s="305"/>
      <c r="U137" s="305"/>
      <c r="V137" s="306"/>
      <c r="W137" s="42" t="s">
        <v>0</v>
      </c>
      <c r="X137" s="43">
        <f>IFERROR(SUMPRODUCT(X133:X135*H133:H135),"0")</f>
        <v>0</v>
      </c>
      <c r="Y137" s="43">
        <f>IFERROR(SUMPRODUCT(Y133:Y135*H133:H135),"0")</f>
        <v>0</v>
      </c>
      <c r="Z137" s="42"/>
      <c r="AA137" s="67"/>
      <c r="AB137" s="67"/>
      <c r="AC137" s="67"/>
    </row>
    <row r="138" spans="1:68" ht="16.5" hidden="1" customHeight="1" x14ac:dyDescent="0.25">
      <c r="A138" s="327" t="s">
        <v>249</v>
      </c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  <c r="AA138" s="65"/>
      <c r="AB138" s="65"/>
      <c r="AC138" s="82"/>
    </row>
    <row r="139" spans="1:68" ht="14.25" hidden="1" customHeight="1" x14ac:dyDescent="0.25">
      <c r="A139" s="318" t="s">
        <v>160</v>
      </c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66"/>
      <c r="AB139" s="66"/>
      <c r="AC139" s="83"/>
    </row>
    <row r="140" spans="1:68" ht="27" customHeight="1" x14ac:dyDescent="0.25">
      <c r="A140" s="63" t="s">
        <v>250</v>
      </c>
      <c r="B140" s="63" t="s">
        <v>251</v>
      </c>
      <c r="C140" s="36">
        <v>4301135956</v>
      </c>
      <c r="D140" s="299">
        <v>4620207491560</v>
      </c>
      <c r="E140" s="299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6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0" s="301"/>
      <c r="R140" s="301"/>
      <c r="S140" s="301"/>
      <c r="T140" s="302"/>
      <c r="U140" s="39" t="s">
        <v>46</v>
      </c>
      <c r="V140" s="39" t="s">
        <v>46</v>
      </c>
      <c r="W140" s="40" t="s">
        <v>39</v>
      </c>
      <c r="X140" s="58">
        <v>28</v>
      </c>
      <c r="Y140" s="55">
        <f>IFERROR(IF(X140="","",X140),"")</f>
        <v>28</v>
      </c>
      <c r="Z140" s="41">
        <f>IFERROR(IF(X140="","",X140*0.01788),"")</f>
        <v>0.50063999999999997</v>
      </c>
      <c r="AA140" s="68" t="s">
        <v>46</v>
      </c>
      <c r="AB140" s="69" t="s">
        <v>46</v>
      </c>
      <c r="AC140" s="197" t="s">
        <v>252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103.70079999999999</v>
      </c>
      <c r="BN140" s="81">
        <f>IFERROR(Y140*I140,"0")</f>
        <v>103.70079999999999</v>
      </c>
      <c r="BO140" s="81">
        <f>IFERROR(X140/J140,"0")</f>
        <v>0.4</v>
      </c>
      <c r="BP140" s="81">
        <f>IFERROR(Y140/J140,"0")</f>
        <v>0.4</v>
      </c>
    </row>
    <row r="141" spans="1:68" ht="27" hidden="1" customHeight="1" x14ac:dyDescent="0.25">
      <c r="A141" s="63" t="s">
        <v>253</v>
      </c>
      <c r="B141" s="63" t="s">
        <v>254</v>
      </c>
      <c r="C141" s="36">
        <v>4301135602</v>
      </c>
      <c r="D141" s="299">
        <v>4607111033994</v>
      </c>
      <c r="E141" s="299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362" t="str">
        <f>HYPERLINK("https://abi.ru/products/Замороженные/Горячая штучка/Чебупицца/Снеки/P004638/","Снеки «Чебупицца Пепперони» Фикс.вес 0,25 Лоток ТМ «Горячая штучка»")</f>
        <v>Снеки «Чебупицца Пепперони» Фикс.вес 0,25 Лоток ТМ «Горячая штучка»</v>
      </c>
      <c r="Q141" s="301"/>
      <c r="R141" s="301"/>
      <c r="S141" s="301"/>
      <c r="T141" s="30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9" t="s">
        <v>175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255</v>
      </c>
      <c r="B142" s="63" t="s">
        <v>256</v>
      </c>
      <c r="C142" s="36">
        <v>4301135962</v>
      </c>
      <c r="D142" s="299">
        <v>4620207491584</v>
      </c>
      <c r="E142" s="299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35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2" s="301"/>
      <c r="R142" s="301"/>
      <c r="S142" s="301"/>
      <c r="T142" s="302"/>
      <c r="U142" s="39" t="s">
        <v>46</v>
      </c>
      <c r="V142" s="39" t="s">
        <v>46</v>
      </c>
      <c r="W142" s="40" t="s">
        <v>39</v>
      </c>
      <c r="X142" s="58">
        <v>154</v>
      </c>
      <c r="Y142" s="55">
        <f>IFERROR(IF(X142="","",X142),"")</f>
        <v>154</v>
      </c>
      <c r="Z142" s="41">
        <f>IFERROR(IF(X142="","",X142*0.01788),"")</f>
        <v>2.75352</v>
      </c>
      <c r="AA142" s="68" t="s">
        <v>46</v>
      </c>
      <c r="AB142" s="69" t="s">
        <v>46</v>
      </c>
      <c r="AC142" s="201" t="s">
        <v>252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570.35439999999994</v>
      </c>
      <c r="BN142" s="81">
        <f>IFERROR(Y142*I142,"0")</f>
        <v>570.35439999999994</v>
      </c>
      <c r="BO142" s="81">
        <f>IFERROR(X142/J142,"0")</f>
        <v>2.2000000000000002</v>
      </c>
      <c r="BP142" s="81">
        <f>IFERROR(Y142/J142,"0")</f>
        <v>2.2000000000000002</v>
      </c>
    </row>
    <row r="143" spans="1:68" x14ac:dyDescent="0.2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8"/>
      <c r="P143" s="304" t="s">
        <v>40</v>
      </c>
      <c r="Q143" s="305"/>
      <c r="R143" s="305"/>
      <c r="S143" s="305"/>
      <c r="T143" s="305"/>
      <c r="U143" s="305"/>
      <c r="V143" s="306"/>
      <c r="W143" s="42" t="s">
        <v>39</v>
      </c>
      <c r="X143" s="43">
        <f>IFERROR(SUM(X140:X142),"0")</f>
        <v>182</v>
      </c>
      <c r="Y143" s="43">
        <f>IFERROR(SUM(Y140:Y142),"0")</f>
        <v>182</v>
      </c>
      <c r="Z143" s="43">
        <f>IFERROR(IF(Z140="",0,Z140),"0")+IFERROR(IF(Z141="",0,Z141),"0")+IFERROR(IF(Z142="",0,Z142),"0")</f>
        <v>3.2541599999999997</v>
      </c>
      <c r="AA143" s="67"/>
      <c r="AB143" s="67"/>
      <c r="AC143" s="67"/>
    </row>
    <row r="144" spans="1:68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8"/>
      <c r="P144" s="304" t="s">
        <v>40</v>
      </c>
      <c r="Q144" s="305"/>
      <c r="R144" s="305"/>
      <c r="S144" s="305"/>
      <c r="T144" s="305"/>
      <c r="U144" s="305"/>
      <c r="V144" s="306"/>
      <c r="W144" s="42" t="s">
        <v>0</v>
      </c>
      <c r="X144" s="43">
        <f>IFERROR(SUMPRODUCT(X140:X142*H140:H142),"0")</f>
        <v>546</v>
      </c>
      <c r="Y144" s="43">
        <f>IFERROR(SUMPRODUCT(Y140:Y142*H140:H142),"0")</f>
        <v>546</v>
      </c>
      <c r="Z144" s="42"/>
      <c r="AA144" s="67"/>
      <c r="AB144" s="67"/>
      <c r="AC144" s="67"/>
    </row>
    <row r="145" spans="1:68" ht="16.5" hidden="1" customHeight="1" x14ac:dyDescent="0.25">
      <c r="A145" s="327" t="s">
        <v>257</v>
      </c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  <c r="AA145" s="65"/>
      <c r="AB145" s="65"/>
      <c r="AC145" s="82"/>
    </row>
    <row r="146" spans="1:68" ht="14.25" hidden="1" customHeight="1" x14ac:dyDescent="0.25">
      <c r="A146" s="318" t="s">
        <v>160</v>
      </c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66"/>
      <c r="AB146" s="66"/>
      <c r="AC146" s="83"/>
    </row>
    <row r="147" spans="1:68" ht="27" customHeight="1" x14ac:dyDescent="0.25">
      <c r="A147" s="63" t="s">
        <v>258</v>
      </c>
      <c r="B147" s="63" t="s">
        <v>259</v>
      </c>
      <c r="C147" s="36">
        <v>4301135954</v>
      </c>
      <c r="D147" s="299">
        <v>4620207491768</v>
      </c>
      <c r="E147" s="299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123</v>
      </c>
      <c r="L147" s="37" t="s">
        <v>88</v>
      </c>
      <c r="M147" s="38" t="s">
        <v>86</v>
      </c>
      <c r="N147" s="38"/>
      <c r="O147" s="37">
        <v>180</v>
      </c>
      <c r="P147" s="36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7" s="301"/>
      <c r="R147" s="301"/>
      <c r="S147" s="301"/>
      <c r="T147" s="302"/>
      <c r="U147" s="39" t="s">
        <v>46</v>
      </c>
      <c r="V147" s="39" t="s">
        <v>46</v>
      </c>
      <c r="W147" s="40" t="s">
        <v>39</v>
      </c>
      <c r="X147" s="58">
        <v>14</v>
      </c>
      <c r="Y147" s="55">
        <f>IFERROR(IF(X147="","",X147),"")</f>
        <v>14</v>
      </c>
      <c r="Z147" s="41">
        <f>IFERROR(IF(X147="","",X147*0.01788),"")</f>
        <v>0.25031999999999999</v>
      </c>
      <c r="AA147" s="68" t="s">
        <v>46</v>
      </c>
      <c r="AB147" s="69" t="s">
        <v>46</v>
      </c>
      <c r="AC147" s="203" t="s">
        <v>260</v>
      </c>
      <c r="AG147" s="81"/>
      <c r="AJ147" s="87" t="s">
        <v>89</v>
      </c>
      <c r="AK147" s="87">
        <v>1</v>
      </c>
      <c r="BB147" s="204" t="s">
        <v>122</v>
      </c>
      <c r="BM147" s="81">
        <f>IFERROR(X147*I147,"0")</f>
        <v>52.472000000000001</v>
      </c>
      <c r="BN147" s="81">
        <f>IFERROR(Y147*I147,"0")</f>
        <v>52.472000000000001</v>
      </c>
      <c r="BO147" s="81">
        <f>IFERROR(X147/J147,"0")</f>
        <v>0.2</v>
      </c>
      <c r="BP147" s="81">
        <f>IFERROR(Y147/J147,"0")</f>
        <v>0.2</v>
      </c>
    </row>
    <row r="148" spans="1:68" ht="16.5" customHeight="1" x14ac:dyDescent="0.25">
      <c r="A148" s="63" t="s">
        <v>261</v>
      </c>
      <c r="B148" s="63" t="s">
        <v>262</v>
      </c>
      <c r="C148" s="36">
        <v>4301135946</v>
      </c>
      <c r="D148" s="299">
        <v>4620207491553</v>
      </c>
      <c r="E148" s="299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35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8" s="301"/>
      <c r="R148" s="301"/>
      <c r="S148" s="301"/>
      <c r="T148" s="302"/>
      <c r="U148" s="39" t="s">
        <v>46</v>
      </c>
      <c r="V148" s="39" t="s">
        <v>46</v>
      </c>
      <c r="W148" s="40" t="s">
        <v>39</v>
      </c>
      <c r="X148" s="58">
        <v>98</v>
      </c>
      <c r="Y148" s="55">
        <f>IFERROR(IF(X148="","",X148),"")</f>
        <v>98</v>
      </c>
      <c r="Z148" s="41">
        <f>IFERROR(IF(X148="","",X148*0.01788),"")</f>
        <v>1.75224</v>
      </c>
      <c r="AA148" s="68" t="s">
        <v>46</v>
      </c>
      <c r="AB148" s="69" t="s">
        <v>46</v>
      </c>
      <c r="AC148" s="205" t="s">
        <v>260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362.95279999999997</v>
      </c>
      <c r="BN148" s="81">
        <f>IFERROR(Y148*I148,"0")</f>
        <v>362.95279999999997</v>
      </c>
      <c r="BO148" s="81">
        <f>IFERROR(X148/J148,"0")</f>
        <v>1.4</v>
      </c>
      <c r="BP148" s="81">
        <f>IFERROR(Y148/J148,"0")</f>
        <v>1.4</v>
      </c>
    </row>
    <row r="149" spans="1:68" x14ac:dyDescent="0.2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8"/>
      <c r="P149" s="304" t="s">
        <v>40</v>
      </c>
      <c r="Q149" s="305"/>
      <c r="R149" s="305"/>
      <c r="S149" s="305"/>
      <c r="T149" s="305"/>
      <c r="U149" s="305"/>
      <c r="V149" s="306"/>
      <c r="W149" s="42" t="s">
        <v>39</v>
      </c>
      <c r="X149" s="43">
        <f>IFERROR(SUM(X147:X148),"0")</f>
        <v>112</v>
      </c>
      <c r="Y149" s="43">
        <f>IFERROR(SUM(Y147:Y148),"0")</f>
        <v>112</v>
      </c>
      <c r="Z149" s="43">
        <f>IFERROR(IF(Z147="",0,Z147),"0")+IFERROR(IF(Z148="",0,Z148),"0")</f>
        <v>2.0025599999999999</v>
      </c>
      <c r="AA149" s="67"/>
      <c r="AB149" s="67"/>
      <c r="AC149" s="67"/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8"/>
      <c r="P150" s="304" t="s">
        <v>40</v>
      </c>
      <c r="Q150" s="305"/>
      <c r="R150" s="305"/>
      <c r="S150" s="305"/>
      <c r="T150" s="305"/>
      <c r="U150" s="305"/>
      <c r="V150" s="306"/>
      <c r="W150" s="42" t="s">
        <v>0</v>
      </c>
      <c r="X150" s="43">
        <f>IFERROR(SUMPRODUCT(X147:X148*H147:H148),"0")</f>
        <v>336</v>
      </c>
      <c r="Y150" s="43">
        <f>IFERROR(SUMPRODUCT(Y147:Y148*H147:H148),"0")</f>
        <v>336</v>
      </c>
      <c r="Z150" s="42"/>
      <c r="AA150" s="67"/>
      <c r="AB150" s="67"/>
      <c r="AC150" s="67"/>
    </row>
    <row r="151" spans="1:68" ht="16.5" hidden="1" customHeight="1" x14ac:dyDescent="0.25">
      <c r="A151" s="327" t="s">
        <v>263</v>
      </c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7"/>
      <c r="W151" s="327"/>
      <c r="X151" s="327"/>
      <c r="Y151" s="327"/>
      <c r="Z151" s="327"/>
      <c r="AA151" s="65"/>
      <c r="AB151" s="65"/>
      <c r="AC151" s="82"/>
    </row>
    <row r="152" spans="1:68" ht="14.25" hidden="1" customHeight="1" x14ac:dyDescent="0.25">
      <c r="A152" s="318" t="s">
        <v>160</v>
      </c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66"/>
      <c r="AB152" s="66"/>
      <c r="AC152" s="83"/>
    </row>
    <row r="153" spans="1:68" ht="27" customHeight="1" x14ac:dyDescent="0.25">
      <c r="A153" s="63" t="s">
        <v>264</v>
      </c>
      <c r="B153" s="63" t="s">
        <v>265</v>
      </c>
      <c r="C153" s="36">
        <v>4301135926</v>
      </c>
      <c r="D153" s="299">
        <v>4620207491669</v>
      </c>
      <c r="E153" s="299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123</v>
      </c>
      <c r="L153" s="37" t="s">
        <v>88</v>
      </c>
      <c r="M153" s="38" t="s">
        <v>86</v>
      </c>
      <c r="N153" s="38"/>
      <c r="O153" s="37">
        <v>180</v>
      </c>
      <c r="P153" s="3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3" s="301"/>
      <c r="R153" s="301"/>
      <c r="S153" s="301"/>
      <c r="T153" s="302"/>
      <c r="U153" s="39" t="s">
        <v>46</v>
      </c>
      <c r="V153" s="39" t="s">
        <v>46</v>
      </c>
      <c r="W153" s="40" t="s">
        <v>39</v>
      </c>
      <c r="X153" s="58">
        <v>14</v>
      </c>
      <c r="Y153" s="55">
        <f>IFERROR(IF(X153="","",X153),"")</f>
        <v>14</v>
      </c>
      <c r="Z153" s="41">
        <f>IFERROR(IF(X153="","",X153*0.01788),"")</f>
        <v>0.25031999999999999</v>
      </c>
      <c r="AA153" s="68" t="s">
        <v>46</v>
      </c>
      <c r="AB153" s="69" t="s">
        <v>46</v>
      </c>
      <c r="AC153" s="207" t="s">
        <v>266</v>
      </c>
      <c r="AG153" s="81"/>
      <c r="AJ153" s="87" t="s">
        <v>89</v>
      </c>
      <c r="AK153" s="87">
        <v>1</v>
      </c>
      <c r="BB153" s="208" t="s">
        <v>122</v>
      </c>
      <c r="BM153" s="81">
        <f>IFERROR(X153*I153,"0")</f>
        <v>37.520000000000003</v>
      </c>
      <c r="BN153" s="81">
        <f>IFERROR(Y153*I153,"0")</f>
        <v>37.520000000000003</v>
      </c>
      <c r="BO153" s="81">
        <f>IFERROR(X153/J153,"0")</f>
        <v>0.2</v>
      </c>
      <c r="BP153" s="81">
        <f>IFERROR(Y153/J153,"0")</f>
        <v>0.2</v>
      </c>
    </row>
    <row r="154" spans="1:68" ht="27" hidden="1" customHeight="1" x14ac:dyDescent="0.25">
      <c r="A154" s="63" t="s">
        <v>267</v>
      </c>
      <c r="B154" s="63" t="s">
        <v>268</v>
      </c>
      <c r="C154" s="36">
        <v>4301135928</v>
      </c>
      <c r="D154" s="299">
        <v>4620207491669</v>
      </c>
      <c r="E154" s="299"/>
      <c r="F154" s="62">
        <v>0.2</v>
      </c>
      <c r="G154" s="37">
        <v>6</v>
      </c>
      <c r="H154" s="62">
        <v>1.2</v>
      </c>
      <c r="I154" s="62">
        <v>1.41</v>
      </c>
      <c r="J154" s="37">
        <v>140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355" t="str">
        <f>HYPERLINK("https://abi.ru/products/Замороженные/Горячая штучка/Круггетсы/Снеки/P005483/","Снеки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4" s="301"/>
      <c r="R154" s="301"/>
      <c r="S154" s="301"/>
      <c r="T154" s="302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209" t="s">
        <v>266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27" customHeight="1" x14ac:dyDescent="0.25">
      <c r="A155" s="63" t="s">
        <v>269</v>
      </c>
      <c r="B155" s="63" t="s">
        <v>270</v>
      </c>
      <c r="C155" s="36">
        <v>4301135932</v>
      </c>
      <c r="D155" s="299">
        <v>4620207491676</v>
      </c>
      <c r="E155" s="29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123</v>
      </c>
      <c r="L155" s="37" t="s">
        <v>88</v>
      </c>
      <c r="M155" s="38" t="s">
        <v>86</v>
      </c>
      <c r="N155" s="38"/>
      <c r="O155" s="37">
        <v>180</v>
      </c>
      <c r="P155" s="35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5" s="301"/>
      <c r="R155" s="301"/>
      <c r="S155" s="301"/>
      <c r="T155" s="302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11" t="s">
        <v>266</v>
      </c>
      <c r="AG155" s="81"/>
      <c r="AJ155" s="87" t="s">
        <v>89</v>
      </c>
      <c r="AK155" s="87">
        <v>1</v>
      </c>
      <c r="BB155" s="212" t="s">
        <v>122</v>
      </c>
      <c r="BM155" s="81">
        <f>IFERROR(X155*I155,"0")</f>
        <v>112.56</v>
      </c>
      <c r="BN155" s="81">
        <f>IFERROR(Y155*I155,"0")</f>
        <v>112.56</v>
      </c>
      <c r="BO155" s="81">
        <f>IFERROR(X155/J155,"0")</f>
        <v>0.6</v>
      </c>
      <c r="BP155" s="81">
        <f>IFERROR(Y155/J155,"0")</f>
        <v>0.6</v>
      </c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8"/>
      <c r="P156" s="304" t="s">
        <v>40</v>
      </c>
      <c r="Q156" s="305"/>
      <c r="R156" s="305"/>
      <c r="S156" s="305"/>
      <c r="T156" s="305"/>
      <c r="U156" s="305"/>
      <c r="V156" s="306"/>
      <c r="W156" s="42" t="s">
        <v>39</v>
      </c>
      <c r="X156" s="43">
        <f>IFERROR(SUM(X153:X155),"0")</f>
        <v>56</v>
      </c>
      <c r="Y156" s="43">
        <f>IFERROR(SUM(Y153:Y155),"0")</f>
        <v>56</v>
      </c>
      <c r="Z156" s="43">
        <f>IFERROR(IF(Z153="",0,Z153),"0")+IFERROR(IF(Z154="",0,Z154),"0")+IFERROR(IF(Z155="",0,Z155),"0")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8"/>
      <c r="P157" s="304" t="s">
        <v>40</v>
      </c>
      <c r="Q157" s="305"/>
      <c r="R157" s="305"/>
      <c r="S157" s="305"/>
      <c r="T157" s="305"/>
      <c r="U157" s="305"/>
      <c r="V157" s="306"/>
      <c r="W157" s="42" t="s">
        <v>0</v>
      </c>
      <c r="X157" s="43">
        <f>IFERROR(SUMPRODUCT(X153:X155*H153:H155),"0")</f>
        <v>134.4</v>
      </c>
      <c r="Y157" s="43">
        <f>IFERROR(SUMPRODUCT(Y153:Y155*H153:H155),"0")</f>
        <v>134.4</v>
      </c>
      <c r="Z157" s="42"/>
      <c r="AA157" s="67"/>
      <c r="AB157" s="67"/>
      <c r="AC157" s="67"/>
    </row>
    <row r="158" spans="1:68" ht="16.5" hidden="1" customHeight="1" x14ac:dyDescent="0.25">
      <c r="A158" s="327" t="s">
        <v>271</v>
      </c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  <c r="V158" s="327"/>
      <c r="W158" s="327"/>
      <c r="X158" s="327"/>
      <c r="Y158" s="327"/>
      <c r="Z158" s="327"/>
      <c r="AA158" s="65"/>
      <c r="AB158" s="65"/>
      <c r="AC158" s="82"/>
    </row>
    <row r="159" spans="1:68" ht="14.25" hidden="1" customHeight="1" x14ac:dyDescent="0.25">
      <c r="A159" s="318" t="s">
        <v>160</v>
      </c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66"/>
      <c r="AB159" s="66"/>
      <c r="AC159" s="83"/>
    </row>
    <row r="160" spans="1:68" ht="27" hidden="1" customHeight="1" x14ac:dyDescent="0.25">
      <c r="A160" s="63" t="s">
        <v>272</v>
      </c>
      <c r="B160" s="63" t="s">
        <v>273</v>
      </c>
      <c r="C160" s="36">
        <v>4301135570</v>
      </c>
      <c r="D160" s="299">
        <v>4607111035806</v>
      </c>
      <c r="E160" s="299"/>
      <c r="F160" s="62">
        <v>0.25</v>
      </c>
      <c r="G160" s="37">
        <v>12</v>
      </c>
      <c r="H160" s="62">
        <v>3</v>
      </c>
      <c r="I160" s="62">
        <v>3.7035999999999998</v>
      </c>
      <c r="J160" s="37">
        <v>70</v>
      </c>
      <c r="K160" s="37" t="s">
        <v>123</v>
      </c>
      <c r="L160" s="37" t="s">
        <v>124</v>
      </c>
      <c r="M160" s="38" t="s">
        <v>86</v>
      </c>
      <c r="N160" s="38"/>
      <c r="O160" s="37">
        <v>180</v>
      </c>
      <c r="P160" s="3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01"/>
      <c r="R160" s="301"/>
      <c r="S160" s="301"/>
      <c r="T160" s="302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274</v>
      </c>
      <c r="AG160" s="81"/>
      <c r="AJ160" s="87" t="s">
        <v>125</v>
      </c>
      <c r="AK160" s="87">
        <v>14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275</v>
      </c>
      <c r="B161" s="63" t="s">
        <v>276</v>
      </c>
      <c r="C161" s="36">
        <v>4301135940</v>
      </c>
      <c r="D161" s="299">
        <v>4620207491614</v>
      </c>
      <c r="E161" s="29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35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01"/>
      <c r="R161" s="301"/>
      <c r="S161" s="301"/>
      <c r="T161" s="302"/>
      <c r="U161" s="39" t="s">
        <v>46</v>
      </c>
      <c r="V161" s="39" t="s">
        <v>46</v>
      </c>
      <c r="W161" s="40" t="s">
        <v>39</v>
      </c>
      <c r="X161" s="58">
        <v>14</v>
      </c>
      <c r="Y161" s="55">
        <f>IFERROR(IF(X161="","",X161),"")</f>
        <v>14</v>
      </c>
      <c r="Z161" s="41">
        <f>IFERROR(IF(X161="","",X161*0.01788),"")</f>
        <v>0.25031999999999999</v>
      </c>
      <c r="AA161" s="68" t="s">
        <v>46</v>
      </c>
      <c r="AB161" s="69" t="s">
        <v>46</v>
      </c>
      <c r="AC161" s="215" t="s">
        <v>163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51.850399999999993</v>
      </c>
      <c r="BN161" s="81">
        <f>IFERROR(Y161*I161,"0")</f>
        <v>51.850399999999993</v>
      </c>
      <c r="BO161" s="81">
        <f>IFERROR(X161/J161,"0")</f>
        <v>0.2</v>
      </c>
      <c r="BP161" s="81">
        <f>IFERROR(Y161/J161,"0")</f>
        <v>0.2</v>
      </c>
    </row>
    <row r="162" spans="1:68" x14ac:dyDescent="0.2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8"/>
      <c r="P162" s="304" t="s">
        <v>40</v>
      </c>
      <c r="Q162" s="305"/>
      <c r="R162" s="305"/>
      <c r="S162" s="305"/>
      <c r="T162" s="305"/>
      <c r="U162" s="305"/>
      <c r="V162" s="306"/>
      <c r="W162" s="42" t="s">
        <v>39</v>
      </c>
      <c r="X162" s="43">
        <f>IFERROR(SUM(X160:X161),"0")</f>
        <v>14</v>
      </c>
      <c r="Y162" s="43">
        <f>IFERROR(SUM(Y160:Y161),"0")</f>
        <v>14</v>
      </c>
      <c r="Z162" s="43">
        <f>IFERROR(IF(Z160="",0,Z160),"0")+IFERROR(IF(Z161="",0,Z161),"0")</f>
        <v>0.25031999999999999</v>
      </c>
      <c r="AA162" s="67"/>
      <c r="AB162" s="67"/>
      <c r="AC162" s="67"/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8"/>
      <c r="P163" s="304" t="s">
        <v>40</v>
      </c>
      <c r="Q163" s="305"/>
      <c r="R163" s="305"/>
      <c r="S163" s="305"/>
      <c r="T163" s="305"/>
      <c r="U163" s="305"/>
      <c r="V163" s="306"/>
      <c r="W163" s="42" t="s">
        <v>0</v>
      </c>
      <c r="X163" s="43">
        <f>IFERROR(SUMPRODUCT(X160:X161*H160:H161),"0")</f>
        <v>42</v>
      </c>
      <c r="Y163" s="43">
        <f>IFERROR(SUMPRODUCT(Y160:Y161*H160:H161),"0")</f>
        <v>42</v>
      </c>
      <c r="Z163" s="42"/>
      <c r="AA163" s="67"/>
      <c r="AB163" s="67"/>
      <c r="AC163" s="67"/>
    </row>
    <row r="164" spans="1:68" ht="16.5" hidden="1" customHeight="1" x14ac:dyDescent="0.25">
      <c r="A164" s="327" t="s">
        <v>277</v>
      </c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  <c r="V164" s="327"/>
      <c r="W164" s="327"/>
      <c r="X164" s="327"/>
      <c r="Y164" s="327"/>
      <c r="Z164" s="327"/>
      <c r="AA164" s="65"/>
      <c r="AB164" s="65"/>
      <c r="AC164" s="82"/>
    </row>
    <row r="165" spans="1:68" ht="14.25" hidden="1" customHeight="1" x14ac:dyDescent="0.25">
      <c r="A165" s="318" t="s">
        <v>160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6"/>
      <c r="AB165" s="66"/>
      <c r="AC165" s="83"/>
    </row>
    <row r="166" spans="1:68" ht="16.5" hidden="1" customHeight="1" x14ac:dyDescent="0.25">
      <c r="A166" s="63" t="s">
        <v>278</v>
      </c>
      <c r="B166" s="63" t="s">
        <v>279</v>
      </c>
      <c r="C166" s="36">
        <v>4301135607</v>
      </c>
      <c r="D166" s="299">
        <v>4607111039613</v>
      </c>
      <c r="E166" s="29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123</v>
      </c>
      <c r="L166" s="37" t="s">
        <v>124</v>
      </c>
      <c r="M166" s="38" t="s">
        <v>86</v>
      </c>
      <c r="N166" s="38"/>
      <c r="O166" s="37">
        <v>180</v>
      </c>
      <c r="P166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01"/>
      <c r="R166" s="301"/>
      <c r="S166" s="301"/>
      <c r="T166" s="30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17" t="s">
        <v>280</v>
      </c>
      <c r="AG166" s="81"/>
      <c r="AJ166" s="87" t="s">
        <v>125</v>
      </c>
      <c r="AK166" s="87">
        <v>14</v>
      </c>
      <c r="BB166" s="218" t="s">
        <v>122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8"/>
      <c r="P167" s="304" t="s">
        <v>40</v>
      </c>
      <c r="Q167" s="305"/>
      <c r="R167" s="305"/>
      <c r="S167" s="305"/>
      <c r="T167" s="305"/>
      <c r="U167" s="305"/>
      <c r="V167" s="306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8"/>
      <c r="P168" s="304" t="s">
        <v>40</v>
      </c>
      <c r="Q168" s="305"/>
      <c r="R168" s="305"/>
      <c r="S168" s="305"/>
      <c r="T168" s="305"/>
      <c r="U168" s="305"/>
      <c r="V168" s="306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27" t="s">
        <v>281</v>
      </c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7"/>
      <c r="X169" s="327"/>
      <c r="Y169" s="327"/>
      <c r="Z169" s="327"/>
      <c r="AA169" s="65"/>
      <c r="AB169" s="65"/>
      <c r="AC169" s="82"/>
    </row>
    <row r="170" spans="1:68" ht="14.25" hidden="1" customHeight="1" x14ac:dyDescent="0.25">
      <c r="A170" s="318" t="s">
        <v>160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6"/>
      <c r="AB170" s="66"/>
      <c r="AC170" s="83"/>
    </row>
    <row r="171" spans="1:68" ht="27" customHeight="1" x14ac:dyDescent="0.25">
      <c r="A171" s="63" t="s">
        <v>282</v>
      </c>
      <c r="B171" s="63" t="s">
        <v>283</v>
      </c>
      <c r="C171" s="36">
        <v>4301135912</v>
      </c>
      <c r="D171" s="299">
        <v>4620207491751</v>
      </c>
      <c r="E171" s="29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123</v>
      </c>
      <c r="L171" s="37" t="s">
        <v>88</v>
      </c>
      <c r="M171" s="38" t="s">
        <v>86</v>
      </c>
      <c r="N171" s="38"/>
      <c r="O171" s="37">
        <v>180</v>
      </c>
      <c r="P171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1" s="301"/>
      <c r="R171" s="301"/>
      <c r="S171" s="301"/>
      <c r="T171" s="302"/>
      <c r="U171" s="39" t="s">
        <v>46</v>
      </c>
      <c r="V171" s="39" t="s">
        <v>46</v>
      </c>
      <c r="W171" s="40" t="s">
        <v>39</v>
      </c>
      <c r="X171" s="58">
        <v>56</v>
      </c>
      <c r="Y171" s="55">
        <f>IFERROR(IF(X171="","",X171),"")</f>
        <v>56</v>
      </c>
      <c r="Z171" s="41">
        <f>IFERROR(IF(X171="","",X171*0.00941),"")</f>
        <v>0.52695999999999998</v>
      </c>
      <c r="AA171" s="68" t="s">
        <v>46</v>
      </c>
      <c r="AB171" s="69" t="s">
        <v>46</v>
      </c>
      <c r="AC171" s="219" t="s">
        <v>163</v>
      </c>
      <c r="AG171" s="81"/>
      <c r="AJ171" s="87" t="s">
        <v>89</v>
      </c>
      <c r="AK171" s="87">
        <v>1</v>
      </c>
      <c r="BB171" s="220" t="s">
        <v>122</v>
      </c>
      <c r="BM171" s="81">
        <f>IFERROR(X171*I171,"0")</f>
        <v>117.70079999999999</v>
      </c>
      <c r="BN171" s="81">
        <f>IFERROR(Y171*I171,"0")</f>
        <v>117.70079999999999</v>
      </c>
      <c r="BO171" s="81">
        <f>IFERROR(X171/J171,"0")</f>
        <v>0.4</v>
      </c>
      <c r="BP171" s="81">
        <f>IFERROR(Y171/J171,"0")</f>
        <v>0.4</v>
      </c>
    </row>
    <row r="172" spans="1:68" x14ac:dyDescent="0.2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8"/>
      <c r="P172" s="304" t="s">
        <v>40</v>
      </c>
      <c r="Q172" s="305"/>
      <c r="R172" s="305"/>
      <c r="S172" s="305"/>
      <c r="T172" s="305"/>
      <c r="U172" s="305"/>
      <c r="V172" s="306"/>
      <c r="W172" s="42" t="s">
        <v>39</v>
      </c>
      <c r="X172" s="43">
        <f>IFERROR(SUM(X171:X171),"0")</f>
        <v>56</v>
      </c>
      <c r="Y172" s="43">
        <f>IFERROR(SUM(Y171:Y171),"0")</f>
        <v>56</v>
      </c>
      <c r="Z172" s="43">
        <f>IFERROR(IF(Z171="",0,Z171),"0")</f>
        <v>0.52695999999999998</v>
      </c>
      <c r="AA172" s="67"/>
      <c r="AB172" s="67"/>
      <c r="AC172" s="67"/>
    </row>
    <row r="173" spans="1:68" x14ac:dyDescent="0.2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8"/>
      <c r="P173" s="304" t="s">
        <v>40</v>
      </c>
      <c r="Q173" s="305"/>
      <c r="R173" s="305"/>
      <c r="S173" s="305"/>
      <c r="T173" s="305"/>
      <c r="U173" s="305"/>
      <c r="V173" s="306"/>
      <c r="W173" s="42" t="s">
        <v>0</v>
      </c>
      <c r="X173" s="43">
        <f>IFERROR(SUMPRODUCT(X171:X171*H171:H171),"0")</f>
        <v>94.08</v>
      </c>
      <c r="Y173" s="43">
        <f>IFERROR(SUMPRODUCT(Y171:Y171*H171:H171),"0")</f>
        <v>94.08</v>
      </c>
      <c r="Z173" s="42"/>
      <c r="AA173" s="67"/>
      <c r="AB173" s="67"/>
      <c r="AC173" s="67"/>
    </row>
    <row r="174" spans="1:68" ht="27.75" hidden="1" customHeight="1" x14ac:dyDescent="0.2">
      <c r="A174" s="326" t="s">
        <v>284</v>
      </c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54"/>
      <c r="AB174" s="54"/>
      <c r="AC174" s="54"/>
    </row>
    <row r="175" spans="1:68" ht="16.5" hidden="1" customHeight="1" x14ac:dyDescent="0.25">
      <c r="A175" s="327" t="s">
        <v>285</v>
      </c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  <c r="AA175" s="65"/>
      <c r="AB175" s="65"/>
      <c r="AC175" s="82"/>
    </row>
    <row r="176" spans="1:68" ht="14.25" hidden="1" customHeight="1" x14ac:dyDescent="0.25">
      <c r="A176" s="318" t="s">
        <v>118</v>
      </c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66"/>
      <c r="AB176" s="66"/>
      <c r="AC176" s="83"/>
    </row>
    <row r="177" spans="1:68" ht="27" customHeight="1" x14ac:dyDescent="0.25">
      <c r="A177" s="63" t="s">
        <v>286</v>
      </c>
      <c r="B177" s="63" t="s">
        <v>287</v>
      </c>
      <c r="C177" s="36">
        <v>4301132226</v>
      </c>
      <c r="D177" s="299">
        <v>4620207490631</v>
      </c>
      <c r="E177" s="299"/>
      <c r="F177" s="62">
        <v>6</v>
      </c>
      <c r="G177" s="37">
        <v>1</v>
      </c>
      <c r="H177" s="62">
        <v>6</v>
      </c>
      <c r="I177" s="62">
        <v>6.2350000000000003</v>
      </c>
      <c r="J177" s="37">
        <v>84</v>
      </c>
      <c r="K177" s="37" t="s">
        <v>87</v>
      </c>
      <c r="L177" s="37" t="s">
        <v>88</v>
      </c>
      <c r="M177" s="38" t="s">
        <v>86</v>
      </c>
      <c r="N177" s="38"/>
      <c r="O177" s="37">
        <v>180</v>
      </c>
      <c r="P177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7" s="301"/>
      <c r="R177" s="301"/>
      <c r="S177" s="301"/>
      <c r="T177" s="302"/>
      <c r="U177" s="39" t="s">
        <v>46</v>
      </c>
      <c r="V177" s="39" t="s">
        <v>46</v>
      </c>
      <c r="W177" s="40" t="s">
        <v>39</v>
      </c>
      <c r="X177" s="58">
        <v>264</v>
      </c>
      <c r="Y177" s="55">
        <f>IFERROR(IF(X177="","",X177),"")</f>
        <v>264</v>
      </c>
      <c r="Z177" s="41">
        <f>IFERROR(IF(X177="","",X177*0.0155),"")</f>
        <v>4.0919999999999996</v>
      </c>
      <c r="AA177" s="68" t="s">
        <v>46</v>
      </c>
      <c r="AB177" s="69" t="s">
        <v>46</v>
      </c>
      <c r="AC177" s="221" t="s">
        <v>288</v>
      </c>
      <c r="AG177" s="81"/>
      <c r="AJ177" s="87" t="s">
        <v>89</v>
      </c>
      <c r="AK177" s="87">
        <v>1</v>
      </c>
      <c r="BB177" s="222" t="s">
        <v>122</v>
      </c>
      <c r="BM177" s="81">
        <f>IFERROR(X177*I177,"0")</f>
        <v>1646.0400000000002</v>
      </c>
      <c r="BN177" s="81">
        <f>IFERROR(Y177*I177,"0")</f>
        <v>1646.0400000000002</v>
      </c>
      <c r="BO177" s="81">
        <f>IFERROR(X177/J177,"0")</f>
        <v>3.1428571428571428</v>
      </c>
      <c r="BP177" s="81">
        <f>IFERROR(Y177/J177,"0")</f>
        <v>3.1428571428571428</v>
      </c>
    </row>
    <row r="178" spans="1:68" x14ac:dyDescent="0.2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8"/>
      <c r="P178" s="304" t="s">
        <v>40</v>
      </c>
      <c r="Q178" s="305"/>
      <c r="R178" s="305"/>
      <c r="S178" s="305"/>
      <c r="T178" s="305"/>
      <c r="U178" s="305"/>
      <c r="V178" s="306"/>
      <c r="W178" s="42" t="s">
        <v>39</v>
      </c>
      <c r="X178" s="43">
        <f>IFERROR(SUM(X177:X177),"0")</f>
        <v>264</v>
      </c>
      <c r="Y178" s="43">
        <f>IFERROR(SUM(Y177:Y177),"0")</f>
        <v>264</v>
      </c>
      <c r="Z178" s="43">
        <f>IFERROR(IF(Z177="",0,Z177),"0")</f>
        <v>4.0919999999999996</v>
      </c>
      <c r="AA178" s="67"/>
      <c r="AB178" s="67"/>
      <c r="AC178" s="67"/>
    </row>
    <row r="179" spans="1:68" x14ac:dyDescent="0.2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8"/>
      <c r="P179" s="304" t="s">
        <v>40</v>
      </c>
      <c r="Q179" s="305"/>
      <c r="R179" s="305"/>
      <c r="S179" s="305"/>
      <c r="T179" s="305"/>
      <c r="U179" s="305"/>
      <c r="V179" s="306"/>
      <c r="W179" s="42" t="s">
        <v>0</v>
      </c>
      <c r="X179" s="43">
        <f>IFERROR(SUMPRODUCT(X177:X177*H177:H177),"0")</f>
        <v>1584</v>
      </c>
      <c r="Y179" s="43">
        <f>IFERROR(SUMPRODUCT(Y177:Y177*H177:H177),"0")</f>
        <v>1584</v>
      </c>
      <c r="Z179" s="42"/>
      <c r="AA179" s="67"/>
      <c r="AB179" s="67"/>
      <c r="AC179" s="67"/>
    </row>
    <row r="180" spans="1:68" ht="14.25" hidden="1" customHeight="1" x14ac:dyDescent="0.25">
      <c r="A180" s="318" t="s">
        <v>160</v>
      </c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66"/>
      <c r="AB180" s="66"/>
      <c r="AC180" s="83"/>
    </row>
    <row r="181" spans="1:68" ht="16.5" hidden="1" customHeight="1" x14ac:dyDescent="0.25">
      <c r="A181" s="63" t="s">
        <v>289</v>
      </c>
      <c r="B181" s="63" t="s">
        <v>290</v>
      </c>
      <c r="C181" s="36">
        <v>4301137080</v>
      </c>
      <c r="D181" s="299">
        <v>4620207492062</v>
      </c>
      <c r="E181" s="299"/>
      <c r="F181" s="62">
        <v>5.5</v>
      </c>
      <c r="G181" s="37">
        <v>1</v>
      </c>
      <c r="H181" s="62">
        <v>5.5</v>
      </c>
      <c r="I181" s="62">
        <v>5.7350000000000003</v>
      </c>
      <c r="J181" s="37">
        <v>84</v>
      </c>
      <c r="K181" s="37" t="s">
        <v>87</v>
      </c>
      <c r="L181" s="37" t="s">
        <v>88</v>
      </c>
      <c r="M181" s="38" t="s">
        <v>86</v>
      </c>
      <c r="N181" s="38"/>
      <c r="O181" s="37">
        <v>180</v>
      </c>
      <c r="P181" s="348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1" s="301"/>
      <c r="R181" s="301"/>
      <c r="S181" s="301"/>
      <c r="T181" s="302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IFERROR(IF(X181="","",X181*0.0155),"")</f>
        <v>0</v>
      </c>
      <c r="AA181" s="68" t="s">
        <v>46</v>
      </c>
      <c r="AB181" s="69" t="s">
        <v>46</v>
      </c>
      <c r="AC181" s="223" t="s">
        <v>291</v>
      </c>
      <c r="AG181" s="81"/>
      <c r="AJ181" s="87" t="s">
        <v>89</v>
      </c>
      <c r="AK181" s="87">
        <v>1</v>
      </c>
      <c r="BB181" s="224" t="s">
        <v>122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hidden="1" customHeight="1" x14ac:dyDescent="0.25">
      <c r="A182" s="63" t="s">
        <v>292</v>
      </c>
      <c r="B182" s="63" t="s">
        <v>293</v>
      </c>
      <c r="C182" s="36">
        <v>4301135392</v>
      </c>
      <c r="D182" s="299">
        <v>4607111039132</v>
      </c>
      <c r="E182" s="299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123</v>
      </c>
      <c r="L182" s="37" t="s">
        <v>88</v>
      </c>
      <c r="M182" s="38" t="s">
        <v>86</v>
      </c>
      <c r="N182" s="38"/>
      <c r="O182" s="37">
        <v>180</v>
      </c>
      <c r="P182" s="34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01"/>
      <c r="R182" s="301"/>
      <c r="S182" s="301"/>
      <c r="T182" s="30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25" t="s">
        <v>294</v>
      </c>
      <c r="AG182" s="81"/>
      <c r="AJ182" s="87" t="s">
        <v>89</v>
      </c>
      <c r="AK182" s="87">
        <v>1</v>
      </c>
      <c r="BB182" s="226" t="s">
        <v>122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8"/>
      <c r="P183" s="304" t="s">
        <v>40</v>
      </c>
      <c r="Q183" s="305"/>
      <c r="R183" s="305"/>
      <c r="S183" s="305"/>
      <c r="T183" s="305"/>
      <c r="U183" s="305"/>
      <c r="V183" s="306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hidden="1" x14ac:dyDescent="0.2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8"/>
      <c r="P184" s="304" t="s">
        <v>40</v>
      </c>
      <c r="Q184" s="305"/>
      <c r="R184" s="305"/>
      <c r="S184" s="305"/>
      <c r="T184" s="305"/>
      <c r="U184" s="305"/>
      <c r="V184" s="306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hidden="1" customHeight="1" x14ac:dyDescent="0.25">
      <c r="A185" s="327" t="s">
        <v>295</v>
      </c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  <c r="V185" s="327"/>
      <c r="W185" s="327"/>
      <c r="X185" s="327"/>
      <c r="Y185" s="327"/>
      <c r="Z185" s="327"/>
      <c r="AA185" s="65"/>
      <c r="AB185" s="65"/>
      <c r="AC185" s="82"/>
    </row>
    <row r="186" spans="1:68" ht="14.25" hidden="1" customHeight="1" x14ac:dyDescent="0.25">
      <c r="A186" s="318" t="s">
        <v>82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66"/>
      <c r="AB186" s="66"/>
      <c r="AC186" s="83"/>
    </row>
    <row r="187" spans="1:68" ht="16.5" hidden="1" customHeight="1" x14ac:dyDescent="0.25">
      <c r="A187" s="63" t="s">
        <v>296</v>
      </c>
      <c r="B187" s="63" t="s">
        <v>297</v>
      </c>
      <c r="C187" s="36">
        <v>4301071062</v>
      </c>
      <c r="D187" s="299">
        <v>4607111036384</v>
      </c>
      <c r="E187" s="299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87</v>
      </c>
      <c r="L187" s="37" t="s">
        <v>124</v>
      </c>
      <c r="M187" s="38" t="s">
        <v>86</v>
      </c>
      <c r="N187" s="38"/>
      <c r="O187" s="37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01"/>
      <c r="R187" s="301"/>
      <c r="S187" s="301"/>
      <c r="T187" s="30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7" t="s">
        <v>298</v>
      </c>
      <c r="AG187" s="81"/>
      <c r="AJ187" s="87" t="s">
        <v>125</v>
      </c>
      <c r="AK187" s="87">
        <v>12</v>
      </c>
      <c r="BB187" s="228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299</v>
      </c>
      <c r="B188" s="63" t="s">
        <v>300</v>
      </c>
      <c r="C188" s="36">
        <v>4301071050</v>
      </c>
      <c r="D188" s="299">
        <v>4607111036216</v>
      </c>
      <c r="E188" s="299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87</v>
      </c>
      <c r="L188" s="37" t="s">
        <v>124</v>
      </c>
      <c r="M188" s="38" t="s">
        <v>86</v>
      </c>
      <c r="N188" s="38"/>
      <c r="O188" s="37">
        <v>180</v>
      </c>
      <c r="P188" s="3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01"/>
      <c r="R188" s="301"/>
      <c r="S188" s="301"/>
      <c r="T188" s="302"/>
      <c r="U188" s="39" t="s">
        <v>46</v>
      </c>
      <c r="V188" s="39" t="s">
        <v>46</v>
      </c>
      <c r="W188" s="40" t="s">
        <v>39</v>
      </c>
      <c r="X188" s="58">
        <v>72</v>
      </c>
      <c r="Y188" s="55">
        <f>IFERROR(IF(X188="","",X188),"")</f>
        <v>72</v>
      </c>
      <c r="Z188" s="41">
        <f>IFERROR(IF(X188="","",X188*0.00866),"")</f>
        <v>0.62351999999999996</v>
      </c>
      <c r="AA188" s="68" t="s">
        <v>46</v>
      </c>
      <c r="AB188" s="69" t="s">
        <v>46</v>
      </c>
      <c r="AC188" s="229" t="s">
        <v>301</v>
      </c>
      <c r="AG188" s="81"/>
      <c r="AJ188" s="87" t="s">
        <v>125</v>
      </c>
      <c r="AK188" s="87">
        <v>12</v>
      </c>
      <c r="BB188" s="230" t="s">
        <v>70</v>
      </c>
      <c r="BM188" s="81">
        <f>IFERROR(X188*I188,"0")</f>
        <v>375.35039999999998</v>
      </c>
      <c r="BN188" s="81">
        <f>IFERROR(Y188*I188,"0")</f>
        <v>375.35039999999998</v>
      </c>
      <c r="BO188" s="81">
        <f>IFERROR(X188/J188,"0")</f>
        <v>0.5</v>
      </c>
      <c r="BP188" s="81">
        <f>IFERROR(Y188/J188,"0")</f>
        <v>0.5</v>
      </c>
    </row>
    <row r="189" spans="1:68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8"/>
      <c r="P189" s="304" t="s">
        <v>40</v>
      </c>
      <c r="Q189" s="305"/>
      <c r="R189" s="305"/>
      <c r="S189" s="305"/>
      <c r="T189" s="305"/>
      <c r="U189" s="305"/>
      <c r="V189" s="306"/>
      <c r="W189" s="42" t="s">
        <v>39</v>
      </c>
      <c r="X189" s="43">
        <f>IFERROR(SUM(X187:X188),"0")</f>
        <v>72</v>
      </c>
      <c r="Y189" s="43">
        <f>IFERROR(SUM(Y187:Y188),"0")</f>
        <v>72</v>
      </c>
      <c r="Z189" s="43">
        <f>IFERROR(IF(Z187="",0,Z187),"0")+IFERROR(IF(Z188="",0,Z188),"0")</f>
        <v>0.62351999999999996</v>
      </c>
      <c r="AA189" s="67"/>
      <c r="AB189" s="67"/>
      <c r="AC189" s="67"/>
    </row>
    <row r="190" spans="1:68" x14ac:dyDescent="0.2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8"/>
      <c r="P190" s="304" t="s">
        <v>40</v>
      </c>
      <c r="Q190" s="305"/>
      <c r="R190" s="305"/>
      <c r="S190" s="305"/>
      <c r="T190" s="305"/>
      <c r="U190" s="305"/>
      <c r="V190" s="306"/>
      <c r="W190" s="42" t="s">
        <v>0</v>
      </c>
      <c r="X190" s="43">
        <f>IFERROR(SUMPRODUCT(X187:X188*H187:H188),"0")</f>
        <v>360</v>
      </c>
      <c r="Y190" s="43">
        <f>IFERROR(SUMPRODUCT(Y187:Y188*H187:H188),"0")</f>
        <v>360</v>
      </c>
      <c r="Z190" s="42"/>
      <c r="AA190" s="67"/>
      <c r="AB190" s="67"/>
      <c r="AC190" s="67"/>
    </row>
    <row r="191" spans="1:68" ht="16.5" hidden="1" customHeight="1" x14ac:dyDescent="0.25">
      <c r="A191" s="327" t="s">
        <v>302</v>
      </c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65"/>
      <c r="AB191" s="65"/>
      <c r="AC191" s="82"/>
    </row>
    <row r="192" spans="1:68" ht="14.25" hidden="1" customHeight="1" x14ac:dyDescent="0.25">
      <c r="A192" s="318" t="s">
        <v>82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66"/>
      <c r="AB192" s="66"/>
      <c r="AC192" s="83"/>
    </row>
    <row r="193" spans="1:68" ht="27" customHeight="1" x14ac:dyDescent="0.25">
      <c r="A193" s="63" t="s">
        <v>303</v>
      </c>
      <c r="B193" s="63" t="s">
        <v>304</v>
      </c>
      <c r="C193" s="36">
        <v>4301071117</v>
      </c>
      <c r="D193" s="299">
        <v>4620207491737</v>
      </c>
      <c r="E193" s="299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34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01"/>
      <c r="R193" s="301"/>
      <c r="S193" s="301"/>
      <c r="T193" s="302"/>
      <c r="U193" s="39" t="s">
        <v>46</v>
      </c>
      <c r="V193" s="39" t="s">
        <v>46</v>
      </c>
      <c r="W193" s="40" t="s">
        <v>39</v>
      </c>
      <c r="X193" s="58">
        <v>192</v>
      </c>
      <c r="Y193" s="55">
        <f>IFERROR(IF(X193="","",X193),"")</f>
        <v>192</v>
      </c>
      <c r="Z193" s="41">
        <f>IFERROR(IF(X193="","",X193*0.0155),"")</f>
        <v>2.976</v>
      </c>
      <c r="AA193" s="68" t="s">
        <v>46</v>
      </c>
      <c r="AB193" s="69" t="s">
        <v>46</v>
      </c>
      <c r="AC193" s="231" t="s">
        <v>301</v>
      </c>
      <c r="AG193" s="81"/>
      <c r="AJ193" s="87" t="s">
        <v>89</v>
      </c>
      <c r="AK193" s="87">
        <v>1</v>
      </c>
      <c r="BB193" s="232" t="s">
        <v>70</v>
      </c>
      <c r="BM193" s="81">
        <f>IFERROR(X193*I193,"0")</f>
        <v>1010.3039999999999</v>
      </c>
      <c r="BN193" s="81">
        <f>IFERROR(Y193*I193,"0")</f>
        <v>1010.3039999999999</v>
      </c>
      <c r="BO193" s="81">
        <f>IFERROR(X193/J193,"0")</f>
        <v>2.2857142857142856</v>
      </c>
      <c r="BP193" s="81">
        <f>IFERROR(Y193/J193,"0")</f>
        <v>2.2857142857142856</v>
      </c>
    </row>
    <row r="194" spans="1:68" x14ac:dyDescent="0.2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8"/>
      <c r="P194" s="304" t="s">
        <v>40</v>
      </c>
      <c r="Q194" s="305"/>
      <c r="R194" s="305"/>
      <c r="S194" s="305"/>
      <c r="T194" s="305"/>
      <c r="U194" s="305"/>
      <c r="V194" s="306"/>
      <c r="W194" s="42" t="s">
        <v>39</v>
      </c>
      <c r="X194" s="43">
        <f>IFERROR(SUM(X193:X193),"0")</f>
        <v>192</v>
      </c>
      <c r="Y194" s="43">
        <f>IFERROR(SUM(Y193:Y193),"0")</f>
        <v>192</v>
      </c>
      <c r="Z194" s="43">
        <f>IFERROR(IF(Z193="",0,Z193),"0")</f>
        <v>2.976</v>
      </c>
      <c r="AA194" s="67"/>
      <c r="AB194" s="67"/>
      <c r="AC194" s="67"/>
    </row>
    <row r="195" spans="1:68" x14ac:dyDescent="0.2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8"/>
      <c r="P195" s="304" t="s">
        <v>40</v>
      </c>
      <c r="Q195" s="305"/>
      <c r="R195" s="305"/>
      <c r="S195" s="305"/>
      <c r="T195" s="305"/>
      <c r="U195" s="305"/>
      <c r="V195" s="306"/>
      <c r="W195" s="42" t="s">
        <v>0</v>
      </c>
      <c r="X195" s="43">
        <f>IFERROR(SUMPRODUCT(X193:X193*H193:H193),"0")</f>
        <v>960</v>
      </c>
      <c r="Y195" s="43">
        <f>IFERROR(SUMPRODUCT(Y193:Y193*H193:H193),"0")</f>
        <v>960</v>
      </c>
      <c r="Z195" s="42"/>
      <c r="AA195" s="67"/>
      <c r="AB195" s="67"/>
      <c r="AC195" s="67"/>
    </row>
    <row r="196" spans="1:68" ht="27.75" hidden="1" customHeight="1" x14ac:dyDescent="0.2">
      <c r="A196" s="326" t="s">
        <v>305</v>
      </c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54"/>
      <c r="AB196" s="54"/>
      <c r="AC196" s="54"/>
    </row>
    <row r="197" spans="1:68" ht="16.5" hidden="1" customHeight="1" x14ac:dyDescent="0.25">
      <c r="A197" s="327" t="s">
        <v>306</v>
      </c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  <c r="V197" s="327"/>
      <c r="W197" s="327"/>
      <c r="X197" s="327"/>
      <c r="Y197" s="327"/>
      <c r="Z197" s="327"/>
      <c r="AA197" s="65"/>
      <c r="AB197" s="65"/>
      <c r="AC197" s="82"/>
    </row>
    <row r="198" spans="1:68" ht="14.25" hidden="1" customHeight="1" x14ac:dyDescent="0.25">
      <c r="A198" s="318" t="s">
        <v>118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6"/>
      <c r="AB198" s="66"/>
      <c r="AC198" s="83"/>
    </row>
    <row r="199" spans="1:68" ht="16.5" customHeight="1" x14ac:dyDescent="0.25">
      <c r="A199" s="63" t="s">
        <v>307</v>
      </c>
      <c r="B199" s="63" t="s">
        <v>308</v>
      </c>
      <c r="C199" s="36">
        <v>4301132179</v>
      </c>
      <c r="D199" s="299">
        <v>4607111035691</v>
      </c>
      <c r="E199" s="299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123</v>
      </c>
      <c r="L199" s="37" t="s">
        <v>124</v>
      </c>
      <c r="M199" s="38" t="s">
        <v>86</v>
      </c>
      <c r="N199" s="38"/>
      <c r="O199" s="37">
        <v>365</v>
      </c>
      <c r="P199" s="3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01"/>
      <c r="R199" s="301"/>
      <c r="S199" s="301"/>
      <c r="T199" s="302"/>
      <c r="U199" s="39" t="s">
        <v>46</v>
      </c>
      <c r="V199" s="39" t="s">
        <v>46</v>
      </c>
      <c r="W199" s="40" t="s">
        <v>39</v>
      </c>
      <c r="X199" s="58">
        <v>28</v>
      </c>
      <c r="Y199" s="55">
        <f>IFERROR(IF(X199="","",X199),"")</f>
        <v>28</v>
      </c>
      <c r="Z199" s="41">
        <f>IFERROR(IF(X199="","",X199*0.01788),"")</f>
        <v>0.50063999999999997</v>
      </c>
      <c r="AA199" s="68" t="s">
        <v>46</v>
      </c>
      <c r="AB199" s="69" t="s">
        <v>46</v>
      </c>
      <c r="AC199" s="233" t="s">
        <v>309</v>
      </c>
      <c r="AG199" s="81"/>
      <c r="AJ199" s="87" t="s">
        <v>125</v>
      </c>
      <c r="AK199" s="87">
        <v>14</v>
      </c>
      <c r="BB199" s="234" t="s">
        <v>122</v>
      </c>
      <c r="BM199" s="81">
        <f>IFERROR(X199*I199,"0")</f>
        <v>94.864000000000004</v>
      </c>
      <c r="BN199" s="81">
        <f>IFERROR(Y199*I199,"0")</f>
        <v>94.864000000000004</v>
      </c>
      <c r="BO199" s="81">
        <f>IFERROR(X199/J199,"0")</f>
        <v>0.4</v>
      </c>
      <c r="BP199" s="81">
        <f>IFERROR(Y199/J199,"0")</f>
        <v>0.4</v>
      </c>
    </row>
    <row r="200" spans="1:68" ht="27" customHeight="1" x14ac:dyDescent="0.25">
      <c r="A200" s="63" t="s">
        <v>310</v>
      </c>
      <c r="B200" s="63" t="s">
        <v>311</v>
      </c>
      <c r="C200" s="36">
        <v>4301132182</v>
      </c>
      <c r="D200" s="299">
        <v>4607111035721</v>
      </c>
      <c r="E200" s="299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123</v>
      </c>
      <c r="L200" s="37" t="s">
        <v>124</v>
      </c>
      <c r="M200" s="38" t="s">
        <v>86</v>
      </c>
      <c r="N200" s="38"/>
      <c r="O200" s="37">
        <v>365</v>
      </c>
      <c r="P200" s="34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01"/>
      <c r="R200" s="301"/>
      <c r="S200" s="301"/>
      <c r="T200" s="302"/>
      <c r="U200" s="39" t="s">
        <v>46</v>
      </c>
      <c r="V200" s="39" t="s">
        <v>46</v>
      </c>
      <c r="W200" s="40" t="s">
        <v>39</v>
      </c>
      <c r="X200" s="58">
        <v>70</v>
      </c>
      <c r="Y200" s="55">
        <f>IFERROR(IF(X200="","",X200),"")</f>
        <v>70</v>
      </c>
      <c r="Z200" s="41">
        <f>IFERROR(IF(X200="","",X200*0.01788),"")</f>
        <v>1.2516</v>
      </c>
      <c r="AA200" s="68" t="s">
        <v>46</v>
      </c>
      <c r="AB200" s="69" t="s">
        <v>46</v>
      </c>
      <c r="AC200" s="235" t="s">
        <v>312</v>
      </c>
      <c r="AG200" s="81"/>
      <c r="AJ200" s="87" t="s">
        <v>125</v>
      </c>
      <c r="AK200" s="87">
        <v>14</v>
      </c>
      <c r="BB200" s="236" t="s">
        <v>122</v>
      </c>
      <c r="BM200" s="81">
        <f>IFERROR(X200*I200,"0")</f>
        <v>237.16</v>
      </c>
      <c r="BN200" s="81">
        <f>IFERROR(Y200*I200,"0")</f>
        <v>237.16</v>
      </c>
      <c r="BO200" s="81">
        <f>IFERROR(X200/J200,"0")</f>
        <v>1</v>
      </c>
      <c r="BP200" s="81">
        <f>IFERROR(Y200/J200,"0")</f>
        <v>1</v>
      </c>
    </row>
    <row r="201" spans="1:68" ht="27" customHeight="1" x14ac:dyDescent="0.25">
      <c r="A201" s="63" t="s">
        <v>313</v>
      </c>
      <c r="B201" s="63" t="s">
        <v>314</v>
      </c>
      <c r="C201" s="36">
        <v>4301132170</v>
      </c>
      <c r="D201" s="299">
        <v>4607111038487</v>
      </c>
      <c r="E201" s="299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123</v>
      </c>
      <c r="L201" s="37" t="s">
        <v>124</v>
      </c>
      <c r="M201" s="38" t="s">
        <v>86</v>
      </c>
      <c r="N201" s="38"/>
      <c r="O201" s="37">
        <v>180</v>
      </c>
      <c r="P201" s="3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01"/>
      <c r="R201" s="301"/>
      <c r="S201" s="301"/>
      <c r="T201" s="302"/>
      <c r="U201" s="39" t="s">
        <v>46</v>
      </c>
      <c r="V201" s="39" t="s">
        <v>46</v>
      </c>
      <c r="W201" s="40" t="s">
        <v>39</v>
      </c>
      <c r="X201" s="58">
        <v>28</v>
      </c>
      <c r="Y201" s="55">
        <f>IFERROR(IF(X201="","",X201),"")</f>
        <v>28</v>
      </c>
      <c r="Z201" s="41">
        <f>IFERROR(IF(X201="","",X201*0.01788),"")</f>
        <v>0.50063999999999997</v>
      </c>
      <c r="AA201" s="68" t="s">
        <v>46</v>
      </c>
      <c r="AB201" s="69" t="s">
        <v>46</v>
      </c>
      <c r="AC201" s="237" t="s">
        <v>315</v>
      </c>
      <c r="AG201" s="81"/>
      <c r="AJ201" s="87" t="s">
        <v>125</v>
      </c>
      <c r="AK201" s="87">
        <v>14</v>
      </c>
      <c r="BB201" s="238" t="s">
        <v>122</v>
      </c>
      <c r="BM201" s="81">
        <f>IFERROR(X201*I201,"0")</f>
        <v>104.608</v>
      </c>
      <c r="BN201" s="81">
        <f>IFERROR(Y201*I201,"0")</f>
        <v>104.608</v>
      </c>
      <c r="BO201" s="81">
        <f>IFERROR(X201/J201,"0")</f>
        <v>0.4</v>
      </c>
      <c r="BP201" s="81">
        <f>IFERROR(Y201/J201,"0")</f>
        <v>0.4</v>
      </c>
    </row>
    <row r="202" spans="1:68" ht="27" customHeight="1" x14ac:dyDescent="0.25">
      <c r="A202" s="63" t="s">
        <v>316</v>
      </c>
      <c r="B202" s="63" t="s">
        <v>317</v>
      </c>
      <c r="C202" s="36">
        <v>4301132243</v>
      </c>
      <c r="D202" s="299">
        <v>4620207491195</v>
      </c>
      <c r="E202" s="299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123</v>
      </c>
      <c r="L202" s="37" t="s">
        <v>88</v>
      </c>
      <c r="M202" s="38" t="s">
        <v>86</v>
      </c>
      <c r="N202" s="38"/>
      <c r="O202" s="37">
        <v>180</v>
      </c>
      <c r="P202" s="34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01"/>
      <c r="R202" s="301"/>
      <c r="S202" s="301"/>
      <c r="T202" s="302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39" t="s">
        <v>318</v>
      </c>
      <c r="AG202" s="81"/>
      <c r="AJ202" s="87" t="s">
        <v>89</v>
      </c>
      <c r="AK202" s="87">
        <v>1</v>
      </c>
      <c r="BB202" s="240" t="s">
        <v>122</v>
      </c>
      <c r="BM202" s="81">
        <f>IFERROR(X202*I202,"0")</f>
        <v>88.144000000000005</v>
      </c>
      <c r="BN202" s="81">
        <f>IFERROR(Y202*I202,"0")</f>
        <v>88.144000000000005</v>
      </c>
      <c r="BO202" s="81">
        <f>IFERROR(X202/J202,"0")</f>
        <v>0.4</v>
      </c>
      <c r="BP202" s="81">
        <f>IFERROR(Y202/J202,"0")</f>
        <v>0.4</v>
      </c>
    </row>
    <row r="203" spans="1:68" x14ac:dyDescent="0.2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8"/>
      <c r="P203" s="304" t="s">
        <v>40</v>
      </c>
      <c r="Q203" s="305"/>
      <c r="R203" s="305"/>
      <c r="S203" s="305"/>
      <c r="T203" s="305"/>
      <c r="U203" s="305"/>
      <c r="V203" s="306"/>
      <c r="W203" s="42" t="s">
        <v>39</v>
      </c>
      <c r="X203" s="43">
        <f>IFERROR(SUM(X199:X202),"0")</f>
        <v>154</v>
      </c>
      <c r="Y203" s="43">
        <f>IFERROR(SUM(Y199:Y202),"0")</f>
        <v>154</v>
      </c>
      <c r="Z203" s="43">
        <f>IFERROR(IF(Z199="",0,Z199),"0")+IFERROR(IF(Z200="",0,Z200),"0")+IFERROR(IF(Z201="",0,Z201),"0")+IFERROR(IF(Z202="",0,Z202),"0")</f>
        <v>2.75352</v>
      </c>
      <c r="AA203" s="67"/>
      <c r="AB203" s="67"/>
      <c r="AC203" s="67"/>
    </row>
    <row r="204" spans="1:68" x14ac:dyDescent="0.2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8"/>
      <c r="P204" s="304" t="s">
        <v>40</v>
      </c>
      <c r="Q204" s="305"/>
      <c r="R204" s="305"/>
      <c r="S204" s="305"/>
      <c r="T204" s="305"/>
      <c r="U204" s="305"/>
      <c r="V204" s="306"/>
      <c r="W204" s="42" t="s">
        <v>0</v>
      </c>
      <c r="X204" s="43">
        <f>IFERROR(SUMPRODUCT(X199:X202*H199:H202),"0")</f>
        <v>455.28</v>
      </c>
      <c r="Y204" s="43">
        <f>IFERROR(SUMPRODUCT(Y199:Y202*H199:H202),"0")</f>
        <v>455.28</v>
      </c>
      <c r="Z204" s="42"/>
      <c r="AA204" s="67"/>
      <c r="AB204" s="67"/>
      <c r="AC204" s="67"/>
    </row>
    <row r="205" spans="1:68" ht="27.75" hidden="1" customHeight="1" x14ac:dyDescent="0.2">
      <c r="A205" s="326" t="s">
        <v>319</v>
      </c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54"/>
      <c r="AB205" s="54"/>
      <c r="AC205" s="54"/>
    </row>
    <row r="206" spans="1:68" ht="16.5" hidden="1" customHeight="1" x14ac:dyDescent="0.25">
      <c r="A206" s="327" t="s">
        <v>320</v>
      </c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  <c r="AA206" s="65"/>
      <c r="AB206" s="65"/>
      <c r="AC206" s="82"/>
    </row>
    <row r="207" spans="1:68" ht="14.25" hidden="1" customHeight="1" x14ac:dyDescent="0.25">
      <c r="A207" s="318" t="s">
        <v>118</v>
      </c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66"/>
      <c r="AB207" s="66"/>
      <c r="AC207" s="83"/>
    </row>
    <row r="208" spans="1:68" ht="27" customHeight="1" x14ac:dyDescent="0.25">
      <c r="A208" s="63" t="s">
        <v>321</v>
      </c>
      <c r="B208" s="63" t="s">
        <v>322</v>
      </c>
      <c r="C208" s="36">
        <v>4301132227</v>
      </c>
      <c r="D208" s="299">
        <v>4620207491133</v>
      </c>
      <c r="E208" s="299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123</v>
      </c>
      <c r="L208" s="37" t="s">
        <v>124</v>
      </c>
      <c r="M208" s="38" t="s">
        <v>86</v>
      </c>
      <c r="N208" s="38"/>
      <c r="O208" s="37">
        <v>180</v>
      </c>
      <c r="P208" s="3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1"/>
      <c r="R208" s="301"/>
      <c r="S208" s="301"/>
      <c r="T208" s="302"/>
      <c r="U208" s="39" t="s">
        <v>46</v>
      </c>
      <c r="V208" s="39" t="s">
        <v>46</v>
      </c>
      <c r="W208" s="40" t="s">
        <v>39</v>
      </c>
      <c r="X208" s="58">
        <v>42</v>
      </c>
      <c r="Y208" s="55">
        <f>IFERROR(IF(X208="","",X208),"")</f>
        <v>42</v>
      </c>
      <c r="Z208" s="41">
        <f>IFERROR(IF(X208="","",X208*0.01788),"")</f>
        <v>0.75095999999999996</v>
      </c>
      <c r="AA208" s="68" t="s">
        <v>46</v>
      </c>
      <c r="AB208" s="69" t="s">
        <v>46</v>
      </c>
      <c r="AC208" s="241" t="s">
        <v>323</v>
      </c>
      <c r="AG208" s="81"/>
      <c r="AJ208" s="87" t="s">
        <v>125</v>
      </c>
      <c r="AK208" s="87">
        <v>14</v>
      </c>
      <c r="BB208" s="242" t="s">
        <v>122</v>
      </c>
      <c r="BM208" s="81">
        <f>IFERROR(X208*I208,"0")</f>
        <v>125.16</v>
      </c>
      <c r="BN208" s="81">
        <f>IFERROR(Y208*I208,"0")</f>
        <v>125.16</v>
      </c>
      <c r="BO208" s="81">
        <f>IFERROR(X208/J208,"0")</f>
        <v>0.6</v>
      </c>
      <c r="BP208" s="81">
        <f>IFERROR(Y208/J208,"0")</f>
        <v>0.6</v>
      </c>
    </row>
    <row r="209" spans="1:68" x14ac:dyDescent="0.2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8"/>
      <c r="P209" s="304" t="s">
        <v>40</v>
      </c>
      <c r="Q209" s="305"/>
      <c r="R209" s="305"/>
      <c r="S209" s="305"/>
      <c r="T209" s="305"/>
      <c r="U209" s="305"/>
      <c r="V209" s="306"/>
      <c r="W209" s="42" t="s">
        <v>39</v>
      </c>
      <c r="X209" s="43">
        <f>IFERROR(SUM(X208:X208),"0")</f>
        <v>42</v>
      </c>
      <c r="Y209" s="43">
        <f>IFERROR(SUM(Y208:Y208),"0")</f>
        <v>42</v>
      </c>
      <c r="Z209" s="43">
        <f>IFERROR(IF(Z208="",0,Z208),"0")</f>
        <v>0.75095999999999996</v>
      </c>
      <c r="AA209" s="67"/>
      <c r="AB209" s="67"/>
      <c r="AC209" s="67"/>
    </row>
    <row r="210" spans="1:68" x14ac:dyDescent="0.2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8"/>
      <c r="P210" s="304" t="s">
        <v>40</v>
      </c>
      <c r="Q210" s="305"/>
      <c r="R210" s="305"/>
      <c r="S210" s="305"/>
      <c r="T210" s="305"/>
      <c r="U210" s="305"/>
      <c r="V210" s="306"/>
      <c r="W210" s="42" t="s">
        <v>0</v>
      </c>
      <c r="X210" s="43">
        <f>IFERROR(SUMPRODUCT(X208:X208*H208:H208),"0")</f>
        <v>115.91999999999999</v>
      </c>
      <c r="Y210" s="43">
        <f>IFERROR(SUMPRODUCT(Y208:Y208*H208:H208),"0")</f>
        <v>115.91999999999999</v>
      </c>
      <c r="Z210" s="42"/>
      <c r="AA210" s="67"/>
      <c r="AB210" s="67"/>
      <c r="AC210" s="67"/>
    </row>
    <row r="211" spans="1:68" ht="14.25" hidden="1" customHeight="1" x14ac:dyDescent="0.25">
      <c r="A211" s="318" t="s">
        <v>160</v>
      </c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66"/>
      <c r="AB211" s="66"/>
      <c r="AC211" s="83"/>
    </row>
    <row r="212" spans="1:68" ht="27" hidden="1" customHeight="1" x14ac:dyDescent="0.25">
      <c r="A212" s="63" t="s">
        <v>324</v>
      </c>
      <c r="B212" s="63" t="s">
        <v>325</v>
      </c>
      <c r="C212" s="36">
        <v>4301135834</v>
      </c>
      <c r="D212" s="299">
        <v>4620207491188</v>
      </c>
      <c r="E212" s="299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123</v>
      </c>
      <c r="L212" s="37" t="s">
        <v>88</v>
      </c>
      <c r="M212" s="38" t="s">
        <v>86</v>
      </c>
      <c r="N212" s="38"/>
      <c r="O212" s="37">
        <v>180</v>
      </c>
      <c r="P212" s="3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1"/>
      <c r="R212" s="301"/>
      <c r="S212" s="301"/>
      <c r="T212" s="302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3" t="s">
        <v>326</v>
      </c>
      <c r="AG212" s="81"/>
      <c r="AJ212" s="87" t="s">
        <v>89</v>
      </c>
      <c r="AK212" s="87">
        <v>1</v>
      </c>
      <c r="BB212" s="244" t="s">
        <v>122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hidden="1" customHeight="1" x14ac:dyDescent="0.25">
      <c r="A213" s="63" t="s">
        <v>327</v>
      </c>
      <c r="B213" s="63" t="s">
        <v>328</v>
      </c>
      <c r="C213" s="36">
        <v>4301135697</v>
      </c>
      <c r="D213" s="299">
        <v>4620207490259</v>
      </c>
      <c r="E213" s="299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123</v>
      </c>
      <c r="L213" s="37" t="s">
        <v>124</v>
      </c>
      <c r="M213" s="38" t="s">
        <v>86</v>
      </c>
      <c r="N213" s="38"/>
      <c r="O213" s="37">
        <v>180</v>
      </c>
      <c r="P213" s="3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01"/>
      <c r="R213" s="301"/>
      <c r="S213" s="301"/>
      <c r="T213" s="302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45" t="s">
        <v>329</v>
      </c>
      <c r="AG213" s="81"/>
      <c r="AJ213" s="87" t="s">
        <v>125</v>
      </c>
      <c r="AK213" s="87">
        <v>14</v>
      </c>
      <c r="BB213" s="246" t="s">
        <v>122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idden="1" x14ac:dyDescent="0.2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8"/>
      <c r="P214" s="304" t="s">
        <v>40</v>
      </c>
      <c r="Q214" s="305"/>
      <c r="R214" s="305"/>
      <c r="S214" s="305"/>
      <c r="T214" s="305"/>
      <c r="U214" s="305"/>
      <c r="V214" s="306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hidden="1" x14ac:dyDescent="0.2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8"/>
      <c r="P215" s="304" t="s">
        <v>40</v>
      </c>
      <c r="Q215" s="305"/>
      <c r="R215" s="305"/>
      <c r="S215" s="305"/>
      <c r="T215" s="305"/>
      <c r="U215" s="305"/>
      <c r="V215" s="306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27" t="s">
        <v>330</v>
      </c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  <c r="V216" s="327"/>
      <c r="W216" s="327"/>
      <c r="X216" s="327"/>
      <c r="Y216" s="327"/>
      <c r="Z216" s="327"/>
      <c r="AA216" s="65"/>
      <c r="AB216" s="65"/>
      <c r="AC216" s="82"/>
    </row>
    <row r="217" spans="1:68" ht="14.25" hidden="1" customHeight="1" x14ac:dyDescent="0.25">
      <c r="A217" s="318" t="s">
        <v>160</v>
      </c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66"/>
      <c r="AB217" s="66"/>
      <c r="AC217" s="83"/>
    </row>
    <row r="218" spans="1:68" ht="27" hidden="1" customHeight="1" x14ac:dyDescent="0.25">
      <c r="A218" s="63" t="s">
        <v>331</v>
      </c>
      <c r="B218" s="63" t="s">
        <v>332</v>
      </c>
      <c r="C218" s="36">
        <v>4301135854</v>
      </c>
      <c r="D218" s="299">
        <v>4620207491706</v>
      </c>
      <c r="E218" s="299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123</v>
      </c>
      <c r="L218" s="37" t="s">
        <v>88</v>
      </c>
      <c r="M218" s="38" t="s">
        <v>86</v>
      </c>
      <c r="N218" s="38"/>
      <c r="O218" s="37">
        <v>180</v>
      </c>
      <c r="P218" s="3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01"/>
      <c r="R218" s="301"/>
      <c r="S218" s="301"/>
      <c r="T218" s="302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7" t="s">
        <v>333</v>
      </c>
      <c r="AG218" s="81"/>
      <c r="AJ218" s="87" t="s">
        <v>89</v>
      </c>
      <c r="AK218" s="87">
        <v>1</v>
      </c>
      <c r="BB218" s="248" t="s">
        <v>122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334</v>
      </c>
      <c r="B219" s="63" t="s">
        <v>335</v>
      </c>
      <c r="C219" s="36">
        <v>4301135895</v>
      </c>
      <c r="D219" s="299">
        <v>4620207491522</v>
      </c>
      <c r="E219" s="299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123</v>
      </c>
      <c r="L219" s="37" t="s">
        <v>88</v>
      </c>
      <c r="M219" s="38" t="s">
        <v>86</v>
      </c>
      <c r="N219" s="38"/>
      <c r="O219" s="37">
        <v>180</v>
      </c>
      <c r="P219" s="33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01"/>
      <c r="R219" s="301"/>
      <c r="S219" s="301"/>
      <c r="T219" s="302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9" t="s">
        <v>336</v>
      </c>
      <c r="AG219" s="81"/>
      <c r="AJ219" s="87" t="s">
        <v>89</v>
      </c>
      <c r="AK219" s="87">
        <v>1</v>
      </c>
      <c r="BB219" s="250" t="s">
        <v>122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idden="1" x14ac:dyDescent="0.2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8"/>
      <c r="P220" s="304" t="s">
        <v>40</v>
      </c>
      <c r="Q220" s="305"/>
      <c r="R220" s="305"/>
      <c r="S220" s="305"/>
      <c r="T220" s="305"/>
      <c r="U220" s="305"/>
      <c r="V220" s="306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idden="1" x14ac:dyDescent="0.2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8"/>
      <c r="P221" s="304" t="s">
        <v>40</v>
      </c>
      <c r="Q221" s="305"/>
      <c r="R221" s="305"/>
      <c r="S221" s="305"/>
      <c r="T221" s="305"/>
      <c r="U221" s="305"/>
      <c r="V221" s="306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hidden="1" customHeight="1" x14ac:dyDescent="0.25">
      <c r="A222" s="327" t="s">
        <v>337</v>
      </c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  <c r="AA222" s="65"/>
      <c r="AB222" s="65"/>
      <c r="AC222" s="82"/>
    </row>
    <row r="223" spans="1:68" ht="14.25" hidden="1" customHeight="1" x14ac:dyDescent="0.25">
      <c r="A223" s="318" t="s">
        <v>82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66"/>
      <c r="AB223" s="66"/>
      <c r="AC223" s="83"/>
    </row>
    <row r="224" spans="1:68" ht="27" customHeight="1" x14ac:dyDescent="0.25">
      <c r="A224" s="63" t="s">
        <v>338</v>
      </c>
      <c r="B224" s="63" t="s">
        <v>339</v>
      </c>
      <c r="C224" s="36">
        <v>4301071097</v>
      </c>
      <c r="D224" s="299">
        <v>4620207491096</v>
      </c>
      <c r="E224" s="299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87</v>
      </c>
      <c r="L224" s="37" t="s">
        <v>124</v>
      </c>
      <c r="M224" s="38" t="s">
        <v>86</v>
      </c>
      <c r="N224" s="38"/>
      <c r="O224" s="37">
        <v>180</v>
      </c>
      <c r="P224" s="3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01"/>
      <c r="R224" s="301"/>
      <c r="S224" s="301"/>
      <c r="T224" s="302"/>
      <c r="U224" s="39" t="s">
        <v>46</v>
      </c>
      <c r="V224" s="39" t="s">
        <v>46</v>
      </c>
      <c r="W224" s="40" t="s">
        <v>39</v>
      </c>
      <c r="X224" s="58">
        <v>24</v>
      </c>
      <c r="Y224" s="55">
        <f>IFERROR(IF(X224="","",X224),"")</f>
        <v>24</v>
      </c>
      <c r="Z224" s="41">
        <f>IFERROR(IF(X224="","",X224*0.0155),"")</f>
        <v>0.372</v>
      </c>
      <c r="AA224" s="68" t="s">
        <v>46</v>
      </c>
      <c r="AB224" s="69" t="s">
        <v>46</v>
      </c>
      <c r="AC224" s="251" t="s">
        <v>340</v>
      </c>
      <c r="AG224" s="81"/>
      <c r="AJ224" s="87" t="s">
        <v>125</v>
      </c>
      <c r="AK224" s="87">
        <v>12</v>
      </c>
      <c r="BB224" s="252" t="s">
        <v>70</v>
      </c>
      <c r="BM224" s="81">
        <f>IFERROR(X224*I224,"0")</f>
        <v>125.52000000000001</v>
      </c>
      <c r="BN224" s="81">
        <f>IFERROR(Y224*I224,"0")</f>
        <v>125.52000000000001</v>
      </c>
      <c r="BO224" s="81">
        <f>IFERROR(X224/J224,"0")</f>
        <v>0.2857142857142857</v>
      </c>
      <c r="BP224" s="81">
        <f>IFERROR(Y224/J224,"0")</f>
        <v>0.2857142857142857</v>
      </c>
    </row>
    <row r="225" spans="1:68" x14ac:dyDescent="0.2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8"/>
      <c r="P225" s="304" t="s">
        <v>40</v>
      </c>
      <c r="Q225" s="305"/>
      <c r="R225" s="305"/>
      <c r="S225" s="305"/>
      <c r="T225" s="305"/>
      <c r="U225" s="305"/>
      <c r="V225" s="306"/>
      <c r="W225" s="42" t="s">
        <v>39</v>
      </c>
      <c r="X225" s="43">
        <f>IFERROR(SUM(X224:X224),"0")</f>
        <v>24</v>
      </c>
      <c r="Y225" s="43">
        <f>IFERROR(SUM(Y224:Y224),"0")</f>
        <v>24</v>
      </c>
      <c r="Z225" s="43">
        <f>IFERROR(IF(Z224="",0,Z224),"0")</f>
        <v>0.372</v>
      </c>
      <c r="AA225" s="67"/>
      <c r="AB225" s="67"/>
      <c r="AC225" s="67"/>
    </row>
    <row r="226" spans="1:68" x14ac:dyDescent="0.2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8"/>
      <c r="P226" s="304" t="s">
        <v>40</v>
      </c>
      <c r="Q226" s="305"/>
      <c r="R226" s="305"/>
      <c r="S226" s="305"/>
      <c r="T226" s="305"/>
      <c r="U226" s="305"/>
      <c r="V226" s="306"/>
      <c r="W226" s="42" t="s">
        <v>0</v>
      </c>
      <c r="X226" s="43">
        <f>IFERROR(SUMPRODUCT(X224:X224*H224:H224),"0")</f>
        <v>120</v>
      </c>
      <c r="Y226" s="43">
        <f>IFERROR(SUMPRODUCT(Y224:Y224*H224:H224),"0")</f>
        <v>120</v>
      </c>
      <c r="Z226" s="42"/>
      <c r="AA226" s="67"/>
      <c r="AB226" s="67"/>
      <c r="AC226" s="67"/>
    </row>
    <row r="227" spans="1:68" ht="27.75" hidden="1" customHeight="1" x14ac:dyDescent="0.2">
      <c r="A227" s="326" t="s">
        <v>341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54"/>
      <c r="AB227" s="54"/>
      <c r="AC227" s="54"/>
    </row>
    <row r="228" spans="1:68" ht="16.5" hidden="1" customHeight="1" x14ac:dyDescent="0.25">
      <c r="A228" s="327" t="s">
        <v>342</v>
      </c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  <c r="V228" s="327"/>
      <c r="W228" s="327"/>
      <c r="X228" s="327"/>
      <c r="Y228" s="327"/>
      <c r="Z228" s="327"/>
      <c r="AA228" s="65"/>
      <c r="AB228" s="65"/>
      <c r="AC228" s="82"/>
    </row>
    <row r="229" spans="1:68" ht="14.25" hidden="1" customHeight="1" x14ac:dyDescent="0.25">
      <c r="A229" s="318" t="s">
        <v>82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66"/>
      <c r="AB229" s="66"/>
      <c r="AC229" s="83"/>
    </row>
    <row r="230" spans="1:68" ht="27" hidden="1" customHeight="1" x14ac:dyDescent="0.25">
      <c r="A230" s="63" t="s">
        <v>343</v>
      </c>
      <c r="B230" s="63" t="s">
        <v>344</v>
      </c>
      <c r="C230" s="36">
        <v>4301071036</v>
      </c>
      <c r="D230" s="299">
        <v>4607111036162</v>
      </c>
      <c r="E230" s="299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87</v>
      </c>
      <c r="L230" s="37" t="s">
        <v>88</v>
      </c>
      <c r="M230" s="38" t="s">
        <v>86</v>
      </c>
      <c r="N230" s="38"/>
      <c r="O230" s="37">
        <v>90</v>
      </c>
      <c r="P230" s="3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01"/>
      <c r="R230" s="301"/>
      <c r="S230" s="301"/>
      <c r="T230" s="302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53" t="s">
        <v>345</v>
      </c>
      <c r="AG230" s="81"/>
      <c r="AJ230" s="87" t="s">
        <v>89</v>
      </c>
      <c r="AK230" s="87">
        <v>1</v>
      </c>
      <c r="BB230" s="254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8"/>
      <c r="P231" s="304" t="s">
        <v>40</v>
      </c>
      <c r="Q231" s="305"/>
      <c r="R231" s="305"/>
      <c r="S231" s="305"/>
      <c r="T231" s="305"/>
      <c r="U231" s="305"/>
      <c r="V231" s="306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8"/>
      <c r="P232" s="304" t="s">
        <v>40</v>
      </c>
      <c r="Q232" s="305"/>
      <c r="R232" s="305"/>
      <c r="S232" s="305"/>
      <c r="T232" s="305"/>
      <c r="U232" s="305"/>
      <c r="V232" s="306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26" t="s">
        <v>346</v>
      </c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54"/>
      <c r="AB233" s="54"/>
      <c r="AC233" s="54"/>
    </row>
    <row r="234" spans="1:68" ht="16.5" hidden="1" customHeight="1" x14ac:dyDescent="0.25">
      <c r="A234" s="327" t="s">
        <v>347</v>
      </c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  <c r="V234" s="327"/>
      <c r="W234" s="327"/>
      <c r="X234" s="327"/>
      <c r="Y234" s="327"/>
      <c r="Z234" s="327"/>
      <c r="AA234" s="65"/>
      <c r="AB234" s="65"/>
      <c r="AC234" s="82"/>
    </row>
    <row r="235" spans="1:68" ht="14.25" hidden="1" customHeight="1" x14ac:dyDescent="0.25">
      <c r="A235" s="318" t="s">
        <v>348</v>
      </c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66"/>
      <c r="AB235" s="66"/>
      <c r="AC235" s="83"/>
    </row>
    <row r="236" spans="1:68" ht="27" hidden="1" customHeight="1" x14ac:dyDescent="0.25">
      <c r="A236" s="63" t="s">
        <v>349</v>
      </c>
      <c r="B236" s="63" t="s">
        <v>350</v>
      </c>
      <c r="C236" s="36">
        <v>4301133004</v>
      </c>
      <c r="D236" s="299">
        <v>4607111039774</v>
      </c>
      <c r="E236" s="299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123</v>
      </c>
      <c r="L236" s="37" t="s">
        <v>88</v>
      </c>
      <c r="M236" s="38" t="s">
        <v>86</v>
      </c>
      <c r="N236" s="38"/>
      <c r="O236" s="37">
        <v>180</v>
      </c>
      <c r="P236" s="3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01"/>
      <c r="R236" s="301"/>
      <c r="S236" s="301"/>
      <c r="T236" s="30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55" t="s">
        <v>351</v>
      </c>
      <c r="AG236" s="81"/>
      <c r="AJ236" s="87" t="s">
        <v>89</v>
      </c>
      <c r="AK236" s="87">
        <v>1</v>
      </c>
      <c r="BB236" s="256" t="s">
        <v>122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8"/>
      <c r="P237" s="304" t="s">
        <v>40</v>
      </c>
      <c r="Q237" s="305"/>
      <c r="R237" s="305"/>
      <c r="S237" s="305"/>
      <c r="T237" s="305"/>
      <c r="U237" s="305"/>
      <c r="V237" s="306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8"/>
      <c r="P238" s="304" t="s">
        <v>40</v>
      </c>
      <c r="Q238" s="305"/>
      <c r="R238" s="305"/>
      <c r="S238" s="305"/>
      <c r="T238" s="305"/>
      <c r="U238" s="305"/>
      <c r="V238" s="306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hidden="1" customHeight="1" x14ac:dyDescent="0.25">
      <c r="A239" s="318" t="s">
        <v>160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66"/>
      <c r="AB239" s="66"/>
      <c r="AC239" s="83"/>
    </row>
    <row r="240" spans="1:68" ht="37.5" hidden="1" customHeight="1" x14ac:dyDescent="0.25">
      <c r="A240" s="63" t="s">
        <v>352</v>
      </c>
      <c r="B240" s="63" t="s">
        <v>353</v>
      </c>
      <c r="C240" s="36">
        <v>4301135400</v>
      </c>
      <c r="D240" s="299">
        <v>4607111039361</v>
      </c>
      <c r="E240" s="299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123</v>
      </c>
      <c r="L240" s="37" t="s">
        <v>88</v>
      </c>
      <c r="M240" s="38" t="s">
        <v>86</v>
      </c>
      <c r="N240" s="38"/>
      <c r="O240" s="37">
        <v>180</v>
      </c>
      <c r="P240" s="3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01"/>
      <c r="R240" s="301"/>
      <c r="S240" s="301"/>
      <c r="T240" s="302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57" t="s">
        <v>351</v>
      </c>
      <c r="AG240" s="81"/>
      <c r="AJ240" s="87" t="s">
        <v>89</v>
      </c>
      <c r="AK240" s="87">
        <v>1</v>
      </c>
      <c r="BB240" s="258" t="s">
        <v>122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idden="1" x14ac:dyDescent="0.2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8"/>
      <c r="P241" s="304" t="s">
        <v>40</v>
      </c>
      <c r="Q241" s="305"/>
      <c r="R241" s="305"/>
      <c r="S241" s="305"/>
      <c r="T241" s="305"/>
      <c r="U241" s="305"/>
      <c r="V241" s="306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8"/>
      <c r="P242" s="304" t="s">
        <v>40</v>
      </c>
      <c r="Q242" s="305"/>
      <c r="R242" s="305"/>
      <c r="S242" s="305"/>
      <c r="T242" s="305"/>
      <c r="U242" s="305"/>
      <c r="V242" s="306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hidden="1" customHeight="1" x14ac:dyDescent="0.2">
      <c r="A243" s="326" t="s">
        <v>354</v>
      </c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54"/>
      <c r="AB243" s="54"/>
      <c r="AC243" s="54"/>
    </row>
    <row r="244" spans="1:68" ht="16.5" hidden="1" customHeight="1" x14ac:dyDescent="0.25">
      <c r="A244" s="327" t="s">
        <v>354</v>
      </c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  <c r="AA244" s="65"/>
      <c r="AB244" s="65"/>
      <c r="AC244" s="82"/>
    </row>
    <row r="245" spans="1:68" ht="14.25" hidden="1" customHeight="1" x14ac:dyDescent="0.25">
      <c r="A245" s="318" t="s">
        <v>118</v>
      </c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66"/>
      <c r="AB245" s="66"/>
      <c r="AC245" s="83"/>
    </row>
    <row r="246" spans="1:68" ht="27" hidden="1" customHeight="1" x14ac:dyDescent="0.25">
      <c r="A246" s="63" t="s">
        <v>355</v>
      </c>
      <c r="B246" s="63" t="s">
        <v>356</v>
      </c>
      <c r="C246" s="36">
        <v>4301132228</v>
      </c>
      <c r="D246" s="299">
        <v>4640242181950</v>
      </c>
      <c r="E246" s="299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123</v>
      </c>
      <c r="L246" s="37" t="s">
        <v>88</v>
      </c>
      <c r="M246" s="38" t="s">
        <v>86</v>
      </c>
      <c r="N246" s="38"/>
      <c r="O246" s="37">
        <v>365</v>
      </c>
      <c r="P246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01"/>
      <c r="R246" s="301"/>
      <c r="S246" s="301"/>
      <c r="T246" s="30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9" t="s">
        <v>357</v>
      </c>
      <c r="AG246" s="81"/>
      <c r="AJ246" s="87" t="s">
        <v>89</v>
      </c>
      <c r="AK246" s="87">
        <v>1</v>
      </c>
      <c r="BB246" s="260" t="s">
        <v>122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8"/>
      <c r="P247" s="304" t="s">
        <v>40</v>
      </c>
      <c r="Q247" s="305"/>
      <c r="R247" s="305"/>
      <c r="S247" s="305"/>
      <c r="T247" s="305"/>
      <c r="U247" s="305"/>
      <c r="V247" s="306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8"/>
      <c r="P248" s="304" t="s">
        <v>40</v>
      </c>
      <c r="Q248" s="305"/>
      <c r="R248" s="305"/>
      <c r="S248" s="305"/>
      <c r="T248" s="305"/>
      <c r="U248" s="305"/>
      <c r="V248" s="306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hidden="1" customHeight="1" x14ac:dyDescent="0.25">
      <c r="A249" s="318" t="s">
        <v>193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66"/>
      <c r="AB249" s="66"/>
      <c r="AC249" s="83"/>
    </row>
    <row r="250" spans="1:68" ht="27" hidden="1" customHeight="1" x14ac:dyDescent="0.25">
      <c r="A250" s="63" t="s">
        <v>358</v>
      </c>
      <c r="B250" s="63" t="s">
        <v>359</v>
      </c>
      <c r="C250" s="36">
        <v>4301136098</v>
      </c>
      <c r="D250" s="299">
        <v>4640242181943</v>
      </c>
      <c r="E250" s="299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123</v>
      </c>
      <c r="L250" s="37" t="s">
        <v>88</v>
      </c>
      <c r="M250" s="38" t="s">
        <v>86</v>
      </c>
      <c r="N250" s="38"/>
      <c r="O250" s="37">
        <v>180</v>
      </c>
      <c r="P250" s="33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01"/>
      <c r="R250" s="301"/>
      <c r="S250" s="301"/>
      <c r="T250" s="30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61" t="s">
        <v>360</v>
      </c>
      <c r="AG250" s="81"/>
      <c r="AJ250" s="87" t="s">
        <v>89</v>
      </c>
      <c r="AK250" s="87">
        <v>1</v>
      </c>
      <c r="BB250" s="262" t="s">
        <v>122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8"/>
      <c r="P251" s="304" t="s">
        <v>40</v>
      </c>
      <c r="Q251" s="305"/>
      <c r="R251" s="305"/>
      <c r="S251" s="305"/>
      <c r="T251" s="305"/>
      <c r="U251" s="305"/>
      <c r="V251" s="306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8"/>
      <c r="P252" s="304" t="s">
        <v>40</v>
      </c>
      <c r="Q252" s="305"/>
      <c r="R252" s="305"/>
      <c r="S252" s="305"/>
      <c r="T252" s="305"/>
      <c r="U252" s="305"/>
      <c r="V252" s="306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hidden="1" customHeight="1" x14ac:dyDescent="0.2">
      <c r="A253" s="326" t="s">
        <v>285</v>
      </c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54"/>
      <c r="AB253" s="54"/>
      <c r="AC253" s="54"/>
    </row>
    <row r="254" spans="1:68" ht="16.5" hidden="1" customHeight="1" x14ac:dyDescent="0.25">
      <c r="A254" s="327" t="s">
        <v>285</v>
      </c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  <c r="AA254" s="65"/>
      <c r="AB254" s="65"/>
      <c r="AC254" s="82"/>
    </row>
    <row r="255" spans="1:68" ht="14.25" hidden="1" customHeight="1" x14ac:dyDescent="0.25">
      <c r="A255" s="318" t="s">
        <v>82</v>
      </c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66"/>
      <c r="AB255" s="66"/>
      <c r="AC255" s="83"/>
    </row>
    <row r="256" spans="1:68" ht="27" hidden="1" customHeight="1" x14ac:dyDescent="0.25">
      <c r="A256" s="63" t="s">
        <v>361</v>
      </c>
      <c r="B256" s="63" t="s">
        <v>362</v>
      </c>
      <c r="C256" s="36">
        <v>4301071014</v>
      </c>
      <c r="D256" s="299">
        <v>4640242181264</v>
      </c>
      <c r="E256" s="299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1"/>
      <c r="R256" s="301"/>
      <c r="S256" s="301"/>
      <c r="T256" s="302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3" t="s">
        <v>363</v>
      </c>
      <c r="AG256" s="81"/>
      <c r="AJ256" s="87" t="s">
        <v>89</v>
      </c>
      <c r="AK256" s="87">
        <v>1</v>
      </c>
      <c r="BB256" s="264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364</v>
      </c>
      <c r="B257" s="63" t="s">
        <v>365</v>
      </c>
      <c r="C257" s="36">
        <v>4301071141</v>
      </c>
      <c r="D257" s="299">
        <v>4620207491980</v>
      </c>
      <c r="E257" s="299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87</v>
      </c>
      <c r="L257" s="37" t="s">
        <v>88</v>
      </c>
      <c r="M257" s="38" t="s">
        <v>86</v>
      </c>
      <c r="N257" s="38"/>
      <c r="O257" s="37">
        <v>180</v>
      </c>
      <c r="P257" s="32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01"/>
      <c r="R257" s="301"/>
      <c r="S257" s="301"/>
      <c r="T257" s="30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65" t="s">
        <v>366</v>
      </c>
      <c r="AG257" s="81"/>
      <c r="AJ257" s="87" t="s">
        <v>89</v>
      </c>
      <c r="AK257" s="87">
        <v>1</v>
      </c>
      <c r="BB257" s="266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8"/>
      <c r="P258" s="304" t="s">
        <v>40</v>
      </c>
      <c r="Q258" s="305"/>
      <c r="R258" s="305"/>
      <c r="S258" s="305"/>
      <c r="T258" s="305"/>
      <c r="U258" s="305"/>
      <c r="V258" s="306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8"/>
      <c r="P259" s="304" t="s">
        <v>40</v>
      </c>
      <c r="Q259" s="305"/>
      <c r="R259" s="305"/>
      <c r="S259" s="305"/>
      <c r="T259" s="305"/>
      <c r="U259" s="305"/>
      <c r="V259" s="306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18" t="s">
        <v>193</v>
      </c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66"/>
      <c r="AB260" s="66"/>
      <c r="AC260" s="83"/>
    </row>
    <row r="261" spans="1:68" ht="27" hidden="1" customHeight="1" x14ac:dyDescent="0.25">
      <c r="A261" s="63" t="s">
        <v>367</v>
      </c>
      <c r="B261" s="63" t="s">
        <v>368</v>
      </c>
      <c r="C261" s="36">
        <v>4301136116</v>
      </c>
      <c r="D261" s="299">
        <v>4620207492147</v>
      </c>
      <c r="E261" s="29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123</v>
      </c>
      <c r="L261" s="37" t="s">
        <v>88</v>
      </c>
      <c r="M261" s="38" t="s">
        <v>86</v>
      </c>
      <c r="N261" s="38"/>
      <c r="O261" s="37">
        <v>180</v>
      </c>
      <c r="P261" s="323" t="s">
        <v>369</v>
      </c>
      <c r="Q261" s="301"/>
      <c r="R261" s="301"/>
      <c r="S261" s="301"/>
      <c r="T261" s="30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7" t="s">
        <v>196</v>
      </c>
      <c r="AG261" s="81"/>
      <c r="AJ261" s="87" t="s">
        <v>89</v>
      </c>
      <c r="AK261" s="87">
        <v>1</v>
      </c>
      <c r="BB261" s="268" t="s">
        <v>122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370</v>
      </c>
      <c r="B262" s="63" t="s">
        <v>371</v>
      </c>
      <c r="C262" s="36">
        <v>4301136112</v>
      </c>
      <c r="D262" s="299">
        <v>4620207492154</v>
      </c>
      <c r="E262" s="29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87</v>
      </c>
      <c r="L262" s="37" t="s">
        <v>88</v>
      </c>
      <c r="M262" s="38" t="s">
        <v>86</v>
      </c>
      <c r="N262" s="38"/>
      <c r="O262" s="37">
        <v>180</v>
      </c>
      <c r="P262" s="324" t="s">
        <v>372</v>
      </c>
      <c r="Q262" s="301"/>
      <c r="R262" s="301"/>
      <c r="S262" s="301"/>
      <c r="T262" s="302"/>
      <c r="U262" s="39" t="s">
        <v>46</v>
      </c>
      <c r="V262" s="39" t="s">
        <v>46</v>
      </c>
      <c r="W262" s="40" t="s">
        <v>39</v>
      </c>
      <c r="X262" s="58">
        <v>216</v>
      </c>
      <c r="Y262" s="55">
        <f>IFERROR(IF(X262="","",X262),"")</f>
        <v>216</v>
      </c>
      <c r="Z262" s="41">
        <f>IFERROR(IF(X262="","",X262*0.0155),"")</f>
        <v>3.3479999999999999</v>
      </c>
      <c r="AA262" s="68" t="s">
        <v>46</v>
      </c>
      <c r="AB262" s="69" t="s">
        <v>46</v>
      </c>
      <c r="AC262" s="269" t="s">
        <v>196</v>
      </c>
      <c r="AG262" s="81"/>
      <c r="AJ262" s="87" t="s">
        <v>89</v>
      </c>
      <c r="AK262" s="87">
        <v>1</v>
      </c>
      <c r="BB262" s="270" t="s">
        <v>122</v>
      </c>
      <c r="BM262" s="81">
        <f>IFERROR(X262*I262,"0")</f>
        <v>1130.76</v>
      </c>
      <c r="BN262" s="81">
        <f>IFERROR(Y262*I262,"0")</f>
        <v>1130.76</v>
      </c>
      <c r="BO262" s="81">
        <f>IFERROR(X262/J262,"0")</f>
        <v>2.5714285714285716</v>
      </c>
      <c r="BP262" s="81">
        <f>IFERROR(Y262/J262,"0")</f>
        <v>2.5714285714285716</v>
      </c>
    </row>
    <row r="263" spans="1:68" ht="27" customHeight="1" x14ac:dyDescent="0.25">
      <c r="A263" s="63" t="s">
        <v>373</v>
      </c>
      <c r="B263" s="63" t="s">
        <v>374</v>
      </c>
      <c r="C263" s="36">
        <v>4301136114</v>
      </c>
      <c r="D263" s="299">
        <v>4620207492086</v>
      </c>
      <c r="E263" s="29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123</v>
      </c>
      <c r="L263" s="37" t="s">
        <v>88</v>
      </c>
      <c r="M263" s="38" t="s">
        <v>86</v>
      </c>
      <c r="N263" s="38"/>
      <c r="O263" s="37">
        <v>180</v>
      </c>
      <c r="P263" s="325" t="s">
        <v>375</v>
      </c>
      <c r="Q263" s="301"/>
      <c r="R263" s="301"/>
      <c r="S263" s="301"/>
      <c r="T263" s="302"/>
      <c r="U263" s="39" t="s">
        <v>46</v>
      </c>
      <c r="V263" s="39" t="s">
        <v>46</v>
      </c>
      <c r="W263" s="40" t="s">
        <v>39</v>
      </c>
      <c r="X263" s="58">
        <v>56</v>
      </c>
      <c r="Y263" s="55">
        <f>IFERROR(IF(X263="","",X263),"")</f>
        <v>56</v>
      </c>
      <c r="Z263" s="41">
        <f>IFERROR(IF(X263="","",X263*0.00936),"")</f>
        <v>0.52415999999999996</v>
      </c>
      <c r="AA263" s="68" t="s">
        <v>46</v>
      </c>
      <c r="AB263" s="69" t="s">
        <v>46</v>
      </c>
      <c r="AC263" s="271" t="s">
        <v>196</v>
      </c>
      <c r="AG263" s="81"/>
      <c r="AJ263" s="87" t="s">
        <v>89</v>
      </c>
      <c r="AK263" s="87">
        <v>1</v>
      </c>
      <c r="BB263" s="272" t="s">
        <v>122</v>
      </c>
      <c r="BM263" s="81">
        <f>IFERROR(X263*I263,"0")</f>
        <v>136.19200000000001</v>
      </c>
      <c r="BN263" s="81">
        <f>IFERROR(Y263*I263,"0")</f>
        <v>136.19200000000001</v>
      </c>
      <c r="BO263" s="81">
        <f>IFERROR(X263/J263,"0")</f>
        <v>0.44444444444444442</v>
      </c>
      <c r="BP263" s="81">
        <f>IFERROR(Y263/J263,"0")</f>
        <v>0.44444444444444442</v>
      </c>
    </row>
    <row r="264" spans="1:68" x14ac:dyDescent="0.2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8"/>
      <c r="P264" s="304" t="s">
        <v>40</v>
      </c>
      <c r="Q264" s="305"/>
      <c r="R264" s="305"/>
      <c r="S264" s="305"/>
      <c r="T264" s="305"/>
      <c r="U264" s="305"/>
      <c r="V264" s="306"/>
      <c r="W264" s="42" t="s">
        <v>39</v>
      </c>
      <c r="X264" s="43">
        <f>IFERROR(SUM(X261:X263),"0")</f>
        <v>272</v>
      </c>
      <c r="Y264" s="43">
        <f>IFERROR(SUM(Y261:Y263),"0")</f>
        <v>272</v>
      </c>
      <c r="Z264" s="43">
        <f>IFERROR(IF(Z261="",0,Z261),"0")+IFERROR(IF(Z262="",0,Z262),"0")+IFERROR(IF(Z263="",0,Z263),"0")</f>
        <v>3.87216</v>
      </c>
      <c r="AA264" s="67"/>
      <c r="AB264" s="67"/>
      <c r="AC264" s="67"/>
    </row>
    <row r="265" spans="1:68" x14ac:dyDescent="0.2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8"/>
      <c r="P265" s="304" t="s">
        <v>40</v>
      </c>
      <c r="Q265" s="305"/>
      <c r="R265" s="305"/>
      <c r="S265" s="305"/>
      <c r="T265" s="305"/>
      <c r="U265" s="305"/>
      <c r="V265" s="306"/>
      <c r="W265" s="42" t="s">
        <v>0</v>
      </c>
      <c r="X265" s="43">
        <f>IFERROR(SUMPRODUCT(X261:X263*H261:H263),"0")</f>
        <v>1205.44</v>
      </c>
      <c r="Y265" s="43">
        <f>IFERROR(SUMPRODUCT(Y261:Y263*H261:H263),"0")</f>
        <v>1205.44</v>
      </c>
      <c r="Z265" s="42"/>
      <c r="AA265" s="67"/>
      <c r="AB265" s="67"/>
      <c r="AC265" s="67"/>
    </row>
    <row r="266" spans="1:68" ht="14.25" hidden="1" customHeight="1" x14ac:dyDescent="0.25">
      <c r="A266" s="318" t="s">
        <v>160</v>
      </c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66"/>
      <c r="AB266" s="66"/>
      <c r="AC266" s="83"/>
    </row>
    <row r="267" spans="1:68" ht="27" hidden="1" customHeight="1" x14ac:dyDescent="0.25">
      <c r="A267" s="63" t="s">
        <v>376</v>
      </c>
      <c r="B267" s="63" t="s">
        <v>377</v>
      </c>
      <c r="C267" s="36">
        <v>4301137094</v>
      </c>
      <c r="D267" s="299">
        <v>4620207492284</v>
      </c>
      <c r="E267" s="299"/>
      <c r="F267" s="62">
        <v>3.7</v>
      </c>
      <c r="G267" s="37">
        <v>1</v>
      </c>
      <c r="H267" s="62">
        <v>3.7</v>
      </c>
      <c r="I267" s="62">
        <v>4.0599999999999996</v>
      </c>
      <c r="J267" s="37">
        <v>126</v>
      </c>
      <c r="K267" s="37" t="s">
        <v>123</v>
      </c>
      <c r="L267" s="37" t="s">
        <v>88</v>
      </c>
      <c r="M267" s="38" t="s">
        <v>86</v>
      </c>
      <c r="N267" s="38"/>
      <c r="O267" s="37">
        <v>180</v>
      </c>
      <c r="P267" s="319" t="s">
        <v>378</v>
      </c>
      <c r="Q267" s="301"/>
      <c r="R267" s="301"/>
      <c r="S267" s="301"/>
      <c r="T267" s="30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7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110</v>
      </c>
      <c r="AC267" s="273" t="s">
        <v>379</v>
      </c>
      <c r="AG267" s="81"/>
      <c r="AJ267" s="87" t="s">
        <v>89</v>
      </c>
      <c r="AK267" s="87">
        <v>1</v>
      </c>
      <c r="BB267" s="274" t="s">
        <v>122</v>
      </c>
      <c r="BM267" s="81">
        <f t="shared" ref="BM267:BM277" si="19">IFERROR(X267*I267,"0")</f>
        <v>0</v>
      </c>
      <c r="BN267" s="81">
        <f t="shared" ref="BN267:BN277" si="20">IFERROR(Y267*I267,"0")</f>
        <v>0</v>
      </c>
      <c r="BO267" s="81">
        <f t="shared" ref="BO267:BO277" si="21">IFERROR(X267/J267,"0")</f>
        <v>0</v>
      </c>
      <c r="BP267" s="81">
        <f t="shared" ref="BP267:BP277" si="22">IFERROR(Y267/J267,"0")</f>
        <v>0</v>
      </c>
    </row>
    <row r="268" spans="1:68" ht="16.5" hidden="1" customHeight="1" x14ac:dyDescent="0.25">
      <c r="A268" s="63" t="s">
        <v>380</v>
      </c>
      <c r="B268" s="63" t="s">
        <v>381</v>
      </c>
      <c r="C268" s="36">
        <v>4301137066</v>
      </c>
      <c r="D268" s="299">
        <v>4620207492109</v>
      </c>
      <c r="E268" s="299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20" t="s">
        <v>382</v>
      </c>
      <c r="Q268" s="301"/>
      <c r="R268" s="301"/>
      <c r="S268" s="301"/>
      <c r="T268" s="30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75" t="s">
        <v>291</v>
      </c>
      <c r="AG268" s="81"/>
      <c r="AJ268" s="87" t="s">
        <v>89</v>
      </c>
      <c r="AK268" s="87">
        <v>1</v>
      </c>
      <c r="BB268" s="276" t="s">
        <v>122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37.5" hidden="1" customHeight="1" x14ac:dyDescent="0.25">
      <c r="A269" s="63" t="s">
        <v>383</v>
      </c>
      <c r="B269" s="63" t="s">
        <v>384</v>
      </c>
      <c r="C269" s="36">
        <v>4301137068</v>
      </c>
      <c r="D269" s="299">
        <v>4620207492161</v>
      </c>
      <c r="E269" s="299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321" t="s">
        <v>385</v>
      </c>
      <c r="Q269" s="301"/>
      <c r="R269" s="301"/>
      <c r="S269" s="301"/>
      <c r="T269" s="30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77" t="s">
        <v>386</v>
      </c>
      <c r="AG269" s="81"/>
      <c r="AJ269" s="87" t="s">
        <v>89</v>
      </c>
      <c r="AK269" s="87">
        <v>1</v>
      </c>
      <c r="BB269" s="278" t="s">
        <v>122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387</v>
      </c>
      <c r="B270" s="63" t="s">
        <v>388</v>
      </c>
      <c r="C270" s="36">
        <v>4301137046</v>
      </c>
      <c r="D270" s="299">
        <v>4620207492093</v>
      </c>
      <c r="E270" s="29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123</v>
      </c>
      <c r="L270" s="37" t="s">
        <v>88</v>
      </c>
      <c r="M270" s="38" t="s">
        <v>86</v>
      </c>
      <c r="N270" s="38"/>
      <c r="O270" s="37">
        <v>180</v>
      </c>
      <c r="P270" s="322" t="s">
        <v>389</v>
      </c>
      <c r="Q270" s="301"/>
      <c r="R270" s="301"/>
      <c r="S270" s="301"/>
      <c r="T270" s="302"/>
      <c r="U270" s="39" t="s">
        <v>46</v>
      </c>
      <c r="V270" s="39" t="s">
        <v>46</v>
      </c>
      <c r="W270" s="40" t="s">
        <v>39</v>
      </c>
      <c r="X270" s="58">
        <v>42</v>
      </c>
      <c r="Y270" s="55">
        <f t="shared" si="18"/>
        <v>42</v>
      </c>
      <c r="Z270" s="41">
        <f>IFERROR(IF(X270="","",X270*0.00936),"")</f>
        <v>0.39312000000000002</v>
      </c>
      <c r="AA270" s="68" t="s">
        <v>46</v>
      </c>
      <c r="AB270" s="69" t="s">
        <v>46</v>
      </c>
      <c r="AC270" s="279" t="s">
        <v>390</v>
      </c>
      <c r="AG270" s="81"/>
      <c r="AJ270" s="87" t="s">
        <v>89</v>
      </c>
      <c r="AK270" s="87">
        <v>1</v>
      </c>
      <c r="BB270" s="280" t="s">
        <v>122</v>
      </c>
      <c r="BM270" s="81">
        <f t="shared" si="19"/>
        <v>163.464</v>
      </c>
      <c r="BN270" s="81">
        <f t="shared" si="20"/>
        <v>163.464</v>
      </c>
      <c r="BO270" s="81">
        <f t="shared" si="21"/>
        <v>0.33333333333333331</v>
      </c>
      <c r="BP270" s="81">
        <f t="shared" si="22"/>
        <v>0.33333333333333331</v>
      </c>
    </row>
    <row r="271" spans="1:68" ht="27" hidden="1" customHeight="1" x14ac:dyDescent="0.25">
      <c r="A271" s="63" t="s">
        <v>391</v>
      </c>
      <c r="B271" s="63" t="s">
        <v>392</v>
      </c>
      <c r="C271" s="36">
        <v>4301137072</v>
      </c>
      <c r="D271" s="299">
        <v>4620207492222</v>
      </c>
      <c r="E271" s="299"/>
      <c r="F271" s="62">
        <v>5</v>
      </c>
      <c r="G271" s="37">
        <v>1</v>
      </c>
      <c r="H271" s="62">
        <v>5</v>
      </c>
      <c r="I271" s="62">
        <v>5.23</v>
      </c>
      <c r="J271" s="37">
        <v>84</v>
      </c>
      <c r="K271" s="37" t="s">
        <v>87</v>
      </c>
      <c r="L271" s="37" t="s">
        <v>88</v>
      </c>
      <c r="M271" s="38" t="s">
        <v>86</v>
      </c>
      <c r="N271" s="38"/>
      <c r="O271" s="37">
        <v>180</v>
      </c>
      <c r="P271" s="313" t="s">
        <v>393</v>
      </c>
      <c r="Q271" s="301"/>
      <c r="R271" s="301"/>
      <c r="S271" s="301"/>
      <c r="T271" s="30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81" t="s">
        <v>390</v>
      </c>
      <c r="AG271" s="81"/>
      <c r="AJ271" s="87" t="s">
        <v>89</v>
      </c>
      <c r="AK271" s="87">
        <v>1</v>
      </c>
      <c r="BB271" s="282" t="s">
        <v>122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394</v>
      </c>
      <c r="B272" s="63" t="s">
        <v>395</v>
      </c>
      <c r="C272" s="36">
        <v>4301137074</v>
      </c>
      <c r="D272" s="299">
        <v>4620207492116</v>
      </c>
      <c r="E272" s="299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14" t="s">
        <v>396</v>
      </c>
      <c r="Q272" s="301"/>
      <c r="R272" s="301"/>
      <c r="S272" s="301"/>
      <c r="T272" s="302"/>
      <c r="U272" s="39" t="s">
        <v>46</v>
      </c>
      <c r="V272" s="39" t="s">
        <v>46</v>
      </c>
      <c r="W272" s="40" t="s">
        <v>39</v>
      </c>
      <c r="X272" s="58">
        <v>182</v>
      </c>
      <c r="Y272" s="55">
        <f t="shared" si="18"/>
        <v>182</v>
      </c>
      <c r="Z272" s="41">
        <f t="shared" ref="Z272:Z277" si="23">IFERROR(IF(X272="","",X272*0.00936),"")</f>
        <v>1.7035200000000001</v>
      </c>
      <c r="AA272" s="68" t="s">
        <v>46</v>
      </c>
      <c r="AB272" s="69" t="s">
        <v>46</v>
      </c>
      <c r="AC272" s="283" t="s">
        <v>291</v>
      </c>
      <c r="AG272" s="81"/>
      <c r="AJ272" s="87" t="s">
        <v>89</v>
      </c>
      <c r="AK272" s="87">
        <v>1</v>
      </c>
      <c r="BB272" s="284" t="s">
        <v>122</v>
      </c>
      <c r="BM272" s="81">
        <f t="shared" si="19"/>
        <v>580.94400000000007</v>
      </c>
      <c r="BN272" s="81">
        <f t="shared" si="20"/>
        <v>580.94400000000007</v>
      </c>
      <c r="BO272" s="81">
        <f t="shared" si="21"/>
        <v>1.4444444444444444</v>
      </c>
      <c r="BP272" s="81">
        <f t="shared" si="22"/>
        <v>1.4444444444444444</v>
      </c>
    </row>
    <row r="273" spans="1:68" ht="37.5" hidden="1" customHeight="1" x14ac:dyDescent="0.25">
      <c r="A273" s="63" t="s">
        <v>397</v>
      </c>
      <c r="B273" s="63" t="s">
        <v>398</v>
      </c>
      <c r="C273" s="36">
        <v>4301137070</v>
      </c>
      <c r="D273" s="299">
        <v>4620207492123</v>
      </c>
      <c r="E273" s="29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123</v>
      </c>
      <c r="L273" s="37" t="s">
        <v>88</v>
      </c>
      <c r="M273" s="38" t="s">
        <v>86</v>
      </c>
      <c r="N273" s="38"/>
      <c r="O273" s="37">
        <v>180</v>
      </c>
      <c r="P273" s="315" t="s">
        <v>399</v>
      </c>
      <c r="Q273" s="301"/>
      <c r="R273" s="301"/>
      <c r="S273" s="301"/>
      <c r="T273" s="30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5" t="s">
        <v>386</v>
      </c>
      <c r="AG273" s="81"/>
      <c r="AJ273" s="87" t="s">
        <v>89</v>
      </c>
      <c r="AK273" s="87">
        <v>1</v>
      </c>
      <c r="BB273" s="286" t="s">
        <v>122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400</v>
      </c>
      <c r="B274" s="63" t="s">
        <v>401</v>
      </c>
      <c r="C274" s="36">
        <v>4301137078</v>
      </c>
      <c r="D274" s="299">
        <v>4620207492130</v>
      </c>
      <c r="E274" s="29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16" t="s">
        <v>402</v>
      </c>
      <c r="Q274" s="301"/>
      <c r="R274" s="301"/>
      <c r="S274" s="301"/>
      <c r="T274" s="30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87" t="s">
        <v>386</v>
      </c>
      <c r="AG274" s="81"/>
      <c r="AJ274" s="87" t="s">
        <v>89</v>
      </c>
      <c r="AK274" s="87">
        <v>1</v>
      </c>
      <c r="BB274" s="288" t="s">
        <v>122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403</v>
      </c>
      <c r="B275" s="63" t="s">
        <v>404</v>
      </c>
      <c r="C275" s="36">
        <v>4301137092</v>
      </c>
      <c r="D275" s="299">
        <v>4620207491942</v>
      </c>
      <c r="E275" s="29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123</v>
      </c>
      <c r="L275" s="37" t="s">
        <v>88</v>
      </c>
      <c r="M275" s="38" t="s">
        <v>86</v>
      </c>
      <c r="N275" s="38"/>
      <c r="O275" s="37">
        <v>180</v>
      </c>
      <c r="P275" s="317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301"/>
      <c r="R275" s="301"/>
      <c r="S275" s="301"/>
      <c r="T275" s="30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9" t="s">
        <v>386</v>
      </c>
      <c r="AG275" s="81"/>
      <c r="AJ275" s="87" t="s">
        <v>89</v>
      </c>
      <c r="AK275" s="87">
        <v>1</v>
      </c>
      <c r="BB275" s="290" t="s">
        <v>122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405</v>
      </c>
      <c r="B276" s="63" t="s">
        <v>406</v>
      </c>
      <c r="C276" s="36">
        <v>4301137014</v>
      </c>
      <c r="D276" s="299">
        <v>4620207491911</v>
      </c>
      <c r="E276" s="29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300" t="s">
        <v>407</v>
      </c>
      <c r="Q276" s="301"/>
      <c r="R276" s="301"/>
      <c r="S276" s="301"/>
      <c r="T276" s="30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91" t="s">
        <v>390</v>
      </c>
      <c r="AG276" s="81"/>
      <c r="AJ276" s="87" t="s">
        <v>89</v>
      </c>
      <c r="AK276" s="87">
        <v>1</v>
      </c>
      <c r="BB276" s="292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408</v>
      </c>
      <c r="B277" s="63" t="s">
        <v>409</v>
      </c>
      <c r="C277" s="36">
        <v>4301137012</v>
      </c>
      <c r="D277" s="299">
        <v>4620207491935</v>
      </c>
      <c r="E277" s="29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123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01"/>
      <c r="R277" s="301"/>
      <c r="S277" s="301"/>
      <c r="T277" s="30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93" t="s">
        <v>291</v>
      </c>
      <c r="AG277" s="81"/>
      <c r="AJ277" s="87" t="s">
        <v>89</v>
      </c>
      <c r="AK277" s="87">
        <v>1</v>
      </c>
      <c r="BB277" s="294" t="s">
        <v>122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8"/>
      <c r="P278" s="304" t="s">
        <v>40</v>
      </c>
      <c r="Q278" s="305"/>
      <c r="R278" s="305"/>
      <c r="S278" s="305"/>
      <c r="T278" s="305"/>
      <c r="U278" s="305"/>
      <c r="V278" s="306"/>
      <c r="W278" s="42" t="s">
        <v>39</v>
      </c>
      <c r="X278" s="43">
        <f>IFERROR(SUM(X267:X277),"0")</f>
        <v>224</v>
      </c>
      <c r="Y278" s="43">
        <f>IFERROR(SUM(Y267:Y277),"0")</f>
        <v>224</v>
      </c>
      <c r="Z278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2.0966400000000003</v>
      </c>
      <c r="AA278" s="67"/>
      <c r="AB278" s="67"/>
      <c r="AC278" s="67"/>
    </row>
    <row r="279" spans="1:68" x14ac:dyDescent="0.2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8"/>
      <c r="P279" s="304" t="s">
        <v>40</v>
      </c>
      <c r="Q279" s="305"/>
      <c r="R279" s="305"/>
      <c r="S279" s="305"/>
      <c r="T279" s="305"/>
      <c r="U279" s="305"/>
      <c r="V279" s="306"/>
      <c r="W279" s="42" t="s">
        <v>0</v>
      </c>
      <c r="X279" s="43">
        <f>IFERROR(SUMPRODUCT(X267:X277*H267:H277),"0")</f>
        <v>701.4</v>
      </c>
      <c r="Y279" s="43">
        <f>IFERROR(SUMPRODUCT(Y267:Y277*H267:H277),"0")</f>
        <v>701.4</v>
      </c>
      <c r="Z279" s="42"/>
      <c r="AA279" s="67"/>
      <c r="AB279" s="67"/>
      <c r="AC279" s="67"/>
    </row>
    <row r="280" spans="1:68" ht="15" customHeight="1" x14ac:dyDescent="0.2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12"/>
      <c r="P280" s="309" t="s">
        <v>33</v>
      </c>
      <c r="Q280" s="310"/>
      <c r="R280" s="310"/>
      <c r="S280" s="310"/>
      <c r="T280" s="310"/>
      <c r="U280" s="310"/>
      <c r="V280" s="311"/>
      <c r="W280" s="42" t="s">
        <v>0</v>
      </c>
      <c r="X280" s="43">
        <f>IFERROR(X31+X35+X41+X48+X56+X64+X70+X75+X81+X93+X99+X111+X115+X119+X124+X131+X137+X144+X150+X157+X163+X168+X173+X179+X184+X190+X195+X204+X210+X215+X221+X226+X232+X238+X242+X248+X252+X259+X265+X279,"0")</f>
        <v>15436.72</v>
      </c>
      <c r="Y280" s="43">
        <f>IFERROR(Y31+Y35+Y41+Y48+Y56+Y64+Y70+Y75+Y81+Y93+Y99+Y111+Y115+Y119+Y124+Y131+Y137+Y144+Y150+Y157+Y163+Y168+Y173+Y179+Y184+Y190+Y195+Y204+Y210+Y215+Y221+Y226+Y232+Y238+Y242+Y248+Y252+Y259+Y265+Y279,"0")</f>
        <v>15436.72</v>
      </c>
      <c r="Z280" s="42"/>
      <c r="AA280" s="67"/>
      <c r="AB280" s="67"/>
      <c r="AC280" s="67"/>
    </row>
    <row r="281" spans="1:68" x14ac:dyDescent="0.2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12"/>
      <c r="P281" s="309" t="s">
        <v>34</v>
      </c>
      <c r="Q281" s="310"/>
      <c r="R281" s="310"/>
      <c r="S281" s="310"/>
      <c r="T281" s="310"/>
      <c r="U281" s="310"/>
      <c r="V281" s="311"/>
      <c r="W281" s="42" t="s">
        <v>0</v>
      </c>
      <c r="X281" s="43">
        <f>IFERROR(SUM(BM22:BM277),"0")</f>
        <v>16659.842000000001</v>
      </c>
      <c r="Y281" s="43">
        <f>IFERROR(SUM(BN22:BN277),"0")</f>
        <v>16659.842000000001</v>
      </c>
      <c r="Z281" s="42"/>
      <c r="AA281" s="67"/>
      <c r="AB281" s="67"/>
      <c r="AC281" s="67"/>
    </row>
    <row r="282" spans="1:68" x14ac:dyDescent="0.2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12"/>
      <c r="P282" s="309" t="s">
        <v>35</v>
      </c>
      <c r="Q282" s="310"/>
      <c r="R282" s="310"/>
      <c r="S282" s="310"/>
      <c r="T282" s="310"/>
      <c r="U282" s="310"/>
      <c r="V282" s="311"/>
      <c r="W282" s="42" t="s">
        <v>20</v>
      </c>
      <c r="X282" s="44">
        <f>ROUNDUP(SUM(BO22:BO277),0)</f>
        <v>39</v>
      </c>
      <c r="Y282" s="44">
        <f>ROUNDUP(SUM(BP22:BP277),0)</f>
        <v>39</v>
      </c>
      <c r="Z282" s="42"/>
      <c r="AA282" s="67"/>
      <c r="AB282" s="67"/>
      <c r="AC282" s="67"/>
    </row>
    <row r="283" spans="1:68" x14ac:dyDescent="0.2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12"/>
      <c r="P283" s="309" t="s">
        <v>36</v>
      </c>
      <c r="Q283" s="310"/>
      <c r="R283" s="310"/>
      <c r="S283" s="310"/>
      <c r="T283" s="310"/>
      <c r="U283" s="310"/>
      <c r="V283" s="311"/>
      <c r="W283" s="42" t="s">
        <v>0</v>
      </c>
      <c r="X283" s="43">
        <f>GrossWeightTotal+PalletQtyTotal*25</f>
        <v>17634.842000000001</v>
      </c>
      <c r="Y283" s="43">
        <f>GrossWeightTotalR+PalletQtyTotalR*25</f>
        <v>17634.842000000001</v>
      </c>
      <c r="Z283" s="42"/>
      <c r="AA283" s="67"/>
      <c r="AB283" s="67"/>
      <c r="AC283" s="67"/>
    </row>
    <row r="284" spans="1:68" x14ac:dyDescent="0.2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12"/>
      <c r="P284" s="309" t="s">
        <v>37</v>
      </c>
      <c r="Q284" s="310"/>
      <c r="R284" s="310"/>
      <c r="S284" s="310"/>
      <c r="T284" s="310"/>
      <c r="U284" s="310"/>
      <c r="V284" s="311"/>
      <c r="W284" s="42" t="s">
        <v>20</v>
      </c>
      <c r="X284" s="43">
        <f>IFERROR(X30+X34+X40+X47+X55+X63+X69+X74+X80+X92+X98+X110+X114+X118+X123+X130+X136+X143+X149+X156+X162+X167+X172+X178+X183+X189+X194+X203+X209+X214+X220+X225+X231+X237+X241+X247+X251+X258+X264+X278,"0")</f>
        <v>3502</v>
      </c>
      <c r="Y284" s="43">
        <f>IFERROR(Y30+Y34+Y40+Y47+Y55+Y63+Y69+Y74+Y80+Y92+Y98+Y110+Y114+Y118+Y123+Y130+Y136+Y143+Y149+Y156+Y162+Y167+Y172+Y178+Y183+Y189+Y194+Y203+Y209+Y214+Y220+Y225+Y231+Y237+Y241+Y247+Y251+Y258+Y264+Y278,"0")</f>
        <v>3502</v>
      </c>
      <c r="Z284" s="42"/>
      <c r="AA284" s="67"/>
      <c r="AB284" s="67"/>
      <c r="AC284" s="67"/>
    </row>
    <row r="285" spans="1:68" ht="14.25" hidden="1" x14ac:dyDescent="0.2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12"/>
      <c r="P285" s="309" t="s">
        <v>38</v>
      </c>
      <c r="Q285" s="310"/>
      <c r="R285" s="310"/>
      <c r="S285" s="310"/>
      <c r="T285" s="310"/>
      <c r="U285" s="310"/>
      <c r="V285" s="311"/>
      <c r="W285" s="45" t="s">
        <v>52</v>
      </c>
      <c r="X285" s="42"/>
      <c r="Y285" s="42"/>
      <c r="Z285" s="42">
        <f>IFERROR(Z30+Z34+Z40+Z47+Z55+Z63+Z69+Z74+Z80+Z92+Z98+Z110+Z114+Z118+Z123+Z130+Z136+Z143+Z149+Z156+Z162+Z167+Z172+Z178+Z183+Z189+Z194+Z203+Z209+Z214+Z220+Z225+Z231+Z237+Z241+Z247+Z251+Z258+Z264+Z278,"0")</f>
        <v>48.964379999999998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95" t="s">
        <v>81</v>
      </c>
      <c r="C287" s="295" t="s">
        <v>81</v>
      </c>
      <c r="D287" s="295" t="s">
        <v>45</v>
      </c>
      <c r="E287" s="295" t="s">
        <v>45</v>
      </c>
      <c r="F287" s="295" t="s">
        <v>45</v>
      </c>
      <c r="G287" s="295" t="s">
        <v>45</v>
      </c>
      <c r="H287" s="295" t="s">
        <v>45</v>
      </c>
      <c r="I287" s="295" t="s">
        <v>45</v>
      </c>
      <c r="J287" s="295" t="s">
        <v>45</v>
      </c>
      <c r="K287" s="295" t="s">
        <v>45</v>
      </c>
      <c r="L287" s="295" t="s">
        <v>45</v>
      </c>
      <c r="M287" s="295" t="s">
        <v>45</v>
      </c>
      <c r="N287" s="296"/>
      <c r="O287" s="295" t="s">
        <v>45</v>
      </c>
      <c r="P287" s="295" t="s">
        <v>45</v>
      </c>
      <c r="Q287" s="295" t="s">
        <v>45</v>
      </c>
      <c r="R287" s="295" t="s">
        <v>45</v>
      </c>
      <c r="S287" s="295" t="s">
        <v>45</v>
      </c>
      <c r="T287" s="295" t="s">
        <v>45</v>
      </c>
      <c r="U287" s="295" t="s">
        <v>284</v>
      </c>
      <c r="V287" s="295" t="s">
        <v>284</v>
      </c>
      <c r="W287" s="295" t="s">
        <v>284</v>
      </c>
      <c r="X287" s="88" t="s">
        <v>305</v>
      </c>
      <c r="Y287" s="295" t="s">
        <v>319</v>
      </c>
      <c r="Z287" s="295" t="s">
        <v>319</v>
      </c>
      <c r="AA287" s="295" t="s">
        <v>319</v>
      </c>
      <c r="AB287" s="88" t="s">
        <v>341</v>
      </c>
      <c r="AC287" s="88" t="s">
        <v>346</v>
      </c>
      <c r="AD287" s="88" t="s">
        <v>354</v>
      </c>
      <c r="AE287" s="88" t="s">
        <v>285</v>
      </c>
      <c r="AF287" s="1"/>
    </row>
    <row r="288" spans="1:68" ht="14.25" customHeight="1" thickTop="1" x14ac:dyDescent="0.2">
      <c r="A288" s="297" t="s">
        <v>10</v>
      </c>
      <c r="B288" s="295" t="s">
        <v>81</v>
      </c>
      <c r="C288" s="295" t="s">
        <v>111</v>
      </c>
      <c r="D288" s="295" t="s">
        <v>117</v>
      </c>
      <c r="E288" s="295" t="s">
        <v>128</v>
      </c>
      <c r="F288" s="295" t="s">
        <v>139</v>
      </c>
      <c r="G288" s="295" t="s">
        <v>152</v>
      </c>
      <c r="H288" s="295" t="s">
        <v>159</v>
      </c>
      <c r="I288" s="295" t="s">
        <v>164</v>
      </c>
      <c r="J288" s="295" t="s">
        <v>172</v>
      </c>
      <c r="K288" s="295" t="s">
        <v>192</v>
      </c>
      <c r="L288" s="295" t="s">
        <v>199</v>
      </c>
      <c r="M288" s="295" t="s">
        <v>228</v>
      </c>
      <c r="N288" s="1"/>
      <c r="O288" s="295" t="s">
        <v>249</v>
      </c>
      <c r="P288" s="295" t="s">
        <v>257</v>
      </c>
      <c r="Q288" s="295" t="s">
        <v>263</v>
      </c>
      <c r="R288" s="295" t="s">
        <v>271</v>
      </c>
      <c r="S288" s="295" t="s">
        <v>277</v>
      </c>
      <c r="T288" s="295" t="s">
        <v>281</v>
      </c>
      <c r="U288" s="295" t="s">
        <v>285</v>
      </c>
      <c r="V288" s="295" t="s">
        <v>295</v>
      </c>
      <c r="W288" s="295" t="s">
        <v>302</v>
      </c>
      <c r="X288" s="295" t="s">
        <v>306</v>
      </c>
      <c r="Y288" s="295" t="s">
        <v>320</v>
      </c>
      <c r="Z288" s="295" t="s">
        <v>330</v>
      </c>
      <c r="AA288" s="295" t="s">
        <v>337</v>
      </c>
      <c r="AB288" s="295" t="s">
        <v>342</v>
      </c>
      <c r="AC288" s="295" t="s">
        <v>347</v>
      </c>
      <c r="AD288" s="295" t="s">
        <v>354</v>
      </c>
      <c r="AE288" s="295" t="s">
        <v>285</v>
      </c>
      <c r="AF288" s="1"/>
    </row>
    <row r="289" spans="1:32" ht="13.5" thickBot="1" x14ac:dyDescent="0.25">
      <c r="A289" s="298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1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1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IFERROR(X22*H22,"0")+IFERROR(X23*H23,"0")+IFERROR(X24*H24,"0")+IFERROR(X25*H25,"0")+IFERROR(X26*H26,"0")+IFERROR(X27*H27,"0")+IFERROR(X28*H28,"0")+IFERROR(X29*H29,"0")+IFERROR(X33*H33,"0")</f>
        <v>739.2</v>
      </c>
      <c r="C290" s="52">
        <f>IFERROR(X38*H38,"0")+IFERROR(X39*H39,"0")</f>
        <v>0</v>
      </c>
      <c r="D290" s="52">
        <f>IFERROR(X45*H45,"0")+IFERROR(X46*H46,"0")</f>
        <v>231</v>
      </c>
      <c r="E290" s="52">
        <f>IFERROR(X51*H51,"0")+IFERROR(X52*H52,"0")+IFERROR(X53*H53,"0")+IFERROR(X54*H54,"0")</f>
        <v>1924.8</v>
      </c>
      <c r="F290" s="52">
        <f>IFERROR(X59*H59,"0")+IFERROR(X60*H60,"0")+IFERROR(X61*H61,"0")+IFERROR(X62*H62,"0")</f>
        <v>0</v>
      </c>
      <c r="G290" s="52">
        <f>IFERROR(X67*H67,"0")+IFERROR(X68*H68,"0")</f>
        <v>1500</v>
      </c>
      <c r="H290" s="52">
        <f>IFERROR(X73*H73,"0")</f>
        <v>50.4</v>
      </c>
      <c r="I290" s="52">
        <f>IFERROR(X78*H78,"0")+IFERROR(X79*H79,"0")</f>
        <v>302.40000000000003</v>
      </c>
      <c r="J290" s="52">
        <f>IFERROR(X84*H84,"0")+IFERROR(X85*H85,"0")+IFERROR(X86*H86,"0")+IFERROR(X87*H87,"0")+IFERROR(X88*H88,"0")+IFERROR(X89*H89,"0")+IFERROR(X90*H90,"0")+IFERROR(X91*H91,"0")</f>
        <v>399.84000000000003</v>
      </c>
      <c r="K290" s="52">
        <f>IFERROR(X96*H96,"0")+IFERROR(X97*H97,"0")</f>
        <v>110.88</v>
      </c>
      <c r="L290" s="52">
        <f>IFERROR(X102*H102,"0")+IFERROR(X103*H103,"0")+IFERROR(X104*H104,"0")+IFERROR(X105*H105,"0")+IFERROR(X106*H106,"0")+IFERROR(X107*H107,"0")+IFERROR(X108*H108,"0")+IFERROR(X109*H109,"0")+IFERROR(X113*H113,"0")+IFERROR(X117*H117,"0")</f>
        <v>3180.96</v>
      </c>
      <c r="M290" s="52">
        <f>IFERROR(X122*H122,"0")+IFERROR(X126*H126,"0")+IFERROR(X127*H127,"0")+IFERROR(X128*H128,"0")+IFERROR(X129*H129,"0")+IFERROR(X133*H133,"0")+IFERROR(X134*H134,"0")+IFERROR(X135*H135,"0")</f>
        <v>342.72</v>
      </c>
      <c r="N290" s="1"/>
      <c r="O290" s="52">
        <f>IFERROR(X140*H140,"0")+IFERROR(X141*H141,"0")+IFERROR(X142*H142,"0")</f>
        <v>546</v>
      </c>
      <c r="P290" s="52">
        <f>IFERROR(X147*H147,"0")+IFERROR(X148*H148,"0")</f>
        <v>336</v>
      </c>
      <c r="Q290" s="52">
        <f>IFERROR(X153*H153,"0")+IFERROR(X154*H154,"0")+IFERROR(X155*H155,"0")</f>
        <v>134.4</v>
      </c>
      <c r="R290" s="52">
        <f>IFERROR(X160*H160,"0")+IFERROR(X161*H161,"0")</f>
        <v>42</v>
      </c>
      <c r="S290" s="52">
        <f>IFERROR(X166*H166,"0")</f>
        <v>0</v>
      </c>
      <c r="T290" s="52">
        <f>IFERROR(X171*H171,"0")</f>
        <v>94.08</v>
      </c>
      <c r="U290" s="52">
        <f>IFERROR(X177*H177,"0")+IFERROR(X181*H181,"0")+IFERROR(X182*H182,"0")</f>
        <v>1584</v>
      </c>
      <c r="V290" s="52">
        <f>IFERROR(X187*H187,"0")+IFERROR(X188*H188,"0")</f>
        <v>360</v>
      </c>
      <c r="W290" s="52">
        <f>IFERROR(X193*H193,"0")</f>
        <v>960</v>
      </c>
      <c r="X290" s="52">
        <f>IFERROR(X199*H199,"0")+IFERROR(X200*H200,"0")+IFERROR(X201*H201,"0")+IFERROR(X202*H202,"0")</f>
        <v>455.28</v>
      </c>
      <c r="Y290" s="52">
        <f>IFERROR(X208*H208,"0")+IFERROR(X212*H212,"0")+IFERROR(X213*H213,"0")</f>
        <v>115.91999999999999</v>
      </c>
      <c r="Z290" s="52">
        <f>IFERROR(X218*H218,"0")+IFERROR(X219*H219,"0")</f>
        <v>0</v>
      </c>
      <c r="AA290" s="52">
        <f>IFERROR(X224*H224,"0")</f>
        <v>120</v>
      </c>
      <c r="AB290" s="52">
        <f>IFERROR(X230*H230,"0")</f>
        <v>0</v>
      </c>
      <c r="AC290" s="52">
        <f>IFERROR(X236*H236,"0")+IFERROR(X240*H240,"0")</f>
        <v>0</v>
      </c>
      <c r="AD290" s="52">
        <f>IFERROR(X246*H246,"0")+IFERROR(X250*H250,"0")</f>
        <v>0</v>
      </c>
      <c r="AE290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+IFERROR(X277*H277,"0")</f>
        <v>1906.8400000000001</v>
      </c>
      <c r="AF290" s="1"/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8676</v>
      </c>
      <c r="B293" s="72">
        <f>SUMPRODUCT(--(BB:BB="ПГП"),--(W:W="кор"),H:H,Y:Y)+SUMPRODUCT(--(BB:BB="ПГП"),--(W:W="кг"),Y:Y)</f>
        <v>6760.7199999999993</v>
      </c>
      <c r="C293" s="72">
        <f>SUMPRODUCT(--(BB:BB="КИЗ"),--(W:W="кор"),H:H,Y:Y)+SUMPRODUCT(--(BB:BB="КИЗ"),--(W:W="кг"),Y:Y)</f>
        <v>0</v>
      </c>
    </row>
  </sheetData>
  <sheetProtection algorithmName="SHA-512" hashValue="BQc8YN8KHyG6kKEfvvhoXPSP8VCvG9YEgHpGABAWl2Zjc7dKPz/KJmjXByVbnNT2MLzhpC6Aj3uPeSJi6ncayg==" saltValue="I7CsWYAb3Sm2npcwuJfhc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5,44"/>
        <filter val="1 500,00"/>
        <filter val="1 584,00"/>
        <filter val="1 924,80"/>
        <filter val="110,88"/>
        <filter val="112,00"/>
        <filter val="115,92"/>
        <filter val="12,00"/>
        <filter val="120,00"/>
        <filter val="126,00"/>
        <filter val="132,00"/>
        <filter val="134,40"/>
        <filter val="14,00"/>
        <filter val="15 436,72"/>
        <filter val="154,00"/>
        <filter val="16 659,84"/>
        <filter val="163,20"/>
        <filter val="17 634,84"/>
        <filter val="182,00"/>
        <filter val="192,00"/>
        <filter val="216,00"/>
        <filter val="224,00"/>
        <filter val="231,00"/>
        <filter val="24,00"/>
        <filter val="252,00"/>
        <filter val="264,00"/>
        <filter val="272,00"/>
        <filter val="276,00"/>
        <filter val="28,00"/>
        <filter val="3 072,00"/>
        <filter val="3 502,00"/>
        <filter val="300,00"/>
        <filter val="302,40"/>
        <filter val="336,00"/>
        <filter val="342,72"/>
        <filter val="36,96"/>
        <filter val="360,00"/>
        <filter val="39"/>
        <filter val="399,84"/>
        <filter val="42,00"/>
        <filter val="444,00"/>
        <filter val="455,28"/>
        <filter val="50,40"/>
        <filter val="546,00"/>
        <filter val="56,00"/>
        <filter val="576,00"/>
        <filter val="60,00"/>
        <filter val="70,00"/>
        <filter val="701,40"/>
        <filter val="72,00"/>
        <filter val="84,00"/>
        <filter val="94,08"/>
        <filter val="96,00"/>
        <filter val="960,00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A66:Z66"/>
    <mergeCell ref="D67:E67"/>
    <mergeCell ref="P67:T67"/>
    <mergeCell ref="D68:E68"/>
    <mergeCell ref="P68:T68"/>
    <mergeCell ref="P69:V69"/>
    <mergeCell ref="A69:O70"/>
    <mergeCell ref="P70:V70"/>
    <mergeCell ref="A71:Z71"/>
    <mergeCell ref="A72:Z72"/>
    <mergeCell ref="D73:E73"/>
    <mergeCell ref="P73:T73"/>
    <mergeCell ref="P74:V74"/>
    <mergeCell ref="A74:O75"/>
    <mergeCell ref="P75:V75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T287"/>
    <mergeCell ref="U287:W287"/>
    <mergeCell ref="Y287:AA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7 X261:X263 X256:X257 X250 X246 X240 X236 X230 X218:X219 X212 X202 X193 X181:X182 X177 X171 X161 X153:X155 X147:X148 X140:X142 X133:X135 X126:X129 X122 X117 X113 X106:X109 X103 X96:X97 X85:X91 X73 X59:X60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24 X213 X208 X199:X201 X187:X188 X166 X160 X104:X105 X102 X84 X78:X79 X67:X68 X61:X62 X51:X54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410</v>
      </c>
      <c r="H1" s="9"/>
    </row>
    <row r="3" spans="2:8" x14ac:dyDescent="0.2">
      <c r="B3" s="53" t="s">
        <v>411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413</v>
      </c>
      <c r="D6" s="53" t="s">
        <v>414</v>
      </c>
      <c r="E6" s="53" t="s">
        <v>46</v>
      </c>
    </row>
    <row r="8" spans="2:8" x14ac:dyDescent="0.2">
      <c r="B8" s="53" t="s">
        <v>80</v>
      </c>
      <c r="C8" s="53" t="s">
        <v>413</v>
      </c>
      <c r="D8" s="53" t="s">
        <v>46</v>
      </c>
      <c r="E8" s="53" t="s">
        <v>46</v>
      </c>
    </row>
    <row r="10" spans="2:8" x14ac:dyDescent="0.2">
      <c r="B10" s="53" t="s">
        <v>415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416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417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418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419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424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425</v>
      </c>
      <c r="C20" s="53" t="s">
        <v>46</v>
      </c>
      <c r="D20" s="53" t="s">
        <v>46</v>
      </c>
      <c r="E20" s="53" t="s">
        <v>46</v>
      </c>
    </row>
  </sheetData>
  <sheetProtection algorithmName="SHA-512" hashValue="qfZP3cmtQZ6hqT4qp4ClX/EhRjZaC8wtTHn3O6Jn9ryNDxtcrzT20uYTq1EMonbpZK1jL9gaw1GD2bIlWYbpog==" saltValue="MPIeU3Tc5qHymL2DMuvVA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453</vt:i4>
      </vt:variant>
    </vt:vector>
  </HeadingPairs>
  <TitlesOfParts>
    <vt:vector size="4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