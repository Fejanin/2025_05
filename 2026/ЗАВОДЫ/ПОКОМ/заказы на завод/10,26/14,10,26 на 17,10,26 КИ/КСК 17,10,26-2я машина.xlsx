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2C13627-8799-4D87-ACCA-8A15A9BFDC8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P480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Y409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P366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P356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Z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BN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58" i="2" l="1"/>
  <c r="BN177" i="2"/>
  <c r="BN184" i="2"/>
  <c r="Y194" i="2"/>
  <c r="BN238" i="2"/>
  <c r="BN249" i="2"/>
  <c r="BN301" i="2"/>
  <c r="BN316" i="2"/>
  <c r="BN346" i="2"/>
  <c r="BN354" i="2"/>
  <c r="BN359" i="2"/>
  <c r="BN374" i="2"/>
  <c r="BN423" i="2"/>
  <c r="BN467" i="2"/>
  <c r="BN485" i="2"/>
  <c r="BN102" i="2"/>
  <c r="BP115" i="2"/>
  <c r="Y134" i="2"/>
  <c r="BN142" i="2"/>
  <c r="BN179" i="2"/>
  <c r="Y190" i="2"/>
  <c r="BP200" i="2"/>
  <c r="BN201" i="2"/>
  <c r="BP222" i="2"/>
  <c r="BN226" i="2"/>
  <c r="BN244" i="2"/>
  <c r="BN274" i="2"/>
  <c r="Z281" i="2"/>
  <c r="BN292" i="2"/>
  <c r="BN315" i="2"/>
  <c r="BN327" i="2"/>
  <c r="BN348" i="2"/>
  <c r="BN433" i="2"/>
  <c r="BN458" i="2"/>
  <c r="Y535" i="2"/>
  <c r="BN427" i="2"/>
  <c r="BN122" i="2"/>
  <c r="BP286" i="2"/>
  <c r="BN367" i="2"/>
  <c r="Y540" i="2"/>
  <c r="Y539" i="2"/>
  <c r="BP537" i="2"/>
  <c r="Z537" i="2"/>
  <c r="Z533" i="2"/>
  <c r="Z534" i="2" s="1"/>
  <c r="BP525" i="2"/>
  <c r="Z525" i="2"/>
  <c r="Z526" i="2" s="1"/>
  <c r="Z521" i="2"/>
  <c r="Z522" i="2" s="1"/>
  <c r="Y523" i="2"/>
  <c r="Y516" i="2"/>
  <c r="BN512" i="2"/>
  <c r="BN509" i="2"/>
  <c r="BN499" i="2"/>
  <c r="Z497" i="2"/>
  <c r="BN492" i="2"/>
  <c r="Z485" i="2"/>
  <c r="Y482" i="2"/>
  <c r="Y476" i="2"/>
  <c r="BN475" i="2"/>
  <c r="BN460" i="2"/>
  <c r="BN450" i="2"/>
  <c r="BN439" i="2"/>
  <c r="Z437" i="2"/>
  <c r="Y440" i="2"/>
  <c r="BP431" i="2"/>
  <c r="Z431" i="2"/>
  <c r="BN425" i="2"/>
  <c r="Z423" i="2"/>
  <c r="Y416" i="2"/>
  <c r="BP407" i="2"/>
  <c r="Z407" i="2"/>
  <c r="BN401" i="2"/>
  <c r="Y402" i="2"/>
  <c r="Y397" i="2"/>
  <c r="BN395" i="2"/>
  <c r="BP393" i="2"/>
  <c r="BN387" i="2"/>
  <c r="BN381" i="2"/>
  <c r="BN364" i="2"/>
  <c r="Z359" i="2"/>
  <c r="BN357" i="2"/>
  <c r="BN341" i="2"/>
  <c r="Z339" i="2"/>
  <c r="BP339" i="2"/>
  <c r="BN333" i="2"/>
  <c r="Z327" i="2"/>
  <c r="BN318" i="2"/>
  <c r="BN293" i="2"/>
  <c r="Z292" i="2"/>
  <c r="BP281" i="2"/>
  <c r="Z280" i="2"/>
  <c r="BN277" i="2"/>
  <c r="BP276" i="2"/>
  <c r="BN272" i="2"/>
  <c r="BN271" i="2"/>
  <c r="Z271" i="2"/>
  <c r="BP266" i="2"/>
  <c r="BP264" i="2"/>
  <c r="Z264" i="2"/>
  <c r="BN261" i="2"/>
  <c r="Y245" i="2"/>
  <c r="BN233" i="2"/>
  <c r="BN223" i="2"/>
  <c r="BP221" i="2"/>
  <c r="Z221" i="2"/>
  <c r="BN219" i="2"/>
  <c r="Z219" i="2"/>
  <c r="BN217" i="2"/>
  <c r="BN202" i="2"/>
  <c r="BN189" i="2"/>
  <c r="Z184" i="2"/>
  <c r="Z174" i="2"/>
  <c r="Y164" i="2"/>
  <c r="BN159" i="2"/>
  <c r="BP150" i="2"/>
  <c r="Z150" i="2"/>
  <c r="Y152" i="2"/>
  <c r="Z126" i="2"/>
  <c r="Z127" i="2" s="1"/>
  <c r="BP126" i="2"/>
  <c r="BN111" i="2"/>
  <c r="BP95" i="2"/>
  <c r="Z95" i="2"/>
  <c r="BN89" i="2"/>
  <c r="Z89" i="2"/>
  <c r="BN87" i="2"/>
  <c r="BN85" i="2"/>
  <c r="BP78" i="2"/>
  <c r="Z78" i="2"/>
  <c r="Z73" i="2"/>
  <c r="BP73" i="2"/>
  <c r="Z72" i="2"/>
  <c r="Z74" i="2" s="1"/>
  <c r="Y74" i="2"/>
  <c r="BP72" i="2"/>
  <c r="Y75" i="2"/>
  <c r="BN68" i="2"/>
  <c r="BN65" i="2"/>
  <c r="Z65" i="2"/>
  <c r="BN55" i="2"/>
  <c r="Y50" i="2"/>
  <c r="BN46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40" i="2" s="1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434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Z328" i="2" s="1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251" i="2" l="1"/>
  <c r="Z402" i="2"/>
  <c r="Z186" i="2"/>
  <c r="Z69" i="2"/>
  <c r="Z108" i="2"/>
  <c r="Z383" i="2"/>
  <c r="Z321" i="2"/>
  <c r="Z267" i="2"/>
  <c r="Z256" i="2"/>
  <c r="Z241" i="2"/>
  <c r="Z168" i="2"/>
  <c r="Z151" i="2"/>
  <c r="Z123" i="2"/>
  <c r="X549" i="2"/>
  <c r="Z50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<sst xmlns="http://schemas.openxmlformats.org/spreadsheetml/2006/main" count="4118" uniqueCount="871">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</sst>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46312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Суббота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8.3333333333333329E-2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100</v>
      </c>
      <c r="Y46" s="55">
        <f>IFERROR(IF(X46="",0,CEILING((X46/$H46),1)*$H46),"")</f>
        <v>108</v>
      </c>
      <c r="Z46" s="41">
        <f>IFERROR(IF(Y46=0,"",ROUNDUP(Y46/H46,0)*0.01898),"")</f>
        <v>0.1898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103.79629629629629</v>
      </c>
      <c r="BN46" s="78">
        <f>IFERROR(Y46*I46/H46,"0")</f>
        <v>112.1</v>
      </c>
      <c r="BO46" s="78">
        <f>IFERROR(1/J46*(X46/H46),"0")</f>
        <v>0.14467592592592593</v>
      </c>
      <c r="BP46" s="78">
        <f>IFERROR(1/J46*(Y46/H46),"0")</f>
        <v>0.15625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140</v>
      </c>
      <c r="Y48" s="55">
        <f>IFERROR(IF(X48="",0,CEILING((X48/$H48),1)*$H48),"")</f>
        <v>140</v>
      </c>
      <c r="Z48" s="41">
        <f>IFERROR(IF(Y48=0,"",ROUNDUP(Y48/H48,0)*0.00902),"")</f>
        <v>0.31569999999999998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146.65</v>
      </c>
      <c r="BN48" s="78">
        <f>IFERROR(Y48*I48/H48,"0")</f>
        <v>146.65</v>
      </c>
      <c r="BO48" s="78">
        <f>IFERROR(1/J48*(X48/H48),"0")</f>
        <v>0.26515151515151514</v>
      </c>
      <c r="BP48" s="78">
        <f>IFERROR(1/J48*(Y48/H48),"0")</f>
        <v>0.26515151515151514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44.25925925925926</v>
      </c>
      <c r="Y50" s="43">
        <f>IFERROR(Y46/H46,"0")+IFERROR(Y47/H47,"0")+IFERROR(Y48/H48,"0")+IFERROR(Y49/H49,"0")</f>
        <v>45</v>
      </c>
      <c r="Z50" s="43">
        <f>IFERROR(IF(Z46="",0,Z46),"0")+IFERROR(IF(Z47="",0,Z47),"0")+IFERROR(IF(Z48="",0,Z48),"0")+IFERROR(IF(Z49="",0,Z49),"0")</f>
        <v>0.50549999999999995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240</v>
      </c>
      <c r="Y51" s="43">
        <f>IFERROR(SUM(Y46:Y49),"0")</f>
        <v>248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si="0"/>
        <v>108</v>
      </c>
      <c r="Z55" s="41">
        <f>IFERROR(IF(Y55=0,"",ROUNDUP(Y55/H55,0)*0.01898),"")</f>
        <v>0.1898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103.79629629629629</v>
      </c>
      <c r="BN55" s="78">
        <f t="shared" si="2"/>
        <v>112.1</v>
      </c>
      <c r="BO55" s="78">
        <f t="shared" si="3"/>
        <v>0.14467592592592593</v>
      </c>
      <c r="BP55" s="78">
        <f t="shared" si="4"/>
        <v>0.15625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225</v>
      </c>
      <c r="Y61" s="55">
        <f t="shared" si="0"/>
        <v>225</v>
      </c>
      <c r="Z61" s="41">
        <f>IFERROR(IF(Y61=0,"",ROUNDUP(Y61/H61,0)*0.00902),"")</f>
        <v>0.45100000000000001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234.5</v>
      </c>
      <c r="BN61" s="78">
        <f t="shared" si="2"/>
        <v>234.5</v>
      </c>
      <c r="BO61" s="78">
        <f t="shared" si="3"/>
        <v>0.37878787878787878</v>
      </c>
      <c r="BP61" s="78">
        <f t="shared" si="4"/>
        <v>0.37878787878787878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59.25925925925926</v>
      </c>
      <c r="Y62" s="43">
        <f>IFERROR(Y54/H54,"0")+IFERROR(Y55/H55,"0")+IFERROR(Y56/H56,"0")+IFERROR(Y57/H57,"0")+IFERROR(Y58/H58,"0")+IFERROR(Y59/H59,"0")+IFERROR(Y60/H60,"0")+IFERROR(Y61/H61,"0")</f>
        <v>60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0.64080000000000004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325</v>
      </c>
      <c r="Y63" s="43">
        <f>IFERROR(SUM(Y54:Y61),"0")</f>
        <v>333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37.962962962962962</v>
      </c>
      <c r="Y69" s="43">
        <f>IFERROR(Y65/H65,"0")+IFERROR(Y66/H66,"0")+IFERROR(Y67/H67,"0")+IFERROR(Y68/H68,"0")</f>
        <v>39</v>
      </c>
      <c r="Z69" s="43">
        <f>IFERROR(IF(Z65="",0,Z65),"0")+IFERROR(IF(Z66="",0,Z66),"0")+IFERROR(IF(Z67="",0,Z67),"0")+IFERROR(IF(Z68="",0,Z68),"0")</f>
        <v>0.31624000000000002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140</v>
      </c>
      <c r="Y70" s="43">
        <f>IFERROR(SUM(Y65:Y68),"0")</f>
        <v>145.80000000000001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20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21.051282051282055</v>
      </c>
      <c r="BN77" s="78">
        <f>IFERROR(Y77*I77/H77,"0")</f>
        <v>24.630000000000003</v>
      </c>
      <c r="BO77" s="78">
        <f>IFERROR(1/J77*(X77/H77),"0")</f>
        <v>4.0064102564102567E-2</v>
      </c>
      <c r="BP77" s="78">
        <f>IFERROR(1/J77*(Y77/H77),"0")</f>
        <v>4.6875E-2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2.5641025641025643</v>
      </c>
      <c r="Y80" s="43">
        <f>IFERROR(Y77/H77,"0")+IFERROR(Y78/H78,"0")+IFERROR(Y79/H79,"0")</f>
        <v>3</v>
      </c>
      <c r="Z80" s="43">
        <f>IFERROR(IF(Z77="",0,Z77),"0")+IFERROR(IF(Z78="",0,Z78),"0")+IFERROR(IF(Z79="",0,Z79),"0")</f>
        <v>5.6940000000000004E-2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20</v>
      </c>
      <c r="Y81" s="43">
        <f>IFERROR(SUM(Y77:Y79),"0")</f>
        <v>23.4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60</v>
      </c>
      <c r="Y84" s="55">
        <f t="shared" ref="Y84:Y89" si="5">IFERROR(IF(X84="",0,CEILING((X84/$H84),1)*$H84),"")</f>
        <v>64.800000000000011</v>
      </c>
      <c r="Z84" s="41">
        <f>IFERROR(IF(Y84=0,"",ROUNDUP(Y84/H84,0)*0.01898),"")</f>
        <v>0.11388000000000001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62.277777777777779</v>
      </c>
      <c r="BN84" s="78">
        <f t="shared" ref="BN84:BN89" si="7">IFERROR(Y84*I84/H84,"0")</f>
        <v>67.260000000000005</v>
      </c>
      <c r="BO84" s="78">
        <f t="shared" ref="BO84:BO89" si="8">IFERROR(1/J84*(X84/H84),"0")</f>
        <v>8.6805555555555552E-2</v>
      </c>
      <c r="BP84" s="78">
        <f t="shared" ref="BP84:BP89" si="9">IFERROR(1/J84*(Y84/H84),"0")</f>
        <v>9.3750000000000014E-2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315</v>
      </c>
      <c r="Y89" s="55">
        <f t="shared" si="5"/>
        <v>315</v>
      </c>
      <c r="Z89" s="41">
        <f>IFERROR(IF(Y89=0,"",ROUNDUP(Y89/H89,0)*0.00902),"")</f>
        <v>0.63139999999999996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328.3</v>
      </c>
      <c r="BN89" s="78">
        <f t="shared" si="7"/>
        <v>328.3</v>
      </c>
      <c r="BO89" s="78">
        <f t="shared" si="8"/>
        <v>0.53030303030303028</v>
      </c>
      <c r="BP89" s="78">
        <f t="shared" si="9"/>
        <v>0.53030303030303028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75.555555555555557</v>
      </c>
      <c r="Y90" s="43">
        <f>IFERROR(Y84/H84,"0")+IFERROR(Y85/H85,"0")+IFERROR(Y86/H86,"0")+IFERROR(Y87/H87,"0")+IFERROR(Y88/H88,"0")+IFERROR(Y89/H89,"0")</f>
        <v>76</v>
      </c>
      <c r="Z90" s="43">
        <f>IFERROR(IF(Z84="",0,Z84),"0")+IFERROR(IF(Z85="",0,Z85),"0")+IFERROR(IF(Z86="",0,Z86),"0")+IFERROR(IF(Z87="",0,Z87),"0")+IFERROR(IF(Z88="",0,Z88),"0")+IFERROR(IF(Z89="",0,Z89),"0")</f>
        <v>0.74527999999999994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375</v>
      </c>
      <c r="Y91" s="43">
        <f>IFERROR(SUM(Y84:Y89),"0")</f>
        <v>379.8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150</v>
      </c>
      <c r="Y93" s="55">
        <f>IFERROR(IF(X93="",0,CEILING((X93/$H93),1)*$H93),"")</f>
        <v>153.9</v>
      </c>
      <c r="Z93" s="41">
        <f>IFERROR(IF(Y93=0,"",ROUNDUP(Y93/H93,0)*0.01898),"")</f>
        <v>0.36062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159.14814814814815</v>
      </c>
      <c r="BN93" s="78">
        <f>IFERROR(Y93*I93/H93,"0")</f>
        <v>163.286</v>
      </c>
      <c r="BO93" s="78">
        <f>IFERROR(1/J93*(X93/H93),"0")</f>
        <v>0.28935185185185186</v>
      </c>
      <c r="BP93" s="78">
        <f>IFERROR(1/J93*(Y93/H93),"0")</f>
        <v>0.296875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248</v>
      </c>
      <c r="Y95" s="55">
        <f>IFERROR(IF(X95="",0,CEILING((X95/$H95),1)*$H95),"")</f>
        <v>248.4</v>
      </c>
      <c r="Z95" s="41">
        <f>IFERROR(IF(Y95=0,"",ROUNDUP(Y95/H95,0)*0.00651),"")</f>
        <v>0.59892000000000001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271.14666666666665</v>
      </c>
      <c r="BN95" s="78">
        <f>IFERROR(Y95*I95/H95,"0")</f>
        <v>271.584</v>
      </c>
      <c r="BO95" s="78">
        <f>IFERROR(1/J95*(X95/H95),"0")</f>
        <v>0.50468050468050474</v>
      </c>
      <c r="BP95" s="78">
        <f>IFERROR(1/J95*(Y95/H95),"0")</f>
        <v>0.50549450549450559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110.37037037037037</v>
      </c>
      <c r="Y97" s="43">
        <f>IFERROR(Y93/H93,"0")+IFERROR(Y94/H94,"0")+IFERROR(Y95/H95,"0")+IFERROR(Y96/H96,"0")</f>
        <v>111</v>
      </c>
      <c r="Z97" s="43">
        <f>IFERROR(IF(Z93="",0,Z93),"0")+IFERROR(IF(Z94="",0,Z94),"0")+IFERROR(IF(Z95="",0,Z95),"0")+IFERROR(IF(Z96="",0,Z96),"0")</f>
        <v>0.95954000000000006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398</v>
      </c>
      <c r="Y98" s="43">
        <f>IFERROR(SUM(Y93:Y96),"0")</f>
        <v>402.3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315</v>
      </c>
      <c r="Y105" s="55">
        <f t="shared" si="10"/>
        <v>315</v>
      </c>
      <c r="Z105" s="41">
        <f>IFERROR(IF(Y105=0,"",ROUNDUP(Y105/H105,0)*0.00902),"")</f>
        <v>0.63139999999999996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328.3</v>
      </c>
      <c r="BN105" s="78">
        <f t="shared" si="12"/>
        <v>328.3</v>
      </c>
      <c r="BO105" s="78">
        <f t="shared" si="13"/>
        <v>0.53030303030303028</v>
      </c>
      <c r="BP105" s="78">
        <f t="shared" si="14"/>
        <v>0.53030303030303028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70</v>
      </c>
      <c r="Y108" s="43">
        <f>IFERROR(Y101/H101,"0")+IFERROR(Y102/H102,"0")+IFERROR(Y103/H103,"0")+IFERROR(Y104/H104,"0")+IFERROR(Y105/H105,"0")+IFERROR(Y106/H106,"0")+IFERROR(Y107/H107,"0")</f>
        <v>70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0.63139999999999996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315</v>
      </c>
      <c r="Y109" s="43">
        <f>IFERROR(SUM(Y101:Y107),"0")</f>
        <v>315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250</v>
      </c>
      <c r="Y119" s="55">
        <f>IFERROR(IF(X119="",0,CEILING((X119/$H119),1)*$H119),"")</f>
        <v>251.1</v>
      </c>
      <c r="Z119" s="41">
        <f>IFERROR(IF(Y119=0,"",ROUNDUP(Y119/H119,0)*0.01898),"")</f>
        <v>0.58838000000000001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265.06172839506172</v>
      </c>
      <c r="BN119" s="78">
        <f>IFERROR(Y119*I119/H119,"0")</f>
        <v>266.22799999999995</v>
      </c>
      <c r="BO119" s="78">
        <f>IFERROR(1/J119*(X119/H119),"0")</f>
        <v>0.48225308641975312</v>
      </c>
      <c r="BP119" s="78">
        <f>IFERROR(1/J119*(Y119/H119),"0")</f>
        <v>0.484375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405</v>
      </c>
      <c r="Y121" s="55">
        <f>IFERROR(IF(X121="",0,CEILING((X121/$H121),1)*$H121),"")</f>
        <v>405</v>
      </c>
      <c r="Z121" s="41">
        <f>IFERROR(IF(Y121=0,"",ROUNDUP(Y121/H121,0)*0.00651),"")</f>
        <v>0.97650000000000003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442.79999999999995</v>
      </c>
      <c r="BN121" s="78">
        <f>IFERROR(Y121*I121/H121,"0")</f>
        <v>442.79999999999995</v>
      </c>
      <c r="BO121" s="78">
        <f>IFERROR(1/J121*(X121/H121),"0")</f>
        <v>0.82417582417582425</v>
      </c>
      <c r="BP121" s="78">
        <f>IFERROR(1/J121*(Y121/H121),"0")</f>
        <v>0.82417582417582425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15</v>
      </c>
      <c r="Y122" s="55">
        <f>IFERROR(IF(X122="",0,CEILING((X122/$H122),1)*$H122),"")</f>
        <v>16.2</v>
      </c>
      <c r="Z122" s="41">
        <f>IFERROR(IF(Y122=0,"",ROUNDUP(Y122/H122,0)*0.00651),"")</f>
        <v>5.8590000000000003E-2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16.5</v>
      </c>
      <c r="BN122" s="78">
        <f>IFERROR(Y122*I122/H122,"0")</f>
        <v>17.82</v>
      </c>
      <c r="BO122" s="78">
        <f>IFERROR(1/J122*(X122/H122),"0")</f>
        <v>4.5787545787545791E-2</v>
      </c>
      <c r="BP122" s="78">
        <f>IFERROR(1/J122*(Y122/H122),"0")</f>
        <v>4.9450549450549455E-2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189.19753086419755</v>
      </c>
      <c r="Y123" s="43">
        <f>IFERROR(Y119/H119,"0")+IFERROR(Y120/H120,"0")+IFERROR(Y121/H121,"0")+IFERROR(Y122/H122,"0")</f>
        <v>190</v>
      </c>
      <c r="Z123" s="43">
        <f>IFERROR(IF(Z119="",0,Z119),"0")+IFERROR(IF(Z120="",0,Z120),"0")+IFERROR(IF(Z121="",0,Z121),"0")+IFERROR(IF(Z122="",0,Z122),"0")</f>
        <v>1.62347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670</v>
      </c>
      <c r="Y124" s="43">
        <f>IFERROR(SUM(Y119:Y122),"0")</f>
        <v>672.30000000000007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23</v>
      </c>
      <c r="Y126" s="55">
        <f>IFERROR(IF(X126="",0,CEILING((X126/$H126),1)*$H126),"")</f>
        <v>23.759999999999998</v>
      </c>
      <c r="Z126" s="41">
        <f>IFERROR(IF(Y126=0,"",ROUNDUP(Y126/H126,0)*0.00651),"")</f>
        <v>7.8119999999999995E-2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25.996969696969696</v>
      </c>
      <c r="BN126" s="78">
        <f>IFERROR(Y126*I126/H126,"0")</f>
        <v>26.855999999999998</v>
      </c>
      <c r="BO126" s="78">
        <f>IFERROR(1/J126*(X126/H126),"0")</f>
        <v>6.3825063825063824E-2</v>
      </c>
      <c r="BP126" s="78">
        <f>IFERROR(1/J126*(Y126/H126),"0")</f>
        <v>6.5934065934065936E-2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11.616161616161616</v>
      </c>
      <c r="Y127" s="43">
        <f>IFERROR(Y126/H126,"0")</f>
        <v>11.999999999999998</v>
      </c>
      <c r="Z127" s="43">
        <f>IFERROR(IF(Z126="",0,Z126),"0")</f>
        <v>7.8119999999999995E-2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23</v>
      </c>
      <c r="Y128" s="43">
        <f>IFERROR(SUM(Y126:Y126),"0")</f>
        <v>23.759999999999998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40</v>
      </c>
      <c r="Y132" s="55">
        <f>IFERROR(IF(X132="",0,CEILING((X132/$H132),1)*$H132),"")</f>
        <v>41.6</v>
      </c>
      <c r="Z132" s="41">
        <f>IFERROR(IF(Y132=0,"",ROUNDUP(Y132/H132,0)*0.00651),"")</f>
        <v>8.4629999999999997E-2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42.249999999999993</v>
      </c>
      <c r="BN132" s="78">
        <f>IFERROR(Y132*I132/H132,"0")</f>
        <v>43.94</v>
      </c>
      <c r="BO132" s="78">
        <f>IFERROR(1/J132*(X132/H132),"0")</f>
        <v>6.8681318681318687E-2</v>
      </c>
      <c r="BP132" s="78">
        <f>IFERROR(1/J132*(Y132/H132),"0")</f>
        <v>7.1428571428571438E-2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12.5</v>
      </c>
      <c r="Y133" s="43">
        <f>IFERROR(Y131/H131,"0")+IFERROR(Y132/H132,"0")</f>
        <v>13</v>
      </c>
      <c r="Z133" s="43">
        <f>IFERROR(IF(Z131="",0,Z131),"0")+IFERROR(IF(Z132="",0,Z132),"0")</f>
        <v>8.4629999999999997E-2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40</v>
      </c>
      <c r="Y134" s="43">
        <f>IFERROR(SUM(Y131:Y132),"0")</f>
        <v>41.6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38</v>
      </c>
      <c r="Y136" s="55">
        <f>IFERROR(IF(X136="",0,CEILING((X136/$H136),1)*$H136),"")</f>
        <v>39.199999999999996</v>
      </c>
      <c r="Z136" s="41">
        <f>IFERROR(IF(Y136=0,"",ROUNDUP(Y136/H136,0)*0.00651),"")</f>
        <v>9.1139999999999999E-2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41.637142857142862</v>
      </c>
      <c r="BN136" s="78">
        <f>IFERROR(Y136*I136/H136,"0")</f>
        <v>42.951999999999998</v>
      </c>
      <c r="BO136" s="78">
        <f>IFERROR(1/J136*(X136/H136),"0")</f>
        <v>7.4568288854003156E-2</v>
      </c>
      <c r="BP136" s="78">
        <f>IFERROR(1/J136*(Y136/H136),"0")</f>
        <v>7.6923076923076927E-2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13.571428571428573</v>
      </c>
      <c r="Y138" s="43">
        <f>IFERROR(Y136/H136,"0")+IFERROR(Y137/H137,"0")</f>
        <v>14</v>
      </c>
      <c r="Z138" s="43">
        <f>IFERROR(IF(Z136="",0,Z136),"0")+IFERROR(IF(Z137="",0,Z137),"0")</f>
        <v>9.1139999999999999E-2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38</v>
      </c>
      <c r="Y139" s="43">
        <f>IFERROR(SUM(Y136:Y137),"0")</f>
        <v>39.199999999999996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56</v>
      </c>
      <c r="Y141" s="55">
        <f>IFERROR(IF(X141="",0,CEILING((X141/$H141),1)*$H141),"")</f>
        <v>58.080000000000005</v>
      </c>
      <c r="Z141" s="41">
        <f>IFERROR(IF(Y141=0,"",ROUNDUP(Y141/H141,0)*0.00651),"")</f>
        <v>0.14322000000000001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61.684848484848473</v>
      </c>
      <c r="BN141" s="78">
        <f>IFERROR(Y141*I141/H141,"0")</f>
        <v>63.976000000000006</v>
      </c>
      <c r="BO141" s="78">
        <f>IFERROR(1/J141*(X141/H141),"0")</f>
        <v>0.11655011655011656</v>
      </c>
      <c r="BP141" s="78">
        <f>IFERROR(1/J141*(Y141/H141),"0")</f>
        <v>0.12087912087912089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21.212121212121211</v>
      </c>
      <c r="Y143" s="43">
        <f>IFERROR(Y141/H141,"0")+IFERROR(Y142/H142,"0")</f>
        <v>22</v>
      </c>
      <c r="Z143" s="43">
        <f>IFERROR(IF(Z141="",0,Z141),"0")+IFERROR(IF(Z142="",0,Z142),"0")</f>
        <v>0.14322000000000001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56</v>
      </c>
      <c r="Y144" s="43">
        <f>IFERROR(SUM(Y141:Y142),"0")</f>
        <v>58.080000000000005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88</v>
      </c>
      <c r="Y220" s="55">
        <f t="shared" si="26"/>
        <v>88.2</v>
      </c>
      <c r="Z220" s="41">
        <f>IFERROR(IF(Y220=0,"",ROUNDUP(Y220/H220,0)*0.00502),"")</f>
        <v>0.21084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93.447619047619042</v>
      </c>
      <c r="BN220" s="78">
        <f t="shared" si="28"/>
        <v>93.66</v>
      </c>
      <c r="BO220" s="78">
        <f t="shared" si="29"/>
        <v>0.17908017908017909</v>
      </c>
      <c r="BP220" s="78">
        <f t="shared" si="30"/>
        <v>0.17948717948717952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139.52380952380952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141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0.76782000000000006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323</v>
      </c>
      <c r="Y228" s="43">
        <f>IFERROR(SUM(Y214:Y226),"0")</f>
        <v>327.60000000000002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72</v>
      </c>
      <c r="Y232" s="55">
        <f>IFERROR(IF(X232="",0,CEILING((X232/$H232),1)*$H232),"")</f>
        <v>73.44</v>
      </c>
      <c r="Z232" s="41">
        <f>IFERROR(IF(Y232=0,"",ROUNDUP(Y232/H232,0)*0.00902),"")</f>
        <v>0.30668000000000001</v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80.733333333333334</v>
      </c>
      <c r="BN232" s="78">
        <f>IFERROR(Y232*I232/H232,"0")</f>
        <v>82.347999999999999</v>
      </c>
      <c r="BO232" s="78">
        <f>IFERROR(1/J232*(X232/H232),"0")</f>
        <v>0.25252525252525249</v>
      </c>
      <c r="BP232" s="78">
        <f>IFERROR(1/J232*(Y232/H232),"0")</f>
        <v>0.25757575757575757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33.333333333333329</v>
      </c>
      <c r="Y235" s="43">
        <f>IFERROR(Y230/H230,"0")+IFERROR(Y231/H231,"0")+IFERROR(Y232/H232,"0")+IFERROR(Y233/H233,"0")+IFERROR(Y234/H234,"0")</f>
        <v>34</v>
      </c>
      <c r="Z235" s="43">
        <f>IFERROR(IF(Z230="",0,Z230),"0")+IFERROR(IF(Z231="",0,Z231),"0")+IFERROR(IF(Z232="",0,Z232),"0")+IFERROR(IF(Z233="",0,Z233),"0")+IFERROR(IF(Z234="",0,Z234),"0")</f>
        <v>0.30668000000000001</v>
      </c>
      <c r="AA235" s="67"/>
      <c r="AB235" s="67"/>
      <c r="AC235" s="67"/>
    </row>
    <row r="236" spans="1:68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72</v>
      </c>
      <c r="Y236" s="43">
        <f>IFERROR(SUM(Y230:Y234),"0")</f>
        <v>73.44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1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310.55555555555554</v>
      </c>
      <c r="BN259" s="78">
        <f t="shared" ref="BN259:BN266" si="33">IFERROR(Y259*I259/H259,"0")</f>
        <v>313.04000000000002</v>
      </c>
      <c r="BO259" s="78">
        <f t="shared" ref="BO259:BO266" si="34">IFERROR(1/J259*(X259/H259),"0")</f>
        <v>0.42087542087542085</v>
      </c>
      <c r="BP259" s="78">
        <f t="shared" ref="BP259:BP266" si="35">IFERROR(1/J259*(Y259/H259),"0")</f>
        <v>0.42424242424242425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1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31.05555555555555</v>
      </c>
      <c r="BN260" s="78">
        <f t="shared" si="33"/>
        <v>33.54</v>
      </c>
      <c r="BO260" s="78">
        <f t="shared" si="34"/>
        <v>4.208754208754209E-2</v>
      </c>
      <c r="BP260" s="78">
        <f t="shared" si="35"/>
        <v>4.5454545454545463E-2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200</v>
      </c>
      <c r="Y261" s="55">
        <f t="shared" si="31"/>
        <v>205.20000000000002</v>
      </c>
      <c r="Z261" s="41">
        <f>IFERROR(IF(Y261=0,"",ROUNDUP(Y261/H261,0)*0.00902),"")</f>
        <v>0.34276000000000001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207.03703703703701</v>
      </c>
      <c r="BN261" s="78">
        <f t="shared" si="33"/>
        <v>212.42</v>
      </c>
      <c r="BO261" s="78">
        <f t="shared" si="34"/>
        <v>0.28058361391694725</v>
      </c>
      <c r="BP261" s="78">
        <f t="shared" si="35"/>
        <v>0.2878787878787879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40</v>
      </c>
      <c r="Y262" s="55">
        <f t="shared" si="31"/>
        <v>43.2</v>
      </c>
      <c r="Z262" s="41">
        <f>IFERROR(IF(Y262=0,"",ROUNDUP(Y262/H262,0)*0.00902),"")</f>
        <v>7.2160000000000002E-2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41.407407407407405</v>
      </c>
      <c r="BN262" s="78">
        <f t="shared" si="33"/>
        <v>44.72</v>
      </c>
      <c r="BO262" s="78">
        <f t="shared" si="34"/>
        <v>5.6116722783389444E-2</v>
      </c>
      <c r="BP262" s="78">
        <f t="shared" si="35"/>
        <v>6.0606060606060608E-2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105.55555555555556</v>
      </c>
      <c r="Y267" s="43">
        <f>IFERROR(Y259/H259,"0")+IFERROR(Y260/H260,"0")+IFERROR(Y261/H261,"0")+IFERROR(Y262/H262,"0")+IFERROR(Y263/H263,"0")+IFERROR(Y264/H264,"0")+IFERROR(Y265/H265,"0")+IFERROR(Y266/H266,"0")</f>
        <v>108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0.97415999999999991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570</v>
      </c>
      <c r="Y268" s="43">
        <f>IFERROR(SUM(Y259:Y266),"0")</f>
        <v>583.20000000000016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ref="Y270:Y281" si="36">IFERROR(IF(X270="",0,CEILING((X270/$H270),1)*$H270),"")</f>
        <v>202.5</v>
      </c>
      <c r="Z270" s="41">
        <f>IFERROR(IF(Y270=0,"",ROUNDUP(Y270/H270,0)*0.01898),"")</f>
        <v>0.47450000000000003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212.19753086419755</v>
      </c>
      <c r="BN270" s="78">
        <f t="shared" ref="BN270:BN281" si="38">IFERROR(Y270*I270/H270,"0")</f>
        <v>214.85</v>
      </c>
      <c r="BO270" s="78">
        <f t="shared" ref="BO270:BO281" si="39">IFERROR(1/J270*(X270/H270),"0")</f>
        <v>0.38580246913580246</v>
      </c>
      <c r="BP270" s="78">
        <f t="shared" ref="BP270:BP281" si="40">IFERROR(1/J270*(Y270/H270),"0")</f>
        <v>0.390625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50</v>
      </c>
      <c r="Y271" s="55">
        <f t="shared" si="36"/>
        <v>56.699999999999996</v>
      </c>
      <c r="Z271" s="41">
        <f>IFERROR(IF(Y271=0,"",ROUNDUP(Y271/H271,0)*0.01898),"")</f>
        <v>0.13286000000000001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52.938271604938272</v>
      </c>
      <c r="BN271" s="78">
        <f t="shared" si="38"/>
        <v>60.031999999999996</v>
      </c>
      <c r="BO271" s="78">
        <f t="shared" si="39"/>
        <v>9.6450617283950615E-2</v>
      </c>
      <c r="BP271" s="78">
        <f t="shared" si="40"/>
        <v>0.109375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50</v>
      </c>
      <c r="Y272" s="55">
        <f t="shared" si="36"/>
        <v>52.199999999999996</v>
      </c>
      <c r="Z272" s="41">
        <f>IFERROR(IF(Y272=0,"",ROUNDUP(Y272/H272,0)*0.01898),"")</f>
        <v>0.11388000000000001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52.839080459770123</v>
      </c>
      <c r="BN272" s="78">
        <f t="shared" si="38"/>
        <v>55.164000000000009</v>
      </c>
      <c r="BO272" s="78">
        <f t="shared" si="39"/>
        <v>8.9798850574712652E-2</v>
      </c>
      <c r="BP272" s="78">
        <f t="shared" si="40"/>
        <v>9.375E-2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280</v>
      </c>
      <c r="Y273" s="55">
        <f t="shared" si="36"/>
        <v>280.8</v>
      </c>
      <c r="Z273" s="41">
        <f>IFERROR(IF(Y273=0,"",ROUNDUP(Y273/H273,0)*0.00651),"")</f>
        <v>0.76167000000000007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311.5</v>
      </c>
      <c r="BN273" s="78">
        <f t="shared" si="38"/>
        <v>312.39</v>
      </c>
      <c r="BO273" s="78">
        <f t="shared" si="39"/>
        <v>0.64102564102564108</v>
      </c>
      <c r="BP273" s="78">
        <f t="shared" si="40"/>
        <v>0.64285714285714302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si="36"/>
        <v>201.6</v>
      </c>
      <c r="Z276" s="41">
        <f>IFERROR(IF(Y276=0,"",ROUNDUP(Y276/H276,0)*0.00651),"")</f>
        <v>0.54683999999999999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221</v>
      </c>
      <c r="BN276" s="78">
        <f t="shared" si="38"/>
        <v>222.768</v>
      </c>
      <c r="BO276" s="78">
        <f t="shared" si="39"/>
        <v>0.45787545787545797</v>
      </c>
      <c r="BP276" s="78">
        <f t="shared" si="40"/>
        <v>0.46153846153846156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40</v>
      </c>
      <c r="Y279" s="55">
        <f t="shared" si="36"/>
        <v>40.799999999999997</v>
      </c>
      <c r="Z279" s="41">
        <f>IFERROR(IF(Y279=0,"",ROUNDUP(Y279/H279,0)*0.00651),"")</f>
        <v>0.11067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44.20000000000001</v>
      </c>
      <c r="BN279" s="78">
        <f t="shared" si="38"/>
        <v>45.084000000000003</v>
      </c>
      <c r="BO279" s="78">
        <f t="shared" si="39"/>
        <v>9.1575091575091583E-2</v>
      </c>
      <c r="BP279" s="78">
        <f t="shared" si="40"/>
        <v>9.3406593406593408E-2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36"/>
        <v>160.79999999999998</v>
      </c>
      <c r="Z280" s="41">
        <f>IFERROR(IF(Y280=0,"",ROUNDUP(Y280/H280,0)*0.00651),"")</f>
        <v>0.43617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177.2</v>
      </c>
      <c r="BN280" s="78">
        <f t="shared" si="38"/>
        <v>178.08599999999998</v>
      </c>
      <c r="BO280" s="78">
        <f t="shared" si="39"/>
        <v>0.36630036630036633</v>
      </c>
      <c r="BP280" s="78">
        <f t="shared" si="40"/>
        <v>0.36813186813186816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319.94465730097915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323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2.5765899999999999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980</v>
      </c>
      <c r="Y283" s="43">
        <f>IFERROR(SUM(Y270:Y281),"0")</f>
        <v>995.4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60</v>
      </c>
      <c r="Y286" s="55">
        <f>IFERROR(IF(X286="",0,CEILING((X286/$H286),1)*$H286),"")</f>
        <v>60</v>
      </c>
      <c r="Z286" s="41">
        <f>IFERROR(IF(Y286=0,"",ROUNDUP(Y286/H286,0)*0.00651),"")</f>
        <v>0.16275000000000001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66.300000000000011</v>
      </c>
      <c r="BN286" s="78">
        <f>IFERROR(Y286*I286/H286,"0")</f>
        <v>66.300000000000011</v>
      </c>
      <c r="BO286" s="78">
        <f>IFERROR(1/J286*(X286/H286),"0")</f>
        <v>0.13736263736263737</v>
      </c>
      <c r="BP286" s="78">
        <f>IFERROR(1/J286*(Y286/H286),"0")</f>
        <v>0.13736263736263737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35</v>
      </c>
      <c r="Y287" s="43">
        <f>IFERROR(Y285/H285,"0")+IFERROR(Y286/H286,"0")</f>
        <v>35</v>
      </c>
      <c r="Z287" s="43">
        <f>IFERROR(IF(Z285="",0,Z285),"0")+IFERROR(IF(Z286="",0,Z286),"0")</f>
        <v>0.22785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84</v>
      </c>
      <c r="Y288" s="43">
        <f>IFERROR(SUM(Y285:Y286),"0")</f>
        <v>84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80</v>
      </c>
      <c r="Y293" s="55">
        <f t="shared" si="41"/>
        <v>81.2</v>
      </c>
      <c r="Z293" s="41">
        <f>IFERROR(IF(Y293=0,"",ROUNDUP(Y293/H293,0)*0.01898),"")</f>
        <v>0.13286000000000001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82.827586206896555</v>
      </c>
      <c r="BN293" s="78">
        <f t="shared" si="43"/>
        <v>84.070000000000007</v>
      </c>
      <c r="BO293" s="78">
        <f t="shared" si="44"/>
        <v>0.10775862068965518</v>
      </c>
      <c r="BP293" s="78">
        <f t="shared" si="45"/>
        <v>0.10937500000000001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24</v>
      </c>
      <c r="Y294" s="55">
        <f t="shared" si="41"/>
        <v>24</v>
      </c>
      <c r="Z294" s="41">
        <f>IFERROR(IF(Y294=0,"",ROUNDUP(Y294/H294,0)*0.00902),"")</f>
        <v>5.4120000000000001E-2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25.14</v>
      </c>
      <c r="BN294" s="78">
        <f t="shared" si="43"/>
        <v>25.14</v>
      </c>
      <c r="BO294" s="78">
        <f t="shared" si="44"/>
        <v>4.5454545454545456E-2</v>
      </c>
      <c r="BP294" s="78">
        <f t="shared" si="45"/>
        <v>4.5454545454545456E-2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24</v>
      </c>
      <c r="Y297" s="55">
        <f t="shared" si="41"/>
        <v>24</v>
      </c>
      <c r="Z297" s="41">
        <f>IFERROR(IF(Y297=0,"",ROUNDUP(Y297/H297,0)*0.00902),"")</f>
        <v>5.4120000000000001E-2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25.14</v>
      </c>
      <c r="BN297" s="78">
        <f t="shared" si="43"/>
        <v>25.14</v>
      </c>
      <c r="BO297" s="78">
        <f t="shared" si="44"/>
        <v>4.5454545454545456E-2</v>
      </c>
      <c r="BP297" s="78">
        <f t="shared" si="45"/>
        <v>4.5454545454545456E-2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18.896551724137932</v>
      </c>
      <c r="Y298" s="43">
        <f>IFERROR(Y291/H291,"0")+IFERROR(Y292/H292,"0")+IFERROR(Y293/H293,"0")+IFERROR(Y294/H294,"0")+IFERROR(Y295/H295,"0")+IFERROR(Y296/H296,"0")+IFERROR(Y297/H297,"0")</f>
        <v>19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0.24110000000000001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128</v>
      </c>
      <c r="Y299" s="43">
        <f>IFERROR(SUM(Y291:Y297),"0")</f>
        <v>129.19999999999999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33.333333333333336</v>
      </c>
      <c r="Y328" s="43">
        <f>IFERROR(Y325/H325,"0")+IFERROR(Y326/H326,"0")+IFERROR(Y327/H327,"0")</f>
        <v>34</v>
      </c>
      <c r="Z328" s="43">
        <f>IFERROR(IF(Z325="",0,Z325),"0")+IFERROR(IF(Z326="",0,Z326),"0")+IFERROR(IF(Z327="",0,Z327),"0")</f>
        <v>0.22134000000000001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80</v>
      </c>
      <c r="Y329" s="43">
        <f>IFERROR(SUM(Y325:Y327),"0")</f>
        <v>81.599999999999994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140</v>
      </c>
      <c r="Y367" s="55">
        <f t="shared" si="56"/>
        <v>140.70000000000002</v>
      </c>
      <c r="Z367" s="41">
        <f>IFERROR(IF(Y367=0,"",ROUNDUP(Y367/H367,0)*0.00502),"")</f>
        <v>0.33634000000000003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146.66666666666666</v>
      </c>
      <c r="BN367" s="78">
        <f t="shared" si="58"/>
        <v>147.40000000000003</v>
      </c>
      <c r="BO367" s="78">
        <f t="shared" si="59"/>
        <v>0.28490028490028491</v>
      </c>
      <c r="BP367" s="78">
        <f t="shared" si="60"/>
        <v>0.28632478632478636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45</v>
      </c>
      <c r="Y369" s="55">
        <f t="shared" si="56"/>
        <v>45</v>
      </c>
      <c r="Z369" s="41">
        <f>IFERROR(IF(Y369=0,"",ROUNDUP(Y369/H369,0)*0.00651),"")</f>
        <v>0.16275000000000001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50.7</v>
      </c>
      <c r="BN369" s="78">
        <f t="shared" si="58"/>
        <v>50.7</v>
      </c>
      <c r="BO369" s="78">
        <f t="shared" si="59"/>
        <v>0.13736263736263737</v>
      </c>
      <c r="BP369" s="78">
        <f t="shared" si="60"/>
        <v>0.13736263736263737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91.666666666666657</v>
      </c>
      <c r="Y370" s="43">
        <f>IFERROR(Y363/H363,"0")+IFERROR(Y364/H364,"0")+IFERROR(Y365/H365,"0")+IFERROR(Y366/H366,"0")+IFERROR(Y367/H367,"0")+IFERROR(Y368/H368,"0")+IFERROR(Y369/H369,"0")</f>
        <v>92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0.49909000000000003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185</v>
      </c>
      <c r="Y371" s="43">
        <f>IFERROR(SUM(Y363:Y369),"0")</f>
        <v>185.70000000000002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200</v>
      </c>
      <c r="Y380" s="55">
        <f>IFERROR(IF(X380="",0,CEILING((X380/$H380),1)*$H380),"")</f>
        <v>201.60000000000002</v>
      </c>
      <c r="Z380" s="41">
        <f>IFERROR(IF(Y380=0,"",ROUNDUP(Y380/H380,0)*0.01898),"")</f>
        <v>0.45552000000000004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211.76190476190476</v>
      </c>
      <c r="BN380" s="78">
        <f>IFERROR(Y380*I380/H380,"0")</f>
        <v>213.45600000000002</v>
      </c>
      <c r="BO380" s="78">
        <f>IFERROR(1/J380*(X380/H380),"0")</f>
        <v>0.37202380952380953</v>
      </c>
      <c r="BP380" s="78">
        <f>IFERROR(1/J380*(Y380/H380),"0")</f>
        <v>0.375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400</v>
      </c>
      <c r="Y381" s="55">
        <f>IFERROR(IF(X381="",0,CEILING((X381/$H381),1)*$H381),"")</f>
        <v>405.59999999999997</v>
      </c>
      <c r="Z381" s="41">
        <f>IFERROR(IF(Y381=0,"",ROUNDUP(Y381/H381,0)*0.01898),"")</f>
        <v>0.98696000000000006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425.33333333333337</v>
      </c>
      <c r="BN381" s="78">
        <f>IFERROR(Y381*I381/H381,"0")</f>
        <v>431.28799999999995</v>
      </c>
      <c r="BO381" s="78">
        <f>IFERROR(1/J381*(X381/H381),"0")</f>
        <v>0.80128205128205132</v>
      </c>
      <c r="BP381" s="78">
        <f>IFERROR(1/J381*(Y381/H381),"0")</f>
        <v>0.8125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75.091575091575095</v>
      </c>
      <c r="Y383" s="43">
        <f>IFERROR(Y380/H380,"0")+IFERROR(Y381/H381,"0")+IFERROR(Y382/H382,"0")</f>
        <v>76</v>
      </c>
      <c r="Z383" s="43">
        <f>IFERROR(IF(Z380="",0,Z380),"0")+IFERROR(IF(Z381="",0,Z381),"0")+IFERROR(IF(Z382="",0,Z382),"0")</f>
        <v>1.4424800000000002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600</v>
      </c>
      <c r="Y384" s="43">
        <f>IFERROR(SUM(Y380:Y382),"0")</f>
        <v>607.20000000000005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85</v>
      </c>
      <c r="Y388" s="55">
        <f>IFERROR(IF(X388="",0,CEILING((X388/$H388),1)*$H388),"")</f>
        <v>86.699999999999989</v>
      </c>
      <c r="Z388" s="41">
        <f>IFERROR(IF(Y388=0,"",ROUNDUP(Y388/H388,0)*0.00651),"")</f>
        <v>0.22134000000000001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98.500000000000014</v>
      </c>
      <c r="BN388" s="78">
        <f>IFERROR(Y388*I388/H388,"0")</f>
        <v>100.47</v>
      </c>
      <c r="BO388" s="78">
        <f>IFERROR(1/J388*(X388/H388),"0")</f>
        <v>0.18315018315018317</v>
      </c>
      <c r="BP388" s="78">
        <f>IFERROR(1/J388*(Y388/H388),"0")</f>
        <v>0.18681318681318682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33.333333333333336</v>
      </c>
      <c r="Y390" s="43">
        <f>IFERROR(Y386/H386,"0")+IFERROR(Y387/H387,"0")+IFERROR(Y388/H388,"0")+IFERROR(Y389/H389,"0")</f>
        <v>34</v>
      </c>
      <c r="Z390" s="43">
        <f>IFERROR(IF(Z386="",0,Z386),"0")+IFERROR(IF(Z387="",0,Z387),"0")+IFERROR(IF(Z388="",0,Z388),"0")+IFERROR(IF(Z389="",0,Z389),"0")</f>
        <v>0.22134000000000001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85</v>
      </c>
      <c r="Y391" s="43">
        <f>IFERROR(SUM(Y386:Y389),"0")</f>
        <v>86.699999999999989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3150</v>
      </c>
      <c r="Y413" s="55">
        <f>IFERROR(IF(X413="",0,CEILING((X413/$H413),1)*$H413),"")</f>
        <v>3150</v>
      </c>
      <c r="Z413" s="41">
        <f>IFERROR(IF(Y413=0,"",ROUNDUP(Y413/H413,0)*0.00651),"")</f>
        <v>9.7650000000000006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3527.9999999999995</v>
      </c>
      <c r="BN413" s="78">
        <f>IFERROR(Y413*I413/H413,"0")</f>
        <v>3527.9999999999995</v>
      </c>
      <c r="BO413" s="78">
        <f>IFERROR(1/J413*(X413/H413),"0")</f>
        <v>8.2417582417582427</v>
      </c>
      <c r="BP413" s="78">
        <f>IFERROR(1/J413*(Y413/H413),"0")</f>
        <v>8.2417582417582427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875</v>
      </c>
      <c r="Y414" s="55">
        <f>IFERROR(IF(X414="",0,CEILING((X414/$H414),1)*$H414),"")</f>
        <v>875.7</v>
      </c>
      <c r="Z414" s="41">
        <f>IFERROR(IF(Y414=0,"",ROUNDUP(Y414/H414,0)*0.00651),"")</f>
        <v>2.7146699999999999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974.99999999999989</v>
      </c>
      <c r="BN414" s="78">
        <f>IFERROR(Y414*I414/H414,"0")</f>
        <v>975.78</v>
      </c>
      <c r="BO414" s="78">
        <f>IFERROR(1/J414*(X414/H414),"0")</f>
        <v>2.2893772893772892</v>
      </c>
      <c r="BP414" s="78">
        <f>IFERROR(1/J414*(Y414/H414),"0")</f>
        <v>2.2912087912087915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1916.6666666666665</v>
      </c>
      <c r="Y415" s="43">
        <f>IFERROR(Y412/H412,"0")+IFERROR(Y413/H413,"0")+IFERROR(Y414/H414,"0")</f>
        <v>1917</v>
      </c>
      <c r="Z415" s="43">
        <f>IFERROR(IF(Z412="",0,Z412),"0")+IFERROR(IF(Z413="",0,Z413),"0")+IFERROR(IF(Z414="",0,Z414),"0")</f>
        <v>12.47967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4025</v>
      </c>
      <c r="Y416" s="43">
        <f>IFERROR(SUM(Y412:Y414),"0")</f>
        <v>4025.7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1400</v>
      </c>
      <c r="Y421" s="55">
        <f t="shared" si="61"/>
        <v>1410</v>
      </c>
      <c r="Z421" s="41">
        <f>IFERROR(IF(Y421=0,"",ROUNDUP(Y421/H421,0)*0.02175),"")</f>
        <v>2.0444999999999998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1443.8666666666666</v>
      </c>
      <c r="BN421" s="78">
        <f t="shared" si="63"/>
        <v>1454.18</v>
      </c>
      <c r="BO421" s="78">
        <f t="shared" si="64"/>
        <v>1.9444444444444442</v>
      </c>
      <c r="BP421" s="78">
        <f t="shared" si="65"/>
        <v>1.9583333333333333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1200</v>
      </c>
      <c r="Y422" s="55">
        <f t="shared" si="61"/>
        <v>1200</v>
      </c>
      <c r="Z422" s="41">
        <f>IFERROR(IF(Y422=0,"",ROUNDUP(Y422/H422,0)*0.02175),"")</f>
        <v>1.7399999999999998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1237.5999999999999</v>
      </c>
      <c r="BN422" s="78">
        <f t="shared" si="63"/>
        <v>1237.5999999999999</v>
      </c>
      <c r="BO422" s="78">
        <f t="shared" si="64"/>
        <v>1.6666666666666665</v>
      </c>
      <c r="BP422" s="78">
        <f t="shared" si="65"/>
        <v>1.6666666666666665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1400</v>
      </c>
      <c r="Y423" s="55">
        <f t="shared" si="61"/>
        <v>1410</v>
      </c>
      <c r="Z423" s="41">
        <f>IFERROR(IF(Y423=0,"",ROUNDUP(Y423/H423,0)*0.02175),"")</f>
        <v>2.0444999999999998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1443.8666666666666</v>
      </c>
      <c r="BN423" s="78">
        <f t="shared" si="63"/>
        <v>1454.18</v>
      </c>
      <c r="BO423" s="78">
        <f t="shared" si="64"/>
        <v>1.9444444444444442</v>
      </c>
      <c r="BP423" s="78">
        <f t="shared" si="65"/>
        <v>1.9583333333333333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61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618.79999999999995</v>
      </c>
      <c r="BN424" s="78">
        <f t="shared" si="63"/>
        <v>618.79999999999995</v>
      </c>
      <c r="BO424" s="78">
        <f t="shared" si="64"/>
        <v>0.83333333333333326</v>
      </c>
      <c r="BP424" s="78">
        <f t="shared" si="65"/>
        <v>0.83333333333333326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15</v>
      </c>
      <c r="Y427" s="55">
        <f t="shared" si="61"/>
        <v>15</v>
      </c>
      <c r="Z427" s="41">
        <f>IFERROR(IF(Y427=0,"",ROUNDUP(Y427/H427,0)*0.00902),"")</f>
        <v>2.7060000000000001E-2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15.570000000000002</v>
      </c>
      <c r="BN427" s="78">
        <f t="shared" si="63"/>
        <v>15.570000000000002</v>
      </c>
      <c r="BO427" s="78">
        <f t="shared" si="64"/>
        <v>2.2727272727272728E-2</v>
      </c>
      <c r="BP427" s="78">
        <f t="shared" si="65"/>
        <v>2.2727272727272728E-2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309.66666666666663</v>
      </c>
      <c r="Y428" s="43">
        <f>IFERROR(Y420/H420,"0")+IFERROR(Y421/H421,"0")+IFERROR(Y422/H422,"0")+IFERROR(Y423/H423,"0")+IFERROR(Y424/H424,"0")+IFERROR(Y425/H425,"0")+IFERROR(Y426/H426,"0")+IFERROR(Y427/H427,"0")</f>
        <v>311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6.7260599999999986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4615</v>
      </c>
      <c r="Y429" s="43">
        <f>IFERROR(SUM(Y420:Y427),"0")</f>
        <v>4635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1200</v>
      </c>
      <c r="Y431" s="55">
        <f>IFERROR(IF(X431="",0,CEILING((X431/$H431),1)*$H431),"")</f>
        <v>1200</v>
      </c>
      <c r="Z431" s="41">
        <f>IFERROR(IF(Y431=0,"",ROUNDUP(Y431/H431,0)*0.02175),"")</f>
        <v>1.7399999999999998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1237.5999999999999</v>
      </c>
      <c r="BN431" s="78">
        <f>IFERROR(Y431*I431/H431,"0")</f>
        <v>1237.5999999999999</v>
      </c>
      <c r="BO431" s="78">
        <f>IFERROR(1/J431*(X431/H431),"0")</f>
        <v>1.6666666666666665</v>
      </c>
      <c r="BP431" s="78">
        <f>IFERROR(1/J431*(Y431/H431),"0")</f>
        <v>1.6666666666666665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80</v>
      </c>
      <c r="Y434" s="43">
        <f>IFERROR(Y431/H431,"0")+IFERROR(Y432/H432,"0")+IFERROR(Y433/H433,"0")</f>
        <v>80</v>
      </c>
      <c r="Z434" s="43">
        <f>IFERROR(IF(Z431="",0,Z431),"0")+IFERROR(IF(Z432="",0,Z432),"0")+IFERROR(IF(Z433="",0,Z433),"0")</f>
        <v>1.7399999999999998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1200</v>
      </c>
      <c r="Y435" s="43">
        <f>IFERROR(SUM(Y431:Y433),"0")</f>
        <v>1200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20</v>
      </c>
      <c r="Y438" s="55">
        <f>IFERROR(IF(X438="",0,CEILING((X438/$H438),1)*$H438),"")</f>
        <v>27</v>
      </c>
      <c r="Z438" s="41">
        <f>IFERROR(IF(Y438=0,"",ROUNDUP(Y438/H438,0)*0.01898),"")</f>
        <v>5.6940000000000004E-2</v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21.097777777777779</v>
      </c>
      <c r="BN438" s="78">
        <f>IFERROR(Y438*I438/H438,"0")</f>
        <v>28.481999999999996</v>
      </c>
      <c r="BO438" s="78">
        <f>IFERROR(1/J438*(X438/H438),"0")</f>
        <v>3.4722222222222224E-2</v>
      </c>
      <c r="BP438" s="78">
        <f>IFERROR(1/J438*(Y438/H438),"0")</f>
        <v>4.6875E-2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2.2222222222222223</v>
      </c>
      <c r="Y440" s="43">
        <f>IFERROR(Y437/H437,"0")+IFERROR(Y438/H438,"0")+IFERROR(Y439/H439,"0")</f>
        <v>3</v>
      </c>
      <c r="Z440" s="43">
        <f>IFERROR(IF(Z437="",0,Z437),"0")+IFERROR(IF(Z438="",0,Z438),"0")+IFERROR(IF(Z439="",0,Z439),"0")</f>
        <v>5.6940000000000004E-2</v>
      </c>
      <c r="AA440" s="67"/>
      <c r="AB440" s="67"/>
      <c r="AC440" s="67"/>
    </row>
    <row r="441" spans="1:68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20</v>
      </c>
      <c r="Y441" s="43">
        <f>IFERROR(SUM(Y437:Y439),"0")</f>
        <v>27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40</v>
      </c>
      <c r="Y449" s="55">
        <f>IFERROR(IF(X449="",0,CEILING((X449/$H449),1)*$H449),"")</f>
        <v>48</v>
      </c>
      <c r="Z449" s="41">
        <f>IFERROR(IF(Y449=0,"",ROUNDUP(Y449/H449,0)*0.01898),"")</f>
        <v>7.5920000000000001E-2</v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41.366666666666667</v>
      </c>
      <c r="BN449" s="78">
        <f>IFERROR(Y449*I449/H449,"0")</f>
        <v>49.640000000000008</v>
      </c>
      <c r="BO449" s="78">
        <f>IFERROR(1/J449*(X449/H449),"0")</f>
        <v>5.2083333333333336E-2</v>
      </c>
      <c r="BP449" s="78">
        <f>IFERROR(1/J449*(Y449/H449),"0")</f>
        <v>6.25E-2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3.3333333333333335</v>
      </c>
      <c r="Y451" s="43">
        <f>IFERROR(Y449/H449,"0")+IFERROR(Y450/H450,"0")</f>
        <v>4</v>
      </c>
      <c r="Z451" s="43">
        <f>IFERROR(IF(Z449="",0,Z449),"0")+IFERROR(IF(Z450="",0,Z450),"0")</f>
        <v>7.5920000000000001E-2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40</v>
      </c>
      <c r="Y452" s="43">
        <f>IFERROR(SUM(Y449:Y450),"0")</f>
        <v>48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40</v>
      </c>
      <c r="Y492" s="55">
        <f t="shared" ref="Y492:Y499" si="71">IFERROR(IF(X492="",0,CEILING((X492/$H492),1)*$H492),"")</f>
        <v>42.24</v>
      </c>
      <c r="Z492" s="41">
        <f>IFERROR(IF(Y492=0,"",ROUNDUP(Y492/H492,0)*0.01196),"")</f>
        <v>9.5680000000000001E-2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42.651515151515149</v>
      </c>
      <c r="BN492" s="78">
        <f t="shared" ref="BN492:BN499" si="73">IFERROR(Y492*I492/H492,"0")</f>
        <v>45.04</v>
      </c>
      <c r="BO492" s="78">
        <f t="shared" ref="BO492:BO499" si="74">IFERROR(1/J492*(X492/H492),"0")</f>
        <v>7.2843822843822847E-2</v>
      </c>
      <c r="BP492" s="78">
        <f t="shared" ref="BP492:BP499" si="75">IFERROR(1/J492*(Y492/H492),"0")</f>
        <v>7.6923076923076927E-2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250</v>
      </c>
      <c r="Y496" s="55">
        <f t="shared" si="71"/>
        <v>253.44</v>
      </c>
      <c r="Z496" s="41">
        <f>IFERROR(IF(Y496=0,"",ROUNDUP(Y496/H496,0)*0.01196),"")</f>
        <v>0.57408000000000003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266.57196969696969</v>
      </c>
      <c r="BN496" s="78">
        <f t="shared" si="73"/>
        <v>270.23999999999995</v>
      </c>
      <c r="BO496" s="78">
        <f t="shared" si="74"/>
        <v>0.45527389277389274</v>
      </c>
      <c r="BP496" s="78">
        <f t="shared" si="75"/>
        <v>0.46153846153846156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60</v>
      </c>
      <c r="Y498" s="55">
        <f t="shared" si="71"/>
        <v>62.4</v>
      </c>
      <c r="Z498" s="41">
        <f>IFERROR(IF(Y498=0,"",ROUNDUP(Y498/H498,0)*0.00902),"")</f>
        <v>0.11726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86.375000000000014</v>
      </c>
      <c r="BN498" s="78">
        <f t="shared" si="73"/>
        <v>89.830000000000013</v>
      </c>
      <c r="BO498" s="78">
        <f t="shared" si="74"/>
        <v>9.4696969696969696E-2</v>
      </c>
      <c r="BP498" s="78">
        <f t="shared" si="75"/>
        <v>9.8484848484848481E-2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180</v>
      </c>
      <c r="Y499" s="55">
        <f t="shared" si="71"/>
        <v>182.4</v>
      </c>
      <c r="Z499" s="41">
        <f>IFERROR(IF(Y499=0,"",ROUNDUP(Y499/H499,0)*0.00902),"")</f>
        <v>0.34276000000000001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259.125</v>
      </c>
      <c r="BN499" s="78">
        <f t="shared" si="73"/>
        <v>262.58000000000004</v>
      </c>
      <c r="BO499" s="78">
        <f t="shared" si="74"/>
        <v>0.28409090909090912</v>
      </c>
      <c r="BP499" s="78">
        <f t="shared" si="75"/>
        <v>0.2878787878787879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104.92424242424242</v>
      </c>
      <c r="Y500" s="43">
        <f>IFERROR(Y492/H492,"0")+IFERROR(Y493/H493,"0")+IFERROR(Y494/H494,"0")+IFERROR(Y495/H495,"0")+IFERROR(Y496/H496,"0")+IFERROR(Y497/H497,"0")+IFERROR(Y498/H498,"0")+IFERROR(Y499/H499,"0")</f>
        <v>107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1.12978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530</v>
      </c>
      <c r="Y501" s="43">
        <f>IFERROR(SUM(Y492:Y499),"0")</f>
        <v>540.48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180</v>
      </c>
      <c r="Y503" s="55">
        <f>IFERROR(IF(X503="",0,CEILING((X503/$H503),1)*$H503),"")</f>
        <v>184.8</v>
      </c>
      <c r="Z503" s="41">
        <f>IFERROR(IF(Y503=0,"",ROUNDUP(Y503/H503,0)*0.01196),"")</f>
        <v>0.41860000000000003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191.93181818181816</v>
      </c>
      <c r="BN503" s="78">
        <f>IFERROR(Y503*I503/H503,"0")</f>
        <v>197.04999999999998</v>
      </c>
      <c r="BO503" s="78">
        <f>IFERROR(1/J503*(X503/H503),"0")</f>
        <v>0.32779720279720276</v>
      </c>
      <c r="BP503" s="78">
        <f>IFERROR(1/J503*(Y503/H503),"0")</f>
        <v>0.33653846153846156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66</v>
      </c>
      <c r="Y505" s="55">
        <f>IFERROR(IF(X505="",0,CEILING((X505/$H505),1)*$H505),"")</f>
        <v>67.2</v>
      </c>
      <c r="Z505" s="41">
        <f>IFERROR(IF(Y505=0,"",ROUNDUP(Y505/H505,0)*0.00902),"")</f>
        <v>0.12628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95.012500000000003</v>
      </c>
      <c r="BN505" s="78">
        <f>IFERROR(Y505*I505/H505,"0")</f>
        <v>96.740000000000009</v>
      </c>
      <c r="BO505" s="78">
        <f>IFERROR(1/J505*(X505/H505),"0")</f>
        <v>0.10416666666666667</v>
      </c>
      <c r="BP505" s="78">
        <f>IFERROR(1/J505*(Y505/H505),"0")</f>
        <v>0.10606060606060608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47.840909090909086</v>
      </c>
      <c r="Y506" s="43">
        <f>IFERROR(Y503/H503,"0")+IFERROR(Y504/H504,"0")+IFERROR(Y505/H505,"0")</f>
        <v>49</v>
      </c>
      <c r="Z506" s="43">
        <f>IFERROR(IF(Z503="",0,Z503),"0")+IFERROR(IF(Z504="",0,Z504),"0")+IFERROR(IF(Z505="",0,Z505),"0")</f>
        <v>0.54488000000000003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246</v>
      </c>
      <c r="Y507" s="43">
        <f>IFERROR(SUM(Y503:Y505),"0")</f>
        <v>252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100</v>
      </c>
      <c r="Y511" s="55">
        <f t="shared" si="76"/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106.62878787878788</v>
      </c>
      <c r="BN511" s="78">
        <f t="shared" si="78"/>
        <v>106.97</v>
      </c>
      <c r="BO511" s="78">
        <f t="shared" si="79"/>
        <v>0.18210955710955709</v>
      </c>
      <c r="BP511" s="78">
        <f t="shared" si="80"/>
        <v>0.18269230769230771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54</v>
      </c>
      <c r="Y512" s="55">
        <f t="shared" si="76"/>
        <v>57.599999999999994</v>
      </c>
      <c r="Z512" s="41">
        <f>IFERROR(IF(Y512=0,"",ROUNDUP(Y512/H512,0)*0.00902),"")</f>
        <v>0.10824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77.737499999999997</v>
      </c>
      <c r="BN512" s="78">
        <f t="shared" si="78"/>
        <v>82.92</v>
      </c>
      <c r="BO512" s="78">
        <f t="shared" si="79"/>
        <v>8.5227272727272735E-2</v>
      </c>
      <c r="BP512" s="78">
        <f t="shared" si="80"/>
        <v>9.0909090909090912E-2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18</v>
      </c>
      <c r="Y514" s="55">
        <f t="shared" si="76"/>
        <v>19.2</v>
      </c>
      <c r="Z514" s="41">
        <f>IFERROR(IF(Y514=0,"",ROUNDUP(Y514/H514,0)*0.00902),"")</f>
        <v>3.6080000000000001E-2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25.012500000000003</v>
      </c>
      <c r="BN514" s="78">
        <f t="shared" si="78"/>
        <v>26.68</v>
      </c>
      <c r="BO514" s="78">
        <f t="shared" si="79"/>
        <v>2.8409090909090912E-2</v>
      </c>
      <c r="BP514" s="78">
        <f t="shared" si="80"/>
        <v>3.0303030303030304E-2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120</v>
      </c>
      <c r="Y515" s="55">
        <f t="shared" si="76"/>
        <v>120</v>
      </c>
      <c r="Z515" s="41">
        <f>IFERROR(IF(Y515=0,"",ROUNDUP(Y515/H515,0)*0.00902),"")</f>
        <v>0.22550000000000001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166.75</v>
      </c>
      <c r="BN515" s="78">
        <f t="shared" si="78"/>
        <v>166.75</v>
      </c>
      <c r="BO515" s="78">
        <f t="shared" si="79"/>
        <v>0.18939393939393939</v>
      </c>
      <c r="BP515" s="78">
        <f t="shared" si="80"/>
        <v>0.18939393939393939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58.939393939393938</v>
      </c>
      <c r="Y516" s="43">
        <f>IFERROR(Y509/H509,"0")+IFERROR(Y510/H510,"0")+IFERROR(Y511/H511,"0")+IFERROR(Y512/H512,"0")+IFERROR(Y513/H513,"0")+IFERROR(Y514/H514,"0")+IFERROR(Y515/H515,"0")</f>
        <v>60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0.59706000000000004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292</v>
      </c>
      <c r="Y517" s="43">
        <f>IFERROR(SUM(Y509:Y515),"0")</f>
        <v>297.12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120</v>
      </c>
      <c r="Y521" s="55">
        <f>IFERROR(IF(X521="",0,CEILING((X521/$H521),1)*$H521),"")</f>
        <v>120</v>
      </c>
      <c r="Z521" s="41">
        <f>IFERROR(IF(Y521=0,"",ROUNDUP(Y521/H521,0)*0.01898),"")</f>
        <v>0.1898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124.10000000000001</v>
      </c>
      <c r="BN521" s="78">
        <f>IFERROR(Y521*I521/H521,"0")</f>
        <v>124.10000000000001</v>
      </c>
      <c r="BO521" s="78">
        <f>IFERROR(1/J521*(X521/H521),"0")</f>
        <v>0.15625</v>
      </c>
      <c r="BP521" s="78">
        <f>IFERROR(1/J521*(Y521/H521),"0")</f>
        <v>0.15625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10</v>
      </c>
      <c r="Y522" s="43">
        <f>IFERROR(Y521/H521,"0")</f>
        <v>10</v>
      </c>
      <c r="Z522" s="43">
        <f>IFERROR(IF(Z521="",0,Z521),"0")</f>
        <v>0.1898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120</v>
      </c>
      <c r="Y523" s="43">
        <f>IFERROR(SUM(Y521:Y521),"0")</f>
        <v>120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620</v>
      </c>
      <c r="Y533" s="55">
        <f>IFERROR(IF(X533="",0,CEILING((X533/$H533),1)*$H533),"")</f>
        <v>621</v>
      </c>
      <c r="Z533" s="41">
        <f>IFERROR(IF(Y533=0,"",ROUNDUP(Y533/H533,0)*0.01898),"")</f>
        <v>1.30962</v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654.03111111111104</v>
      </c>
      <c r="BN533" s="78">
        <f>IFERROR(Y533*I533/H533,"0")</f>
        <v>655.0859999999999</v>
      </c>
      <c r="BO533" s="78">
        <f>IFERROR(1/J533*(X533/H533),"0")</f>
        <v>1.0763888888888888</v>
      </c>
      <c r="BP533" s="78">
        <f>IFERROR(1/J533*(Y533/H533),"0")</f>
        <v>1.078125</v>
      </c>
    </row>
    <row r="534" spans="1:68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68.888888888888886</v>
      </c>
      <c r="Y534" s="43">
        <f>IFERROR(Y533/H533,"0")</f>
        <v>69</v>
      </c>
      <c r="Z534" s="43">
        <f>IFERROR(IF(Z533="",0,Z533),"0")</f>
        <v>1.30962</v>
      </c>
      <c r="AA534" s="67"/>
      <c r="AB534" s="67"/>
      <c r="AC534" s="67"/>
    </row>
    <row r="535" spans="1:68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620</v>
      </c>
      <c r="Y535" s="43">
        <f>IFERROR(SUM(Y533:Y533),"0")</f>
        <v>621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17455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17602.579999999998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18791.939285498451</v>
      </c>
      <c r="Y547" s="43">
        <f>IFERROR(SUM(BN22:BN543),"0")</f>
        <v>18951.494000000002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33</v>
      </c>
      <c r="Y548" s="44">
        <f>ROUNDUP(SUM(BP22:BP543),0)</f>
        <v>34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19616.939285498451</v>
      </c>
      <c r="Y549" s="43">
        <f>GrossWeightTotalR+PalletQtyTotalR*25</f>
        <v>19801.494000000002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4136.2298913304658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4161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38.204459999999997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248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502.2</v>
      </c>
      <c r="F556" s="52">
        <f>IFERROR(Y84*1,"0")+IFERROR(Y85*1,"0")+IFERROR(Y86*1,"0")+IFERROR(Y87*1,"0")+IFERROR(Y88*1,"0")+IFERROR(Y89*1,"0")+IFERROR(Y93*1,"0")+IFERROR(Y94*1,"0")+IFERROR(Y95*1,"0")+IFERROR(Y96*1,"0")</f>
        <v>782.1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1011.0600000000001</v>
      </c>
      <c r="H556" s="52">
        <f>IFERROR(Y131*1,"0")+IFERROR(Y132*1,"0")+IFERROR(Y136*1,"0")+IFERROR(Y137*1,"0")+IFERROR(Y141*1,"0")+IFERROR(Y142*1,"0")</f>
        <v>138.88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401.04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1662.6000000000001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129.19999999999999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81.599999999999994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879.60000000000014</v>
      </c>
      <c r="U556" s="52">
        <f>IFERROR(Y406*1,"0")+IFERROR(Y407*1,"0")</f>
        <v>0</v>
      </c>
      <c r="V556" s="52">
        <f>IFERROR(Y412*1,"0")+IFERROR(Y413*1,"0")+IFERROR(Y414*1,"0")</f>
        <v>4025.7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5862</v>
      </c>
      <c r="X556" s="52">
        <f>IFERROR(Y449*1,"0")+IFERROR(Y450*1,"0")+IFERROR(Y454*1,"0")+IFERROR(Y458*1,"0")+IFERROR(Y459*1,"0")+IFERROR(Y460*1,"0")</f>
        <v>48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1089.6000000000001</v>
      </c>
      <c r="AB556" s="52">
        <f>IFERROR(Y521*1,"0")+IFERROR(Y525*1,"0")+IFERROR(Y529*1,"0")+IFERROR(Y533*1,"0")+IFERROR(Y537*1,"0")+IFERROR(Y538*1,"0")</f>
        <v>741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400,00"/>
        <filter val="1 916,67"/>
        <filter val="10,00"/>
        <filter val="100,00"/>
        <filter val="104,92"/>
        <filter val="105,00"/>
        <filter val="105,56"/>
        <filter val="11,62"/>
        <filter val="110,37"/>
        <filter val="12,50"/>
        <filter val="120,00"/>
        <filter val="128,00"/>
        <filter val="13,57"/>
        <filter val="139,52"/>
        <filter val="140,00"/>
        <filter val="15,00"/>
        <filter val="150,00"/>
        <filter val="160,00"/>
        <filter val="17 455,00"/>
        <filter val="18 791,94"/>
        <filter val="18,00"/>
        <filter val="18,90"/>
        <filter val="180,00"/>
        <filter val="185,00"/>
        <filter val="189,20"/>
        <filter val="19 616,94"/>
        <filter val="2,22"/>
        <filter val="2,56"/>
        <filter val="20,00"/>
        <filter val="200,00"/>
        <filter val="21,21"/>
        <filter val="225,00"/>
        <filter val="23,00"/>
        <filter val="24,00"/>
        <filter val="240,00"/>
        <filter val="246,00"/>
        <filter val="248,00"/>
        <filter val="250,00"/>
        <filter val="280,00"/>
        <filter val="292,00"/>
        <filter val="3 150,00"/>
        <filter val="3,33"/>
        <filter val="30,00"/>
        <filter val="300,00"/>
        <filter val="309,67"/>
        <filter val="315,00"/>
        <filter val="319,94"/>
        <filter val="323,00"/>
        <filter val="325,00"/>
        <filter val="33"/>
        <filter val="33,33"/>
        <filter val="35,00"/>
        <filter val="37,96"/>
        <filter val="375,00"/>
        <filter val="38,00"/>
        <filter val="398,00"/>
        <filter val="4 025,00"/>
        <filter val="4 136,23"/>
        <filter val="4 615,00"/>
        <filter val="40,00"/>
        <filter val="400,00"/>
        <filter val="405,00"/>
        <filter val="44,26"/>
        <filter val="45,00"/>
        <filter val="47,84"/>
        <filter val="50,00"/>
        <filter val="530,00"/>
        <filter val="54,00"/>
        <filter val="56,00"/>
        <filter val="570,00"/>
        <filter val="58,94"/>
        <filter val="59,26"/>
        <filter val="60,00"/>
        <filter val="600,00"/>
        <filter val="620,00"/>
        <filter val="66,00"/>
        <filter val="670,00"/>
        <filter val="68,89"/>
        <filter val="70,00"/>
        <filter val="72,00"/>
        <filter val="75,09"/>
        <filter val="75,56"/>
        <filter val="80,00"/>
        <filter val="84,00"/>
        <filter val="85,00"/>
        <filter val="875,00"/>
        <filter val="88,00"/>
        <filter val="90,00"/>
        <filter val="91,67"/>
        <filter val="980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