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0C2E71-A7B5-4467-8C29-2978BD4DC82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Y539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N485" i="2"/>
  <c r="BM485" i="2"/>
  <c r="Z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Y481" i="2" s="1"/>
  <c r="P480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Y416" i="2" s="1"/>
  <c r="P412" i="2"/>
  <c r="X409" i="2"/>
  <c r="X408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Y397" i="2" s="1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Z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P222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Y200" i="2"/>
  <c r="BN200" i="2" s="1"/>
  <c r="P200" i="2"/>
  <c r="BO199" i="2"/>
  <c r="BM199" i="2"/>
  <c r="Y199" i="2"/>
  <c r="P199" i="2"/>
  <c r="X195" i="2"/>
  <c r="X194" i="2"/>
  <c r="BO193" i="2"/>
  <c r="BM193" i="2"/>
  <c r="Y193" i="2"/>
  <c r="BN193" i="2" s="1"/>
  <c r="P193" i="2"/>
  <c r="X191" i="2"/>
  <c r="Y190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P65" i="2" l="1"/>
  <c r="BN102" i="2"/>
  <c r="BN179" i="2"/>
  <c r="BN201" i="2"/>
  <c r="BN238" i="2"/>
  <c r="BN274" i="2"/>
  <c r="BN292" i="2"/>
  <c r="BN374" i="2"/>
  <c r="BN460" i="2"/>
  <c r="BN55" i="2"/>
  <c r="Z65" i="2"/>
  <c r="BN122" i="2"/>
  <c r="BN184" i="2"/>
  <c r="BN189" i="2"/>
  <c r="Y194" i="2"/>
  <c r="BN219" i="2"/>
  <c r="Z221" i="2"/>
  <c r="BN249" i="2"/>
  <c r="BN315" i="2"/>
  <c r="BN354" i="2"/>
  <c r="BP356" i="2"/>
  <c r="BN359" i="2"/>
  <c r="BN387" i="2"/>
  <c r="Z393" i="2"/>
  <c r="BN427" i="2"/>
  <c r="BN458" i="2"/>
  <c r="BN467" i="2"/>
  <c r="BP480" i="2"/>
  <c r="Y535" i="2"/>
  <c r="BN401" i="2"/>
  <c r="BN346" i="2"/>
  <c r="BN244" i="2"/>
  <c r="BN301" i="2"/>
  <c r="BP423" i="2"/>
  <c r="Z423" i="2"/>
  <c r="BN512" i="2"/>
  <c r="Z271" i="2"/>
  <c r="BP271" i="2"/>
  <c r="BN89" i="2"/>
  <c r="BN272" i="2"/>
  <c r="Y540" i="2"/>
  <c r="BP537" i="2"/>
  <c r="Z537" i="2"/>
  <c r="Z533" i="2"/>
  <c r="Z534" i="2" s="1"/>
  <c r="BP525" i="2"/>
  <c r="Z525" i="2"/>
  <c r="Z526" i="2" s="1"/>
  <c r="Z521" i="2"/>
  <c r="Z522" i="2" s="1"/>
  <c r="Y523" i="2"/>
  <c r="Y516" i="2"/>
  <c r="BN509" i="2"/>
  <c r="BN499" i="2"/>
  <c r="Z497" i="2"/>
  <c r="BN492" i="2"/>
  <c r="Y482" i="2"/>
  <c r="Y476" i="2"/>
  <c r="BN475" i="2"/>
  <c r="Y451" i="2"/>
  <c r="BN450" i="2"/>
  <c r="BN439" i="2"/>
  <c r="Z437" i="2"/>
  <c r="Y440" i="2"/>
  <c r="BN433" i="2"/>
  <c r="Z431" i="2"/>
  <c r="BP431" i="2"/>
  <c r="BN425" i="2"/>
  <c r="BP407" i="2"/>
  <c r="Y409" i="2"/>
  <c r="Z407" i="2"/>
  <c r="Y402" i="2"/>
  <c r="BN395" i="2"/>
  <c r="BP393" i="2"/>
  <c r="BN381" i="2"/>
  <c r="BN367" i="2"/>
  <c r="BP366" i="2"/>
  <c r="BN364" i="2"/>
  <c r="Z359" i="2"/>
  <c r="BN357" i="2"/>
  <c r="BN348" i="2"/>
  <c r="BN341" i="2"/>
  <c r="Z339" i="2"/>
  <c r="BP339" i="2"/>
  <c r="BN333" i="2"/>
  <c r="BP327" i="2"/>
  <c r="Z327" i="2"/>
  <c r="BN318" i="2"/>
  <c r="BN316" i="2"/>
  <c r="BN293" i="2"/>
  <c r="Z292" i="2"/>
  <c r="BP286" i="2"/>
  <c r="BP281" i="2"/>
  <c r="Z280" i="2"/>
  <c r="BN277" i="2"/>
  <c r="BP276" i="2"/>
  <c r="BP266" i="2"/>
  <c r="BP264" i="2"/>
  <c r="Z264" i="2"/>
  <c r="BN261" i="2"/>
  <c r="Y245" i="2"/>
  <c r="BN233" i="2"/>
  <c r="BN226" i="2"/>
  <c r="BN223" i="2"/>
  <c r="BP221" i="2"/>
  <c r="Z219" i="2"/>
  <c r="BN217" i="2"/>
  <c r="BN202" i="2"/>
  <c r="Z200" i="2"/>
  <c r="BP200" i="2"/>
  <c r="Z184" i="2"/>
  <c r="BN177" i="2"/>
  <c r="Z174" i="2"/>
  <c r="Y164" i="2"/>
  <c r="BN159" i="2"/>
  <c r="BP150" i="2"/>
  <c r="Z150" i="2"/>
  <c r="BN142" i="2"/>
  <c r="Y134" i="2"/>
  <c r="BP126" i="2"/>
  <c r="Z126" i="2"/>
  <c r="Z127" i="2" s="1"/>
  <c r="BP115" i="2"/>
  <c r="BN111" i="2"/>
  <c r="BP95" i="2"/>
  <c r="Z95" i="2"/>
  <c r="BP89" i="2"/>
  <c r="BN87" i="2"/>
  <c r="BN85" i="2"/>
  <c r="BP78" i="2"/>
  <c r="Z78" i="2"/>
  <c r="Z73" i="2"/>
  <c r="BP73" i="2"/>
  <c r="Z72" i="2"/>
  <c r="Z74" i="2" s="1"/>
  <c r="Y74" i="2"/>
  <c r="BP72" i="2"/>
  <c r="Y75" i="2"/>
  <c r="BN68" i="2"/>
  <c r="BN58" i="2"/>
  <c r="Y50" i="2"/>
  <c r="BN46" i="2"/>
  <c r="BN39" i="2"/>
  <c r="BP29" i="2"/>
  <c r="Z29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Z321" i="2" s="1"/>
  <c r="BN406" i="2"/>
  <c r="U556" i="2"/>
  <c r="Z406" i="2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Z186" i="2" s="1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Z402" i="2" s="1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Z69" i="2" s="1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Z396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434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Z328" i="2" s="1"/>
  <c r="Y350" i="2"/>
  <c r="Z380" i="2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Z539" i="2" s="1"/>
  <c r="X556" i="2"/>
  <c r="Z226" i="2"/>
  <c r="Z249" i="2"/>
  <c r="Z251" i="2" s="1"/>
  <c r="BN521" i="2"/>
  <c r="BN533" i="2"/>
  <c r="BN480" i="2"/>
  <c r="Z492" i="2"/>
  <c r="BN538" i="2"/>
  <c r="BP521" i="2"/>
  <c r="BP533" i="2"/>
  <c r="AB556" i="2"/>
  <c r="Z159" i="2"/>
  <c r="Z31" i="2" l="1"/>
  <c r="Z487" i="2"/>
  <c r="Z440" i="2"/>
  <c r="Z408" i="2"/>
  <c r="Z383" i="2"/>
  <c r="Z267" i="2"/>
  <c r="Z256" i="2"/>
  <c r="Z241" i="2"/>
  <c r="Z151" i="2"/>
  <c r="Z123" i="2"/>
  <c r="Z108" i="2"/>
  <c r="Z50" i="2"/>
  <c r="X549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<sst xmlns="http://schemas.openxmlformats.org/spreadsheetml/2006/main" count="4118" uniqueCount="871">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</sst>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870</v>
      </c>
      <c r="I5" s="631"/>
      <c r="J5" s="631"/>
      <c r="K5" s="631"/>
      <c r="L5" s="631"/>
      <c r="M5" s="631"/>
      <c r="N5" s="72"/>
      <c r="P5" s="27" t="s">
        <v>4</v>
      </c>
      <c r="Q5" s="633">
        <v>46312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852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Суббота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4.1666666666666664E-2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100</v>
      </c>
      <c r="Y46" s="55">
        <f>IFERROR(IF(X46="",0,CEILING((X46/$H46),1)*$H46),"")</f>
        <v>108</v>
      </c>
      <c r="Z46" s="41">
        <f>IFERROR(IF(Y46=0,"",ROUNDUP(Y46/H46,0)*0.01898),"")</f>
        <v>0.1898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103.79629629629629</v>
      </c>
      <c r="BN46" s="78">
        <f>IFERROR(Y46*I46/H46,"0")</f>
        <v>112.1</v>
      </c>
      <c r="BO46" s="78">
        <f>IFERROR(1/J46*(X46/H46),"0")</f>
        <v>0.14467592592592593</v>
      </c>
      <c r="BP46" s="78">
        <f>IFERROR(1/J46*(Y46/H46),"0")</f>
        <v>0.15625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140</v>
      </c>
      <c r="Y48" s="55">
        <f>IFERROR(IF(X48="",0,CEILING((X48/$H48),1)*$H48),"")</f>
        <v>140</v>
      </c>
      <c r="Z48" s="41">
        <f>IFERROR(IF(Y48=0,"",ROUNDUP(Y48/H48,0)*0.00902),"")</f>
        <v>0.31569999999999998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146.65</v>
      </c>
      <c r="BN48" s="78">
        <f>IFERROR(Y48*I48/H48,"0")</f>
        <v>146.65</v>
      </c>
      <c r="BO48" s="78">
        <f>IFERROR(1/J48*(X48/H48),"0")</f>
        <v>0.26515151515151514</v>
      </c>
      <c r="BP48" s="78">
        <f>IFERROR(1/J48*(Y48/H48),"0")</f>
        <v>0.26515151515151514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44.25925925925926</v>
      </c>
      <c r="Y50" s="43">
        <f>IFERROR(Y46/H46,"0")+IFERROR(Y47/H47,"0")+IFERROR(Y48/H48,"0")+IFERROR(Y49/H49,"0")</f>
        <v>45</v>
      </c>
      <c r="Z50" s="43">
        <f>IFERROR(IF(Z46="",0,Z46),"0")+IFERROR(IF(Z47="",0,Z47),"0")+IFERROR(IF(Z48="",0,Z48),"0")+IFERROR(IF(Z49="",0,Z49),"0")</f>
        <v>0.50549999999999995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240</v>
      </c>
      <c r="Y51" s="43">
        <f>IFERROR(SUM(Y46:Y49),"0")</f>
        <v>248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100</v>
      </c>
      <c r="Y55" s="55">
        <f t="shared" si="0"/>
        <v>108</v>
      </c>
      <c r="Z55" s="41">
        <f>IFERROR(IF(Y55=0,"",ROUNDUP(Y55/H55,0)*0.01898),"")</f>
        <v>0.1898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103.79629629629629</v>
      </c>
      <c r="BN55" s="78">
        <f t="shared" si="2"/>
        <v>112.1</v>
      </c>
      <c r="BO55" s="78">
        <f t="shared" si="3"/>
        <v>0.14467592592592593</v>
      </c>
      <c r="BP55" s="78">
        <f t="shared" si="4"/>
        <v>0.15625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225</v>
      </c>
      <c r="Y61" s="55">
        <f t="shared" si="0"/>
        <v>225</v>
      </c>
      <c r="Z61" s="41">
        <f>IFERROR(IF(Y61=0,"",ROUNDUP(Y61/H61,0)*0.00902),"")</f>
        <v>0.45100000000000001</v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234.5</v>
      </c>
      <c r="BN61" s="78">
        <f t="shared" si="2"/>
        <v>234.5</v>
      </c>
      <c r="BO61" s="78">
        <f t="shared" si="3"/>
        <v>0.37878787878787878</v>
      </c>
      <c r="BP61" s="78">
        <f t="shared" si="4"/>
        <v>0.37878787878787878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59.25925925925926</v>
      </c>
      <c r="Y62" s="43">
        <f>IFERROR(Y54/H54,"0")+IFERROR(Y55/H55,"0")+IFERROR(Y56/H56,"0")+IFERROR(Y57/H57,"0")+IFERROR(Y58/H58,"0")+IFERROR(Y59/H59,"0")+IFERROR(Y60/H60,"0")+IFERROR(Y61/H61,"0")</f>
        <v>60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0.64080000000000004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325</v>
      </c>
      <c r="Y63" s="43">
        <f>IFERROR(SUM(Y54:Y61),"0")</f>
        <v>333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33.333333333333329</v>
      </c>
      <c r="Y69" s="43">
        <f>IFERROR(Y65/H65,"0")+IFERROR(Y66/H66,"0")+IFERROR(Y67/H67,"0")+IFERROR(Y68/H68,"0")</f>
        <v>34</v>
      </c>
      <c r="Z69" s="43">
        <f>IFERROR(IF(Z65="",0,Z65),"0")+IFERROR(IF(Z66="",0,Z66),"0")+IFERROR(IF(Z67="",0,Z67),"0")+IFERROR(IF(Z68="",0,Z68),"0")</f>
        <v>0.22134000000000001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90</v>
      </c>
      <c r="Y70" s="43">
        <f>IFERROR(SUM(Y65:Y68),"0")</f>
        <v>91.800000000000011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60</v>
      </c>
      <c r="Y84" s="55">
        <f t="shared" ref="Y84:Y89" si="5">IFERROR(IF(X84="",0,CEILING((X84/$H84),1)*$H84),"")</f>
        <v>64.800000000000011</v>
      </c>
      <c r="Z84" s="41">
        <f>IFERROR(IF(Y84=0,"",ROUNDUP(Y84/H84,0)*0.01898),"")</f>
        <v>0.11388000000000001</v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62.277777777777779</v>
      </c>
      <c r="BN84" s="78">
        <f t="shared" ref="BN84:BN89" si="7">IFERROR(Y84*I84/H84,"0")</f>
        <v>67.260000000000005</v>
      </c>
      <c r="BO84" s="78">
        <f t="shared" ref="BO84:BO89" si="8">IFERROR(1/J84*(X84/H84),"0")</f>
        <v>8.6805555555555552E-2</v>
      </c>
      <c r="BP84" s="78">
        <f t="shared" ref="BP84:BP89" si="9">IFERROR(1/J84*(Y84/H84),"0")</f>
        <v>9.3750000000000014E-2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315</v>
      </c>
      <c r="Y89" s="55">
        <f t="shared" si="5"/>
        <v>315</v>
      </c>
      <c r="Z89" s="41">
        <f>IFERROR(IF(Y89=0,"",ROUNDUP(Y89/H89,0)*0.00902),"")</f>
        <v>0.63139999999999996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328.3</v>
      </c>
      <c r="BN89" s="78">
        <f t="shared" si="7"/>
        <v>328.3</v>
      </c>
      <c r="BO89" s="78">
        <f t="shared" si="8"/>
        <v>0.53030303030303028</v>
      </c>
      <c r="BP89" s="78">
        <f t="shared" si="9"/>
        <v>0.53030303030303028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75.555555555555557</v>
      </c>
      <c r="Y90" s="43">
        <f>IFERROR(Y84/H84,"0")+IFERROR(Y85/H85,"0")+IFERROR(Y86/H86,"0")+IFERROR(Y87/H87,"0")+IFERROR(Y88/H88,"0")+IFERROR(Y89/H89,"0")</f>
        <v>76</v>
      </c>
      <c r="Z90" s="43">
        <f>IFERROR(IF(Z84="",0,Z84),"0")+IFERROR(IF(Z85="",0,Z85),"0")+IFERROR(IF(Z86="",0,Z86),"0")+IFERROR(IF(Z87="",0,Z87),"0")+IFERROR(IF(Z88="",0,Z88),"0")+IFERROR(IF(Z89="",0,Z89),"0")</f>
        <v>0.74527999999999994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375</v>
      </c>
      <c r="Y91" s="43">
        <f>IFERROR(SUM(Y84:Y89),"0")</f>
        <v>379.8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150</v>
      </c>
      <c r="Y93" s="55">
        <f>IFERROR(IF(X93="",0,CEILING((X93/$H93),1)*$H93),"")</f>
        <v>153.9</v>
      </c>
      <c r="Z93" s="41">
        <f>IFERROR(IF(Y93=0,"",ROUNDUP(Y93/H93,0)*0.01898),"")</f>
        <v>0.36062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159.14814814814815</v>
      </c>
      <c r="BN93" s="78">
        <f>IFERROR(Y93*I93/H93,"0")</f>
        <v>163.286</v>
      </c>
      <c r="BO93" s="78">
        <f>IFERROR(1/J93*(X93/H93),"0")</f>
        <v>0.28935185185185186</v>
      </c>
      <c r="BP93" s="78">
        <f>IFERROR(1/J93*(Y93/H93),"0")</f>
        <v>0.296875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248</v>
      </c>
      <c r="Y95" s="55">
        <f>IFERROR(IF(X95="",0,CEILING((X95/$H95),1)*$H95),"")</f>
        <v>248.4</v>
      </c>
      <c r="Z95" s="41">
        <f>IFERROR(IF(Y95=0,"",ROUNDUP(Y95/H95,0)*0.00651),"")</f>
        <v>0.59892000000000001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271.14666666666665</v>
      </c>
      <c r="BN95" s="78">
        <f>IFERROR(Y95*I95/H95,"0")</f>
        <v>271.584</v>
      </c>
      <c r="BO95" s="78">
        <f>IFERROR(1/J95*(X95/H95),"0")</f>
        <v>0.50468050468050474</v>
      </c>
      <c r="BP95" s="78">
        <f>IFERROR(1/J95*(Y95/H95),"0")</f>
        <v>0.50549450549450559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110.37037037037037</v>
      </c>
      <c r="Y97" s="43">
        <f>IFERROR(Y93/H93,"0")+IFERROR(Y94/H94,"0")+IFERROR(Y95/H95,"0")+IFERROR(Y96/H96,"0")</f>
        <v>111</v>
      </c>
      <c r="Z97" s="43">
        <f>IFERROR(IF(Z93="",0,Z93),"0")+IFERROR(IF(Z94="",0,Z94),"0")+IFERROR(IF(Z95="",0,Z95),"0")+IFERROR(IF(Z96="",0,Z96),"0")</f>
        <v>0.95954000000000006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398</v>
      </c>
      <c r="Y98" s="43">
        <f>IFERROR(SUM(Y93:Y96),"0")</f>
        <v>402.3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315</v>
      </c>
      <c r="Y105" s="55">
        <f t="shared" si="10"/>
        <v>315</v>
      </c>
      <c r="Z105" s="41">
        <f>IFERROR(IF(Y105=0,"",ROUNDUP(Y105/H105,0)*0.00902),"")</f>
        <v>0.63139999999999996</v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328.3</v>
      </c>
      <c r="BN105" s="78">
        <f t="shared" si="12"/>
        <v>328.3</v>
      </c>
      <c r="BO105" s="78">
        <f t="shared" si="13"/>
        <v>0.53030303030303028</v>
      </c>
      <c r="BP105" s="78">
        <f t="shared" si="14"/>
        <v>0.53030303030303028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70</v>
      </c>
      <c r="Y108" s="43">
        <f>IFERROR(Y101/H101,"0")+IFERROR(Y102/H102,"0")+IFERROR(Y103/H103,"0")+IFERROR(Y104/H104,"0")+IFERROR(Y105/H105,"0")+IFERROR(Y106/H106,"0")+IFERROR(Y107/H107,"0")</f>
        <v>70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0.63139999999999996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315</v>
      </c>
      <c r="Y109" s="43">
        <f>IFERROR(SUM(Y101:Y107),"0")</f>
        <v>315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250</v>
      </c>
      <c r="Y119" s="55">
        <f>IFERROR(IF(X119="",0,CEILING((X119/$H119),1)*$H119),"")</f>
        <v>251.1</v>
      </c>
      <c r="Z119" s="41">
        <f>IFERROR(IF(Y119=0,"",ROUNDUP(Y119/H119,0)*0.01898),"")</f>
        <v>0.58838000000000001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265.06172839506172</v>
      </c>
      <c r="BN119" s="78">
        <f>IFERROR(Y119*I119/H119,"0")</f>
        <v>266.22799999999995</v>
      </c>
      <c r="BO119" s="78">
        <f>IFERROR(1/J119*(X119/H119),"0")</f>
        <v>0.48225308641975312</v>
      </c>
      <c r="BP119" s="78">
        <f>IFERROR(1/J119*(Y119/H119),"0")</f>
        <v>0.484375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360</v>
      </c>
      <c r="Y121" s="55">
        <f>IFERROR(IF(X121="",0,CEILING((X121/$H121),1)*$H121),"")</f>
        <v>361.8</v>
      </c>
      <c r="Z121" s="41">
        <f>IFERROR(IF(Y121=0,"",ROUNDUP(Y121/H121,0)*0.00651),"")</f>
        <v>0.87234</v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393.59999999999997</v>
      </c>
      <c r="BN121" s="78">
        <f>IFERROR(Y121*I121/H121,"0")</f>
        <v>395.56799999999998</v>
      </c>
      <c r="BO121" s="78">
        <f>IFERROR(1/J121*(X121/H121),"0")</f>
        <v>0.73260073260073255</v>
      </c>
      <c r="BP121" s="78">
        <f>IFERROR(1/J121*(Y121/H121),"0")</f>
        <v>0.73626373626373631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164.19753086419752</v>
      </c>
      <c r="Y123" s="43">
        <f>IFERROR(Y119/H119,"0")+IFERROR(Y120/H120,"0")+IFERROR(Y121/H121,"0")+IFERROR(Y122/H122,"0")</f>
        <v>165</v>
      </c>
      <c r="Z123" s="43">
        <f>IFERROR(IF(Z119="",0,Z119),"0")+IFERROR(IF(Z120="",0,Z120),"0")+IFERROR(IF(Z121="",0,Z121),"0")+IFERROR(IF(Z122="",0,Z122),"0")</f>
        <v>1.46072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610</v>
      </c>
      <c r="Y124" s="43">
        <f>IFERROR(SUM(Y119:Y122),"0")</f>
        <v>612.9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23</v>
      </c>
      <c r="Y126" s="55">
        <f>IFERROR(IF(X126="",0,CEILING((X126/$H126),1)*$H126),"")</f>
        <v>23.759999999999998</v>
      </c>
      <c r="Z126" s="41">
        <f>IFERROR(IF(Y126=0,"",ROUNDUP(Y126/H126,0)*0.00651),"")</f>
        <v>7.8119999999999995E-2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25.996969696969696</v>
      </c>
      <c r="BN126" s="78">
        <f>IFERROR(Y126*I126/H126,"0")</f>
        <v>26.855999999999998</v>
      </c>
      <c r="BO126" s="78">
        <f>IFERROR(1/J126*(X126/H126),"0")</f>
        <v>6.3825063825063824E-2</v>
      </c>
      <c r="BP126" s="78">
        <f>IFERROR(1/J126*(Y126/H126),"0")</f>
        <v>6.5934065934065936E-2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11.616161616161616</v>
      </c>
      <c r="Y127" s="43">
        <f>IFERROR(Y126/H126,"0")</f>
        <v>11.999999999999998</v>
      </c>
      <c r="Z127" s="43">
        <f>IFERROR(IF(Z126="",0,Z126),"0")</f>
        <v>7.8119999999999995E-2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23</v>
      </c>
      <c r="Y128" s="43">
        <f>IFERROR(SUM(Y126:Y126),"0")</f>
        <v>23.759999999999998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40</v>
      </c>
      <c r="Y132" s="55">
        <f>IFERROR(IF(X132="",0,CEILING((X132/$H132),1)*$H132),"")</f>
        <v>41.6</v>
      </c>
      <c r="Z132" s="41">
        <f>IFERROR(IF(Y132=0,"",ROUNDUP(Y132/H132,0)*0.00651),"")</f>
        <v>8.4629999999999997E-2</v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42.249999999999993</v>
      </c>
      <c r="BN132" s="78">
        <f>IFERROR(Y132*I132/H132,"0")</f>
        <v>43.94</v>
      </c>
      <c r="BO132" s="78">
        <f>IFERROR(1/J132*(X132/H132),"0")</f>
        <v>6.8681318681318687E-2</v>
      </c>
      <c r="BP132" s="78">
        <f>IFERROR(1/J132*(Y132/H132),"0")</f>
        <v>7.1428571428571438E-2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12.5</v>
      </c>
      <c r="Y133" s="43">
        <f>IFERROR(Y131/H131,"0")+IFERROR(Y132/H132,"0")</f>
        <v>13</v>
      </c>
      <c r="Z133" s="43">
        <f>IFERROR(IF(Z131="",0,Z131),"0")+IFERROR(IF(Z132="",0,Z132),"0")</f>
        <v>8.4629999999999997E-2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40</v>
      </c>
      <c r="Y134" s="43">
        <f>IFERROR(SUM(Y131:Y132),"0")</f>
        <v>41.6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38</v>
      </c>
      <c r="Y136" s="55">
        <f>IFERROR(IF(X136="",0,CEILING((X136/$H136),1)*$H136),"")</f>
        <v>39.199999999999996</v>
      </c>
      <c r="Z136" s="41">
        <f>IFERROR(IF(Y136=0,"",ROUNDUP(Y136/H136,0)*0.00651),"")</f>
        <v>9.1139999999999999E-2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41.637142857142862</v>
      </c>
      <c r="BN136" s="78">
        <f>IFERROR(Y136*I136/H136,"0")</f>
        <v>42.951999999999998</v>
      </c>
      <c r="BO136" s="78">
        <f>IFERROR(1/J136*(X136/H136),"0")</f>
        <v>7.4568288854003156E-2</v>
      </c>
      <c r="BP136" s="78">
        <f>IFERROR(1/J136*(Y136/H136),"0")</f>
        <v>7.6923076923076927E-2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13.571428571428573</v>
      </c>
      <c r="Y138" s="43">
        <f>IFERROR(Y136/H136,"0")+IFERROR(Y137/H137,"0")</f>
        <v>14</v>
      </c>
      <c r="Z138" s="43">
        <f>IFERROR(IF(Z136="",0,Z136),"0")+IFERROR(IF(Z137="",0,Z137),"0")</f>
        <v>9.1139999999999999E-2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38</v>
      </c>
      <c r="Y139" s="43">
        <f>IFERROR(SUM(Y136:Y137),"0")</f>
        <v>39.199999999999996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53</v>
      </c>
      <c r="Y141" s="55">
        <f>IFERROR(IF(X141="",0,CEILING((X141/$H141),1)*$H141),"")</f>
        <v>55.440000000000005</v>
      </c>
      <c r="Z141" s="41">
        <f>IFERROR(IF(Y141=0,"",ROUNDUP(Y141/H141,0)*0.00651),"")</f>
        <v>0.13671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58.380303030303025</v>
      </c>
      <c r="BN141" s="78">
        <f>IFERROR(Y141*I141/H141,"0")</f>
        <v>61.068000000000005</v>
      </c>
      <c r="BO141" s="78">
        <f>IFERROR(1/J141*(X141/H141),"0")</f>
        <v>0.1103063603063603</v>
      </c>
      <c r="BP141" s="78">
        <f>IFERROR(1/J141*(Y141/H141),"0")</f>
        <v>0.11538461538461539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20.075757575757574</v>
      </c>
      <c r="Y143" s="43">
        <f>IFERROR(Y141/H141,"0")+IFERROR(Y142/H142,"0")</f>
        <v>21</v>
      </c>
      <c r="Z143" s="43">
        <f>IFERROR(IF(Z141="",0,Z141),"0")+IFERROR(IF(Z142="",0,Z142),"0")</f>
        <v>0.13671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53</v>
      </c>
      <c r="Y144" s="43">
        <f>IFERROR(SUM(Y141:Y142),"0")</f>
        <v>55.440000000000005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6</v>
      </c>
      <c r="Y166" s="55">
        <f>IFERROR(IF(X166="",0,CEILING((X166/$H166),1)*$H166),"")</f>
        <v>6.4799999999999995</v>
      </c>
      <c r="Z166" s="41">
        <f>IFERROR(IF(Y166=0,"",ROUNDUP(Y166/H166,0)*0.00556),"")</f>
        <v>5.0040000000000001E-2</v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7.083333333333333</v>
      </c>
      <c r="BN166" s="78">
        <f>IFERROR(Y166*I166/H166,"0")</f>
        <v>7.6499999999999995</v>
      </c>
      <c r="BO166" s="78">
        <f>IFERROR(1/J166*(X166/H166),"0")</f>
        <v>3.3068783068783067E-2</v>
      </c>
      <c r="BP166" s="78">
        <f>IFERROR(1/J166*(Y166/H166),"0")</f>
        <v>3.5714285714285712E-2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8.3333333333333339</v>
      </c>
      <c r="Y168" s="43">
        <f>IFERROR(Y166/H166,"0")+IFERROR(Y167/H167,"0")</f>
        <v>9</v>
      </c>
      <c r="Z168" s="43">
        <f>IFERROR(IF(Z166="",0,Z166),"0")+IFERROR(IF(Z167="",0,Z167),"0")</f>
        <v>5.0040000000000001E-2</v>
      </c>
      <c r="AA168" s="67"/>
      <c r="AB168" s="67"/>
      <c r="AC168" s="67"/>
    </row>
    <row r="169" spans="1:68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6</v>
      </c>
      <c r="Y169" s="43">
        <f>IFERROR(SUM(Y166:Y167),"0")</f>
        <v>6.4799999999999995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500</v>
      </c>
      <c r="Y171" s="55">
        <f t="shared" ref="Y171:Y180" si="15">IFERROR(IF(X171="",0,CEILING((X171/$H171),1)*$H171),"")</f>
        <v>500.5</v>
      </c>
      <c r="Z171" s="41">
        <f>IFERROR(IF(Y171=0,"",ROUNDUP(Y171/H171,0)*0.00902),"")</f>
        <v>1.28986</v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527.14285714285711</v>
      </c>
      <c r="BN171" s="78">
        <f t="shared" ref="BN171:BN180" si="17">IFERROR(Y171*I171/H171,"0")</f>
        <v>527.66999999999996</v>
      </c>
      <c r="BO171" s="78">
        <f t="shared" ref="BO171:BO180" si="18">IFERROR(1/J171*(X171/H171),"0")</f>
        <v>1.0822510822510822</v>
      </c>
      <c r="BP171" s="78">
        <f t="shared" ref="BP171:BP180" si="19">IFERROR(1/J171*(Y171/H171),"0")</f>
        <v>1.0833333333333333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500</v>
      </c>
      <c r="Y173" s="55">
        <f t="shared" si="15"/>
        <v>500.5</v>
      </c>
      <c r="Z173" s="41">
        <f>IFERROR(IF(Y173=0,"",ROUNDUP(Y173/H173,0)*0.00902),"")</f>
        <v>1.28986</v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527.14285714285711</v>
      </c>
      <c r="BN173" s="78">
        <f t="shared" si="17"/>
        <v>527.66999999999996</v>
      </c>
      <c r="BO173" s="78">
        <f t="shared" si="18"/>
        <v>1.0822510822510822</v>
      </c>
      <c r="BP173" s="78">
        <f t="shared" si="19"/>
        <v>1.0833333333333333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350</v>
      </c>
      <c r="Y174" s="55">
        <f t="shared" si="15"/>
        <v>350</v>
      </c>
      <c r="Z174" s="41">
        <f>IFERROR(IF(Y174=0,"",ROUNDUP(Y174/H174,0)*0.00902),"")</f>
        <v>0.90200000000000002</v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369</v>
      </c>
      <c r="BN174" s="78">
        <f t="shared" si="17"/>
        <v>369</v>
      </c>
      <c r="BO174" s="78">
        <f t="shared" si="18"/>
        <v>0.75757575757575757</v>
      </c>
      <c r="BP174" s="78">
        <f t="shared" si="19"/>
        <v>0.75757575757575757</v>
      </c>
    </row>
    <row r="175" spans="1:68" ht="16.5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9</v>
      </c>
      <c r="Y175" s="55">
        <f t="shared" si="15"/>
        <v>9</v>
      </c>
      <c r="Z175" s="41">
        <f>IFERROR(IF(Y175=0,"",ROUNDUP(Y175/H175,0)*0.00726),"")</f>
        <v>7.2599999999999998E-2</v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11.1</v>
      </c>
      <c r="BN175" s="78">
        <f t="shared" si="17"/>
        <v>11.1</v>
      </c>
      <c r="BO175" s="78">
        <f t="shared" si="18"/>
        <v>5.2083333333333329E-2</v>
      </c>
      <c r="BP175" s="78">
        <f t="shared" si="19"/>
        <v>5.2083333333333329E-2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280</v>
      </c>
      <c r="Y176" s="55">
        <f t="shared" si="15"/>
        <v>280.56</v>
      </c>
      <c r="Z176" s="41">
        <f>IFERROR(IF(Y176=0,"",ROUNDUP(Y176/H176,0)*0.00502),"")</f>
        <v>0.83833999999999997</v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296.66666666666669</v>
      </c>
      <c r="BN176" s="78">
        <f t="shared" si="17"/>
        <v>297.26</v>
      </c>
      <c r="BO176" s="78">
        <f t="shared" si="18"/>
        <v>0.71225071225071246</v>
      </c>
      <c r="BP176" s="78">
        <f t="shared" si="19"/>
        <v>0.71367521367521369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196</v>
      </c>
      <c r="Y178" s="55">
        <f t="shared" si="15"/>
        <v>196.56</v>
      </c>
      <c r="Z178" s="41">
        <f>IFERROR(IF(Y178=0,"",ROUNDUP(Y178/H178,0)*0.00502),"")</f>
        <v>0.58733999999999997</v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207.66666666666669</v>
      </c>
      <c r="BN178" s="78">
        <f t="shared" si="17"/>
        <v>208.26000000000002</v>
      </c>
      <c r="BO178" s="78">
        <f t="shared" si="18"/>
        <v>0.49857549857549865</v>
      </c>
      <c r="BP178" s="78">
        <f t="shared" si="19"/>
        <v>0.5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140</v>
      </c>
      <c r="Y180" s="55">
        <f t="shared" si="15"/>
        <v>141.12</v>
      </c>
      <c r="Z180" s="41">
        <f>IFERROR(IF(Y180=0,"",ROUNDUP(Y180/H180,0)*0.00502),"")</f>
        <v>0.42168</v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148.33333333333334</v>
      </c>
      <c r="BN180" s="78">
        <f t="shared" si="17"/>
        <v>149.52000000000001</v>
      </c>
      <c r="BO180" s="78">
        <f t="shared" si="18"/>
        <v>0.35612535612535623</v>
      </c>
      <c r="BP180" s="78">
        <f t="shared" si="19"/>
        <v>0.35897435897435903</v>
      </c>
    </row>
    <row r="181" spans="1:68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762.38095238095241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764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5.4016800000000007</v>
      </c>
      <c r="AA181" s="67"/>
      <c r="AB181" s="67"/>
      <c r="AC181" s="67"/>
    </row>
    <row r="182" spans="1:68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1975</v>
      </c>
      <c r="Y182" s="43">
        <f>IFERROR(SUM(Y171:Y180),"0")</f>
        <v>1978.2399999999998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20</v>
      </c>
      <c r="Y215" s="55">
        <f t="shared" si="26"/>
        <v>21</v>
      </c>
      <c r="Z215" s="41">
        <f>IFERROR(IF(Y215=0,"",ROUNDUP(Y215/H215,0)*0.00902),"")</f>
        <v>4.5100000000000001E-2</v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21.19047619047619</v>
      </c>
      <c r="BN215" s="78">
        <f t="shared" si="28"/>
        <v>22.25</v>
      </c>
      <c r="BO215" s="78">
        <f t="shared" si="29"/>
        <v>3.6075036075036072E-2</v>
      </c>
      <c r="BP215" s="78">
        <f t="shared" si="30"/>
        <v>3.787878787878788E-2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60</v>
      </c>
      <c r="Y216" s="55">
        <f t="shared" si="26"/>
        <v>63</v>
      </c>
      <c r="Z216" s="41">
        <f>IFERROR(IF(Y216=0,"",ROUNDUP(Y216/H216,0)*0.00902),"")</f>
        <v>0.1353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62.714285714285708</v>
      </c>
      <c r="BN216" s="78">
        <f t="shared" si="28"/>
        <v>65.849999999999994</v>
      </c>
      <c r="BO216" s="78">
        <f t="shared" si="29"/>
        <v>0.10822510822510822</v>
      </c>
      <c r="BP216" s="78">
        <f t="shared" si="30"/>
        <v>0.11363636363636365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8</v>
      </c>
      <c r="Y217" s="55">
        <f t="shared" si="26"/>
        <v>8</v>
      </c>
      <c r="Z217" s="41">
        <f>IFERROR(IF(Y217=0,"",ROUNDUP(Y217/H217,0)*0.00556),"")</f>
        <v>5.5599999999999997E-2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9.3000000000000007</v>
      </c>
      <c r="BN217" s="78">
        <f t="shared" si="28"/>
        <v>9.3000000000000007</v>
      </c>
      <c r="BO217" s="78">
        <f t="shared" si="29"/>
        <v>3.968253968253968E-2</v>
      </c>
      <c r="BP217" s="78">
        <f t="shared" si="30"/>
        <v>3.968253968253968E-2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26"/>
        <v>71.400000000000006</v>
      </c>
      <c r="Z218" s="41">
        <f>IFERROR(IF(Y218=0,"",ROUNDUP(Y218/H218,0)*0.00502),"")</f>
        <v>0.17068</v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74.333333333333329</v>
      </c>
      <c r="BN218" s="78">
        <f t="shared" si="28"/>
        <v>75.820000000000007</v>
      </c>
      <c r="BO218" s="78">
        <f t="shared" si="29"/>
        <v>0.14245014245014245</v>
      </c>
      <c r="BP218" s="78">
        <f t="shared" si="30"/>
        <v>0.14529914529914531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88</v>
      </c>
      <c r="Y220" s="55">
        <f t="shared" si="26"/>
        <v>88.2</v>
      </c>
      <c r="Z220" s="41">
        <f>IFERROR(IF(Y220=0,"",ROUNDUP(Y220/H220,0)*0.00502),"")</f>
        <v>0.21084</v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93.447619047619042</v>
      </c>
      <c r="BN220" s="78">
        <f t="shared" si="28"/>
        <v>93.66</v>
      </c>
      <c r="BO220" s="78">
        <f t="shared" si="29"/>
        <v>0.17908017908017909</v>
      </c>
      <c r="BP220" s="78">
        <f t="shared" si="30"/>
        <v>0.17948717948717952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8</v>
      </c>
      <c r="Y223" s="55">
        <f t="shared" si="26"/>
        <v>8</v>
      </c>
      <c r="Z223" s="41">
        <f>IFERROR(IF(Y223=0,"",ROUNDUP(Y223/H223,0)*0.00417),"")</f>
        <v>4.1700000000000001E-2</v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10.1</v>
      </c>
      <c r="BN223" s="78">
        <f t="shared" si="28"/>
        <v>10.1</v>
      </c>
      <c r="BO223" s="78">
        <f t="shared" si="29"/>
        <v>2.976190476190476E-2</v>
      </c>
      <c r="BP223" s="78">
        <f t="shared" si="30"/>
        <v>2.976190476190476E-2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105</v>
      </c>
      <c r="Y224" s="55">
        <f t="shared" si="26"/>
        <v>105</v>
      </c>
      <c r="Z224" s="41">
        <f>IFERROR(IF(Y224=0,"",ROUNDUP(Y224/H224,0)*0.00502),"")</f>
        <v>0.251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110.00000000000001</v>
      </c>
      <c r="BN224" s="78">
        <f t="shared" si="28"/>
        <v>110.00000000000001</v>
      </c>
      <c r="BO224" s="78">
        <f t="shared" si="29"/>
        <v>0.21367521367521369</v>
      </c>
      <c r="BP224" s="78">
        <f t="shared" si="30"/>
        <v>0.21367521367521369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164.28571428571428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166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0.91021999999999992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359</v>
      </c>
      <c r="Y228" s="43">
        <f>IFERROR(SUM(Y214:Y226),"0")</f>
        <v>364.6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7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2.5720164609053495E-2</v>
      </c>
      <c r="BP238" s="78">
        <f>IFERROR(1/J238*(Y238/H238),"0")</f>
        <v>2.7777777777777776E-2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7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2.5720164609053495E-2</v>
      </c>
      <c r="BP239" s="78">
        <f>IFERROR(1/J239*(Y239/H239),"0")</f>
        <v>2.7777777777777776E-2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7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2.5720164609053495E-2</v>
      </c>
      <c r="BP240" s="78">
        <f>IFERROR(1/J240*(Y240/H240),"0")</f>
        <v>2.7777777777777776E-2</v>
      </c>
    </row>
    <row r="241" spans="1:68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16.666666666666664</v>
      </c>
      <c r="Y241" s="43">
        <f>IFERROR(Y238/H238,"0")+IFERROR(Y239/H239,"0")+IFERROR(Y240/H240,"0")</f>
        <v>18</v>
      </c>
      <c r="Z241" s="43">
        <f>IFERROR(IF(Z238="",0,Z238),"0")+IFERROR(IF(Z239="",0,Z239),"0")+IFERROR(IF(Z240="",0,Z240),"0")</f>
        <v>0.1062</v>
      </c>
      <c r="AA241" s="67"/>
      <c r="AB241" s="67"/>
      <c r="AC241" s="67"/>
    </row>
    <row r="242" spans="1:68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21</v>
      </c>
      <c r="Y242" s="43">
        <f>IFERROR(SUM(Y238:Y240),"0")</f>
        <v>22.68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5.5555555555555554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7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31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310.55555555555554</v>
      </c>
      <c r="BN259" s="78">
        <f t="shared" ref="BN259:BN266" si="33">IFERROR(Y259*I259/H259,"0")</f>
        <v>313.04000000000002</v>
      </c>
      <c r="BO259" s="78">
        <f t="shared" ref="BO259:BO266" si="34">IFERROR(1/J259*(X259/H259),"0")</f>
        <v>0.42087542087542085</v>
      </c>
      <c r="BP259" s="78">
        <f t="shared" ref="BP259:BP266" si="35">IFERROR(1/J259*(Y259/H259),"0")</f>
        <v>0.42424242424242425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30</v>
      </c>
      <c r="Y260" s="55">
        <f t="shared" si="31"/>
        <v>32.400000000000006</v>
      </c>
      <c r="Z260" s="41">
        <f>IFERROR(IF(Y260=0,"",ROUNDUP(Y260/H260,0)*0.00902),"")</f>
        <v>5.4120000000000001E-2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31.05555555555555</v>
      </c>
      <c r="BN260" s="78">
        <f t="shared" si="33"/>
        <v>33.54</v>
      </c>
      <c r="BO260" s="78">
        <f t="shared" si="34"/>
        <v>4.208754208754209E-2</v>
      </c>
      <c r="BP260" s="78">
        <f t="shared" si="35"/>
        <v>4.5454545454545463E-2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200</v>
      </c>
      <c r="Y261" s="55">
        <f t="shared" si="31"/>
        <v>205.20000000000002</v>
      </c>
      <c r="Z261" s="41">
        <f>IFERROR(IF(Y261=0,"",ROUNDUP(Y261/H261,0)*0.00902),"")</f>
        <v>0.34276000000000001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207.03703703703701</v>
      </c>
      <c r="BN261" s="78">
        <f t="shared" si="33"/>
        <v>212.42</v>
      </c>
      <c r="BO261" s="78">
        <f t="shared" si="34"/>
        <v>0.28058361391694725</v>
      </c>
      <c r="BP261" s="78">
        <f t="shared" si="35"/>
        <v>0.2878787878787879</v>
      </c>
    </row>
    <row r="262" spans="1:68" ht="27" hidden="1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150</v>
      </c>
      <c r="Y263" s="55">
        <f t="shared" si="31"/>
        <v>151.20000000000002</v>
      </c>
      <c r="Z263" s="41">
        <f>IFERROR(IF(Y263=0,"",ROUNDUP(Y263/H263,0)*0.00502),"")</f>
        <v>0.42168</v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160.83333333333334</v>
      </c>
      <c r="BN263" s="78">
        <f t="shared" si="33"/>
        <v>162.12</v>
      </c>
      <c r="BO263" s="78">
        <f t="shared" si="34"/>
        <v>0.35612535612535612</v>
      </c>
      <c r="BP263" s="78">
        <f t="shared" si="35"/>
        <v>0.35897435897435909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60</v>
      </c>
      <c r="Y264" s="55">
        <f t="shared" si="31"/>
        <v>61.2</v>
      </c>
      <c r="Z264" s="41">
        <f>IFERROR(IF(Y264=0,"",ROUNDUP(Y264/H264,0)*0.00502),"")</f>
        <v>0.17068</v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63.333333333333329</v>
      </c>
      <c r="BN264" s="78">
        <f t="shared" si="33"/>
        <v>64.599999999999994</v>
      </c>
      <c r="BO264" s="78">
        <f t="shared" si="34"/>
        <v>0.14245014245014248</v>
      </c>
      <c r="BP264" s="78">
        <f t="shared" si="35"/>
        <v>0.14529914529914531</v>
      </c>
    </row>
    <row r="265" spans="1:68" ht="27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60</v>
      </c>
      <c r="Y265" s="55">
        <f t="shared" si="31"/>
        <v>61.2</v>
      </c>
      <c r="Z265" s="41">
        <f>IFERROR(IF(Y265=0,"",ROUNDUP(Y265/H265,0)*0.00502),"")</f>
        <v>0.17068</v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63.333333333333329</v>
      </c>
      <c r="BN265" s="78">
        <f t="shared" si="33"/>
        <v>64.599999999999994</v>
      </c>
      <c r="BO265" s="78">
        <f t="shared" si="34"/>
        <v>0.14245014245014248</v>
      </c>
      <c r="BP265" s="78">
        <f t="shared" si="35"/>
        <v>0.14529914529914531</v>
      </c>
    </row>
    <row r="266" spans="1:68" ht="27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30</v>
      </c>
      <c r="Y266" s="55">
        <f t="shared" si="31"/>
        <v>30.6</v>
      </c>
      <c r="Z266" s="41">
        <f>IFERROR(IF(Y266=0,"",ROUNDUP(Y266/H266,0)*0.00502),"")</f>
        <v>8.5339999999999999E-2</v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31.666666666666664</v>
      </c>
      <c r="BN266" s="78">
        <f t="shared" si="33"/>
        <v>32.299999999999997</v>
      </c>
      <c r="BO266" s="78">
        <f t="shared" si="34"/>
        <v>7.122507122507124E-2</v>
      </c>
      <c r="BP266" s="78">
        <f t="shared" si="35"/>
        <v>7.2649572649572655E-2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264.81481481481484</v>
      </c>
      <c r="Y267" s="43">
        <f>IFERROR(Y259/H259,"0")+IFERROR(Y260/H260,"0")+IFERROR(Y261/H261,"0")+IFERROR(Y262/H262,"0")+IFERROR(Y263/H263,"0")+IFERROR(Y264/H264,"0")+IFERROR(Y265/H265,"0")+IFERROR(Y266/H266,"0")</f>
        <v>269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1.7503799999999998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830</v>
      </c>
      <c r="Y268" s="43">
        <f>IFERROR(SUM(Y259:Y266),"0")</f>
        <v>844.20000000000027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200</v>
      </c>
      <c r="Y270" s="55">
        <f t="shared" ref="Y270:Y281" si="36">IFERROR(IF(X270="",0,CEILING((X270/$H270),1)*$H270),"")</f>
        <v>202.5</v>
      </c>
      <c r="Z270" s="41">
        <f>IFERROR(IF(Y270=0,"",ROUNDUP(Y270/H270,0)*0.01898),"")</f>
        <v>0.47450000000000003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212.19753086419755</v>
      </c>
      <c r="BN270" s="78">
        <f t="shared" ref="BN270:BN281" si="38">IFERROR(Y270*I270/H270,"0")</f>
        <v>214.85</v>
      </c>
      <c r="BO270" s="78">
        <f t="shared" ref="BO270:BO281" si="39">IFERROR(1/J270*(X270/H270),"0")</f>
        <v>0.38580246913580246</v>
      </c>
      <c r="BP270" s="78">
        <f t="shared" ref="BP270:BP281" si="40">IFERROR(1/J270*(Y270/H270),"0")</f>
        <v>0.390625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50</v>
      </c>
      <c r="Y271" s="55">
        <f t="shared" si="36"/>
        <v>56.699999999999996</v>
      </c>
      <c r="Z271" s="41">
        <f>IFERROR(IF(Y271=0,"",ROUNDUP(Y271/H271,0)*0.01898),"")</f>
        <v>0.13286000000000001</v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52.938271604938272</v>
      </c>
      <c r="BN271" s="78">
        <f t="shared" si="38"/>
        <v>60.031999999999996</v>
      </c>
      <c r="BO271" s="78">
        <f t="shared" si="39"/>
        <v>9.6450617283950615E-2</v>
      </c>
      <c r="BP271" s="78">
        <f t="shared" si="40"/>
        <v>0.109375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50</v>
      </c>
      <c r="Y272" s="55">
        <f t="shared" si="36"/>
        <v>52.199999999999996</v>
      </c>
      <c r="Z272" s="41">
        <f>IFERROR(IF(Y272=0,"",ROUNDUP(Y272/H272,0)*0.01898),"")</f>
        <v>0.11388000000000001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52.839080459770123</v>
      </c>
      <c r="BN272" s="78">
        <f t="shared" si="38"/>
        <v>55.164000000000009</v>
      </c>
      <c r="BO272" s="78">
        <f t="shared" si="39"/>
        <v>8.9798850574712652E-2</v>
      </c>
      <c r="BP272" s="78">
        <f t="shared" si="40"/>
        <v>9.375E-2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280</v>
      </c>
      <c r="Y273" s="55">
        <f t="shared" si="36"/>
        <v>280.8</v>
      </c>
      <c r="Z273" s="41">
        <f>IFERROR(IF(Y273=0,"",ROUNDUP(Y273/H273,0)*0.00651),"")</f>
        <v>0.76167000000000007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311.5</v>
      </c>
      <c r="BN273" s="78">
        <f t="shared" si="38"/>
        <v>312.39</v>
      </c>
      <c r="BO273" s="78">
        <f t="shared" si="39"/>
        <v>0.64102564102564108</v>
      </c>
      <c r="BP273" s="78">
        <f t="shared" si="40"/>
        <v>0.64285714285714302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200</v>
      </c>
      <c r="Y276" s="55">
        <f t="shared" si="36"/>
        <v>201.6</v>
      </c>
      <c r="Z276" s="41">
        <f>IFERROR(IF(Y276=0,"",ROUNDUP(Y276/H276,0)*0.00651),"")</f>
        <v>0.54683999999999999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221</v>
      </c>
      <c r="BN276" s="78">
        <f t="shared" si="38"/>
        <v>222.768</v>
      </c>
      <c r="BO276" s="78">
        <f t="shared" si="39"/>
        <v>0.45787545787545797</v>
      </c>
      <c r="BP276" s="78">
        <f t="shared" si="40"/>
        <v>0.46153846153846156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40</v>
      </c>
      <c r="Y279" s="55">
        <f t="shared" si="36"/>
        <v>40.799999999999997</v>
      </c>
      <c r="Z279" s="41">
        <f>IFERROR(IF(Y279=0,"",ROUNDUP(Y279/H279,0)*0.00651),"")</f>
        <v>0.11067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44.20000000000001</v>
      </c>
      <c r="BN279" s="78">
        <f t="shared" si="38"/>
        <v>45.084000000000003</v>
      </c>
      <c r="BO279" s="78">
        <f t="shared" si="39"/>
        <v>9.1575091575091583E-2</v>
      </c>
      <c r="BP279" s="78">
        <f t="shared" si="40"/>
        <v>9.3406593406593408E-2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160</v>
      </c>
      <c r="Y280" s="55">
        <f t="shared" si="36"/>
        <v>160.79999999999998</v>
      </c>
      <c r="Z280" s="41">
        <f>IFERROR(IF(Y280=0,"",ROUNDUP(Y280/H280,0)*0.00651),"")</f>
        <v>0.43617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177.2</v>
      </c>
      <c r="BN280" s="78">
        <f t="shared" si="38"/>
        <v>178.08599999999998</v>
      </c>
      <c r="BO280" s="78">
        <f t="shared" si="39"/>
        <v>0.36630036630036633</v>
      </c>
      <c r="BP280" s="78">
        <f t="shared" si="40"/>
        <v>0.36813186813186816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319.94465730097915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323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2.5765899999999999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980</v>
      </c>
      <c r="Y283" s="43">
        <f>IFERROR(SUM(Y270:Y281),"0")</f>
        <v>995.4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24</v>
      </c>
      <c r="Y285" s="55">
        <f>IFERROR(IF(X285="",0,CEILING((X285/$H285),1)*$H285),"")</f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26.520000000000003</v>
      </c>
      <c r="BN285" s="78">
        <f>IFERROR(Y285*I285/H285,"0")</f>
        <v>26.520000000000003</v>
      </c>
      <c r="BO285" s="78">
        <f>IFERROR(1/J285*(X285/H285),"0")</f>
        <v>5.4945054945054951E-2</v>
      </c>
      <c r="BP285" s="78">
        <f>IFERROR(1/J285*(Y285/H285),"0")</f>
        <v>5.4945054945054951E-2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60</v>
      </c>
      <c r="Y286" s="55">
        <f>IFERROR(IF(X286="",0,CEILING((X286/$H286),1)*$H286),"")</f>
        <v>60</v>
      </c>
      <c r="Z286" s="41">
        <f>IFERROR(IF(Y286=0,"",ROUNDUP(Y286/H286,0)*0.00651),"")</f>
        <v>0.16275000000000001</v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66.300000000000011</v>
      </c>
      <c r="BN286" s="78">
        <f>IFERROR(Y286*I286/H286,"0")</f>
        <v>66.300000000000011</v>
      </c>
      <c r="BO286" s="78">
        <f>IFERROR(1/J286*(X286/H286),"0")</f>
        <v>0.13736263736263737</v>
      </c>
      <c r="BP286" s="78">
        <f>IFERROR(1/J286*(Y286/H286),"0")</f>
        <v>0.13736263736263737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35</v>
      </c>
      <c r="Y287" s="43">
        <f>IFERROR(Y285/H285,"0")+IFERROR(Y286/H286,"0")</f>
        <v>35</v>
      </c>
      <c r="Z287" s="43">
        <f>IFERROR(IF(Z285="",0,Z285),"0")+IFERROR(IF(Z286="",0,Z286),"0")</f>
        <v>0.22785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84</v>
      </c>
      <c r="Y288" s="43">
        <f>IFERROR(SUM(Y285:Y286),"0")</f>
        <v>84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idden="1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16</v>
      </c>
      <c r="Y301" s="55">
        <f>IFERROR(IF(X301="",0,CEILING((X301/$H301),1)*$H301),"")</f>
        <v>17.82</v>
      </c>
      <c r="Z301" s="41">
        <f>IFERROR(IF(Y301=0,"",ROUNDUP(Y301/H301,0)*0.00502),"")</f>
        <v>4.5179999999999998E-2</v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16.80808080808081</v>
      </c>
      <c r="BN301" s="78">
        <f>IFERROR(Y301*I301/H301,"0")</f>
        <v>18.720000000000002</v>
      </c>
      <c r="BO301" s="78">
        <f>IFERROR(1/J301*(X301/H301),"0")</f>
        <v>3.4533367866701206E-2</v>
      </c>
      <c r="BP301" s="78">
        <f>IFERROR(1/J301*(Y301/H301),"0")</f>
        <v>3.8461538461538464E-2</v>
      </c>
    </row>
    <row r="302" spans="1:68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8.0808080808080813</v>
      </c>
      <c r="Y302" s="43">
        <f>IFERROR(Y301/H301,"0")</f>
        <v>9</v>
      </c>
      <c r="Z302" s="43">
        <f>IFERROR(IF(Z301="",0,Z301),"0")</f>
        <v>4.5179999999999998E-2</v>
      </c>
      <c r="AA302" s="67"/>
      <c r="AB302" s="67"/>
      <c r="AC302" s="67"/>
    </row>
    <row r="303" spans="1:68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16</v>
      </c>
      <c r="Y303" s="43">
        <f>IFERROR(SUM(Y301:Y301),"0")</f>
        <v>17.82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12</v>
      </c>
      <c r="Y305" s="55">
        <f>IFERROR(IF(X305="",0,CEILING((X305/$H305),1)*$H305),"")</f>
        <v>12.6</v>
      </c>
      <c r="Z305" s="41">
        <f>IFERROR(IF(Y305=0,"",ROUNDUP(Y305/H305,0)*0.0059),"")</f>
        <v>4.1299999999999996E-2</v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13.166666666666668</v>
      </c>
      <c r="BN305" s="78">
        <f>IFERROR(Y305*I305/H305,"0")</f>
        <v>13.825000000000001</v>
      </c>
      <c r="BO305" s="78">
        <f>IFERROR(1/J305*(X305/H305),"0")</f>
        <v>3.0864197530864192E-2</v>
      </c>
      <c r="BP305" s="78">
        <f>IFERROR(1/J305*(Y305/H305),"0")</f>
        <v>3.2407407407407406E-2</v>
      </c>
    </row>
    <row r="306" spans="1:68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6.6666666666666661</v>
      </c>
      <c r="Y306" s="43">
        <f>IFERROR(Y305/H305,"0")</f>
        <v>7</v>
      </c>
      <c r="Z306" s="43">
        <f>IFERROR(IF(Z305="",0,Z305),"0")</f>
        <v>4.1299999999999996E-2</v>
      </c>
      <c r="AA306" s="67"/>
      <c r="AB306" s="67"/>
      <c r="AC306" s="67"/>
    </row>
    <row r="307" spans="1:68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12</v>
      </c>
      <c r="Y307" s="43">
        <f>IFERROR(SUM(Y305:Y305),"0")</f>
        <v>12.6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24</v>
      </c>
      <c r="Y309" s="55">
        <f>IFERROR(IF(X309="",0,CEILING((X309/$H309),1)*$H309),"")</f>
        <v>25.2</v>
      </c>
      <c r="Z309" s="41">
        <f>IFERROR(IF(Y309=0,"",ROUNDUP(Y309/H309,0)*0.0059),"")</f>
        <v>8.2599999999999993E-2</v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26.333333333333336</v>
      </c>
      <c r="BN309" s="78">
        <f>IFERROR(Y309*I309/H309,"0")</f>
        <v>27.650000000000002</v>
      </c>
      <c r="BO309" s="78">
        <f>IFERROR(1/J309*(X309/H309),"0")</f>
        <v>6.1728395061728385E-2</v>
      </c>
      <c r="BP309" s="78">
        <f>IFERROR(1/J309*(Y309/H309),"0")</f>
        <v>6.4814814814814811E-2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13.333333333333332</v>
      </c>
      <c r="Y311" s="43">
        <f>IFERROR(Y309/H309,"0")+IFERROR(Y310/H310,"0")</f>
        <v>14</v>
      </c>
      <c r="Z311" s="43">
        <f>IFERROR(IF(Z309="",0,Z309),"0")+IFERROR(IF(Z310="",0,Z310),"0")</f>
        <v>8.2599999999999993E-2</v>
      </c>
      <c r="AA311" s="67"/>
      <c r="AB311" s="67"/>
      <c r="AC311" s="67"/>
    </row>
    <row r="312" spans="1:68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24</v>
      </c>
      <c r="Y312" s="43">
        <f>IFERROR(SUM(Y309:Y310),"0")</f>
        <v>25.2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120</v>
      </c>
      <c r="Y327" s="55">
        <f>IFERROR(IF(X327="",0,CEILING((X327/$H327),1)*$H327),"")</f>
        <v>120</v>
      </c>
      <c r="Z327" s="41">
        <f>IFERROR(IF(Y327=0,"",ROUNDUP(Y327/H327,0)*0.00651),"")</f>
        <v>0.32550000000000001</v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129.00000000000003</v>
      </c>
      <c r="BN327" s="78">
        <f>IFERROR(Y327*I327/H327,"0")</f>
        <v>129.00000000000003</v>
      </c>
      <c r="BO327" s="78">
        <f>IFERROR(1/J327*(X327/H327),"0")</f>
        <v>0.27472527472527475</v>
      </c>
      <c r="BP327" s="78">
        <f>IFERROR(1/J327*(Y327/H327),"0")</f>
        <v>0.27472527472527475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83.333333333333343</v>
      </c>
      <c r="Y328" s="43">
        <f>IFERROR(Y325/H325,"0")+IFERROR(Y326/H326,"0")+IFERROR(Y327/H327,"0")</f>
        <v>84</v>
      </c>
      <c r="Z328" s="43">
        <f>IFERROR(IF(Z325="",0,Z325),"0")+IFERROR(IF(Z326="",0,Z326),"0")+IFERROR(IF(Z327="",0,Z327),"0")</f>
        <v>0.54683999999999999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200</v>
      </c>
      <c r="Y329" s="43">
        <f>IFERROR(SUM(Y325:Y327),"0")</f>
        <v>201.6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350</v>
      </c>
      <c r="Y346" s="55">
        <f>IFERROR(IF(X346="",0,CEILING((X346/$H346),1)*$H346),"")</f>
        <v>351</v>
      </c>
      <c r="Z346" s="41">
        <f>IFERROR(IF(Y346=0,"",ROUNDUP(Y346/H346,0)*0.01898),"")</f>
        <v>0.85409999999999997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368.39743589743597</v>
      </c>
      <c r="BN346" s="78">
        <f>IFERROR(Y346*I346/H346,"0")</f>
        <v>369.45000000000005</v>
      </c>
      <c r="BO346" s="78">
        <f>IFERROR(1/J346*(X346/H346),"0")</f>
        <v>0.70112179487179493</v>
      </c>
      <c r="BP346" s="78">
        <f>IFERROR(1/J346*(Y346/H346),"0")</f>
        <v>0.703125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400</v>
      </c>
      <c r="Y347" s="55">
        <f>IFERROR(IF(X347="",0,CEILING((X347/$H347),1)*$H347),"")</f>
        <v>405.59999999999997</v>
      </c>
      <c r="Z347" s="41">
        <f>IFERROR(IF(Y347=0,"",ROUNDUP(Y347/H347,0)*0.01898),"")</f>
        <v>0.98696000000000006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421.02564102564111</v>
      </c>
      <c r="BN347" s="78">
        <f>IFERROR(Y347*I347/H347,"0")</f>
        <v>426.92</v>
      </c>
      <c r="BO347" s="78">
        <f>IFERROR(1/J347*(X347/H347),"0")</f>
        <v>0.80128205128205132</v>
      </c>
      <c r="BP347" s="78">
        <f>IFERROR(1/J347*(Y347/H347),"0")</f>
        <v>0.8125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150</v>
      </c>
      <c r="Y348" s="55">
        <f>IFERROR(IF(X348="",0,CEILING((X348/$H348),1)*$H348),"")</f>
        <v>156</v>
      </c>
      <c r="Z348" s="41">
        <f>IFERROR(IF(Y348=0,"",ROUNDUP(Y348/H348,0)*0.01898),"")</f>
        <v>0.37959999999999999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157.88461538461542</v>
      </c>
      <c r="BN348" s="78">
        <f>IFERROR(Y348*I348/H348,"0")</f>
        <v>164.20000000000005</v>
      </c>
      <c r="BO348" s="78">
        <f>IFERROR(1/J348*(X348/H348),"0")</f>
        <v>0.30048076923076922</v>
      </c>
      <c r="BP348" s="78">
        <f>IFERROR(1/J348*(Y348/H348),"0")</f>
        <v>0.3125</v>
      </c>
    </row>
    <row r="349" spans="1:68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115.38461538461539</v>
      </c>
      <c r="Y349" s="43">
        <f>IFERROR(Y346/H346,"0")+IFERROR(Y347/H347,"0")+IFERROR(Y348/H348,"0")</f>
        <v>117</v>
      </c>
      <c r="Z349" s="43">
        <f>IFERROR(IF(Z346="",0,Z346),"0")+IFERROR(IF(Z347="",0,Z347),"0")+IFERROR(IF(Z348="",0,Z348),"0")</f>
        <v>2.2206600000000001</v>
      </c>
      <c r="AA349" s="67"/>
      <c r="AB349" s="67"/>
      <c r="AC349" s="67"/>
    </row>
    <row r="350" spans="1:68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900</v>
      </c>
      <c r="Y350" s="43">
        <f>IFERROR(SUM(Y346:Y348),"0")</f>
        <v>912.59999999999991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20</v>
      </c>
      <c r="Y353" s="55">
        <f t="shared" ref="Y353:Y359" si="51">IFERROR(IF(X353="",0,CEILING((X353/$H353),1)*$H353),"")</f>
        <v>21.6</v>
      </c>
      <c r="Z353" s="41">
        <f>IFERROR(IF(Y353=0,"",ROUNDUP(Y353/H353,0)*0.01898),"")</f>
        <v>3.7960000000000001E-2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20.75925925925926</v>
      </c>
      <c r="BN353" s="78">
        <f t="shared" ref="BN353:BN359" si="53">IFERROR(Y353*I353/H353,"0")</f>
        <v>22.42</v>
      </c>
      <c r="BO353" s="78">
        <f t="shared" ref="BO353:BO359" si="54">IFERROR(1/J353*(X353/H353),"0")</f>
        <v>2.8935185185185182E-2</v>
      </c>
      <c r="BP353" s="78">
        <f t="shared" ref="BP353:BP359" si="55">IFERROR(1/J353*(Y353/H353),"0")</f>
        <v>3.125E-2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1.8518518518518516</v>
      </c>
      <c r="Y360" s="43">
        <f>IFERROR(Y353/H353,"0")+IFERROR(Y354/H354,"0")+IFERROR(Y355/H355,"0")+IFERROR(Y356/H356,"0")+IFERROR(Y357/H357,"0")+IFERROR(Y358/H358,"0")+IFERROR(Y359/H359,"0")</f>
        <v>2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3.7960000000000001E-2</v>
      </c>
      <c r="AA360" s="67"/>
      <c r="AB360" s="67"/>
      <c r="AC360" s="67"/>
    </row>
    <row r="361" spans="1:68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20</v>
      </c>
      <c r="Y361" s="43">
        <f>IFERROR(SUM(Y353:Y359),"0")</f>
        <v>21.6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175</v>
      </c>
      <c r="Y367" s="55">
        <f t="shared" si="56"/>
        <v>176.4</v>
      </c>
      <c r="Z367" s="41">
        <f>IFERROR(IF(Y367=0,"",ROUNDUP(Y367/H367,0)*0.00502),"")</f>
        <v>0.42168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183.33333333333334</v>
      </c>
      <c r="BN367" s="78">
        <f t="shared" si="58"/>
        <v>184.8</v>
      </c>
      <c r="BO367" s="78">
        <f t="shared" si="59"/>
        <v>0.35612535612535612</v>
      </c>
      <c r="BP367" s="78">
        <f t="shared" si="60"/>
        <v>0.35897435897435903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45</v>
      </c>
      <c r="Y369" s="55">
        <f t="shared" si="56"/>
        <v>45</v>
      </c>
      <c r="Z369" s="41">
        <f>IFERROR(IF(Y369=0,"",ROUNDUP(Y369/H369,0)*0.00651),"")</f>
        <v>0.16275000000000001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50.7</v>
      </c>
      <c r="BN369" s="78">
        <f t="shared" si="58"/>
        <v>50.7</v>
      </c>
      <c r="BO369" s="78">
        <f t="shared" si="59"/>
        <v>0.13736263736263737</v>
      </c>
      <c r="BP369" s="78">
        <f t="shared" si="60"/>
        <v>0.13736263736263737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108.33333333333333</v>
      </c>
      <c r="Y370" s="43">
        <f>IFERROR(Y363/H363,"0")+IFERROR(Y364/H364,"0")+IFERROR(Y365/H365,"0")+IFERROR(Y366/H366,"0")+IFERROR(Y367/H367,"0")+IFERROR(Y368/H368,"0")+IFERROR(Y369/H369,"0")</f>
        <v>109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0.58443000000000001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220</v>
      </c>
      <c r="Y371" s="43">
        <f>IFERROR(SUM(Y363:Y369),"0")</f>
        <v>221.4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200</v>
      </c>
      <c r="Y380" s="55">
        <f>IFERROR(IF(X380="",0,CEILING((X380/$H380),1)*$H380),"")</f>
        <v>201.60000000000002</v>
      </c>
      <c r="Z380" s="41">
        <f>IFERROR(IF(Y380=0,"",ROUNDUP(Y380/H380,0)*0.01898),"")</f>
        <v>0.45552000000000004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211.76190476190476</v>
      </c>
      <c r="BN380" s="78">
        <f>IFERROR(Y380*I380/H380,"0")</f>
        <v>213.45600000000002</v>
      </c>
      <c r="BO380" s="78">
        <f>IFERROR(1/J380*(X380/H380),"0")</f>
        <v>0.37202380952380953</v>
      </c>
      <c r="BP380" s="78">
        <f>IFERROR(1/J380*(Y380/H380),"0")</f>
        <v>0.375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400</v>
      </c>
      <c r="Y381" s="55">
        <f>IFERROR(IF(X381="",0,CEILING((X381/$H381),1)*$H381),"")</f>
        <v>405.59999999999997</v>
      </c>
      <c r="Z381" s="41">
        <f>IFERROR(IF(Y381=0,"",ROUNDUP(Y381/H381,0)*0.01898),"")</f>
        <v>0.98696000000000006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425.33333333333337</v>
      </c>
      <c r="BN381" s="78">
        <f>IFERROR(Y381*I381/H381,"0")</f>
        <v>431.28799999999995</v>
      </c>
      <c r="BO381" s="78">
        <f>IFERROR(1/J381*(X381/H381),"0")</f>
        <v>0.80128205128205132</v>
      </c>
      <c r="BP381" s="78">
        <f>IFERROR(1/J381*(Y381/H381),"0")</f>
        <v>0.8125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120</v>
      </c>
      <c r="Y382" s="55">
        <f>IFERROR(IF(X382="",0,CEILING((X382/$H382),1)*$H382),"")</f>
        <v>126</v>
      </c>
      <c r="Z382" s="41">
        <f>IFERROR(IF(Y382=0,"",ROUNDUP(Y382/H382,0)*0.01898),"")</f>
        <v>0.28470000000000001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127.05714285714285</v>
      </c>
      <c r="BN382" s="78">
        <f>IFERROR(Y382*I382/H382,"0")</f>
        <v>133.41</v>
      </c>
      <c r="BO382" s="78">
        <f>IFERROR(1/J382*(X382/H382),"0")</f>
        <v>0.2232142857142857</v>
      </c>
      <c r="BP382" s="78">
        <f>IFERROR(1/J382*(Y382/H382),"0")</f>
        <v>0.234375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89.377289377289372</v>
      </c>
      <c r="Y383" s="43">
        <f>IFERROR(Y380/H380,"0")+IFERROR(Y381/H381,"0")+IFERROR(Y382/H382,"0")</f>
        <v>91</v>
      </c>
      <c r="Z383" s="43">
        <f>IFERROR(IF(Z380="",0,Z380),"0")+IFERROR(IF(Z381="",0,Z381),"0")+IFERROR(IF(Z382="",0,Z382),"0")</f>
        <v>1.7271800000000002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720</v>
      </c>
      <c r="Y384" s="43">
        <f>IFERROR(SUM(Y380:Y382),"0")</f>
        <v>733.2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340</v>
      </c>
      <c r="Y389" s="55">
        <f>IFERROR(IF(X389="",0,CEILING((X389/$H389),1)*$H389),"")</f>
        <v>341.7</v>
      </c>
      <c r="Z389" s="41">
        <f>IFERROR(IF(Y389=0,"",ROUNDUP(Y389/H389,0)*0.00651),"")</f>
        <v>0.87234</v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384</v>
      </c>
      <c r="BN389" s="78">
        <f>IFERROR(Y389*I389/H389,"0")</f>
        <v>385.91999999999996</v>
      </c>
      <c r="BO389" s="78">
        <f>IFERROR(1/J389*(X389/H389),"0")</f>
        <v>0.73260073260073266</v>
      </c>
      <c r="BP389" s="78">
        <f>IFERROR(1/J389*(Y389/H389),"0")</f>
        <v>0.73626373626373631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133.33333333333334</v>
      </c>
      <c r="Y390" s="43">
        <f>IFERROR(Y386/H386,"0")+IFERROR(Y387/H387,"0")+IFERROR(Y388/H388,"0")+IFERROR(Y389/H389,"0")</f>
        <v>134</v>
      </c>
      <c r="Z390" s="43">
        <f>IFERROR(IF(Z386="",0,Z386),"0")+IFERROR(IF(Z387="",0,Z387),"0")+IFERROR(IF(Z388="",0,Z388),"0")+IFERROR(IF(Z389="",0,Z389),"0")</f>
        <v>0.87234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340</v>
      </c>
      <c r="Y391" s="43">
        <f>IFERROR(SUM(Y386:Y389),"0")</f>
        <v>341.7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50</v>
      </c>
      <c r="Y399" s="55">
        <f>IFERROR(IF(X399="",0,CEILING((X399/$H399),1)*$H399),"")</f>
        <v>51</v>
      </c>
      <c r="Z399" s="41">
        <f>IFERROR(IF(Y399=0,"",ROUNDUP(Y399/H399,0)*0.0045),"")</f>
        <v>7.6499999999999999E-2</v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53.666666666666664</v>
      </c>
      <c r="BN399" s="78">
        <f>IFERROR(Y399*I399/H399,"0")</f>
        <v>54.74</v>
      </c>
      <c r="BO399" s="78">
        <f>IFERROR(1/J399*(X399/H399),"0")</f>
        <v>7.4404761904761904E-2</v>
      </c>
      <c r="BP399" s="78">
        <f>IFERROR(1/J399*(Y399/H399),"0")</f>
        <v>7.5892857142857137E-2</v>
      </c>
    </row>
    <row r="400" spans="1:68" ht="27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16</v>
      </c>
      <c r="Y400" s="55">
        <f>IFERROR(IF(X400="",0,CEILING((X400/$H400),1)*$H400),"")</f>
        <v>19.5</v>
      </c>
      <c r="Z400" s="41">
        <f>IFERROR(IF(Y400=0,"",ROUNDUP(Y400/H400,0)*0.006),"")</f>
        <v>0.03</v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17.107692307692307</v>
      </c>
      <c r="BN400" s="78">
        <f>IFERROR(Y400*I400/H400,"0")</f>
        <v>20.85</v>
      </c>
      <c r="BO400" s="78">
        <f>IFERROR(1/J400*(X400/H400),"0")</f>
        <v>2.8490028490028491E-2</v>
      </c>
      <c r="BP400" s="78">
        <f>IFERROR(1/J400*(Y400/H400),"0")</f>
        <v>3.4722222222222224E-2</v>
      </c>
    </row>
    <row r="401" spans="1:68" ht="27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50</v>
      </c>
      <c r="Y401" s="55">
        <f>IFERROR(IF(X401="",0,CEILING((X401/$H401),1)*$H401),"")</f>
        <v>51</v>
      </c>
      <c r="Z401" s="41">
        <f>IFERROR(IF(Y401=0,"",ROUNDUP(Y401/H401,0)*0.0045),"")</f>
        <v>7.6499999999999999E-2</v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53.666666666666664</v>
      </c>
      <c r="BN401" s="78">
        <f>IFERROR(Y401*I401/H401,"0")</f>
        <v>54.74</v>
      </c>
      <c r="BO401" s="78">
        <f>IFERROR(1/J401*(X401/H401),"0")</f>
        <v>7.4404761904761904E-2</v>
      </c>
      <c r="BP401" s="78">
        <f>IFERROR(1/J401*(Y401/H401),"0")</f>
        <v>7.5892857142857137E-2</v>
      </c>
    </row>
    <row r="402" spans="1:68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37.435897435897438</v>
      </c>
      <c r="Y402" s="43">
        <f>IFERROR(Y399/H399,"0")+IFERROR(Y400/H400,"0")+IFERROR(Y401/H401,"0")</f>
        <v>39</v>
      </c>
      <c r="Z402" s="43">
        <f>IFERROR(IF(Z399="",0,Z399),"0")+IFERROR(IF(Z400="",0,Z400),"0")+IFERROR(IF(Z401="",0,Z401),"0")</f>
        <v>0.183</v>
      </c>
      <c r="AA402" s="67"/>
      <c r="AB402" s="67"/>
      <c r="AC402" s="67"/>
    </row>
    <row r="403" spans="1:68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116</v>
      </c>
      <c r="Y403" s="43">
        <f>IFERROR(SUM(Y399:Y401),"0")</f>
        <v>121.5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500</v>
      </c>
      <c r="Y420" s="55">
        <f t="shared" ref="Y420:Y427" si="61">IFERROR(IF(X420="",0,CEILING((X420/$H420),1)*$H420),"")</f>
        <v>510</v>
      </c>
      <c r="Z420" s="41">
        <f>IFERROR(IF(Y420=0,"",ROUNDUP(Y420/H420,0)*0.02175),"")</f>
        <v>0.73949999999999994</v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515.66666666666663</v>
      </c>
      <c r="BN420" s="78">
        <f t="shared" ref="BN420:BN427" si="63">IFERROR(Y420*I420/H420,"0")</f>
        <v>525.98</v>
      </c>
      <c r="BO420" s="78">
        <f t="shared" ref="BO420:BO427" si="64">IFERROR(1/J420*(X420/H420),"0")</f>
        <v>0.69444444444444442</v>
      </c>
      <c r="BP420" s="78">
        <f t="shared" ref="BP420:BP427" si="65">IFERROR(1/J420*(Y420/H420),"0")</f>
        <v>0.70833333333333326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1400</v>
      </c>
      <c r="Y421" s="55">
        <f t="shared" si="61"/>
        <v>1410</v>
      </c>
      <c r="Z421" s="41">
        <f>IFERROR(IF(Y421=0,"",ROUNDUP(Y421/H421,0)*0.02175),"")</f>
        <v>2.0444999999999998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1443.8666666666666</v>
      </c>
      <c r="BN421" s="78">
        <f t="shared" si="63"/>
        <v>1454.18</v>
      </c>
      <c r="BO421" s="78">
        <f t="shared" si="64"/>
        <v>1.9444444444444442</v>
      </c>
      <c r="BP421" s="78">
        <f t="shared" si="65"/>
        <v>1.9583333333333333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1100</v>
      </c>
      <c r="Y422" s="55">
        <f t="shared" si="61"/>
        <v>1110</v>
      </c>
      <c r="Z422" s="41">
        <f>IFERROR(IF(Y422=0,"",ROUNDUP(Y422/H422,0)*0.02175),"")</f>
        <v>1.6094999999999999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1134.4666666666667</v>
      </c>
      <c r="BN422" s="78">
        <f t="shared" si="63"/>
        <v>1144.78</v>
      </c>
      <c r="BO422" s="78">
        <f t="shared" si="64"/>
        <v>1.5277777777777777</v>
      </c>
      <c r="BP422" s="78">
        <f t="shared" si="65"/>
        <v>1.5416666666666665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1400</v>
      </c>
      <c r="Y423" s="55">
        <f t="shared" si="61"/>
        <v>1410</v>
      </c>
      <c r="Z423" s="41">
        <f>IFERROR(IF(Y423=0,"",ROUNDUP(Y423/H423,0)*0.02175),"")</f>
        <v>2.0444999999999998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1443.8666666666666</v>
      </c>
      <c r="BN423" s="78">
        <f t="shared" si="63"/>
        <v>1454.18</v>
      </c>
      <c r="BO423" s="78">
        <f t="shared" si="64"/>
        <v>1.9444444444444442</v>
      </c>
      <c r="BP423" s="78">
        <f t="shared" si="65"/>
        <v>1.9583333333333333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600</v>
      </c>
      <c r="Y424" s="55">
        <f t="shared" si="61"/>
        <v>600</v>
      </c>
      <c r="Z424" s="41">
        <f>IFERROR(IF(Y424=0,"",ROUNDUP(Y424/H424,0)*0.02175),"")</f>
        <v>0.86999999999999988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618.79999999999995</v>
      </c>
      <c r="BN424" s="78">
        <f t="shared" si="63"/>
        <v>618.79999999999995</v>
      </c>
      <c r="BO424" s="78">
        <f t="shared" si="64"/>
        <v>0.83333333333333326</v>
      </c>
      <c r="BP424" s="78">
        <f t="shared" si="65"/>
        <v>0.83333333333333326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333.33333333333331</v>
      </c>
      <c r="Y428" s="43">
        <f>IFERROR(Y420/H420,"0")+IFERROR(Y421/H421,"0")+IFERROR(Y422/H422,"0")+IFERROR(Y423/H423,"0")+IFERROR(Y424/H424,"0")+IFERROR(Y425/H425,"0")+IFERROR(Y426/H426,"0")+IFERROR(Y427/H427,"0")</f>
        <v>336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7.3079999999999989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5000</v>
      </c>
      <c r="Y429" s="43">
        <f>IFERROR(SUM(Y420:Y427),"0")</f>
        <v>5040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1200</v>
      </c>
      <c r="Y431" s="55">
        <f>IFERROR(IF(X431="",0,CEILING((X431/$H431),1)*$H431),"")</f>
        <v>1200</v>
      </c>
      <c r="Z431" s="41">
        <f>IFERROR(IF(Y431=0,"",ROUNDUP(Y431/H431,0)*0.02175),"")</f>
        <v>1.7399999999999998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1237.5999999999999</v>
      </c>
      <c r="BN431" s="78">
        <f>IFERROR(Y431*I431/H431,"0")</f>
        <v>1237.5999999999999</v>
      </c>
      <c r="BO431" s="78">
        <f>IFERROR(1/J431*(X431/H431),"0")</f>
        <v>1.6666666666666665</v>
      </c>
      <c r="BP431" s="78">
        <f>IFERROR(1/J431*(Y431/H431),"0")</f>
        <v>1.6666666666666665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300</v>
      </c>
      <c r="Y432" s="55">
        <f>IFERROR(IF(X432="",0,CEILING((X432/$H432),1)*$H432),"")</f>
        <v>300</v>
      </c>
      <c r="Z432" s="41">
        <f>IFERROR(IF(Y432=0,"",ROUNDUP(Y432/H432,0)*0.02175),"")</f>
        <v>0.43499999999999994</v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309.39999999999998</v>
      </c>
      <c r="BN432" s="78">
        <f>IFERROR(Y432*I432/H432,"0")</f>
        <v>309.39999999999998</v>
      </c>
      <c r="BO432" s="78">
        <f>IFERROR(1/J432*(X432/H432),"0")</f>
        <v>0.41666666666666663</v>
      </c>
      <c r="BP432" s="78">
        <f>IFERROR(1/J432*(Y432/H432),"0")</f>
        <v>0.41666666666666663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100</v>
      </c>
      <c r="Y434" s="43">
        <f>IFERROR(Y431/H431,"0")+IFERROR(Y432/H432,"0")+IFERROR(Y433/H433,"0")</f>
        <v>100</v>
      </c>
      <c r="Z434" s="43">
        <f>IFERROR(IF(Z431="",0,Z431),"0")+IFERROR(IF(Z432="",0,Z432),"0")+IFERROR(IF(Z433="",0,Z433),"0")</f>
        <v>2.1749999999999998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1500</v>
      </c>
      <c r="Y435" s="43">
        <f>IFERROR(SUM(Y431:Y433),"0")</f>
        <v>1500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40</v>
      </c>
      <c r="Y492" s="55">
        <f t="shared" ref="Y492:Y499" si="71">IFERROR(IF(X492="",0,CEILING((X492/$H492),1)*$H492),"")</f>
        <v>42.24</v>
      </c>
      <c r="Z492" s="41">
        <f>IFERROR(IF(Y492=0,"",ROUNDUP(Y492/H492,0)*0.01196),"")</f>
        <v>9.5680000000000001E-2</v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42.651515151515149</v>
      </c>
      <c r="BN492" s="78">
        <f t="shared" ref="BN492:BN499" si="73">IFERROR(Y492*I492/H492,"0")</f>
        <v>45.04</v>
      </c>
      <c r="BO492" s="78">
        <f t="shared" ref="BO492:BO499" si="74">IFERROR(1/J492*(X492/H492),"0")</f>
        <v>7.2843822843822847E-2</v>
      </c>
      <c r="BP492" s="78">
        <f t="shared" ref="BP492:BP499" si="75">IFERROR(1/J492*(Y492/H492),"0")</f>
        <v>7.6923076923076927E-2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250</v>
      </c>
      <c r="Y496" s="55">
        <f t="shared" si="71"/>
        <v>253.44</v>
      </c>
      <c r="Z496" s="41">
        <f>IFERROR(IF(Y496=0,"",ROUNDUP(Y496/H496,0)*0.01196),"")</f>
        <v>0.57408000000000003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266.57196969696969</v>
      </c>
      <c r="BN496" s="78">
        <f t="shared" si="73"/>
        <v>270.23999999999995</v>
      </c>
      <c r="BO496" s="78">
        <f t="shared" si="74"/>
        <v>0.45527389277389274</v>
      </c>
      <c r="BP496" s="78">
        <f t="shared" si="75"/>
        <v>0.46153846153846156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60</v>
      </c>
      <c r="Y498" s="55">
        <f t="shared" si="71"/>
        <v>62.4</v>
      </c>
      <c r="Z498" s="41">
        <f>IFERROR(IF(Y498=0,"",ROUNDUP(Y498/H498,0)*0.00902),"")</f>
        <v>0.11726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86.375000000000014</v>
      </c>
      <c r="BN498" s="78">
        <f t="shared" si="73"/>
        <v>89.830000000000013</v>
      </c>
      <c r="BO498" s="78">
        <f t="shared" si="74"/>
        <v>9.4696969696969696E-2</v>
      </c>
      <c r="BP498" s="78">
        <f t="shared" si="75"/>
        <v>9.8484848484848481E-2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180</v>
      </c>
      <c r="Y499" s="55">
        <f t="shared" si="71"/>
        <v>182.4</v>
      </c>
      <c r="Z499" s="41">
        <f>IFERROR(IF(Y499=0,"",ROUNDUP(Y499/H499,0)*0.00902),"")</f>
        <v>0.34276000000000001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259.125</v>
      </c>
      <c r="BN499" s="78">
        <f t="shared" si="73"/>
        <v>262.58000000000004</v>
      </c>
      <c r="BO499" s="78">
        <f t="shared" si="74"/>
        <v>0.28409090909090912</v>
      </c>
      <c r="BP499" s="78">
        <f t="shared" si="75"/>
        <v>0.2878787878787879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104.92424242424242</v>
      </c>
      <c r="Y500" s="43">
        <f>IFERROR(Y492/H492,"0")+IFERROR(Y493/H493,"0")+IFERROR(Y494/H494,"0")+IFERROR(Y495/H495,"0")+IFERROR(Y496/H496,"0")+IFERROR(Y497/H497,"0")+IFERROR(Y498/H498,"0")+IFERROR(Y499/H499,"0")</f>
        <v>107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1.12978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530</v>
      </c>
      <c r="Y501" s="43">
        <f>IFERROR(SUM(Y492:Y499),"0")</f>
        <v>540.48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180</v>
      </c>
      <c r="Y503" s="55">
        <f>IFERROR(IF(X503="",0,CEILING((X503/$H503),1)*$H503),"")</f>
        <v>184.8</v>
      </c>
      <c r="Z503" s="41">
        <f>IFERROR(IF(Y503=0,"",ROUNDUP(Y503/H503,0)*0.01196),"")</f>
        <v>0.41860000000000003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191.93181818181816</v>
      </c>
      <c r="BN503" s="78">
        <f>IFERROR(Y503*I503/H503,"0")</f>
        <v>197.04999999999998</v>
      </c>
      <c r="BO503" s="78">
        <f>IFERROR(1/J503*(X503/H503),"0")</f>
        <v>0.32779720279720276</v>
      </c>
      <c r="BP503" s="78">
        <f>IFERROR(1/J503*(Y503/H503),"0")</f>
        <v>0.33653846153846156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60</v>
      </c>
      <c r="Y505" s="55">
        <f>IFERROR(IF(X505="",0,CEILING((X505/$H505),1)*$H505),"")</f>
        <v>62.4</v>
      </c>
      <c r="Z505" s="41">
        <f>IFERROR(IF(Y505=0,"",ROUNDUP(Y505/H505,0)*0.00902),"")</f>
        <v>0.11726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86.375000000000014</v>
      </c>
      <c r="BN505" s="78">
        <f>IFERROR(Y505*I505/H505,"0")</f>
        <v>89.830000000000013</v>
      </c>
      <c r="BO505" s="78">
        <f>IFERROR(1/J505*(X505/H505),"0")</f>
        <v>9.4696969696969696E-2</v>
      </c>
      <c r="BP505" s="78">
        <f>IFERROR(1/J505*(Y505/H505),"0")</f>
        <v>9.8484848484848481E-2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46.590909090909086</v>
      </c>
      <c r="Y506" s="43">
        <f>IFERROR(Y503/H503,"0")+IFERROR(Y504/H504,"0")+IFERROR(Y505/H505,"0")</f>
        <v>48</v>
      </c>
      <c r="Z506" s="43">
        <f>IFERROR(IF(Z503="",0,Z503),"0")+IFERROR(IF(Z504="",0,Z504),"0")+IFERROR(IF(Z505="",0,Z505),"0")</f>
        <v>0.53586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240</v>
      </c>
      <c r="Y507" s="43">
        <f>IFERROR(SUM(Y503:Y505),"0")</f>
        <v>247.20000000000002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20</v>
      </c>
      <c r="Y509" s="55">
        <f t="shared" ref="Y509:Y515" si="76">IFERROR(IF(X509="",0,CEILING((X509/$H509),1)*$H509),"")</f>
        <v>21.12</v>
      </c>
      <c r="Z509" s="41">
        <f>IFERROR(IF(Y509=0,"",ROUNDUP(Y509/H509,0)*0.01196),"")</f>
        <v>4.7840000000000001E-2</v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21.325757575757574</v>
      </c>
      <c r="BN509" s="78">
        <f t="shared" ref="BN509:BN515" si="78">IFERROR(Y509*I509/H509,"0")</f>
        <v>22.52</v>
      </c>
      <c r="BO509" s="78">
        <f t="shared" ref="BO509:BO515" si="79">IFERROR(1/J509*(X509/H509),"0")</f>
        <v>3.6421911421911424E-2</v>
      </c>
      <c r="BP509" s="78">
        <f t="shared" ref="BP509:BP515" si="80">IFERROR(1/J509*(Y509/H509),"0")</f>
        <v>3.8461538461538464E-2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30</v>
      </c>
      <c r="Y510" s="55">
        <f t="shared" si="76"/>
        <v>31.68</v>
      </c>
      <c r="Z510" s="41">
        <f>IFERROR(IF(Y510=0,"",ROUNDUP(Y510/H510,0)*0.01196),"")</f>
        <v>7.1760000000000004E-2</v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31.988636363636363</v>
      </c>
      <c r="BN510" s="78">
        <f t="shared" si="78"/>
        <v>33.779999999999994</v>
      </c>
      <c r="BO510" s="78">
        <f t="shared" si="79"/>
        <v>5.4632867132867136E-2</v>
      </c>
      <c r="BP510" s="78">
        <f t="shared" si="80"/>
        <v>5.7692307692307696E-2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100</v>
      </c>
      <c r="Y511" s="55">
        <f t="shared" si="76"/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106.62878787878788</v>
      </c>
      <c r="BN511" s="78">
        <f t="shared" si="78"/>
        <v>106.97</v>
      </c>
      <c r="BO511" s="78">
        <f t="shared" si="79"/>
        <v>0.18210955710955709</v>
      </c>
      <c r="BP511" s="78">
        <f t="shared" si="80"/>
        <v>0.18269230769230771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48</v>
      </c>
      <c r="Y512" s="55">
        <f t="shared" si="76"/>
        <v>48</v>
      </c>
      <c r="Z512" s="41">
        <f>IFERROR(IF(Y512=0,"",ROUNDUP(Y512/H512,0)*0.00902),"")</f>
        <v>9.0200000000000002E-2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69.100000000000009</v>
      </c>
      <c r="BN512" s="78">
        <f t="shared" si="78"/>
        <v>69.100000000000009</v>
      </c>
      <c r="BO512" s="78">
        <f t="shared" si="79"/>
        <v>7.575757575757576E-2</v>
      </c>
      <c r="BP512" s="78">
        <f t="shared" si="80"/>
        <v>7.575757575757576E-2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120</v>
      </c>
      <c r="Y515" s="55">
        <f t="shared" si="76"/>
        <v>120</v>
      </c>
      <c r="Z515" s="41">
        <f>IFERROR(IF(Y515=0,"",ROUNDUP(Y515/H515,0)*0.00902),"")</f>
        <v>0.22550000000000001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166.75</v>
      </c>
      <c r="BN515" s="78">
        <f t="shared" si="78"/>
        <v>166.75</v>
      </c>
      <c r="BO515" s="78">
        <f t="shared" si="79"/>
        <v>0.18939393939393939</v>
      </c>
      <c r="BP515" s="78">
        <f t="shared" si="80"/>
        <v>0.18939393939393939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63.409090909090907</v>
      </c>
      <c r="Y516" s="43">
        <f>IFERROR(Y509/H509,"0")+IFERROR(Y510/H510,"0")+IFERROR(Y511/H511,"0")+IFERROR(Y512/H512,"0")+IFERROR(Y513/H513,"0")+IFERROR(Y514/H514,"0")+IFERROR(Y515/H515,"0")</f>
        <v>64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0.66254000000000002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318</v>
      </c>
      <c r="Y517" s="43">
        <f>IFERROR(SUM(Y509:Y515),"0")</f>
        <v>321.12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160</v>
      </c>
      <c r="Y521" s="55">
        <f>IFERROR(IF(X521="",0,CEILING((X521/$H521),1)*$H521),"")</f>
        <v>168</v>
      </c>
      <c r="Z521" s="41">
        <f>IFERROR(IF(Y521=0,"",ROUNDUP(Y521/H521,0)*0.01898),"")</f>
        <v>0.26572000000000001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165.46666666666667</v>
      </c>
      <c r="BN521" s="78">
        <f>IFERROR(Y521*I521/H521,"0")</f>
        <v>173.74</v>
      </c>
      <c r="BO521" s="78">
        <f>IFERROR(1/J521*(X521/H521),"0")</f>
        <v>0.20833333333333334</v>
      </c>
      <c r="BP521" s="78">
        <f>IFERROR(1/J521*(Y521/H521),"0")</f>
        <v>0.21875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13.333333333333334</v>
      </c>
      <c r="Y522" s="43">
        <f>IFERROR(Y521/H521,"0")</f>
        <v>14</v>
      </c>
      <c r="Z522" s="43">
        <f>IFERROR(IF(Z521="",0,Z521),"0")</f>
        <v>0.26572000000000001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160</v>
      </c>
      <c r="Y523" s="43">
        <f>IFERROR(SUM(Y521:Y521),"0")</f>
        <v>168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620</v>
      </c>
      <c r="Y533" s="55">
        <f>IFERROR(IF(X533="",0,CEILING((X533/$H533),1)*$H533),"")</f>
        <v>621</v>
      </c>
      <c r="Z533" s="41">
        <f>IFERROR(IF(Y533=0,"",ROUNDUP(Y533/H533,0)*0.01898),"")</f>
        <v>1.30962</v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654.03111111111104</v>
      </c>
      <c r="BN533" s="78">
        <f>IFERROR(Y533*I533/H533,"0")</f>
        <v>655.0859999999999</v>
      </c>
      <c r="BO533" s="78">
        <f>IFERROR(1/J533*(X533/H533),"0")</f>
        <v>1.0763888888888888</v>
      </c>
      <c r="BP533" s="78">
        <f>IFERROR(1/J533*(Y533/H533),"0")</f>
        <v>1.078125</v>
      </c>
    </row>
    <row r="534" spans="1:68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68.888888888888886</v>
      </c>
      <c r="Y534" s="43">
        <f>IFERROR(Y533/H533,"0")</f>
        <v>69</v>
      </c>
      <c r="Z534" s="43">
        <f>IFERROR(IF(Z533="",0,Z533),"0")</f>
        <v>1.30962</v>
      </c>
      <c r="AA534" s="67"/>
      <c r="AB534" s="67"/>
      <c r="AC534" s="67"/>
    </row>
    <row r="535" spans="1:68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620</v>
      </c>
      <c r="Y535" s="43">
        <f>IFERROR(SUM(Y533:Y533),"0")</f>
        <v>621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17705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17892.980000000003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18801.184379296734</v>
      </c>
      <c r="Y547" s="43">
        <f>IFERROR(SUM(BN22:BN543),"0")</f>
        <v>19002.029000000013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32</v>
      </c>
      <c r="Y548" s="44">
        <f>ROUNDUP(SUM(BP22:BP543),0)</f>
        <v>32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19601.184379296734</v>
      </c>
      <c r="Y549" s="43">
        <f>GrossWeightTotalR+PalletQtyTotalR*25</f>
        <v>19802.029000000013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3519.3306108535999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3555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36.341549999999998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248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424.8</v>
      </c>
      <c r="F556" s="52">
        <f>IFERROR(Y84*1,"0")+IFERROR(Y85*1,"0")+IFERROR(Y86*1,"0")+IFERROR(Y87*1,"0")+IFERROR(Y88*1,"0")+IFERROR(Y89*1,"0")+IFERROR(Y93*1,"0")+IFERROR(Y94*1,"0")+IFERROR(Y95*1,"0")+IFERROR(Y96*1,"0")</f>
        <v>782.1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951.66000000000008</v>
      </c>
      <c r="H556" s="52">
        <f>IFERROR(Y131*1,"0")+IFERROR(Y132*1,"0")+IFERROR(Y136*1,"0")+IFERROR(Y137*1,"0")+IFERROR(Y141*1,"0")+IFERROR(Y142*1,"0")</f>
        <v>136.24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1984.7199999999998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394.84000000000003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1923.6000000000001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55.620000000000005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201.6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912.59999999999991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1439.4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6540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1108.8</v>
      </c>
      <c r="AB556" s="52">
        <f>IFERROR(Y521*1,"0")+IFERROR(Y525*1,"0")+IFERROR(Y529*1,"0")+IFERROR(Y533*1,"0")+IFERROR(Y537*1,"0")+IFERROR(Y538*1,"0")</f>
        <v>789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200,00"/>
        <filter val="1 400,00"/>
        <filter val="1 500,00"/>
        <filter val="1 975,00"/>
        <filter val="1,85"/>
        <filter val="100,00"/>
        <filter val="104,92"/>
        <filter val="105,00"/>
        <filter val="108,33"/>
        <filter val="11,62"/>
        <filter val="110,37"/>
        <filter val="115,38"/>
        <filter val="116,00"/>
        <filter val="12,00"/>
        <filter val="12,50"/>
        <filter val="120,00"/>
        <filter val="13,33"/>
        <filter val="13,57"/>
        <filter val="133,33"/>
        <filter val="140,00"/>
        <filter val="150,00"/>
        <filter val="16,00"/>
        <filter val="16,67"/>
        <filter val="160,00"/>
        <filter val="164,20"/>
        <filter val="164,29"/>
        <filter val="17 705,00"/>
        <filter val="175,00"/>
        <filter val="18 801,18"/>
        <filter val="180,00"/>
        <filter val="19 601,18"/>
        <filter val="196,00"/>
        <filter val="20,00"/>
        <filter val="20,08"/>
        <filter val="200,00"/>
        <filter val="21,00"/>
        <filter val="220,00"/>
        <filter val="225,00"/>
        <filter val="23,00"/>
        <filter val="24,00"/>
        <filter val="240,00"/>
        <filter val="248,00"/>
        <filter val="250,00"/>
        <filter val="264,81"/>
        <filter val="280,00"/>
        <filter val="3 519,33"/>
        <filter val="30,00"/>
        <filter val="300,00"/>
        <filter val="315,00"/>
        <filter val="318,00"/>
        <filter val="319,94"/>
        <filter val="32"/>
        <filter val="325,00"/>
        <filter val="33,33"/>
        <filter val="333,33"/>
        <filter val="340,00"/>
        <filter val="35,00"/>
        <filter val="350,00"/>
        <filter val="359,00"/>
        <filter val="360,00"/>
        <filter val="37,44"/>
        <filter val="375,00"/>
        <filter val="38,00"/>
        <filter val="398,00"/>
        <filter val="40,00"/>
        <filter val="400,00"/>
        <filter val="44,26"/>
        <filter val="45,00"/>
        <filter val="46,59"/>
        <filter val="48,00"/>
        <filter val="5 000,00"/>
        <filter val="5,56"/>
        <filter val="50,00"/>
        <filter val="500,00"/>
        <filter val="53,00"/>
        <filter val="530,00"/>
        <filter val="59,26"/>
        <filter val="6,00"/>
        <filter val="6,67"/>
        <filter val="60,00"/>
        <filter val="600,00"/>
        <filter val="610,00"/>
        <filter val="620,00"/>
        <filter val="63,41"/>
        <filter val="68,89"/>
        <filter val="7,00"/>
        <filter val="70,00"/>
        <filter val="720,00"/>
        <filter val="75,56"/>
        <filter val="762,38"/>
        <filter val="8,00"/>
        <filter val="8,08"/>
        <filter val="8,33"/>
        <filter val="80,00"/>
        <filter val="83,33"/>
        <filter val="830,00"/>
        <filter val="84,00"/>
        <filter val="88,00"/>
        <filter val="89,38"/>
        <filter val="9,00"/>
        <filter val="90,00"/>
        <filter val="900,00"/>
        <filter val="980,00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2026-10-14T12:55:50Z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