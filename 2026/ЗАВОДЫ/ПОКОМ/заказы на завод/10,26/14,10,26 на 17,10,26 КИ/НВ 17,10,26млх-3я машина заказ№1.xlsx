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830600-0863-4328-89B2-24742D4B47C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M504" i="1"/>
  <c r="Z504" i="1"/>
  <c r="Y504" i="1"/>
  <c r="BN504" i="1" s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P496" i="1"/>
  <c r="BO496" i="1"/>
  <c r="BN496" i="1"/>
  <c r="BM496" i="1"/>
  <c r="Z496" i="1"/>
  <c r="Y496" i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M492" i="1"/>
  <c r="Z492" i="1"/>
  <c r="Y492" i="1"/>
  <c r="BN492" i="1" s="1"/>
  <c r="P492" i="1"/>
  <c r="X488" i="1"/>
  <c r="X487" i="1"/>
  <c r="BP486" i="1"/>
  <c r="BO486" i="1"/>
  <c r="BN486" i="1"/>
  <c r="BM486" i="1"/>
  <c r="Z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M426" i="1"/>
  <c r="Z426" i="1"/>
  <c r="Y426" i="1"/>
  <c r="BN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M413" i="1"/>
  <c r="Z413" i="1"/>
  <c r="Y413" i="1"/>
  <c r="BN413" i="1" s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M393" i="1"/>
  <c r="Z393" i="1"/>
  <c r="Y393" i="1"/>
  <c r="BN393" i="1" s="1"/>
  <c r="P393" i="1"/>
  <c r="X391" i="1"/>
  <c r="X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M375" i="1"/>
  <c r="Z375" i="1"/>
  <c r="Y375" i="1"/>
  <c r="BN375" i="1" s="1"/>
  <c r="P375" i="1"/>
  <c r="BO374" i="1"/>
  <c r="BM374" i="1"/>
  <c r="Y374" i="1"/>
  <c r="P374" i="1"/>
  <c r="BO373" i="1"/>
  <c r="BM373" i="1"/>
  <c r="Y373" i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M365" i="1"/>
  <c r="Z365" i="1"/>
  <c r="Y365" i="1"/>
  <c r="BN365" i="1" s="1"/>
  <c r="P365" i="1"/>
  <c r="BO364" i="1"/>
  <c r="BM364" i="1"/>
  <c r="Y364" i="1"/>
  <c r="P364" i="1"/>
  <c r="BO363" i="1"/>
  <c r="BM363" i="1"/>
  <c r="Y363" i="1"/>
  <c r="P363" i="1"/>
  <c r="X361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M355" i="1"/>
  <c r="Z355" i="1"/>
  <c r="Y355" i="1"/>
  <c r="BN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M294" i="1"/>
  <c r="Z294" i="1"/>
  <c r="Y294" i="1"/>
  <c r="BN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M271" i="1"/>
  <c r="Z271" i="1"/>
  <c r="Y271" i="1"/>
  <c r="BN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M231" i="1"/>
  <c r="Z231" i="1"/>
  <c r="Y231" i="1"/>
  <c r="BN231" i="1" s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M219" i="1"/>
  <c r="Z219" i="1"/>
  <c r="Y219" i="1"/>
  <c r="BN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M178" i="1"/>
  <c r="Z178" i="1"/>
  <c r="Y178" i="1"/>
  <c r="BN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M166" i="1"/>
  <c r="Z166" i="1"/>
  <c r="Y166" i="1"/>
  <c r="BN166" i="1" s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M147" i="1"/>
  <c r="Z147" i="1"/>
  <c r="Y147" i="1"/>
  <c r="BN147" i="1" s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BP120" i="1" s="1"/>
  <c r="P120" i="1"/>
  <c r="BO119" i="1"/>
  <c r="BM119" i="1"/>
  <c r="Y119" i="1"/>
  <c r="Y123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BN111" i="1" s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N101" i="1" s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N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O73" i="1"/>
  <c r="BM73" i="1"/>
  <c r="Y73" i="1"/>
  <c r="BN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N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O30" i="1"/>
  <c r="BM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N26" i="1"/>
  <c r="BM26" i="1"/>
  <c r="Y26" i="1"/>
  <c r="BP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10" i="1" l="1"/>
  <c r="BP73" i="1"/>
  <c r="BP101" i="1"/>
  <c r="BP121" i="1"/>
  <c r="F9" i="1"/>
  <c r="Z26" i="1"/>
  <c r="Z38" i="1"/>
  <c r="Z174" i="1"/>
  <c r="Z184" i="1"/>
  <c r="Z239" i="1"/>
  <c r="Z399" i="1"/>
  <c r="BP399" i="1"/>
  <c r="Z422" i="1"/>
  <c r="BP422" i="1"/>
  <c r="Z512" i="1"/>
  <c r="BP512" i="1"/>
  <c r="Z30" i="1"/>
  <c r="BP30" i="1"/>
  <c r="Z73" i="1"/>
  <c r="Z101" i="1"/>
  <c r="Z111" i="1"/>
  <c r="BP111" i="1"/>
  <c r="Z121" i="1"/>
  <c r="Z79" i="1"/>
  <c r="Z136" i="1"/>
  <c r="BP136" i="1"/>
  <c r="BP174" i="1"/>
  <c r="BP184" i="1"/>
  <c r="Z215" i="1"/>
  <c r="BP215" i="1"/>
  <c r="BP239" i="1"/>
  <c r="Z310" i="1"/>
  <c r="BP310" i="1"/>
  <c r="Y321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BN543" i="1"/>
  <c r="Y544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428" i="1" l="1"/>
  <c r="Z321" i="1"/>
  <c r="Z90" i="1"/>
  <c r="Z377" i="1"/>
  <c r="Z500" i="1"/>
  <c r="Z151" i="1"/>
  <c r="Z123" i="1"/>
  <c r="Z116" i="1"/>
  <c r="Z69" i="1"/>
  <c r="Y548" i="1"/>
  <c r="Z31" i="1"/>
  <c r="Z487" i="1"/>
  <c r="Z461" i="1"/>
  <c r="Z370" i="1"/>
  <c r="Z267" i="1"/>
  <c r="Z241" i="1"/>
  <c r="Z235" i="1"/>
  <c r="Z227" i="1"/>
  <c r="Z133" i="1"/>
  <c r="Z108" i="1"/>
  <c r="Z97" i="1"/>
  <c r="Z80" i="1"/>
  <c r="Z50" i="1"/>
  <c r="Z41" i="1"/>
  <c r="Y547" i="1"/>
  <c r="X549" i="1"/>
  <c r="Z251" i="1"/>
  <c r="Y550" i="1"/>
  <c r="Z390" i="1"/>
  <c r="Z181" i="1"/>
  <c r="Z434" i="1"/>
  <c r="Z298" i="1"/>
  <c r="Z282" i="1"/>
  <c r="Z336" i="1"/>
  <c r="Z62" i="1"/>
  <c r="Z472" i="1"/>
  <c r="Z206" i="1"/>
  <c r="Z516" i="1"/>
  <c r="Y546" i="1"/>
  <c r="Z415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<sst xmlns="http://schemas.openxmlformats.org/spreadsheetml/2006/main" count="2464" uniqueCount="894">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</sst>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800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33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0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703" t="s">
        <v>0</v>
      </c>
      <c r="E1" s="669"/>
      <c r="F1" s="669"/>
      <c r="G1" s="12" t="s">
        <v>1</v>
      </c>
      <c r="H1" s="703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64" t="s">
        <v>8</v>
      </c>
      <c r="B5" s="646"/>
      <c r="C5" s="647"/>
      <c r="D5" s="708"/>
      <c r="E5" s="709"/>
      <c r="F5" s="931" t="s">
        <v>9</v>
      </c>
      <c r="G5" s="647"/>
      <c r="H5" s="708" t="s">
        <v>893</v>
      </c>
      <c r="I5" s="871"/>
      <c r="J5" s="871"/>
      <c r="K5" s="871"/>
      <c r="L5" s="871"/>
      <c r="M5" s="709"/>
      <c r="N5" s="58"/>
      <c r="P5" s="24" t="s">
        <v>10</v>
      </c>
      <c r="Q5" s="949">
        <v>46312</v>
      </c>
      <c r="R5" s="746"/>
      <c r="T5" s="798" t="s">
        <v>11</v>
      </c>
      <c r="U5" s="795"/>
      <c r="V5" s="799" t="s">
        <v>12</v>
      </c>
      <c r="W5" s="746"/>
      <c r="AB5" s="51"/>
      <c r="AC5" s="51"/>
      <c r="AD5" s="51"/>
      <c r="AE5" s="51"/>
    </row>
    <row r="6" spans="1:32" s="614" customFormat="1" ht="24" customHeight="1" x14ac:dyDescent="0.2">
      <c r="A6" s="764" t="s">
        <v>13</v>
      </c>
      <c r="B6" s="646"/>
      <c r="C6" s="647"/>
      <c r="D6" s="873" t="s">
        <v>869</v>
      </c>
      <c r="E6" s="874"/>
      <c r="F6" s="874"/>
      <c r="G6" s="874"/>
      <c r="H6" s="874"/>
      <c r="I6" s="874"/>
      <c r="J6" s="874"/>
      <c r="K6" s="874"/>
      <c r="L6" s="874"/>
      <c r="M6" s="746"/>
      <c r="N6" s="59"/>
      <c r="P6" s="24" t="s">
        <v>14</v>
      </c>
      <c r="Q6" s="960" t="str">
        <f>IF(Q5=0," ",CHOOSE(WEEKDAY(Q5,2),"Понедельник","Вторник","Среда","Четверг","Пятница","Суббота","Воскресенье"))</f>
        <v>Суббота</v>
      </c>
      <c r="R6" s="625"/>
      <c r="T6" s="794" t="s">
        <v>15</v>
      </c>
      <c r="U6" s="795"/>
      <c r="V6" s="878" t="s">
        <v>16</v>
      </c>
      <c r="W6" s="681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83" t="str">
        <f>IFERROR(VLOOKUP(DeliveryAddress,Table,3,0),1)</f>
        <v>7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33"/>
      <c r="U7" s="795"/>
      <c r="V7" s="879"/>
      <c r="W7" s="880"/>
      <c r="AB7" s="51"/>
      <c r="AC7" s="51"/>
      <c r="AD7" s="51"/>
      <c r="AE7" s="51"/>
    </row>
    <row r="8" spans="1:32" s="614" customFormat="1" ht="25.5" customHeight="1" x14ac:dyDescent="0.2">
      <c r="A8" s="967" t="s">
        <v>17</v>
      </c>
      <c r="B8" s="638"/>
      <c r="C8" s="639"/>
      <c r="D8" s="695"/>
      <c r="E8" s="696"/>
      <c r="F8" s="696"/>
      <c r="G8" s="696"/>
      <c r="H8" s="696"/>
      <c r="I8" s="696"/>
      <c r="J8" s="696"/>
      <c r="K8" s="696"/>
      <c r="L8" s="696"/>
      <c r="M8" s="697"/>
      <c r="N8" s="61"/>
      <c r="P8" s="24" t="s">
        <v>18</v>
      </c>
      <c r="Q8" s="768">
        <v>0.41666666666666669</v>
      </c>
      <c r="R8" s="685"/>
      <c r="T8" s="633"/>
      <c r="U8" s="795"/>
      <c r="V8" s="879"/>
      <c r="W8" s="880"/>
      <c r="AB8" s="51"/>
      <c r="AC8" s="51"/>
      <c r="AD8" s="51"/>
      <c r="AE8" s="51"/>
    </row>
    <row r="9" spans="1:32" s="614" customFormat="1" ht="39.950000000000003" customHeight="1" x14ac:dyDescent="0.2">
      <c r="A9" s="75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53"/>
      <c r="E9" s="651"/>
      <c r="F9" s="75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15"/>
      <c r="P9" s="26" t="s">
        <v>19</v>
      </c>
      <c r="Q9" s="742"/>
      <c r="R9" s="743"/>
      <c r="T9" s="633"/>
      <c r="U9" s="795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5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53"/>
      <c r="E10" s="651"/>
      <c r="F10" s="75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0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9"/>
      <c r="R10" s="810"/>
      <c r="U10" s="24" t="s">
        <v>21</v>
      </c>
      <c r="V10" s="680" t="s">
        <v>22</v>
      </c>
      <c r="W10" s="681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5"/>
      <c r="R11" s="746"/>
      <c r="U11" s="24" t="s">
        <v>25</v>
      </c>
      <c r="V11" s="894" t="s">
        <v>26</v>
      </c>
      <c r="W11" s="743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1" t="s">
        <v>27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28</v>
      </c>
      <c r="Q12" s="768"/>
      <c r="R12" s="685"/>
      <c r="S12" s="23"/>
      <c r="U12" s="24"/>
      <c r="V12" s="669"/>
      <c r="W12" s="633"/>
      <c r="AB12" s="51"/>
      <c r="AC12" s="51"/>
      <c r="AD12" s="51"/>
      <c r="AE12" s="51"/>
    </row>
    <row r="13" spans="1:32" s="614" customFormat="1" ht="23.25" customHeight="1" x14ac:dyDescent="0.2">
      <c r="A13" s="781" t="s">
        <v>29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30</v>
      </c>
      <c r="Q13" s="894"/>
      <c r="R13" s="74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1" t="s">
        <v>31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17" t="s">
        <v>32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87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7" t="s">
        <v>34</v>
      </c>
      <c r="B17" s="677" t="s">
        <v>35</v>
      </c>
      <c r="C17" s="757" t="s">
        <v>36</v>
      </c>
      <c r="D17" s="677" t="s">
        <v>37</v>
      </c>
      <c r="E17" s="727"/>
      <c r="F17" s="677" t="s">
        <v>38</v>
      </c>
      <c r="G17" s="677" t="s">
        <v>39</v>
      </c>
      <c r="H17" s="677" t="s">
        <v>40</v>
      </c>
      <c r="I17" s="677" t="s">
        <v>41</v>
      </c>
      <c r="J17" s="677" t="s">
        <v>42</v>
      </c>
      <c r="K17" s="677" t="s">
        <v>43</v>
      </c>
      <c r="L17" s="677" t="s">
        <v>44</v>
      </c>
      <c r="M17" s="677" t="s">
        <v>45</v>
      </c>
      <c r="N17" s="677" t="s">
        <v>46</v>
      </c>
      <c r="O17" s="677" t="s">
        <v>47</v>
      </c>
      <c r="P17" s="677" t="s">
        <v>48</v>
      </c>
      <c r="Q17" s="726"/>
      <c r="R17" s="726"/>
      <c r="S17" s="726"/>
      <c r="T17" s="727"/>
      <c r="U17" s="979" t="s">
        <v>49</v>
      </c>
      <c r="V17" s="647"/>
      <c r="W17" s="677" t="s">
        <v>50</v>
      </c>
      <c r="X17" s="677" t="s">
        <v>51</v>
      </c>
      <c r="Y17" s="980" t="s">
        <v>52</v>
      </c>
      <c r="Z17" s="869" t="s">
        <v>53</v>
      </c>
      <c r="AA17" s="841" t="s">
        <v>54</v>
      </c>
      <c r="AB17" s="841" t="s">
        <v>55</v>
      </c>
      <c r="AC17" s="841" t="s">
        <v>56</v>
      </c>
      <c r="AD17" s="841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78"/>
      <c r="B18" s="678"/>
      <c r="C18" s="678"/>
      <c r="D18" s="728"/>
      <c r="E18" s="730"/>
      <c r="F18" s="678"/>
      <c r="G18" s="678"/>
      <c r="H18" s="678"/>
      <c r="I18" s="678"/>
      <c r="J18" s="678"/>
      <c r="K18" s="678"/>
      <c r="L18" s="678"/>
      <c r="M18" s="678"/>
      <c r="N18" s="678"/>
      <c r="O18" s="678"/>
      <c r="P18" s="728"/>
      <c r="Q18" s="729"/>
      <c r="R18" s="729"/>
      <c r="S18" s="729"/>
      <c r="T18" s="730"/>
      <c r="U18" s="67" t="s">
        <v>59</v>
      </c>
      <c r="V18" s="67" t="s">
        <v>60</v>
      </c>
      <c r="W18" s="678"/>
      <c r="X18" s="678"/>
      <c r="Y18" s="981"/>
      <c r="Z18" s="870"/>
      <c r="AA18" s="842"/>
      <c r="AB18" s="842"/>
      <c r="AC18" s="842"/>
      <c r="AD18" s="928"/>
      <c r="AE18" s="929"/>
      <c r="AF18" s="930"/>
      <c r="AG18" s="66"/>
      <c r="BD18" s="65"/>
    </row>
    <row r="19" spans="1:68" ht="27.75" hidden="1" customHeight="1" x14ac:dyDescent="0.2">
      <c r="A19" s="796" t="s">
        <v>61</v>
      </c>
      <c r="B19" s="797"/>
      <c r="C19" s="797"/>
      <c r="D19" s="797"/>
      <c r="E19" s="797"/>
      <c r="F19" s="797"/>
      <c r="G19" s="797"/>
      <c r="H19" s="797"/>
      <c r="I19" s="797"/>
      <c r="J19" s="797"/>
      <c r="K19" s="797"/>
      <c r="L19" s="797"/>
      <c r="M19" s="797"/>
      <c r="N19" s="797"/>
      <c r="O19" s="797"/>
      <c r="P19" s="797"/>
      <c r="Q19" s="797"/>
      <c r="R19" s="797"/>
      <c r="S19" s="797"/>
      <c r="T19" s="797"/>
      <c r="U19" s="797"/>
      <c r="V19" s="797"/>
      <c r="W19" s="797"/>
      <c r="X19" s="797"/>
      <c r="Y19" s="797"/>
      <c r="Z19" s="797"/>
      <c r="AA19" s="48"/>
      <c r="AB19" s="48"/>
      <c r="AC19" s="48"/>
    </row>
    <row r="20" spans="1:68" ht="16.5" hidden="1" customHeight="1" x14ac:dyDescent="0.25">
      <c r="A20" s="642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1</v>
      </c>
      <c r="Y28" s="618">
        <f>IFERROR(IF(X28="",0,CEILING((X28/$H28),1)*$H28),"")</f>
        <v>1.8</v>
      </c>
      <c r="Z28" s="36">
        <f>IFERROR(IF(Y28=0,"",ROUNDUP(Y28/H28,0)*0.00651),"")</f>
        <v>6.5100000000000002E-3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1.7666666666666666</v>
      </c>
      <c r="BN28" s="64">
        <f>IFERROR(Y28*I28/H28,"0")</f>
        <v>3.18</v>
      </c>
      <c r="BO28" s="64">
        <f>IFERROR(1/J28*(X28/H28),"0")</f>
        <v>3.0525030525030529E-3</v>
      </c>
      <c r="BP28" s="64">
        <f>IFERROR(1/J28*(Y28/H28),"0")</f>
        <v>5.4945054945054949E-3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0.55555555555555558</v>
      </c>
      <c r="Y31" s="619">
        <f>IFERROR(Y26/H26,"0")+IFERROR(Y27/H27,"0")+IFERROR(Y28/H28,"0")+IFERROR(Y29/H29,"0")+IFERROR(Y30/H30,"0")</f>
        <v>1</v>
      </c>
      <c r="Z31" s="619">
        <f>IFERROR(IF(Z26="",0,Z26),"0")+IFERROR(IF(Z27="",0,Z27),"0")+IFERROR(IF(Z28="",0,Z28),"0")+IFERROR(IF(Z29="",0,Z29),"0")+IFERROR(IF(Z30="",0,Z30),"0")</f>
        <v>6.5100000000000002E-3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1</v>
      </c>
      <c r="Y32" s="619">
        <f>IFERROR(SUM(Y26:Y30),"0")</f>
        <v>1.8</v>
      </c>
      <c r="Z32" s="37"/>
      <c r="AA32" s="620"/>
      <c r="AB32" s="620"/>
      <c r="AC32" s="620"/>
    </row>
    <row r="33" spans="1:68" ht="27.75" hidden="1" customHeight="1" x14ac:dyDescent="0.2">
      <c r="A33" s="796" t="s">
        <v>89</v>
      </c>
      <c r="B33" s="797"/>
      <c r="C33" s="797"/>
      <c r="D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797"/>
      <c r="U33" s="797"/>
      <c r="V33" s="797"/>
      <c r="W33" s="797"/>
      <c r="X33" s="797"/>
      <c r="Y33" s="797"/>
      <c r="Z33" s="797"/>
      <c r="AA33" s="48"/>
      <c r="AB33" s="48"/>
      <c r="AC33" s="48"/>
    </row>
    <row r="34" spans="1:68" ht="16.5" hidden="1" customHeight="1" x14ac:dyDescent="0.25">
      <c r="A34" s="642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8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96" t="s">
        <v>106</v>
      </c>
      <c r="B43" s="797"/>
      <c r="C43" s="797"/>
      <c r="D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797"/>
      <c r="R43" s="797"/>
      <c r="S43" s="797"/>
      <c r="T43" s="797"/>
      <c r="U43" s="797"/>
      <c r="V43" s="797"/>
      <c r="W43" s="797"/>
      <c r="X43" s="797"/>
      <c r="Y43" s="797"/>
      <c r="Z43" s="797"/>
      <c r="AA43" s="48"/>
      <c r="AB43" s="48"/>
      <c r="AC43" s="48"/>
    </row>
    <row r="44" spans="1:68" ht="16.5" hidden="1" customHeight="1" x14ac:dyDescent="0.25">
      <c r="A44" s="642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123</v>
      </c>
      <c r="Y46" s="618">
        <f>IFERROR(IF(X46="",0,CEILING((X46/$H46),1)*$H46),"")</f>
        <v>129.60000000000002</v>
      </c>
      <c r="Z46" s="36">
        <f>IFERROR(IF(Y46=0,"",ROUNDUP(Y46/H46,0)*0.01898),"")</f>
        <v>0.22776000000000002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127.66944444444445</v>
      </c>
      <c r="BN46" s="64">
        <f>IFERROR(Y46*I46/H46,"0")</f>
        <v>134.52000000000001</v>
      </c>
      <c r="BO46" s="64">
        <f>IFERROR(1/J46*(X46/H46),"0")</f>
        <v>0.17795138888888887</v>
      </c>
      <c r="BP46" s="64">
        <f>IFERROR(1/J46*(Y46/H46),"0")</f>
        <v>0.18750000000000003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9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11.388888888888888</v>
      </c>
      <c r="Y50" s="619">
        <f>IFERROR(Y46/H46,"0")+IFERROR(Y47/H47,"0")+IFERROR(Y48/H48,"0")+IFERROR(Y49/H49,"0")</f>
        <v>12.000000000000002</v>
      </c>
      <c r="Z50" s="619">
        <f>IFERROR(IF(Z46="",0,Z46),"0")+IFERROR(IF(Z47="",0,Z47),"0")+IFERROR(IF(Z48="",0,Z48),"0")+IFERROR(IF(Z49="",0,Z49),"0")</f>
        <v>0.22776000000000002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123</v>
      </c>
      <c r="Y51" s="619">
        <f>IFERROR(SUM(Y46:Y49),"0")</f>
        <v>129.60000000000002</v>
      </c>
      <c r="Z51" s="37"/>
      <c r="AA51" s="620"/>
      <c r="AB51" s="620"/>
      <c r="AC51" s="620"/>
    </row>
    <row r="52" spans="1:68" ht="16.5" hidden="1" customHeight="1" x14ac:dyDescent="0.25">
      <c r="A52" s="642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0</v>
      </c>
      <c r="Y55" s="618">
        <f t="shared" si="0"/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4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0</v>
      </c>
      <c r="Y62" s="619">
        <f>IFERROR(Y54/H54,"0")+IFERROR(Y55/H55,"0")+IFERROR(Y56/H56,"0")+IFERROR(Y57/H57,"0")+IFERROR(Y58/H58,"0")+IFERROR(Y59/H59,"0")+IFERROR(Y60/H60,"0")+IFERROR(Y61/H61,"0")</f>
        <v>0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20"/>
      <c r="AB62" s="620"/>
      <c r="AC62" s="620"/>
    </row>
    <row r="63" spans="1:68" hidden="1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0</v>
      </c>
      <c r="Y63" s="619">
        <f>IFERROR(SUM(Y54:Y61),"0")</f>
        <v>0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4</v>
      </c>
      <c r="Y65" s="618">
        <f>IFERROR(IF(X65="",0,CEILING((X65/$H65),1)*$H65),"")</f>
        <v>10.8</v>
      </c>
      <c r="Z65" s="36">
        <f>IFERROR(IF(Y65=0,"",ROUNDUP(Y65/H65,0)*0.01898),"")</f>
        <v>1.898E-2</v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4.1518518518518519</v>
      </c>
      <c r="BN65" s="64">
        <f>IFERROR(Y65*I65/H65,"0")</f>
        <v>11.21</v>
      </c>
      <c r="BO65" s="64">
        <f>IFERROR(1/J65*(X65/H65),"0")</f>
        <v>5.7870370370370367E-3</v>
      </c>
      <c r="BP65" s="64">
        <f>IFERROR(1/J65*(Y65/H65),"0")</f>
        <v>1.5625E-2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0.37037037037037035</v>
      </c>
      <c r="Y69" s="619">
        <f>IFERROR(Y65/H65,"0")+IFERROR(Y66/H66,"0")+IFERROR(Y67/H67,"0")+IFERROR(Y68/H68,"0")</f>
        <v>1</v>
      </c>
      <c r="Z69" s="619">
        <f>IFERROR(IF(Z65="",0,Z65),"0")+IFERROR(IF(Z66="",0,Z66),"0")+IFERROR(IF(Z67="",0,Z67),"0")+IFERROR(IF(Z68="",0,Z68),"0")</f>
        <v>1.898E-2</v>
      </c>
      <c r="AA69" s="620"/>
      <c r="AB69" s="620"/>
      <c r="AC69" s="620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4</v>
      </c>
      <c r="Y70" s="619">
        <f>IFERROR(SUM(Y65:Y68),"0")</f>
        <v>10.8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2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idden="1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0</v>
      </c>
      <c r="Y90" s="619">
        <f>IFERROR(Y84/H84,"0")+IFERROR(Y85/H85,"0")+IFERROR(Y86/H86,"0")+IFERROR(Y87/H87,"0")+IFERROR(Y88/H88,"0")+IFERROR(Y89/H89,"0")</f>
        <v>0</v>
      </c>
      <c r="Z90" s="619">
        <f>IFERROR(IF(Z84="",0,Z84),"0")+IFERROR(IF(Z85="",0,Z85),"0")+IFERROR(IF(Z86="",0,Z86),"0")+IFERROR(IF(Z87="",0,Z87),"0")+IFERROR(IF(Z88="",0,Z88),"0")+IFERROR(IF(Z89="",0,Z89),"0")</f>
        <v>0</v>
      </c>
      <c r="AA90" s="620"/>
      <c r="AB90" s="620"/>
      <c r="AC90" s="620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0</v>
      </c>
      <c r="Y91" s="619">
        <f>IFERROR(SUM(Y84:Y89),"0")</f>
        <v>0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5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216</v>
      </c>
      <c r="Y93" s="618">
        <f>IFERROR(IF(X93="",0,CEILING((X93/$H93),1)*$H93),"")</f>
        <v>218.7</v>
      </c>
      <c r="Z93" s="36">
        <f>IFERROR(IF(Y93=0,"",ROUNDUP(Y93/H93,0)*0.01898),"")</f>
        <v>0.51246000000000003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229.17333333333332</v>
      </c>
      <c r="BN93" s="64">
        <f>IFERROR(Y93*I93/H93,"0")</f>
        <v>232.03799999999998</v>
      </c>
      <c r="BO93" s="64">
        <f>IFERROR(1/J93*(X93/H93),"0")</f>
        <v>0.41666666666666669</v>
      </c>
      <c r="BP93" s="64">
        <f>IFERROR(1/J93*(Y93/H93),"0")</f>
        <v>0.421875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6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26.666666666666668</v>
      </c>
      <c r="Y97" s="619">
        <f>IFERROR(Y93/H93,"0")+IFERROR(Y94/H94,"0")+IFERROR(Y95/H95,"0")+IFERROR(Y96/H96,"0")</f>
        <v>27</v>
      </c>
      <c r="Z97" s="619">
        <f>IFERROR(IF(Z93="",0,Z93),"0")+IFERROR(IF(Z94="",0,Z94),"0")+IFERROR(IF(Z95="",0,Z95),"0")+IFERROR(IF(Z96="",0,Z96),"0")</f>
        <v>0.51246000000000003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216</v>
      </c>
      <c r="Y98" s="619">
        <f>IFERROR(SUM(Y93:Y96),"0")</f>
        <v>218.7</v>
      </c>
      <c r="Z98" s="37"/>
      <c r="AA98" s="620"/>
      <c r="AB98" s="620"/>
      <c r="AC98" s="620"/>
    </row>
    <row r="99" spans="1:68" ht="16.5" hidden="1" customHeight="1" x14ac:dyDescent="0.25">
      <c r="A99" s="642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88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5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4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64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24</v>
      </c>
      <c r="Y115" s="618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10</v>
      </c>
      <c r="Y116" s="619">
        <f>IFERROR(Y111/H111,"0")+IFERROR(Y112/H112,"0")+IFERROR(Y113/H113,"0")+IFERROR(Y114/H114,"0")+IFERROR(Y115/H115,"0")</f>
        <v>10</v>
      </c>
      <c r="Z116" s="619">
        <f>IFERROR(IF(Z111="",0,Z111),"0")+IFERROR(IF(Z112="",0,Z112),"0")+IFERROR(IF(Z113="",0,Z113),"0")+IFERROR(IF(Z114="",0,Z114),"0")+IFERROR(IF(Z115="",0,Z115),"0")</f>
        <v>6.5100000000000005E-2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24</v>
      </c>
      <c r="Y117" s="619">
        <f>IFERROR(SUM(Y111:Y115),"0")</f>
        <v>24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7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204</v>
      </c>
      <c r="Y119" s="618">
        <f>IFERROR(IF(X119="",0,CEILING((X119/$H119),1)*$H119),"")</f>
        <v>210.6</v>
      </c>
      <c r="Z119" s="36">
        <f>IFERROR(IF(Y119=0,"",ROUNDUP(Y119/H119,0)*0.01898),"")</f>
        <v>0.49348000000000003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216.29037037037034</v>
      </c>
      <c r="BN119" s="64">
        <f>IFERROR(Y119*I119/H119,"0")</f>
        <v>223.28799999999998</v>
      </c>
      <c r="BO119" s="64">
        <f>IFERROR(1/J119*(X119/H119),"0")</f>
        <v>0.39351851851851855</v>
      </c>
      <c r="BP119" s="64">
        <f>IFERROR(1/J119*(Y119/H119),"0")</f>
        <v>0.40625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25.185185185185187</v>
      </c>
      <c r="Y123" s="619">
        <f>IFERROR(Y119/H119,"0")+IFERROR(Y120/H120,"0")+IFERROR(Y121/H121,"0")+IFERROR(Y122/H122,"0")</f>
        <v>26</v>
      </c>
      <c r="Z123" s="619">
        <f>IFERROR(IF(Z119="",0,Z119),"0")+IFERROR(IF(Z120="",0,Z120),"0")+IFERROR(IF(Z121="",0,Z121),"0")+IFERROR(IF(Z122="",0,Z122),"0")</f>
        <v>0.49348000000000003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204</v>
      </c>
      <c r="Y124" s="619">
        <f>IFERROR(SUM(Y119:Y122),"0")</f>
        <v>210.6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9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42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21</v>
      </c>
      <c r="Y131" s="618">
        <f>IFERROR(IF(X131="",0,CEILING((X131/$H131),1)*$H131),"")</f>
        <v>22.400000000000002</v>
      </c>
      <c r="Z131" s="36">
        <f>IFERROR(IF(Y131=0,"",ROUNDUP(Y131/H131,0)*0.00651),"")</f>
        <v>4.5569999999999999E-2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22.181249999999999</v>
      </c>
      <c r="BN131" s="64">
        <f>IFERROR(Y131*I131/H131,"0")</f>
        <v>23.66</v>
      </c>
      <c r="BO131" s="64">
        <f>IFERROR(1/J131*(X131/H131),"0")</f>
        <v>3.6057692307692311E-2</v>
      </c>
      <c r="BP131" s="64">
        <f>IFERROR(1/J131*(Y131/H131),"0")</f>
        <v>3.8461538461538464E-2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6.5625</v>
      </c>
      <c r="Y133" s="619">
        <f>IFERROR(Y131/H131,"0")+IFERROR(Y132/H132,"0")</f>
        <v>7</v>
      </c>
      <c r="Z133" s="619">
        <f>IFERROR(IF(Z131="",0,Z131),"0")+IFERROR(IF(Z132="",0,Z132),"0")</f>
        <v>4.5569999999999999E-2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21</v>
      </c>
      <c r="Y134" s="619">
        <f>IFERROR(SUM(Y131:Y132),"0")</f>
        <v>22.400000000000002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14</v>
      </c>
      <c r="Y136" s="618">
        <f>IFERROR(IF(X136="",0,CEILING((X136/$H136),1)*$H136),"")</f>
        <v>14</v>
      </c>
      <c r="Z136" s="36">
        <f>IFERROR(IF(Y136=0,"",ROUNDUP(Y136/H136,0)*0.00651),"")</f>
        <v>3.2550000000000003E-2</v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15.34</v>
      </c>
      <c r="BN136" s="64">
        <f>IFERROR(Y136*I136/H136,"0")</f>
        <v>15.34</v>
      </c>
      <c r="BO136" s="64">
        <f>IFERROR(1/J136*(X136/H136),"0")</f>
        <v>2.7472527472527476E-2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5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5</v>
      </c>
      <c r="Y138" s="619">
        <f>IFERROR(Y136/H136,"0")+IFERROR(Y137/H137,"0")</f>
        <v>5</v>
      </c>
      <c r="Z138" s="619">
        <f>IFERROR(IF(Z136="",0,Z136),"0")+IFERROR(IF(Z137="",0,Z137),"0")</f>
        <v>3.2550000000000003E-2</v>
      </c>
      <c r="AA138" s="620"/>
      <c r="AB138" s="620"/>
      <c r="AC138" s="620"/>
    </row>
    <row r="139" spans="1:68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14</v>
      </c>
      <c r="Y139" s="619">
        <f>IFERROR(SUM(Y136:Y137),"0")</f>
        <v>14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12</v>
      </c>
      <c r="Y141" s="618">
        <f>IFERROR(IF(X141="",0,CEILING((X141/$H141),1)*$H141),"")</f>
        <v>13.200000000000001</v>
      </c>
      <c r="Z141" s="36">
        <f>IFERROR(IF(Y141=0,"",ROUNDUP(Y141/H141,0)*0.00651),"")</f>
        <v>3.2550000000000003E-2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13.218181818181819</v>
      </c>
      <c r="BN141" s="64">
        <f>IFERROR(Y141*I141/H141,"0")</f>
        <v>14.540000000000001</v>
      </c>
      <c r="BO141" s="64">
        <f>IFERROR(1/J141*(X141/H141),"0")</f>
        <v>2.4975024975024976E-2</v>
      </c>
      <c r="BP141" s="64">
        <f>IFERROR(1/J141*(Y141/H141),"0")</f>
        <v>2.7472527472527476E-2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4.545454545454545</v>
      </c>
      <c r="Y143" s="619">
        <f>IFERROR(Y141/H141,"0")+IFERROR(Y142/H142,"0")</f>
        <v>5</v>
      </c>
      <c r="Z143" s="619">
        <f>IFERROR(IF(Z141="",0,Z141),"0")+IFERROR(IF(Z142="",0,Z142),"0")</f>
        <v>3.2550000000000003E-2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12</v>
      </c>
      <c r="Y144" s="619">
        <f>IFERROR(SUM(Y141:Y142),"0")</f>
        <v>13.200000000000001</v>
      </c>
      <c r="Z144" s="37"/>
      <c r="AA144" s="620"/>
      <c r="AB144" s="620"/>
      <c r="AC144" s="620"/>
    </row>
    <row r="145" spans="1:68" ht="16.5" hidden="1" customHeight="1" x14ac:dyDescent="0.25">
      <c r="A145" s="642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3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2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9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3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104</v>
      </c>
      <c r="Y174" s="618">
        <f t="shared" si="15"/>
        <v>105</v>
      </c>
      <c r="Z174" s="36">
        <f>IFERROR(IF(Y174=0,"",ROUNDUP(Y174/H174,0)*0.00902),"")</f>
        <v>0.27060000000000001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109.64571428571428</v>
      </c>
      <c r="BN174" s="64">
        <f t="shared" si="17"/>
        <v>110.7</v>
      </c>
      <c r="BO174" s="64">
        <f t="shared" si="18"/>
        <v>0.22510822510822512</v>
      </c>
      <c r="BP174" s="64">
        <f t="shared" si="19"/>
        <v>0.22727272727272729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9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21</v>
      </c>
      <c r="Y176" s="618">
        <f t="shared" si="15"/>
        <v>21.84</v>
      </c>
      <c r="Z176" s="36">
        <f>IFERROR(IF(Y176=0,"",ROUNDUP(Y176/H176,0)*0.00502),"")</f>
        <v>6.5259999999999999E-2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22.250000000000004</v>
      </c>
      <c r="BN176" s="64">
        <f t="shared" si="17"/>
        <v>23.14</v>
      </c>
      <c r="BO176" s="64">
        <f t="shared" si="18"/>
        <v>5.3418803418803423E-2</v>
      </c>
      <c r="BP176" s="64">
        <f t="shared" si="19"/>
        <v>5.5555555555555559E-2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5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6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42.214285714285715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43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0.33585999999999999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125</v>
      </c>
      <c r="Y182" s="619">
        <f>IFERROR(SUM(Y171:Y180),"0")</f>
        <v>126.84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80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96" t="s">
        <v>327</v>
      </c>
      <c r="B196" s="797"/>
      <c r="C196" s="797"/>
      <c r="D196" s="797"/>
      <c r="E196" s="797"/>
      <c r="F196" s="797"/>
      <c r="G196" s="797"/>
      <c r="H196" s="797"/>
      <c r="I196" s="797"/>
      <c r="J196" s="797"/>
      <c r="K196" s="797"/>
      <c r="L196" s="797"/>
      <c r="M196" s="797"/>
      <c r="N196" s="797"/>
      <c r="O196" s="797"/>
      <c r="P196" s="797"/>
      <c r="Q196" s="797"/>
      <c r="R196" s="797"/>
      <c r="S196" s="797"/>
      <c r="T196" s="797"/>
      <c r="U196" s="797"/>
      <c r="V196" s="797"/>
      <c r="W196" s="797"/>
      <c r="X196" s="797"/>
      <c r="Y196" s="797"/>
      <c r="Z196" s="797"/>
      <c r="AA196" s="48"/>
      <c r="AB196" s="48"/>
      <c r="AC196" s="48"/>
    </row>
    <row r="197" spans="1:68" ht="16.5" hidden="1" customHeight="1" x14ac:dyDescent="0.25">
      <c r="A197" s="642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2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94</v>
      </c>
      <c r="Y214" s="618">
        <f t="shared" ref="Y214:Y226" si="26">IFERROR(IF(X214="",0,CEILING((X214/$H214),1)*$H214),"")</f>
        <v>96.600000000000009</v>
      </c>
      <c r="Z214" s="36">
        <f>IFERROR(IF(Y214=0,"",ROUNDUP(Y214/H214,0)*0.00902),"")</f>
        <v>0.20746000000000001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99.595238095238088</v>
      </c>
      <c r="BN214" s="64">
        <f t="shared" ref="BN214:BN226" si="28">IFERROR(Y214*I214/H214,"0")</f>
        <v>102.35000000000001</v>
      </c>
      <c r="BO214" s="64">
        <f t="shared" ref="BO214:BO226" si="29">IFERROR(1/J214*(X214/H214),"0")</f>
        <v>0.16955266955266954</v>
      </c>
      <c r="BP214" s="64">
        <f t="shared" ref="BP214:BP226" si="30">IFERROR(1/J214*(Y214/H214),"0")</f>
        <v>0.17424242424242425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106</v>
      </c>
      <c r="Y216" s="618">
        <f t="shared" si="26"/>
        <v>109.2</v>
      </c>
      <c r="Z216" s="36">
        <f>IFERROR(IF(Y216=0,"",ROUNDUP(Y216/H216,0)*0.00902),"")</f>
        <v>0.23452000000000001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110.79523809523809</v>
      </c>
      <c r="BN216" s="64">
        <f t="shared" si="28"/>
        <v>114.13999999999999</v>
      </c>
      <c r="BO216" s="64">
        <f t="shared" si="29"/>
        <v>0.1911976911976912</v>
      </c>
      <c r="BP216" s="64">
        <f t="shared" si="30"/>
        <v>0.19696969696969696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4</v>
      </c>
      <c r="Y217" s="618">
        <f t="shared" si="26"/>
        <v>4</v>
      </c>
      <c r="Z217" s="36">
        <f>IFERROR(IF(Y217=0,"",ROUNDUP(Y217/H217,0)*0.00556),"")</f>
        <v>2.7799999999999998E-2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4.6500000000000004</v>
      </c>
      <c r="BN217" s="64">
        <f t="shared" si="28"/>
        <v>4.6500000000000004</v>
      </c>
      <c r="BO217" s="64">
        <f t="shared" si="29"/>
        <v>1.984126984126984E-2</v>
      </c>
      <c r="BP217" s="64">
        <f t="shared" si="30"/>
        <v>1.984126984126984E-2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9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7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60</v>
      </c>
      <c r="Y224" s="618">
        <f t="shared" si="26"/>
        <v>60.900000000000006</v>
      </c>
      <c r="Z224" s="36">
        <f>IFERROR(IF(Y224=0,"",ROUNDUP(Y224/H224,0)*0.00502),"")</f>
        <v>0.14558000000000001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62.857142857142854</v>
      </c>
      <c r="BN224" s="64">
        <f t="shared" si="28"/>
        <v>63.800000000000004</v>
      </c>
      <c r="BO224" s="64">
        <f t="shared" si="29"/>
        <v>0.12210012210012211</v>
      </c>
      <c r="BP224" s="64">
        <f t="shared" si="30"/>
        <v>0.12393162393162395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81.19047619047619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83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0.61536000000000002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264</v>
      </c>
      <c r="Y228" s="619">
        <f>IFERROR(SUM(Y214:Y226),"0")</f>
        <v>270.70000000000005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5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3</v>
      </c>
      <c r="Y239" s="618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1</v>
      </c>
      <c r="Y240" s="618">
        <f>IFERROR(IF(X240="",0,CEILING((X240/$H240),1)*$H240),"")</f>
        <v>1.26</v>
      </c>
      <c r="Z240" s="36">
        <f>IFERROR(IF(Y240=0,"",ROUNDUP(Y240/H240,0)*0.0059),"")</f>
        <v>5.8999999999999999E-3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1.1507936507936507</v>
      </c>
      <c r="BN240" s="64">
        <f>IFERROR(Y240*I240/H240,"0")</f>
        <v>1.45</v>
      </c>
      <c r="BO240" s="64">
        <f>IFERROR(1/J240*(X240/H240),"0")</f>
        <v>3.6743092298647849E-3</v>
      </c>
      <c r="BP240" s="64">
        <f>IFERROR(1/J240*(Y240/H240),"0")</f>
        <v>4.6296296296296294E-3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3.1746031746031744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4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42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7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43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44.512962962962959</v>
      </c>
      <c r="BN262" s="64">
        <f t="shared" si="33"/>
        <v>44.72</v>
      </c>
      <c r="BO262" s="64">
        <f t="shared" si="34"/>
        <v>6.0325476992143662E-2</v>
      </c>
      <c r="BP262" s="64">
        <f t="shared" si="35"/>
        <v>6.0606060606060608E-2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5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15.37037037037037</v>
      </c>
      <c r="Y267" s="619">
        <f>IFERROR(Y259/H259,"0")+IFERROR(Y260/H260,"0")+IFERROR(Y261/H261,"0")+IFERROR(Y262/H262,"0")+IFERROR(Y263/H263,"0")+IFERROR(Y264/H264,"0")+IFERROR(Y265/H265,"0")+IFERROR(Y266/H266,"0")</f>
        <v>16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0.14432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83</v>
      </c>
      <c r="Y268" s="619">
        <f>IFERROR(SUM(Y259:Y266),"0")</f>
        <v>86.4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1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137</v>
      </c>
      <c r="Y276" s="618">
        <f t="shared" si="36"/>
        <v>139.19999999999999</v>
      </c>
      <c r="Z276" s="36">
        <f>IFERROR(IF(Y276=0,"",ROUNDUP(Y276/H276,0)*0.00651),"")</f>
        <v>0.37758000000000003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151.38500000000002</v>
      </c>
      <c r="BN276" s="64">
        <f t="shared" si="38"/>
        <v>153.816</v>
      </c>
      <c r="BO276" s="64">
        <f t="shared" si="39"/>
        <v>0.3136446886446887</v>
      </c>
      <c r="BP276" s="64">
        <f t="shared" si="40"/>
        <v>0.31868131868131871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80</v>
      </c>
      <c r="Y278" s="618">
        <f t="shared" si="36"/>
        <v>81.599999999999994</v>
      </c>
      <c r="Z278" s="36">
        <f>IFERROR(IF(Y278=0,"",ROUNDUP(Y278/H278,0)*0.00651),"")</f>
        <v>0.22134000000000001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88.40000000000002</v>
      </c>
      <c r="BN278" s="64">
        <f t="shared" si="38"/>
        <v>90.168000000000006</v>
      </c>
      <c r="BO278" s="64">
        <f t="shared" si="39"/>
        <v>0.18315018315018317</v>
      </c>
      <c r="BP278" s="64">
        <f t="shared" si="40"/>
        <v>0.18681318681318682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6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107.08333333333334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109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0.70959000000000005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257</v>
      </c>
      <c r="Y283" s="619">
        <f>IFERROR(SUM(Y270:Y281),"0")</f>
        <v>261.59999999999997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3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2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2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2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0</v>
      </c>
      <c r="Y326" s="618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0</v>
      </c>
      <c r="Y327" s="61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idden="1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0</v>
      </c>
      <c r="Y328" s="619">
        <f>IFERROR(Y325/H325,"0")+IFERROR(Y326/H326,"0")+IFERROR(Y327/H327,"0")</f>
        <v>0</v>
      </c>
      <c r="Z328" s="619">
        <f>IFERROR(IF(Z325="",0,Z325),"0")+IFERROR(IF(Z326="",0,Z326),"0")+IFERROR(IF(Z327="",0,Z327),"0")</f>
        <v>0</v>
      </c>
      <c r="AA328" s="620"/>
      <c r="AB328" s="620"/>
      <c r="AC328" s="620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0</v>
      </c>
      <c r="Y329" s="619">
        <f>IFERROR(SUM(Y325:Y327),"0")</f>
        <v>0</v>
      </c>
      <c r="Z329" s="37"/>
      <c r="AA329" s="620"/>
      <c r="AB329" s="620"/>
      <c r="AC329" s="620"/>
    </row>
    <row r="330" spans="1:68" ht="16.5" hidden="1" customHeight="1" x14ac:dyDescent="0.25">
      <c r="A330" s="642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9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4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6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2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90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76</v>
      </c>
      <c r="Y346" s="618">
        <f>IFERROR(IF(X346="",0,CEILING((X346/$H346),1)*$H346),"")</f>
        <v>78</v>
      </c>
      <c r="Z346" s="36">
        <f>IFERROR(IF(Y346=0,"",ROUNDUP(Y346/H346,0)*0.01898),"")</f>
        <v>0.1898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79.994871794871798</v>
      </c>
      <c r="BN346" s="64">
        <f>IFERROR(Y346*I346/H346,"0")</f>
        <v>82.100000000000023</v>
      </c>
      <c r="BO346" s="64">
        <f>IFERROR(1/J346*(X346/H346),"0")</f>
        <v>0.15224358974358976</v>
      </c>
      <c r="BP346" s="64">
        <f>IFERROR(1/J346*(Y346/H346),"0")</f>
        <v>0.15625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107</v>
      </c>
      <c r="Y347" s="618">
        <f>IFERROR(IF(X347="",0,CEILING((X347/$H347),1)*$H347),"")</f>
        <v>109.2</v>
      </c>
      <c r="Z347" s="36">
        <f>IFERROR(IF(Y347=0,"",ROUNDUP(Y347/H347,0)*0.01898),"")</f>
        <v>0.26572000000000001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112.624358974359</v>
      </c>
      <c r="BN347" s="64">
        <f>IFERROR(Y347*I347/H347,"0")</f>
        <v>114.94000000000003</v>
      </c>
      <c r="BO347" s="64">
        <f>IFERROR(1/J347*(X347/H347),"0")</f>
        <v>0.21434294871794873</v>
      </c>
      <c r="BP347" s="64">
        <f>IFERROR(1/J347*(Y347/H347),"0")</f>
        <v>0.21875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23.461538461538463</v>
      </c>
      <c r="Y349" s="619">
        <f>IFERROR(Y346/H346,"0")+IFERROR(Y347/H347,"0")+IFERROR(Y348/H348,"0")</f>
        <v>24</v>
      </c>
      <c r="Z349" s="619">
        <f>IFERROR(IF(Z346="",0,Z346),"0")+IFERROR(IF(Z347="",0,Z347),"0")+IFERROR(IF(Z348="",0,Z348),"0")</f>
        <v>0.45552000000000004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183</v>
      </c>
      <c r="Y350" s="619">
        <f>IFERROR(SUM(Y346:Y348),"0")</f>
        <v>187.2</v>
      </c>
      <c r="Z350" s="37"/>
      <c r="AA350" s="620"/>
      <c r="AB350" s="620"/>
      <c r="AC350" s="620"/>
    </row>
    <row r="351" spans="1:68" ht="16.5" hidden="1" customHeight="1" x14ac:dyDescent="0.25">
      <c r="A351" s="642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7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80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6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46</v>
      </c>
      <c r="Y380" s="618">
        <f>IFERROR(IF(X380="",0,CEILING((X380/$H380),1)*$H380),"")</f>
        <v>50.400000000000006</v>
      </c>
      <c r="Z380" s="36">
        <f>IFERROR(IF(Y380=0,"",ROUNDUP(Y380/H380,0)*0.01898),"")</f>
        <v>0.11388000000000001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48.705238095238094</v>
      </c>
      <c r="BN380" s="64">
        <f>IFERROR(Y380*I380/H380,"0")</f>
        <v>53.364000000000004</v>
      </c>
      <c r="BO380" s="64">
        <f>IFERROR(1/J380*(X380/H380),"0")</f>
        <v>8.5565476190476192E-2</v>
      </c>
      <c r="BP380" s="64">
        <f>IFERROR(1/J380*(Y380/H380),"0")</f>
        <v>9.375E-2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5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92</v>
      </c>
      <c r="Y381" s="618">
        <f>IFERROR(IF(X381="",0,CEILING((X381/$H381),1)*$H381),"")</f>
        <v>93.6</v>
      </c>
      <c r="Z381" s="36">
        <f>IFERROR(IF(Y381=0,"",ROUNDUP(Y381/H381,0)*0.01898),"")</f>
        <v>0.22776000000000002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97.826666666666668</v>
      </c>
      <c r="BN381" s="64">
        <f>IFERROR(Y381*I381/H381,"0")</f>
        <v>99.528000000000006</v>
      </c>
      <c r="BO381" s="64">
        <f>IFERROR(1/J381*(X381/H381),"0")</f>
        <v>0.18429487179487181</v>
      </c>
      <c r="BP381" s="64">
        <f>IFERROR(1/J381*(Y381/H381),"0")</f>
        <v>0.1875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1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17.27106227106227</v>
      </c>
      <c r="Y383" s="619">
        <f>IFERROR(Y380/H380,"0")+IFERROR(Y381/H381,"0")+IFERROR(Y382/H382,"0")</f>
        <v>18</v>
      </c>
      <c r="Z383" s="619">
        <f>IFERROR(IF(Z380="",0,Z380),"0")+IFERROR(IF(Z381="",0,Z381),"0")+IFERROR(IF(Z382="",0,Z382),"0")</f>
        <v>0.34164000000000005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138</v>
      </c>
      <c r="Y384" s="619">
        <f>IFERROR(SUM(Y380:Y382),"0")</f>
        <v>144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13</v>
      </c>
      <c r="Y393" s="618">
        <f>IFERROR(IF(X393="",0,CEILING((X393/$H393),1)*$H393),"")</f>
        <v>14</v>
      </c>
      <c r="Z393" s="36">
        <f>IFERROR(IF(Y393=0,"",ROUNDUP(Y393/H393,0)*0.00474),"")</f>
        <v>3.3180000000000001E-2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14.560000000000002</v>
      </c>
      <c r="BN393" s="64">
        <f>IFERROR(Y393*I393/H393,"0")</f>
        <v>15.680000000000001</v>
      </c>
      <c r="BO393" s="64">
        <f>IFERROR(1/J393*(X393/H393),"0")</f>
        <v>2.7310924369747899E-2</v>
      </c>
      <c r="BP393" s="64">
        <f>IFERROR(1/J393*(Y393/H393),"0")</f>
        <v>2.9411764705882353E-2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17</v>
      </c>
      <c r="Y394" s="618">
        <f>IFERROR(IF(X394="",0,CEILING((X394/$H394),1)*$H394),"")</f>
        <v>18</v>
      </c>
      <c r="Z394" s="36">
        <f>IFERROR(IF(Y394=0,"",ROUNDUP(Y394/H394,0)*0.00474),"")</f>
        <v>4.2660000000000003E-2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19.040000000000003</v>
      </c>
      <c r="BN394" s="64">
        <f>IFERROR(Y394*I394/H394,"0")</f>
        <v>20.160000000000004</v>
      </c>
      <c r="BO394" s="64">
        <f>IFERROR(1/J394*(X394/H394),"0")</f>
        <v>3.5714285714285712E-2</v>
      </c>
      <c r="BP394" s="64">
        <f>IFERROR(1/J394*(Y394/H394),"0")</f>
        <v>3.7815126050420166E-2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18</v>
      </c>
      <c r="Y395" s="618">
        <f>IFERROR(IF(X395="",0,CEILING((X395/$H395),1)*$H395),"")</f>
        <v>18</v>
      </c>
      <c r="Z395" s="36">
        <f>IFERROR(IF(Y395=0,"",ROUNDUP(Y395/H395,0)*0.00474),"")</f>
        <v>4.2660000000000003E-2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20.160000000000004</v>
      </c>
      <c r="BN395" s="64">
        <f>IFERROR(Y395*I395/H395,"0")</f>
        <v>20.160000000000004</v>
      </c>
      <c r="BO395" s="64">
        <f>IFERROR(1/J395*(X395/H395),"0")</f>
        <v>3.7815126050420166E-2</v>
      </c>
      <c r="BP395" s="64">
        <f>IFERROR(1/J395*(Y395/H395),"0")</f>
        <v>3.7815126050420166E-2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24</v>
      </c>
      <c r="Y396" s="619">
        <f>IFERROR(Y393/H393,"0")+IFERROR(Y394/H394,"0")+IFERROR(Y395/H395,"0")</f>
        <v>25</v>
      </c>
      <c r="Z396" s="619">
        <f>IFERROR(IF(Z393="",0,Z393),"0")+IFERROR(IF(Z394="",0,Z394),"0")+IFERROR(IF(Z395="",0,Z395),"0")</f>
        <v>0.11850000000000001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48</v>
      </c>
      <c r="Y397" s="619">
        <f>IFERROR(SUM(Y393:Y395),"0")</f>
        <v>50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0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2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8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2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96" t="s">
        <v>673</v>
      </c>
      <c r="B417" s="797"/>
      <c r="C417" s="797"/>
      <c r="D417" s="797"/>
      <c r="E417" s="797"/>
      <c r="F417" s="797"/>
      <c r="G417" s="797"/>
      <c r="H417" s="797"/>
      <c r="I417" s="797"/>
      <c r="J417" s="797"/>
      <c r="K417" s="797"/>
      <c r="L417" s="797"/>
      <c r="M417" s="797"/>
      <c r="N417" s="797"/>
      <c r="O417" s="797"/>
      <c r="P417" s="797"/>
      <c r="Q417" s="797"/>
      <c r="R417" s="797"/>
      <c r="S417" s="797"/>
      <c r="T417" s="797"/>
      <c r="U417" s="797"/>
      <c r="V417" s="797"/>
      <c r="W417" s="797"/>
      <c r="X417" s="797"/>
      <c r="Y417" s="797"/>
      <c r="Z417" s="797"/>
      <c r="AA417" s="48"/>
      <c r="AB417" s="48"/>
      <c r="AC417" s="48"/>
    </row>
    <row r="418" spans="1:68" ht="16.5" hidden="1" customHeight="1" x14ac:dyDescent="0.25">
      <c r="A418" s="642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919</v>
      </c>
      <c r="Y421" s="618">
        <f t="shared" si="61"/>
        <v>930</v>
      </c>
      <c r="Z421" s="36">
        <f>IFERROR(IF(Y421=0,"",ROUNDUP(Y421/H421,0)*0.02175),"")</f>
        <v>1.3484999999999998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947.79533333333336</v>
      </c>
      <c r="BN421" s="64">
        <f t="shared" si="63"/>
        <v>959.14</v>
      </c>
      <c r="BO421" s="64">
        <f t="shared" si="64"/>
        <v>1.2763888888888888</v>
      </c>
      <c r="BP421" s="64">
        <f t="shared" si="65"/>
        <v>1.2916666666666665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883</v>
      </c>
      <c r="Y422" s="618">
        <f t="shared" si="61"/>
        <v>885</v>
      </c>
      <c r="Z422" s="36">
        <f>IFERROR(IF(Y422=0,"",ROUNDUP(Y422/H422,0)*0.02175),"")</f>
        <v>1.28325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910.66733333333332</v>
      </c>
      <c r="BN422" s="64">
        <f t="shared" si="63"/>
        <v>912.73</v>
      </c>
      <c r="BO422" s="64">
        <f t="shared" si="64"/>
        <v>1.2263888888888888</v>
      </c>
      <c r="BP422" s="64">
        <f t="shared" si="65"/>
        <v>1.2291666666666665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339</v>
      </c>
      <c r="Y424" s="618">
        <f t="shared" si="61"/>
        <v>345</v>
      </c>
      <c r="Z424" s="36">
        <f>IFERROR(IF(Y424=0,"",ROUNDUP(Y424/H424,0)*0.02175),"")</f>
        <v>0.50024999999999997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349.62200000000001</v>
      </c>
      <c r="BN424" s="64">
        <f t="shared" si="63"/>
        <v>355.81000000000006</v>
      </c>
      <c r="BO424" s="64">
        <f t="shared" si="64"/>
        <v>0.47083333333333333</v>
      </c>
      <c r="BP424" s="64">
        <f t="shared" si="65"/>
        <v>0.47916666666666663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80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142.73333333333332</v>
      </c>
      <c r="Y428" s="619">
        <f>IFERROR(Y420/H420,"0")+IFERROR(Y421/H421,"0")+IFERROR(Y422/H422,"0")+IFERROR(Y423/H423,"0")+IFERROR(Y424/H424,"0")+IFERROR(Y425/H425,"0")+IFERROR(Y426/H426,"0")+IFERROR(Y427/H427,"0")</f>
        <v>144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3.1319999999999997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2141</v>
      </c>
      <c r="Y429" s="619">
        <f>IFERROR(SUM(Y420:Y427),"0")</f>
        <v>2160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954</v>
      </c>
      <c r="Y431" s="618">
        <f>IFERROR(IF(X431="",0,CEILING((X431/$H431),1)*$H431),"")</f>
        <v>960</v>
      </c>
      <c r="Z431" s="36">
        <f>IFERROR(IF(Y431=0,"",ROUNDUP(Y431/H431,0)*0.02175),"")</f>
        <v>1.3919999999999999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983.89200000000005</v>
      </c>
      <c r="BN431" s="64">
        <f>IFERROR(Y431*I431/H431,"0")</f>
        <v>990.08</v>
      </c>
      <c r="BO431" s="64">
        <f>IFERROR(1/J431*(X431/H431),"0")</f>
        <v>1.325</v>
      </c>
      <c r="BP431" s="64">
        <f>IFERROR(1/J431*(Y431/H431),"0")</f>
        <v>1.3333333333333333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63.6</v>
      </c>
      <c r="Y434" s="619">
        <f>IFERROR(Y431/H431,"0")+IFERROR(Y432/H432,"0")+IFERROR(Y433/H433,"0")</f>
        <v>64</v>
      </c>
      <c r="Z434" s="619">
        <f>IFERROR(IF(Z431="",0,Z431),"0")+IFERROR(IF(Z432="",0,Z432),"0")+IFERROR(IF(Z433="",0,Z433),"0")</f>
        <v>1.3919999999999999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954</v>
      </c>
      <c r="Y435" s="619">
        <f>IFERROR(SUM(Y431:Y433),"0")</f>
        <v>960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39</v>
      </c>
      <c r="Y438" s="618">
        <f>IFERROR(IF(X438="",0,CEILING((X438/$H438),1)*$H438),"")</f>
        <v>45</v>
      </c>
      <c r="Z438" s="36">
        <f>IFERROR(IF(Y438=0,"",ROUNDUP(Y438/H438,0)*0.01898),"")</f>
        <v>9.4899999999999998E-2</v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41.140666666666661</v>
      </c>
      <c r="BN438" s="64">
        <f>IFERROR(Y438*I438/H438,"0")</f>
        <v>47.47</v>
      </c>
      <c r="BO438" s="64">
        <f>IFERROR(1/J438*(X438/H438),"0")</f>
        <v>6.7708333333333329E-2</v>
      </c>
      <c r="BP438" s="64">
        <f>IFERROR(1/J438*(Y438/H438),"0")</f>
        <v>7.8125E-2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4.333333333333333</v>
      </c>
      <c r="Y440" s="619">
        <f>IFERROR(Y437/H437,"0")+IFERROR(Y438/H438,"0")+IFERROR(Y439/H439,"0")</f>
        <v>5</v>
      </c>
      <c r="Z440" s="619">
        <f>IFERROR(IF(Z437="",0,Z437),"0")+IFERROR(IF(Z438="",0,Z438),"0")+IFERROR(IF(Z439="",0,Z439),"0")</f>
        <v>9.4899999999999998E-2</v>
      </c>
      <c r="AA440" s="620"/>
      <c r="AB440" s="620"/>
      <c r="AC440" s="620"/>
    </row>
    <row r="441" spans="1:68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39</v>
      </c>
      <c r="Y441" s="619">
        <f>IFERROR(SUM(Y437:Y439),"0")</f>
        <v>45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88</v>
      </c>
      <c r="Y444" s="618">
        <f>IFERROR(IF(X444="",0,CEILING((X444/$H444),1)*$H444),"")</f>
        <v>90</v>
      </c>
      <c r="Z444" s="36">
        <f>IFERROR(IF(Y444=0,"",ROUNDUP(Y444/H444,0)*0.01898),"")</f>
        <v>0.1898</v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92.830222222222218</v>
      </c>
      <c r="BN444" s="64">
        <f>IFERROR(Y444*I444/H444,"0")</f>
        <v>94.94</v>
      </c>
      <c r="BO444" s="64">
        <f>IFERROR(1/J444*(X444/H444),"0")</f>
        <v>0.15277777777777779</v>
      </c>
      <c r="BP444" s="64">
        <f>IFERROR(1/J444*(Y444/H444),"0")</f>
        <v>0.15625</v>
      </c>
    </row>
    <row r="445" spans="1:68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9.7777777777777786</v>
      </c>
      <c r="Y445" s="619">
        <f>IFERROR(Y443/H443,"0")+IFERROR(Y444/H444,"0")</f>
        <v>10</v>
      </c>
      <c r="Z445" s="619">
        <f>IFERROR(IF(Z443="",0,Z443),"0")+IFERROR(IF(Z444="",0,Z444),"0")</f>
        <v>0.1898</v>
      </c>
      <c r="AA445" s="620"/>
      <c r="AB445" s="620"/>
      <c r="AC445" s="620"/>
    </row>
    <row r="446" spans="1:68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88</v>
      </c>
      <c r="Y446" s="619">
        <f>IFERROR(SUM(Y443:Y444),"0")</f>
        <v>90</v>
      </c>
      <c r="Z446" s="37"/>
      <c r="AA446" s="620"/>
      <c r="AB446" s="620"/>
      <c r="AC446" s="620"/>
    </row>
    <row r="447" spans="1:68" ht="16.5" hidden="1" customHeight="1" x14ac:dyDescent="0.25">
      <c r="A447" s="642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6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118</v>
      </c>
      <c r="Y458" s="618">
        <f>IFERROR(IF(X458="",0,CEILING((X458/$H458),1)*$H458),"")</f>
        <v>126</v>
      </c>
      <c r="Z458" s="36">
        <f>IFERROR(IF(Y458=0,"",ROUNDUP(Y458/H458,0)*0.01898),"")</f>
        <v>0.26572000000000001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124.47688888888888</v>
      </c>
      <c r="BN458" s="64">
        <f>IFERROR(Y458*I458/H458,"0")</f>
        <v>132.916</v>
      </c>
      <c r="BO458" s="64">
        <f>IFERROR(1/J458*(X458/H458),"0")</f>
        <v>0.2048611111111111</v>
      </c>
      <c r="BP458" s="64">
        <f>IFERROR(1/J458*(Y458/H458),"0")</f>
        <v>0.21875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13.111111111111111</v>
      </c>
      <c r="Y461" s="619">
        <f>IFERROR(Y458/H458,"0")+IFERROR(Y459/H459,"0")+IFERROR(Y460/H460,"0")</f>
        <v>14</v>
      </c>
      <c r="Z461" s="619">
        <f>IFERROR(IF(Z458="",0,Z458),"0")+IFERROR(IF(Z459="",0,Z459),"0")+IFERROR(IF(Z460="",0,Z460),"0")</f>
        <v>0.26572000000000001</v>
      </c>
      <c r="AA461" s="620"/>
      <c r="AB461" s="620"/>
      <c r="AC461" s="620"/>
    </row>
    <row r="462" spans="1:68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118</v>
      </c>
      <c r="Y462" s="619">
        <f>IFERROR(SUM(Y458:Y460),"0")</f>
        <v>126</v>
      </c>
      <c r="Z462" s="37"/>
      <c r="AA462" s="620"/>
      <c r="AB462" s="620"/>
      <c r="AC462" s="620"/>
    </row>
    <row r="463" spans="1:68" ht="27.75" hidden="1" customHeight="1" x14ac:dyDescent="0.2">
      <c r="A463" s="796" t="s">
        <v>739</v>
      </c>
      <c r="B463" s="797"/>
      <c r="C463" s="797"/>
      <c r="D463" s="797"/>
      <c r="E463" s="797"/>
      <c r="F463" s="797"/>
      <c r="G463" s="797"/>
      <c r="H463" s="797"/>
      <c r="I463" s="797"/>
      <c r="J463" s="797"/>
      <c r="K463" s="797"/>
      <c r="L463" s="797"/>
      <c r="M463" s="797"/>
      <c r="N463" s="797"/>
      <c r="O463" s="797"/>
      <c r="P463" s="797"/>
      <c r="Q463" s="797"/>
      <c r="R463" s="797"/>
      <c r="S463" s="797"/>
      <c r="T463" s="797"/>
      <c r="U463" s="797"/>
      <c r="V463" s="797"/>
      <c r="W463" s="797"/>
      <c r="X463" s="797"/>
      <c r="Y463" s="797"/>
      <c r="Z463" s="797"/>
      <c r="AA463" s="48"/>
      <c r="AB463" s="48"/>
      <c r="AC463" s="48"/>
    </row>
    <row r="464" spans="1:68" ht="16.5" hidden="1" customHeight="1" x14ac:dyDescent="0.25">
      <c r="A464" s="642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2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96" t="s">
        <v>772</v>
      </c>
      <c r="B489" s="797"/>
      <c r="C489" s="797"/>
      <c r="D489" s="797"/>
      <c r="E489" s="797"/>
      <c r="F489" s="797"/>
      <c r="G489" s="797"/>
      <c r="H489" s="797"/>
      <c r="I489" s="797"/>
      <c r="J489" s="797"/>
      <c r="K489" s="797"/>
      <c r="L489" s="797"/>
      <c r="M489" s="797"/>
      <c r="N489" s="797"/>
      <c r="O489" s="797"/>
      <c r="P489" s="797"/>
      <c r="Q489" s="797"/>
      <c r="R489" s="797"/>
      <c r="S489" s="797"/>
      <c r="T489" s="797"/>
      <c r="U489" s="797"/>
      <c r="V489" s="797"/>
      <c r="W489" s="797"/>
      <c r="X489" s="797"/>
      <c r="Y489" s="797"/>
      <c r="Z489" s="797"/>
      <c r="AA489" s="48"/>
      <c r="AB489" s="48"/>
      <c r="AC489" s="48"/>
    </row>
    <row r="490" spans="1:68" ht="16.5" hidden="1" customHeight="1" x14ac:dyDescent="0.25">
      <c r="A490" s="642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6</v>
      </c>
      <c r="Y492" s="618">
        <f t="shared" ref="Y492:Y499" si="71">IFERROR(IF(X492="",0,CEILING((X492/$H492),1)*$H492),"")</f>
        <v>10.56</v>
      </c>
      <c r="Z492" s="36">
        <f>IFERROR(IF(Y492=0,"",ROUNDUP(Y492/H492,0)*0.01196),"")</f>
        <v>2.392E-2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6.3977272727272725</v>
      </c>
      <c r="BN492" s="64">
        <f t="shared" ref="BN492:BN499" si="73">IFERROR(Y492*I492/H492,"0")</f>
        <v>11.26</v>
      </c>
      <c r="BO492" s="64">
        <f t="shared" ref="BO492:BO499" si="74">IFERROR(1/J492*(X492/H492),"0")</f>
        <v>1.0926573426573426E-2</v>
      </c>
      <c r="BP492" s="64">
        <f t="shared" ref="BP492:BP499" si="75">IFERROR(1/J492*(Y492/H492),"0")</f>
        <v>1.9230769230769232E-2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4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33</v>
      </c>
      <c r="Y494" s="618">
        <f t="shared" si="71"/>
        <v>36.96</v>
      </c>
      <c r="Z494" s="36">
        <f>IFERROR(IF(Y494=0,"",ROUNDUP(Y494/H494,0)*0.01196),"")</f>
        <v>8.3720000000000003E-2</v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35.1875</v>
      </c>
      <c r="BN494" s="64">
        <f t="shared" si="73"/>
        <v>39.409999999999997</v>
      </c>
      <c r="BO494" s="64">
        <f t="shared" si="74"/>
        <v>6.0096153846153848E-2</v>
      </c>
      <c r="BP494" s="64">
        <f t="shared" si="75"/>
        <v>6.7307692307692318E-2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116</v>
      </c>
      <c r="Y495" s="618">
        <f t="shared" si="71"/>
        <v>116.16000000000001</v>
      </c>
      <c r="Z495" s="36">
        <f>IFERROR(IF(Y495=0,"",ROUNDUP(Y495/H495,0)*0.01196),"")</f>
        <v>0.26312000000000002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123.68939393939394</v>
      </c>
      <c r="BN495" s="64">
        <f t="shared" si="73"/>
        <v>123.86</v>
      </c>
      <c r="BO495" s="64">
        <f t="shared" si="74"/>
        <v>0.21124708624708624</v>
      </c>
      <c r="BP495" s="64">
        <f t="shared" si="75"/>
        <v>0.21153846153846156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163</v>
      </c>
      <c r="Y496" s="618">
        <f t="shared" si="71"/>
        <v>163.68</v>
      </c>
      <c r="Z496" s="36">
        <f>IFERROR(IF(Y496=0,"",ROUNDUP(Y496/H496,0)*0.01196),"")</f>
        <v>0.37075999999999998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173.80492424242422</v>
      </c>
      <c r="BN496" s="64">
        <f t="shared" si="73"/>
        <v>174.53</v>
      </c>
      <c r="BO496" s="64">
        <f t="shared" si="74"/>
        <v>0.29683857808857811</v>
      </c>
      <c r="BP496" s="64">
        <f t="shared" si="75"/>
        <v>0.29807692307692307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52</v>
      </c>
      <c r="Y499" s="618">
        <f t="shared" si="71"/>
        <v>52.8</v>
      </c>
      <c r="Z499" s="36">
        <f>IFERROR(IF(Y499=0,"",ROUNDUP(Y499/H499,0)*0.00902),"")</f>
        <v>9.9220000000000003E-2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74.858333333333334</v>
      </c>
      <c r="BN499" s="64">
        <f t="shared" si="73"/>
        <v>76.010000000000005</v>
      </c>
      <c r="BO499" s="64">
        <f t="shared" si="74"/>
        <v>8.2070707070707072E-2</v>
      </c>
      <c r="BP499" s="64">
        <f t="shared" si="75"/>
        <v>8.3333333333333343E-2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71.060606060606062</v>
      </c>
      <c r="Y500" s="619">
        <f>IFERROR(Y492/H492,"0")+IFERROR(Y493/H493,"0")+IFERROR(Y494/H494,"0")+IFERROR(Y495/H495,"0")+IFERROR(Y496/H496,"0")+IFERROR(Y497/H497,"0")+IFERROR(Y498/H498,"0")+IFERROR(Y499/H499,"0")</f>
        <v>73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0.84073999999999993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370</v>
      </c>
      <c r="Y501" s="619">
        <f>IFERROR(SUM(Y492:Y499),"0")</f>
        <v>380.16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155</v>
      </c>
      <c r="Y503" s="618">
        <f>IFERROR(IF(X503="",0,CEILING((X503/$H503),1)*$H503),"")</f>
        <v>158.4</v>
      </c>
      <c r="Z503" s="36">
        <f>IFERROR(IF(Y503=0,"",ROUNDUP(Y503/H503,0)*0.01196),"")</f>
        <v>0.35880000000000001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165.27462121212119</v>
      </c>
      <c r="BN503" s="64">
        <f>IFERROR(Y503*I503/H503,"0")</f>
        <v>168.9</v>
      </c>
      <c r="BO503" s="64">
        <f>IFERROR(1/J503*(X503/H503),"0")</f>
        <v>0.28226981351981351</v>
      </c>
      <c r="BP503" s="64">
        <f>IFERROR(1/J503*(Y503/H503),"0")</f>
        <v>0.28846153846153849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29.356060606060606</v>
      </c>
      <c r="Y506" s="619">
        <f>IFERROR(Y503/H503,"0")+IFERROR(Y504/H504,"0")+IFERROR(Y505/H505,"0")</f>
        <v>30</v>
      </c>
      <c r="Z506" s="619">
        <f>IFERROR(IF(Z503="",0,Z503),"0")+IFERROR(IF(Z504="",0,Z504),"0")+IFERROR(IF(Z505="",0,Z505),"0")</f>
        <v>0.35880000000000001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155</v>
      </c>
      <c r="Y507" s="619">
        <f>IFERROR(SUM(Y503:Y505),"0")</f>
        <v>158.4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37</v>
      </c>
      <c r="Y509" s="618">
        <f t="shared" ref="Y509:Y515" si="76">IFERROR(IF(X509="",0,CEILING((X509/$H509),1)*$H509),"")</f>
        <v>42.24</v>
      </c>
      <c r="Z509" s="36">
        <f>IFERROR(IF(Y509=0,"",ROUNDUP(Y509/H509,0)*0.01196),"")</f>
        <v>9.5680000000000001E-2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39.452651515151516</v>
      </c>
      <c r="BN509" s="64">
        <f t="shared" ref="BN509:BN515" si="78">IFERROR(Y509*I509/H509,"0")</f>
        <v>45.04</v>
      </c>
      <c r="BO509" s="64">
        <f t="shared" ref="BO509:BO515" si="79">IFERROR(1/J509*(X509/H509),"0")</f>
        <v>6.7380536130536128E-2</v>
      </c>
      <c r="BP509" s="64">
        <f t="shared" ref="BP509:BP515" si="80">IFERROR(1/J509*(Y509/H509),"0")</f>
        <v>7.6923076923076927E-2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78</v>
      </c>
      <c r="Y511" s="618">
        <f t="shared" si="76"/>
        <v>79.2</v>
      </c>
      <c r="Z511" s="36">
        <f>IFERROR(IF(Y511=0,"",ROUNDUP(Y511/H511,0)*0.01196),"")</f>
        <v>0.1794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83.170454545454533</v>
      </c>
      <c r="BN511" s="64">
        <f t="shared" si="78"/>
        <v>84.45</v>
      </c>
      <c r="BO511" s="64">
        <f t="shared" si="79"/>
        <v>0.14204545454545453</v>
      </c>
      <c r="BP511" s="64">
        <f t="shared" si="80"/>
        <v>0.14423076923076925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21.780303030303028</v>
      </c>
      <c r="Y516" s="619">
        <f>IFERROR(Y509/H509,"0")+IFERROR(Y510/H510,"0")+IFERROR(Y511/H511,"0")+IFERROR(Y512/H512,"0")+IFERROR(Y513/H513,"0")+IFERROR(Y514/H514,"0")+IFERROR(Y515/H515,"0")</f>
        <v>23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0.27507999999999999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115</v>
      </c>
      <c r="Y517" s="619">
        <f>IFERROR(SUM(Y509:Y515),"0")</f>
        <v>121.44</v>
      </c>
      <c r="Z517" s="37"/>
      <c r="AA517" s="620"/>
      <c r="AB517" s="620"/>
      <c r="AC517" s="620"/>
    </row>
    <row r="518" spans="1:68" ht="27.75" hidden="1" customHeight="1" x14ac:dyDescent="0.2">
      <c r="A518" s="796" t="s">
        <v>816</v>
      </c>
      <c r="B518" s="797"/>
      <c r="C518" s="797"/>
      <c r="D518" s="797"/>
      <c r="E518" s="797"/>
      <c r="F518" s="797"/>
      <c r="G518" s="797"/>
      <c r="H518" s="797"/>
      <c r="I518" s="797"/>
      <c r="J518" s="797"/>
      <c r="K518" s="797"/>
      <c r="L518" s="797"/>
      <c r="M518" s="797"/>
      <c r="N518" s="797"/>
      <c r="O518" s="797"/>
      <c r="P518" s="797"/>
      <c r="Q518" s="797"/>
      <c r="R518" s="797"/>
      <c r="S518" s="797"/>
      <c r="T518" s="797"/>
      <c r="U518" s="797"/>
      <c r="V518" s="797"/>
      <c r="W518" s="797"/>
      <c r="X518" s="797"/>
      <c r="Y518" s="797"/>
      <c r="Z518" s="797"/>
      <c r="AA518" s="48"/>
      <c r="AB518" s="48"/>
      <c r="AC518" s="48"/>
    </row>
    <row r="519" spans="1:68" ht="16.5" hidden="1" customHeight="1" x14ac:dyDescent="0.25">
      <c r="A519" s="642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40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9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64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8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2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9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5"/>
      <c r="P546" s="645" t="s">
        <v>838</v>
      </c>
      <c r="Q546" s="646"/>
      <c r="R546" s="646"/>
      <c r="S546" s="646"/>
      <c r="T546" s="646"/>
      <c r="U546" s="646"/>
      <c r="V546" s="647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5701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5817.8799999999992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5"/>
      <c r="P547" s="645" t="s">
        <v>839</v>
      </c>
      <c r="Q547" s="646"/>
      <c r="R547" s="646"/>
      <c r="S547" s="646"/>
      <c r="T547" s="646"/>
      <c r="U547" s="646"/>
      <c r="V547" s="647"/>
      <c r="W547" s="37" t="s">
        <v>67</v>
      </c>
      <c r="X547" s="619">
        <f>IFERROR(SUM(BM22:BM543),"0")</f>
        <v>5985.1641628279131</v>
      </c>
      <c r="Y547" s="619">
        <f>IFERROR(SUM(BN22:BN543),"0")</f>
        <v>6109.2439999999997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5"/>
      <c r="P548" s="645" t="s">
        <v>840</v>
      </c>
      <c r="Q548" s="646"/>
      <c r="R548" s="646"/>
      <c r="S548" s="646"/>
      <c r="T548" s="646"/>
      <c r="U548" s="646"/>
      <c r="V548" s="647"/>
      <c r="W548" s="37" t="s">
        <v>841</v>
      </c>
      <c r="X548" s="38">
        <f>ROUNDUP(SUM(BO22:BO543),0)</f>
        <v>10</v>
      </c>
      <c r="Y548" s="38">
        <f>ROUNDUP(SUM(BP22:BP543),0)</f>
        <v>10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5"/>
      <c r="P549" s="645" t="s">
        <v>842</v>
      </c>
      <c r="Q549" s="646"/>
      <c r="R549" s="646"/>
      <c r="S549" s="646"/>
      <c r="T549" s="646"/>
      <c r="U549" s="646"/>
      <c r="V549" s="647"/>
      <c r="W549" s="37" t="s">
        <v>67</v>
      </c>
      <c r="X549" s="619">
        <f>GrossWeightTotal+PalletQtyTotal*25</f>
        <v>6235.1641628279131</v>
      </c>
      <c r="Y549" s="619">
        <f>GrossWeightTotalR+PalletQtyTotalR*25</f>
        <v>6359.2439999999997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5"/>
      <c r="P550" s="645" t="s">
        <v>843</v>
      </c>
      <c r="Q550" s="646"/>
      <c r="R550" s="646"/>
      <c r="S550" s="646"/>
      <c r="T550" s="646"/>
      <c r="U550" s="646"/>
      <c r="V550" s="647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759.79281598031605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779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5"/>
      <c r="P551" s="645" t="s">
        <v>844</v>
      </c>
      <c r="Q551" s="646"/>
      <c r="R551" s="646"/>
      <c r="S551" s="646"/>
      <c r="T551" s="646"/>
      <c r="U551" s="646"/>
      <c r="V551" s="647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10.728390000000001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88"/>
      <c r="F553" s="888"/>
      <c r="G553" s="888"/>
      <c r="H553" s="888"/>
      <c r="I553" s="888"/>
      <c r="J553" s="631"/>
      <c r="K553" s="630" t="s">
        <v>327</v>
      </c>
      <c r="L553" s="888"/>
      <c r="M553" s="888"/>
      <c r="N553" s="888"/>
      <c r="O553" s="888"/>
      <c r="P553" s="888"/>
      <c r="Q553" s="888"/>
      <c r="R553" s="888"/>
      <c r="S553" s="888"/>
      <c r="T553" s="888"/>
      <c r="U553" s="888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3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4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10"/>
      <c r="O555" s="661"/>
      <c r="P555" s="661"/>
      <c r="Q555" s="661"/>
      <c r="R555" s="661"/>
      <c r="S555" s="661"/>
      <c r="T555" s="661"/>
      <c r="U555" s="661"/>
      <c r="V555" s="661"/>
      <c r="W555" s="661"/>
      <c r="X555" s="661"/>
      <c r="Y555" s="661"/>
      <c r="Z555" s="661"/>
      <c r="AA555" s="661"/>
      <c r="AB555" s="661"/>
      <c r="AC555" s="661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1.8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129.60000000000002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10.8</v>
      </c>
      <c r="F556" s="46">
        <f>IFERROR(Y84*1,"0")+IFERROR(Y85*1,"0")+IFERROR(Y86*1,"0")+IFERROR(Y87*1,"0")+IFERROR(Y88*1,"0")+IFERROR(Y89*1,"0")+IFERROR(Y93*1,"0")+IFERROR(Y94*1,"0")+IFERROR(Y95*1,"0")+IFERROR(Y96*1,"0")</f>
        <v>218.7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234.6</v>
      </c>
      <c r="H556" s="46">
        <f>IFERROR(Y131*1,"0")+IFERROR(Y132*1,"0")+IFERROR(Y136*1,"0")+IFERROR(Y137*1,"0")+IFERROR(Y141*1,"0")+IFERROR(Y142*1,"0")</f>
        <v>49.600000000000009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126.84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275.74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348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0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187.2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194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3255</v>
      </c>
      <c r="X556" s="46">
        <f>IFERROR(Y449*1,"0")+IFERROR(Y450*1,"0")+IFERROR(Y454*1,"0")+IFERROR(Y458*1,"0")+IFERROR(Y459*1,"0")+IFERROR(Y460*1,"0")</f>
        <v>126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660.00000000000011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1,00"/>
        <filter val="10"/>
        <filter val="10,00"/>
        <filter val="104,00"/>
        <filter val="106,00"/>
        <filter val="107,00"/>
        <filter val="107,08"/>
        <filter val="11,39"/>
        <filter val="115,00"/>
        <filter val="116,00"/>
        <filter val="118,00"/>
        <filter val="12,00"/>
        <filter val="123,00"/>
        <filter val="125,00"/>
        <filter val="13,00"/>
        <filter val="13,11"/>
        <filter val="137,00"/>
        <filter val="138,00"/>
        <filter val="14,00"/>
        <filter val="142,73"/>
        <filter val="15,37"/>
        <filter val="155,00"/>
        <filter val="163,00"/>
        <filter val="17,00"/>
        <filter val="17,27"/>
        <filter val="18,00"/>
        <filter val="183,00"/>
        <filter val="2 141,00"/>
        <filter val="204,00"/>
        <filter val="21,00"/>
        <filter val="21,78"/>
        <filter val="216,00"/>
        <filter val="23,46"/>
        <filter val="24,00"/>
        <filter val="25,19"/>
        <filter val="257,00"/>
        <filter val="26,67"/>
        <filter val="264,00"/>
        <filter val="29,36"/>
        <filter val="3,00"/>
        <filter val="3,17"/>
        <filter val="33,00"/>
        <filter val="339,00"/>
        <filter val="37,00"/>
        <filter val="370,00"/>
        <filter val="39,00"/>
        <filter val="4,00"/>
        <filter val="4,33"/>
        <filter val="4,55"/>
        <filter val="40,00"/>
        <filter val="42,21"/>
        <filter val="43,00"/>
        <filter val="46,00"/>
        <filter val="48,00"/>
        <filter val="5 701,00"/>
        <filter val="5 985,16"/>
        <filter val="5,00"/>
        <filter val="52,00"/>
        <filter val="6 235,16"/>
        <filter val="6,00"/>
        <filter val="6,56"/>
        <filter val="60,00"/>
        <filter val="63,60"/>
        <filter val="71,06"/>
        <filter val="759,79"/>
        <filter val="76,00"/>
        <filter val="78,00"/>
        <filter val="80,00"/>
        <filter val="81,19"/>
        <filter val="83,00"/>
        <filter val="88,00"/>
        <filter val="883,00"/>
        <filter val="9,78"/>
        <filter val="919,00"/>
        <filter val="92,00"/>
        <filter val="94,00"/>
        <filter val="954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O554:O555"/>
    <mergeCell ref="P433:T433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D249:E249"/>
    <mergeCell ref="P262:T262"/>
    <mergeCell ref="D105:E105"/>
    <mergeCell ref="D276:E276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R554:R555"/>
    <mergeCell ref="P194:V194"/>
    <mergeCell ref="A402:O403"/>
    <mergeCell ref="D513:E513"/>
    <mergeCell ref="D223:E223"/>
    <mergeCell ref="D279:E279"/>
    <mergeCell ref="D394:E394"/>
    <mergeCell ref="A434:O435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P107:T107"/>
    <mergeCell ref="D150:E150"/>
    <mergeCell ref="P278:T278"/>
    <mergeCell ref="P63:V63"/>
    <mergeCell ref="P101:T101"/>
    <mergeCell ref="D215:E215"/>
    <mergeCell ref="D386:E386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523:V523"/>
    <mergeCell ref="A404:Z404"/>
    <mergeCell ref="A544:O545"/>
    <mergeCell ref="P364:T364"/>
    <mergeCell ref="P509:T509"/>
    <mergeCell ref="A546:O551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529:E529"/>
    <mergeCell ref="P539:V539"/>
    <mergeCell ref="H554:H555"/>
    <mergeCell ref="J554:J555"/>
    <mergeCell ref="P476:V476"/>
    <mergeCell ref="D459:E459"/>
    <mergeCell ref="A532:Z532"/>
    <mergeCell ref="D136:E136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86:E86"/>
    <mergeCell ref="P214:T214"/>
    <mergeCell ref="P270:T270"/>
    <mergeCell ref="P341:T341"/>
    <mergeCell ref="A457:Z457"/>
    <mergeCell ref="P48:T48"/>
    <mergeCell ref="D292:E292"/>
    <mergeCell ref="P346:T346"/>
    <mergeCell ref="P399:T399"/>
    <mergeCell ref="D450:E450"/>
    <mergeCell ref="P121:T121"/>
    <mergeCell ref="A428:O429"/>
    <mergeCell ref="P357:T357"/>
    <mergeCell ref="D216:E216"/>
    <mergeCell ref="D265:E265"/>
    <mergeCell ref="P195:V195"/>
    <mergeCell ref="P176:T176"/>
    <mergeCell ref="D226:E226"/>
    <mergeCell ref="P354:T354"/>
    <mergeCell ref="D305:E305"/>
    <mergeCell ref="D270:E270"/>
    <mergeCell ref="P420:T420"/>
    <mergeCell ref="A130:Z130"/>
    <mergeCell ref="D310:E310"/>
    <mergeCell ref="P32:V32"/>
    <mergeCell ref="Q13:R13"/>
    <mergeCell ref="P97:V97"/>
    <mergeCell ref="D222:E222"/>
    <mergeCell ref="G17:G18"/>
    <mergeCell ref="P333:T333"/>
    <mergeCell ref="P242:V242"/>
    <mergeCell ref="D159:E159"/>
    <mergeCell ref="P42:V42"/>
    <mergeCell ref="P59:T59"/>
    <mergeCell ref="P123:V123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A127:O128"/>
    <mergeCell ref="P301:T301"/>
    <mergeCell ref="P295:T295"/>
    <mergeCell ref="P178:T178"/>
    <mergeCell ref="P105:T105"/>
    <mergeCell ref="AC554:AC555"/>
    <mergeCell ref="A455:O456"/>
    <mergeCell ref="S554:S555"/>
    <mergeCell ref="U554:U555"/>
    <mergeCell ref="P533:T533"/>
    <mergeCell ref="P549:V549"/>
    <mergeCell ref="D509:E509"/>
    <mergeCell ref="P512:T512"/>
    <mergeCell ref="K553:V553"/>
    <mergeCell ref="A530:O531"/>
    <mergeCell ref="P511:T511"/>
    <mergeCell ref="P507:V507"/>
    <mergeCell ref="A506:O507"/>
    <mergeCell ref="P534:V534"/>
    <mergeCell ref="P525:T525"/>
    <mergeCell ref="P470:T470"/>
    <mergeCell ref="D521:E521"/>
    <mergeCell ref="AB554:AB555"/>
    <mergeCell ref="A518:Z518"/>
    <mergeCell ref="A520:Z520"/>
    <mergeCell ref="G554:G555"/>
    <mergeCell ref="I554:I555"/>
    <mergeCell ref="A476:O477"/>
    <mergeCell ref="D525:E525"/>
    <mergeCell ref="V6:W9"/>
    <mergeCell ref="D199:E199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P49:T49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A336:O337"/>
    <mergeCell ref="P116:V116"/>
    <mergeCell ref="D39:E39"/>
    <mergeCell ref="D449:E449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D36:E36"/>
    <mergeCell ref="P96:T96"/>
    <mergeCell ref="A80:O81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475:T475"/>
    <mergeCell ref="P384:V384"/>
    <mergeCell ref="P455:V455"/>
    <mergeCell ref="A372:Z372"/>
    <mergeCell ref="P393:T393"/>
    <mergeCell ref="D374:E374"/>
    <mergeCell ref="P395:T395"/>
    <mergeCell ref="D438:E438"/>
    <mergeCell ref="D425:E425"/>
    <mergeCell ref="A464:Z464"/>
    <mergeCell ref="A489:Z489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P193:T193"/>
    <mergeCell ref="P320:T320"/>
    <mergeCell ref="P236:V236"/>
    <mergeCell ref="D368:E368"/>
    <mergeCell ref="P106:T106"/>
    <mergeCell ref="P177:T177"/>
    <mergeCell ref="P93:T93"/>
    <mergeCell ref="P226:T226"/>
    <mergeCell ref="A50:O51"/>
    <mergeCell ref="A158:Z158"/>
    <mergeCell ref="A351:Z351"/>
    <mergeCell ref="D273:E273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P22:T22"/>
    <mergeCell ref="D65:E65"/>
    <mergeCell ref="P40:T40"/>
    <mergeCell ref="P328:V328"/>
    <mergeCell ref="A209:Z209"/>
    <mergeCell ref="A302:O303"/>
    <mergeCell ref="A338:Z338"/>
    <mergeCell ref="P232:T232"/>
    <mergeCell ref="D359:E359"/>
    <mergeCell ref="P327:T327"/>
    <mergeCell ref="P252:V252"/>
    <mergeCell ref="P307:V307"/>
    <mergeCell ref="A390:O391"/>
    <mergeCell ref="D203:E203"/>
    <mergeCell ref="P152:V152"/>
    <mergeCell ref="A82:Z82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P26:T26"/>
    <mergeCell ref="P461:V461"/>
    <mergeCell ref="A143:O144"/>
    <mergeCell ref="A92:Z9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P387:T387"/>
    <mergeCell ref="P124:V124"/>
    <mergeCell ref="P360:V360"/>
    <mergeCell ref="D422:E422"/>
    <mergeCell ref="P80:V80"/>
    <mergeCell ref="P87:T87"/>
    <mergeCell ref="P151:V151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419:Z419"/>
    <mergeCell ref="P77:T77"/>
    <mergeCell ref="P204:T204"/>
    <mergeCell ref="P179:T179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A198:Z198"/>
    <mergeCell ref="P375:T375"/>
    <mergeCell ref="P159:T159"/>
    <mergeCell ref="P227:V227"/>
    <mergeCell ref="P380:T380"/>
    <mergeCell ref="P276:T276"/>
    <mergeCell ref="A245:O246"/>
    <mergeCell ref="P149:T149"/>
    <mergeCell ref="P174:T174"/>
    <mergeCell ref="T5:U5"/>
    <mergeCell ref="D119:E119"/>
    <mergeCell ref="V5:W5"/>
    <mergeCell ref="P203:T203"/>
    <mergeCell ref="D46:E46"/>
    <mergeCell ref="P374:T374"/>
    <mergeCell ref="P310:T310"/>
    <mergeCell ref="P272:T272"/>
    <mergeCell ref="P210:T210"/>
    <mergeCell ref="D327:E327"/>
    <mergeCell ref="A267:O268"/>
    <mergeCell ref="D106:E106"/>
    <mergeCell ref="A41:O42"/>
    <mergeCell ref="P185:T185"/>
    <mergeCell ref="D93:E93"/>
    <mergeCell ref="D264:E264"/>
    <mergeCell ref="A133:O134"/>
    <mergeCell ref="D220:E220"/>
    <mergeCell ref="P277:T277"/>
    <mergeCell ref="P36:T36"/>
    <mergeCell ref="P50:V50"/>
    <mergeCell ref="D29:E29"/>
    <mergeCell ref="Q10:R10"/>
    <mergeCell ref="D185:E185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D68:E68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P132:T132"/>
    <mergeCell ref="P406:T406"/>
    <mergeCell ref="D388:E388"/>
    <mergeCell ref="P133:V133"/>
    <mergeCell ref="A328:O329"/>
    <mergeCell ref="P127:V127"/>
    <mergeCell ref="P298:V298"/>
    <mergeCell ref="D339:E339"/>
    <mergeCell ref="A490:Z490"/>
    <mergeCell ref="D201:E201"/>
    <mergeCell ref="D335:E335"/>
    <mergeCell ref="A440:O441"/>
    <mergeCell ref="P427:T427"/>
    <mergeCell ref="P428:V428"/>
    <mergeCell ref="A442:Z442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340:T340"/>
    <mergeCell ref="P191:V191"/>
    <mergeCell ref="P51:V51"/>
    <mergeCell ref="D179:E179"/>
    <mergeCell ref="A6:C6"/>
    <mergeCell ref="P167:T167"/>
    <mergeCell ref="P336:V336"/>
    <mergeCell ref="P55:T55"/>
    <mergeCell ref="D115:E115"/>
    <mergeCell ref="Q12:R12"/>
    <mergeCell ref="P280:T280"/>
    <mergeCell ref="D261:E261"/>
    <mergeCell ref="P119:T119"/>
    <mergeCell ref="P62:V62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