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A136F7-DC09-47CE-9D51-00D7163F5BC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P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BN469" i="2" s="1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Y396" i="2" s="1"/>
  <c r="P393" i="2"/>
  <c r="X391" i="2"/>
  <c r="X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Y329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BO54" i="2"/>
  <c r="BM54" i="2"/>
  <c r="Y54" i="2"/>
  <c r="BP54" i="2" s="1"/>
  <c r="P54" i="2"/>
  <c r="X51" i="2"/>
  <c r="X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P37" i="2"/>
  <c r="BO36" i="2"/>
  <c r="BM36" i="2"/>
  <c r="Y36" i="2"/>
  <c r="BP36" i="2" s="1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Y288" i="2" l="1"/>
  <c r="Y445" i="2"/>
  <c r="Y501" i="2"/>
  <c r="BN178" i="2"/>
  <c r="Z178" i="2"/>
  <c r="Y370" i="2"/>
  <c r="Y187" i="2"/>
  <c r="BP537" i="2"/>
  <c r="BN537" i="2"/>
  <c r="Y534" i="2"/>
  <c r="Y535" i="2"/>
  <c r="Z529" i="2"/>
  <c r="Z530" i="2" s="1"/>
  <c r="Y530" i="2"/>
  <c r="BN529" i="2"/>
  <c r="Y527" i="2"/>
  <c r="BN525" i="2"/>
  <c r="Y522" i="2"/>
  <c r="Y523" i="2"/>
  <c r="BP514" i="2"/>
  <c r="BN514" i="2"/>
  <c r="BN512" i="2"/>
  <c r="BP512" i="2"/>
  <c r="Z505" i="2"/>
  <c r="BP505" i="2"/>
  <c r="BN505" i="2"/>
  <c r="BN499" i="2"/>
  <c r="BP499" i="2"/>
  <c r="BN497" i="2"/>
  <c r="Z497" i="2"/>
  <c r="BP494" i="2"/>
  <c r="Z494" i="2"/>
  <c r="BN485" i="2"/>
  <c r="Z485" i="2"/>
  <c r="Y482" i="2"/>
  <c r="Z480" i="2"/>
  <c r="Z481" i="2" s="1"/>
  <c r="BN470" i="2"/>
  <c r="BP470" i="2"/>
  <c r="Z470" i="2"/>
  <c r="BP468" i="2"/>
  <c r="Z468" i="2"/>
  <c r="Y456" i="2"/>
  <c r="BN454" i="2"/>
  <c r="BP450" i="2"/>
  <c r="BN450" i="2"/>
  <c r="BP444" i="2"/>
  <c r="Z444" i="2"/>
  <c r="BN439" i="2"/>
  <c r="BP439" i="2"/>
  <c r="Y441" i="2"/>
  <c r="Z437" i="2"/>
  <c r="BN432" i="2"/>
  <c r="Z432" i="2"/>
  <c r="BP427" i="2"/>
  <c r="BN427" i="2"/>
  <c r="BP422" i="2"/>
  <c r="BN422" i="2"/>
  <c r="BP420" i="2"/>
  <c r="BN420" i="2"/>
  <c r="Z413" i="2"/>
  <c r="BN413" i="2"/>
  <c r="BN407" i="2"/>
  <c r="BP407" i="2"/>
  <c r="BN401" i="2"/>
  <c r="Z401" i="2"/>
  <c r="BP394" i="2"/>
  <c r="BN394" i="2"/>
  <c r="BP386" i="2"/>
  <c r="BN386" i="2"/>
  <c r="BP381" i="2"/>
  <c r="BN381" i="2"/>
  <c r="BP373" i="2"/>
  <c r="Z373" i="2"/>
  <c r="BN369" i="2"/>
  <c r="Z369" i="2"/>
  <c r="BN367" i="2"/>
  <c r="BP367" i="2"/>
  <c r="Z367" i="2"/>
  <c r="BP363" i="2"/>
  <c r="Z363" i="2"/>
  <c r="BN359" i="2"/>
  <c r="Z359" i="2"/>
  <c r="BN357" i="2"/>
  <c r="BP357" i="2"/>
  <c r="Z357" i="2"/>
  <c r="BP353" i="2"/>
  <c r="Z353" i="2"/>
  <c r="BN346" i="2"/>
  <c r="Z346" i="2"/>
  <c r="BP346" i="2"/>
  <c r="Z335" i="2"/>
  <c r="BN335" i="2"/>
  <c r="Z320" i="2"/>
  <c r="BP320" i="2"/>
  <c r="BN320" i="2"/>
  <c r="BP317" i="2"/>
  <c r="Z317" i="2"/>
  <c r="BP315" i="2"/>
  <c r="BN315" i="2"/>
  <c r="Z295" i="2"/>
  <c r="BN295" i="2"/>
  <c r="Z286" i="2"/>
  <c r="BP286" i="2"/>
  <c r="BN286" i="2"/>
  <c r="BN279" i="2"/>
  <c r="Z279" i="2"/>
  <c r="Z274" i="2"/>
  <c r="BN274" i="2"/>
  <c r="Z264" i="2"/>
  <c r="BN264" i="2"/>
  <c r="BP263" i="2"/>
  <c r="Z263" i="2"/>
  <c r="Z259" i="2"/>
  <c r="BN259" i="2"/>
  <c r="Y267" i="2"/>
  <c r="Z254" i="2"/>
  <c r="BN254" i="2"/>
  <c r="BP238" i="2"/>
  <c r="BN238" i="2"/>
  <c r="Z231" i="2"/>
  <c r="BN231" i="2"/>
  <c r="BP230" i="2"/>
  <c r="Z230" i="2"/>
  <c r="BN226" i="2"/>
  <c r="BP226" i="2"/>
  <c r="BN225" i="2"/>
  <c r="BP225" i="2"/>
  <c r="BP224" i="2"/>
  <c r="Z224" i="2"/>
  <c r="BN223" i="2"/>
  <c r="Z223" i="2"/>
  <c r="Z221" i="2"/>
  <c r="BN221" i="2"/>
  <c r="Z216" i="2"/>
  <c r="BN216" i="2"/>
  <c r="BP210" i="2"/>
  <c r="Y212" i="2"/>
  <c r="Z210" i="2"/>
  <c r="Z211" i="2" s="1"/>
  <c r="Y211" i="2"/>
  <c r="BN205" i="2"/>
  <c r="BP205" i="2"/>
  <c r="BN204" i="2"/>
  <c r="BP204" i="2"/>
  <c r="Z200" i="2"/>
  <c r="BN200" i="2"/>
  <c r="BN180" i="2"/>
  <c r="BP180" i="2"/>
  <c r="BP179" i="2"/>
  <c r="Z179" i="2"/>
  <c r="Z176" i="2"/>
  <c r="BN176" i="2"/>
  <c r="BP171" i="2"/>
  <c r="BN171" i="2"/>
  <c r="Z166" i="2"/>
  <c r="BN166" i="2"/>
  <c r="BP150" i="2"/>
  <c r="BN150" i="2"/>
  <c r="Z142" i="2"/>
  <c r="BN142" i="2"/>
  <c r="Z141" i="2"/>
  <c r="Z143" i="2" s="1"/>
  <c r="Y143" i="2"/>
  <c r="BP136" i="2"/>
  <c r="Y138" i="2"/>
  <c r="BP121" i="2"/>
  <c r="BN121" i="2"/>
  <c r="BN114" i="2"/>
  <c r="BP114" i="2"/>
  <c r="BP112" i="2"/>
  <c r="Z112" i="2"/>
  <c r="BN111" i="2"/>
  <c r="Z111" i="2"/>
  <c r="BN107" i="2"/>
  <c r="Z107" i="2"/>
  <c r="BP107" i="2"/>
  <c r="BN104" i="2"/>
  <c r="BP104" i="2"/>
  <c r="BP101" i="2"/>
  <c r="BN101" i="2"/>
  <c r="Z101" i="2"/>
  <c r="BP96" i="2"/>
  <c r="BN96" i="2"/>
  <c r="BN93" i="2"/>
  <c r="BP93" i="2"/>
  <c r="BP89" i="2"/>
  <c r="Z89" i="2"/>
  <c r="BN89" i="2"/>
  <c r="BP77" i="2"/>
  <c r="Z77" i="2"/>
  <c r="BN68" i="2"/>
  <c r="BP68" i="2"/>
  <c r="BN67" i="2"/>
  <c r="Z67" i="2"/>
  <c r="BP67" i="2"/>
  <c r="Z55" i="2"/>
  <c r="BN55" i="2"/>
  <c r="BN49" i="2"/>
  <c r="BP49" i="2"/>
  <c r="Z46" i="2"/>
  <c r="BP46" i="2"/>
  <c r="BN46" i="2"/>
  <c r="BP40" i="2"/>
  <c r="BN40" i="2"/>
  <c r="Z39" i="2"/>
  <c r="BN39" i="2"/>
  <c r="BN37" i="2"/>
  <c r="BP37" i="2"/>
  <c r="Z28" i="2"/>
  <c r="BP28" i="2"/>
  <c r="BN28" i="2"/>
  <c r="Y23" i="2"/>
  <c r="BN22" i="2"/>
  <c r="Y24" i="2"/>
  <c r="Z106" i="2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BP504" i="2"/>
  <c r="Z504" i="2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66" i="2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X546" i="2"/>
  <c r="C556" i="2"/>
  <c r="Y50" i="2"/>
  <c r="Z102" i="2"/>
  <c r="Z120" i="2"/>
  <c r="BN159" i="2"/>
  <c r="BN184" i="2"/>
  <c r="BN203" i="2"/>
  <c r="Z219" i="2"/>
  <c r="BN234" i="2"/>
  <c r="BP250" i="2"/>
  <c r="BN250" i="2"/>
  <c r="Y377" i="2"/>
  <c r="Z38" i="2"/>
  <c r="Y80" i="2"/>
  <c r="Y81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87" i="2"/>
  <c r="Z131" i="2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8" i="2"/>
  <c r="Z59" i="2"/>
  <c r="Y74" i="2"/>
  <c r="Z103" i="2"/>
  <c r="Z113" i="2"/>
  <c r="Z136" i="2"/>
  <c r="BN149" i="2"/>
  <c r="Z160" i="2"/>
  <c r="BN172" i="2"/>
  <c r="Z180" i="2"/>
  <c r="Z204" i="2"/>
  <c r="BN217" i="2"/>
  <c r="Z225" i="2"/>
  <c r="BN260" i="2"/>
  <c r="BN270" i="2"/>
  <c r="Z278" i="2"/>
  <c r="BN291" i="2"/>
  <c r="BN301" i="2"/>
  <c r="BN325" i="2"/>
  <c r="Y328" i="2"/>
  <c r="Z347" i="2"/>
  <c r="Z358" i="2"/>
  <c r="Z368" i="2"/>
  <c r="BN380" i="2"/>
  <c r="Y383" i="2"/>
  <c r="Z400" i="2"/>
  <c r="BN414" i="2"/>
  <c r="BN426" i="2"/>
  <c r="BN449" i="2"/>
  <c r="Z459" i="2"/>
  <c r="Z471" i="2"/>
  <c r="Y476" i="2"/>
  <c r="Z484" i="2"/>
  <c r="Z496" i="2"/>
  <c r="Z543" i="2"/>
  <c r="Z544" i="2" s="1"/>
  <c r="Y41" i="2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BP341" i="2"/>
  <c r="BN353" i="2"/>
  <c r="BN363" i="2"/>
  <c r="BN373" i="2"/>
  <c r="Z393" i="2"/>
  <c r="BP395" i="2"/>
  <c r="BN406" i="2"/>
  <c r="BP431" i="2"/>
  <c r="Z439" i="2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126" i="2"/>
  <c r="Z127" i="2" s="1"/>
  <c r="Z150" i="2"/>
  <c r="Y155" i="2"/>
  <c r="Z173" i="2"/>
  <c r="Z218" i="2"/>
  <c r="Z238" i="2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104" i="2"/>
  <c r="Z114" i="2"/>
  <c r="Z137" i="2"/>
  <c r="BN77" i="2"/>
  <c r="Z354" i="2"/>
  <c r="Z364" i="2"/>
  <c r="Z374" i="2"/>
  <c r="Z407" i="2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Z408" i="2" l="1"/>
  <c r="Z461" i="2"/>
  <c r="X549" i="2"/>
  <c r="Z311" i="2"/>
  <c r="Z298" i="2"/>
  <c r="Z168" i="2"/>
  <c r="Z506" i="2"/>
  <c r="Z133" i="2"/>
  <c r="Z349" i="2"/>
  <c r="Z402" i="2"/>
  <c r="Z377" i="2"/>
  <c r="Z256" i="2"/>
  <c r="Z31" i="2"/>
  <c r="Z445" i="2"/>
  <c r="Z287" i="2"/>
  <c r="Z90" i="2"/>
  <c r="Z69" i="2"/>
  <c r="Z123" i="2"/>
  <c r="Z472" i="2"/>
  <c r="Z186" i="2"/>
  <c r="Z41" i="2"/>
  <c r="Z163" i="2"/>
  <c r="Z206" i="2"/>
  <c r="Y550" i="2"/>
  <c r="Z342" i="2"/>
  <c r="Z396" i="2"/>
  <c r="Z440" i="2"/>
  <c r="Z74" i="2"/>
  <c r="Z241" i="2"/>
  <c r="Z97" i="2"/>
  <c r="Z360" i="2"/>
  <c r="Y547" i="2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138" i="2"/>
  <c r="Z428" i="2"/>
  <c r="Z383" i="2"/>
  <c r="Z516" i="2"/>
  <c r="Z390" i="2"/>
  <c r="Z151" i="2"/>
  <c r="Z181" i="2"/>
  <c r="Z328" i="2"/>
  <c r="Y549" i="2" l="1"/>
  <c r="Z551" i="2"/>
</calcChain>
</file>

<file path=xl/sharedStrings.xml><?xml version="1.0" encoding="utf-8"?>
<sst xmlns="http://schemas.openxmlformats.org/spreadsheetml/2006/main" count="4166" uniqueCount="895">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</sst>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65" sqref="AA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894</v>
      </c>
      <c r="I5" s="971"/>
      <c r="J5" s="971"/>
      <c r="K5" s="971"/>
      <c r="L5" s="971"/>
      <c r="M5" s="971"/>
      <c r="N5" s="69"/>
      <c r="P5" s="26" t="s">
        <v>4</v>
      </c>
      <c r="Q5" s="973">
        <v>46312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870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Суббота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7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0.41666666666666669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hidden="1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IFERROR(IF(Y46=0,"",ROUNDUP(Y46/H46,0)*0.01898),"")</f>
        <v/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0</v>
      </c>
      <c r="Y50" s="41">
        <f>IFERROR(Y46/H46,"0")+IFERROR(Y47/H47,"0")+IFERROR(Y48/H48,"0")+IFERROR(Y49/H49,"0")</f>
        <v>0</v>
      </c>
      <c r="Z50" s="41">
        <f>IFERROR(IF(Z46="",0,Z46),"0")+IFERROR(IF(Z47="",0,Z47),"0")+IFERROR(IF(Z48="",0,Z48),"0")+IFERROR(IF(Z49="",0,Z49),"0")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0</v>
      </c>
      <c r="Y51" s="41">
        <f>IFERROR(SUM(Y46:Y49),"0")</f>
        <v>0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hidden="1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0</v>
      </c>
      <c r="Y62" s="41">
        <f>IFERROR(Y54/H54,"0")+IFERROR(Y55/H55,"0")+IFERROR(Y56/H56,"0")+IFERROR(Y57/H57,"0")+IFERROR(Y58/H58,"0")+IFERROR(Y59/H59,"0")+IFERROR(Y60/H60,"0")+IFERROR(Y61/H61,"0")</f>
        <v>0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0</v>
      </c>
      <c r="Y63" s="41">
        <f>IFERROR(SUM(Y54:Y61),"0")</f>
        <v>0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15</v>
      </c>
      <c r="Y65" s="53">
        <f>IFERROR(IF(X65="",0,CEILING((X65/$H65),1)*$H65),"")</f>
        <v>21.6</v>
      </c>
      <c r="Z65" s="39">
        <f>IFERROR(IF(Y65=0,"",ROUNDUP(Y65/H65,0)*0.01898),"")</f>
        <v>3.7960000000000001E-2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15.569444444444445</v>
      </c>
      <c r="BN65" s="75">
        <f>IFERROR(Y65*I65/H65,"0")</f>
        <v>22.42</v>
      </c>
      <c r="BO65" s="75">
        <f>IFERROR(1/J65*(X65/H65),"0")</f>
        <v>2.1701388888888888E-2</v>
      </c>
      <c r="BP65" s="75">
        <f>IFERROR(1/J65*(Y65/H65),"0")</f>
        <v>3.125E-2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1.3888888888888888</v>
      </c>
      <c r="Y69" s="41">
        <f>IFERROR(Y65/H65,"0")+IFERROR(Y66/H66,"0")+IFERROR(Y67/H67,"0")+IFERROR(Y68/H68,"0")</f>
        <v>2</v>
      </c>
      <c r="Z69" s="41">
        <f>IFERROR(IF(Z65="",0,Z65),"0")+IFERROR(IF(Z66="",0,Z66),"0")+IFERROR(IF(Z67="",0,Z67),"0")+IFERROR(IF(Z68="",0,Z68),"0")</f>
        <v>3.7960000000000001E-2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15</v>
      </c>
      <c r="Y70" s="41">
        <f>IFERROR(SUM(Y65:Y68),"0")</f>
        <v>21.6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hidden="1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0</v>
      </c>
      <c r="Y84" s="53">
        <f t="shared" ref="Y84:Y89" si="5"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0</v>
      </c>
      <c r="BN84" s="75">
        <f t="shared" ref="BN84:BN89" si="7">IFERROR(Y84*I84/H84,"0")</f>
        <v>0</v>
      </c>
      <c r="BO84" s="75">
        <f t="shared" ref="BO84:BO89" si="8">IFERROR(1/J84*(X84/H84),"0")</f>
        <v>0</v>
      </c>
      <c r="BP84" s="75">
        <f t="shared" ref="BP84:BP89" si="9">IFERROR(1/J84*(Y84/H84),"0")</f>
        <v>0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idden="1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0</v>
      </c>
      <c r="Y90" s="41">
        <f>IFERROR(Y84/H84,"0")+IFERROR(Y85/H85,"0")+IFERROR(Y86/H86,"0")+IFERROR(Y87/H87,"0")+IFERROR(Y88/H88,"0")+IFERROR(Y89/H89,"0")</f>
        <v>0</v>
      </c>
      <c r="Z90" s="41">
        <f>IFERROR(IF(Z84="",0,Z84),"0")+IFERROR(IF(Z85="",0,Z85),"0")+IFERROR(IF(Z86="",0,Z86),"0")+IFERROR(IF(Z87="",0,Z87),"0")+IFERROR(IF(Z88="",0,Z88),"0")+IFERROR(IF(Z89="",0,Z89),"0")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0</v>
      </c>
      <c r="Y91" s="41">
        <f>IFERROR(SUM(Y84:Y89),"0")</f>
        <v>0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hidden="1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hidden="1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7" si="10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0</v>
      </c>
      <c r="BN101" s="75">
        <f t="shared" ref="BN101:BN107" si="12">IFERROR(Y101*I101/H101,"0")</f>
        <v>0</v>
      </c>
      <c r="BO101" s="75">
        <f t="shared" ref="BO101:BO107" si="13">IFERROR(1/J101*(X101/H101),"0")</f>
        <v>0</v>
      </c>
      <c r="BP101" s="75">
        <f t="shared" ref="BP101:BP107" si="14">IFERROR(1/J101*(Y101/H101),"0")</f>
        <v>0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0</v>
      </c>
      <c r="Y108" s="41">
        <f>IFERROR(Y101/H101,"0")+IFERROR(Y102/H102,"0")+IFERROR(Y103/H103,"0")+IFERROR(Y104/H104,"0")+IFERROR(Y105/H105,"0")+IFERROR(Y106/H106,"0")+IFERROR(Y107/H107,"0")</f>
        <v>0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0</v>
      </c>
      <c r="Y109" s="41">
        <f>IFERROR(SUM(Y101:Y107),"0")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hidden="1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30</v>
      </c>
      <c r="Y216" s="53">
        <f t="shared" si="26"/>
        <v>33.6</v>
      </c>
      <c r="Z216" s="39">
        <f>IFERROR(IF(Y216=0,"",ROUNDUP(Y216/H216,0)*0.00902),"")</f>
        <v>7.2160000000000002E-2</v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31.357142857142854</v>
      </c>
      <c r="BN216" s="75">
        <f t="shared" si="28"/>
        <v>35.119999999999997</v>
      </c>
      <c r="BO216" s="75">
        <f t="shared" si="29"/>
        <v>5.4112554112554112E-2</v>
      </c>
      <c r="BP216" s="75">
        <f t="shared" si="30"/>
        <v>6.0606060606060608E-2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7.1428571428571423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7.2160000000000002E-2</v>
      </c>
      <c r="AA227" s="64"/>
      <c r="AB227" s="64"/>
      <c r="AC227" s="64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30</v>
      </c>
      <c r="Y228" s="41">
        <f>IFERROR(SUM(Y214:Y226),"0")</f>
        <v>33.6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150</v>
      </c>
      <c r="Y259" s="53">
        <f t="shared" ref="Y259:Y266" si="31">IFERROR(IF(X259="",0,CEILING((X259/$H259),1)*$H259),"")</f>
        <v>151.20000000000002</v>
      </c>
      <c r="Z259" s="39">
        <f>IFERROR(IF(Y259=0,"",ROUNDUP(Y259/H259,0)*0.00902),"")</f>
        <v>0.25256000000000001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155.27777777777777</v>
      </c>
      <c r="BN259" s="75">
        <f t="shared" ref="BN259:BN266" si="33">IFERROR(Y259*I259/H259,"0")</f>
        <v>156.52000000000001</v>
      </c>
      <c r="BO259" s="75">
        <f t="shared" ref="BO259:BO266" si="34">IFERROR(1/J259*(X259/H259),"0")</f>
        <v>0.21043771043771042</v>
      </c>
      <c r="BP259" s="75">
        <f t="shared" ref="BP259:BP266" si="35">IFERROR(1/J259*(Y259/H259),"0")</f>
        <v>0.21212121212121213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120</v>
      </c>
      <c r="Y260" s="53">
        <f t="shared" si="31"/>
        <v>124.2</v>
      </c>
      <c r="Z260" s="39">
        <f>IFERROR(IF(Y260=0,"",ROUNDUP(Y260/H260,0)*0.00902),"")</f>
        <v>0.20746000000000001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124.2222222222222</v>
      </c>
      <c r="BN260" s="75">
        <f t="shared" si="33"/>
        <v>128.57</v>
      </c>
      <c r="BO260" s="75">
        <f t="shared" si="34"/>
        <v>0.16835016835016836</v>
      </c>
      <c r="BP260" s="75">
        <f t="shared" si="35"/>
        <v>0.17424242424242425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30</v>
      </c>
      <c r="Y261" s="53">
        <f t="shared" si="31"/>
        <v>32.400000000000006</v>
      </c>
      <c r="Z261" s="39">
        <f>IFERROR(IF(Y261=0,"",ROUNDUP(Y261/H261,0)*0.00902),"")</f>
        <v>5.4120000000000001E-2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31.05555555555555</v>
      </c>
      <c r="BN261" s="75">
        <f t="shared" si="33"/>
        <v>33.54</v>
      </c>
      <c r="BO261" s="75">
        <f t="shared" si="34"/>
        <v>4.208754208754209E-2</v>
      </c>
      <c r="BP261" s="75">
        <f t="shared" si="35"/>
        <v>4.5454545454545463E-2</v>
      </c>
    </row>
    <row r="262" spans="1:68" ht="27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120</v>
      </c>
      <c r="Y262" s="53">
        <f t="shared" si="31"/>
        <v>124.2</v>
      </c>
      <c r="Z262" s="39">
        <f>IFERROR(IF(Y262=0,"",ROUNDUP(Y262/H262,0)*0.00902),"")</f>
        <v>0.20746000000000001</v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124.2222222222222</v>
      </c>
      <c r="BN262" s="75">
        <f t="shared" si="33"/>
        <v>128.57</v>
      </c>
      <c r="BO262" s="75">
        <f t="shared" si="34"/>
        <v>0.16835016835016836</v>
      </c>
      <c r="BP262" s="75">
        <f t="shared" si="35"/>
        <v>0.17424242424242425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77.777777777777771</v>
      </c>
      <c r="Y267" s="41">
        <f>IFERROR(Y259/H259,"0")+IFERROR(Y260/H260,"0")+IFERROR(Y261/H261,"0")+IFERROR(Y262/H262,"0")+IFERROR(Y263/H263,"0")+IFERROR(Y264/H264,"0")+IFERROR(Y265/H265,"0")+IFERROR(Y266/H266,"0")</f>
        <v>80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0.72160000000000002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420</v>
      </c>
      <c r="Y268" s="41">
        <f>IFERROR(SUM(Y259:Y266),"0")</f>
        <v>432.00000000000006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20</v>
      </c>
      <c r="Y272" s="53">
        <f t="shared" si="36"/>
        <v>26.099999999999998</v>
      </c>
      <c r="Z272" s="39">
        <f>IFERROR(IF(Y272=0,"",ROUNDUP(Y272/H272,0)*0.01898),"")</f>
        <v>5.6940000000000004E-2</v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21.135632183908051</v>
      </c>
      <c r="BN272" s="75">
        <f t="shared" si="38"/>
        <v>27.582000000000004</v>
      </c>
      <c r="BO272" s="75">
        <f t="shared" si="39"/>
        <v>3.5919540229885062E-2</v>
      </c>
      <c r="BP272" s="75">
        <f t="shared" si="40"/>
        <v>4.6875E-2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48</v>
      </c>
      <c r="Y276" s="53">
        <f t="shared" si="36"/>
        <v>48</v>
      </c>
      <c r="Z276" s="39">
        <f>IFERROR(IF(Y276=0,"",ROUNDUP(Y276/H276,0)*0.00651),"")</f>
        <v>0.13020000000000001</v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53.040000000000006</v>
      </c>
      <c r="BN276" s="75">
        <f t="shared" si="38"/>
        <v>53.040000000000006</v>
      </c>
      <c r="BO276" s="75">
        <f t="shared" si="39"/>
        <v>0.1098901098901099</v>
      </c>
      <c r="BP276" s="75">
        <f t="shared" si="40"/>
        <v>0.1098901098901099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48</v>
      </c>
      <c r="Y278" s="53">
        <f t="shared" si="36"/>
        <v>48</v>
      </c>
      <c r="Z278" s="39">
        <f>IFERROR(IF(Y278=0,"",ROUNDUP(Y278/H278,0)*0.00651),"")</f>
        <v>0.13020000000000001</v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53.040000000000006</v>
      </c>
      <c r="BN278" s="75">
        <f t="shared" si="38"/>
        <v>53.040000000000006</v>
      </c>
      <c r="BO278" s="75">
        <f t="shared" si="39"/>
        <v>0.1098901098901099</v>
      </c>
      <c r="BP278" s="75">
        <f t="shared" si="40"/>
        <v>0.1098901098901099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42.298850574712645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43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0.31734000000000007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116</v>
      </c>
      <c r="Y283" s="41">
        <f>IFERROR(SUM(Y270:Y281),"0")</f>
        <v>122.1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28.8</v>
      </c>
      <c r="Y285" s="53">
        <f>IFERROR(IF(X285="",0,CEILING((X285/$H285),1)*$H285),"")</f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31.824000000000002</v>
      </c>
      <c r="BN285" s="75">
        <f>IFERROR(Y285*I285/H285,"0")</f>
        <v>31.824000000000002</v>
      </c>
      <c r="BO285" s="75">
        <f>IFERROR(1/J285*(X285/H285),"0")</f>
        <v>6.5934065934065936E-2</v>
      </c>
      <c r="BP285" s="75">
        <f>IFERROR(1/J285*(Y285/H285),"0")</f>
        <v>6.5934065934065936E-2</v>
      </c>
    </row>
    <row r="286" spans="1:68" ht="27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4.8</v>
      </c>
      <c r="Y286" s="53">
        <f>IFERROR(IF(X286="",0,CEILING((X286/$H286),1)*$H286),"")</f>
        <v>4.8</v>
      </c>
      <c r="Z286" s="39">
        <f>IFERROR(IF(Y286=0,"",ROUNDUP(Y286/H286,0)*0.00651),"")</f>
        <v>1.302E-2</v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5.3040000000000003</v>
      </c>
      <c r="BN286" s="75">
        <f>IFERROR(Y286*I286/H286,"0")</f>
        <v>5.3040000000000003</v>
      </c>
      <c r="BO286" s="75">
        <f>IFERROR(1/J286*(X286/H286),"0")</f>
        <v>1.098901098901099E-2</v>
      </c>
      <c r="BP286" s="75">
        <f>IFERROR(1/J286*(Y286/H286),"0")</f>
        <v>1.098901098901099E-2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14</v>
      </c>
      <c r="Y287" s="41">
        <f>IFERROR(Y285/H285,"0")+IFERROR(Y286/H286,"0")</f>
        <v>14</v>
      </c>
      <c r="Z287" s="41">
        <f>IFERROR(IF(Z285="",0,Z285),"0")+IFERROR(IF(Z286="",0,Z286),"0")</f>
        <v>9.1139999999999999E-2</v>
      </c>
      <c r="AA287" s="64"/>
      <c r="AB287" s="64"/>
      <c r="AC287" s="64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33.6</v>
      </c>
      <c r="Y288" s="41">
        <f>IFERROR(SUM(Y285:Y286),"0")</f>
        <v>33.599999999999994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150</v>
      </c>
      <c r="Y380" s="53">
        <f>IFERROR(IF(X380="",0,CEILING((X380/$H380),1)*$H380),"")</f>
        <v>151.20000000000002</v>
      </c>
      <c r="Z380" s="39">
        <f>IFERROR(IF(Y380=0,"",ROUNDUP(Y380/H380,0)*0.01898),"")</f>
        <v>0.34164</v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158.82142857142856</v>
      </c>
      <c r="BN380" s="75">
        <f>IFERROR(Y380*I380/H380,"0")</f>
        <v>160.09200000000001</v>
      </c>
      <c r="BO380" s="75">
        <f>IFERROR(1/J380*(X380/H380),"0")</f>
        <v>0.27901785714285715</v>
      </c>
      <c r="BP380" s="75">
        <f>IFERROR(1/J380*(Y380/H380),"0")</f>
        <v>0.28125</v>
      </c>
    </row>
    <row r="381" spans="1:68" ht="27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30</v>
      </c>
      <c r="Y381" s="53">
        <f>IFERROR(IF(X381="",0,CEILING((X381/$H381),1)*$H381),"")</f>
        <v>31.2</v>
      </c>
      <c r="Z381" s="39">
        <f>IFERROR(IF(Y381=0,"",ROUNDUP(Y381/H381,0)*0.01898),"")</f>
        <v>7.5920000000000001E-2</v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31.900000000000002</v>
      </c>
      <c r="BN381" s="75">
        <f>IFERROR(Y381*I381/H381,"0")</f>
        <v>33.176000000000002</v>
      </c>
      <c r="BO381" s="75">
        <f>IFERROR(1/J381*(X381/H381),"0")</f>
        <v>6.0096153846153848E-2</v>
      </c>
      <c r="BP381" s="75">
        <f>IFERROR(1/J381*(Y381/H381),"0")</f>
        <v>6.25E-2</v>
      </c>
    </row>
    <row r="382" spans="1:68" ht="27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15</v>
      </c>
      <c r="Y382" s="53">
        <f>IFERROR(IF(X382="",0,CEILING((X382/$H382),1)*$H382),"")</f>
        <v>16.8</v>
      </c>
      <c r="Z382" s="39">
        <f>IFERROR(IF(Y382=0,"",ROUNDUP(Y382/H382,0)*0.01898),"")</f>
        <v>3.7960000000000001E-2</v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15.882142857142856</v>
      </c>
      <c r="BN382" s="75">
        <f>IFERROR(Y382*I382/H382,"0")</f>
        <v>17.788</v>
      </c>
      <c r="BO382" s="75">
        <f>IFERROR(1/J382*(X382/H382),"0")</f>
        <v>2.7901785714285712E-2</v>
      </c>
      <c r="BP382" s="75">
        <f>IFERROR(1/J382*(Y382/H382),"0")</f>
        <v>3.125E-2</v>
      </c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23.489010989010989</v>
      </c>
      <c r="Y383" s="41">
        <f>IFERROR(Y380/H380,"0")+IFERROR(Y381/H381,"0")+IFERROR(Y382/H382,"0")</f>
        <v>24</v>
      </c>
      <c r="Z383" s="41">
        <f>IFERROR(IF(Z380="",0,Z380),"0")+IFERROR(IF(Z381="",0,Z381),"0")+IFERROR(IF(Z382="",0,Z382),"0")</f>
        <v>0.45551999999999998</v>
      </c>
      <c r="AA383" s="64"/>
      <c r="AB383" s="64"/>
      <c r="AC383" s="64"/>
    </row>
    <row r="384" spans="1:68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195</v>
      </c>
      <c r="Y384" s="41">
        <f>IFERROR(SUM(Y380:Y382),"0")</f>
        <v>199.20000000000002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IFERROR(IF(Y389=0,"",ROUNDUP(Y389/H389,0)*0.00651),"")</f>
        <v/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0</v>
      </c>
      <c r="Y390" s="41">
        <f>IFERROR(Y386/H386,"0")+IFERROR(Y387/H387,"0")+IFERROR(Y388/H388,"0")+IFERROR(Y389/H389,"0")</f>
        <v>0</v>
      </c>
      <c r="Z390" s="41">
        <f>IFERROR(IF(Z386="",0,Z386),"0")+IFERROR(IF(Z387="",0,Z387),"0")+IFERROR(IF(Z388="",0,Z388),"0")+IFERROR(IF(Z389="",0,Z389),"0")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0</v>
      </c>
      <c r="Y391" s="41">
        <f>IFERROR(SUM(Y386:Y389),"0")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1500</v>
      </c>
      <c r="Y421" s="53">
        <f t="shared" si="61"/>
        <v>1500</v>
      </c>
      <c r="Z421" s="39">
        <f>IFERROR(IF(Y421=0,"",ROUNDUP(Y421/H421,0)*0.02175),"")</f>
        <v>2.1749999999999998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1547</v>
      </c>
      <c r="BN421" s="75">
        <f t="shared" si="63"/>
        <v>1547</v>
      </c>
      <c r="BO421" s="75">
        <f t="shared" si="64"/>
        <v>2.083333333333333</v>
      </c>
      <c r="BP421" s="75">
        <f t="shared" si="65"/>
        <v>2.083333333333333</v>
      </c>
    </row>
    <row r="422" spans="1:68" ht="27" hidden="1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si="61"/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0</v>
      </c>
      <c r="BN422" s="75">
        <f t="shared" si="63"/>
        <v>0</v>
      </c>
      <c r="BO422" s="75">
        <f t="shared" si="64"/>
        <v>0</v>
      </c>
      <c r="BP422" s="75">
        <f t="shared" si="65"/>
        <v>0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1000</v>
      </c>
      <c r="Y423" s="53">
        <f t="shared" si="61"/>
        <v>1005</v>
      </c>
      <c r="Z423" s="39">
        <f>IFERROR(IF(Y423=0,"",ROUNDUP(Y423/H423,0)*0.02175),"")</f>
        <v>1.4572499999999999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1031.3333333333333</v>
      </c>
      <c r="BN423" s="75">
        <f t="shared" si="63"/>
        <v>1036.49</v>
      </c>
      <c r="BO423" s="75">
        <f t="shared" si="64"/>
        <v>1.3888888888888888</v>
      </c>
      <c r="BP423" s="75">
        <f t="shared" si="65"/>
        <v>1.3958333333333333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166.66666666666669</v>
      </c>
      <c r="Y428" s="41">
        <f>IFERROR(Y420/H420,"0")+IFERROR(Y421/H421,"0")+IFERROR(Y422/H422,"0")+IFERROR(Y423/H423,"0")+IFERROR(Y424/H424,"0")+IFERROR(Y425/H425,"0")+IFERROR(Y426/H426,"0")+IFERROR(Y427/H427,"0")</f>
        <v>167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3.63225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2500</v>
      </c>
      <c r="Y429" s="41">
        <f>IFERROR(SUM(Y420:Y427),"0")</f>
        <v>2505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1000</v>
      </c>
      <c r="Y431" s="53">
        <f>IFERROR(IF(X431="",0,CEILING((X431/$H431),1)*$H431),"")</f>
        <v>1005</v>
      </c>
      <c r="Z431" s="39">
        <f>IFERROR(IF(Y431=0,"",ROUNDUP(Y431/H431,0)*0.02175),"")</f>
        <v>1.4572499999999999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1031.3333333333333</v>
      </c>
      <c r="BN431" s="75">
        <f>IFERROR(Y431*I431/H431,"0")</f>
        <v>1036.49</v>
      </c>
      <c r="BO431" s="75">
        <f>IFERROR(1/J431*(X431/H431),"0")</f>
        <v>1.3888888888888888</v>
      </c>
      <c r="BP431" s="75">
        <f>IFERROR(1/J431*(Y431/H431),"0")</f>
        <v>1.3958333333333333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66.666666666666671</v>
      </c>
      <c r="Y434" s="41">
        <f>IFERROR(Y431/H431,"0")+IFERROR(Y432/H432,"0")+IFERROR(Y433/H433,"0")</f>
        <v>67</v>
      </c>
      <c r="Z434" s="41">
        <f>IFERROR(IF(Z431="",0,Z431),"0")+IFERROR(IF(Z432="",0,Z432),"0")+IFERROR(IF(Z433="",0,Z433),"0")</f>
        <v>1.4572499999999999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1000</v>
      </c>
      <c r="Y435" s="41">
        <f>IFERROR(SUM(Y431:Y433),"0")</f>
        <v>1005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100</v>
      </c>
      <c r="Y438" s="53">
        <f>IFERROR(IF(X438="",0,CEILING((X438/$H438),1)*$H438),"")</f>
        <v>108</v>
      </c>
      <c r="Z438" s="39">
        <f>IFERROR(IF(Y438=0,"",ROUNDUP(Y438/H438,0)*0.01898),"")</f>
        <v>0.22776000000000002</v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105.48888888888888</v>
      </c>
      <c r="BN438" s="75">
        <f>IFERROR(Y438*I438/H438,"0")</f>
        <v>113.92799999999998</v>
      </c>
      <c r="BO438" s="75">
        <f>IFERROR(1/J438*(X438/H438),"0")</f>
        <v>0.1736111111111111</v>
      </c>
      <c r="BP438" s="75">
        <f>IFERROR(1/J438*(Y438/H438),"0")</f>
        <v>0.1875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11.111111111111111</v>
      </c>
      <c r="Y440" s="41">
        <f>IFERROR(Y437/H437,"0")+IFERROR(Y438/H438,"0")+IFERROR(Y439/H439,"0")</f>
        <v>12</v>
      </c>
      <c r="Z440" s="41">
        <f>IFERROR(IF(Z437="",0,Z437),"0")+IFERROR(IF(Z438="",0,Z438),"0")+IFERROR(IF(Z439="",0,Z439),"0")</f>
        <v>0.22776000000000002</v>
      </c>
      <c r="AA440" s="64"/>
      <c r="AB440" s="64"/>
      <c r="AC440" s="64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100</v>
      </c>
      <c r="Y441" s="41">
        <f>IFERROR(SUM(Y437:Y439),"0")</f>
        <v>108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100</v>
      </c>
      <c r="Y444" s="53">
        <f>IFERROR(IF(X444="",0,CEILING((X444/$H444),1)*$H444),"")</f>
        <v>108</v>
      </c>
      <c r="Z444" s="39">
        <f>IFERROR(IF(Y444=0,"",ROUNDUP(Y444/H444,0)*0.01898),"")</f>
        <v>0.22776000000000002</v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105.48888888888888</v>
      </c>
      <c r="BN444" s="75">
        <f>IFERROR(Y444*I444/H444,"0")</f>
        <v>113.92799999999998</v>
      </c>
      <c r="BO444" s="75">
        <f>IFERROR(1/J444*(X444/H444),"0")</f>
        <v>0.1736111111111111</v>
      </c>
      <c r="BP444" s="75">
        <f>IFERROR(1/J444*(Y444/H444),"0")</f>
        <v>0.1875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11.111111111111111</v>
      </c>
      <c r="Y445" s="41">
        <f>IFERROR(Y443/H443,"0")+IFERROR(Y444/H444,"0")</f>
        <v>12</v>
      </c>
      <c r="Z445" s="41">
        <f>IFERROR(IF(Z443="",0,Z443),"0")+IFERROR(IF(Z444="",0,Z444),"0")</f>
        <v>0.22776000000000002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100</v>
      </c>
      <c r="Y446" s="41">
        <f>IFERROR(SUM(Y443:Y444),"0")</f>
        <v>108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80</v>
      </c>
      <c r="Y458" s="53">
        <f>IFERROR(IF(X458="",0,CEILING((X458/$H458),1)*$H458),"")</f>
        <v>81</v>
      </c>
      <c r="Z458" s="39">
        <f>IFERROR(IF(Y458=0,"",ROUNDUP(Y458/H458,0)*0.01898),"")</f>
        <v>0.17082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84.391111111111115</v>
      </c>
      <c r="BN458" s="75">
        <f>IFERROR(Y458*I458/H458,"0")</f>
        <v>85.445999999999998</v>
      </c>
      <c r="BO458" s="75">
        <f>IFERROR(1/J458*(X458/H458),"0")</f>
        <v>0.1388888888888889</v>
      </c>
      <c r="BP458" s="75">
        <f>IFERROR(1/J458*(Y458/H458),"0")</f>
        <v>0.140625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8.8888888888888893</v>
      </c>
      <c r="Y461" s="41">
        <f>IFERROR(Y458/H458,"0")+IFERROR(Y459/H459,"0")+IFERROR(Y460/H460,"0")</f>
        <v>9</v>
      </c>
      <c r="Z461" s="41">
        <f>IFERROR(IF(Z458="",0,Z458),"0")+IFERROR(IF(Z459="",0,Z459),"0")+IFERROR(IF(Z460="",0,Z460),"0")</f>
        <v>0.17082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80</v>
      </c>
      <c r="Y462" s="41">
        <f>IFERROR(SUM(Y458:Y460),"0")</f>
        <v>81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40</v>
      </c>
      <c r="Y466" s="53">
        <f t="shared" ref="Y466:Y471" si="66">IFERROR(IF(X466="",0,CEILING((X466/$H466),1)*$H466),"")</f>
        <v>43.2</v>
      </c>
      <c r="Z466" s="39">
        <f>IFERROR(IF(Y466=0,"",ROUNDUP(Y466/H466,0)*0.00902),"")</f>
        <v>7.2160000000000002E-2</v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41.407407407407405</v>
      </c>
      <c r="BN466" s="75">
        <f t="shared" ref="BN466:BN471" si="68">IFERROR(Y466*I466/H466,"0")</f>
        <v>44.72</v>
      </c>
      <c r="BO466" s="75">
        <f t="shared" ref="BO466:BO471" si="69">IFERROR(1/J466*(X466/H466),"0")</f>
        <v>5.6116722783389444E-2</v>
      </c>
      <c r="BP466" s="75">
        <f t="shared" ref="BP466:BP471" si="70">IFERROR(1/J466*(Y466/H466),"0")</f>
        <v>6.0606060606060608E-2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40</v>
      </c>
      <c r="Y467" s="53">
        <f t="shared" si="66"/>
        <v>43.2</v>
      </c>
      <c r="Z467" s="39">
        <f>IFERROR(IF(Y467=0,"",ROUNDUP(Y467/H467,0)*0.00902),"")</f>
        <v>7.2160000000000002E-2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41.407407407407405</v>
      </c>
      <c r="BN467" s="75">
        <f t="shared" si="68"/>
        <v>44.72</v>
      </c>
      <c r="BO467" s="75">
        <f t="shared" si="69"/>
        <v>5.6116722783389444E-2</v>
      </c>
      <c r="BP467" s="75">
        <f t="shared" si="70"/>
        <v>6.0606060606060608E-2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14.814814814814813</v>
      </c>
      <c r="Y472" s="41">
        <f>IFERROR(Y466/H466,"0")+IFERROR(Y467/H467,"0")+IFERROR(Y468/H468,"0")+IFERROR(Y469/H469,"0")+IFERROR(Y470/H470,"0")+IFERROR(Y471/H471,"0")</f>
        <v>16</v>
      </c>
      <c r="Z472" s="41">
        <f>IFERROR(IF(Z466="",0,Z466),"0")+IFERROR(IF(Z467="",0,Z467),"0")+IFERROR(IF(Z468="",0,Z468),"0")+IFERROR(IF(Z469="",0,Z469),"0")+IFERROR(IF(Z470="",0,Z470),"0")+IFERROR(IF(Z471="",0,Z471),"0")</f>
        <v>0.14432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80</v>
      </c>
      <c r="Y473" s="41">
        <f>IFERROR(SUM(Y466:Y471),"0")</f>
        <v>86.4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120</v>
      </c>
      <c r="Y484" s="53">
        <f>IFERROR(IF(X484="",0,CEILING((X484/$H484),1)*$H484),"")</f>
        <v>124.2</v>
      </c>
      <c r="Z484" s="39">
        <f>IFERROR(IF(Y484=0,"",ROUNDUP(Y484/H484,0)*0.00902),"")</f>
        <v>0.20746000000000001</v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124.2222222222222</v>
      </c>
      <c r="BN484" s="75">
        <f>IFERROR(Y484*I484/H484,"0")</f>
        <v>128.57</v>
      </c>
      <c r="BO484" s="75">
        <f>IFERROR(1/J484*(X484/H484),"0")</f>
        <v>0.16835016835016836</v>
      </c>
      <c r="BP484" s="75">
        <f>IFERROR(1/J484*(Y484/H484),"0")</f>
        <v>0.17424242424242425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22.222222222222221</v>
      </c>
      <c r="Y487" s="41">
        <f>IFERROR(Y484/H484,"0")+IFERROR(Y485/H485,"0")+IFERROR(Y486/H486,"0")</f>
        <v>23</v>
      </c>
      <c r="Z487" s="41">
        <f>IFERROR(IF(Z484="",0,Z484),"0")+IFERROR(IF(Z485="",0,Z485),"0")+IFERROR(IF(Z486="",0,Z486),"0")</f>
        <v>0.20746000000000001</v>
      </c>
      <c r="AA487" s="64"/>
      <c r="AB487" s="64"/>
      <c r="AC487" s="64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120</v>
      </c>
      <c r="Y488" s="41">
        <f>IFERROR(SUM(Y484:Y486),"0")</f>
        <v>124.2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hidden="1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1"/>
        <v>0</v>
      </c>
      <c r="Z494" s="39" t="str">
        <f>IFERROR(IF(Y494=0,"",ROUNDUP(Y494/H494,0)*0.01196),"")</f>
        <v/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0</v>
      </c>
      <c r="BN494" s="75">
        <f t="shared" si="73"/>
        <v>0</v>
      </c>
      <c r="BO494" s="75">
        <f t="shared" si="74"/>
        <v>0</v>
      </c>
      <c r="BP494" s="75">
        <f t="shared" si="75"/>
        <v>0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80</v>
      </c>
      <c r="Y495" s="53">
        <f t="shared" si="71"/>
        <v>84.48</v>
      </c>
      <c r="Z495" s="39">
        <f>IFERROR(IF(Y495=0,"",ROUNDUP(Y495/H495,0)*0.01196),"")</f>
        <v>0.19136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85.303030303030297</v>
      </c>
      <c r="BN495" s="75">
        <f t="shared" si="73"/>
        <v>90.08</v>
      </c>
      <c r="BO495" s="75">
        <f t="shared" si="74"/>
        <v>0.14568764568764569</v>
      </c>
      <c r="BP495" s="75">
        <f t="shared" si="75"/>
        <v>0.15384615384615385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100</v>
      </c>
      <c r="Y496" s="53">
        <f t="shared" si="71"/>
        <v>100.32000000000001</v>
      </c>
      <c r="Z496" s="39">
        <f>IFERROR(IF(Y496=0,"",ROUNDUP(Y496/H496,0)*0.01196),"")</f>
        <v>0.22724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106.62878787878788</v>
      </c>
      <c r="BN496" s="75">
        <f t="shared" si="73"/>
        <v>106.97</v>
      </c>
      <c r="BO496" s="75">
        <f t="shared" si="74"/>
        <v>0.18210955710955709</v>
      </c>
      <c r="BP496" s="75">
        <f t="shared" si="75"/>
        <v>0.18269230769230771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34.090909090909086</v>
      </c>
      <c r="Y500" s="41">
        <f>IFERROR(Y492/H492,"0")+IFERROR(Y493/H493,"0")+IFERROR(Y494/H494,"0")+IFERROR(Y495/H495,"0")+IFERROR(Y496/H496,"0")+IFERROR(Y497/H497,"0")+IFERROR(Y498/H498,"0")+IFERROR(Y499/H499,"0")</f>
        <v>35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0.41859999999999997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180</v>
      </c>
      <c r="Y501" s="41">
        <f>IFERROR(SUM(Y492:Y499),"0")</f>
        <v>184.8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100</v>
      </c>
      <c r="Y503" s="53">
        <f>IFERROR(IF(X503="",0,CEILING((X503/$H503),1)*$H503),"")</f>
        <v>100.32000000000001</v>
      </c>
      <c r="Z503" s="39">
        <f>IFERROR(IF(Y503=0,"",ROUNDUP(Y503/H503,0)*0.01196),"")</f>
        <v>0.22724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106.62878787878788</v>
      </c>
      <c r="BN503" s="75">
        <f>IFERROR(Y503*I503/H503,"0")</f>
        <v>106.97</v>
      </c>
      <c r="BO503" s="75">
        <f>IFERROR(1/J503*(X503/H503),"0")</f>
        <v>0.18210955710955709</v>
      </c>
      <c r="BP503" s="75">
        <f>IFERROR(1/J503*(Y503/H503),"0")</f>
        <v>0.18269230769230771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18.939393939393938</v>
      </c>
      <c r="Y506" s="41">
        <f>IFERROR(Y503/H503,"0")+IFERROR(Y504/H504,"0")+IFERROR(Y505/H505,"0")</f>
        <v>19</v>
      </c>
      <c r="Z506" s="41">
        <f>IFERROR(IF(Z503="",0,Z503),"0")+IFERROR(IF(Z504="",0,Z504),"0")+IFERROR(IF(Z505="",0,Z505),"0")</f>
        <v>0.22724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100</v>
      </c>
      <c r="Y507" s="41">
        <f>IFERROR(SUM(Y503:Y505),"0")</f>
        <v>100.32000000000001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50</v>
      </c>
      <c r="Y509" s="53">
        <f t="shared" ref="Y509:Y515" si="76">IFERROR(IF(X509="",0,CEILING((X509/$H509),1)*$H509),"")</f>
        <v>52.800000000000004</v>
      </c>
      <c r="Z509" s="39">
        <f>IFERROR(IF(Y509=0,"",ROUNDUP(Y509/H509,0)*0.01196),"")</f>
        <v>0.1196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53.314393939393938</v>
      </c>
      <c r="BN509" s="75">
        <f t="shared" ref="BN509:BN515" si="78">IFERROR(Y509*I509/H509,"0")</f>
        <v>56.3</v>
      </c>
      <c r="BO509" s="75">
        <f t="shared" ref="BO509:BO515" si="79">IFERROR(1/J509*(X509/H509),"0")</f>
        <v>9.1054778554778545E-2</v>
      </c>
      <c r="BP509" s="75">
        <f t="shared" ref="BP509:BP515" si="80">IFERROR(1/J509*(Y509/H509),"0")</f>
        <v>9.6153846153846159E-2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50</v>
      </c>
      <c r="Y510" s="53">
        <f t="shared" si="76"/>
        <v>52.800000000000004</v>
      </c>
      <c r="Z510" s="39">
        <f>IFERROR(IF(Y510=0,"",ROUNDUP(Y510/H510,0)*0.01196),"")</f>
        <v>0.1196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53.314393939393938</v>
      </c>
      <c r="BN510" s="75">
        <f t="shared" si="78"/>
        <v>56.3</v>
      </c>
      <c r="BO510" s="75">
        <f t="shared" si="79"/>
        <v>9.1054778554778545E-2</v>
      </c>
      <c r="BP510" s="75">
        <f t="shared" si="80"/>
        <v>9.6153846153846159E-2</v>
      </c>
    </row>
    <row r="511" spans="1:68" ht="27" hidden="1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6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18.939393939393938</v>
      </c>
      <c r="Y516" s="41">
        <f>IFERROR(Y509/H509,"0")+IFERROR(Y510/H510,"0")+IFERROR(Y511/H511,"0")+IFERROR(Y512/H512,"0")+IFERROR(Y513/H513,"0")+IFERROR(Y514/H514,"0")+IFERROR(Y515/H515,"0")</f>
        <v>20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0.2392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100</v>
      </c>
      <c r="Y517" s="41">
        <f>IFERROR(SUM(Y509:Y515),"0")</f>
        <v>105.60000000000001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150</v>
      </c>
      <c r="Y533" s="53">
        <f>IFERROR(IF(X533="",0,CEILING((X533/$H533),1)*$H533),"")</f>
        <v>153</v>
      </c>
      <c r="Z533" s="39">
        <f>IFERROR(IF(Y533=0,"",ROUNDUP(Y533/H533,0)*0.01898),"")</f>
        <v>0.32266</v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158.23333333333332</v>
      </c>
      <c r="BN533" s="75">
        <f>IFERROR(Y533*I533/H533,"0")</f>
        <v>161.398</v>
      </c>
      <c r="BO533" s="75">
        <f>IFERROR(1/J533*(X533/H533),"0")</f>
        <v>0.26041666666666669</v>
      </c>
      <c r="BP533" s="75">
        <f>IFERROR(1/J533*(Y533/H533),"0")</f>
        <v>0.265625</v>
      </c>
    </row>
    <row r="534" spans="1:68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16.666666666666668</v>
      </c>
      <c r="Y534" s="41">
        <f>IFERROR(Y533/H533,"0")</f>
        <v>17</v>
      </c>
      <c r="Z534" s="41">
        <f>IFERROR(IF(Z533="",0,Z533),"0")</f>
        <v>0.32266</v>
      </c>
      <c r="AA534" s="64"/>
      <c r="AB534" s="64"/>
      <c r="AC534" s="64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150</v>
      </c>
      <c r="Y535" s="41">
        <f>IFERROR(SUM(Y533:Y533),"0")</f>
        <v>153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5319.6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5403.42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5528.1468885571658</v>
      </c>
      <c r="Y547" s="41">
        <f>IFERROR(SUM(BN22:BN543),"0")</f>
        <v>5615.8960000000006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8</v>
      </c>
      <c r="Y548" s="42">
        <f>ROUNDUP(SUM(BP22:BP543),0)</f>
        <v>9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5728.1468885571658</v>
      </c>
      <c r="Y549" s="41">
        <f>GrossWeightTotalR+PalletQtyTotalR*25</f>
        <v>5840.8960000000006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556.21523049109248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568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8.9710400000000021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0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21.6</v>
      </c>
      <c r="F556" s="50">
        <f>IFERROR(Y84*1,"0")+IFERROR(Y85*1,"0")+IFERROR(Y86*1,"0")+IFERROR(Y87*1,"0")+IFERROR(Y88*1,"0")+IFERROR(Y89*1,"0")+IFERROR(Y93*1,"0")+IFERROR(Y94*1,"0")+IFERROR(Y95*1,"0")+IFERROR(Y96*1,"0")</f>
        <v>0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33.6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587.70000000000005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199.20000000000002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3726</v>
      </c>
      <c r="X556" s="50">
        <f>IFERROR(Y449*1,"0")+IFERROR(Y450*1,"0")+IFERROR(Y454*1,"0")+IFERROR(Y458*1,"0")+IFERROR(Y459*1,"0")+IFERROR(Y460*1,"0")</f>
        <v>81</v>
      </c>
      <c r="Y556" s="50">
        <f>IFERROR(Y466*1,"0")+IFERROR(Y467*1,"0")+IFERROR(Y468*1,"0")+IFERROR(Y469*1,"0")+IFERROR(Y470*1,"0")+IFERROR(Y471*1,"0")+IFERROR(Y475*1,"0")</f>
        <v>86.4</v>
      </c>
      <c r="Z556" s="50">
        <f>IFERROR(Y480*1,"0")+IFERROR(Y484*1,"0")+IFERROR(Y485*1,"0")+IFERROR(Y486*1,"0")</f>
        <v>124.2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390.72</v>
      </c>
      <c r="AB556" s="50">
        <f>IFERROR(Y521*1,"0")+IFERROR(Y525*1,"0")+IFERROR(Y529*1,"0")+IFERROR(Y533*1,"0")+IFERROR(Y537*1,"0")+IFERROR(Y538*1,"0")</f>
        <v>153</v>
      </c>
      <c r="AC556" s="50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,39"/>
        <filter val="100,00"/>
        <filter val="11,11"/>
        <filter val="116,00"/>
        <filter val="120,00"/>
        <filter val="14,00"/>
        <filter val="14,81"/>
        <filter val="15,00"/>
        <filter val="150,00"/>
        <filter val="16,67"/>
        <filter val="166,67"/>
        <filter val="18,94"/>
        <filter val="180,00"/>
        <filter val="195,00"/>
        <filter val="2 500,00"/>
        <filter val="20,00"/>
        <filter val="22,22"/>
        <filter val="23,49"/>
        <filter val="28,80"/>
        <filter val="30,00"/>
        <filter val="33,60"/>
        <filter val="34,09"/>
        <filter val="4,80"/>
        <filter val="40,00"/>
        <filter val="42,30"/>
        <filter val="420,00"/>
        <filter val="48,00"/>
        <filter val="5 319,60"/>
        <filter val="5 528,15"/>
        <filter val="5 728,15"/>
        <filter val="50,00"/>
        <filter val="556,22"/>
        <filter val="66,67"/>
        <filter val="7,14"/>
        <filter val="77,78"/>
        <filter val="8"/>
        <filter val="8,89"/>
        <filter val="8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9" spans="2:8" x14ac:dyDescent="0.2">
      <c r="B9" s="51" t="s">
        <v>861</v>
      </c>
      <c r="C9" s="51" t="s">
        <v>862</v>
      </c>
      <c r="D9" s="51" t="s">
        <v>863</v>
      </c>
      <c r="E9" s="51" t="s">
        <v>46</v>
      </c>
    </row>
    <row r="10" spans="2:8" x14ac:dyDescent="0.2">
      <c r="B10" s="51" t="s">
        <v>864</v>
      </c>
      <c r="C10" s="51" t="s">
        <v>865</v>
      </c>
      <c r="D10" s="51" t="s">
        <v>866</v>
      </c>
      <c r="E10" s="51" t="s">
        <v>46</v>
      </c>
    </row>
    <row r="11" spans="2:8" x14ac:dyDescent="0.2">
      <c r="B11" s="51" t="s">
        <v>867</v>
      </c>
      <c r="C11" s="51" t="s">
        <v>868</v>
      </c>
      <c r="D11" s="51" t="s">
        <v>869</v>
      </c>
      <c r="E11" s="51" t="s">
        <v>46</v>
      </c>
    </row>
    <row r="12" spans="2:8" x14ac:dyDescent="0.2">
      <c r="B12" s="51" t="s">
        <v>870</v>
      </c>
      <c r="C12" s="51" t="s">
        <v>871</v>
      </c>
      <c r="D12" s="51" t="s">
        <v>872</v>
      </c>
      <c r="E12" s="51" t="s">
        <v>46</v>
      </c>
    </row>
    <row r="13" spans="2:8" x14ac:dyDescent="0.2">
      <c r="B13" s="51" t="s">
        <v>873</v>
      </c>
      <c r="C13" s="51" t="s">
        <v>874</v>
      </c>
      <c r="D13" s="51" t="s">
        <v>124</v>
      </c>
      <c r="E13" s="51" t="s">
        <v>46</v>
      </c>
    </row>
    <row r="15" spans="2:8" x14ac:dyDescent="0.2">
      <c r="B15" s="51" t="s">
        <v>875</v>
      </c>
      <c r="C15" s="51" t="s">
        <v>853</v>
      </c>
      <c r="D15" s="51" t="s">
        <v>46</v>
      </c>
      <c r="E15" s="51" t="s">
        <v>46</v>
      </c>
    </row>
    <row r="17" spans="2:5" x14ac:dyDescent="0.2">
      <c r="B17" s="51" t="s">
        <v>876</v>
      </c>
      <c r="C17" s="51" t="s">
        <v>856</v>
      </c>
      <c r="D17" s="51" t="s">
        <v>46</v>
      </c>
      <c r="E17" s="51" t="s">
        <v>46</v>
      </c>
    </row>
    <row r="19" spans="2:5" x14ac:dyDescent="0.2">
      <c r="B19" s="51" t="s">
        <v>877</v>
      </c>
      <c r="C19" s="51" t="s">
        <v>859</v>
      </c>
      <c r="D19" s="51" t="s">
        <v>46</v>
      </c>
      <c r="E19" s="51" t="s">
        <v>46</v>
      </c>
    </row>
    <row r="21" spans="2:5" x14ac:dyDescent="0.2">
      <c r="B21" s="51" t="s">
        <v>878</v>
      </c>
      <c r="C21" s="51" t="s">
        <v>862</v>
      </c>
      <c r="D21" s="51" t="s">
        <v>46</v>
      </c>
      <c r="E21" s="51" t="s">
        <v>46</v>
      </c>
    </row>
    <row r="23" spans="2:5" x14ac:dyDescent="0.2">
      <c r="B23" s="51" t="s">
        <v>879</v>
      </c>
      <c r="C23" s="51" t="s">
        <v>865</v>
      </c>
      <c r="D23" s="51" t="s">
        <v>46</v>
      </c>
      <c r="E23" s="51" t="s">
        <v>46</v>
      </c>
    </row>
    <row r="25" spans="2:5" x14ac:dyDescent="0.2">
      <c r="B25" s="51" t="s">
        <v>880</v>
      </c>
      <c r="C25" s="51" t="s">
        <v>868</v>
      </c>
      <c r="D25" s="51" t="s">
        <v>46</v>
      </c>
      <c r="E25" s="51" t="s">
        <v>46</v>
      </c>
    </row>
    <row r="27" spans="2:5" x14ac:dyDescent="0.2">
      <c r="B27" s="51" t="s">
        <v>881</v>
      </c>
      <c r="C27" s="51" t="s">
        <v>871</v>
      </c>
      <c r="D27" s="51" t="s">
        <v>46</v>
      </c>
      <c r="E27" s="51" t="s">
        <v>46</v>
      </c>
    </row>
    <row r="29" spans="2:5" x14ac:dyDescent="0.2">
      <c r="B29" s="51" t="s">
        <v>882</v>
      </c>
      <c r="C29" s="51" t="s">
        <v>874</v>
      </c>
      <c r="D29" s="51" t="s">
        <v>46</v>
      </c>
      <c r="E29" s="51" t="s">
        <v>46</v>
      </c>
    </row>
    <row r="31" spans="2:5" x14ac:dyDescent="0.2">
      <c r="B31" s="51" t="s">
        <v>883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884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885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886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887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888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889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890</v>
      </c>
      <c r="C38" s="51" t="s">
        <v>46</v>
      </c>
      <c r="D38" s="51" t="s">
        <v>46</v>
      </c>
      <c r="E38" s="51" t="s">
        <v>46</v>
      </c>
    </row>
    <row r="39" spans="2:5" x14ac:dyDescent="0.2">
      <c r="B39" s="51" t="s">
        <v>891</v>
      </c>
      <c r="C39" s="51" t="s">
        <v>46</v>
      </c>
      <c r="D39" s="51" t="s">
        <v>46</v>
      </c>
      <c r="E39" s="51" t="s">
        <v>46</v>
      </c>
    </row>
    <row r="40" spans="2:5" x14ac:dyDescent="0.2">
      <c r="B40" s="51" t="s">
        <v>892</v>
      </c>
      <c r="C40" s="51" t="s">
        <v>46</v>
      </c>
      <c r="D40" s="51" t="s">
        <v>46</v>
      </c>
      <c r="E40" s="51" t="s">
        <v>46</v>
      </c>
    </row>
    <row r="41" spans="2:5" x14ac:dyDescent="0.2">
      <c r="B41" s="51" t="s">
        <v>893</v>
      </c>
      <c r="C41" s="51" t="s">
        <v>46</v>
      </c>
      <c r="D41" s="51" t="s">
        <v>46</v>
      </c>
      <c r="E41" s="51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