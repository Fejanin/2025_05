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AC6B492-4D1B-4E74-9D64-897C6317817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Y377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Y268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BO111" i="2"/>
  <c r="BM111" i="2"/>
  <c r="Y111" i="2"/>
  <c r="BP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H556" i="2" l="1"/>
  <c r="Z107" i="2"/>
  <c r="BN107" i="2"/>
  <c r="Z111" i="2"/>
  <c r="BN111" i="2"/>
  <c r="Z113" i="2"/>
  <c r="BN113" i="2"/>
  <c r="Z335" i="2"/>
  <c r="Z223" i="2"/>
  <c r="Z48" i="2"/>
  <c r="Z178" i="2"/>
  <c r="BN178" i="2"/>
  <c r="Z293" i="2"/>
  <c r="Z376" i="2"/>
  <c r="BN376" i="2"/>
  <c r="Z394" i="2"/>
  <c r="Z28" i="2"/>
  <c r="Z66" i="2"/>
  <c r="BN66" i="2"/>
  <c r="Z147" i="2"/>
  <c r="BN147" i="2"/>
  <c r="Z215" i="2"/>
  <c r="BP240" i="2"/>
  <c r="Z320" i="2"/>
  <c r="Z356" i="2"/>
  <c r="BN356" i="2"/>
  <c r="Z365" i="2"/>
  <c r="Y302" i="2"/>
  <c r="Z46" i="2"/>
  <c r="BP55" i="2"/>
  <c r="Z72" i="2"/>
  <c r="G556" i="2"/>
  <c r="Z126" i="2"/>
  <c r="Z127" i="2" s="1"/>
  <c r="BP175" i="2"/>
  <c r="Z204" i="2"/>
  <c r="BN204" i="2"/>
  <c r="Z216" i="2"/>
  <c r="BN216" i="2"/>
  <c r="Z272" i="2"/>
  <c r="Z332" i="2"/>
  <c r="Z355" i="2"/>
  <c r="Z366" i="2"/>
  <c r="BN366" i="2"/>
  <c r="Z375" i="2"/>
  <c r="Z475" i="2"/>
  <c r="Z476" i="2" s="1"/>
  <c r="Y476" i="2"/>
  <c r="BP510" i="2"/>
  <c r="BN47" i="2"/>
  <c r="BP56" i="2"/>
  <c r="BN68" i="2"/>
  <c r="BN102" i="2"/>
  <c r="BN217" i="2"/>
  <c r="BP225" i="2"/>
  <c r="BN232" i="2"/>
  <c r="BN275" i="2"/>
  <c r="BP278" i="2"/>
  <c r="BN280" i="2"/>
  <c r="BN296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BP22" i="2"/>
  <c r="BN27" i="2"/>
  <c r="BP36" i="2"/>
  <c r="BN38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Z120" i="2"/>
  <c r="BN120" i="2"/>
  <c r="Z136" i="2"/>
  <c r="BN136" i="2"/>
  <c r="Z149" i="2"/>
  <c r="BN149" i="2"/>
  <c r="Z173" i="2"/>
  <c r="Z177" i="2"/>
  <c r="BN180" i="2"/>
  <c r="Z184" i="2"/>
  <c r="Y187" i="2"/>
  <c r="Z202" i="2"/>
  <c r="Z214" i="2"/>
  <c r="BP215" i="2"/>
  <c r="Z225" i="2"/>
  <c r="BN234" i="2"/>
  <c r="Z239" i="2"/>
  <c r="Z259" i="2"/>
  <c r="BN259" i="2"/>
  <c r="BP259" i="2"/>
  <c r="Z262" i="2"/>
  <c r="BN265" i="2"/>
  <c r="BN277" i="2"/>
  <c r="Z278" i="2"/>
  <c r="BN301" i="2"/>
  <c r="BN309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116" i="2" l="1"/>
  <c r="Z151" i="2"/>
  <c r="X549" i="2"/>
  <c r="Y548" i="2"/>
  <c r="Z256" i="2"/>
  <c r="Z123" i="2"/>
  <c r="Z251" i="2"/>
  <c r="Z461" i="2"/>
  <c r="Z402" i="2"/>
  <c r="Z349" i="2"/>
  <c r="Z241" i="2"/>
  <c r="Z428" i="2"/>
  <c r="Z133" i="2"/>
  <c r="Z69" i="2"/>
  <c r="Z487" i="2"/>
  <c r="Z186" i="2"/>
  <c r="Z445" i="2"/>
  <c r="Z383" i="2"/>
  <c r="Z74" i="2"/>
  <c r="Z336" i="2"/>
  <c r="Z50" i="2"/>
  <c r="Z41" i="2"/>
  <c r="Z138" i="2"/>
  <c r="Z168" i="2"/>
  <c r="Z440" i="2"/>
  <c r="Z434" i="2"/>
  <c r="Z80" i="2"/>
  <c r="Z287" i="2"/>
  <c r="Z267" i="2"/>
  <c r="Z415" i="2"/>
  <c r="Z321" i="2"/>
  <c r="Y547" i="2"/>
  <c r="Y549" i="2" s="1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Z551" i="2" l="1"/>
</calcChain>
</file>

<file path=xl/sharedStrings.xml><?xml version="1.0" encoding="utf-8"?>
<sst xmlns="http://schemas.openxmlformats.org/spreadsheetml/2006/main" count="4126" uniqueCount="876">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</sst>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875</v>
      </c>
      <c r="I5" s="631"/>
      <c r="J5" s="631"/>
      <c r="K5" s="631"/>
      <c r="L5" s="631"/>
      <c r="M5" s="631"/>
      <c r="N5" s="72"/>
      <c r="P5" s="27" t="s">
        <v>4</v>
      </c>
      <c r="Q5" s="633">
        <v>46312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858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Суббота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0.45833333333333331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18</v>
      </c>
      <c r="Y29" s="55">
        <f>IFERROR(IF(X29="",0,CEILING((X29/$H29),1)*$H29),"")</f>
        <v>18</v>
      </c>
      <c r="Z29" s="41">
        <f>IFERROR(IF(Y29=0,"",ROUNDUP(Y29/H29,0)*0.00651),"")</f>
        <v>6.5100000000000005E-2</v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31.8</v>
      </c>
      <c r="BN29" s="78">
        <f>IFERROR(Y29*I29/H29,"0")</f>
        <v>31.8</v>
      </c>
      <c r="BO29" s="78">
        <f>IFERROR(1/J29*(X29/H29),"0")</f>
        <v>5.4945054945054951E-2</v>
      </c>
      <c r="BP29" s="78">
        <f>IFERROR(1/J29*(Y29/H29),"0")</f>
        <v>5.4945054945054951E-2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10</v>
      </c>
      <c r="Y31" s="43">
        <f>IFERROR(Y26/H26,"0")+IFERROR(Y27/H27,"0")+IFERROR(Y28/H28,"0")+IFERROR(Y29/H29,"0")+IFERROR(Y30/H30,"0")</f>
        <v>10</v>
      </c>
      <c r="Z31" s="43">
        <f>IFERROR(IF(Z26="",0,Z26),"0")+IFERROR(IF(Z27="",0,Z27),"0")+IFERROR(IF(Z28="",0,Z28),"0")+IFERROR(IF(Z29="",0,Z29),"0")+IFERROR(IF(Z30="",0,Z30),"0")</f>
        <v>6.5100000000000005E-2</v>
      </c>
      <c r="AA31" s="67"/>
      <c r="AB31" s="67"/>
      <c r="AC31" s="67"/>
    </row>
    <row r="32" spans="1:68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18</v>
      </c>
      <c r="Y32" s="43">
        <f>IFERROR(SUM(Y26:Y30),"0")</f>
        <v>18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hidden="1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96</v>
      </c>
      <c r="Y48" s="55">
        <f>IFERROR(IF(X48="",0,CEILING((X48/$H48),1)*$H48),"")</f>
        <v>96</v>
      </c>
      <c r="Z48" s="41">
        <f>IFERROR(IF(Y48=0,"",ROUNDUP(Y48/H48,0)*0.00902),"")</f>
        <v>0.21648000000000001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100.56</v>
      </c>
      <c r="BN48" s="78">
        <f>IFERROR(Y48*I48/H48,"0")</f>
        <v>100.56</v>
      </c>
      <c r="BO48" s="78">
        <f>IFERROR(1/J48*(X48/H48),"0")</f>
        <v>0.18181818181818182</v>
      </c>
      <c r="BP48" s="78">
        <f>IFERROR(1/J48*(Y48/H48),"0")</f>
        <v>0.18181818181818182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24</v>
      </c>
      <c r="Y50" s="43">
        <f>IFERROR(Y46/H46,"0")+IFERROR(Y47/H47,"0")+IFERROR(Y48/H48,"0")+IFERROR(Y49/H49,"0")</f>
        <v>24</v>
      </c>
      <c r="Z50" s="43">
        <f>IFERROR(IF(Z46="",0,Z46),"0")+IFERROR(IF(Z47="",0,Z47),"0")+IFERROR(IF(Z48="",0,Z48),"0")+IFERROR(IF(Z49="",0,Z49),"0")</f>
        <v>0.21648000000000001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96</v>
      </c>
      <c r="Y51" s="43">
        <f>IFERROR(SUM(Y46:Y49),"0")</f>
        <v>96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54</v>
      </c>
      <c r="Y68" s="55">
        <f>IFERROR(IF(X68="",0,CEILING((X68/$H68),1)*$H68),"")</f>
        <v>54</v>
      </c>
      <c r="Z68" s="41">
        <f>IFERROR(IF(Y68=0,"",ROUNDUP(Y68/H68,0)*0.00651),"")</f>
        <v>0.13020000000000001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57.599999999999987</v>
      </c>
      <c r="BN68" s="78">
        <f>IFERROR(Y68*I68/H68,"0")</f>
        <v>57.599999999999987</v>
      </c>
      <c r="BO68" s="78">
        <f>IFERROR(1/J68*(X68/H68),"0")</f>
        <v>0.1098901098901099</v>
      </c>
      <c r="BP68" s="78">
        <f>IFERROR(1/J68*(Y68/H68),"0")</f>
        <v>0.1098901098901099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20</v>
      </c>
      <c r="Y69" s="43">
        <f>IFERROR(Y65/H65,"0")+IFERROR(Y66/H66,"0")+IFERROR(Y67/H67,"0")+IFERROR(Y68/H68,"0")</f>
        <v>20</v>
      </c>
      <c r="Z69" s="43">
        <f>IFERROR(IF(Z65="",0,Z65),"0")+IFERROR(IF(Z66="",0,Z66),"0")+IFERROR(IF(Z67="",0,Z67),"0")+IFERROR(IF(Z68="",0,Z68),"0")</f>
        <v>0.13020000000000001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54</v>
      </c>
      <c r="Y70" s="43">
        <f>IFERROR(SUM(Y65:Y68),"0")</f>
        <v>54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18</v>
      </c>
      <c r="Y72" s="55">
        <f>IFERROR(IF(X72="",0,CEILING((X72/$H72),1)*$H72),"")</f>
        <v>18</v>
      </c>
      <c r="Z72" s="41">
        <f>IFERROR(IF(Y72=0,"",ROUNDUP(Y72/H72,0)*0.00651),"")</f>
        <v>6.5100000000000005E-2</v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20.459999999999997</v>
      </c>
      <c r="BN72" s="78">
        <f>IFERROR(Y72*I72/H72,"0")</f>
        <v>20.459999999999997</v>
      </c>
      <c r="BO72" s="78">
        <f>IFERROR(1/J72*(X72/H72),"0")</f>
        <v>5.4945054945054951E-2</v>
      </c>
      <c r="BP72" s="78">
        <f>IFERROR(1/J72*(Y72/H72),"0")</f>
        <v>5.4945054945054951E-2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10</v>
      </c>
      <c r="Y74" s="43">
        <f>IFERROR(Y72/H72,"0")+IFERROR(Y73/H73,"0")</f>
        <v>10</v>
      </c>
      <c r="Z74" s="43">
        <f>IFERROR(IF(Z72="",0,Z72),"0")+IFERROR(IF(Z73="",0,Z73),"0")</f>
        <v>6.5100000000000005E-2</v>
      </c>
      <c r="AA74" s="67"/>
      <c r="AB74" s="67"/>
      <c r="AC74" s="67"/>
    </row>
    <row r="75" spans="1:68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18</v>
      </c>
      <c r="Y75" s="43">
        <f>IFERROR(SUM(Y72:Y73),"0")</f>
        <v>18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135</v>
      </c>
      <c r="Y95" s="55">
        <f>IFERROR(IF(X95="",0,CEILING((X95/$H95),1)*$H95),"")</f>
        <v>135</v>
      </c>
      <c r="Z95" s="41">
        <f>IFERROR(IF(Y95=0,"",ROUNDUP(Y95/H95,0)*0.00651),"")</f>
        <v>0.32550000000000001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147.6</v>
      </c>
      <c r="BN95" s="78">
        <f>IFERROR(Y95*I95/H95,"0")</f>
        <v>147.6</v>
      </c>
      <c r="BO95" s="78">
        <f>IFERROR(1/J95*(X95/H95),"0")</f>
        <v>0.27472527472527475</v>
      </c>
      <c r="BP95" s="78">
        <f>IFERROR(1/J95*(Y95/H95),"0")</f>
        <v>0.27472527472527475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50</v>
      </c>
      <c r="Y97" s="43">
        <f>IFERROR(Y93/H93,"0")+IFERROR(Y94/H94,"0")+IFERROR(Y95/H95,"0")+IFERROR(Y96/H96,"0")</f>
        <v>50</v>
      </c>
      <c r="Z97" s="43">
        <f>IFERROR(IF(Z93="",0,Z93),"0")+IFERROR(IF(Z94="",0,Z94),"0")+IFERROR(IF(Z95="",0,Z95),"0")+IFERROR(IF(Z96="",0,Z96),"0")</f>
        <v>0.32550000000000001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135</v>
      </c>
      <c r="Y98" s="43">
        <f>IFERROR(SUM(Y93:Y96),"0")</f>
        <v>135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72</v>
      </c>
      <c r="Y115" s="55">
        <f>IFERROR(IF(X115="",0,CEILING((X115/$H115),1)*$H115),"")</f>
        <v>72</v>
      </c>
      <c r="Z115" s="41">
        <f>IFERROR(IF(Y115=0,"",ROUNDUP(Y115/H115,0)*0.00651),"")</f>
        <v>0.1953</v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77.400000000000006</v>
      </c>
      <c r="BN115" s="78">
        <f>IFERROR(Y115*I115/H115,"0")</f>
        <v>77.400000000000006</v>
      </c>
      <c r="BO115" s="78">
        <f>IFERROR(1/J115*(X115/H115),"0")</f>
        <v>0.16483516483516486</v>
      </c>
      <c r="BP115" s="78">
        <f>IFERROR(1/J115*(Y115/H115),"0")</f>
        <v>0.16483516483516486</v>
      </c>
    </row>
    <row r="116" spans="1:68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30</v>
      </c>
      <c r="Y116" s="43">
        <f>IFERROR(Y111/H111,"0")+IFERROR(Y112/H112,"0")+IFERROR(Y113/H113,"0")+IFERROR(Y114/H114,"0")+IFERROR(Y115/H115,"0")</f>
        <v>30</v>
      </c>
      <c r="Z116" s="43">
        <f>IFERROR(IF(Z111="",0,Z111),"0")+IFERROR(IF(Z112="",0,Z112),"0")+IFERROR(IF(Z113="",0,Z113),"0")+IFERROR(IF(Z114="",0,Z114),"0")+IFERROR(IF(Z115="",0,Z115),"0")</f>
        <v>0.1953</v>
      </c>
      <c r="AA116" s="67"/>
      <c r="AB116" s="67"/>
      <c r="AC116" s="67"/>
    </row>
    <row r="117" spans="1:68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72</v>
      </c>
      <c r="Y117" s="43">
        <f>IFERROR(SUM(Y111:Y115),"0")</f>
        <v>72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36</v>
      </c>
      <c r="Y122" s="55">
        <f>IFERROR(IF(X122="",0,CEILING((X122/$H122),1)*$H122),"")</f>
        <v>36</v>
      </c>
      <c r="Z122" s="41">
        <f>IFERROR(IF(Y122=0,"",ROUNDUP(Y122/H122,0)*0.00651),"")</f>
        <v>0.13020000000000001</v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39.6</v>
      </c>
      <c r="BN122" s="78">
        <f>IFERROR(Y122*I122/H122,"0")</f>
        <v>39.6</v>
      </c>
      <c r="BO122" s="78">
        <f>IFERROR(1/J122*(X122/H122),"0")</f>
        <v>0.1098901098901099</v>
      </c>
      <c r="BP122" s="78">
        <f>IFERROR(1/J122*(Y122/H122),"0")</f>
        <v>0.1098901098901099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20</v>
      </c>
      <c r="Y123" s="43">
        <f>IFERROR(Y119/H119,"0")+IFERROR(Y120/H120,"0")+IFERROR(Y121/H121,"0")+IFERROR(Y122/H122,"0")</f>
        <v>20</v>
      </c>
      <c r="Z123" s="43">
        <f>IFERROR(IF(Z119="",0,Z119),"0")+IFERROR(IF(Z120="",0,Z120),"0")+IFERROR(IF(Z121="",0,Z121),"0")+IFERROR(IF(Z122="",0,Z122),"0")</f>
        <v>0.13020000000000001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36</v>
      </c>
      <c r="Y124" s="43">
        <f>IFERROR(SUM(Y119:Y122),"0")</f>
        <v>36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19.8</v>
      </c>
      <c r="Y126" s="55">
        <f>IFERROR(IF(X126="",0,CEILING((X126/$H126),1)*$H126),"")</f>
        <v>19.8</v>
      </c>
      <c r="Z126" s="41">
        <f>IFERROR(IF(Y126=0,"",ROUNDUP(Y126/H126,0)*0.00651),"")</f>
        <v>6.5100000000000005E-2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22.380000000000003</v>
      </c>
      <c r="BN126" s="78">
        <f>IFERROR(Y126*I126/H126,"0")</f>
        <v>22.380000000000003</v>
      </c>
      <c r="BO126" s="78">
        <f>IFERROR(1/J126*(X126/H126),"0")</f>
        <v>5.4945054945054951E-2</v>
      </c>
      <c r="BP126" s="78">
        <f>IFERROR(1/J126*(Y126/H126),"0")</f>
        <v>5.4945054945054951E-2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10</v>
      </c>
      <c r="Y127" s="43">
        <f>IFERROR(Y126/H126,"0")</f>
        <v>10</v>
      </c>
      <c r="Z127" s="43">
        <f>IFERROR(IF(Z126="",0,Z126),"0")</f>
        <v>6.5100000000000005E-2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19.8</v>
      </c>
      <c r="Y128" s="43">
        <f>IFERROR(SUM(Y126:Y126),"0")</f>
        <v>19.8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96</v>
      </c>
      <c r="Y131" s="55">
        <f>IFERROR(IF(X131="",0,CEILING((X131/$H131),1)*$H131),"")</f>
        <v>96</v>
      </c>
      <c r="Z131" s="41">
        <f>IFERROR(IF(Y131=0,"",ROUNDUP(Y131/H131,0)*0.00651),"")</f>
        <v>0.1953</v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101.4</v>
      </c>
      <c r="BN131" s="78">
        <f>IFERROR(Y131*I131/H131,"0")</f>
        <v>101.4</v>
      </c>
      <c r="BO131" s="78">
        <f>IFERROR(1/J131*(X131/H131),"0")</f>
        <v>0.16483516483516486</v>
      </c>
      <c r="BP131" s="78">
        <f>IFERROR(1/J131*(Y131/H131),"0")</f>
        <v>0.16483516483516486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30</v>
      </c>
      <c r="Y133" s="43">
        <f>IFERROR(Y131/H131,"0")+IFERROR(Y132/H132,"0")</f>
        <v>30</v>
      </c>
      <c r="Z133" s="43">
        <f>IFERROR(IF(Z131="",0,Z131),"0")+IFERROR(IF(Z132="",0,Z132),"0")</f>
        <v>0.1953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96</v>
      </c>
      <c r="Y134" s="43">
        <f>IFERROR(SUM(Y131:Y132),"0")</f>
        <v>96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79.2</v>
      </c>
      <c r="Y141" s="55">
        <f>IFERROR(IF(X141="",0,CEILING((X141/$H141),1)*$H141),"")</f>
        <v>79.2</v>
      </c>
      <c r="Z141" s="41">
        <f>IFERROR(IF(Y141=0,"",ROUNDUP(Y141/H141,0)*0.00651),"")</f>
        <v>0.1953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87.24</v>
      </c>
      <c r="BN141" s="78">
        <f>IFERROR(Y141*I141/H141,"0")</f>
        <v>87.24</v>
      </c>
      <c r="BO141" s="78">
        <f>IFERROR(1/J141*(X141/H141),"0")</f>
        <v>0.16483516483516486</v>
      </c>
      <c r="BP141" s="78">
        <f>IFERROR(1/J141*(Y141/H141),"0")</f>
        <v>0.16483516483516486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30</v>
      </c>
      <c r="Y143" s="43">
        <f>IFERROR(Y141/H141,"0")+IFERROR(Y142/H142,"0")</f>
        <v>30</v>
      </c>
      <c r="Z143" s="43">
        <f>IFERROR(IF(Z141="",0,Z141),"0")+IFERROR(IF(Z142="",0,Z142),"0")</f>
        <v>0.1953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79.2</v>
      </c>
      <c r="Y144" s="43">
        <f>IFERROR(SUM(Y141:Y142),"0")</f>
        <v>79.2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7.2</v>
      </c>
      <c r="Y217" s="55">
        <f t="shared" si="26"/>
        <v>7.2</v>
      </c>
      <c r="Z217" s="41">
        <f>IFERROR(IF(Y217=0,"",ROUNDUP(Y217/H217,0)*0.00556),"")</f>
        <v>5.0040000000000001E-2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8.370000000000001</v>
      </c>
      <c r="BN217" s="78">
        <f t="shared" si="28"/>
        <v>8.370000000000001</v>
      </c>
      <c r="BO217" s="78">
        <f t="shared" si="29"/>
        <v>3.5714285714285712E-2</v>
      </c>
      <c r="BP217" s="78">
        <f t="shared" si="30"/>
        <v>3.5714285714285712E-2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4.8</v>
      </c>
      <c r="Y223" s="55">
        <f t="shared" si="26"/>
        <v>4.8000000000000007</v>
      </c>
      <c r="Z223" s="41">
        <f>IFERROR(IF(Y223=0,"",ROUNDUP(Y223/H223,0)*0.00417),"")</f>
        <v>2.5020000000000001E-2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6.06</v>
      </c>
      <c r="BN223" s="78">
        <f t="shared" si="28"/>
        <v>6.0600000000000005</v>
      </c>
      <c r="BO223" s="78">
        <f t="shared" si="29"/>
        <v>1.7857142857142853E-2</v>
      </c>
      <c r="BP223" s="78">
        <f t="shared" si="30"/>
        <v>1.785714285714286E-2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7.5060000000000002E-2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12</v>
      </c>
      <c r="Y228" s="43">
        <f>IFERROR(SUM(Y214:Y226),"0")</f>
        <v>12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hidden="1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hidden="1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idden="1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36"/>
        <v>120</v>
      </c>
      <c r="Z276" s="41">
        <f>IFERROR(IF(Y276=0,"",ROUNDUP(Y276/H276,0)*0.00651),"")</f>
        <v>0.32550000000000001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132.60000000000002</v>
      </c>
      <c r="BN276" s="78">
        <f t="shared" si="38"/>
        <v>132.60000000000002</v>
      </c>
      <c r="BO276" s="78">
        <f t="shared" si="39"/>
        <v>0.27472527472527475</v>
      </c>
      <c r="BP276" s="78">
        <f t="shared" si="40"/>
        <v>0.27472527472527475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120</v>
      </c>
      <c r="Y278" s="55">
        <f t="shared" si="36"/>
        <v>120</v>
      </c>
      <c r="Z278" s="41">
        <f>IFERROR(IF(Y278=0,"",ROUNDUP(Y278/H278,0)*0.00651),"")</f>
        <v>0.32550000000000001</v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132.60000000000002</v>
      </c>
      <c r="BN278" s="78">
        <f t="shared" si="38"/>
        <v>132.60000000000002</v>
      </c>
      <c r="BO278" s="78">
        <f t="shared" si="39"/>
        <v>0.27472527472527475</v>
      </c>
      <c r="BP278" s="78">
        <f t="shared" si="40"/>
        <v>0.27472527472527475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0.65100000000000002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240</v>
      </c>
      <c r="Y283" s="43">
        <f>IFERROR(SUM(Y270:Y281),"0")</f>
        <v>240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120</v>
      </c>
      <c r="Y294" s="55">
        <f t="shared" si="41"/>
        <v>120</v>
      </c>
      <c r="Z294" s="41">
        <f>IFERROR(IF(Y294=0,"",ROUNDUP(Y294/H294,0)*0.00902),"")</f>
        <v>0.27060000000000001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125.70000000000002</v>
      </c>
      <c r="BN294" s="78">
        <f t="shared" si="43"/>
        <v>125.70000000000002</v>
      </c>
      <c r="BO294" s="78">
        <f t="shared" si="44"/>
        <v>0.22727272727272729</v>
      </c>
      <c r="BP294" s="78">
        <f t="shared" si="45"/>
        <v>0.22727272727272729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41"/>
        <v>120</v>
      </c>
      <c r="Z297" s="41">
        <f>IFERROR(IF(Y297=0,"",ROUNDUP(Y297/H297,0)*0.00902),"")</f>
        <v>0.27060000000000001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125.70000000000002</v>
      </c>
      <c r="BN297" s="78">
        <f t="shared" si="43"/>
        <v>125.70000000000002</v>
      </c>
      <c r="BO297" s="78">
        <f t="shared" si="44"/>
        <v>0.22727272727272729</v>
      </c>
      <c r="BP297" s="78">
        <f t="shared" si="45"/>
        <v>0.22727272727272729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60</v>
      </c>
      <c r="Y298" s="43">
        <f>IFERROR(Y291/H291,"0")+IFERROR(Y292/H292,"0")+IFERROR(Y293/H293,"0")+IFERROR(Y294/H294,"0")+IFERROR(Y295/H295,"0")+IFERROR(Y296/H296,"0")+IFERROR(Y297/H297,"0")</f>
        <v>60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0.54120000000000001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240</v>
      </c>
      <c r="Y299" s="43">
        <f>IFERROR(SUM(Y291:Y297),"0")</f>
        <v>240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24</v>
      </c>
      <c r="Y327" s="55">
        <f>IFERROR(IF(X327="",0,CEILING((X327/$H327),1)*$H327),"")</f>
        <v>24</v>
      </c>
      <c r="Z327" s="41">
        <f>IFERROR(IF(Y327=0,"",ROUNDUP(Y327/H327,0)*0.00651),"")</f>
        <v>6.5100000000000005E-2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25.8</v>
      </c>
      <c r="BN327" s="78">
        <f>IFERROR(Y327*I327/H327,"0")</f>
        <v>25.8</v>
      </c>
      <c r="BO327" s="78">
        <f>IFERROR(1/J327*(X327/H327),"0")</f>
        <v>5.4945054945054951E-2</v>
      </c>
      <c r="BP327" s="78">
        <f>IFERROR(1/J327*(Y327/H327),"0")</f>
        <v>5.4945054945054951E-2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10</v>
      </c>
      <c r="Y328" s="43">
        <f>IFERROR(Y325/H325,"0")+IFERROR(Y326/H326,"0")+IFERROR(Y327/H327,"0")</f>
        <v>10</v>
      </c>
      <c r="Z328" s="43">
        <f>IFERROR(IF(Z325="",0,Z325),"0")+IFERROR(IF(Z326="",0,Z326),"0")+IFERROR(IF(Z327="",0,Z327),"0")</f>
        <v>6.5100000000000005E-2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24</v>
      </c>
      <c r="Y329" s="43">
        <f>IFERROR(SUM(Y325:Y327),"0")</f>
        <v>24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36</v>
      </c>
      <c r="Y339" s="55">
        <f>IFERROR(IF(X339="",0,CEILING((X339/$H339),1)*$H339),"")</f>
        <v>36</v>
      </c>
      <c r="Z339" s="41">
        <f>IFERROR(IF(Y339=0,"",ROUNDUP(Y339/H339,0)*0.00902),"")</f>
        <v>9.0200000000000002E-2</v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37.9</v>
      </c>
      <c r="BN339" s="78">
        <f>IFERROR(Y339*I339/H339,"0")</f>
        <v>37.9</v>
      </c>
      <c r="BO339" s="78">
        <f>IFERROR(1/J339*(X339/H339),"0")</f>
        <v>7.575757575757576E-2</v>
      </c>
      <c r="BP339" s="78">
        <f>IFERROR(1/J339*(Y339/H339),"0")</f>
        <v>7.575757575757576E-2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10</v>
      </c>
      <c r="Y342" s="43">
        <f>IFERROR(Y339/H339,"0")+IFERROR(Y340/H340,"0")+IFERROR(Y341/H341,"0")</f>
        <v>10</v>
      </c>
      <c r="Z342" s="43">
        <f>IFERROR(IF(Z339="",0,Z339),"0")+IFERROR(IF(Z340="",0,Z340),"0")+IFERROR(IF(Z341="",0,Z341),"0")</f>
        <v>9.0200000000000002E-2</v>
      </c>
      <c r="AA342" s="67"/>
      <c r="AB342" s="67"/>
      <c r="AC342" s="67"/>
    </row>
    <row r="343" spans="1:68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36</v>
      </c>
      <c r="Y343" s="43">
        <f>IFERROR(SUM(Y339:Y341),"0")</f>
        <v>36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42</v>
      </c>
      <c r="Y367" s="55">
        <f t="shared" si="56"/>
        <v>42</v>
      </c>
      <c r="Z367" s="41">
        <f>IFERROR(IF(Y367=0,"",ROUNDUP(Y367/H367,0)*0.00502),"")</f>
        <v>0.1004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44</v>
      </c>
      <c r="BN367" s="78">
        <f t="shared" si="58"/>
        <v>44</v>
      </c>
      <c r="BO367" s="78">
        <f t="shared" si="59"/>
        <v>8.5470085470085472E-2</v>
      </c>
      <c r="BP367" s="78">
        <f t="shared" si="60"/>
        <v>8.5470085470085472E-2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36</v>
      </c>
      <c r="Y369" s="55">
        <f t="shared" si="56"/>
        <v>36</v>
      </c>
      <c r="Z369" s="41">
        <f>IFERROR(IF(Y369=0,"",ROUNDUP(Y369/H369,0)*0.00651),"")</f>
        <v>0.13020000000000001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40.559999999999995</v>
      </c>
      <c r="BN369" s="78">
        <f t="shared" si="58"/>
        <v>40.559999999999995</v>
      </c>
      <c r="BO369" s="78">
        <f t="shared" si="59"/>
        <v>0.1098901098901099</v>
      </c>
      <c r="BP369" s="78">
        <f t="shared" si="60"/>
        <v>0.1098901098901099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40</v>
      </c>
      <c r="Y370" s="43">
        <f>IFERROR(Y363/H363,"0")+IFERROR(Y364/H364,"0")+IFERROR(Y365/H365,"0")+IFERROR(Y366/H366,"0")+IFERROR(Y367/H367,"0")+IFERROR(Y368/H368,"0")+IFERROR(Y369/H369,"0")</f>
        <v>40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0.23060000000000003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78</v>
      </c>
      <c r="Y371" s="43">
        <f>IFERROR(SUM(Y363:Y369),"0")</f>
        <v>78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10.199999999999999</v>
      </c>
      <c r="Y388" s="55">
        <f>IFERROR(IF(X388="",0,CEILING((X388/$H388),1)*$H388),"")</f>
        <v>10.199999999999999</v>
      </c>
      <c r="Z388" s="41">
        <f>IFERROR(IF(Y388=0,"",ROUNDUP(Y388/H388,0)*0.00651),"")</f>
        <v>2.6040000000000001E-2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11.82</v>
      </c>
      <c r="BN388" s="78">
        <f>IFERROR(Y388*I388/H388,"0")</f>
        <v>11.82</v>
      </c>
      <c r="BO388" s="78">
        <f>IFERROR(1/J388*(X388/H388),"0")</f>
        <v>2.197802197802198E-2</v>
      </c>
      <c r="BP388" s="78">
        <f>IFERROR(1/J388*(Y388/H388),"0")</f>
        <v>2.197802197802198E-2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4</v>
      </c>
      <c r="Y390" s="43">
        <f>IFERROR(Y386/H386,"0")+IFERROR(Y387/H387,"0")+IFERROR(Y388/H388,"0")+IFERROR(Y389/H389,"0")</f>
        <v>4</v>
      </c>
      <c r="Z390" s="43">
        <f>IFERROR(IF(Z386="",0,Z386),"0")+IFERROR(IF(Z387="",0,Z387),"0")+IFERROR(IF(Z388="",0,Z388),"0")+IFERROR(IF(Z389="",0,Z389),"0")</f>
        <v>2.6040000000000001E-2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10.199999999999999</v>
      </c>
      <c r="Y391" s="43">
        <f>IFERROR(SUM(Y386:Y389),"0")</f>
        <v>10.199999999999999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81.599999999999994</v>
      </c>
      <c r="Y393" s="55">
        <f>IFERROR(IF(X393="",0,CEILING((X393/$H393),1)*$H393),"")</f>
        <v>82</v>
      </c>
      <c r="Z393" s="41">
        <f>IFERROR(IF(Y393=0,"",ROUNDUP(Y393/H393,0)*0.00474),"")</f>
        <v>0.19434000000000001</v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91.391999999999996</v>
      </c>
      <c r="BN393" s="78">
        <f>IFERROR(Y393*I393/H393,"0")</f>
        <v>91.84</v>
      </c>
      <c r="BO393" s="78">
        <f>IFERROR(1/J393*(X393/H393),"0")</f>
        <v>0.1714285714285714</v>
      </c>
      <c r="BP393" s="78">
        <f>IFERROR(1/J393*(Y393/H393),"0")</f>
        <v>0.17226890756302521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81.599999999999994</v>
      </c>
      <c r="Y394" s="55">
        <f>IFERROR(IF(X394="",0,CEILING((X394/$H394),1)*$H394),"")</f>
        <v>82</v>
      </c>
      <c r="Z394" s="41">
        <f>IFERROR(IF(Y394=0,"",ROUNDUP(Y394/H394,0)*0.00474),"")</f>
        <v>0.19434000000000001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91.391999999999996</v>
      </c>
      <c r="BN394" s="78">
        <f>IFERROR(Y394*I394/H394,"0")</f>
        <v>91.84</v>
      </c>
      <c r="BO394" s="78">
        <f>IFERROR(1/J394*(X394/H394),"0")</f>
        <v>0.1714285714285714</v>
      </c>
      <c r="BP394" s="78">
        <f>IFERROR(1/J394*(Y394/H394),"0")</f>
        <v>0.17226890756302521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48</v>
      </c>
      <c r="Y395" s="55">
        <f>IFERROR(IF(X395="",0,CEILING((X395/$H395),1)*$H395),"")</f>
        <v>48</v>
      </c>
      <c r="Z395" s="41">
        <f>IFERROR(IF(Y395=0,"",ROUNDUP(Y395/H395,0)*0.00474),"")</f>
        <v>0.11376</v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53.760000000000005</v>
      </c>
      <c r="BN395" s="78">
        <f>IFERROR(Y395*I395/H395,"0")</f>
        <v>53.760000000000005</v>
      </c>
      <c r="BO395" s="78">
        <f>IFERROR(1/J395*(X395/H395),"0")</f>
        <v>0.10084033613445378</v>
      </c>
      <c r="BP395" s="78">
        <f>IFERROR(1/J395*(Y395/H395),"0")</f>
        <v>0.10084033613445378</v>
      </c>
    </row>
    <row r="396" spans="1:68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105.6</v>
      </c>
      <c r="Y396" s="43">
        <f>IFERROR(Y393/H393,"0")+IFERROR(Y394/H394,"0")+IFERROR(Y395/H395,"0")</f>
        <v>106</v>
      </c>
      <c r="Z396" s="43">
        <f>IFERROR(IF(Z393="",0,Z393),"0")+IFERROR(IF(Z394="",0,Z394),"0")+IFERROR(IF(Z395="",0,Z395),"0")</f>
        <v>0.50244</v>
      </c>
      <c r="AA396" s="67"/>
      <c r="AB396" s="67"/>
      <c r="AC396" s="67"/>
    </row>
    <row r="397" spans="1:68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211.2</v>
      </c>
      <c r="Y397" s="43">
        <f>IFERROR(SUM(Y393:Y395),"0")</f>
        <v>212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204</v>
      </c>
      <c r="Y399" s="55">
        <f>IFERROR(IF(X399="",0,CEILING((X399/$H399),1)*$H399),"")</f>
        <v>204</v>
      </c>
      <c r="Z399" s="41">
        <f>IFERROR(IF(Y399=0,"",ROUNDUP(Y399/H399,0)*0.0045),"")</f>
        <v>0.30599999999999999</v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218.96</v>
      </c>
      <c r="BN399" s="78">
        <f>IFERROR(Y399*I399/H399,"0")</f>
        <v>218.96</v>
      </c>
      <c r="BO399" s="78">
        <f>IFERROR(1/J399*(X399/H399),"0")</f>
        <v>0.30357142857142855</v>
      </c>
      <c r="BP399" s="78">
        <f>IFERROR(1/J399*(Y399/H399),"0")</f>
        <v>0.30357142857142855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204</v>
      </c>
      <c r="Y401" s="55">
        <f>IFERROR(IF(X401="",0,CEILING((X401/$H401),1)*$H401),"")</f>
        <v>204</v>
      </c>
      <c r="Z401" s="41">
        <f>IFERROR(IF(Y401=0,"",ROUNDUP(Y401/H401,0)*0.0045),"")</f>
        <v>0.30599999999999999</v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218.96</v>
      </c>
      <c r="BN401" s="78">
        <f>IFERROR(Y401*I401/H401,"0")</f>
        <v>218.96</v>
      </c>
      <c r="BO401" s="78">
        <f>IFERROR(1/J401*(X401/H401),"0")</f>
        <v>0.30357142857142855</v>
      </c>
      <c r="BP401" s="78">
        <f>IFERROR(1/J401*(Y401/H401),"0")</f>
        <v>0.30357142857142855</v>
      </c>
    </row>
    <row r="402" spans="1:68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136</v>
      </c>
      <c r="Y402" s="43">
        <f>IFERROR(Y399/H399,"0")+IFERROR(Y400/H400,"0")+IFERROR(Y401/H401,"0")</f>
        <v>136</v>
      </c>
      <c r="Z402" s="43">
        <f>IFERROR(IF(Z399="",0,Z399),"0")+IFERROR(IF(Z400="",0,Z400),"0")+IFERROR(IF(Z401="",0,Z401),"0")</f>
        <v>0.61199999999999999</v>
      </c>
      <c r="AA402" s="67"/>
      <c r="AB402" s="67"/>
      <c r="AC402" s="67"/>
    </row>
    <row r="403" spans="1:68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408</v>
      </c>
      <c r="Y403" s="43">
        <f>IFERROR(SUM(Y399:Y401),"0")</f>
        <v>408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42</v>
      </c>
      <c r="Y413" s="55">
        <f>IFERROR(IF(X413="",0,CEILING((X413/$H413),1)*$H413),"")</f>
        <v>42</v>
      </c>
      <c r="Z413" s="41">
        <f>IFERROR(IF(Y413=0,"",ROUNDUP(Y413/H413,0)*0.00651),"")</f>
        <v>0.13020000000000001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47.039999999999992</v>
      </c>
      <c r="BN413" s="78">
        <f>IFERROR(Y413*I413/H413,"0")</f>
        <v>47.039999999999992</v>
      </c>
      <c r="BO413" s="78">
        <f>IFERROR(1/J413*(X413/H413),"0")</f>
        <v>0.1098901098901099</v>
      </c>
      <c r="BP413" s="78">
        <f>IFERROR(1/J413*(Y413/H413),"0")</f>
        <v>0.1098901098901099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20</v>
      </c>
      <c r="Y415" s="43">
        <f>IFERROR(Y412/H412,"0")+IFERROR(Y413/H413,"0")+IFERROR(Y414/H414,"0")</f>
        <v>20</v>
      </c>
      <c r="Z415" s="43">
        <f>IFERROR(IF(Z412="",0,Z412),"0")+IFERROR(IF(Z413="",0,Z413),"0")+IFERROR(IF(Z414="",0,Z414),"0")</f>
        <v>0.13020000000000001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42</v>
      </c>
      <c r="Y416" s="43">
        <f>IFERROR(SUM(Y412:Y414),"0")</f>
        <v>42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hidden="1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hidden="1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hidden="1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120</v>
      </c>
      <c r="Y427" s="55">
        <f t="shared" si="61"/>
        <v>120</v>
      </c>
      <c r="Z427" s="41">
        <f>IFERROR(IF(Y427=0,"",ROUNDUP(Y427/H427,0)*0.00902),"")</f>
        <v>0.21648000000000001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124.56000000000002</v>
      </c>
      <c r="BN427" s="78">
        <f t="shared" si="63"/>
        <v>124.56000000000002</v>
      </c>
      <c r="BO427" s="78">
        <f t="shared" si="64"/>
        <v>0.18181818181818182</v>
      </c>
      <c r="BP427" s="78">
        <f t="shared" si="65"/>
        <v>0.18181818181818182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24</v>
      </c>
      <c r="Y428" s="43">
        <f>IFERROR(Y420/H420,"0")+IFERROR(Y421/H421,"0")+IFERROR(Y422/H422,"0")+IFERROR(Y423/H423,"0")+IFERROR(Y424/H424,"0")+IFERROR(Y425/H425,"0")+IFERROR(Y426/H426,"0")+IFERROR(Y427/H427,"0")</f>
        <v>24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0.21648000000000001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120</v>
      </c>
      <c r="Y429" s="43">
        <f>IFERROR(SUM(Y420:Y427),"0")</f>
        <v>120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hidden="1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48</v>
      </c>
      <c r="Y433" s="55">
        <f>IFERROR(IF(X433="",0,CEILING((X433/$H433),1)*$H433),"")</f>
        <v>48</v>
      </c>
      <c r="Z433" s="41">
        <f>IFERROR(IF(Y433=0,"",ROUNDUP(Y433/H433,0)*0.00902),"")</f>
        <v>0.10824</v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50.28</v>
      </c>
      <c r="BN433" s="78">
        <f>IFERROR(Y433*I433/H433,"0")</f>
        <v>50.28</v>
      </c>
      <c r="BO433" s="78">
        <f>IFERROR(1/J433*(X433/H433),"0")</f>
        <v>9.0909090909090912E-2</v>
      </c>
      <c r="BP433" s="78">
        <f>IFERROR(1/J433*(Y433/H433),"0")</f>
        <v>9.0909090909090912E-2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12</v>
      </c>
      <c r="Y434" s="43">
        <f>IFERROR(Y431/H431,"0")+IFERROR(Y432/H432,"0")+IFERROR(Y433/H433,"0")</f>
        <v>12</v>
      </c>
      <c r="Z434" s="43">
        <f>IFERROR(IF(Z431="",0,Z431),"0")+IFERROR(IF(Z432="",0,Z432),"0")+IFERROR(IF(Z433="",0,Z433),"0")</f>
        <v>0.10824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48</v>
      </c>
      <c r="Y435" s="43">
        <f>IFERROR(SUM(Y431:Y433),"0")</f>
        <v>48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42</v>
      </c>
      <c r="Y468" s="55">
        <f t="shared" si="66"/>
        <v>42</v>
      </c>
      <c r="Z468" s="41">
        <f>IFERROR(IF(Y468=0,"",ROUNDUP(Y468/H468,0)*0.00502),"")</f>
        <v>0.1004</v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44.599999999999994</v>
      </c>
      <c r="BN468" s="78">
        <f t="shared" si="68"/>
        <v>44.599999999999994</v>
      </c>
      <c r="BO468" s="78">
        <f t="shared" si="69"/>
        <v>8.5470085470085472E-2</v>
      </c>
      <c r="BP468" s="78">
        <f t="shared" si="70"/>
        <v>8.5470085470085472E-2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21</v>
      </c>
      <c r="Y470" s="55">
        <f t="shared" si="66"/>
        <v>21</v>
      </c>
      <c r="Z470" s="41">
        <f>IFERROR(IF(Y470=0,"",ROUNDUP(Y470/H470,0)*0.00502),"")</f>
        <v>5.0200000000000002E-2</v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22.299999999999997</v>
      </c>
      <c r="BN470" s="78">
        <f t="shared" si="68"/>
        <v>22.299999999999997</v>
      </c>
      <c r="BO470" s="78">
        <f t="shared" si="69"/>
        <v>4.2735042735042736E-2</v>
      </c>
      <c r="BP470" s="78">
        <f t="shared" si="70"/>
        <v>4.2735042735042736E-2</v>
      </c>
    </row>
    <row r="471" spans="1:68" ht="37.5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42</v>
      </c>
      <c r="Y471" s="55">
        <f t="shared" si="66"/>
        <v>42</v>
      </c>
      <c r="Z471" s="41">
        <f>IFERROR(IF(Y471=0,"",ROUNDUP(Y471/H471,0)*0.00502),"")</f>
        <v>0.1004</v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44.599999999999994</v>
      </c>
      <c r="BN471" s="78">
        <f t="shared" si="68"/>
        <v>44.599999999999994</v>
      </c>
      <c r="BO471" s="78">
        <f t="shared" si="69"/>
        <v>8.5470085470085472E-2</v>
      </c>
      <c r="BP471" s="78">
        <f t="shared" si="70"/>
        <v>8.5470085470085472E-2</v>
      </c>
    </row>
    <row r="472" spans="1:68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50</v>
      </c>
      <c r="Y472" s="43">
        <f>IFERROR(Y466/H466,"0")+IFERROR(Y467/H467,"0")+IFERROR(Y468/H468,"0")+IFERROR(Y469/H469,"0")+IFERROR(Y470/H470,"0")+IFERROR(Y471/H471,"0")</f>
        <v>50</v>
      </c>
      <c r="Z472" s="43">
        <f>IFERROR(IF(Z466="",0,Z466),"0")+IFERROR(IF(Z467="",0,Z467),"0")+IFERROR(IF(Z468="",0,Z468),"0")+IFERROR(IF(Z469="",0,Z469),"0")+IFERROR(IF(Z470="",0,Z470),"0")+IFERROR(IF(Z471="",0,Z471),"0")</f>
        <v>0.251</v>
      </c>
      <c r="AA472" s="67"/>
      <c r="AB472" s="67"/>
      <c r="AC472" s="67"/>
    </row>
    <row r="473" spans="1:68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105</v>
      </c>
      <c r="Y473" s="43">
        <f>IFERROR(SUM(Y466:Y471),"0")</f>
        <v>105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108</v>
      </c>
      <c r="Y498" s="55">
        <f t="shared" si="71"/>
        <v>110.39999999999999</v>
      </c>
      <c r="Z498" s="41">
        <f>IFERROR(IF(Y498=0,"",ROUNDUP(Y498/H498,0)*0.00902),"")</f>
        <v>0.20746000000000001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155.47499999999999</v>
      </c>
      <c r="BN498" s="78">
        <f t="shared" si="73"/>
        <v>158.92999999999998</v>
      </c>
      <c r="BO498" s="78">
        <f t="shared" si="74"/>
        <v>0.17045454545454547</v>
      </c>
      <c r="BP498" s="78">
        <f t="shared" si="75"/>
        <v>0.17424242424242425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72.5</v>
      </c>
      <c r="Y500" s="43">
        <f>IFERROR(Y492/H492,"0")+IFERROR(Y493/H493,"0")+IFERROR(Y494/H494,"0")+IFERROR(Y495/H495,"0")+IFERROR(Y496/H496,"0")+IFERROR(Y497/H497,"0")+IFERROR(Y498/H498,"0")+IFERROR(Y499/H499,"0")</f>
        <v>73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0.65846000000000005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348</v>
      </c>
      <c r="Y501" s="43">
        <f>IFERROR(SUM(Y492:Y499),"0")</f>
        <v>350.4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hidden="1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idden="1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hidden="1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2546.4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2549.6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2885.9690000000001</v>
      </c>
      <c r="Y547" s="43">
        <f>IFERROR(SUM(BN22:BN543),"0")</f>
        <v>2890.3199999999997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5</v>
      </c>
      <c r="Y548" s="44">
        <f>ROUNDUP(SUM(BP22:BP543),0)</f>
        <v>5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3010.9690000000001</v>
      </c>
      <c r="Y549" s="43">
        <f>GrossWeightTotalR+PalletQtyTotalR*25</f>
        <v>3015.3199999999997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893.1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894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5.7416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18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96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72</v>
      </c>
      <c r="F556" s="52">
        <f>IFERROR(Y84*1,"0")+IFERROR(Y85*1,"0")+IFERROR(Y86*1,"0")+IFERROR(Y87*1,"0")+IFERROR(Y88*1,"0")+IFERROR(Y89*1,"0")+IFERROR(Y93*1,"0")+IFERROR(Y94*1,"0")+IFERROR(Y95*1,"0")+IFERROR(Y96*1,"0")</f>
        <v>135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127.8</v>
      </c>
      <c r="H556" s="52">
        <f>IFERROR(Y131*1,"0")+IFERROR(Y132*1,"0")+IFERROR(Y136*1,"0")+IFERROR(Y137*1,"0")+IFERROR(Y141*1,"0")+IFERROR(Y142*1,"0")</f>
        <v>175.2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12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240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24</v>
      </c>
      <c r="R556" s="52">
        <f>IFERROR(Y332*1,"0")+IFERROR(Y333*1,"0")+IFERROR(Y334*1,"0")+IFERROR(Y335*1,"0")+IFERROR(Y339*1,"0")+IFERROR(Y340*1,"0")+IFERROR(Y341*1,"0")</f>
        <v>36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708.2</v>
      </c>
      <c r="U556" s="52">
        <f>IFERROR(Y406*1,"0")+IFERROR(Y407*1,"0")</f>
        <v>0</v>
      </c>
      <c r="V556" s="52">
        <f>IFERROR(Y412*1,"0")+IFERROR(Y413*1,"0")+IFERROR(Y414*1,"0")</f>
        <v>42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168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105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350.4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20"/>
        <filter val="100,00"/>
        <filter val="105,00"/>
        <filter val="105,60"/>
        <filter val="108,00"/>
        <filter val="12,00"/>
        <filter val="120,00"/>
        <filter val="135,00"/>
        <filter val="136,00"/>
        <filter val="15,00"/>
        <filter val="18,00"/>
        <filter val="19,80"/>
        <filter val="2 546,40"/>
        <filter val="2 885,97"/>
        <filter val="20,00"/>
        <filter val="204,00"/>
        <filter val="21,00"/>
        <filter val="211,20"/>
        <filter val="24,00"/>
        <filter val="240,00"/>
        <filter val="3 010,97"/>
        <filter val="30,00"/>
        <filter val="348,00"/>
        <filter val="36,00"/>
        <filter val="4,00"/>
        <filter val="4,80"/>
        <filter val="40,00"/>
        <filter val="408,00"/>
        <filter val="42,00"/>
        <filter val="48,00"/>
        <filter val="5"/>
        <filter val="50,00"/>
        <filter val="54,00"/>
        <filter val="60,00"/>
        <filter val="7,20"/>
        <filter val="72,00"/>
        <filter val="72,50"/>
        <filter val="78,00"/>
        <filter val="79,20"/>
        <filter val="81,60"/>
        <filter val="893,10"/>
        <filter val="96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