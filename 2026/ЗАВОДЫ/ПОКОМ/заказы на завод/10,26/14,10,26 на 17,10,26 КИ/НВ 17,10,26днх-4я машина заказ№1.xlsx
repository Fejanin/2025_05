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5E515C-2D0B-44FC-84F0-45C6FC8CEB6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Y540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O494" i="1"/>
  <c r="BM494" i="1"/>
  <c r="Y494" i="1"/>
  <c r="BN494" i="1" s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BP470" i="1" s="1"/>
  <c r="P470" i="1"/>
  <c r="BO469" i="1"/>
  <c r="BM469" i="1"/>
  <c r="Y469" i="1"/>
  <c r="BP469" i="1" s="1"/>
  <c r="P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P459" i="1" s="1"/>
  <c r="P459" i="1"/>
  <c r="BP458" i="1"/>
  <c r="BO458" i="1"/>
  <c r="BM458" i="1"/>
  <c r="Z458" i="1"/>
  <c r="Y458" i="1"/>
  <c r="BN458" i="1" s="1"/>
  <c r="P458" i="1"/>
  <c r="X456" i="1"/>
  <c r="Y455" i="1"/>
  <c r="X455" i="1"/>
  <c r="BO454" i="1"/>
  <c r="BN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O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BP437" i="1" s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BN425" i="1" s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BP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V556" i="1" s="1"/>
  <c r="P412" i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BP394" i="1" s="1"/>
  <c r="P394" i="1"/>
  <c r="BO393" i="1"/>
  <c r="BN393" i="1"/>
  <c r="BM393" i="1"/>
  <c r="Y393" i="1"/>
  <c r="BP393" i="1" s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Y342" i="1" s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BN297" i="1" s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N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N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P159" i="1"/>
  <c r="X156" i="1"/>
  <c r="X155" i="1"/>
  <c r="BO154" i="1"/>
  <c r="BM154" i="1"/>
  <c r="Y154" i="1"/>
  <c r="Y155" i="1" s="1"/>
  <c r="P154" i="1"/>
  <c r="X152" i="1"/>
  <c r="X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M88" i="1"/>
  <c r="Z88" i="1"/>
  <c r="Y88" i="1"/>
  <c r="BN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N84" i="1"/>
  <c r="BM84" i="1"/>
  <c r="Y84" i="1"/>
  <c r="BP84" i="1" s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BP77" i="1" s="1"/>
  <c r="P77" i="1"/>
  <c r="X75" i="1"/>
  <c r="X74" i="1"/>
  <c r="BO73" i="1"/>
  <c r="BM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O57" i="1"/>
  <c r="BN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F10" i="1" l="1"/>
  <c r="BP113" i="1"/>
  <c r="Z240" i="1"/>
  <c r="BP240" i="1"/>
  <c r="Z297" i="1"/>
  <c r="BP297" i="1"/>
  <c r="Z425" i="1"/>
  <c r="BP425" i="1"/>
  <c r="Z494" i="1"/>
  <c r="BP494" i="1"/>
  <c r="F9" i="1"/>
  <c r="Z28" i="1"/>
  <c r="Z84" i="1"/>
  <c r="Z220" i="1"/>
  <c r="Z274" i="1"/>
  <c r="Z339" i="1"/>
  <c r="Z393" i="1"/>
  <c r="Z454" i="1"/>
  <c r="Z455" i="1" s="1"/>
  <c r="BP454" i="1"/>
  <c r="BN543" i="1"/>
  <c r="Y544" i="1"/>
  <c r="Z113" i="1"/>
  <c r="J9" i="1"/>
  <c r="Z57" i="1"/>
  <c r="Z180" i="1"/>
  <c r="Z365" i="1"/>
  <c r="Z40" i="1"/>
  <c r="BN40" i="1"/>
  <c r="Z67" i="1"/>
  <c r="BN67" i="1"/>
  <c r="Z103" i="1"/>
  <c r="BN103" i="1"/>
  <c r="Z132" i="1"/>
  <c r="BN132" i="1"/>
  <c r="Z172" i="1"/>
  <c r="BN172" i="1"/>
  <c r="Z205" i="1"/>
  <c r="BN205" i="1"/>
  <c r="Z230" i="1"/>
  <c r="BN230" i="1"/>
  <c r="Y235" i="1"/>
  <c r="Z264" i="1"/>
  <c r="BN264" i="1"/>
  <c r="Z286" i="1"/>
  <c r="BN286" i="1"/>
  <c r="Z319" i="1"/>
  <c r="BN319" i="1"/>
  <c r="Z355" i="1"/>
  <c r="BN355" i="1"/>
  <c r="Z375" i="1"/>
  <c r="BN375" i="1"/>
  <c r="Z406" i="1"/>
  <c r="BN406" i="1"/>
  <c r="Z437" i="1"/>
  <c r="BN437" i="1"/>
  <c r="Z470" i="1"/>
  <c r="BN470" i="1"/>
  <c r="Z510" i="1"/>
  <c r="BN510" i="1"/>
  <c r="BP96" i="1"/>
  <c r="BN96" i="1"/>
  <c r="Z96" i="1"/>
  <c r="BP119" i="1"/>
  <c r="BN119" i="1"/>
  <c r="Z119" i="1"/>
  <c r="BP162" i="1"/>
  <c r="BN162" i="1"/>
  <c r="Z162" i="1"/>
  <c r="BP200" i="1"/>
  <c r="BN200" i="1"/>
  <c r="Z200" i="1"/>
  <c r="BP224" i="1"/>
  <c r="BN224" i="1"/>
  <c r="Z224" i="1"/>
  <c r="BP260" i="1"/>
  <c r="BN260" i="1"/>
  <c r="Z260" i="1"/>
  <c r="BP278" i="1"/>
  <c r="BN278" i="1"/>
  <c r="Z278" i="1"/>
  <c r="BP315" i="1"/>
  <c r="BN315" i="1"/>
  <c r="Z315" i="1"/>
  <c r="Y349" i="1"/>
  <c r="BP346" i="1"/>
  <c r="BN346" i="1"/>
  <c r="Z346" i="1"/>
  <c r="BP369" i="1"/>
  <c r="BN369" i="1"/>
  <c r="Z369" i="1"/>
  <c r="BP399" i="1"/>
  <c r="BN399" i="1"/>
  <c r="Z399" i="1"/>
  <c r="BP431" i="1"/>
  <c r="BN431" i="1"/>
  <c r="Z431" i="1"/>
  <c r="BP466" i="1"/>
  <c r="BN466" i="1"/>
  <c r="Z466" i="1"/>
  <c r="BP498" i="1"/>
  <c r="BN498" i="1"/>
  <c r="Z498" i="1"/>
  <c r="Z36" i="1"/>
  <c r="BN36" i="1"/>
  <c r="Z48" i="1"/>
  <c r="BN48" i="1"/>
  <c r="Z61" i="1"/>
  <c r="BN61" i="1"/>
  <c r="Z77" i="1"/>
  <c r="BN77" i="1"/>
  <c r="BP107" i="1"/>
  <c r="BN107" i="1"/>
  <c r="Z107" i="1"/>
  <c r="BP142" i="1"/>
  <c r="BN142" i="1"/>
  <c r="Z142" i="1"/>
  <c r="BP176" i="1"/>
  <c r="BN176" i="1"/>
  <c r="Z176" i="1"/>
  <c r="BP216" i="1"/>
  <c r="BN216" i="1"/>
  <c r="Z216" i="1"/>
  <c r="BP234" i="1"/>
  <c r="BN234" i="1"/>
  <c r="Z234" i="1"/>
  <c r="BP270" i="1"/>
  <c r="BN270" i="1"/>
  <c r="Z270" i="1"/>
  <c r="BP293" i="1"/>
  <c r="BN293" i="1"/>
  <c r="Z293" i="1"/>
  <c r="BP333" i="1"/>
  <c r="BN333" i="1"/>
  <c r="Z333" i="1"/>
  <c r="BP359" i="1"/>
  <c r="BN359" i="1"/>
  <c r="Z359" i="1"/>
  <c r="BP387" i="1"/>
  <c r="BN387" i="1"/>
  <c r="Z387" i="1"/>
  <c r="BP421" i="1"/>
  <c r="BN421" i="1"/>
  <c r="Z421" i="1"/>
  <c r="BP443" i="1"/>
  <c r="BN443" i="1"/>
  <c r="Z443" i="1"/>
  <c r="BP486" i="1"/>
  <c r="BN486" i="1"/>
  <c r="Z486" i="1"/>
  <c r="BP514" i="1"/>
  <c r="BN514" i="1"/>
  <c r="Z514" i="1"/>
  <c r="BP30" i="1"/>
  <c r="BN30" i="1"/>
  <c r="Z30" i="1"/>
  <c r="BP46" i="1"/>
  <c r="BN46" i="1"/>
  <c r="Z46" i="1"/>
  <c r="BP59" i="1"/>
  <c r="BN59" i="1"/>
  <c r="Z59" i="1"/>
  <c r="BP73" i="1"/>
  <c r="BN73" i="1"/>
  <c r="Z73" i="1"/>
  <c r="BP86" i="1"/>
  <c r="BN86" i="1"/>
  <c r="Z86" i="1"/>
  <c r="BP101" i="1"/>
  <c r="BN101" i="1"/>
  <c r="Z101" i="1"/>
  <c r="Y117" i="1"/>
  <c r="BP111" i="1"/>
  <c r="BN111" i="1"/>
  <c r="Z111" i="1"/>
  <c r="BP121" i="1"/>
  <c r="BN121" i="1"/>
  <c r="Z121" i="1"/>
  <c r="BP147" i="1"/>
  <c r="BN147" i="1"/>
  <c r="Z147" i="1"/>
  <c r="Y168" i="1"/>
  <c r="BP166" i="1"/>
  <c r="BN166" i="1"/>
  <c r="Z166" i="1"/>
  <c r="BP178" i="1"/>
  <c r="BN178" i="1"/>
  <c r="Z178" i="1"/>
  <c r="BP203" i="1"/>
  <c r="BN203" i="1"/>
  <c r="Z203" i="1"/>
  <c r="BP218" i="1"/>
  <c r="BN218" i="1"/>
  <c r="Z218" i="1"/>
  <c r="BP226" i="1"/>
  <c r="BN226" i="1"/>
  <c r="Z226" i="1"/>
  <c r="Y242" i="1"/>
  <c r="BP238" i="1"/>
  <c r="BN238" i="1"/>
  <c r="Z238" i="1"/>
  <c r="BP262" i="1"/>
  <c r="BN262" i="1"/>
  <c r="Z262" i="1"/>
  <c r="BP272" i="1"/>
  <c r="BN272" i="1"/>
  <c r="Z272" i="1"/>
  <c r="BP280" i="1"/>
  <c r="BN280" i="1"/>
  <c r="Z280" i="1"/>
  <c r="BP295" i="1"/>
  <c r="BN295" i="1"/>
  <c r="Z295" i="1"/>
  <c r="Y23" i="1"/>
  <c r="BP22" i="1"/>
  <c r="BN22" i="1"/>
  <c r="Z22" i="1"/>
  <c r="Z23" i="1" s="1"/>
  <c r="X546" i="1"/>
  <c r="Y32" i="1"/>
  <c r="BP26" i="1"/>
  <c r="BN26" i="1"/>
  <c r="Z26" i="1"/>
  <c r="BP38" i="1"/>
  <c r="BN38" i="1"/>
  <c r="Z38" i="1"/>
  <c r="E556" i="1"/>
  <c r="BP55" i="1"/>
  <c r="BN55" i="1"/>
  <c r="Z55" i="1"/>
  <c r="Y69" i="1"/>
  <c r="BP65" i="1"/>
  <c r="BN65" i="1"/>
  <c r="Z65" i="1"/>
  <c r="BP79" i="1"/>
  <c r="BN79" i="1"/>
  <c r="Z79" i="1"/>
  <c r="BP94" i="1"/>
  <c r="BN94" i="1"/>
  <c r="Z94" i="1"/>
  <c r="BP105" i="1"/>
  <c r="BN105" i="1"/>
  <c r="Z105" i="1"/>
  <c r="BP115" i="1"/>
  <c r="BN115" i="1"/>
  <c r="Z115" i="1"/>
  <c r="Y138" i="1"/>
  <c r="BP136" i="1"/>
  <c r="BN136" i="1"/>
  <c r="Z136" i="1"/>
  <c r="J556" i="1"/>
  <c r="BP160" i="1"/>
  <c r="BN160" i="1"/>
  <c r="Z160" i="1"/>
  <c r="BP174" i="1"/>
  <c r="BN174" i="1"/>
  <c r="Z174" i="1"/>
  <c r="Y186" i="1"/>
  <c r="BP184" i="1"/>
  <c r="BN184" i="1"/>
  <c r="Z184" i="1"/>
  <c r="Y211" i="1"/>
  <c r="BP210" i="1"/>
  <c r="BN210" i="1"/>
  <c r="Z210" i="1"/>
  <c r="Z211" i="1" s="1"/>
  <c r="Y228" i="1"/>
  <c r="BP214" i="1"/>
  <c r="BN214" i="1"/>
  <c r="Z214" i="1"/>
  <c r="BP222" i="1"/>
  <c r="BN222" i="1"/>
  <c r="Z222" i="1"/>
  <c r="BP232" i="1"/>
  <c r="BN232" i="1"/>
  <c r="Z232" i="1"/>
  <c r="BP250" i="1"/>
  <c r="BN250" i="1"/>
  <c r="Z250" i="1"/>
  <c r="Y256" i="1"/>
  <c r="BP254" i="1"/>
  <c r="BN254" i="1"/>
  <c r="Z254" i="1"/>
  <c r="BP266" i="1"/>
  <c r="BN266" i="1"/>
  <c r="Z266" i="1"/>
  <c r="BP276" i="1"/>
  <c r="BN276" i="1"/>
  <c r="Z276" i="1"/>
  <c r="BP291" i="1"/>
  <c r="BN291" i="1"/>
  <c r="Z291" i="1"/>
  <c r="Y302" i="1"/>
  <c r="BP301" i="1"/>
  <c r="BN301" i="1"/>
  <c r="Z301" i="1"/>
  <c r="Z302" i="1" s="1"/>
  <c r="Y303" i="1"/>
  <c r="BP353" i="1"/>
  <c r="BN353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13" i="1"/>
  <c r="BN413" i="1"/>
  <c r="Z413" i="1"/>
  <c r="BP427" i="1"/>
  <c r="BN427" i="1"/>
  <c r="Z427" i="1"/>
  <c r="BP439" i="1"/>
  <c r="BN439" i="1"/>
  <c r="Z439" i="1"/>
  <c r="BP460" i="1"/>
  <c r="BN460" i="1"/>
  <c r="Z460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Y81" i="1"/>
  <c r="Y123" i="1"/>
  <c r="H556" i="1"/>
  <c r="Y182" i="1"/>
  <c r="Y207" i="1"/>
  <c r="Y227" i="1"/>
  <c r="Y236" i="1"/>
  <c r="Y241" i="1"/>
  <c r="Y257" i="1"/>
  <c r="Y267" i="1"/>
  <c r="Y283" i="1"/>
  <c r="Z310" i="1"/>
  <c r="BN310" i="1"/>
  <c r="Z317" i="1"/>
  <c r="BN317" i="1"/>
  <c r="Z326" i="1"/>
  <c r="BN326" i="1"/>
  <c r="Z335" i="1"/>
  <c r="BN335" i="1"/>
  <c r="Z341" i="1"/>
  <c r="BN341" i="1"/>
  <c r="Z348" i="1"/>
  <c r="BN348" i="1"/>
  <c r="Z353" i="1"/>
  <c r="Y371" i="1"/>
  <c r="BP363" i="1"/>
  <c r="BN363" i="1"/>
  <c r="Z363" i="1"/>
  <c r="Y377" i="1"/>
  <c r="BP373" i="1"/>
  <c r="BN373" i="1"/>
  <c r="Z373" i="1"/>
  <c r="BP389" i="1"/>
  <c r="BN389" i="1"/>
  <c r="Z389" i="1"/>
  <c r="BP401" i="1"/>
  <c r="BN401" i="1"/>
  <c r="Z401" i="1"/>
  <c r="BP423" i="1"/>
  <c r="BN423" i="1"/>
  <c r="Z423" i="1"/>
  <c r="BP433" i="1"/>
  <c r="BN433" i="1"/>
  <c r="Z433" i="1"/>
  <c r="X556" i="1"/>
  <c r="BP450" i="1"/>
  <c r="BN450" i="1"/>
  <c r="Z450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Y360" i="1"/>
  <c r="Y378" i="1"/>
  <c r="Y397" i="1"/>
  <c r="Y403" i="1"/>
  <c r="W556" i="1"/>
  <c r="Y435" i="1"/>
  <c r="Y441" i="1"/>
  <c r="Y445" i="1"/>
  <c r="Y462" i="1"/>
  <c r="Z202" i="1"/>
  <c r="BN202" i="1"/>
  <c r="Z204" i="1"/>
  <c r="BN204" i="1"/>
  <c r="L556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BP231" i="1"/>
  <c r="Z233" i="1"/>
  <c r="BN233" i="1"/>
  <c r="Z239" i="1"/>
  <c r="BN239" i="1"/>
  <c r="BP239" i="1"/>
  <c r="Y245" i="1"/>
  <c r="BP244" i="1"/>
  <c r="BN244" i="1"/>
  <c r="Z244" i="1"/>
  <c r="Z245" i="1" s="1"/>
  <c r="Y246" i="1"/>
  <c r="M556" i="1"/>
  <c r="Y252" i="1"/>
  <c r="BP249" i="1"/>
  <c r="BN249" i="1"/>
  <c r="Z249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Y152" i="1"/>
  <c r="Y156" i="1"/>
  <c r="Y163" i="1"/>
  <c r="Y169" i="1"/>
  <c r="Y181" i="1"/>
  <c r="Y187" i="1"/>
  <c r="Y191" i="1"/>
  <c r="Y195" i="1"/>
  <c r="K556" i="1"/>
  <c r="H9" i="1"/>
  <c r="B556" i="1"/>
  <c r="X547" i="1"/>
  <c r="X548" i="1"/>
  <c r="X550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BN137" i="1"/>
  <c r="Z141" i="1"/>
  <c r="BN141" i="1"/>
  <c r="BP141" i="1"/>
  <c r="I556" i="1"/>
  <c r="Z148" i="1"/>
  <c r="BN148" i="1"/>
  <c r="Z150" i="1"/>
  <c r="BN150" i="1"/>
  <c r="Y151" i="1"/>
  <c r="Z154" i="1"/>
  <c r="Z155" i="1" s="1"/>
  <c r="BN154" i="1"/>
  <c r="BP154" i="1"/>
  <c r="Z159" i="1"/>
  <c r="BN159" i="1"/>
  <c r="BP159" i="1"/>
  <c r="Z161" i="1"/>
  <c r="BN161" i="1"/>
  <c r="Y164" i="1"/>
  <c r="Z167" i="1"/>
  <c r="BN167" i="1"/>
  <c r="Z171" i="1"/>
  <c r="BN171" i="1"/>
  <c r="BP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BN199" i="1"/>
  <c r="BP199" i="1"/>
  <c r="Z201" i="1"/>
  <c r="BN201" i="1"/>
  <c r="Y206" i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BN292" i="1"/>
  <c r="Z294" i="1"/>
  <c r="BN294" i="1"/>
  <c r="Z296" i="1"/>
  <c r="BN296" i="1"/>
  <c r="Y299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BP356" i="1"/>
  <c r="BN356" i="1"/>
  <c r="Z356" i="1"/>
  <c r="BP364" i="1"/>
  <c r="BN364" i="1"/>
  <c r="Z364" i="1"/>
  <c r="BP368" i="1"/>
  <c r="BN368" i="1"/>
  <c r="Z368" i="1"/>
  <c r="BP376" i="1"/>
  <c r="BN376" i="1"/>
  <c r="Z376" i="1"/>
  <c r="Y383" i="1"/>
  <c r="BP380" i="1"/>
  <c r="BN380" i="1"/>
  <c r="Z380" i="1"/>
  <c r="BP388" i="1"/>
  <c r="BN388" i="1"/>
  <c r="Z388" i="1"/>
  <c r="Y298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BP354" i="1"/>
  <c r="BN354" i="1"/>
  <c r="Z354" i="1"/>
  <c r="BP358" i="1"/>
  <c r="BN358" i="1"/>
  <c r="Z358" i="1"/>
  <c r="BP366" i="1"/>
  <c r="BN366" i="1"/>
  <c r="Z366" i="1"/>
  <c r="Y370" i="1"/>
  <c r="BP374" i="1"/>
  <c r="BN374" i="1"/>
  <c r="Z374" i="1"/>
  <c r="BP382" i="1"/>
  <c r="BN382" i="1"/>
  <c r="Z382" i="1"/>
  <c r="Y384" i="1"/>
  <c r="Y391" i="1"/>
  <c r="BP386" i="1"/>
  <c r="BN386" i="1"/>
  <c r="Z386" i="1"/>
  <c r="Y390" i="1"/>
  <c r="Y396" i="1"/>
  <c r="Y402" i="1"/>
  <c r="Y409" i="1"/>
  <c r="Y416" i="1"/>
  <c r="Y428" i="1"/>
  <c r="Y434" i="1"/>
  <c r="Y440" i="1"/>
  <c r="Y446" i="1"/>
  <c r="Y451" i="1"/>
  <c r="Y461" i="1"/>
  <c r="BP485" i="1"/>
  <c r="BN485" i="1"/>
  <c r="Z485" i="1"/>
  <c r="Z487" i="1" s="1"/>
  <c r="BP495" i="1"/>
  <c r="BN495" i="1"/>
  <c r="Z495" i="1"/>
  <c r="BP499" i="1"/>
  <c r="BN499" i="1"/>
  <c r="Z499" i="1"/>
  <c r="Y501" i="1"/>
  <c r="Y506" i="1"/>
  <c r="BP503" i="1"/>
  <c r="BN503" i="1"/>
  <c r="Z503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P556" i="1"/>
  <c r="Y321" i="1"/>
  <c r="S556" i="1"/>
  <c r="Y350" i="1"/>
  <c r="T556" i="1"/>
  <c r="Y361" i="1"/>
  <c r="Z394" i="1"/>
  <c r="Z396" i="1" s="1"/>
  <c r="BN394" i="1"/>
  <c r="Z400" i="1"/>
  <c r="BN400" i="1"/>
  <c r="U556" i="1"/>
  <c r="Z407" i="1"/>
  <c r="BN407" i="1"/>
  <c r="Y408" i="1"/>
  <c r="Z412" i="1"/>
  <c r="BN412" i="1"/>
  <c r="BP412" i="1"/>
  <c r="Z414" i="1"/>
  <c r="BN414" i="1"/>
  <c r="Y415" i="1"/>
  <c r="Z420" i="1"/>
  <c r="BN420" i="1"/>
  <c r="BP420" i="1"/>
  <c r="Z422" i="1"/>
  <c r="BN422" i="1"/>
  <c r="Z424" i="1"/>
  <c r="BN424" i="1"/>
  <c r="Z426" i="1"/>
  <c r="BN426" i="1"/>
  <c r="Y429" i="1"/>
  <c r="Z432" i="1"/>
  <c r="BN432" i="1"/>
  <c r="Z438" i="1"/>
  <c r="BN438" i="1"/>
  <c r="Z444" i="1"/>
  <c r="Z445" i="1" s="1"/>
  <c r="BN444" i="1"/>
  <c r="Z449" i="1"/>
  <c r="BN449" i="1"/>
  <c r="BP449" i="1"/>
  <c r="Y452" i="1"/>
  <c r="Z459" i="1"/>
  <c r="Z461" i="1" s="1"/>
  <c r="BN459" i="1"/>
  <c r="Y556" i="1"/>
  <c r="Y473" i="1"/>
  <c r="Z467" i="1"/>
  <c r="BN467" i="1"/>
  <c r="Z469" i="1"/>
  <c r="BN469" i="1"/>
  <c r="Z471" i="1"/>
  <c r="BN471" i="1"/>
  <c r="Y472" i="1"/>
  <c r="Y488" i="1"/>
  <c r="Y487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Y531" i="1"/>
  <c r="Y535" i="1"/>
  <c r="Y539" i="1"/>
  <c r="Z556" i="1"/>
  <c r="Y500" i="1"/>
  <c r="Z529" i="1"/>
  <c r="Z530" i="1" s="1"/>
  <c r="BN529" i="1"/>
  <c r="BP529" i="1"/>
  <c r="Z533" i="1"/>
  <c r="Z534" i="1" s="1"/>
  <c r="BN533" i="1"/>
  <c r="BP533" i="1"/>
  <c r="Z537" i="1"/>
  <c r="BN537" i="1"/>
  <c r="BP537" i="1"/>
  <c r="Y545" i="1"/>
  <c r="Z440" i="1" l="1"/>
  <c r="Z116" i="1"/>
  <c r="Z539" i="1"/>
  <c r="Z500" i="1"/>
  <c r="Z408" i="1"/>
  <c r="Z390" i="1"/>
  <c r="Z377" i="1"/>
  <c r="Z360" i="1"/>
  <c r="Z168" i="1"/>
  <c r="Z143" i="1"/>
  <c r="Z138" i="1"/>
  <c r="Z31" i="1"/>
  <c r="Z123" i="1"/>
  <c r="Z451" i="1"/>
  <c r="Z434" i="1"/>
  <c r="Z402" i="1"/>
  <c r="Z342" i="1"/>
  <c r="Z311" i="1"/>
  <c r="Z298" i="1"/>
  <c r="Z181" i="1"/>
  <c r="Z163" i="1"/>
  <c r="Z97" i="1"/>
  <c r="Z80" i="1"/>
  <c r="Z235" i="1"/>
  <c r="Z69" i="1"/>
  <c r="Z321" i="1"/>
  <c r="Z151" i="1"/>
  <c r="Z108" i="1"/>
  <c r="Y548" i="1"/>
  <c r="Z50" i="1"/>
  <c r="Z41" i="1"/>
  <c r="Y547" i="1"/>
  <c r="Y549" i="1" s="1"/>
  <c r="Y550" i="1"/>
  <c r="Z472" i="1"/>
  <c r="Z383" i="1"/>
  <c r="Z370" i="1"/>
  <c r="Z282" i="1"/>
  <c r="Z90" i="1"/>
  <c r="Z74" i="1"/>
  <c r="Z251" i="1"/>
  <c r="Z241" i="1"/>
  <c r="Z227" i="1"/>
  <c r="Z506" i="1"/>
  <c r="Y546" i="1"/>
  <c r="Z516" i="1"/>
  <c r="Z428" i="1"/>
  <c r="Z415" i="1"/>
  <c r="Z336" i="1"/>
  <c r="Z328" i="1"/>
  <c r="Z267" i="1"/>
  <c r="Z206" i="1"/>
  <c r="Z62" i="1"/>
  <c r="Z551" i="1" s="1"/>
  <c r="X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<sst xmlns="http://schemas.openxmlformats.org/spreadsheetml/2006/main" count="2464" uniqueCount="894">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</sst>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46312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863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Суббота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0.45833333333333331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3</v>
      </c>
      <c r="Y28" s="618">
        <f>IFERROR(IF(X28="",0,CEILING((X28/$H28),1)*$H28),"")</f>
        <v>3.6</v>
      </c>
      <c r="Z28" s="36">
        <f>IFERROR(IF(Y28=0,"",ROUNDUP(Y28/H28,0)*0.00651),"")</f>
        <v>1.302E-2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5.3000000000000007</v>
      </c>
      <c r="BN28" s="64">
        <f>IFERROR(Y28*I28/H28,"0")</f>
        <v>6.36</v>
      </c>
      <c r="BO28" s="64">
        <f>IFERROR(1/J28*(X28/H28),"0")</f>
        <v>9.1575091575091579E-3</v>
      </c>
      <c r="BP28" s="64">
        <f>IFERROR(1/J28*(Y28/H28),"0")</f>
        <v>1.098901098901099E-2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1.6666666666666665</v>
      </c>
      <c r="Y31" s="619">
        <f>IFERROR(Y26/H26,"0")+IFERROR(Y27/H27,"0")+IFERROR(Y28/H28,"0")+IFERROR(Y29/H29,"0")+IFERROR(Y30/H30,"0")</f>
        <v>2</v>
      </c>
      <c r="Z31" s="619">
        <f>IFERROR(IF(Z26="",0,Z26),"0")+IFERROR(IF(Z27="",0,Z27),"0")+IFERROR(IF(Z28="",0,Z28),"0")+IFERROR(IF(Z29="",0,Z29),"0")+IFERROR(IF(Z30="",0,Z30),"0")</f>
        <v>1.302E-2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3</v>
      </c>
      <c r="Y32" s="619">
        <f>IFERROR(SUM(Y26:Y30),"0")</f>
        <v>3.6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650</v>
      </c>
      <c r="Y46" s="618">
        <f>IFERROR(IF(X46="",0,CEILING((X46/$H46),1)*$H46),"")</f>
        <v>658.80000000000007</v>
      </c>
      <c r="Z46" s="36">
        <f>IFERROR(IF(Y46=0,"",ROUNDUP(Y46/H46,0)*0.01898),"")</f>
        <v>1.15778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674.67592592592598</v>
      </c>
      <c r="BN46" s="64">
        <f>IFERROR(Y46*I46/H46,"0")</f>
        <v>683.81000000000006</v>
      </c>
      <c r="BO46" s="64">
        <f>IFERROR(1/J46*(X46/H46),"0")</f>
        <v>0.94039351851851849</v>
      </c>
      <c r="BP46" s="64">
        <f>IFERROR(1/J46*(Y46/H46),"0")</f>
        <v>0.953125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29</v>
      </c>
      <c r="Y49" s="618">
        <f>IFERROR(IF(X49="",0,CEILING((X49/$H49),1)*$H49),"")</f>
        <v>29.6</v>
      </c>
      <c r="Z49" s="36">
        <f>IFERROR(IF(Y49=0,"",ROUNDUP(Y49/H49,0)*0.00902),"")</f>
        <v>7.2160000000000002E-2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30.489189189189187</v>
      </c>
      <c r="BN49" s="64">
        <f>IFERROR(Y49*I49/H49,"0")</f>
        <v>31.12</v>
      </c>
      <c r="BO49" s="64">
        <f>IFERROR(1/J49*(X49/H49),"0")</f>
        <v>5.9377559377559376E-2</v>
      </c>
      <c r="BP49" s="64">
        <f>IFERROR(1/J49*(Y49/H49),"0")</f>
        <v>6.0606060606060608E-2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68.023023023023015</v>
      </c>
      <c r="Y50" s="619">
        <f>IFERROR(Y46/H46,"0")+IFERROR(Y47/H47,"0")+IFERROR(Y48/H48,"0")+IFERROR(Y49/H49,"0")</f>
        <v>69</v>
      </c>
      <c r="Z50" s="619">
        <f>IFERROR(IF(Z46="",0,Z46),"0")+IFERROR(IF(Z47="",0,Z47),"0")+IFERROR(IF(Z48="",0,Z48),"0")+IFERROR(IF(Z49="",0,Z49),"0")</f>
        <v>1.22994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679</v>
      </c>
      <c r="Y51" s="619">
        <f>IFERROR(SUM(Y46:Y49),"0")</f>
        <v>688.40000000000009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982</v>
      </c>
      <c r="Y55" s="618">
        <f t="shared" si="0"/>
        <v>982.80000000000007</v>
      </c>
      <c r="Z55" s="36">
        <f>IFERROR(IF(Y55=0,"",ROUNDUP(Y55/H55,0)*0.01898),"")</f>
        <v>1.7271799999999999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1019.2796296296297</v>
      </c>
      <c r="BN55" s="64">
        <f t="shared" si="2"/>
        <v>1020.1100000000001</v>
      </c>
      <c r="BO55" s="64">
        <f t="shared" si="3"/>
        <v>1.4207175925925926</v>
      </c>
      <c r="BP55" s="64">
        <f t="shared" si="4"/>
        <v>1.421875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45</v>
      </c>
      <c r="Y61" s="618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46.900000000000006</v>
      </c>
      <c r="BN61" s="64">
        <f t="shared" si="2"/>
        <v>46.900000000000006</v>
      </c>
      <c r="BO61" s="64">
        <f t="shared" si="3"/>
        <v>7.575757575757576E-2</v>
      </c>
      <c r="BP61" s="64">
        <f t="shared" si="4"/>
        <v>7.575757575757576E-2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100.92592592592592</v>
      </c>
      <c r="Y62" s="619">
        <f>IFERROR(Y54/H54,"0")+IFERROR(Y55/H55,"0")+IFERROR(Y56/H56,"0")+IFERROR(Y57/H57,"0")+IFERROR(Y58/H58,"0")+IFERROR(Y59/H59,"0")+IFERROR(Y60/H60,"0")+IFERROR(Y61/H61,"0")</f>
        <v>101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1.81738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1027</v>
      </c>
      <c r="Y63" s="619">
        <f>IFERROR(SUM(Y54:Y61),"0")</f>
        <v>1027.8000000000002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15</v>
      </c>
      <c r="Y72" s="618">
        <f>IFERROR(IF(X72="",0,CEILING((X72/$H72),1)*$H72),"")</f>
        <v>16.2</v>
      </c>
      <c r="Z72" s="36">
        <f>IFERROR(IF(Y72=0,"",ROUNDUP(Y72/H72,0)*0.00651),"")</f>
        <v>5.8590000000000003E-2</v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17.049999999999997</v>
      </c>
      <c r="BN72" s="64">
        <f>IFERROR(Y72*I72/H72,"0")</f>
        <v>18.413999999999998</v>
      </c>
      <c r="BO72" s="64">
        <f>IFERROR(1/J72*(X72/H72),"0")</f>
        <v>4.5787545787545791E-2</v>
      </c>
      <c r="BP72" s="64">
        <f>IFERROR(1/J72*(Y72/H72),"0")</f>
        <v>4.9450549450549455E-2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8.3333333333333339</v>
      </c>
      <c r="Y74" s="619">
        <f>IFERROR(Y72/H72,"0")+IFERROR(Y73/H73,"0")</f>
        <v>9</v>
      </c>
      <c r="Z74" s="619">
        <f>IFERROR(IF(Z72="",0,Z72),"0")+IFERROR(IF(Z73="",0,Z73),"0")</f>
        <v>5.8590000000000003E-2</v>
      </c>
      <c r="AA74" s="620"/>
      <c r="AB74" s="620"/>
      <c r="AC74" s="620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15</v>
      </c>
      <c r="Y75" s="619">
        <f>IFERROR(SUM(Y72:Y73),"0")</f>
        <v>16.2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841</v>
      </c>
      <c r="Y84" s="618">
        <f t="shared" ref="Y84:Y89" si="5">IFERROR(IF(X84="",0,CEILING((X84/$H84),1)*$H84),"")</f>
        <v>842.40000000000009</v>
      </c>
      <c r="Z84" s="36">
        <f>IFERROR(IF(Y84=0,"",ROUNDUP(Y84/H84,0)*0.01898),"")</f>
        <v>1.48044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872.92685185185189</v>
      </c>
      <c r="BN84" s="64">
        <f t="shared" ref="BN84:BN89" si="7">IFERROR(Y84*I84/H84,"0")</f>
        <v>874.38000000000011</v>
      </c>
      <c r="BO84" s="64">
        <f t="shared" ref="BO84:BO89" si="8">IFERROR(1/J84*(X84/H84),"0")</f>
        <v>1.216724537037037</v>
      </c>
      <c r="BP84" s="64">
        <f t="shared" ref="BP84:BP89" si="9">IFERROR(1/J84*(Y84/H84),"0")</f>
        <v>1.21875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2</v>
      </c>
      <c r="Y86" s="618">
        <f t="shared" si="5"/>
        <v>2.72</v>
      </c>
      <c r="Z86" s="36">
        <f>IFERROR(IF(Y86=0,"",ROUNDUP(Y86/H86,0)*0.00726),"")</f>
        <v>1.452E-2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2.2647058823529411</v>
      </c>
      <c r="BN86" s="64">
        <f t="shared" si="7"/>
        <v>3.08</v>
      </c>
      <c r="BO86" s="64">
        <f t="shared" si="8"/>
        <v>7.6593137254901949E-3</v>
      </c>
      <c r="BP86" s="64">
        <f t="shared" si="9"/>
        <v>1.0416666666666666E-2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28</v>
      </c>
      <c r="Y89" s="618">
        <f t="shared" si="5"/>
        <v>31.5</v>
      </c>
      <c r="Z89" s="36">
        <f>IFERROR(IF(Y89=0,"",ROUNDUP(Y89/H89,0)*0.00902),"")</f>
        <v>6.3140000000000002E-2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29.182222222222226</v>
      </c>
      <c r="BN89" s="64">
        <f t="shared" si="7"/>
        <v>32.830000000000005</v>
      </c>
      <c r="BO89" s="64">
        <f t="shared" si="8"/>
        <v>4.7138047138047139E-2</v>
      </c>
      <c r="BP89" s="64">
        <f t="shared" si="9"/>
        <v>5.3030303030303032E-2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85.563180827886711</v>
      </c>
      <c r="Y90" s="619">
        <f>IFERROR(Y84/H84,"0")+IFERROR(Y85/H85,"0")+IFERROR(Y86/H86,"0")+IFERROR(Y87/H87,"0")+IFERROR(Y88/H88,"0")+IFERROR(Y89/H89,"0")</f>
        <v>87</v>
      </c>
      <c r="Z90" s="619">
        <f>IFERROR(IF(Z84="",0,Z84),"0")+IFERROR(IF(Z85="",0,Z85),"0")+IFERROR(IF(Z86="",0,Z86),"0")+IFERROR(IF(Z87="",0,Z87),"0")+IFERROR(IF(Z88="",0,Z88),"0")+IFERROR(IF(Z89="",0,Z89),"0")</f>
        <v>1.5581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871</v>
      </c>
      <c r="Y91" s="619">
        <f>IFERROR(SUM(Y84:Y89),"0")</f>
        <v>876.62000000000012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350</v>
      </c>
      <c r="Y93" s="618">
        <f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371.34567901234567</v>
      </c>
      <c r="BN93" s="64">
        <f>IFERROR(Y93*I93/H93,"0")</f>
        <v>378.13599999999997</v>
      </c>
      <c r="BO93" s="64">
        <f>IFERROR(1/J93*(X93/H93),"0")</f>
        <v>0.67515432098765438</v>
      </c>
      <c r="BP93" s="64">
        <f>IFERROR(1/J93*(Y93/H93),"0")</f>
        <v>0.6875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43.20987654320988</v>
      </c>
      <c r="Y97" s="619">
        <f>IFERROR(Y93/H93,"0")+IFERROR(Y94/H94,"0")+IFERROR(Y95/H95,"0")+IFERROR(Y96/H96,"0")</f>
        <v>44</v>
      </c>
      <c r="Z97" s="619">
        <f>IFERROR(IF(Z93="",0,Z93),"0")+IFERROR(IF(Z94="",0,Z94),"0")+IFERROR(IF(Z95="",0,Z95),"0")+IFERROR(IF(Z96="",0,Z96),"0")</f>
        <v>0.83511999999999997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350</v>
      </c>
      <c r="Y98" s="619">
        <f>IFERROR(SUM(Y93:Y96),"0")</f>
        <v>356.4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150</v>
      </c>
      <c r="Y101" s="618">
        <f t="shared" ref="Y101:Y107" si="10">IFERROR(IF(X101="",0,CEILING((X101/$H101),1)*$H101),"")</f>
        <v>151.20000000000002</v>
      </c>
      <c r="Z101" s="36">
        <f>IFERROR(IF(Y101=0,"",ROUNDUP(Y101/H101,0)*0.01898),"")</f>
        <v>0.26572000000000001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155.69444444444446</v>
      </c>
      <c r="BN101" s="64">
        <f t="shared" ref="BN101:BN107" si="12">IFERROR(Y101*I101/H101,"0")</f>
        <v>156.94</v>
      </c>
      <c r="BO101" s="64">
        <f t="shared" ref="BO101:BO107" si="13">IFERROR(1/J101*(X101/H101),"0")</f>
        <v>0.21701388888888887</v>
      </c>
      <c r="BP101" s="64">
        <f t="shared" ref="BP101:BP107" si="14">IFERROR(1/J101*(Y101/H101),"0")</f>
        <v>0.21875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127</v>
      </c>
      <c r="Y105" s="618">
        <f t="shared" si="10"/>
        <v>130.5</v>
      </c>
      <c r="Z105" s="36">
        <f>IFERROR(IF(Y105=0,"",ROUNDUP(Y105/H105,0)*0.00902),"")</f>
        <v>0.26158000000000003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132.36222222222221</v>
      </c>
      <c r="BN105" s="64">
        <f t="shared" si="12"/>
        <v>136.01000000000002</v>
      </c>
      <c r="BO105" s="64">
        <f t="shared" si="13"/>
        <v>0.2138047138047138</v>
      </c>
      <c r="BP105" s="64">
        <f t="shared" si="14"/>
        <v>0.2196969696969697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42.111111111111107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0.5273000000000001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277</v>
      </c>
      <c r="Y109" s="619">
        <f>IFERROR(SUM(Y101:Y107),"0")</f>
        <v>281.70000000000005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2</v>
      </c>
      <c r="Y115" s="618">
        <f>IFERROR(IF(X115="",0,CEILING((X115/$H115),1)*$H115),"")</f>
        <v>2.4</v>
      </c>
      <c r="Z115" s="36">
        <f>IFERROR(IF(Y115=0,"",ROUNDUP(Y115/H115,0)*0.00651),"")</f>
        <v>6.5100000000000002E-3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2.1500000000000004</v>
      </c>
      <c r="BN115" s="64">
        <f>IFERROR(Y115*I115/H115,"0")</f>
        <v>2.58</v>
      </c>
      <c r="BO115" s="64">
        <f>IFERROR(1/J115*(X115/H115),"0")</f>
        <v>4.578754578754579E-3</v>
      </c>
      <c r="BP115" s="64">
        <f>IFERROR(1/J115*(Y115/H115),"0")</f>
        <v>5.4945054945054949E-3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0.83333333333333337</v>
      </c>
      <c r="Y116" s="619">
        <f>IFERROR(Y111/H111,"0")+IFERROR(Y112/H112,"0")+IFERROR(Y113/H113,"0")+IFERROR(Y114/H114,"0")+IFERROR(Y115/H115,"0")</f>
        <v>1</v>
      </c>
      <c r="Z116" s="619">
        <f>IFERROR(IF(Z111="",0,Z111),"0")+IFERROR(IF(Z112="",0,Z112),"0")+IFERROR(IF(Z113="",0,Z113),"0")+IFERROR(IF(Z114="",0,Z114),"0")+IFERROR(IF(Z115="",0,Z115),"0")</f>
        <v>6.5100000000000002E-3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2</v>
      </c>
      <c r="Y117" s="619">
        <f>IFERROR(SUM(Y111:Y115),"0")</f>
        <v>2.4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24</v>
      </c>
      <c r="Y119" s="618">
        <f>IFERROR(IF(X119="",0,CEILING((X119/$H119),1)*$H119),"")</f>
        <v>24.299999999999997</v>
      </c>
      <c r="Z119" s="36">
        <f>IFERROR(IF(Y119=0,"",ROUNDUP(Y119/H119,0)*0.01898),"")</f>
        <v>5.6940000000000004E-2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25.445925925925923</v>
      </c>
      <c r="BN119" s="64">
        <f>IFERROR(Y119*I119/H119,"0")</f>
        <v>25.763999999999996</v>
      </c>
      <c r="BO119" s="64">
        <f>IFERROR(1/J119*(X119/H119),"0")</f>
        <v>4.6296296296296301E-2</v>
      </c>
      <c r="BP119" s="64">
        <f>IFERROR(1/J119*(Y119/H119),"0")</f>
        <v>4.6875E-2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2.9629629629629632</v>
      </c>
      <c r="Y123" s="619">
        <f>IFERROR(Y119/H119,"0")+IFERROR(Y120/H120,"0")+IFERROR(Y121/H121,"0")+IFERROR(Y122/H122,"0")</f>
        <v>3</v>
      </c>
      <c r="Z123" s="619">
        <f>IFERROR(IF(Z119="",0,Z119),"0")+IFERROR(IF(Z120="",0,Z120),"0")+IFERROR(IF(Z121="",0,Z121),"0")+IFERROR(IF(Z122="",0,Z122),"0")</f>
        <v>5.6940000000000004E-2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24</v>
      </c>
      <c r="Y124" s="619">
        <f>IFERROR(SUM(Y119:Y122),"0")</f>
        <v>24.299999999999997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10</v>
      </c>
      <c r="Y171" s="618">
        <f t="shared" ref="Y171:Y180" si="15">IFERROR(IF(X171="",0,CEILING((X171/$H171),1)*$H171),"")</f>
        <v>10.5</v>
      </c>
      <c r="Z171" s="36">
        <f>IFERROR(IF(Y171=0,"",ROUNDUP(Y171/H171,0)*0.00902),"")</f>
        <v>2.7060000000000001E-2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10.542857142857143</v>
      </c>
      <c r="BN171" s="64">
        <f t="shared" ref="BN171:BN180" si="17">IFERROR(Y171*I171/H171,"0")</f>
        <v>11.069999999999999</v>
      </c>
      <c r="BO171" s="64">
        <f t="shared" ref="BO171:BO180" si="18">IFERROR(1/J171*(X171/H171),"0")</f>
        <v>2.1645021645021648E-2</v>
      </c>
      <c r="BP171" s="64">
        <f t="shared" ref="BP171:BP180" si="19">IFERROR(1/J171*(Y171/H171),"0")</f>
        <v>2.2727272727272728E-2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256</v>
      </c>
      <c r="Y173" s="618">
        <f t="shared" si="15"/>
        <v>259</v>
      </c>
      <c r="Z173" s="36">
        <f>IFERROR(IF(Y173=0,"",ROUNDUP(Y173/H173,0)*0.00902),"")</f>
        <v>0.66748000000000007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269.89714285714285</v>
      </c>
      <c r="BN173" s="64">
        <f t="shared" si="17"/>
        <v>273.06</v>
      </c>
      <c r="BO173" s="64">
        <f t="shared" si="18"/>
        <v>0.55411255411255411</v>
      </c>
      <c r="BP173" s="64">
        <f t="shared" si="19"/>
        <v>0.56060606060606066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600</v>
      </c>
      <c r="Y174" s="618">
        <f t="shared" si="15"/>
        <v>602</v>
      </c>
      <c r="Z174" s="36">
        <f>IFERROR(IF(Y174=0,"",ROUNDUP(Y174/H174,0)*0.00902),"")</f>
        <v>1.5514399999999999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632.57142857142856</v>
      </c>
      <c r="BN174" s="64">
        <f t="shared" si="17"/>
        <v>634.68000000000006</v>
      </c>
      <c r="BO174" s="64">
        <f t="shared" si="18"/>
        <v>1.2987012987012987</v>
      </c>
      <c r="BP174" s="64">
        <f t="shared" si="19"/>
        <v>1.303030303030303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156</v>
      </c>
      <c r="Y176" s="618">
        <f t="shared" si="15"/>
        <v>156.23999999999998</v>
      </c>
      <c r="Z176" s="36">
        <f>IFERROR(IF(Y176=0,"",ROUNDUP(Y176/H176,0)*0.00502),"")</f>
        <v>0.46686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165.28571428571431</v>
      </c>
      <c r="BN176" s="64">
        <f t="shared" si="17"/>
        <v>165.54</v>
      </c>
      <c r="BO176" s="64">
        <f t="shared" si="18"/>
        <v>0.39682539682539686</v>
      </c>
      <c r="BP176" s="64">
        <f t="shared" si="19"/>
        <v>0.39743589743589741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168</v>
      </c>
      <c r="Y178" s="618">
        <f t="shared" si="15"/>
        <v>168</v>
      </c>
      <c r="Z178" s="36">
        <f>IFERROR(IF(Y178=0,"",ROUNDUP(Y178/H178,0)*0.00502),"")</f>
        <v>0.502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178.00000000000003</v>
      </c>
      <c r="BN178" s="64">
        <f t="shared" si="17"/>
        <v>178.00000000000003</v>
      </c>
      <c r="BO178" s="64">
        <f t="shared" si="18"/>
        <v>0.42735042735042739</v>
      </c>
      <c r="BP178" s="64">
        <f t="shared" si="19"/>
        <v>0.42735042735042739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182</v>
      </c>
      <c r="Y180" s="618">
        <f t="shared" si="15"/>
        <v>183.12</v>
      </c>
      <c r="Z180" s="36">
        <f>IFERROR(IF(Y180=0,"",ROUNDUP(Y180/H180,0)*0.00502),"")</f>
        <v>0.54718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192.83333333333331</v>
      </c>
      <c r="BN180" s="64">
        <f t="shared" si="17"/>
        <v>194.02</v>
      </c>
      <c r="BO180" s="64">
        <f t="shared" si="18"/>
        <v>0.46296296296296308</v>
      </c>
      <c r="BP180" s="64">
        <f t="shared" si="19"/>
        <v>0.46581196581196588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548.61904761904759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551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3.7620199999999997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1372</v>
      </c>
      <c r="Y182" s="619">
        <f>IFERROR(SUM(Y171:Y180),"0")</f>
        <v>1378.8600000000001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4</v>
      </c>
      <c r="Y214" s="618">
        <f t="shared" ref="Y214:Y226" si="26">IFERROR(IF(X214="",0,CEILING((X214/$H214),1)*$H214),"")</f>
        <v>4.2</v>
      </c>
      <c r="Z214" s="36">
        <f>IFERROR(IF(Y214=0,"",ROUNDUP(Y214/H214,0)*0.00902),"")</f>
        <v>9.0200000000000002E-3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4.2380952380952381</v>
      </c>
      <c r="BN214" s="64">
        <f t="shared" ref="BN214:BN226" si="28">IFERROR(Y214*I214/H214,"0")</f>
        <v>4.45</v>
      </c>
      <c r="BO214" s="64">
        <f t="shared" ref="BO214:BO226" si="29">IFERROR(1/J214*(X214/H214),"0")</f>
        <v>7.215007215007215E-3</v>
      </c>
      <c r="BP214" s="64">
        <f t="shared" ref="BP214:BP226" si="30">IFERROR(1/J214*(Y214/H214),"0")</f>
        <v>7.575757575757576E-3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2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2.1444444444444444</v>
      </c>
      <c r="BN222" s="64">
        <f t="shared" si="28"/>
        <v>3.8599999999999994</v>
      </c>
      <c r="BO222" s="64">
        <f t="shared" si="29"/>
        <v>4.7483380816714157E-3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102</v>
      </c>
      <c r="Y224" s="618">
        <f t="shared" si="26"/>
        <v>102.9</v>
      </c>
      <c r="Z224" s="36">
        <f>IFERROR(IF(Y224=0,"",ROUNDUP(Y224/H224,0)*0.00502),"")</f>
        <v>0.24598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106.85714285714286</v>
      </c>
      <c r="BN224" s="64">
        <f t="shared" si="28"/>
        <v>107.80000000000001</v>
      </c>
      <c r="BO224" s="64">
        <f t="shared" si="29"/>
        <v>0.20757020757020758</v>
      </c>
      <c r="BP224" s="64">
        <f t="shared" si="30"/>
        <v>0.20940170940170943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50.634920634920633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52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0.26504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108</v>
      </c>
      <c r="Y228" s="619">
        <f>IFERROR(SUM(Y214:Y226),"0")</f>
        <v>110.7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5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3.9682539682539684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5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70</v>
      </c>
      <c r="Y260" s="618">
        <f t="shared" si="31"/>
        <v>70.2</v>
      </c>
      <c r="Z260" s="36">
        <f>IFERROR(IF(Y260=0,"",ROUNDUP(Y260/H260,0)*0.00902),"")</f>
        <v>0.11726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72.462962962962962</v>
      </c>
      <c r="BN260" s="64">
        <f t="shared" si="33"/>
        <v>72.67</v>
      </c>
      <c r="BO260" s="64">
        <f t="shared" si="34"/>
        <v>9.8204264870931535E-2</v>
      </c>
      <c r="BP260" s="64">
        <f t="shared" si="35"/>
        <v>9.8484848484848481E-2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400</v>
      </c>
      <c r="Y261" s="618">
        <f t="shared" si="31"/>
        <v>405</v>
      </c>
      <c r="Z261" s="36">
        <f>IFERROR(IF(Y261=0,"",ROUNDUP(Y261/H261,0)*0.00902),"")</f>
        <v>0.67649999999999999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414.07407407407402</v>
      </c>
      <c r="BN261" s="64">
        <f t="shared" si="33"/>
        <v>419.24999999999994</v>
      </c>
      <c r="BO261" s="64">
        <f t="shared" si="34"/>
        <v>0.5611672278338945</v>
      </c>
      <c r="BP261" s="64">
        <f t="shared" si="35"/>
        <v>0.56818181818181823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3</v>
      </c>
      <c r="Y263" s="618">
        <f t="shared" si="31"/>
        <v>3.6</v>
      </c>
      <c r="Z263" s="36">
        <f>IFERROR(IF(Y263=0,"",ROUNDUP(Y263/H263,0)*0.00502),"")</f>
        <v>1.004E-2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3.2166666666666668</v>
      </c>
      <c r="BN263" s="64">
        <f t="shared" si="33"/>
        <v>3.8599999999999994</v>
      </c>
      <c r="BO263" s="64">
        <f t="shared" si="34"/>
        <v>7.1225071225071226E-3</v>
      </c>
      <c r="BP263" s="64">
        <f t="shared" si="35"/>
        <v>8.5470085470085479E-3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16</v>
      </c>
      <c r="Y264" s="618">
        <f t="shared" si="31"/>
        <v>16.2</v>
      </c>
      <c r="Z264" s="36">
        <f>IFERROR(IF(Y264=0,"",ROUNDUP(Y264/H264,0)*0.00502),"")</f>
        <v>4.5179999999999998E-2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16.888888888888889</v>
      </c>
      <c r="BN264" s="64">
        <f t="shared" si="33"/>
        <v>17.099999999999998</v>
      </c>
      <c r="BO264" s="64">
        <f t="shared" si="34"/>
        <v>3.7986704653371325E-2</v>
      </c>
      <c r="BP264" s="64">
        <f t="shared" si="35"/>
        <v>3.8461538461538464E-2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9</v>
      </c>
      <c r="Y266" s="618">
        <f t="shared" si="31"/>
        <v>9</v>
      </c>
      <c r="Z266" s="36">
        <f>IFERROR(IF(Y266=0,"",ROUNDUP(Y266/H266,0)*0.00502),"")</f>
        <v>2.5100000000000001E-2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9.4999999999999982</v>
      </c>
      <c r="BN266" s="64">
        <f t="shared" si="33"/>
        <v>9.4999999999999982</v>
      </c>
      <c r="BO266" s="64">
        <f t="shared" si="34"/>
        <v>2.1367521367521368E-2</v>
      </c>
      <c r="BP266" s="64">
        <f t="shared" si="35"/>
        <v>2.1367521367521368E-2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102.5925925925926</v>
      </c>
      <c r="Y267" s="619">
        <f>IFERROR(Y259/H259,"0")+IFERROR(Y260/H260,"0")+IFERROR(Y261/H261,"0")+IFERROR(Y262/H262,"0")+IFERROR(Y263/H263,"0")+IFERROR(Y264/H264,"0")+IFERROR(Y265/H265,"0")+IFERROR(Y266/H266,"0")</f>
        <v>104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0.87408000000000008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498</v>
      </c>
      <c r="Y268" s="619">
        <f>IFERROR(SUM(Y259:Y266),"0")</f>
        <v>504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819</v>
      </c>
      <c r="Y270" s="618">
        <f t="shared" ref="Y270:Y281" si="36">IFERROR(IF(X270="",0,CEILING((X270/$H270),1)*$H270),"")</f>
        <v>826.19999999999993</v>
      </c>
      <c r="Z270" s="36">
        <f>IFERROR(IF(Y270=0,"",ROUNDUP(Y270/H270,0)*0.01898),"")</f>
        <v>1.9359600000000001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868.94888888888886</v>
      </c>
      <c r="BN270" s="64">
        <f t="shared" ref="BN270:BN281" si="38">IFERROR(Y270*I270/H270,"0")</f>
        <v>876.58799999999997</v>
      </c>
      <c r="BO270" s="64">
        <f t="shared" ref="BO270:BO281" si="39">IFERROR(1/J270*(X270/H270),"0")</f>
        <v>1.5798611111111112</v>
      </c>
      <c r="BP270" s="64">
        <f t="shared" ref="BP270:BP281" si="40">IFERROR(1/J270*(Y270/H270),"0")</f>
        <v>1.59375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200</v>
      </c>
      <c r="Y271" s="618">
        <f t="shared" si="36"/>
        <v>202.5</v>
      </c>
      <c r="Z271" s="36">
        <f>IFERROR(IF(Y271=0,"",ROUNDUP(Y271/H271,0)*0.01898),"")</f>
        <v>0.47450000000000003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211.75308641975309</v>
      </c>
      <c r="BN271" s="64">
        <f t="shared" si="38"/>
        <v>214.40000000000003</v>
      </c>
      <c r="BO271" s="64">
        <f t="shared" si="39"/>
        <v>0.38580246913580246</v>
      </c>
      <c r="BP271" s="64">
        <f t="shared" si="40"/>
        <v>0.390625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98</v>
      </c>
      <c r="Y279" s="618">
        <f t="shared" si="36"/>
        <v>98.399999999999991</v>
      </c>
      <c r="Z279" s="36">
        <f>IFERROR(IF(Y279=0,"",ROUNDUP(Y279/H279,0)*0.00651),"")</f>
        <v>0.26690999999999998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108.29</v>
      </c>
      <c r="BN279" s="64">
        <f t="shared" si="38"/>
        <v>108.732</v>
      </c>
      <c r="BO279" s="64">
        <f t="shared" si="39"/>
        <v>0.22435897435897439</v>
      </c>
      <c r="BP279" s="64">
        <f t="shared" si="40"/>
        <v>0.22527472527472528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183.30246913580245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185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2.7880399999999996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1157</v>
      </c>
      <c r="Y283" s="619">
        <f>IFERROR(SUM(Y270:Y281),"0")</f>
        <v>1167.8999999999999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7</v>
      </c>
      <c r="Y305" s="618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3.8888888888888888</v>
      </c>
      <c r="Y306" s="619">
        <f>IFERROR(Y305/H305,"0")</f>
        <v>4</v>
      </c>
      <c r="Z306" s="619">
        <f>IFERROR(IF(Z305="",0,Z305),"0")</f>
        <v>2.3599999999999999E-2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7</v>
      </c>
      <c r="Y307" s="619">
        <f>IFERROR(SUM(Y305:Y305),"0")</f>
        <v>7.2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152</v>
      </c>
      <c r="Y326" s="618">
        <f>IFERROR(IF(X326="",0,CEILING((X326/$H326),1)*$H326),"")</f>
        <v>153.6</v>
      </c>
      <c r="Z326" s="36">
        <f>IFERROR(IF(Y326=0,"",ROUNDUP(Y326/H326,0)*0.00651),"")</f>
        <v>0.41664000000000001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167.96000000000004</v>
      </c>
      <c r="BN326" s="64">
        <f>IFERROR(Y326*I326/H326,"0")</f>
        <v>169.72800000000001</v>
      </c>
      <c r="BO326" s="64">
        <f>IFERROR(1/J326*(X326/H326),"0")</f>
        <v>0.34798534798534803</v>
      </c>
      <c r="BP326" s="64">
        <f>IFERROR(1/J326*(Y326/H326),"0")</f>
        <v>0.35164835164835168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107</v>
      </c>
      <c r="Y327" s="618">
        <f>IFERROR(IF(X327="",0,CEILING((X327/$H327),1)*$H327),"")</f>
        <v>108</v>
      </c>
      <c r="Z327" s="36">
        <f>IFERROR(IF(Y327=0,"",ROUNDUP(Y327/H327,0)*0.00651),"")</f>
        <v>0.29294999999999999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115.02500000000001</v>
      </c>
      <c r="BN327" s="64">
        <f>IFERROR(Y327*I327/H327,"0")</f>
        <v>116.1</v>
      </c>
      <c r="BO327" s="64">
        <f>IFERROR(1/J327*(X327/H327),"0")</f>
        <v>0.24496336996337001</v>
      </c>
      <c r="BP327" s="64">
        <f>IFERROR(1/J327*(Y327/H327),"0")</f>
        <v>0.24725274725274726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107.91666666666667</v>
      </c>
      <c r="Y328" s="619">
        <f>IFERROR(Y325/H325,"0")+IFERROR(Y326/H326,"0")+IFERROR(Y327/H327,"0")</f>
        <v>109</v>
      </c>
      <c r="Z328" s="619">
        <f>IFERROR(IF(Z325="",0,Z325),"0")+IFERROR(IF(Z326="",0,Z326),"0")+IFERROR(IF(Z327="",0,Z327),"0")</f>
        <v>0.70958999999999994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259</v>
      </c>
      <c r="Y329" s="619">
        <f>IFERROR(SUM(Y325:Y327),"0")</f>
        <v>261.60000000000002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120</v>
      </c>
      <c r="Y346" s="618">
        <f>IFERROR(IF(X346="",0,CEILING((X346/$H346),1)*$H346),"")</f>
        <v>124.8</v>
      </c>
      <c r="Z346" s="36">
        <f>IFERROR(IF(Y346=0,"",ROUNDUP(Y346/H346,0)*0.01898),"")</f>
        <v>0.30368000000000001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126.30769230769232</v>
      </c>
      <c r="BN346" s="64">
        <f>IFERROR(Y346*I346/H346,"0")</f>
        <v>131.36000000000001</v>
      </c>
      <c r="BO346" s="64">
        <f>IFERROR(1/J346*(X346/H346),"0")</f>
        <v>0.24038461538461539</v>
      </c>
      <c r="BP346" s="64">
        <f>IFERROR(1/J346*(Y346/H346),"0")</f>
        <v>0.25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220</v>
      </c>
      <c r="Y347" s="618">
        <f>IFERROR(IF(X347="",0,CEILING((X347/$H347),1)*$H347),"")</f>
        <v>226.2</v>
      </c>
      <c r="Z347" s="36">
        <f>IFERROR(IF(Y347=0,"",ROUNDUP(Y347/H347,0)*0.01898),"")</f>
        <v>0.55042000000000002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231.5641025641026</v>
      </c>
      <c r="BN347" s="64">
        <f>IFERROR(Y347*I347/H347,"0")</f>
        <v>238.09</v>
      </c>
      <c r="BO347" s="64">
        <f>IFERROR(1/J347*(X347/H347),"0")</f>
        <v>0.44070512820512819</v>
      </c>
      <c r="BP347" s="64">
        <f>IFERROR(1/J347*(Y347/H347),"0")</f>
        <v>0.453125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50</v>
      </c>
      <c r="Y348" s="618">
        <f>IFERROR(IF(X348="",0,CEILING((X348/$H348),1)*$H348),"")</f>
        <v>54.6</v>
      </c>
      <c r="Z348" s="36">
        <f>IFERROR(IF(Y348=0,"",ROUNDUP(Y348/H348,0)*0.01898),"")</f>
        <v>0.13286000000000001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52.628205128205138</v>
      </c>
      <c r="BN348" s="64">
        <f>IFERROR(Y348*I348/H348,"0")</f>
        <v>57.470000000000013</v>
      </c>
      <c r="BO348" s="64">
        <f>IFERROR(1/J348*(X348/H348),"0")</f>
        <v>0.10016025641025642</v>
      </c>
      <c r="BP348" s="64">
        <f>IFERROR(1/J348*(Y348/H348),"0")</f>
        <v>0.109375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50</v>
      </c>
      <c r="Y349" s="619">
        <f>IFERROR(Y346/H346,"0")+IFERROR(Y347/H347,"0")+IFERROR(Y348/H348,"0")</f>
        <v>52</v>
      </c>
      <c r="Z349" s="619">
        <f>IFERROR(IF(Z346="",0,Z346),"0")+IFERROR(IF(Z347="",0,Z347),"0")+IFERROR(IF(Z348="",0,Z348),"0")</f>
        <v>0.98696000000000006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390</v>
      </c>
      <c r="Y350" s="619">
        <f>IFERROR(SUM(Y346:Y348),"0")</f>
        <v>405.6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2</v>
      </c>
      <c r="Y369" s="618">
        <f t="shared" si="56"/>
        <v>3.6</v>
      </c>
      <c r="Z369" s="36">
        <f>IFERROR(IF(Y369=0,"",ROUNDUP(Y369/H369,0)*0.00651),"")</f>
        <v>1.302E-2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2.2533333333333334</v>
      </c>
      <c r="BN369" s="64">
        <f t="shared" si="58"/>
        <v>4.056</v>
      </c>
      <c r="BO369" s="64">
        <f t="shared" si="59"/>
        <v>6.1050061050061059E-3</v>
      </c>
      <c r="BP369" s="64">
        <f t="shared" si="60"/>
        <v>1.098901098901099E-2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1.1111111111111112</v>
      </c>
      <c r="Y370" s="619">
        <f>IFERROR(Y363/H363,"0")+IFERROR(Y364/H364,"0")+IFERROR(Y365/H365,"0")+IFERROR(Y366/H366,"0")+IFERROR(Y367/H367,"0")+IFERROR(Y368/H368,"0")+IFERROR(Y369/H369,"0")</f>
        <v>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1.302E-2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2</v>
      </c>
      <c r="Y371" s="619">
        <f>IFERROR(SUM(Y363:Y369),"0")</f>
        <v>3.6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200</v>
      </c>
      <c r="Y381" s="618">
        <f>IFERROR(IF(X381="",0,CEILING((X381/$H381),1)*$H381),"")</f>
        <v>202.79999999999998</v>
      </c>
      <c r="Z381" s="36">
        <f>IFERROR(IF(Y381=0,"",ROUNDUP(Y381/H381,0)*0.01898),"")</f>
        <v>0.49348000000000003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212.66666666666669</v>
      </c>
      <c r="BN381" s="64">
        <f>IFERROR(Y381*I381/H381,"0")</f>
        <v>215.64399999999998</v>
      </c>
      <c r="BO381" s="64">
        <f>IFERROR(1/J381*(X381/H381),"0")</f>
        <v>0.40064102564102566</v>
      </c>
      <c r="BP381" s="64">
        <f>IFERROR(1/J381*(Y381/H381),"0")</f>
        <v>0.40625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25.641025641025642</v>
      </c>
      <c r="Y383" s="619">
        <f>IFERROR(Y380/H380,"0")+IFERROR(Y381/H381,"0")+IFERROR(Y382/H382,"0")</f>
        <v>26</v>
      </c>
      <c r="Z383" s="619">
        <f>IFERROR(IF(Z380="",0,Z380),"0")+IFERROR(IF(Z381="",0,Z381),"0")+IFERROR(IF(Z382="",0,Z382),"0")</f>
        <v>0.49348000000000003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200</v>
      </c>
      <c r="Y384" s="619">
        <f>IFERROR(SUM(Y380:Y382),"0")</f>
        <v>202.79999999999998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4</v>
      </c>
      <c r="Y387" s="618">
        <f>IFERROR(IF(X387="",0,CEILING((X387/$H387),1)*$H387),"")</f>
        <v>6.08</v>
      </c>
      <c r="Z387" s="36">
        <f>IFERROR(IF(Y387=0,"",ROUNDUP(Y387/H387,0)*0.00902),"")</f>
        <v>1.804E-2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4.3026315789473681</v>
      </c>
      <c r="BN387" s="64">
        <f>IFERROR(Y387*I387/H387,"0")</f>
        <v>6.5399999999999991</v>
      </c>
      <c r="BO387" s="64">
        <f>IFERROR(1/J387*(X387/H387),"0")</f>
        <v>9.9681020733652318E-3</v>
      </c>
      <c r="BP387" s="64">
        <f>IFERROR(1/J387*(Y387/H387),"0")</f>
        <v>1.5151515151515152E-2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1.3157894736842106</v>
      </c>
      <c r="Y390" s="619">
        <f>IFERROR(Y386/H386,"0")+IFERROR(Y387/H387,"0")+IFERROR(Y388/H388,"0")+IFERROR(Y389/H389,"0")</f>
        <v>2</v>
      </c>
      <c r="Z390" s="619">
        <f>IFERROR(IF(Z386="",0,Z386),"0")+IFERROR(IF(Z387="",0,Z387),"0")+IFERROR(IF(Z388="",0,Z388),"0")+IFERROR(IF(Z389="",0,Z389),"0")</f>
        <v>1.804E-2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4</v>
      </c>
      <c r="Y391" s="619">
        <f>IFERROR(SUM(Y386:Y389),"0")</f>
        <v>6.08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7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7.8400000000000007</v>
      </c>
      <c r="BN393" s="64">
        <f>IFERROR(Y393*I393/H393,"0")</f>
        <v>8.9600000000000009</v>
      </c>
      <c r="BO393" s="64">
        <f>IFERROR(1/J393*(X393/H393),"0")</f>
        <v>1.4705882352941176E-2</v>
      </c>
      <c r="BP393" s="64">
        <f>IFERROR(1/J393*(Y393/H393),"0")</f>
        <v>1.680672268907563E-2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12.5</v>
      </c>
      <c r="Y396" s="619">
        <f>IFERROR(Y393/H393,"0")+IFERROR(Y394/H394,"0")+IFERROR(Y395/H395,"0")</f>
        <v>13</v>
      </c>
      <c r="Z396" s="619">
        <f>IFERROR(IF(Z393="",0,Z393),"0")+IFERROR(IF(Z394="",0,Z394),"0")+IFERROR(IF(Z395="",0,Z395),"0")</f>
        <v>6.1620000000000008E-2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25</v>
      </c>
      <c r="Y397" s="619">
        <f>IFERROR(SUM(Y393:Y395),"0")</f>
        <v>26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290</v>
      </c>
      <c r="Y423" s="618">
        <f t="shared" si="61"/>
        <v>300</v>
      </c>
      <c r="Z423" s="36">
        <f>IFERROR(IF(Y423=0,"",ROUNDUP(Y423/H423,0)*0.02175),"")</f>
        <v>0.43499999999999994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299.0866666666667</v>
      </c>
      <c r="BN423" s="64">
        <f t="shared" si="63"/>
        <v>309.39999999999998</v>
      </c>
      <c r="BO423" s="64">
        <f t="shared" si="64"/>
        <v>0.40277777777777773</v>
      </c>
      <c r="BP423" s="64">
        <f t="shared" si="65"/>
        <v>0.41666666666666663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19.333333333333332</v>
      </c>
      <c r="Y428" s="619">
        <f>IFERROR(Y420/H420,"0")+IFERROR(Y421/H421,"0")+IFERROR(Y422/H422,"0")+IFERROR(Y423/H423,"0")+IFERROR(Y424/H424,"0")+IFERROR(Y425/H425,"0")+IFERROR(Y426/H426,"0")+IFERROR(Y427/H427,"0")</f>
        <v>20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0.43499999999999994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290</v>
      </c>
      <c r="Y429" s="619">
        <f>IFERROR(SUM(Y420:Y427),"0")</f>
        <v>300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700</v>
      </c>
      <c r="Y431" s="618">
        <f>IFERROR(IF(X431="",0,CEILING((X431/$H431),1)*$H431),"")</f>
        <v>705</v>
      </c>
      <c r="Z431" s="36">
        <f>IFERROR(IF(Y431=0,"",ROUNDUP(Y431/H431,0)*0.02175),"")</f>
        <v>1.0222499999999999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721.93333333333328</v>
      </c>
      <c r="BN431" s="64">
        <f>IFERROR(Y431*I431/H431,"0")</f>
        <v>727.09</v>
      </c>
      <c r="BO431" s="64">
        <f>IFERROR(1/J431*(X431/H431),"0")</f>
        <v>0.9722222222222221</v>
      </c>
      <c r="BP431" s="64">
        <f>IFERROR(1/J431*(Y431/H431),"0")</f>
        <v>0.97916666666666663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46.666666666666664</v>
      </c>
      <c r="Y434" s="619">
        <f>IFERROR(Y431/H431,"0")+IFERROR(Y432/H432,"0")+IFERROR(Y433/H433,"0")</f>
        <v>47</v>
      </c>
      <c r="Z434" s="619">
        <f>IFERROR(IF(Z431="",0,Z431),"0")+IFERROR(IF(Z432="",0,Z432),"0")+IFERROR(IF(Z433="",0,Z433),"0")</f>
        <v>1.0222499999999999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700</v>
      </c>
      <c r="Y435" s="619">
        <f>IFERROR(SUM(Y431:Y433),"0")</f>
        <v>705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1100</v>
      </c>
      <c r="Y495" s="618">
        <f t="shared" si="71"/>
        <v>1103.52</v>
      </c>
      <c r="Z495" s="36">
        <f>IFERROR(IF(Y495=0,"",ROUNDUP(Y495/H495,0)*0.01196),"")</f>
        <v>2.4996399999999999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1172.9166666666665</v>
      </c>
      <c r="BN495" s="64">
        <f t="shared" si="73"/>
        <v>1176.6699999999998</v>
      </c>
      <c r="BO495" s="64">
        <f t="shared" si="74"/>
        <v>2.0032051282051282</v>
      </c>
      <c r="BP495" s="64">
        <f t="shared" si="75"/>
        <v>2.0096153846153846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79</v>
      </c>
      <c r="Y496" s="618">
        <f t="shared" si="71"/>
        <v>79.2</v>
      </c>
      <c r="Z496" s="36">
        <f>IFERROR(IF(Y496=0,"",ROUNDUP(Y496/H496,0)*0.01196),"")</f>
        <v>0.1794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84.236742424242422</v>
      </c>
      <c r="BN496" s="64">
        <f t="shared" si="73"/>
        <v>84.45</v>
      </c>
      <c r="BO496" s="64">
        <f t="shared" si="74"/>
        <v>0.14386655011655011</v>
      </c>
      <c r="BP496" s="64">
        <f t="shared" si="75"/>
        <v>0.14423076923076925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42</v>
      </c>
      <c r="Y498" s="618">
        <f t="shared" si="71"/>
        <v>43.199999999999996</v>
      </c>
      <c r="Z498" s="36">
        <f>IFERROR(IF(Y498=0,"",ROUNDUP(Y498/H498,0)*0.00902),"")</f>
        <v>8.1180000000000002E-2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60.462500000000006</v>
      </c>
      <c r="BN498" s="64">
        <f t="shared" si="73"/>
        <v>62.190000000000005</v>
      </c>
      <c r="BO498" s="64">
        <f t="shared" si="74"/>
        <v>6.6287878787878785E-2</v>
      </c>
      <c r="BP498" s="64">
        <f t="shared" si="75"/>
        <v>6.8181818181818177E-2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23</v>
      </c>
      <c r="Y499" s="618">
        <f t="shared" si="71"/>
        <v>24</v>
      </c>
      <c r="Z499" s="36">
        <f>IFERROR(IF(Y499=0,"",ROUNDUP(Y499/H499,0)*0.00902),"")</f>
        <v>4.5100000000000001E-2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33.110416666666673</v>
      </c>
      <c r="BN499" s="64">
        <f t="shared" si="73"/>
        <v>34.550000000000004</v>
      </c>
      <c r="BO499" s="64">
        <f t="shared" si="74"/>
        <v>3.6300505050505055E-2</v>
      </c>
      <c r="BP499" s="64">
        <f t="shared" si="75"/>
        <v>3.787878787878788E-2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236.83712121212119</v>
      </c>
      <c r="Y500" s="619">
        <f>IFERROR(Y492/H492,"0")+IFERROR(Y493/H493,"0")+IFERROR(Y494/H494,"0")+IFERROR(Y495/H495,"0")+IFERROR(Y496/H496,"0")+IFERROR(Y497/H497,"0")+IFERROR(Y498/H498,"0")+IFERROR(Y499/H499,"0")</f>
        <v>238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2.8053199999999996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1244</v>
      </c>
      <c r="Y501" s="619">
        <f>IFERROR(SUM(Y492:Y499),"0")</f>
        <v>1249.92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1000</v>
      </c>
      <c r="Y503" s="618">
        <f>IFERROR(IF(X503="",0,CEILING((X503/$H503),1)*$H503),"")</f>
        <v>1003.2</v>
      </c>
      <c r="Z503" s="36">
        <f>IFERROR(IF(Y503=0,"",ROUNDUP(Y503/H503,0)*0.01196),"")</f>
        <v>2.2724000000000002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1066.2878787878788</v>
      </c>
      <c r="BN503" s="64">
        <f>IFERROR(Y503*I503/H503,"0")</f>
        <v>1069.7</v>
      </c>
      <c r="BO503" s="64">
        <f>IFERROR(1/J503*(X503/H503),"0")</f>
        <v>1.821095571095571</v>
      </c>
      <c r="BP503" s="64">
        <f>IFERROR(1/J503*(Y503/H503),"0")</f>
        <v>1.8269230769230771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242</v>
      </c>
      <c r="Y505" s="618">
        <f>IFERROR(IF(X505="",0,CEILING((X505/$H505),1)*$H505),"")</f>
        <v>244.79999999999998</v>
      </c>
      <c r="Z505" s="36">
        <f>IFERROR(IF(Y505=0,"",ROUNDUP(Y505/H505,0)*0.00902),"")</f>
        <v>0.46001999999999998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348.37916666666666</v>
      </c>
      <c r="BN505" s="64">
        <f>IFERROR(Y505*I505/H505,"0")</f>
        <v>352.41</v>
      </c>
      <c r="BO505" s="64">
        <f>IFERROR(1/J505*(X505/H505),"0")</f>
        <v>0.38194444444444448</v>
      </c>
      <c r="BP505" s="64">
        <f>IFERROR(1/J505*(Y505/H505),"0")</f>
        <v>0.38636363636363635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239.81060606060606</v>
      </c>
      <c r="Y506" s="619">
        <f>IFERROR(Y503/H503,"0")+IFERROR(Y504/H504,"0")+IFERROR(Y505/H505,"0")</f>
        <v>241</v>
      </c>
      <c r="Z506" s="619">
        <f>IFERROR(IF(Z503="",0,Z503),"0")+IFERROR(IF(Z504="",0,Z504),"0")+IFERROR(IF(Z505="",0,Z505),"0")</f>
        <v>2.7324200000000003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1242</v>
      </c>
      <c r="Y507" s="619">
        <f>IFERROR(SUM(Y503:Y505),"0")</f>
        <v>1248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348</v>
      </c>
      <c r="Y509" s="618">
        <f t="shared" ref="Y509:Y515" si="76">IFERROR(IF(X509="",0,CEILING((X509/$H509),1)*$H509),"")</f>
        <v>348.48</v>
      </c>
      <c r="Z509" s="36">
        <f>IFERROR(IF(Y509=0,"",ROUNDUP(Y509/H509,0)*0.01196),"")</f>
        <v>0.78936000000000006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371.06818181818181</v>
      </c>
      <c r="BN509" s="64">
        <f t="shared" ref="BN509:BN515" si="78">IFERROR(Y509*I509/H509,"0")</f>
        <v>371.58</v>
      </c>
      <c r="BO509" s="64">
        <f t="shared" ref="BO509:BO515" si="79">IFERROR(1/J509*(X509/H509),"0")</f>
        <v>0.63374125874125875</v>
      </c>
      <c r="BP509" s="64">
        <f t="shared" ref="BP509:BP515" si="80">IFERROR(1/J509*(Y509/H509),"0")</f>
        <v>0.63461538461538469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hidden="1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0</v>
      </c>
      <c r="Y511" s="618">
        <f t="shared" si="76"/>
        <v>0</v>
      </c>
      <c r="Z511" s="36" t="str">
        <f>IFERROR(IF(Y511=0,"",ROUNDUP(Y511/H511,0)*0.01196),"")</f>
        <v/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0</v>
      </c>
      <c r="BN511" s="64">
        <f t="shared" si="78"/>
        <v>0</v>
      </c>
      <c r="BO511" s="64">
        <f t="shared" si="79"/>
        <v>0</v>
      </c>
      <c r="BP511" s="64">
        <f t="shared" si="80"/>
        <v>0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65.909090909090907</v>
      </c>
      <c r="Y516" s="619">
        <f>IFERROR(Y509/H509,"0")+IFERROR(Y510/H510,"0")+IFERROR(Y511/H511,"0")+IFERROR(Y512/H512,"0")+IFERROR(Y513/H513,"0")+IFERROR(Y514/H514,"0")+IFERROR(Y515/H515,"0")</f>
        <v>66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0.78936000000000006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348</v>
      </c>
      <c r="Y517" s="619">
        <f>IFERROR(SUM(Y509:Y515),"0")</f>
        <v>348.48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11099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11208.2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11808.495231356275</v>
      </c>
      <c r="Y547" s="619">
        <f>IFERROR(SUM(BN22:BN543),"0")</f>
        <v>11926.048000000001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20</v>
      </c>
      <c r="Y548" s="38">
        <f>ROUNDUP(SUM(BP22:BP543),0)</f>
        <v>20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12308.495231356275</v>
      </c>
      <c r="Y549" s="619">
        <f>GrossWeightTotalR+PalletQtyTotalR*25</f>
        <v>12426.048000000001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2053.6769976412647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2075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23.906339999999997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3.6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688.40000000000009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1044.0000000000002</v>
      </c>
      <c r="F556" s="46">
        <f>IFERROR(Y84*1,"0")+IFERROR(Y85*1,"0")+IFERROR(Y86*1,"0")+IFERROR(Y87*1,"0")+IFERROR(Y88*1,"0")+IFERROR(Y89*1,"0")+IFERROR(Y93*1,"0")+IFERROR(Y94*1,"0")+IFERROR(Y95*1,"0")+IFERROR(Y96*1,"0")</f>
        <v>1233.02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308.40000000000003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1378.8600000000001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115.74000000000001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1671.8999999999999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7.2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261.60000000000002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405.6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238.48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1005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2846.4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27,00"/>
        <filter val="1 100,00"/>
        <filter val="1 157,00"/>
        <filter val="1 242,00"/>
        <filter val="1 244,00"/>
        <filter val="1 372,00"/>
        <filter val="1,11"/>
        <filter val="1,32"/>
        <filter val="1,67"/>
        <filter val="10,00"/>
        <filter val="100,93"/>
        <filter val="102,00"/>
        <filter val="102,59"/>
        <filter val="107,00"/>
        <filter val="107,92"/>
        <filter val="108,00"/>
        <filter val="11 099,00"/>
        <filter val="11 808,50"/>
        <filter val="12 308,50"/>
        <filter val="12,50"/>
        <filter val="120,00"/>
        <filter val="127,00"/>
        <filter val="15,00"/>
        <filter val="150,00"/>
        <filter val="152,00"/>
        <filter val="156,00"/>
        <filter val="16,00"/>
        <filter val="168,00"/>
        <filter val="182,00"/>
        <filter val="183,30"/>
        <filter val="19,33"/>
        <filter val="2 053,68"/>
        <filter val="2,00"/>
        <filter val="2,96"/>
        <filter val="20"/>
        <filter val="200,00"/>
        <filter val="220,00"/>
        <filter val="23,00"/>
        <filter val="236,84"/>
        <filter val="239,81"/>
        <filter val="24,00"/>
        <filter val="242,00"/>
        <filter val="25,00"/>
        <filter val="25,64"/>
        <filter val="256,00"/>
        <filter val="259,00"/>
        <filter val="277,00"/>
        <filter val="28,00"/>
        <filter val="29,00"/>
        <filter val="290,00"/>
        <filter val="3,00"/>
        <filter val="3,89"/>
        <filter val="3,97"/>
        <filter val="348,00"/>
        <filter val="350,00"/>
        <filter val="390,00"/>
        <filter val="4,00"/>
        <filter val="40,00"/>
        <filter val="400,00"/>
        <filter val="42,00"/>
        <filter val="42,11"/>
        <filter val="43,21"/>
        <filter val="45,00"/>
        <filter val="46,67"/>
        <filter val="498,00"/>
        <filter val="5,00"/>
        <filter val="50,00"/>
        <filter val="50,63"/>
        <filter val="548,62"/>
        <filter val="600,00"/>
        <filter val="65,91"/>
        <filter val="650,00"/>
        <filter val="679,00"/>
        <filter val="68,02"/>
        <filter val="7,00"/>
        <filter val="70,00"/>
        <filter val="700,00"/>
        <filter val="79,00"/>
        <filter val="8,00"/>
        <filter val="8,33"/>
        <filter val="819,00"/>
        <filter val="841,00"/>
        <filter val="85,56"/>
        <filter val="871,00"/>
        <filter val="9,00"/>
        <filter val="98,00"/>
        <filter val="982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