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6F67DF4-9A45-4308-8AB5-1D8F1C8562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Z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Y397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Z200" i="2"/>
  <c r="Y200" i="2"/>
  <c r="BN200" i="2" s="1"/>
  <c r="P200" i="2"/>
  <c r="BO199" i="2"/>
  <c r="BM199" i="2"/>
  <c r="Y199" i="2"/>
  <c r="P199" i="2"/>
  <c r="X195" i="2"/>
  <c r="Y194" i="2"/>
  <c r="X194" i="2"/>
  <c r="BO193" i="2"/>
  <c r="BM193" i="2"/>
  <c r="Y193" i="2"/>
  <c r="BN193" i="2" s="1"/>
  <c r="P193" i="2"/>
  <c r="X191" i="2"/>
  <c r="Y190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Y134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58" i="2" l="1"/>
  <c r="BN102" i="2"/>
  <c r="BN177" i="2"/>
  <c r="BN238" i="2"/>
  <c r="BN249" i="2"/>
  <c r="BN274" i="2"/>
  <c r="BN315" i="2"/>
  <c r="BN346" i="2"/>
  <c r="BN359" i="2"/>
  <c r="BN433" i="2"/>
  <c r="BN460" i="2"/>
  <c r="BN65" i="2"/>
  <c r="BN179" i="2"/>
  <c r="Z184" i="2"/>
  <c r="BN184" i="2"/>
  <c r="BN189" i="2"/>
  <c r="BP200" i="2"/>
  <c r="BN201" i="2"/>
  <c r="BN244" i="2"/>
  <c r="BN292" i="2"/>
  <c r="BN354" i="2"/>
  <c r="BN374" i="2"/>
  <c r="Z393" i="2"/>
  <c r="BN467" i="2"/>
  <c r="BP480" i="2"/>
  <c r="BN485" i="2"/>
  <c r="Y535" i="2"/>
  <c r="BP266" i="2"/>
  <c r="BN122" i="2"/>
  <c r="BN499" i="2"/>
  <c r="Y516" i="2"/>
  <c r="BN55" i="2"/>
  <c r="BN89" i="2"/>
  <c r="BN272" i="2"/>
  <c r="BN458" i="2"/>
  <c r="Z95" i="2"/>
  <c r="Y540" i="2"/>
  <c r="Y539" i="2"/>
  <c r="BP537" i="2"/>
  <c r="Z537" i="2"/>
  <c r="Z533" i="2"/>
  <c r="Z534" i="2" s="1"/>
  <c r="BP525" i="2"/>
  <c r="Z525" i="2"/>
  <c r="Z526" i="2" s="1"/>
  <c r="Z521" i="2"/>
  <c r="Z522" i="2" s="1"/>
  <c r="Y523" i="2"/>
  <c r="BN512" i="2"/>
  <c r="BN509" i="2"/>
  <c r="Z497" i="2"/>
  <c r="BN492" i="2"/>
  <c r="Z485" i="2"/>
  <c r="Y482" i="2"/>
  <c r="Y476" i="2"/>
  <c r="BN475" i="2"/>
  <c r="BN450" i="2"/>
  <c r="BN439" i="2"/>
  <c r="Z437" i="2"/>
  <c r="Y440" i="2"/>
  <c r="BP431" i="2"/>
  <c r="Z431" i="2"/>
  <c r="BN427" i="2"/>
  <c r="BN425" i="2"/>
  <c r="BN423" i="2"/>
  <c r="Y416" i="2"/>
  <c r="BP407" i="2"/>
  <c r="Z407" i="2"/>
  <c r="Y409" i="2"/>
  <c r="BN401" i="2"/>
  <c r="Y402" i="2"/>
  <c r="BN395" i="2"/>
  <c r="BP393" i="2"/>
  <c r="BN387" i="2"/>
  <c r="BN381" i="2"/>
  <c r="BN367" i="2"/>
  <c r="BP366" i="2"/>
  <c r="BN364" i="2"/>
  <c r="Z359" i="2"/>
  <c r="BN357" i="2"/>
  <c r="BP356" i="2"/>
  <c r="BN348" i="2"/>
  <c r="BN341" i="2"/>
  <c r="Z339" i="2"/>
  <c r="BP339" i="2"/>
  <c r="BN333" i="2"/>
  <c r="Z327" i="2"/>
  <c r="BP327" i="2"/>
  <c r="BN318" i="2"/>
  <c r="BN316" i="2"/>
  <c r="BN301" i="2"/>
  <c r="BN293" i="2"/>
  <c r="Z292" i="2"/>
  <c r="BP286" i="2"/>
  <c r="BP281" i="2"/>
  <c r="Z281" i="2"/>
  <c r="Z280" i="2"/>
  <c r="BN277" i="2"/>
  <c r="BP276" i="2"/>
  <c r="BN271" i="2"/>
  <c r="Z271" i="2"/>
  <c r="BP264" i="2"/>
  <c r="Z264" i="2"/>
  <c r="BN261" i="2"/>
  <c r="Y245" i="2"/>
  <c r="BN233" i="2"/>
  <c r="BN226" i="2"/>
  <c r="BN223" i="2"/>
  <c r="BP222" i="2"/>
  <c r="BP221" i="2"/>
  <c r="Z221" i="2"/>
  <c r="BN219" i="2"/>
  <c r="Z219" i="2"/>
  <c r="BN217" i="2"/>
  <c r="BN202" i="2"/>
  <c r="Z174" i="2"/>
  <c r="Y164" i="2"/>
  <c r="BN159" i="2"/>
  <c r="BP150" i="2"/>
  <c r="Z150" i="2"/>
  <c r="Y152" i="2"/>
  <c r="BN142" i="2"/>
  <c r="BP126" i="2"/>
  <c r="Z126" i="2"/>
  <c r="Z127" i="2" s="1"/>
  <c r="BP115" i="2"/>
  <c r="BN111" i="2"/>
  <c r="BP95" i="2"/>
  <c r="Z89" i="2"/>
  <c r="BN87" i="2"/>
  <c r="BN85" i="2"/>
  <c r="BP78" i="2"/>
  <c r="Z78" i="2"/>
  <c r="Z73" i="2"/>
  <c r="BP73" i="2"/>
  <c r="Z72" i="2"/>
  <c r="Z74" i="2" s="1"/>
  <c r="Y74" i="2"/>
  <c r="BP72" i="2"/>
  <c r="Y75" i="2"/>
  <c r="BN68" i="2"/>
  <c r="Z65" i="2"/>
  <c r="Y50" i="2"/>
  <c r="BN46" i="2"/>
  <c r="BN39" i="2"/>
  <c r="BP29" i="2"/>
  <c r="Z29" i="2"/>
  <c r="BP27" i="2"/>
  <c r="Z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Z396" i="2" s="1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56" i="2" s="1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434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Z321" i="2" s="1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251" i="2" l="1"/>
  <c r="Z328" i="2"/>
  <c r="Z186" i="2"/>
  <c r="Z241" i="2"/>
  <c r="Z108" i="2"/>
  <c r="Z440" i="2"/>
  <c r="Z402" i="2"/>
  <c r="Z383" i="2"/>
  <c r="Z267" i="2"/>
  <c r="Z151" i="2"/>
  <c r="Z123" i="2"/>
  <c r="X549" i="2"/>
  <c r="Z50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<sst xmlns="http://schemas.openxmlformats.org/spreadsheetml/2006/main" count="4118" uniqueCount="871">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</sst>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46308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Вторник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4.1666666666666664E-2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150</v>
      </c>
      <c r="Y46" s="55">
        <f>IFERROR(IF(X46="",0,CEILING((X46/$H46),1)*$H46),"")</f>
        <v>151.20000000000002</v>
      </c>
      <c r="Z46" s="41">
        <f>IFERROR(IF(Y46=0,"",ROUNDUP(Y46/H46,0)*0.01898),"")</f>
        <v>0.26572000000000001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155.69444444444446</v>
      </c>
      <c r="BN46" s="78">
        <f>IFERROR(Y46*I46/H46,"0")</f>
        <v>156.94</v>
      </c>
      <c r="BO46" s="78">
        <f>IFERROR(1/J46*(X46/H46),"0")</f>
        <v>0.21701388888888887</v>
      </c>
      <c r="BP46" s="78">
        <f>IFERROR(1/J46*(Y46/H46),"0")</f>
        <v>0.21875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240</v>
      </c>
      <c r="Y48" s="55">
        <f>IFERROR(IF(X48="",0,CEILING((X48/$H48),1)*$H48),"")</f>
        <v>240</v>
      </c>
      <c r="Z48" s="41">
        <f>IFERROR(IF(Y48=0,"",ROUNDUP(Y48/H48,0)*0.00902),"")</f>
        <v>0.54120000000000001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251.40000000000003</v>
      </c>
      <c r="BN48" s="78">
        <f>IFERROR(Y48*I48/H48,"0")</f>
        <v>251.40000000000003</v>
      </c>
      <c r="BO48" s="78">
        <f>IFERROR(1/J48*(X48/H48),"0")</f>
        <v>0.45454545454545459</v>
      </c>
      <c r="BP48" s="78">
        <f>IFERROR(1/J48*(Y48/H48),"0")</f>
        <v>0.45454545454545459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73.888888888888886</v>
      </c>
      <c r="Y50" s="43">
        <f>IFERROR(Y46/H46,"0")+IFERROR(Y47/H47,"0")+IFERROR(Y48/H48,"0")+IFERROR(Y49/H49,"0")</f>
        <v>74</v>
      </c>
      <c r="Z50" s="43">
        <f>IFERROR(IF(Z46="",0,Z46),"0")+IFERROR(IF(Z47="",0,Z47),"0")+IFERROR(IF(Z48="",0,Z48),"0")+IFERROR(IF(Z49="",0,Z49),"0")</f>
        <v>0.80692000000000008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390</v>
      </c>
      <c r="Y51" s="43">
        <f>IFERROR(SUM(Y46:Y49),"0")</f>
        <v>391.20000000000005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130</v>
      </c>
      <c r="Y55" s="55">
        <f t="shared" si="0"/>
        <v>140.4</v>
      </c>
      <c r="Z55" s="41">
        <f>IFERROR(IF(Y55=0,"",ROUNDUP(Y55/H55,0)*0.01898),"")</f>
        <v>0.24674000000000001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134.93518518518519</v>
      </c>
      <c r="BN55" s="78">
        <f t="shared" si="2"/>
        <v>145.73000000000002</v>
      </c>
      <c r="BO55" s="78">
        <f t="shared" si="3"/>
        <v>0.18807870370370369</v>
      </c>
      <c r="BP55" s="78">
        <f t="shared" si="4"/>
        <v>0.203125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135</v>
      </c>
      <c r="Y61" s="55">
        <f t="shared" si="0"/>
        <v>135</v>
      </c>
      <c r="Z61" s="41">
        <f>IFERROR(IF(Y61=0,"",ROUNDUP(Y61/H61,0)*0.00902),"")</f>
        <v>0.27060000000000001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140.70000000000002</v>
      </c>
      <c r="BN61" s="78">
        <f t="shared" si="2"/>
        <v>140.70000000000002</v>
      </c>
      <c r="BO61" s="78">
        <f t="shared" si="3"/>
        <v>0.22727272727272729</v>
      </c>
      <c r="BP61" s="78">
        <f t="shared" si="4"/>
        <v>0.22727272727272729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42.037037037037038</v>
      </c>
      <c r="Y62" s="43">
        <f>IFERROR(Y54/H54,"0")+IFERROR(Y55/H55,"0")+IFERROR(Y56/H56,"0")+IFERROR(Y57/H57,"0")+IFERROR(Y58/H58,"0")+IFERROR(Y59/H59,"0")+IFERROR(Y60/H60,"0")+IFERROR(Y61/H61,"0")</f>
        <v>43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0.51734000000000002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265</v>
      </c>
      <c r="Y63" s="43">
        <f>IFERROR(SUM(Y54:Y61),"0")</f>
        <v>275.39999999999998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33.333333333333329</v>
      </c>
      <c r="Y69" s="43">
        <f>IFERROR(Y65/H65,"0")+IFERROR(Y66/H66,"0")+IFERROR(Y67/H67,"0")+IFERROR(Y68/H68,"0")</f>
        <v>34</v>
      </c>
      <c r="Z69" s="43">
        <f>IFERROR(IF(Z65="",0,Z65),"0")+IFERROR(IF(Z66="",0,Z66),"0")+IFERROR(IF(Z67="",0,Z67),"0")+IFERROR(IF(Z68="",0,Z68),"0")</f>
        <v>0.22134000000000001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90</v>
      </c>
      <c r="Y70" s="43">
        <f>IFERROR(SUM(Y65:Y68),"0")</f>
        <v>91.800000000000011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10</v>
      </c>
      <c r="Y77" s="55">
        <f>IFERROR(IF(X77="",0,CEILING((X77/$H77),1)*$H77),"")</f>
        <v>15.6</v>
      </c>
      <c r="Z77" s="41">
        <f>IFERROR(IF(Y77=0,"",ROUNDUP(Y77/H77,0)*0.01898),"")</f>
        <v>3.7960000000000001E-2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10.525641025641027</v>
      </c>
      <c r="BN77" s="78">
        <f>IFERROR(Y77*I77/H77,"0")</f>
        <v>16.420000000000002</v>
      </c>
      <c r="BO77" s="78">
        <f>IFERROR(1/J77*(X77/H77),"0")</f>
        <v>2.0032051282051284E-2</v>
      </c>
      <c r="BP77" s="78">
        <f>IFERROR(1/J77*(Y77/H77),"0")</f>
        <v>3.125E-2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1.2820512820512822</v>
      </c>
      <c r="Y80" s="43">
        <f>IFERROR(Y77/H77,"0")+IFERROR(Y78/H78,"0")+IFERROR(Y79/H79,"0")</f>
        <v>2</v>
      </c>
      <c r="Z80" s="43">
        <f>IFERROR(IF(Z77="",0,Z77),"0")+IFERROR(IF(Z78="",0,Z78),"0")+IFERROR(IF(Z79="",0,Z79),"0")</f>
        <v>3.7960000000000001E-2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10</v>
      </c>
      <c r="Y81" s="43">
        <f>IFERROR(SUM(Y77:Y79),"0")</f>
        <v>15.6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150</v>
      </c>
      <c r="Y84" s="55">
        <f t="shared" ref="Y84:Y89" si="5">IFERROR(IF(X84="",0,CEILING((X84/$H84),1)*$H84),"")</f>
        <v>151.20000000000002</v>
      </c>
      <c r="Z84" s="41">
        <f>IFERROR(IF(Y84=0,"",ROUNDUP(Y84/H84,0)*0.01898),"")</f>
        <v>0.26572000000000001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155.69444444444446</v>
      </c>
      <c r="BN84" s="78">
        <f t="shared" ref="BN84:BN89" si="7">IFERROR(Y84*I84/H84,"0")</f>
        <v>156.94</v>
      </c>
      <c r="BO84" s="78">
        <f t="shared" ref="BO84:BO89" si="8">IFERROR(1/J84*(X84/H84),"0")</f>
        <v>0.21701388888888887</v>
      </c>
      <c r="BP84" s="78">
        <f t="shared" ref="BP84:BP89" si="9">IFERROR(1/J84*(Y84/H84),"0")</f>
        <v>0.21875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135</v>
      </c>
      <c r="Y89" s="55">
        <f t="shared" si="5"/>
        <v>135</v>
      </c>
      <c r="Z89" s="41">
        <f>IFERROR(IF(Y89=0,"",ROUNDUP(Y89/H89,0)*0.00902),"")</f>
        <v>0.27060000000000001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140.70000000000002</v>
      </c>
      <c r="BN89" s="78">
        <f t="shared" si="7"/>
        <v>140.70000000000002</v>
      </c>
      <c r="BO89" s="78">
        <f t="shared" si="8"/>
        <v>0.22727272727272729</v>
      </c>
      <c r="BP89" s="78">
        <f t="shared" si="9"/>
        <v>0.22727272727272729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43.888888888888886</v>
      </c>
      <c r="Y90" s="43">
        <f>IFERROR(Y84/H84,"0")+IFERROR(Y85/H85,"0")+IFERROR(Y86/H86,"0")+IFERROR(Y87/H87,"0")+IFERROR(Y88/H88,"0")+IFERROR(Y89/H89,"0")</f>
        <v>44</v>
      </c>
      <c r="Z90" s="43">
        <f>IFERROR(IF(Z84="",0,Z84),"0")+IFERROR(IF(Z85="",0,Z85),"0")+IFERROR(IF(Z86="",0,Z86),"0")+IFERROR(IF(Z87="",0,Z87),"0")+IFERROR(IF(Z88="",0,Z88),"0")+IFERROR(IF(Z89="",0,Z89),"0")</f>
        <v>0.53632000000000002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285</v>
      </c>
      <c r="Y91" s="43">
        <f>IFERROR(SUM(Y84:Y89),"0")</f>
        <v>286.20000000000005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300</v>
      </c>
      <c r="Y93" s="55">
        <f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318.2962962962963</v>
      </c>
      <c r="BN93" s="78">
        <f>IFERROR(Y93*I93/H93,"0")</f>
        <v>326.572</v>
      </c>
      <c r="BO93" s="78">
        <f>IFERROR(1/J93*(X93/H93),"0")</f>
        <v>0.57870370370370372</v>
      </c>
      <c r="BP93" s="78">
        <f>IFERROR(1/J93*(Y93/H93),"0")</f>
        <v>0.59375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495</v>
      </c>
      <c r="Y95" s="55">
        <f>IFERROR(IF(X95="",0,CEILING((X95/$H95),1)*$H95),"")</f>
        <v>496.8</v>
      </c>
      <c r="Z95" s="41">
        <f>IFERROR(IF(Y95=0,"",ROUNDUP(Y95/H95,0)*0.00651),"")</f>
        <v>1.19784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541.19999999999993</v>
      </c>
      <c r="BN95" s="78">
        <f>IFERROR(Y95*I95/H95,"0")</f>
        <v>543.16800000000001</v>
      </c>
      <c r="BO95" s="78">
        <f>IFERROR(1/J95*(X95/H95),"0")</f>
        <v>1.0073260073260073</v>
      </c>
      <c r="BP95" s="78">
        <f>IFERROR(1/J95*(Y95/H95),"0")</f>
        <v>1.0109890109890112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220.37037037037035</v>
      </c>
      <c r="Y97" s="43">
        <f>IFERROR(Y93/H93,"0")+IFERROR(Y94/H94,"0")+IFERROR(Y95/H95,"0")+IFERROR(Y96/H96,"0")</f>
        <v>222</v>
      </c>
      <c r="Z97" s="43">
        <f>IFERROR(IF(Z93="",0,Z93),"0")+IFERROR(IF(Z94="",0,Z94),"0")+IFERROR(IF(Z95="",0,Z95),"0")+IFERROR(IF(Z96="",0,Z96),"0")</f>
        <v>1.9190800000000001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795</v>
      </c>
      <c r="Y98" s="43">
        <f>IFERROR(SUM(Y93:Y96),"0")</f>
        <v>804.6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30</v>
      </c>
      <c r="Y101" s="55">
        <f t="shared" ref="Y101:Y107" si="10">IFERROR(IF(X101="",0,CEILING((X101/$H101),1)*$H101),"")</f>
        <v>32.400000000000006</v>
      </c>
      <c r="Z101" s="41">
        <f>IFERROR(IF(Y101=0,"",ROUNDUP(Y101/H101,0)*0.01898),"")</f>
        <v>5.6940000000000004E-2</v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31.138888888888889</v>
      </c>
      <c r="BN101" s="78">
        <f t="shared" ref="BN101:BN107" si="12">IFERROR(Y101*I101/H101,"0")</f>
        <v>33.630000000000003</v>
      </c>
      <c r="BO101" s="78">
        <f t="shared" ref="BO101:BO107" si="13">IFERROR(1/J101*(X101/H101),"0")</f>
        <v>4.3402777777777776E-2</v>
      </c>
      <c r="BP101" s="78">
        <f t="shared" ref="BP101:BP107" si="14">IFERROR(1/J101*(Y101/H101),"0")</f>
        <v>4.6875000000000007E-2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450</v>
      </c>
      <c r="Y105" s="55">
        <f t="shared" si="10"/>
        <v>450</v>
      </c>
      <c r="Z105" s="41">
        <f>IFERROR(IF(Y105=0,"",ROUNDUP(Y105/H105,0)*0.00902),"")</f>
        <v>0.90200000000000002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469</v>
      </c>
      <c r="BN105" s="78">
        <f t="shared" si="12"/>
        <v>469</v>
      </c>
      <c r="BO105" s="78">
        <f t="shared" si="13"/>
        <v>0.75757575757575757</v>
      </c>
      <c r="BP105" s="78">
        <f t="shared" si="14"/>
        <v>0.75757575757575757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102.77777777777777</v>
      </c>
      <c r="Y108" s="43">
        <f>IFERROR(Y101/H101,"0")+IFERROR(Y102/H102,"0")+IFERROR(Y103/H103,"0")+IFERROR(Y104/H104,"0")+IFERROR(Y105/H105,"0")+IFERROR(Y106/H106,"0")+IFERROR(Y107/H107,"0")</f>
        <v>103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0.95894000000000001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480</v>
      </c>
      <c r="Y109" s="43">
        <f>IFERROR(SUM(Y101:Y107),"0")</f>
        <v>482.4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700</v>
      </c>
      <c r="Y119" s="55">
        <f>IFERROR(IF(X119="",0,CEILING((X119/$H119),1)*$H119),"")</f>
        <v>704.69999999999993</v>
      </c>
      <c r="Z119" s="41">
        <f>IFERROR(IF(Y119=0,"",ROUNDUP(Y119/H119,0)*0.01898),"")</f>
        <v>1.65126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742.17283950617275</v>
      </c>
      <c r="BN119" s="78">
        <f>IFERROR(Y119*I119/H119,"0")</f>
        <v>747.15599999999995</v>
      </c>
      <c r="BO119" s="78">
        <f>IFERROR(1/J119*(X119/H119),"0")</f>
        <v>1.3503086419753088</v>
      </c>
      <c r="BP119" s="78">
        <f>IFERROR(1/J119*(Y119/H119),"0")</f>
        <v>1.359375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675</v>
      </c>
      <c r="Y121" s="55">
        <f>IFERROR(IF(X121="",0,CEILING((X121/$H121),1)*$H121),"")</f>
        <v>675</v>
      </c>
      <c r="Z121" s="41">
        <f>IFERROR(IF(Y121=0,"",ROUNDUP(Y121/H121,0)*0.00651),"")</f>
        <v>1.6274999999999999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737.99999999999989</v>
      </c>
      <c r="BN121" s="78">
        <f>IFERROR(Y121*I121/H121,"0")</f>
        <v>737.99999999999989</v>
      </c>
      <c r="BO121" s="78">
        <f>IFERROR(1/J121*(X121/H121),"0")</f>
        <v>1.3736263736263736</v>
      </c>
      <c r="BP121" s="78">
        <f>IFERROR(1/J121*(Y121/H121),"0")</f>
        <v>1.3736263736263736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30</v>
      </c>
      <c r="Y122" s="55">
        <f>IFERROR(IF(X122="",0,CEILING((X122/$H122),1)*$H122),"")</f>
        <v>30.6</v>
      </c>
      <c r="Z122" s="41">
        <f>IFERROR(IF(Y122=0,"",ROUNDUP(Y122/H122,0)*0.00651),"")</f>
        <v>0.11067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33</v>
      </c>
      <c r="BN122" s="78">
        <f>IFERROR(Y122*I122/H122,"0")</f>
        <v>33.659999999999997</v>
      </c>
      <c r="BO122" s="78">
        <f>IFERROR(1/J122*(X122/H122),"0")</f>
        <v>9.1575091575091583E-2</v>
      </c>
      <c r="BP122" s="78">
        <f>IFERROR(1/J122*(Y122/H122),"0")</f>
        <v>9.3406593406593408E-2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353.08641975308643</v>
      </c>
      <c r="Y123" s="43">
        <f>IFERROR(Y119/H119,"0")+IFERROR(Y120/H120,"0")+IFERROR(Y121/H121,"0")+IFERROR(Y122/H122,"0")</f>
        <v>354</v>
      </c>
      <c r="Z123" s="43">
        <f>IFERROR(IF(Z119="",0,Z119),"0")+IFERROR(IF(Z120="",0,Z120),"0")+IFERROR(IF(Z121="",0,Z121),"0")+IFERROR(IF(Z122="",0,Z122),"0")</f>
        <v>3.3894299999999999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1405</v>
      </c>
      <c r="Y124" s="43">
        <f>IFERROR(SUM(Y119:Y122),"0")</f>
        <v>1410.2999999999997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59</v>
      </c>
      <c r="Y126" s="55">
        <f>IFERROR(IF(X126="",0,CEILING((X126/$H126),1)*$H126),"")</f>
        <v>59.4</v>
      </c>
      <c r="Z126" s="41">
        <f>IFERROR(IF(Y126=0,"",ROUNDUP(Y126/H126,0)*0.00651),"")</f>
        <v>0.1953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66.687878787878788</v>
      </c>
      <c r="BN126" s="78">
        <f>IFERROR(Y126*I126/H126,"0")</f>
        <v>67.14</v>
      </c>
      <c r="BO126" s="78">
        <f>IFERROR(1/J126*(X126/H126),"0")</f>
        <v>0.16372516372516374</v>
      </c>
      <c r="BP126" s="78">
        <f>IFERROR(1/J126*(Y126/H126),"0")</f>
        <v>0.16483516483516486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29.797979797979799</v>
      </c>
      <c r="Y127" s="43">
        <f>IFERROR(Y126/H126,"0")</f>
        <v>30</v>
      </c>
      <c r="Z127" s="43">
        <f>IFERROR(IF(Z126="",0,Z126),"0")</f>
        <v>0.1953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59</v>
      </c>
      <c r="Y128" s="43">
        <f>IFERROR(SUM(Y126:Y126),"0")</f>
        <v>59.4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40</v>
      </c>
      <c r="Y132" s="55">
        <f>IFERROR(IF(X132="",0,CEILING((X132/$H132),1)*$H132),"")</f>
        <v>41.6</v>
      </c>
      <c r="Z132" s="41">
        <f>IFERROR(IF(Y132=0,"",ROUNDUP(Y132/H132,0)*0.00651),"")</f>
        <v>8.4629999999999997E-2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42.249999999999993</v>
      </c>
      <c r="BN132" s="78">
        <f>IFERROR(Y132*I132/H132,"0")</f>
        <v>43.94</v>
      </c>
      <c r="BO132" s="78">
        <f>IFERROR(1/J132*(X132/H132),"0")</f>
        <v>6.8681318681318687E-2</v>
      </c>
      <c r="BP132" s="78">
        <f>IFERROR(1/J132*(Y132/H132),"0")</f>
        <v>7.1428571428571438E-2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12.5</v>
      </c>
      <c r="Y133" s="43">
        <f>IFERROR(Y131/H131,"0")+IFERROR(Y132/H132,"0")</f>
        <v>13</v>
      </c>
      <c r="Z133" s="43">
        <f>IFERROR(IF(Z131="",0,Z131),"0")+IFERROR(IF(Z132="",0,Z132),"0")</f>
        <v>8.4629999999999997E-2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40</v>
      </c>
      <c r="Y134" s="43">
        <f>IFERROR(SUM(Y131:Y132),"0")</f>
        <v>41.6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35</v>
      </c>
      <c r="Y136" s="55">
        <f>IFERROR(IF(X136="",0,CEILING((X136/$H136),1)*$H136),"")</f>
        <v>36.4</v>
      </c>
      <c r="Z136" s="41">
        <f>IFERROR(IF(Y136=0,"",ROUNDUP(Y136/H136,0)*0.00651),"")</f>
        <v>8.4629999999999997E-2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38.35</v>
      </c>
      <c r="BN136" s="78">
        <f>IFERROR(Y136*I136/H136,"0")</f>
        <v>39.884</v>
      </c>
      <c r="BO136" s="78">
        <f>IFERROR(1/J136*(X136/H136),"0")</f>
        <v>6.8681318681318687E-2</v>
      </c>
      <c r="BP136" s="78">
        <f>IFERROR(1/J136*(Y136/H136),"0")</f>
        <v>7.1428571428571438E-2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12.5</v>
      </c>
      <c r="Y138" s="43">
        <f>IFERROR(Y136/H136,"0")+IFERROR(Y137/H137,"0")</f>
        <v>13</v>
      </c>
      <c r="Z138" s="43">
        <f>IFERROR(IF(Z136="",0,Z136),"0")+IFERROR(IF(Z137="",0,Z137),"0")</f>
        <v>8.4629999999999997E-2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35</v>
      </c>
      <c r="Y139" s="43">
        <f>IFERROR(SUM(Y136:Y137),"0")</f>
        <v>36.4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33</v>
      </c>
      <c r="Y141" s="55">
        <f>IFERROR(IF(X141="",0,CEILING((X141/$H141),1)*$H141),"")</f>
        <v>34.32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36.349999999999994</v>
      </c>
      <c r="BN141" s="78">
        <f>IFERROR(Y141*I141/H141,"0")</f>
        <v>37.803999999999995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33</v>
      </c>
      <c r="Y144" s="43">
        <f>IFERROR(SUM(Y141:Y142),"0")</f>
        <v>34.32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200</v>
      </c>
      <c r="Y171" s="55">
        <f t="shared" ref="Y171:Y180" si="15">IFERROR(IF(X171="",0,CEILING((X171/$H171),1)*$H171),"")</f>
        <v>203</v>
      </c>
      <c r="Z171" s="41">
        <f>IFERROR(IF(Y171=0,"",ROUNDUP(Y171/H171,0)*0.00902),"")</f>
        <v>0.52316000000000007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210.85714285714286</v>
      </c>
      <c r="BN171" s="78">
        <f t="shared" ref="BN171:BN180" si="17">IFERROR(Y171*I171/H171,"0")</f>
        <v>214.01999999999998</v>
      </c>
      <c r="BO171" s="78">
        <f t="shared" ref="BO171:BO180" si="18">IFERROR(1/J171*(X171/H171),"0")</f>
        <v>0.43290043290043295</v>
      </c>
      <c r="BP171" s="78">
        <f t="shared" ref="BP171:BP180" si="19">IFERROR(1/J171*(Y171/H171),"0")</f>
        <v>0.43939393939393939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400</v>
      </c>
      <c r="Y173" s="55">
        <f t="shared" si="15"/>
        <v>402.5</v>
      </c>
      <c r="Z173" s="41">
        <f>IFERROR(IF(Y173=0,"",ROUNDUP(Y173/H173,0)*0.00902),"")</f>
        <v>1.0373000000000001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421.71428571428572</v>
      </c>
      <c r="BN173" s="78">
        <f t="shared" si="17"/>
        <v>424.34999999999997</v>
      </c>
      <c r="BO173" s="78">
        <f t="shared" si="18"/>
        <v>0.8658008658008659</v>
      </c>
      <c r="BP173" s="78">
        <f t="shared" si="19"/>
        <v>0.87121212121212122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100</v>
      </c>
      <c r="Y174" s="55">
        <f t="shared" si="15"/>
        <v>101.5</v>
      </c>
      <c r="Z174" s="41">
        <f>IFERROR(IF(Y174=0,"",ROUNDUP(Y174/H174,0)*0.00902),"")</f>
        <v>0.26158000000000003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105.42857142857143</v>
      </c>
      <c r="BN174" s="78">
        <f t="shared" si="17"/>
        <v>107.00999999999999</v>
      </c>
      <c r="BO174" s="78">
        <f t="shared" si="18"/>
        <v>0.21645021645021648</v>
      </c>
      <c r="BP174" s="78">
        <f t="shared" si="19"/>
        <v>0.2196969696969697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112</v>
      </c>
      <c r="Y176" s="55">
        <f t="shared" si="15"/>
        <v>112.56</v>
      </c>
      <c r="Z176" s="41">
        <f>IFERROR(IF(Y176=0,"",ROUNDUP(Y176/H176,0)*0.00502),"")</f>
        <v>0.33634000000000003</v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118.66666666666669</v>
      </c>
      <c r="BN176" s="78">
        <f t="shared" si="17"/>
        <v>119.26000000000002</v>
      </c>
      <c r="BO176" s="78">
        <f t="shared" si="18"/>
        <v>0.28490028490028496</v>
      </c>
      <c r="BP176" s="78">
        <f t="shared" si="19"/>
        <v>0.28632478632478636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140</v>
      </c>
      <c r="Y178" s="55">
        <f t="shared" si="15"/>
        <v>141.12</v>
      </c>
      <c r="Z178" s="41">
        <f>IFERROR(IF(Y178=0,"",ROUNDUP(Y178/H178,0)*0.00502),"")</f>
        <v>0.42168</v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148.33333333333334</v>
      </c>
      <c r="BN178" s="78">
        <f t="shared" si="17"/>
        <v>149.52000000000001</v>
      </c>
      <c r="BO178" s="78">
        <f t="shared" si="18"/>
        <v>0.35612535612535623</v>
      </c>
      <c r="BP178" s="78">
        <f t="shared" si="19"/>
        <v>0.35897435897435903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56</v>
      </c>
      <c r="Y180" s="55">
        <f t="shared" si="15"/>
        <v>57.12</v>
      </c>
      <c r="Z180" s="41">
        <f>IFERROR(IF(Y180=0,"",ROUNDUP(Y180/H180,0)*0.00502),"")</f>
        <v>0.17068</v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59.333333333333343</v>
      </c>
      <c r="BN180" s="78">
        <f t="shared" si="17"/>
        <v>60.519999999999996</v>
      </c>
      <c r="BO180" s="78">
        <f t="shared" si="18"/>
        <v>0.14245014245014248</v>
      </c>
      <c r="BP180" s="78">
        <f t="shared" si="19"/>
        <v>0.14529914529914531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383.33333333333331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387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2.75074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1008</v>
      </c>
      <c r="Y182" s="43">
        <f>IFERROR(SUM(Y171:Y180),"0")</f>
        <v>1017.8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50</v>
      </c>
      <c r="Y204" s="55">
        <f t="shared" si="20"/>
        <v>54</v>
      </c>
      <c r="Z204" s="41">
        <f t="shared" si="21"/>
        <v>9.4899999999999998E-2</v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51.898148148148145</v>
      </c>
      <c r="BN204" s="78">
        <f t="shared" si="23"/>
        <v>56.05</v>
      </c>
      <c r="BO204" s="78">
        <f t="shared" si="24"/>
        <v>7.2337962962962965E-2</v>
      </c>
      <c r="BP204" s="78">
        <f t="shared" si="25"/>
        <v>7.8125E-2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4.6296296296296298</v>
      </c>
      <c r="Y206" s="43">
        <f>IFERROR(Y199/H199,"0")+IFERROR(Y200/H200,"0")+IFERROR(Y201/H201,"0")+IFERROR(Y202/H202,"0")+IFERROR(Y203/H203,"0")+IFERROR(Y204/H204,"0")+IFERROR(Y205/H205,"0")</f>
        <v>5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9.4899999999999998E-2</v>
      </c>
      <c r="AA206" s="67"/>
      <c r="AB206" s="67"/>
      <c r="AC206" s="67"/>
    </row>
    <row r="207" spans="1:68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50</v>
      </c>
      <c r="Y207" s="43">
        <f>IFERROR(SUM(Y199:Y205),"0")</f>
        <v>54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50</v>
      </c>
      <c r="Y214" s="55">
        <f t="shared" ref="Y214:Y226" si="26">IFERROR(IF(X214="",0,CEILING((X214/$H214),1)*$H214),"")</f>
        <v>50.400000000000006</v>
      </c>
      <c r="Z214" s="41">
        <f>IFERROR(IF(Y214=0,"",ROUNDUP(Y214/H214,0)*0.00902),"")</f>
        <v>0.10824</v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52.976190476190474</v>
      </c>
      <c r="BN214" s="78">
        <f t="shared" ref="BN214:BN226" si="28">IFERROR(Y214*I214/H214,"0")</f>
        <v>53.400000000000006</v>
      </c>
      <c r="BO214" s="78">
        <f t="shared" ref="BO214:BO226" si="29">IFERROR(1/J214*(X214/H214),"0")</f>
        <v>9.0187590187590191E-2</v>
      </c>
      <c r="BP214" s="78">
        <f t="shared" ref="BP214:BP226" si="30">IFERROR(1/J214*(Y214/H214),"0")</f>
        <v>9.0909090909090912E-2</v>
      </c>
    </row>
    <row r="215" spans="1:68" ht="27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21.19047619047619</v>
      </c>
      <c r="BN215" s="78">
        <f t="shared" si="28"/>
        <v>22.25</v>
      </c>
      <c r="BO215" s="78">
        <f t="shared" si="29"/>
        <v>3.6075036075036072E-2</v>
      </c>
      <c r="BP215" s="78">
        <f t="shared" si="30"/>
        <v>3.787878787878788E-2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30</v>
      </c>
      <c r="Y216" s="55">
        <f t="shared" si="26"/>
        <v>33.6</v>
      </c>
      <c r="Z216" s="41">
        <f>IFERROR(IF(Y216=0,"",ROUNDUP(Y216/H216,0)*0.00902),"")</f>
        <v>7.2160000000000002E-2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31.357142857142854</v>
      </c>
      <c r="BN216" s="78">
        <f t="shared" si="28"/>
        <v>35.119999999999997</v>
      </c>
      <c r="BO216" s="78">
        <f t="shared" si="29"/>
        <v>5.4112554112554112E-2</v>
      </c>
      <c r="BP216" s="78">
        <f t="shared" si="30"/>
        <v>6.0606060606060608E-2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8</v>
      </c>
      <c r="Y217" s="55">
        <f t="shared" si="26"/>
        <v>8</v>
      </c>
      <c r="Z217" s="41">
        <f>IFERROR(IF(Y217=0,"",ROUNDUP(Y217/H217,0)*0.00556),"")</f>
        <v>5.5599999999999997E-2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9.3000000000000007</v>
      </c>
      <c r="BN217" s="78">
        <f t="shared" si="28"/>
        <v>9.3000000000000007</v>
      </c>
      <c r="BO217" s="78">
        <f t="shared" si="29"/>
        <v>3.968253968253968E-2</v>
      </c>
      <c r="BP217" s="78">
        <f t="shared" si="30"/>
        <v>3.968253968253968E-2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105</v>
      </c>
      <c r="Y220" s="55">
        <f t="shared" si="26"/>
        <v>105</v>
      </c>
      <c r="Z220" s="41">
        <f>IFERROR(IF(Y220=0,"",ROUNDUP(Y220/H220,0)*0.00502),"")</f>
        <v>0.251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111.5</v>
      </c>
      <c r="BN220" s="78">
        <f t="shared" si="28"/>
        <v>111.5</v>
      </c>
      <c r="BO220" s="78">
        <f t="shared" si="29"/>
        <v>0.21367521367521369</v>
      </c>
      <c r="BP220" s="78">
        <f t="shared" si="30"/>
        <v>0.21367521367521369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1.488095238095238E-2</v>
      </c>
      <c r="BP223" s="78">
        <f t="shared" si="30"/>
        <v>1.488095238095238E-2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172.14285714285714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174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0.97463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392</v>
      </c>
      <c r="Y228" s="43">
        <f>IFERROR(SUM(Y214:Y226),"0")</f>
        <v>398.4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36</v>
      </c>
      <c r="Y232" s="55">
        <f>IFERROR(IF(X232="",0,CEILING((X232/$H232),1)*$H232),"")</f>
        <v>36.72</v>
      </c>
      <c r="Z232" s="41">
        <f>IFERROR(IF(Y232=0,"",ROUNDUP(Y232/H232,0)*0.00902),"")</f>
        <v>0.15334</v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40.366666666666667</v>
      </c>
      <c r="BN232" s="78">
        <f>IFERROR(Y232*I232/H232,"0")</f>
        <v>41.173999999999999</v>
      </c>
      <c r="BO232" s="78">
        <f>IFERROR(1/J232*(X232/H232),"0")</f>
        <v>0.12626262626262624</v>
      </c>
      <c r="BP232" s="78">
        <f>IFERROR(1/J232*(Y232/H232),"0")</f>
        <v>0.12878787878787878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16.666666666666664</v>
      </c>
      <c r="Y235" s="43">
        <f>IFERROR(Y230/H230,"0")+IFERROR(Y231/H231,"0")+IFERROR(Y232/H232,"0")+IFERROR(Y233/H233,"0")+IFERROR(Y234/H234,"0")</f>
        <v>17</v>
      </c>
      <c r="Z235" s="43">
        <f>IFERROR(IF(Z230="",0,Z230),"0")+IFERROR(IF(Z231="",0,Z231),"0")+IFERROR(IF(Z232="",0,Z232),"0")+IFERROR(IF(Z233="",0,Z233),"0")+IFERROR(IF(Z234="",0,Z234),"0")</f>
        <v>0.15334</v>
      </c>
      <c r="AA235" s="67"/>
      <c r="AB235" s="67"/>
      <c r="AC235" s="67"/>
    </row>
    <row r="236" spans="1:68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36</v>
      </c>
      <c r="Y236" s="43">
        <f>IFERROR(SUM(Y230:Y234),"0")</f>
        <v>36.72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14</v>
      </c>
      <c r="Y239" s="55">
        <f>IFERROR(IF(X239="",0,CEILING((X239/$H239),1)*$H239),"")</f>
        <v>15.120000000000001</v>
      </c>
      <c r="Z239" s="41">
        <f>IFERROR(IF(Y239=0,"",ROUNDUP(Y239/H239,0)*0.0059),"")</f>
        <v>7.0800000000000002E-2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16.111111111111111</v>
      </c>
      <c r="BN239" s="78">
        <f>IFERROR(Y239*I239/H239,"0")</f>
        <v>17.399999999999999</v>
      </c>
      <c r="BO239" s="78">
        <f>IFERROR(1/J239*(X239/H239),"0")</f>
        <v>5.1440329218106991E-2</v>
      </c>
      <c r="BP239" s="78">
        <f>IFERROR(1/J239*(Y239/H239),"0")</f>
        <v>5.5555555555555552E-2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11.111111111111111</v>
      </c>
      <c r="Y241" s="43">
        <f>IFERROR(Y238/H238,"0")+IFERROR(Y239/H239,"0")+IFERROR(Y240/H240,"0")</f>
        <v>12</v>
      </c>
      <c r="Z241" s="43">
        <f>IFERROR(IF(Z238="",0,Z238),"0")+IFERROR(IF(Z239="",0,Z239),"0")+IFERROR(IF(Z240="",0,Z240),"0")</f>
        <v>7.0800000000000002E-2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14</v>
      </c>
      <c r="Y242" s="43">
        <f>IFERROR(SUM(Y238:Y240),"0")</f>
        <v>15.120000000000001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150</v>
      </c>
      <c r="Y259" s="55">
        <f t="shared" ref="Y259:Y266" si="31">IFERROR(IF(X259="",0,CEILING((X259/$H259),1)*$H259),"")</f>
        <v>151.20000000000002</v>
      </c>
      <c r="Z259" s="41">
        <f>IFERROR(IF(Y259=0,"",ROUNDUP(Y259/H259,0)*0.00902),"")</f>
        <v>0.25256000000000001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155.27777777777777</v>
      </c>
      <c r="BN259" s="78">
        <f t="shared" ref="BN259:BN266" si="33">IFERROR(Y259*I259/H259,"0")</f>
        <v>156.52000000000001</v>
      </c>
      <c r="BO259" s="78">
        <f t="shared" ref="BO259:BO266" si="34">IFERROR(1/J259*(X259/H259),"0")</f>
        <v>0.21043771043771042</v>
      </c>
      <c r="BP259" s="78">
        <f t="shared" ref="BP259:BP266" si="35">IFERROR(1/J259*(Y259/H259),"0")</f>
        <v>0.21212121212121213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31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31.05555555555555</v>
      </c>
      <c r="BN260" s="78">
        <f t="shared" si="33"/>
        <v>33.54</v>
      </c>
      <c r="BO260" s="78">
        <f t="shared" si="34"/>
        <v>4.208754208754209E-2</v>
      </c>
      <c r="BP260" s="78">
        <f t="shared" si="35"/>
        <v>4.5454545454545463E-2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30</v>
      </c>
      <c r="Y262" s="55">
        <f t="shared" si="31"/>
        <v>32.400000000000006</v>
      </c>
      <c r="Z262" s="41">
        <f>IFERROR(IF(Y262=0,"",ROUNDUP(Y262/H262,0)*0.00902),"")</f>
        <v>5.4120000000000001E-2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31.05555555555555</v>
      </c>
      <c r="BN262" s="78">
        <f t="shared" si="33"/>
        <v>33.54</v>
      </c>
      <c r="BO262" s="78">
        <f t="shared" si="34"/>
        <v>4.208754208754209E-2</v>
      </c>
      <c r="BP262" s="78">
        <f t="shared" si="35"/>
        <v>4.5454545454545463E-2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1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96.499999999999986</v>
      </c>
      <c r="BN263" s="78">
        <f t="shared" si="33"/>
        <v>96.499999999999986</v>
      </c>
      <c r="BO263" s="78">
        <f t="shared" si="34"/>
        <v>0.21367521367521369</v>
      </c>
      <c r="BP263" s="78">
        <f t="shared" si="35"/>
        <v>0.21367521367521369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si="31"/>
        <v>61.2</v>
      </c>
      <c r="Z264" s="41">
        <f>IFERROR(IF(Y264=0,"",ROUNDUP(Y264/H264,0)*0.00502),"")</f>
        <v>0.17068</v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63.333333333333329</v>
      </c>
      <c r="BN264" s="78">
        <f t="shared" si="33"/>
        <v>64.599999999999994</v>
      </c>
      <c r="BO264" s="78">
        <f t="shared" si="34"/>
        <v>0.14245014245014248</v>
      </c>
      <c r="BP264" s="78">
        <f t="shared" si="35"/>
        <v>0.14529914529914531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1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95</v>
      </c>
      <c r="BN265" s="78">
        <f t="shared" si="33"/>
        <v>95</v>
      </c>
      <c r="BO265" s="78">
        <f t="shared" si="34"/>
        <v>0.21367521367521369</v>
      </c>
      <c r="BP265" s="78">
        <f t="shared" si="35"/>
        <v>0.21367521367521369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63.333333333333329</v>
      </c>
      <c r="BN266" s="78">
        <f t="shared" si="33"/>
        <v>64.599999999999994</v>
      </c>
      <c r="BO266" s="78">
        <f t="shared" si="34"/>
        <v>0.14245014245014248</v>
      </c>
      <c r="BP266" s="78">
        <f t="shared" si="35"/>
        <v>0.14529914529914531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224.07407407407408</v>
      </c>
      <c r="Y267" s="43">
        <f>IFERROR(Y259/H259,"0")+IFERROR(Y260/H260,"0")+IFERROR(Y261/H261,"0")+IFERROR(Y262/H262,"0")+IFERROR(Y263/H263,"0")+IFERROR(Y264/H264,"0")+IFERROR(Y265/H265,"0")+IFERROR(Y266/H266,"0")</f>
        <v>227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1.37554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610</v>
      </c>
      <c r="Y268" s="43">
        <f>IFERROR(SUM(Y259:Y266),"0")</f>
        <v>621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200</v>
      </c>
      <c r="Y270" s="55">
        <f t="shared" ref="Y270:Y281" si="36">IFERROR(IF(X270="",0,CEILING((X270/$H270),1)*$H270),"")</f>
        <v>202.5</v>
      </c>
      <c r="Z270" s="41">
        <f>IFERROR(IF(Y270=0,"",ROUNDUP(Y270/H270,0)*0.01898),"")</f>
        <v>0.47450000000000003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212.19753086419755</v>
      </c>
      <c r="BN270" s="78">
        <f t="shared" ref="BN270:BN281" si="38">IFERROR(Y270*I270/H270,"0")</f>
        <v>214.85</v>
      </c>
      <c r="BO270" s="78">
        <f t="shared" ref="BO270:BO281" si="39">IFERROR(1/J270*(X270/H270),"0")</f>
        <v>0.38580246913580246</v>
      </c>
      <c r="BP270" s="78">
        <f t="shared" ref="BP270:BP281" si="40">IFERROR(1/J270*(Y270/H270),"0")</f>
        <v>0.390625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36"/>
        <v>307.8</v>
      </c>
      <c r="Z271" s="41">
        <f>IFERROR(IF(Y271=0,"",ROUNDUP(Y271/H271,0)*0.01898),"")</f>
        <v>0.72123999999999999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317.62962962962968</v>
      </c>
      <c r="BN271" s="78">
        <f t="shared" si="38"/>
        <v>325.88800000000003</v>
      </c>
      <c r="BO271" s="78">
        <f t="shared" si="39"/>
        <v>0.57870370370370372</v>
      </c>
      <c r="BP271" s="78">
        <f t="shared" si="40"/>
        <v>0.59375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6"/>
        <v>104.39999999999999</v>
      </c>
      <c r="Z272" s="41">
        <f>IFERROR(IF(Y272=0,"",ROUNDUP(Y272/H272,0)*0.01898),"")</f>
        <v>0.22776000000000002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105.67816091954025</v>
      </c>
      <c r="BN272" s="78">
        <f t="shared" si="38"/>
        <v>110.32800000000002</v>
      </c>
      <c r="BO272" s="78">
        <f t="shared" si="39"/>
        <v>0.1795977011494253</v>
      </c>
      <c r="BP272" s="78">
        <f t="shared" si="40"/>
        <v>0.1875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360</v>
      </c>
      <c r="Y273" s="55">
        <f t="shared" si="36"/>
        <v>360</v>
      </c>
      <c r="Z273" s="41">
        <f>IFERROR(IF(Y273=0,"",ROUNDUP(Y273/H273,0)*0.00651),"")</f>
        <v>0.97650000000000003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400.5</v>
      </c>
      <c r="BN273" s="78">
        <f t="shared" si="38"/>
        <v>400.5</v>
      </c>
      <c r="BO273" s="78">
        <f t="shared" si="39"/>
        <v>0.82417582417582425</v>
      </c>
      <c r="BP273" s="78">
        <f t="shared" si="40"/>
        <v>0.82417582417582425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360</v>
      </c>
      <c r="Y276" s="55">
        <f t="shared" si="36"/>
        <v>360</v>
      </c>
      <c r="Z276" s="41">
        <f>IFERROR(IF(Y276=0,"",ROUNDUP(Y276/H276,0)*0.00651),"")</f>
        <v>0.97650000000000003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397.8</v>
      </c>
      <c r="BN276" s="78">
        <f t="shared" si="38"/>
        <v>397.8</v>
      </c>
      <c r="BO276" s="78">
        <f t="shared" si="39"/>
        <v>0.82417582417582425</v>
      </c>
      <c r="BP276" s="78">
        <f t="shared" si="40"/>
        <v>0.82417582417582425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40</v>
      </c>
      <c r="Y279" s="55">
        <f t="shared" si="36"/>
        <v>40.799999999999997</v>
      </c>
      <c r="Z279" s="41">
        <f>IFERROR(IF(Y279=0,"",ROUNDUP(Y279/H279,0)*0.00651),"")</f>
        <v>0.11067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44.20000000000001</v>
      </c>
      <c r="BN279" s="78">
        <f t="shared" si="38"/>
        <v>45.084000000000003</v>
      </c>
      <c r="BO279" s="78">
        <f t="shared" si="39"/>
        <v>9.1575091575091583E-2</v>
      </c>
      <c r="BP279" s="78">
        <f t="shared" si="40"/>
        <v>9.3406593406593408E-2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36"/>
        <v>160.79999999999998</v>
      </c>
      <c r="Z280" s="41">
        <f>IFERROR(IF(Y280=0,"",ROUNDUP(Y280/H280,0)*0.00651),"")</f>
        <v>0.43617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177.2</v>
      </c>
      <c r="BN280" s="78">
        <f t="shared" si="38"/>
        <v>178.08599999999998</v>
      </c>
      <c r="BO280" s="78">
        <f t="shared" si="39"/>
        <v>0.36630036630036633</v>
      </c>
      <c r="BP280" s="78">
        <f t="shared" si="40"/>
        <v>0.36813186813186816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456.55598126862498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459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3.92334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1520</v>
      </c>
      <c r="Y283" s="43">
        <f>IFERROR(SUM(Y270:Y281),"0")</f>
        <v>1536.3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58.333333333333336</v>
      </c>
      <c r="Y287" s="43">
        <f>IFERROR(Y285/H285,"0")+IFERROR(Y286/H286,"0")</f>
        <v>59</v>
      </c>
      <c r="Z287" s="43">
        <f>IFERROR(IF(Z285="",0,Z285),"0")+IFERROR(IF(Z286="",0,Z286),"0")</f>
        <v>0.38409000000000004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140</v>
      </c>
      <c r="Y288" s="43">
        <f>IFERROR(SUM(Y285:Y286),"0")</f>
        <v>141.6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20</v>
      </c>
      <c r="Y293" s="55">
        <f t="shared" si="41"/>
        <v>23.2</v>
      </c>
      <c r="Z293" s="41">
        <f>IFERROR(IF(Y293=0,"",ROUNDUP(Y293/H293,0)*0.01898),"")</f>
        <v>3.7960000000000001E-2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20.706896551724139</v>
      </c>
      <c r="BN293" s="78">
        <f t="shared" si="43"/>
        <v>24.02</v>
      </c>
      <c r="BO293" s="78">
        <f t="shared" si="44"/>
        <v>2.6939655172413795E-2</v>
      </c>
      <c r="BP293" s="78">
        <f t="shared" si="45"/>
        <v>3.125E-2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16</v>
      </c>
      <c r="Y297" s="55">
        <f t="shared" si="41"/>
        <v>16</v>
      </c>
      <c r="Z297" s="41">
        <f>IFERROR(IF(Y297=0,"",ROUNDUP(Y297/H297,0)*0.00902),"")</f>
        <v>3.6080000000000001E-2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16.760000000000002</v>
      </c>
      <c r="BN297" s="78">
        <f t="shared" si="43"/>
        <v>16.760000000000002</v>
      </c>
      <c r="BO297" s="78">
        <f t="shared" si="44"/>
        <v>3.0303030303030304E-2</v>
      </c>
      <c r="BP297" s="78">
        <f t="shared" si="45"/>
        <v>3.0303030303030304E-2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5.7241379310344831</v>
      </c>
      <c r="Y298" s="43">
        <f>IFERROR(Y291/H291,"0")+IFERROR(Y292/H292,"0")+IFERROR(Y293/H293,"0")+IFERROR(Y294/H294,"0")+IFERROR(Y295/H295,"0")+IFERROR(Y296/H296,"0")+IFERROR(Y297/H297,"0")</f>
        <v>6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7.4039999999999995E-2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36</v>
      </c>
      <c r="Y299" s="43">
        <f>IFERROR(SUM(Y291:Y297),"0")</f>
        <v>39.200000000000003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12</v>
      </c>
      <c r="Y309" s="55">
        <f>IFERROR(IF(X309="",0,CEILING((X309/$H309),1)*$H309),"")</f>
        <v>12.6</v>
      </c>
      <c r="Z309" s="41">
        <f>IFERROR(IF(Y309=0,"",ROUNDUP(Y309/H309,0)*0.0059),"")</f>
        <v>4.1299999999999996E-2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13.166666666666668</v>
      </c>
      <c r="BN309" s="78">
        <f>IFERROR(Y309*I309/H309,"0")</f>
        <v>13.825000000000001</v>
      </c>
      <c r="BO309" s="78">
        <f>IFERROR(1/J309*(X309/H309),"0")</f>
        <v>3.0864197530864192E-2</v>
      </c>
      <c r="BP309" s="78">
        <f>IFERROR(1/J309*(Y309/H309),"0")</f>
        <v>3.2407407407407406E-2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6.6666666666666661</v>
      </c>
      <c r="Y311" s="43">
        <f>IFERROR(Y309/H309,"0")+IFERROR(Y310/H310,"0")</f>
        <v>7</v>
      </c>
      <c r="Z311" s="43">
        <f>IFERROR(IF(Z309="",0,Z309),"0")+IFERROR(IF(Z310="",0,Z310),"0")</f>
        <v>4.1299999999999996E-2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12</v>
      </c>
      <c r="Y312" s="43">
        <f>IFERROR(SUM(Y309:Y310),"0")</f>
        <v>12.6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440</v>
      </c>
      <c r="Y327" s="55">
        <f>IFERROR(IF(X327="",0,CEILING((X327/$H327),1)*$H327),"")</f>
        <v>441.59999999999997</v>
      </c>
      <c r="Z327" s="41">
        <f>IFERROR(IF(Y327=0,"",ROUNDUP(Y327/H327,0)*0.00651),"")</f>
        <v>1.19784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473.00000000000006</v>
      </c>
      <c r="BN327" s="78">
        <f>IFERROR(Y327*I327/H327,"0")</f>
        <v>474.72</v>
      </c>
      <c r="BO327" s="78">
        <f>IFERROR(1/J327*(X327/H327),"0")</f>
        <v>1.0073260073260075</v>
      </c>
      <c r="BP327" s="78">
        <f>IFERROR(1/J327*(Y327/H327),"0")</f>
        <v>1.0109890109890112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216.66666666666669</v>
      </c>
      <c r="Y328" s="43">
        <f>IFERROR(Y325/H325,"0")+IFERROR(Y326/H326,"0")+IFERROR(Y327/H327,"0")</f>
        <v>218</v>
      </c>
      <c r="Z328" s="43">
        <f>IFERROR(IF(Z325="",0,Z325),"0")+IFERROR(IF(Z326="",0,Z326),"0")+IFERROR(IF(Z327="",0,Z327),"0")</f>
        <v>1.4191800000000001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520</v>
      </c>
      <c r="Y329" s="43">
        <f>IFERROR(SUM(Y325:Y327),"0")</f>
        <v>523.19999999999993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200</v>
      </c>
      <c r="Y346" s="55">
        <f>IFERROR(IF(X346="",0,CEILING((X346/$H346),1)*$H346),"")</f>
        <v>202.79999999999998</v>
      </c>
      <c r="Z346" s="41">
        <f>IFERROR(IF(Y346=0,"",ROUNDUP(Y346/H346,0)*0.01898),"")</f>
        <v>0.49348000000000003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210.51282051282055</v>
      </c>
      <c r="BN346" s="78">
        <f>IFERROR(Y346*I346/H346,"0")</f>
        <v>213.46</v>
      </c>
      <c r="BO346" s="78">
        <f>IFERROR(1/J346*(X346/H346),"0")</f>
        <v>0.40064102564102566</v>
      </c>
      <c r="BP346" s="78">
        <f>IFERROR(1/J346*(Y346/H346),"0")</f>
        <v>0.40625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250</v>
      </c>
      <c r="Y347" s="55">
        <f>IFERROR(IF(X347="",0,CEILING((X347/$H347),1)*$H347),"")</f>
        <v>257.39999999999998</v>
      </c>
      <c r="Z347" s="41">
        <f>IFERROR(IF(Y347=0,"",ROUNDUP(Y347/H347,0)*0.01898),"")</f>
        <v>0.62634000000000001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263.14102564102564</v>
      </c>
      <c r="BN347" s="78">
        <f>IFERROR(Y347*I347/H347,"0")</f>
        <v>270.93</v>
      </c>
      <c r="BO347" s="78">
        <f>IFERROR(1/J347*(X347/H347),"0")</f>
        <v>0.50080128205128205</v>
      </c>
      <c r="BP347" s="78">
        <f>IFERROR(1/J347*(Y347/H347),"0")</f>
        <v>0.515625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120</v>
      </c>
      <c r="Y348" s="55">
        <f>IFERROR(IF(X348="",0,CEILING((X348/$H348),1)*$H348),"")</f>
        <v>124.8</v>
      </c>
      <c r="Z348" s="41">
        <f>IFERROR(IF(Y348=0,"",ROUNDUP(Y348/H348,0)*0.01898),"")</f>
        <v>0.30368000000000001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126.30769230769232</v>
      </c>
      <c r="BN348" s="78">
        <f>IFERROR(Y348*I348/H348,"0")</f>
        <v>131.36000000000001</v>
      </c>
      <c r="BO348" s="78">
        <f>IFERROR(1/J348*(X348/H348),"0")</f>
        <v>0.24038461538461539</v>
      </c>
      <c r="BP348" s="78">
        <f>IFERROR(1/J348*(Y348/H348),"0")</f>
        <v>0.25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73.07692307692308</v>
      </c>
      <c r="Y349" s="43">
        <f>IFERROR(Y346/H346,"0")+IFERROR(Y347/H347,"0")+IFERROR(Y348/H348,"0")</f>
        <v>75</v>
      </c>
      <c r="Z349" s="43">
        <f>IFERROR(IF(Z346="",0,Z346),"0")+IFERROR(IF(Z347="",0,Z347),"0")+IFERROR(IF(Z348="",0,Z348),"0")</f>
        <v>1.4235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570</v>
      </c>
      <c r="Y350" s="43">
        <f>IFERROR(SUM(Y346:Y348),"0")</f>
        <v>584.99999999999989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30</v>
      </c>
      <c r="Y353" s="55">
        <f t="shared" ref="Y353:Y359" si="51">IFERROR(IF(X353="",0,CEILING((X353/$H353),1)*$H353),"")</f>
        <v>32.400000000000006</v>
      </c>
      <c r="Z353" s="41">
        <f>IFERROR(IF(Y353=0,"",ROUNDUP(Y353/H353,0)*0.01898),"")</f>
        <v>5.6940000000000004E-2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31.138888888888889</v>
      </c>
      <c r="BN353" s="78">
        <f t="shared" ref="BN353:BN359" si="53">IFERROR(Y353*I353/H353,"0")</f>
        <v>33.630000000000003</v>
      </c>
      <c r="BO353" s="78">
        <f t="shared" ref="BO353:BO359" si="54">IFERROR(1/J353*(X353/H353),"0")</f>
        <v>4.3402777777777776E-2</v>
      </c>
      <c r="BP353" s="78">
        <f t="shared" ref="BP353:BP359" si="55">IFERROR(1/J353*(Y353/H353),"0")</f>
        <v>4.6875000000000007E-2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2.7777777777777777</v>
      </c>
      <c r="Y360" s="43">
        <f>IFERROR(Y353/H353,"0")+IFERROR(Y354/H354,"0")+IFERROR(Y355/H355,"0")+IFERROR(Y356/H356,"0")+IFERROR(Y357/H357,"0")+IFERROR(Y358/H358,"0")+IFERROR(Y359/H359,"0")</f>
        <v>3.0000000000000004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5.6940000000000004E-2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30</v>
      </c>
      <c r="Y361" s="43">
        <f>IFERROR(SUM(Y353:Y359),"0")</f>
        <v>32.400000000000006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105</v>
      </c>
      <c r="Y367" s="55">
        <f t="shared" si="56"/>
        <v>105</v>
      </c>
      <c r="Z367" s="41">
        <f>IFERROR(IF(Y367=0,"",ROUNDUP(Y367/H367,0)*0.00502),"")</f>
        <v>0.251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110.00000000000001</v>
      </c>
      <c r="BN367" s="78">
        <f t="shared" si="58"/>
        <v>110.00000000000001</v>
      </c>
      <c r="BO367" s="78">
        <f t="shared" si="59"/>
        <v>0.21367521367521369</v>
      </c>
      <c r="BP367" s="78">
        <f t="shared" si="60"/>
        <v>0.21367521367521369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48</v>
      </c>
      <c r="Y369" s="55">
        <f t="shared" si="56"/>
        <v>48.6</v>
      </c>
      <c r="Z369" s="41">
        <f>IFERROR(IF(Y369=0,"",ROUNDUP(Y369/H369,0)*0.00651),"")</f>
        <v>0.17577000000000001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54.08</v>
      </c>
      <c r="BN369" s="78">
        <f t="shared" si="58"/>
        <v>54.756</v>
      </c>
      <c r="BO369" s="78">
        <f t="shared" si="59"/>
        <v>0.14652014652014653</v>
      </c>
      <c r="BP369" s="78">
        <f t="shared" si="60"/>
        <v>0.14835164835164835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76.666666666666657</v>
      </c>
      <c r="Y370" s="43">
        <f>IFERROR(Y363/H363,"0")+IFERROR(Y364/H364,"0")+IFERROR(Y365/H365,"0")+IFERROR(Y366/H366,"0")+IFERROR(Y367/H367,"0")+IFERROR(Y368/H368,"0")+IFERROR(Y369/H369,"0")</f>
        <v>77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0.42676999999999998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153</v>
      </c>
      <c r="Y371" s="43">
        <f>IFERROR(SUM(Y363:Y369),"0")</f>
        <v>153.6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330</v>
      </c>
      <c r="Y380" s="55">
        <f>IFERROR(IF(X380="",0,CEILING((X380/$H380),1)*$H380),"")</f>
        <v>336</v>
      </c>
      <c r="Z380" s="41">
        <f>IFERROR(IF(Y380=0,"",ROUNDUP(Y380/H380,0)*0.01898),"")</f>
        <v>0.75919999999999999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349.40714285714284</v>
      </c>
      <c r="BN380" s="78">
        <f>IFERROR(Y380*I380/H380,"0")</f>
        <v>355.76</v>
      </c>
      <c r="BO380" s="78">
        <f>IFERROR(1/J380*(X380/H380),"0")</f>
        <v>0.6138392857142857</v>
      </c>
      <c r="BP380" s="78">
        <f>IFERROR(1/J380*(Y380/H380),"0")</f>
        <v>0.625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200</v>
      </c>
      <c r="Y381" s="55">
        <f>IFERROR(IF(X381="",0,CEILING((X381/$H381),1)*$H381),"")</f>
        <v>202.79999999999998</v>
      </c>
      <c r="Z381" s="41">
        <f>IFERROR(IF(Y381=0,"",ROUNDUP(Y381/H381,0)*0.01898),"")</f>
        <v>0.49348000000000003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212.66666666666669</v>
      </c>
      <c r="BN381" s="78">
        <f>IFERROR(Y381*I381/H381,"0")</f>
        <v>215.64399999999998</v>
      </c>
      <c r="BO381" s="78">
        <f>IFERROR(1/J381*(X381/H381),"0")</f>
        <v>0.40064102564102566</v>
      </c>
      <c r="BP381" s="78">
        <f>IFERROR(1/J381*(Y381/H381),"0")</f>
        <v>0.40625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70</v>
      </c>
      <c r="Y382" s="55">
        <f>IFERROR(IF(X382="",0,CEILING((X382/$H382),1)*$H382),"")</f>
        <v>75.600000000000009</v>
      </c>
      <c r="Z382" s="41">
        <f>IFERROR(IF(Y382=0,"",ROUNDUP(Y382/H382,0)*0.01898),"")</f>
        <v>0.17082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74.116666666666674</v>
      </c>
      <c r="BN382" s="78">
        <f>IFERROR(Y382*I382/H382,"0")</f>
        <v>80.046000000000006</v>
      </c>
      <c r="BO382" s="78">
        <f>IFERROR(1/J382*(X382/H382),"0")</f>
        <v>0.13020833333333331</v>
      </c>
      <c r="BP382" s="78">
        <f>IFERROR(1/J382*(Y382/H382),"0")</f>
        <v>0.140625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73.260073260073256</v>
      </c>
      <c r="Y383" s="43">
        <f>IFERROR(Y380/H380,"0")+IFERROR(Y381/H381,"0")+IFERROR(Y382/H382,"0")</f>
        <v>75</v>
      </c>
      <c r="Z383" s="43">
        <f>IFERROR(IF(Z380="",0,Z380),"0")+IFERROR(IF(Z381="",0,Z381),"0")+IFERROR(IF(Z382="",0,Z382),"0")</f>
        <v>1.4235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600</v>
      </c>
      <c r="Y384" s="43">
        <f>IFERROR(SUM(Y380:Y382),"0")</f>
        <v>614.4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51</v>
      </c>
      <c r="Y388" s="55">
        <f>IFERROR(IF(X388="",0,CEILING((X388/$H388),1)*$H388),"")</f>
        <v>51</v>
      </c>
      <c r="Z388" s="41">
        <f>IFERROR(IF(Y388=0,"",ROUNDUP(Y388/H388,0)*0.00651),"")</f>
        <v>0.13020000000000001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59.100000000000009</v>
      </c>
      <c r="BN388" s="78">
        <f>IFERROR(Y388*I388/H388,"0")</f>
        <v>59.100000000000009</v>
      </c>
      <c r="BO388" s="78">
        <f>IFERROR(1/J388*(X388/H388),"0")</f>
        <v>0.1098901098901099</v>
      </c>
      <c r="BP388" s="78">
        <f>IFERROR(1/J388*(Y388/H388),"0")</f>
        <v>0.1098901098901099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170</v>
      </c>
      <c r="Y389" s="55">
        <f>IFERROR(IF(X389="",0,CEILING((X389/$H389),1)*$H389),"")</f>
        <v>170.85</v>
      </c>
      <c r="Z389" s="41">
        <f>IFERROR(IF(Y389=0,"",ROUNDUP(Y389/H389,0)*0.00651),"")</f>
        <v>0.43617</v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192</v>
      </c>
      <c r="BN389" s="78">
        <f>IFERROR(Y389*I389/H389,"0")</f>
        <v>192.95999999999998</v>
      </c>
      <c r="BO389" s="78">
        <f>IFERROR(1/J389*(X389/H389),"0")</f>
        <v>0.36630036630036633</v>
      </c>
      <c r="BP389" s="78">
        <f>IFERROR(1/J389*(Y389/H389),"0")</f>
        <v>0.36813186813186816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86.666666666666671</v>
      </c>
      <c r="Y390" s="43">
        <f>IFERROR(Y386/H386,"0")+IFERROR(Y387/H387,"0")+IFERROR(Y388/H388,"0")+IFERROR(Y389/H389,"0")</f>
        <v>87</v>
      </c>
      <c r="Z390" s="43">
        <f>IFERROR(IF(Z386="",0,Z386),"0")+IFERROR(IF(Z387="",0,Z387),"0")+IFERROR(IF(Z388="",0,Z388),"0")+IFERROR(IF(Z389="",0,Z389),"0")</f>
        <v>0.56637000000000004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221</v>
      </c>
      <c r="Y391" s="43">
        <f>IFERROR(SUM(Y386:Y389),"0")</f>
        <v>221.85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5</v>
      </c>
      <c r="Y406" s="55">
        <f>IFERROR(IF(X406="",0,CEILING((X406/$H406),1)*$H406),"")</f>
        <v>7.8</v>
      </c>
      <c r="Z406" s="41">
        <f>IFERROR(IF(Y406=0,"",ROUNDUP(Y406/H406,0)*0.01898),"")</f>
        <v>1.898E-2</v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5.2628205128205137</v>
      </c>
      <c r="BN406" s="78">
        <f>IFERROR(Y406*I406/H406,"0")</f>
        <v>8.2100000000000009</v>
      </c>
      <c r="BO406" s="78">
        <f>IFERROR(1/J406*(X406/H406),"0")</f>
        <v>1.0016025641025642E-2</v>
      </c>
      <c r="BP406" s="78">
        <f>IFERROR(1/J406*(Y406/H406),"0")</f>
        <v>1.5625E-2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0.64102564102564108</v>
      </c>
      <c r="Y408" s="43">
        <f>IFERROR(Y406/H406,"0")+IFERROR(Y407/H407,"0")</f>
        <v>1</v>
      </c>
      <c r="Z408" s="43">
        <f>IFERROR(IF(Z406="",0,Z406),"0")+IFERROR(IF(Z407="",0,Z407),"0")</f>
        <v>1.898E-2</v>
      </c>
      <c r="AA408" s="67"/>
      <c r="AB408" s="67"/>
      <c r="AC408" s="67"/>
    </row>
    <row r="409" spans="1:68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5</v>
      </c>
      <c r="Y409" s="43">
        <f>IFERROR(SUM(Y406:Y407),"0")</f>
        <v>7.8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875</v>
      </c>
      <c r="Y413" s="55">
        <f>IFERROR(IF(X413="",0,CEILING((X413/$H413),1)*$H413),"")</f>
        <v>875.7</v>
      </c>
      <c r="Z413" s="41">
        <f>IFERROR(IF(Y413=0,"",ROUNDUP(Y413/H413,0)*0.00651),"")</f>
        <v>2.7146699999999999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980</v>
      </c>
      <c r="BN413" s="78">
        <f>IFERROR(Y413*I413/H413,"0")</f>
        <v>980.78399999999999</v>
      </c>
      <c r="BO413" s="78">
        <f>IFERROR(1/J413*(X413/H413),"0")</f>
        <v>2.2893772893772892</v>
      </c>
      <c r="BP413" s="78">
        <f>IFERROR(1/J413*(Y413/H413),"0")</f>
        <v>2.2912087912087915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416.66666666666663</v>
      </c>
      <c r="Y415" s="43">
        <f>IFERROR(Y412/H412,"0")+IFERROR(Y413/H413,"0")+IFERROR(Y414/H414,"0")</f>
        <v>417</v>
      </c>
      <c r="Z415" s="43">
        <f>IFERROR(IF(Z412="",0,Z412),"0")+IFERROR(IF(Z413="",0,Z413),"0")+IFERROR(IF(Z414="",0,Z414),"0")</f>
        <v>2.7146699999999999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875</v>
      </c>
      <c r="Y416" s="43">
        <f>IFERROR(SUM(Y412:Y414),"0")</f>
        <v>875.7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400</v>
      </c>
      <c r="Y420" s="55">
        <f t="shared" ref="Y420:Y427" si="61">IFERROR(IF(X420="",0,CEILING((X420/$H420),1)*$H420),"")</f>
        <v>405</v>
      </c>
      <c r="Z420" s="41">
        <f>IFERROR(IF(Y420=0,"",ROUNDUP(Y420/H420,0)*0.02175),"")</f>
        <v>0.58724999999999994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412.53333333333336</v>
      </c>
      <c r="BN420" s="78">
        <f t="shared" ref="BN420:BN427" si="63">IFERROR(Y420*I420/H420,"0")</f>
        <v>417.69</v>
      </c>
      <c r="BO420" s="78">
        <f t="shared" ref="BO420:BO427" si="64">IFERROR(1/J420*(X420/H420),"0")</f>
        <v>0.55555555555555558</v>
      </c>
      <c r="BP420" s="78">
        <f t="shared" ref="BP420:BP427" si="65">IFERROR(1/J420*(Y420/H420),"0")</f>
        <v>0.5625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1100</v>
      </c>
      <c r="Y421" s="55">
        <f t="shared" si="61"/>
        <v>1110</v>
      </c>
      <c r="Z421" s="41">
        <f>IFERROR(IF(Y421=0,"",ROUNDUP(Y421/H421,0)*0.02175),"")</f>
        <v>1.6094999999999999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1134.4666666666667</v>
      </c>
      <c r="BN421" s="78">
        <f t="shared" si="63"/>
        <v>1144.78</v>
      </c>
      <c r="BO421" s="78">
        <f t="shared" si="64"/>
        <v>1.5277777777777777</v>
      </c>
      <c r="BP421" s="78">
        <f t="shared" si="65"/>
        <v>1.5416666666666665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1000</v>
      </c>
      <c r="Y422" s="55">
        <f t="shared" si="61"/>
        <v>1005</v>
      </c>
      <c r="Z422" s="41">
        <f>IFERROR(IF(Y422=0,"",ROUNDUP(Y422/H422,0)*0.02175),"")</f>
        <v>1.4572499999999999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1031.3333333333333</v>
      </c>
      <c r="BN422" s="78">
        <f t="shared" si="63"/>
        <v>1036.49</v>
      </c>
      <c r="BO422" s="78">
        <f t="shared" si="64"/>
        <v>1.3888888888888888</v>
      </c>
      <c r="BP422" s="78">
        <f t="shared" si="65"/>
        <v>1.3958333333333333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1000</v>
      </c>
      <c r="Y423" s="55">
        <f t="shared" si="61"/>
        <v>1005</v>
      </c>
      <c r="Z423" s="41">
        <f>IFERROR(IF(Y423=0,"",ROUNDUP(Y423/H423,0)*0.02175),"")</f>
        <v>1.4572499999999999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1031.3333333333333</v>
      </c>
      <c r="BN423" s="78">
        <f t="shared" si="63"/>
        <v>1036.49</v>
      </c>
      <c r="BO423" s="78">
        <f t="shared" si="64"/>
        <v>1.3888888888888888</v>
      </c>
      <c r="BP423" s="78">
        <f t="shared" si="65"/>
        <v>1.3958333333333333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61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618.79999999999995</v>
      </c>
      <c r="BN424" s="78">
        <f t="shared" si="63"/>
        <v>618.79999999999995</v>
      </c>
      <c r="BO424" s="78">
        <f t="shared" si="64"/>
        <v>0.83333333333333326</v>
      </c>
      <c r="BP424" s="78">
        <f t="shared" si="65"/>
        <v>0.83333333333333326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10</v>
      </c>
      <c r="Y427" s="55">
        <f t="shared" si="61"/>
        <v>10</v>
      </c>
      <c r="Z427" s="41">
        <f>IFERROR(IF(Y427=0,"",ROUNDUP(Y427/H427,0)*0.00902),"")</f>
        <v>1.804E-2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10.38</v>
      </c>
      <c r="BN427" s="78">
        <f t="shared" si="63"/>
        <v>10.38</v>
      </c>
      <c r="BO427" s="78">
        <f t="shared" si="64"/>
        <v>1.5151515151515152E-2</v>
      </c>
      <c r="BP427" s="78">
        <f t="shared" si="65"/>
        <v>1.5151515151515152E-2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275.33333333333337</v>
      </c>
      <c r="Y428" s="43">
        <f>IFERROR(Y420/H420,"0")+IFERROR(Y421/H421,"0")+IFERROR(Y422/H422,"0")+IFERROR(Y423/H423,"0")+IFERROR(Y424/H424,"0")+IFERROR(Y425/H425,"0")+IFERROR(Y426/H426,"0")+IFERROR(Y427/H427,"0")</f>
        <v>277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5.9992900000000002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4110</v>
      </c>
      <c r="Y429" s="43">
        <f>IFERROR(SUM(Y420:Y427),"0")</f>
        <v>4135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1100</v>
      </c>
      <c r="Y431" s="55">
        <f>IFERROR(IF(X431="",0,CEILING((X431/$H431),1)*$H431),"")</f>
        <v>1110</v>
      </c>
      <c r="Z431" s="41">
        <f>IFERROR(IF(Y431=0,"",ROUNDUP(Y431/H431,0)*0.02175),"")</f>
        <v>1.6094999999999999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1134.4666666666667</v>
      </c>
      <c r="BN431" s="78">
        <f>IFERROR(Y431*I431/H431,"0")</f>
        <v>1144.78</v>
      </c>
      <c r="BO431" s="78">
        <f>IFERROR(1/J431*(X431/H431),"0")</f>
        <v>1.5277777777777777</v>
      </c>
      <c r="BP431" s="78">
        <f>IFERROR(1/J431*(Y431/H431),"0")</f>
        <v>1.5416666666666665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100</v>
      </c>
      <c r="Y432" s="55">
        <f>IFERROR(IF(X432="",0,CEILING((X432/$H432),1)*$H432),"")</f>
        <v>105</v>
      </c>
      <c r="Z432" s="41">
        <f>IFERROR(IF(Y432=0,"",ROUNDUP(Y432/H432,0)*0.02175),"")</f>
        <v>0.15225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103.13333333333334</v>
      </c>
      <c r="BN432" s="78">
        <f>IFERROR(Y432*I432/H432,"0")</f>
        <v>108.29</v>
      </c>
      <c r="BO432" s="78">
        <f>IFERROR(1/J432*(X432/H432),"0")</f>
        <v>0.1388888888888889</v>
      </c>
      <c r="BP432" s="78">
        <f>IFERROR(1/J432*(Y432/H432),"0")</f>
        <v>0.14583333333333331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80</v>
      </c>
      <c r="Y434" s="43">
        <f>IFERROR(Y431/H431,"0")+IFERROR(Y432/H432,"0")+IFERROR(Y433/H433,"0")</f>
        <v>81</v>
      </c>
      <c r="Z434" s="43">
        <f>IFERROR(IF(Z431="",0,Z431),"0")+IFERROR(IF(Z432="",0,Z432),"0")+IFERROR(IF(Z433="",0,Z433),"0")</f>
        <v>1.7617499999999999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1200</v>
      </c>
      <c r="Y435" s="43">
        <f>IFERROR(SUM(Y431:Y433),"0")</f>
        <v>1215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30</v>
      </c>
      <c r="Y449" s="55">
        <f>IFERROR(IF(X449="",0,CEILING((X449/$H449),1)*$H449),"")</f>
        <v>36</v>
      </c>
      <c r="Z449" s="41">
        <f>IFERROR(IF(Y449=0,"",ROUNDUP(Y449/H449,0)*0.01898),"")</f>
        <v>5.6940000000000004E-2</v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31.025000000000002</v>
      </c>
      <c r="BN449" s="78">
        <f>IFERROR(Y449*I449/H449,"0")</f>
        <v>37.229999999999997</v>
      </c>
      <c r="BO449" s="78">
        <f>IFERROR(1/J449*(X449/H449),"0")</f>
        <v>3.90625E-2</v>
      </c>
      <c r="BP449" s="78">
        <f>IFERROR(1/J449*(Y449/H449),"0")</f>
        <v>4.6875E-2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2.5</v>
      </c>
      <c r="Y451" s="43">
        <f>IFERROR(Y449/H449,"0")+IFERROR(Y450/H450,"0")</f>
        <v>3</v>
      </c>
      <c r="Z451" s="43">
        <f>IFERROR(IF(Z449="",0,Z449),"0")+IFERROR(IF(Z450="",0,Z450),"0")</f>
        <v>5.6940000000000004E-2</v>
      </c>
      <c r="AA451" s="67"/>
      <c r="AB451" s="67"/>
      <c r="AC451" s="67"/>
    </row>
    <row r="452" spans="1:68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30</v>
      </c>
      <c r="Y452" s="43">
        <f>IFERROR(SUM(Y449:Y450),"0")</f>
        <v>36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20</v>
      </c>
      <c r="Y458" s="55">
        <f>IFERROR(IF(X458="",0,CEILING((X458/$H458),1)*$H458),"")</f>
        <v>27</v>
      </c>
      <c r="Z458" s="41">
        <f>IFERROR(IF(Y458=0,"",ROUNDUP(Y458/H458,0)*0.01898),"")</f>
        <v>5.6940000000000004E-2</v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21.097777777777779</v>
      </c>
      <c r="BN458" s="78">
        <f>IFERROR(Y458*I458/H458,"0")</f>
        <v>28.481999999999996</v>
      </c>
      <c r="BO458" s="78">
        <f>IFERROR(1/J458*(X458/H458),"0")</f>
        <v>3.4722222222222224E-2</v>
      </c>
      <c r="BP458" s="78">
        <f>IFERROR(1/J458*(Y458/H458),"0")</f>
        <v>4.6875E-2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2.2222222222222223</v>
      </c>
      <c r="Y461" s="43">
        <f>IFERROR(Y458/H458,"0")+IFERROR(Y459/H459,"0")+IFERROR(Y460/H460,"0")</f>
        <v>3</v>
      </c>
      <c r="Z461" s="43">
        <f>IFERROR(IF(Z458="",0,Z458),"0")+IFERROR(IF(Z459="",0,Z459),"0")+IFERROR(IF(Z460="",0,Z460),"0")</f>
        <v>5.6940000000000004E-2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20</v>
      </c>
      <c r="Y462" s="43">
        <f>IFERROR(SUM(Y458:Y460),"0")</f>
        <v>27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50</v>
      </c>
      <c r="Y492" s="55">
        <f t="shared" ref="Y492:Y499" si="71">IFERROR(IF(X492="",0,CEILING((X492/$H492),1)*$H492),"")</f>
        <v>52.800000000000004</v>
      </c>
      <c r="Z492" s="41">
        <f>IFERROR(IF(Y492=0,"",ROUNDUP(Y492/H492,0)*0.01196),"")</f>
        <v>0.1196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53.314393939393938</v>
      </c>
      <c r="BN492" s="78">
        <f t="shared" ref="BN492:BN499" si="73">IFERROR(Y492*I492/H492,"0")</f>
        <v>56.3</v>
      </c>
      <c r="BO492" s="78">
        <f t="shared" ref="BO492:BO499" si="74">IFERROR(1/J492*(X492/H492),"0")</f>
        <v>9.1054778554778545E-2</v>
      </c>
      <c r="BP492" s="78">
        <f t="shared" ref="BP492:BP499" si="75">IFERROR(1/J492*(Y492/H492),"0")</f>
        <v>9.6153846153846159E-2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30</v>
      </c>
      <c r="Y495" s="55">
        <f t="shared" si="71"/>
        <v>31.68</v>
      </c>
      <c r="Z495" s="41">
        <f>IFERROR(IF(Y495=0,"",ROUNDUP(Y495/H495,0)*0.01196),"")</f>
        <v>7.1760000000000004E-2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31.988636363636363</v>
      </c>
      <c r="BN495" s="78">
        <f t="shared" si="73"/>
        <v>33.779999999999994</v>
      </c>
      <c r="BO495" s="78">
        <f t="shared" si="74"/>
        <v>5.4632867132867136E-2</v>
      </c>
      <c r="BP495" s="78">
        <f t="shared" si="75"/>
        <v>5.7692307692307696E-2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200</v>
      </c>
      <c r="Y496" s="55">
        <f t="shared" si="71"/>
        <v>200.64000000000001</v>
      </c>
      <c r="Z496" s="41">
        <f>IFERROR(IF(Y496=0,"",ROUNDUP(Y496/H496,0)*0.01196),"")</f>
        <v>0.45448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213.25757575757575</v>
      </c>
      <c r="BN496" s="78">
        <f t="shared" si="73"/>
        <v>213.94</v>
      </c>
      <c r="BO496" s="78">
        <f t="shared" si="74"/>
        <v>0.36421911421911418</v>
      </c>
      <c r="BP496" s="78">
        <f t="shared" si="75"/>
        <v>0.36538461538461542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72</v>
      </c>
      <c r="Y498" s="55">
        <f t="shared" si="71"/>
        <v>72</v>
      </c>
      <c r="Z498" s="41">
        <f>IFERROR(IF(Y498=0,"",ROUNDUP(Y498/H498,0)*0.00902),"")</f>
        <v>0.1353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103.65</v>
      </c>
      <c r="BN498" s="78">
        <f t="shared" si="73"/>
        <v>103.65</v>
      </c>
      <c r="BO498" s="78">
        <f t="shared" si="74"/>
        <v>0.11363636363636365</v>
      </c>
      <c r="BP498" s="78">
        <f t="shared" si="75"/>
        <v>0.11363636363636365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118.03030303030303</v>
      </c>
      <c r="Y500" s="43">
        <f>IFERROR(Y492/H492,"0")+IFERROR(Y493/H493,"0")+IFERROR(Y494/H494,"0")+IFERROR(Y495/H495,"0")+IFERROR(Y496/H496,"0")+IFERROR(Y497/H497,"0")+IFERROR(Y498/H498,"0")+IFERROR(Y499/H499,"0")</f>
        <v>119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1.23214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592</v>
      </c>
      <c r="Y501" s="43">
        <f>IFERROR(SUM(Y492:Y499),"0")</f>
        <v>597.12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200</v>
      </c>
      <c r="Y503" s="55">
        <f>IFERROR(IF(X503="",0,CEILING((X503/$H503),1)*$H503),"")</f>
        <v>200.64000000000001</v>
      </c>
      <c r="Z503" s="41">
        <f>IFERROR(IF(Y503=0,"",ROUNDUP(Y503/H503,0)*0.01196),"")</f>
        <v>0.45448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213.25757575757575</v>
      </c>
      <c r="BN503" s="78">
        <f>IFERROR(Y503*I503/H503,"0")</f>
        <v>213.94</v>
      </c>
      <c r="BO503" s="78">
        <f>IFERROR(1/J503*(X503/H503),"0")</f>
        <v>0.36421911421911418</v>
      </c>
      <c r="BP503" s="78">
        <f>IFERROR(1/J503*(Y503/H503),"0")</f>
        <v>0.36538461538461542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120</v>
      </c>
      <c r="Y505" s="55">
        <f>IFERROR(IF(X505="",0,CEILING((X505/$H505),1)*$H505),"")</f>
        <v>120</v>
      </c>
      <c r="Z505" s="41">
        <f>IFERROR(IF(Y505=0,"",ROUNDUP(Y505/H505,0)*0.00902),"")</f>
        <v>0.22550000000000001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172.75000000000003</v>
      </c>
      <c r="BN505" s="78">
        <f>IFERROR(Y505*I505/H505,"0")</f>
        <v>172.75000000000003</v>
      </c>
      <c r="BO505" s="78">
        <f>IFERROR(1/J505*(X505/H505),"0")</f>
        <v>0.18939393939393939</v>
      </c>
      <c r="BP505" s="78">
        <f>IFERROR(1/J505*(Y505/H505),"0")</f>
        <v>0.18939393939393939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62.878787878787875</v>
      </c>
      <c r="Y506" s="43">
        <f>IFERROR(Y503/H503,"0")+IFERROR(Y504/H504,"0")+IFERROR(Y505/H505,"0")</f>
        <v>63</v>
      </c>
      <c r="Z506" s="43">
        <f>IFERROR(IF(Z503="",0,Z503),"0")+IFERROR(IF(Z504="",0,Z504),"0")+IFERROR(IF(Z505="",0,Z505),"0")</f>
        <v>0.67998000000000003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320</v>
      </c>
      <c r="Y507" s="43">
        <f>IFERROR(SUM(Y503:Y505),"0")</f>
        <v>320.64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30</v>
      </c>
      <c r="Y510" s="55">
        <f t="shared" si="76"/>
        <v>31.68</v>
      </c>
      <c r="Z510" s="41">
        <f>IFERROR(IF(Y510=0,"",ROUNDUP(Y510/H510,0)*0.01196),"")</f>
        <v>7.1760000000000004E-2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31.988636363636363</v>
      </c>
      <c r="BN510" s="78">
        <f t="shared" si="78"/>
        <v>33.779999999999994</v>
      </c>
      <c r="BO510" s="78">
        <f t="shared" si="79"/>
        <v>5.4632867132867136E-2</v>
      </c>
      <c r="BP510" s="78">
        <f t="shared" si="80"/>
        <v>5.7692307692307696E-2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200</v>
      </c>
      <c r="Y511" s="55">
        <f t="shared" si="76"/>
        <v>200.64000000000001</v>
      </c>
      <c r="Z511" s="41">
        <f>IFERROR(IF(Y511=0,"",ROUNDUP(Y511/H511,0)*0.01196),"")</f>
        <v>0.45448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213.25757575757575</v>
      </c>
      <c r="BN511" s="78">
        <f t="shared" si="78"/>
        <v>213.94</v>
      </c>
      <c r="BO511" s="78">
        <f t="shared" si="79"/>
        <v>0.36421911421911418</v>
      </c>
      <c r="BP511" s="78">
        <f t="shared" si="80"/>
        <v>0.36538461538461542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60</v>
      </c>
      <c r="Y512" s="55">
        <f t="shared" si="76"/>
        <v>62.4</v>
      </c>
      <c r="Z512" s="41">
        <f>IFERROR(IF(Y512=0,"",ROUNDUP(Y512/H512,0)*0.00902),"")</f>
        <v>0.11726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86.375000000000014</v>
      </c>
      <c r="BN512" s="78">
        <f t="shared" si="78"/>
        <v>89.830000000000013</v>
      </c>
      <c r="BO512" s="78">
        <f t="shared" si="79"/>
        <v>9.4696969696969696E-2</v>
      </c>
      <c r="BP512" s="78">
        <f t="shared" si="80"/>
        <v>9.8484848484848481E-2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12</v>
      </c>
      <c r="Y514" s="55">
        <f t="shared" si="76"/>
        <v>14.399999999999999</v>
      </c>
      <c r="Z514" s="41">
        <f>IFERROR(IF(Y514=0,"",ROUNDUP(Y514/H514,0)*0.00902),"")</f>
        <v>2.7060000000000001E-2</v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16.675000000000001</v>
      </c>
      <c r="BN514" s="78">
        <f t="shared" si="78"/>
        <v>20.009999999999998</v>
      </c>
      <c r="BO514" s="78">
        <f t="shared" si="79"/>
        <v>1.893939393939394E-2</v>
      </c>
      <c r="BP514" s="78">
        <f t="shared" si="80"/>
        <v>2.2727272727272728E-2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180</v>
      </c>
      <c r="Y515" s="55">
        <f t="shared" si="76"/>
        <v>182.4</v>
      </c>
      <c r="Z515" s="41">
        <f>IFERROR(IF(Y515=0,"",ROUNDUP(Y515/H515,0)*0.00902),"")</f>
        <v>0.34276000000000001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250.125</v>
      </c>
      <c r="BN515" s="78">
        <f t="shared" si="78"/>
        <v>253.46</v>
      </c>
      <c r="BO515" s="78">
        <f t="shared" si="79"/>
        <v>0.28409090909090912</v>
      </c>
      <c r="BP515" s="78">
        <f t="shared" si="80"/>
        <v>0.2878787878787879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96.060606060606062</v>
      </c>
      <c r="Y516" s="43">
        <f>IFERROR(Y509/H509,"0")+IFERROR(Y510/H510,"0")+IFERROR(Y511/H511,"0")+IFERROR(Y512/H512,"0")+IFERROR(Y513/H513,"0")+IFERROR(Y514/H514,"0")+IFERROR(Y515/H515,"0")</f>
        <v>98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1.01332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482</v>
      </c>
      <c r="Y517" s="43">
        <f>IFERROR(SUM(Y509:Y515),"0")</f>
        <v>491.52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60</v>
      </c>
      <c r="Z521" s="41">
        <f>IFERROR(IF(Y521=0,"",ROUNDUP(Y521/H521,0)*0.01898),"")</f>
        <v>9.4899999999999998E-2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51.708333333333336</v>
      </c>
      <c r="BN521" s="78">
        <f>IFERROR(Y521*I521/H521,"0")</f>
        <v>62.050000000000004</v>
      </c>
      <c r="BO521" s="78">
        <f>IFERROR(1/J521*(X521/H521),"0")</f>
        <v>6.5104166666666671E-2</v>
      </c>
      <c r="BP521" s="78">
        <f>IFERROR(1/J521*(Y521/H521),"0")</f>
        <v>7.8125E-2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4.166666666666667</v>
      </c>
      <c r="Y522" s="43">
        <f>IFERROR(Y521/H521,"0")</f>
        <v>5</v>
      </c>
      <c r="Z522" s="43">
        <f>IFERROR(IF(Z521="",0,Z521),"0")</f>
        <v>9.4899999999999998E-2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50</v>
      </c>
      <c r="Y523" s="43">
        <f>IFERROR(SUM(Y521:Y521),"0")</f>
        <v>60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17483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17698.190000000002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18771.675875172081</v>
      </c>
      <c r="Y547" s="43">
        <f>IFERROR(SUM(BN22:BN543),"0")</f>
        <v>19000.436999999994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33</v>
      </c>
      <c r="Y548" s="44">
        <f>ROUNDUP(SUM(BP22:BP543),0)</f>
        <v>33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19596.675875172081</v>
      </c>
      <c r="Y549" s="43">
        <f>GrossWeightTotalR+PalletQtyTotalR*25</f>
        <v>19825.436999999994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3864.81492390113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3900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37.624410000000005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391.20000000000005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382.8</v>
      </c>
      <c r="F556" s="52">
        <f>IFERROR(Y84*1,"0")+IFERROR(Y85*1,"0")+IFERROR(Y86*1,"0")+IFERROR(Y87*1,"0")+IFERROR(Y88*1,"0")+IFERROR(Y89*1,"0")+IFERROR(Y93*1,"0")+IFERROR(Y94*1,"0")+IFERROR(Y95*1,"0")+IFERROR(Y96*1,"0")</f>
        <v>1090.8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1952.1</v>
      </c>
      <c r="H556" s="52">
        <f>IFERROR(Y131*1,"0")+IFERROR(Y132*1,"0")+IFERROR(Y136*1,"0")+IFERROR(Y137*1,"0")+IFERROR(Y141*1,"0")+IFERROR(Y142*1,"0")</f>
        <v>112.32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1017.8</v>
      </c>
      <c r="K556" s="52">
        <f>IFERROR(Y199*1,"0")+IFERROR(Y200*1,"0")+IFERROR(Y201*1,"0")+IFERROR(Y202*1,"0")+IFERROR(Y203*1,"0")+IFERROR(Y204*1,"0")+IFERROR(Y205*1,"0")</f>
        <v>54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450.24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2298.9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51.800000000000004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523.19999999999993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584.99999999999989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1022.25</v>
      </c>
      <c r="U556" s="52">
        <f>IFERROR(Y406*1,"0")+IFERROR(Y407*1,"0")</f>
        <v>7.8</v>
      </c>
      <c r="V556" s="52">
        <f>IFERROR(Y412*1,"0")+IFERROR(Y413*1,"0")+IFERROR(Y414*1,"0")</f>
        <v>875.7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5350</v>
      </c>
      <c r="X556" s="52">
        <f>IFERROR(Y449*1,"0")+IFERROR(Y450*1,"0")+IFERROR(Y454*1,"0")+IFERROR(Y458*1,"0")+IFERROR(Y459*1,"0")+IFERROR(Y460*1,"0")</f>
        <v>63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1409.2800000000002</v>
      </c>
      <c r="AB556" s="52">
        <f>IFERROR(Y521*1,"0")+IFERROR(Y525*1,"0")+IFERROR(Y529*1,"0")+IFERROR(Y533*1,"0")+IFERROR(Y537*1,"0")+IFERROR(Y538*1,"0")</f>
        <v>60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1 000,00"/>
        <filter val="1 008,00"/>
        <filter val="1 100,00"/>
        <filter val="1 200,00"/>
        <filter val="1 405,00"/>
        <filter val="1 520,00"/>
        <filter val="1,28"/>
        <filter val="10,00"/>
        <filter val="100,00"/>
        <filter val="102,78"/>
        <filter val="105,00"/>
        <filter val="11,11"/>
        <filter val="112,00"/>
        <filter val="118,03"/>
        <filter val="12,00"/>
        <filter val="12,50"/>
        <filter val="120,00"/>
        <filter val="130,00"/>
        <filter val="135,00"/>
        <filter val="14,00"/>
        <filter val="140,00"/>
        <filter val="150,00"/>
        <filter val="153,00"/>
        <filter val="16,00"/>
        <filter val="16,67"/>
        <filter val="160,00"/>
        <filter val="17 483,00"/>
        <filter val="170,00"/>
        <filter val="172,14"/>
        <filter val="18 771,68"/>
        <filter val="180,00"/>
        <filter val="19 596,68"/>
        <filter val="2,22"/>
        <filter val="2,50"/>
        <filter val="2,78"/>
        <filter val="20,00"/>
        <filter val="200,00"/>
        <filter val="216,67"/>
        <filter val="220,37"/>
        <filter val="221,00"/>
        <filter val="224,07"/>
        <filter val="240,00"/>
        <filter val="250,00"/>
        <filter val="265,00"/>
        <filter val="275,33"/>
        <filter val="285,00"/>
        <filter val="29,80"/>
        <filter val="3 864,81"/>
        <filter val="30,00"/>
        <filter val="300,00"/>
        <filter val="320,00"/>
        <filter val="33"/>
        <filter val="33,00"/>
        <filter val="33,33"/>
        <filter val="330,00"/>
        <filter val="35,00"/>
        <filter val="353,09"/>
        <filter val="36,00"/>
        <filter val="360,00"/>
        <filter val="383,33"/>
        <filter val="390,00"/>
        <filter val="392,00"/>
        <filter val="4 110,00"/>
        <filter val="4,00"/>
        <filter val="4,17"/>
        <filter val="4,63"/>
        <filter val="40,00"/>
        <filter val="400,00"/>
        <filter val="416,67"/>
        <filter val="42,04"/>
        <filter val="43,89"/>
        <filter val="440,00"/>
        <filter val="450,00"/>
        <filter val="456,56"/>
        <filter val="48,00"/>
        <filter val="480,00"/>
        <filter val="482,00"/>
        <filter val="495,00"/>
        <filter val="5,00"/>
        <filter val="5,72"/>
        <filter val="50,00"/>
        <filter val="51,00"/>
        <filter val="520,00"/>
        <filter val="56,00"/>
        <filter val="570,00"/>
        <filter val="58,33"/>
        <filter val="59,00"/>
        <filter val="592,00"/>
        <filter val="6,67"/>
        <filter val="60,00"/>
        <filter val="600,00"/>
        <filter val="610,00"/>
        <filter val="62,88"/>
        <filter val="675,00"/>
        <filter val="70,00"/>
        <filter val="700,00"/>
        <filter val="72,00"/>
        <filter val="73,08"/>
        <filter val="73,26"/>
        <filter val="73,89"/>
        <filter val="76,67"/>
        <filter val="795,00"/>
        <filter val="8,00"/>
        <filter val="80,00"/>
        <filter val="86,67"/>
        <filter val="875,00"/>
        <filter val="90,00"/>
        <filter val="96,06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