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8517C4-CA94-42FD-A8AB-B446291D0A4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N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N484" i="1"/>
  <c r="BM484" i="1"/>
  <c r="Y484" i="1"/>
  <c r="BP484" i="1" s="1"/>
  <c r="P484" i="1"/>
  <c r="X482" i="1"/>
  <c r="X481" i="1"/>
  <c r="BO480" i="1"/>
  <c r="BM480" i="1"/>
  <c r="Y480" i="1"/>
  <c r="Y482" i="1" s="1"/>
  <c r="P480" i="1"/>
  <c r="X477" i="1"/>
  <c r="Y476" i="1"/>
  <c r="X476" i="1"/>
  <c r="BO475" i="1"/>
  <c r="BN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O469" i="1"/>
  <c r="BN469" i="1"/>
  <c r="BM469" i="1"/>
  <c r="Y469" i="1"/>
  <c r="BP469" i="1" s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BN420" i="1" s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Y416" i="1" s="1"/>
  <c r="P412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Y396" i="1" s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N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N315" i="1"/>
  <c r="BM315" i="1"/>
  <c r="Z315" i="1"/>
  <c r="Y315" i="1"/>
  <c r="BP315" i="1" s="1"/>
  <c r="P315" i="1"/>
  <c r="X312" i="1"/>
  <c r="X311" i="1"/>
  <c r="BO310" i="1"/>
  <c r="BM310" i="1"/>
  <c r="Y310" i="1"/>
  <c r="BN310" i="1" s="1"/>
  <c r="P310" i="1"/>
  <c r="BO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P259" i="1"/>
  <c r="BO259" i="1"/>
  <c r="BM259" i="1"/>
  <c r="Z259" i="1"/>
  <c r="Y259" i="1"/>
  <c r="BN259" i="1" s="1"/>
  <c r="P259" i="1"/>
  <c r="X257" i="1"/>
  <c r="X256" i="1"/>
  <c r="BO255" i="1"/>
  <c r="BM255" i="1"/>
  <c r="Y255" i="1"/>
  <c r="BP255" i="1" s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O249" i="1"/>
  <c r="BM249" i="1"/>
  <c r="Y249" i="1"/>
  <c r="BN249" i="1" s="1"/>
  <c r="P249" i="1"/>
  <c r="X246" i="1"/>
  <c r="Y245" i="1"/>
  <c r="X245" i="1"/>
  <c r="BO244" i="1"/>
  <c r="BN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P226" i="1"/>
  <c r="BO226" i="1"/>
  <c r="BM226" i="1"/>
  <c r="Z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N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Y211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M203" i="1"/>
  <c r="Z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N199" i="1" s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O179" i="1"/>
  <c r="BN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M171" i="1"/>
  <c r="Z171" i="1"/>
  <c r="Y171" i="1"/>
  <c r="BN171" i="1" s="1"/>
  <c r="P171" i="1"/>
  <c r="X169" i="1"/>
  <c r="X168" i="1"/>
  <c r="BO167" i="1"/>
  <c r="BM167" i="1"/>
  <c r="Y167" i="1"/>
  <c r="BP167" i="1" s="1"/>
  <c r="P167" i="1"/>
  <c r="BO166" i="1"/>
  <c r="BM166" i="1"/>
  <c r="Y166" i="1"/>
  <c r="Y169" i="1" s="1"/>
  <c r="P166" i="1"/>
  <c r="X164" i="1"/>
  <c r="X163" i="1"/>
  <c r="BO162" i="1"/>
  <c r="BM162" i="1"/>
  <c r="Y162" i="1"/>
  <c r="BP162" i="1" s="1"/>
  <c r="P162" i="1"/>
  <c r="BO161" i="1"/>
  <c r="BM161" i="1"/>
  <c r="Y161" i="1"/>
  <c r="BN161" i="1" s="1"/>
  <c r="P161" i="1"/>
  <c r="BO160" i="1"/>
  <c r="BM160" i="1"/>
  <c r="Y160" i="1"/>
  <c r="BP160" i="1" s="1"/>
  <c r="P160" i="1"/>
  <c r="BO159" i="1"/>
  <c r="BM159" i="1"/>
  <c r="Y159" i="1"/>
  <c r="BP159" i="1" s="1"/>
  <c r="P159" i="1"/>
  <c r="X156" i="1"/>
  <c r="X155" i="1"/>
  <c r="BO154" i="1"/>
  <c r="BM154" i="1"/>
  <c r="Y154" i="1"/>
  <c r="Y156" i="1" s="1"/>
  <c r="P154" i="1"/>
  <c r="X152" i="1"/>
  <c r="X151" i="1"/>
  <c r="BO150" i="1"/>
  <c r="BN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56" i="1" s="1"/>
  <c r="P147" i="1"/>
  <c r="X144" i="1"/>
  <c r="X143" i="1"/>
  <c r="BO142" i="1"/>
  <c r="BM142" i="1"/>
  <c r="Y142" i="1"/>
  <c r="BP142" i="1" s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N131" i="1"/>
  <c r="BM131" i="1"/>
  <c r="Y131" i="1"/>
  <c r="BP131" i="1" s="1"/>
  <c r="P131" i="1"/>
  <c r="X128" i="1"/>
  <c r="X127" i="1"/>
  <c r="BP126" i="1"/>
  <c r="BO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Y108" i="1" s="1"/>
  <c r="P101" i="1"/>
  <c r="X98" i="1"/>
  <c r="X97" i="1"/>
  <c r="BO96" i="1"/>
  <c r="BM96" i="1"/>
  <c r="Y96" i="1"/>
  <c r="BP96" i="1" s="1"/>
  <c r="P96" i="1"/>
  <c r="BP95" i="1"/>
  <c r="BO95" i="1"/>
  <c r="BM95" i="1"/>
  <c r="Z95" i="1"/>
  <c r="Y95" i="1"/>
  <c r="BN95" i="1" s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M85" i="1"/>
  <c r="Z85" i="1"/>
  <c r="Y85" i="1"/>
  <c r="BN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M66" i="1"/>
  <c r="Z66" i="1"/>
  <c r="Y66" i="1"/>
  <c r="BN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N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Z27" i="1" l="1"/>
  <c r="Z72" i="1"/>
  <c r="BP72" i="1"/>
  <c r="Z104" i="1"/>
  <c r="BP104" i="1"/>
  <c r="Z141" i="1"/>
  <c r="BP141" i="1"/>
  <c r="Z161" i="1"/>
  <c r="BP161" i="1"/>
  <c r="Z189" i="1"/>
  <c r="Z190" i="1" s="1"/>
  <c r="BP189" i="1"/>
  <c r="Z199" i="1"/>
  <c r="BP199" i="1"/>
  <c r="Z210" i="1"/>
  <c r="Z211" i="1" s="1"/>
  <c r="BP210" i="1"/>
  <c r="Z222" i="1"/>
  <c r="BP222" i="1"/>
  <c r="Z232" i="1"/>
  <c r="BP232" i="1"/>
  <c r="Z249" i="1"/>
  <c r="BP249" i="1"/>
  <c r="Z310" i="1"/>
  <c r="BP310" i="1"/>
  <c r="Z333" i="1"/>
  <c r="BP333" i="1"/>
  <c r="Z399" i="1"/>
  <c r="BP399" i="1"/>
  <c r="Z420" i="1"/>
  <c r="BP420" i="1"/>
  <c r="Z432" i="1"/>
  <c r="BP432" i="1"/>
  <c r="Z459" i="1"/>
  <c r="BP459" i="1"/>
  <c r="Z480" i="1"/>
  <c r="Z481" i="1" s="1"/>
  <c r="BP480" i="1"/>
  <c r="Z514" i="1"/>
  <c r="BP514" i="1"/>
  <c r="X550" i="1"/>
  <c r="BP27" i="1"/>
  <c r="Z37" i="1"/>
  <c r="Z112" i="1"/>
  <c r="BN126" i="1"/>
  <c r="Y127" i="1"/>
  <c r="Z131" i="1"/>
  <c r="Z150" i="1"/>
  <c r="Z179" i="1"/>
  <c r="Z218" i="1"/>
  <c r="Z238" i="1"/>
  <c r="Z279" i="1"/>
  <c r="Z319" i="1"/>
  <c r="Z339" i="1"/>
  <c r="Z406" i="1"/>
  <c r="Z469" i="1"/>
  <c r="Z510" i="1"/>
  <c r="X547" i="1"/>
  <c r="Z47" i="1"/>
  <c r="Z58" i="1"/>
  <c r="BN189" i="1"/>
  <c r="Y190" i="1"/>
  <c r="BN210" i="1"/>
  <c r="Z244" i="1"/>
  <c r="Z245" i="1" s="1"/>
  <c r="BP244" i="1"/>
  <c r="Z285" i="1"/>
  <c r="Z348" i="1"/>
  <c r="Z359" i="1"/>
  <c r="Z369" i="1"/>
  <c r="Z387" i="1"/>
  <c r="Z475" i="1"/>
  <c r="Z476" i="1" s="1"/>
  <c r="BP475" i="1"/>
  <c r="BN480" i="1"/>
  <c r="Y481" i="1"/>
  <c r="Z484" i="1"/>
  <c r="Z498" i="1"/>
  <c r="BP341" i="1"/>
  <c r="BN341" i="1"/>
  <c r="Z341" i="1"/>
  <c r="BP346" i="1"/>
  <c r="BN346" i="1"/>
  <c r="Z346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B556" i="1"/>
  <c r="X548" i="1"/>
  <c r="X549" i="1" s="1"/>
  <c r="X546" i="1"/>
  <c r="Y31" i="1"/>
  <c r="Z29" i="1"/>
  <c r="BN29" i="1"/>
  <c r="C556" i="1"/>
  <c r="Z39" i="1"/>
  <c r="BN39" i="1"/>
  <c r="D556" i="1"/>
  <c r="Z49" i="1"/>
  <c r="BN49" i="1"/>
  <c r="Z56" i="1"/>
  <c r="BN56" i="1"/>
  <c r="Z60" i="1"/>
  <c r="BN60" i="1"/>
  <c r="Y70" i="1"/>
  <c r="Z68" i="1"/>
  <c r="BN68" i="1"/>
  <c r="Y74" i="1"/>
  <c r="Z78" i="1"/>
  <c r="BN78" i="1"/>
  <c r="F556" i="1"/>
  <c r="Z87" i="1"/>
  <c r="BN87" i="1"/>
  <c r="Z93" i="1"/>
  <c r="BN93" i="1"/>
  <c r="BP93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4" i="1"/>
  <c r="Z155" i="1" s="1"/>
  <c r="BN154" i="1"/>
  <c r="BP154" i="1"/>
  <c r="Y155" i="1"/>
  <c r="Z159" i="1"/>
  <c r="BN159" i="1"/>
  <c r="Z167" i="1"/>
  <c r="BN167" i="1"/>
  <c r="Y181" i="1"/>
  <c r="Z173" i="1"/>
  <c r="BN173" i="1"/>
  <c r="Z177" i="1"/>
  <c r="BN177" i="1"/>
  <c r="Z185" i="1"/>
  <c r="BN185" i="1"/>
  <c r="Z201" i="1"/>
  <c r="BN201" i="1"/>
  <c r="Z205" i="1"/>
  <c r="BN205" i="1"/>
  <c r="Y228" i="1"/>
  <c r="Z216" i="1"/>
  <c r="BN216" i="1"/>
  <c r="Z220" i="1"/>
  <c r="BN220" i="1"/>
  <c r="Z224" i="1"/>
  <c r="BN224" i="1"/>
  <c r="Z230" i="1"/>
  <c r="BN230" i="1"/>
  <c r="BP230" i="1"/>
  <c r="Z234" i="1"/>
  <c r="BN234" i="1"/>
  <c r="Y242" i="1"/>
  <c r="Z240" i="1"/>
  <c r="BN240" i="1"/>
  <c r="Z255" i="1"/>
  <c r="BN255" i="1"/>
  <c r="Z261" i="1"/>
  <c r="BN261" i="1"/>
  <c r="Z265" i="1"/>
  <c r="BN265" i="1"/>
  <c r="Z273" i="1"/>
  <c r="BN273" i="1"/>
  <c r="Z277" i="1"/>
  <c r="BN277" i="1"/>
  <c r="Z281" i="1"/>
  <c r="BN281" i="1"/>
  <c r="Z292" i="1"/>
  <c r="BN292" i="1"/>
  <c r="Z296" i="1"/>
  <c r="BN296" i="1"/>
  <c r="Z317" i="1"/>
  <c r="BN317" i="1"/>
  <c r="Z326" i="1"/>
  <c r="BN326" i="1"/>
  <c r="Z335" i="1"/>
  <c r="BN335" i="1"/>
  <c r="T556" i="1"/>
  <c r="BP353" i="1"/>
  <c r="BN353" i="1"/>
  <c r="Z353" i="1"/>
  <c r="BP363" i="1"/>
  <c r="BN363" i="1"/>
  <c r="Z363" i="1"/>
  <c r="Y377" i="1"/>
  <c r="BP373" i="1"/>
  <c r="BN373" i="1"/>
  <c r="Z373" i="1"/>
  <c r="BP389" i="1"/>
  <c r="BN389" i="1"/>
  <c r="Z389" i="1"/>
  <c r="BP401" i="1"/>
  <c r="BN401" i="1"/>
  <c r="Z401" i="1"/>
  <c r="BP422" i="1"/>
  <c r="BN422" i="1"/>
  <c r="Z422" i="1"/>
  <c r="BP438" i="1"/>
  <c r="BN438" i="1"/>
  <c r="Z438" i="1"/>
  <c r="X556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43" i="1"/>
  <c r="Y342" i="1"/>
  <c r="Y378" i="1"/>
  <c r="Y397" i="1"/>
  <c r="Y403" i="1"/>
  <c r="Y488" i="1"/>
  <c r="Y487" i="1"/>
  <c r="H9" i="1"/>
  <c r="A10" i="1"/>
  <c r="Y24" i="1"/>
  <c r="Y32" i="1"/>
  <c r="Y42" i="1"/>
  <c r="Y50" i="1"/>
  <c r="Y63" i="1"/>
  <c r="Y69" i="1"/>
  <c r="Y75" i="1"/>
  <c r="Y81" i="1"/>
  <c r="Y90" i="1"/>
  <c r="Y98" i="1"/>
  <c r="Y109" i="1"/>
  <c r="Y117" i="1"/>
  <c r="Y123" i="1"/>
  <c r="Y134" i="1"/>
  <c r="Y138" i="1"/>
  <c r="Y144" i="1"/>
  <c r="Y151" i="1"/>
  <c r="Y164" i="1"/>
  <c r="Y168" i="1"/>
  <c r="Y182" i="1"/>
  <c r="Y186" i="1"/>
  <c r="Y206" i="1"/>
  <c r="Y227" i="1"/>
  <c r="Y235" i="1"/>
  <c r="Y241" i="1"/>
  <c r="Y252" i="1"/>
  <c r="Y256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Y360" i="1"/>
  <c r="BP364" i="1"/>
  <c r="BN364" i="1"/>
  <c r="Z364" i="1"/>
  <c r="BP368" i="1"/>
  <c r="BN368" i="1"/>
  <c r="Z368" i="1"/>
  <c r="BP376" i="1"/>
  <c r="BN376" i="1"/>
  <c r="Z376" i="1"/>
  <c r="Y383" i="1"/>
  <c r="BP380" i="1"/>
  <c r="BN380" i="1"/>
  <c r="Z380" i="1"/>
  <c r="BP388" i="1"/>
  <c r="BN388" i="1"/>
  <c r="Z388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G556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BN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4" i="1" s="1"/>
  <c r="BN73" i="1"/>
  <c r="Z77" i="1"/>
  <c r="BN77" i="1"/>
  <c r="BP77" i="1"/>
  <c r="Z79" i="1"/>
  <c r="BN79" i="1"/>
  <c r="Z84" i="1"/>
  <c r="BN84" i="1"/>
  <c r="BP84" i="1"/>
  <c r="Z86" i="1"/>
  <c r="BN86" i="1"/>
  <c r="Z88" i="1"/>
  <c r="BN88" i="1"/>
  <c r="Y91" i="1"/>
  <c r="Z94" i="1"/>
  <c r="BN94" i="1"/>
  <c r="Z96" i="1"/>
  <c r="BN96" i="1"/>
  <c r="Z101" i="1"/>
  <c r="BN101" i="1"/>
  <c r="BP101" i="1"/>
  <c r="Z103" i="1"/>
  <c r="BN103" i="1"/>
  <c r="Z105" i="1"/>
  <c r="BN105" i="1"/>
  <c r="Z107" i="1"/>
  <c r="BN107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56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Y152" i="1"/>
  <c r="J556" i="1"/>
  <c r="Z160" i="1"/>
  <c r="BN160" i="1"/>
  <c r="Z162" i="1"/>
  <c r="BN162" i="1"/>
  <c r="Y163" i="1"/>
  <c r="Z166" i="1"/>
  <c r="Z168" i="1" s="1"/>
  <c r="BN166" i="1"/>
  <c r="BP166" i="1"/>
  <c r="Z172" i="1"/>
  <c r="BN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K556" i="1"/>
  <c r="Z200" i="1"/>
  <c r="BN200" i="1"/>
  <c r="Z202" i="1"/>
  <c r="BN202" i="1"/>
  <c r="Z204" i="1"/>
  <c r="BN204" i="1"/>
  <c r="Y207" i="1"/>
  <c r="L556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56" i="1"/>
  <c r="Z250" i="1"/>
  <c r="Z251" i="1" s="1"/>
  <c r="BN250" i="1"/>
  <c r="Y251" i="1"/>
  <c r="Z254" i="1"/>
  <c r="Z256" i="1" s="1"/>
  <c r="BN254" i="1"/>
  <c r="BP254" i="1"/>
  <c r="Y267" i="1"/>
  <c r="Z260" i="1"/>
  <c r="BN260" i="1"/>
  <c r="Z262" i="1"/>
  <c r="BN262" i="1"/>
  <c r="Z264" i="1"/>
  <c r="BN264" i="1"/>
  <c r="BP272" i="1"/>
  <c r="BN272" i="1"/>
  <c r="Z272" i="1"/>
  <c r="BP276" i="1"/>
  <c r="BN276" i="1"/>
  <c r="Z276" i="1"/>
  <c r="BP280" i="1"/>
  <c r="BN280" i="1"/>
  <c r="Z280" i="1"/>
  <c r="Y287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21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9" i="1"/>
  <c r="BP354" i="1"/>
  <c r="BN354" i="1"/>
  <c r="Z354" i="1"/>
  <c r="Z360" i="1" s="1"/>
  <c r="BP358" i="1"/>
  <c r="BN358" i="1"/>
  <c r="Z358" i="1"/>
  <c r="Y371" i="1"/>
  <c r="BP366" i="1"/>
  <c r="BN366" i="1"/>
  <c r="Z366" i="1"/>
  <c r="Y370" i="1"/>
  <c r="BP374" i="1"/>
  <c r="BN374" i="1"/>
  <c r="Z374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402" i="1"/>
  <c r="BP407" i="1"/>
  <c r="BN407" i="1"/>
  <c r="Z407" i="1"/>
  <c r="Z408" i="1" s="1"/>
  <c r="Y409" i="1"/>
  <c r="V556" i="1"/>
  <c r="Y415" i="1"/>
  <c r="BP412" i="1"/>
  <c r="BN412" i="1"/>
  <c r="Z412" i="1"/>
  <c r="BP460" i="1"/>
  <c r="BN460" i="1"/>
  <c r="Z460" i="1"/>
  <c r="Y462" i="1"/>
  <c r="Y556" i="1"/>
  <c r="Y473" i="1"/>
  <c r="BP466" i="1"/>
  <c r="BN466" i="1"/>
  <c r="Z466" i="1"/>
  <c r="Y472" i="1"/>
  <c r="BP470" i="1"/>
  <c r="BN470" i="1"/>
  <c r="Z470" i="1"/>
  <c r="P556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56" i="1"/>
  <c r="Y500" i="1"/>
  <c r="Y545" i="1"/>
  <c r="Z267" i="1" l="1"/>
  <c r="Z235" i="1"/>
  <c r="Z227" i="1"/>
  <c r="Z97" i="1"/>
  <c r="Z539" i="1"/>
  <c r="Z506" i="1"/>
  <c r="Z440" i="1"/>
  <c r="Z428" i="1"/>
  <c r="Z415" i="1"/>
  <c r="Z390" i="1"/>
  <c r="Z377" i="1"/>
  <c r="Z336" i="1"/>
  <c r="Z206" i="1"/>
  <c r="Z181" i="1"/>
  <c r="Z163" i="1"/>
  <c r="Z116" i="1"/>
  <c r="Z80" i="1"/>
  <c r="Z62" i="1"/>
  <c r="Z31" i="1"/>
  <c r="Z500" i="1"/>
  <c r="Z370" i="1"/>
  <c r="Z321" i="1"/>
  <c r="Y548" i="1"/>
  <c r="Z516" i="1"/>
  <c r="Z383" i="1"/>
  <c r="Z298" i="1"/>
  <c r="Z282" i="1"/>
  <c r="Y546" i="1"/>
  <c r="Z472" i="1"/>
  <c r="Z151" i="1"/>
  <c r="Z123" i="1"/>
  <c r="Z108" i="1"/>
  <c r="Z90" i="1"/>
  <c r="Z69" i="1"/>
  <c r="Z50" i="1"/>
  <c r="Z41" i="1"/>
  <c r="Y550" i="1"/>
  <c r="Y547" i="1"/>
  <c r="Y549" i="1" s="1"/>
  <c r="Z434" i="1"/>
  <c r="Z328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<sst xmlns="http://schemas.openxmlformats.org/spreadsheetml/2006/main" count="2464" uniqueCount="894">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</sst>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B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46308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866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Вторник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6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1009</v>
      </c>
      <c r="Y46" s="618">
        <f>IFERROR(IF(X46="",0,CEILING((X46/$H46),1)*$H46),"")</f>
        <v>1015.2</v>
      </c>
      <c r="Z46" s="36">
        <f>IFERROR(IF(Y46=0,"",ROUNDUP(Y46/H46,0)*0.01898),"")</f>
        <v>1.7841199999999999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1047.3046296296297</v>
      </c>
      <c r="BN46" s="64">
        <f>IFERROR(Y46*I46/H46,"0")</f>
        <v>1053.74</v>
      </c>
      <c r="BO46" s="64">
        <f>IFERROR(1/J46*(X46/H46),"0")</f>
        <v>1.4597800925925926</v>
      </c>
      <c r="BP46" s="64">
        <f>IFERROR(1/J46*(Y46/H46),"0")</f>
        <v>1.46875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50</v>
      </c>
      <c r="Y49" s="618">
        <f>IFERROR(IF(X49="",0,CEILING((X49/$H49),1)*$H49),"")</f>
        <v>51.800000000000004</v>
      </c>
      <c r="Z49" s="36">
        <f>IFERROR(IF(Y49=0,"",ROUNDUP(Y49/H49,0)*0.00902),"")</f>
        <v>0.12628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52.567567567567565</v>
      </c>
      <c r="BN49" s="64">
        <f>IFERROR(Y49*I49/H49,"0")</f>
        <v>54.46</v>
      </c>
      <c r="BO49" s="64">
        <f>IFERROR(1/J49*(X49/H49),"0")</f>
        <v>0.10237510237510238</v>
      </c>
      <c r="BP49" s="64">
        <f>IFERROR(1/J49*(Y49/H49),"0")</f>
        <v>0.10606060606060606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106.93943943943944</v>
      </c>
      <c r="Y50" s="619">
        <f>IFERROR(Y46/H46,"0")+IFERROR(Y47/H47,"0")+IFERROR(Y48/H48,"0")+IFERROR(Y49/H49,"0")</f>
        <v>108</v>
      </c>
      <c r="Z50" s="619">
        <f>IFERROR(IF(Z46="",0,Z46),"0")+IFERROR(IF(Z47="",0,Z47),"0")+IFERROR(IF(Z48="",0,Z48),"0")+IFERROR(IF(Z49="",0,Z49),"0")</f>
        <v>1.9103999999999999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1059</v>
      </c>
      <c r="Y51" s="619">
        <f>IFERROR(SUM(Y46:Y49),"0")</f>
        <v>1067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448</v>
      </c>
      <c r="Y55" s="618">
        <f t="shared" si="0"/>
        <v>453.6</v>
      </c>
      <c r="Z55" s="36">
        <f>IFERROR(IF(Y55=0,"",ROUNDUP(Y55/H55,0)*0.01898),"")</f>
        <v>0.79715999999999998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465.00740740740736</v>
      </c>
      <c r="BN55" s="64">
        <f t="shared" si="2"/>
        <v>470.82000000000005</v>
      </c>
      <c r="BO55" s="64">
        <f t="shared" si="3"/>
        <v>0.64814814814814814</v>
      </c>
      <c r="BP55" s="64">
        <f t="shared" si="4"/>
        <v>0.65625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41.481481481481481</v>
      </c>
      <c r="Y62" s="619">
        <f>IFERROR(Y54/H54,"0")+IFERROR(Y55/H55,"0")+IFERROR(Y56/H56,"0")+IFERROR(Y57/H57,"0")+IFERROR(Y58/H58,"0")+IFERROR(Y59/H59,"0")+IFERROR(Y60/H60,"0")+IFERROR(Y61/H61,"0")</f>
        <v>42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0.79715999999999998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448</v>
      </c>
      <c r="Y63" s="619">
        <f>IFERROR(SUM(Y54:Y61),"0")</f>
        <v>453.6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287</v>
      </c>
      <c r="Y65" s="618">
        <f>IFERROR(IF(X65="",0,CEILING((X65/$H65),1)*$H65),"")</f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297.89537037037042</v>
      </c>
      <c r="BN65" s="64">
        <f>IFERROR(Y65*I65/H65,"0")</f>
        <v>302.67000000000007</v>
      </c>
      <c r="BO65" s="64">
        <f>IFERROR(1/J65*(X65/H65),"0")</f>
        <v>0.41521990740740738</v>
      </c>
      <c r="BP65" s="64">
        <f>IFERROR(1/J65*(Y65/H65),"0")</f>
        <v>0.421875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26.574074074074073</v>
      </c>
      <c r="Y69" s="619">
        <f>IFERROR(Y65/H65,"0")+IFERROR(Y66/H66,"0")+IFERROR(Y67/H67,"0")+IFERROR(Y68/H68,"0")</f>
        <v>27</v>
      </c>
      <c r="Z69" s="619">
        <f>IFERROR(IF(Z65="",0,Z65),"0")+IFERROR(IF(Z66="",0,Z66),"0")+IFERROR(IF(Z67="",0,Z67),"0")+IFERROR(IF(Z68="",0,Z68),"0")</f>
        <v>0.51246000000000003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287</v>
      </c>
      <c r="Y70" s="619">
        <f>IFERROR(SUM(Y65:Y68),"0")</f>
        <v>291.60000000000002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373</v>
      </c>
      <c r="Y84" s="618">
        <f t="shared" ref="Y84:Y89" si="5"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387.16018518518513</v>
      </c>
      <c r="BN84" s="64">
        <f t="shared" ref="BN84:BN89" si="7">IFERROR(Y84*I84/H84,"0")</f>
        <v>392.34999999999997</v>
      </c>
      <c r="BO84" s="64">
        <f t="shared" ref="BO84:BO89" si="8">IFERROR(1/J84*(X84/H84),"0")</f>
        <v>0.53964120370370372</v>
      </c>
      <c r="BP84" s="64">
        <f t="shared" ref="BP84:BP89" si="9">IFERROR(1/J84*(Y84/H84),"0")</f>
        <v>0.546875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79</v>
      </c>
      <c r="Y89" s="618">
        <f t="shared" si="5"/>
        <v>81</v>
      </c>
      <c r="Z89" s="36">
        <f>IFERROR(IF(Y89=0,"",ROUNDUP(Y89/H89,0)*0.00902),"")</f>
        <v>0.16236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82.335555555555572</v>
      </c>
      <c r="BN89" s="64">
        <f t="shared" si="7"/>
        <v>84.420000000000016</v>
      </c>
      <c r="BO89" s="64">
        <f t="shared" si="8"/>
        <v>0.132996632996633</v>
      </c>
      <c r="BP89" s="64">
        <f t="shared" si="9"/>
        <v>0.13636363636363635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52.092592592592595</v>
      </c>
      <c r="Y90" s="619">
        <f>IFERROR(Y84/H84,"0")+IFERROR(Y85/H85,"0")+IFERROR(Y86/H86,"0")+IFERROR(Y87/H87,"0")+IFERROR(Y88/H88,"0")+IFERROR(Y89/H89,"0")</f>
        <v>53</v>
      </c>
      <c r="Z90" s="619">
        <f>IFERROR(IF(Z84="",0,Z84),"0")+IFERROR(IF(Z85="",0,Z85),"0")+IFERROR(IF(Z86="",0,Z86),"0")+IFERROR(IF(Z87="",0,Z87),"0")+IFERROR(IF(Z88="",0,Z88),"0")+IFERROR(IF(Z89="",0,Z89),"0")</f>
        <v>0.82665999999999995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452</v>
      </c>
      <c r="Y91" s="619">
        <f>IFERROR(SUM(Y84:Y89),"0")</f>
        <v>459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404</v>
      </c>
      <c r="Y93" s="618">
        <f>IFERROR(IF(X93="",0,CEILING((X93/$H93),1)*$H93),"")</f>
        <v>405</v>
      </c>
      <c r="Z93" s="36">
        <f>IFERROR(IF(Y93=0,"",ROUNDUP(Y93/H93,0)*0.01898),"")</f>
        <v>0.94900000000000007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428.63901234567896</v>
      </c>
      <c r="BN93" s="64">
        <f>IFERROR(Y93*I93/H93,"0")</f>
        <v>429.7</v>
      </c>
      <c r="BO93" s="64">
        <f>IFERROR(1/J93*(X93/H93),"0")</f>
        <v>0.77932098765432101</v>
      </c>
      <c r="BP93" s="64">
        <f>IFERROR(1/J93*(Y93/H93),"0")</f>
        <v>0.78125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81</v>
      </c>
      <c r="Y95" s="618">
        <f>IFERROR(IF(X95="",0,CEILING((X95/$H95),1)*$H95),"")</f>
        <v>81</v>
      </c>
      <c r="Z95" s="36">
        <f>IFERROR(IF(Y95=0,"",ROUNDUP(Y95/H95,0)*0.00651),"")</f>
        <v>0.1953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88.559999999999988</v>
      </c>
      <c r="BN95" s="64">
        <f>IFERROR(Y95*I95/H95,"0")</f>
        <v>88.559999999999988</v>
      </c>
      <c r="BO95" s="64">
        <f>IFERROR(1/J95*(X95/H95),"0")</f>
        <v>0.16483516483516483</v>
      </c>
      <c r="BP95" s="64">
        <f>IFERROR(1/J95*(Y95/H95),"0")</f>
        <v>0.16483516483516483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79.876543209876544</v>
      </c>
      <c r="Y97" s="619">
        <f>IFERROR(Y93/H93,"0")+IFERROR(Y94/H94,"0")+IFERROR(Y95/H95,"0")+IFERROR(Y96/H96,"0")</f>
        <v>80</v>
      </c>
      <c r="Z97" s="619">
        <f>IFERROR(IF(Z93="",0,Z93),"0")+IFERROR(IF(Z94="",0,Z94),"0")+IFERROR(IF(Z95="",0,Z95),"0")+IFERROR(IF(Z96="",0,Z96),"0")</f>
        <v>1.1443000000000001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485</v>
      </c>
      <c r="Y98" s="619">
        <f>IFERROR(SUM(Y93:Y96),"0")</f>
        <v>486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454</v>
      </c>
      <c r="Y101" s="618">
        <f t="shared" ref="Y101:Y107" si="10">IFERROR(IF(X101="",0,CEILING((X101/$H101),1)*$H101),"")</f>
        <v>464.40000000000003</v>
      </c>
      <c r="Z101" s="36">
        <f>IFERROR(IF(Y101=0,"",ROUNDUP(Y101/H101,0)*0.01898),"")</f>
        <v>0.81613999999999998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471.23518518518517</v>
      </c>
      <c r="BN101" s="64">
        <f t="shared" ref="BN101:BN107" si="12">IFERROR(Y101*I101/H101,"0")</f>
        <v>482.03000000000003</v>
      </c>
      <c r="BO101" s="64">
        <f t="shared" ref="BO101:BO107" si="13">IFERROR(1/J101*(X101/H101),"0")</f>
        <v>0.65682870370370361</v>
      </c>
      <c r="BP101" s="64">
        <f t="shared" ref="BP101:BP107" si="14">IFERROR(1/J101*(Y101/H101),"0")</f>
        <v>0.671875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42.037037037037031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0.81613999999999998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454</v>
      </c>
      <c r="Y109" s="619">
        <f>IFERROR(SUM(Y101:Y107),"0")</f>
        <v>464.40000000000003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30</v>
      </c>
      <c r="Y115" s="618">
        <f>IFERROR(IF(X115="",0,CEILING((X115/$H115),1)*$H115),"")</f>
        <v>31.2</v>
      </c>
      <c r="Z115" s="36">
        <f>IFERROR(IF(Y115=0,"",ROUNDUP(Y115/H115,0)*0.00651),"")</f>
        <v>8.4629999999999997E-2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32.250000000000007</v>
      </c>
      <c r="BN115" s="64">
        <f>IFERROR(Y115*I115/H115,"0")</f>
        <v>33.54</v>
      </c>
      <c r="BO115" s="64">
        <f>IFERROR(1/J115*(X115/H115),"0")</f>
        <v>6.8681318681318687E-2</v>
      </c>
      <c r="BP115" s="64">
        <f>IFERROR(1/J115*(Y115/H115),"0")</f>
        <v>7.1428571428571438E-2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12.5</v>
      </c>
      <c r="Y116" s="619">
        <f>IFERROR(Y111/H111,"0")+IFERROR(Y112/H112,"0")+IFERROR(Y113/H113,"0")+IFERROR(Y114/H114,"0")+IFERROR(Y115/H115,"0")</f>
        <v>13</v>
      </c>
      <c r="Z116" s="619">
        <f>IFERROR(IF(Z111="",0,Z111),"0")+IFERROR(IF(Z112="",0,Z112),"0")+IFERROR(IF(Z113="",0,Z113),"0")+IFERROR(IF(Z114="",0,Z114),"0")+IFERROR(IF(Z115="",0,Z115),"0")</f>
        <v>8.4629999999999997E-2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30</v>
      </c>
      <c r="Y117" s="619">
        <f>IFERROR(SUM(Y111:Y115),"0")</f>
        <v>31.2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353</v>
      </c>
      <c r="Y119" s="618">
        <f>IFERROR(IF(X119="",0,CEILING((X119/$H119),1)*$H119),"")</f>
        <v>356.4</v>
      </c>
      <c r="Z119" s="36">
        <f>IFERROR(IF(Y119=0,"",ROUNDUP(Y119/H119,0)*0.01898),"")</f>
        <v>0.83511999999999997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374.26716049382713</v>
      </c>
      <c r="BN119" s="64">
        <f>IFERROR(Y119*I119/H119,"0")</f>
        <v>377.87199999999996</v>
      </c>
      <c r="BO119" s="64">
        <f>IFERROR(1/J119*(X119/H119),"0")</f>
        <v>0.68094135802469136</v>
      </c>
      <c r="BP119" s="64">
        <f>IFERROR(1/J119*(Y119/H119),"0")</f>
        <v>0.6875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114</v>
      </c>
      <c r="Y121" s="618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124.64</v>
      </c>
      <c r="BN121" s="64">
        <f>IFERROR(Y121*I121/H121,"0")</f>
        <v>126.93600000000001</v>
      </c>
      <c r="BO121" s="64">
        <f>IFERROR(1/J121*(X121/H121),"0")</f>
        <v>0.231990231990232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85.802469135802468</v>
      </c>
      <c r="Y123" s="619">
        <f>IFERROR(Y119/H119,"0")+IFERROR(Y120/H120,"0")+IFERROR(Y121/H121,"0")+IFERROR(Y122/H122,"0")</f>
        <v>87</v>
      </c>
      <c r="Z123" s="619">
        <f>IFERROR(IF(Z119="",0,Z119),"0")+IFERROR(IF(Z120="",0,Z120),"0")+IFERROR(IF(Z121="",0,Z121),"0")+IFERROR(IF(Z122="",0,Z122),"0")</f>
        <v>1.1150500000000001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467</v>
      </c>
      <c r="Y124" s="619">
        <f>IFERROR(SUM(Y119:Y122),"0")</f>
        <v>472.5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20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6.25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20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22</v>
      </c>
      <c r="Y136" s="618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7.8571428571428577</v>
      </c>
      <c r="Y138" s="619">
        <f>IFERROR(Y136/H136,"0")+IFERROR(Y137/H137,"0")</f>
        <v>8</v>
      </c>
      <c r="Z138" s="619">
        <f>IFERROR(IF(Z136="",0,Z136),"0")+IFERROR(IF(Z137="",0,Z137),"0")</f>
        <v>5.2080000000000001E-2</v>
      </c>
      <c r="AA138" s="620"/>
      <c r="AB138" s="620"/>
      <c r="AC138" s="620"/>
    </row>
    <row r="139" spans="1:68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22</v>
      </c>
      <c r="Y139" s="619">
        <f>IFERROR(SUM(Y136:Y137),"0")</f>
        <v>22.4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531</v>
      </c>
      <c r="Y174" s="618">
        <f t="shared" si="15"/>
        <v>532</v>
      </c>
      <c r="Z174" s="36">
        <f>IFERROR(IF(Y174=0,"",ROUNDUP(Y174/H174,0)*0.00902),"")</f>
        <v>1.37104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559.8257142857143</v>
      </c>
      <c r="BN174" s="64">
        <f t="shared" si="17"/>
        <v>560.88</v>
      </c>
      <c r="BO174" s="64">
        <f t="shared" si="18"/>
        <v>1.1493506493506493</v>
      </c>
      <c r="BP174" s="64">
        <f t="shared" si="19"/>
        <v>1.1515151515151516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151.71428571428572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152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1.37104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531</v>
      </c>
      <c r="Y182" s="619">
        <f>IFERROR(SUM(Y171:Y180),"0")</f>
        <v>532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62</v>
      </c>
      <c r="Y214" s="618">
        <f t="shared" ref="Y214:Y226" si="26">IFERROR(IF(X214="",0,CEILING((X214/$H214),1)*$H214),"")</f>
        <v>63</v>
      </c>
      <c r="Z214" s="36">
        <f>IFERROR(IF(Y214=0,"",ROUNDUP(Y214/H214,0)*0.00902),"")</f>
        <v>0.1353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65.69047619047619</v>
      </c>
      <c r="BN214" s="64">
        <f t="shared" ref="BN214:BN226" si="28">IFERROR(Y214*I214/H214,"0")</f>
        <v>66.75</v>
      </c>
      <c r="BO214" s="64">
        <f t="shared" ref="BO214:BO226" si="29">IFERROR(1/J214*(X214/H214),"0")</f>
        <v>0.11183261183261183</v>
      </c>
      <c r="BP214" s="64">
        <f t="shared" ref="BP214:BP226" si="30">IFERROR(1/J214*(Y214/H214),"0")</f>
        <v>0.11363636363636365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13</v>
      </c>
      <c r="Y217" s="618">
        <f t="shared" si="26"/>
        <v>13.600000000000001</v>
      </c>
      <c r="Z217" s="36">
        <f>IFERROR(IF(Y217=0,"",ROUNDUP(Y217/H217,0)*0.00556),"")</f>
        <v>9.4519999999999993E-2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15.112499999999999</v>
      </c>
      <c r="BN217" s="64">
        <f t="shared" si="28"/>
        <v>15.81</v>
      </c>
      <c r="BO217" s="64">
        <f t="shared" si="29"/>
        <v>6.4484126984126977E-2</v>
      </c>
      <c r="BP217" s="64">
        <f t="shared" si="30"/>
        <v>6.7460317460317457E-2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11</v>
      </c>
      <c r="Y223" s="618">
        <f t="shared" si="26"/>
        <v>11.200000000000001</v>
      </c>
      <c r="Z223" s="36">
        <f>IFERROR(IF(Y223=0,"",ROUNDUP(Y223/H223,0)*0.00417),"")</f>
        <v>5.8380000000000001E-2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13.887499999999999</v>
      </c>
      <c r="BN223" s="64">
        <f t="shared" si="28"/>
        <v>14.14</v>
      </c>
      <c r="BO223" s="64">
        <f t="shared" si="29"/>
        <v>4.0922619047619048E-2</v>
      </c>
      <c r="BP223" s="64">
        <f t="shared" si="30"/>
        <v>4.1666666666666664E-2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44.761904761904759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46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0.28820000000000001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86</v>
      </c>
      <c r="Y228" s="619">
        <f>IFERROR(SUM(Y214:Y226),"0")</f>
        <v>87.8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109</v>
      </c>
      <c r="Y260" s="618">
        <f t="shared" si="31"/>
        <v>113.4</v>
      </c>
      <c r="Z260" s="36">
        <f>IFERROR(IF(Y260=0,"",ROUNDUP(Y260/H260,0)*0.00902),"")</f>
        <v>0.18942000000000001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112.83518518518517</v>
      </c>
      <c r="BN260" s="64">
        <f t="shared" si="33"/>
        <v>117.39</v>
      </c>
      <c r="BO260" s="64">
        <f t="shared" si="34"/>
        <v>0.15291806958473625</v>
      </c>
      <c r="BP260" s="64">
        <f t="shared" si="35"/>
        <v>0.15909090909090909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20.185185185185183</v>
      </c>
      <c r="Y267" s="619">
        <f>IFERROR(Y259/H259,"0")+IFERROR(Y260/H260,"0")+IFERROR(Y261/H261,"0")+IFERROR(Y262/H262,"0")+IFERROR(Y263/H263,"0")+IFERROR(Y264/H264,"0")+IFERROR(Y265/H265,"0")+IFERROR(Y266/H266,"0")</f>
        <v>21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0.18942000000000001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109</v>
      </c>
      <c r="Y268" s="619">
        <f>IFERROR(SUM(Y259:Y266),"0")</f>
        <v>113.4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174</v>
      </c>
      <c r="Y270" s="618">
        <f t="shared" ref="Y270:Y281" si="36">IFERROR(IF(X270="",0,CEILING((X270/$H270),1)*$H270),"")</f>
        <v>178.2</v>
      </c>
      <c r="Z270" s="36">
        <f>IFERROR(IF(Y270=0,"",ROUNDUP(Y270/H270,0)*0.01898),"")</f>
        <v>0.41755999999999999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184.61185185185187</v>
      </c>
      <c r="BN270" s="64">
        <f t="shared" ref="BN270:BN281" si="38">IFERROR(Y270*I270/H270,"0")</f>
        <v>189.06799999999998</v>
      </c>
      <c r="BO270" s="64">
        <f t="shared" ref="BO270:BO281" si="39">IFERROR(1/J270*(X270/H270),"0")</f>
        <v>0.33564814814814814</v>
      </c>
      <c r="BP270" s="64">
        <f t="shared" ref="BP270:BP281" si="40">IFERROR(1/J270*(Y270/H270),"0")</f>
        <v>0.34375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132</v>
      </c>
      <c r="Y273" s="618">
        <f t="shared" si="36"/>
        <v>132</v>
      </c>
      <c r="Z273" s="36">
        <f>IFERROR(IF(Y273=0,"",ROUNDUP(Y273/H273,0)*0.00651),"")</f>
        <v>0.35805000000000003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146.85</v>
      </c>
      <c r="BN273" s="64">
        <f t="shared" si="38"/>
        <v>146.85</v>
      </c>
      <c r="BO273" s="64">
        <f t="shared" si="39"/>
        <v>0.30219780219780223</v>
      </c>
      <c r="BP273" s="64">
        <f t="shared" si="40"/>
        <v>0.30219780219780223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728</v>
      </c>
      <c r="Y276" s="618">
        <f t="shared" si="36"/>
        <v>729.6</v>
      </c>
      <c r="Z276" s="36">
        <f>IFERROR(IF(Y276=0,"",ROUNDUP(Y276/H276,0)*0.00651),"")</f>
        <v>1.9790400000000001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804.44</v>
      </c>
      <c r="BN276" s="64">
        <f t="shared" si="38"/>
        <v>806.20800000000008</v>
      </c>
      <c r="BO276" s="64">
        <f t="shared" si="39"/>
        <v>1.666666666666667</v>
      </c>
      <c r="BP276" s="64">
        <f t="shared" si="40"/>
        <v>1.6703296703296704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91</v>
      </c>
      <c r="Y278" s="618">
        <f t="shared" si="36"/>
        <v>91.2</v>
      </c>
      <c r="Z278" s="36">
        <f>IFERROR(IF(Y278=0,"",ROUNDUP(Y278/H278,0)*0.00651),"")</f>
        <v>0.24738000000000002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100.55500000000001</v>
      </c>
      <c r="BN278" s="64">
        <f t="shared" si="38"/>
        <v>100.77600000000001</v>
      </c>
      <c r="BO278" s="64">
        <f t="shared" si="39"/>
        <v>0.20833333333333337</v>
      </c>
      <c r="BP278" s="64">
        <f t="shared" si="40"/>
        <v>0.2087912087912088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139</v>
      </c>
      <c r="Y279" s="618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153.59500000000003</v>
      </c>
      <c r="BN279" s="64">
        <f t="shared" si="38"/>
        <v>153.816</v>
      </c>
      <c r="BO279" s="64">
        <f t="shared" si="39"/>
        <v>0.31822344322344326</v>
      </c>
      <c r="BP279" s="64">
        <f t="shared" si="40"/>
        <v>0.31868131868131871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83</v>
      </c>
      <c r="Y280" s="618">
        <f t="shared" si="36"/>
        <v>84</v>
      </c>
      <c r="Z280" s="36">
        <f>IFERROR(IF(Y280=0,"",ROUNDUP(Y280/H280,0)*0.00651),"")</f>
        <v>0.22785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91.922499999999999</v>
      </c>
      <c r="BN280" s="64">
        <f t="shared" si="38"/>
        <v>93.03</v>
      </c>
      <c r="BO280" s="64">
        <f t="shared" si="39"/>
        <v>0.19001831501831504</v>
      </c>
      <c r="BP280" s="64">
        <f t="shared" si="40"/>
        <v>0.19230769230769232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510.23148148148152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512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3.6074600000000006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1347</v>
      </c>
      <c r="Y283" s="619">
        <f>IFERROR(SUM(Y270:Y281),"0")</f>
        <v>1354.2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59</v>
      </c>
      <c r="Y326" s="618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65.195000000000007</v>
      </c>
      <c r="BN326" s="64">
        <f>IFERROR(Y326*I326/H326,"0")</f>
        <v>66.300000000000011</v>
      </c>
      <c r="BO326" s="64">
        <f>IFERROR(1/J326*(X326/H326),"0")</f>
        <v>0.13507326007326009</v>
      </c>
      <c r="BP326" s="64">
        <f>IFERROR(1/J326*(Y326/H326),"0")</f>
        <v>0.13736263736263737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77</v>
      </c>
      <c r="Y327" s="618">
        <f>IFERROR(IF(X327="",0,CEILING((X327/$H327),1)*$H327),"")</f>
        <v>79.2</v>
      </c>
      <c r="Z327" s="36">
        <f>IFERROR(IF(Y327=0,"",ROUNDUP(Y327/H327,0)*0.00651),"")</f>
        <v>0.21482999999999999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82.775000000000006</v>
      </c>
      <c r="BN327" s="64">
        <f>IFERROR(Y327*I327/H327,"0")</f>
        <v>85.140000000000015</v>
      </c>
      <c r="BO327" s="64">
        <f>IFERROR(1/J327*(X327/H327),"0")</f>
        <v>0.17628205128205132</v>
      </c>
      <c r="BP327" s="64">
        <f>IFERROR(1/J327*(Y327/H327),"0")</f>
        <v>0.18131868131868134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56.666666666666671</v>
      </c>
      <c r="Y328" s="619">
        <f>IFERROR(Y325/H325,"0")+IFERROR(Y326/H326,"0")+IFERROR(Y327/H327,"0")</f>
        <v>58</v>
      </c>
      <c r="Z328" s="619">
        <f>IFERROR(IF(Z325="",0,Z325),"0")+IFERROR(IF(Z326="",0,Z326),"0")+IFERROR(IF(Z327="",0,Z327),"0")</f>
        <v>0.37758000000000003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136</v>
      </c>
      <c r="Y329" s="619">
        <f>IFERROR(SUM(Y325:Y327),"0")</f>
        <v>139.19999999999999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237</v>
      </c>
      <c r="Y346" s="618">
        <f>IFERROR(IF(X346="",0,CEILING((X346/$H346),1)*$H346),"")</f>
        <v>241.79999999999998</v>
      </c>
      <c r="Z346" s="36">
        <f>IFERROR(IF(Y346=0,"",ROUNDUP(Y346/H346,0)*0.01898),"")</f>
        <v>0.58838000000000001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249.45769230769233</v>
      </c>
      <c r="BN346" s="64">
        <f>IFERROR(Y346*I346/H346,"0")</f>
        <v>254.51000000000002</v>
      </c>
      <c r="BO346" s="64">
        <f>IFERROR(1/J346*(X346/H346),"0")</f>
        <v>0.47475961538461542</v>
      </c>
      <c r="BP346" s="64">
        <f>IFERROR(1/J346*(Y346/H346),"0")</f>
        <v>0.484375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326</v>
      </c>
      <c r="Y347" s="618">
        <f>IFERROR(IF(X347="",0,CEILING((X347/$H347),1)*$H347),"")</f>
        <v>327.59999999999997</v>
      </c>
      <c r="Z347" s="36">
        <f>IFERROR(IF(Y347=0,"",ROUNDUP(Y347/H347,0)*0.01898),"")</f>
        <v>0.79715999999999998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343.1358974358975</v>
      </c>
      <c r="BN347" s="64">
        <f>IFERROR(Y347*I347/H347,"0")</f>
        <v>344.82</v>
      </c>
      <c r="BO347" s="64">
        <f>IFERROR(1/J347*(X347/H347),"0")</f>
        <v>0.65304487179487181</v>
      </c>
      <c r="BP347" s="64">
        <f>IFERROR(1/J347*(Y347/H347),"0")</f>
        <v>0.65625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97</v>
      </c>
      <c r="Y348" s="618">
        <f>IFERROR(IF(X348="",0,CEILING((X348/$H348),1)*$H348),"")</f>
        <v>101.39999999999999</v>
      </c>
      <c r="Z348" s="36">
        <f>IFERROR(IF(Y348=0,"",ROUNDUP(Y348/H348,0)*0.01898),"")</f>
        <v>0.24674000000000001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102.09871794871796</v>
      </c>
      <c r="BN348" s="64">
        <f>IFERROR(Y348*I348/H348,"0")</f>
        <v>106.73</v>
      </c>
      <c r="BO348" s="64">
        <f>IFERROR(1/J348*(X348/H348),"0")</f>
        <v>0.19431089743589744</v>
      </c>
      <c r="BP348" s="64">
        <f>IFERROR(1/J348*(Y348/H348),"0")</f>
        <v>0.203125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84.615384615384613</v>
      </c>
      <c r="Y349" s="619">
        <f>IFERROR(Y346/H346,"0")+IFERROR(Y347/H347,"0")+IFERROR(Y348/H348,"0")</f>
        <v>86</v>
      </c>
      <c r="Z349" s="619">
        <f>IFERROR(IF(Z346="",0,Z346),"0")+IFERROR(IF(Z347="",0,Z347),"0")+IFERROR(IF(Z348="",0,Z348),"0")</f>
        <v>1.63228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660</v>
      </c>
      <c r="Y350" s="619">
        <f>IFERROR(SUM(Y346:Y348),"0")</f>
        <v>670.8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91</v>
      </c>
      <c r="Y380" s="618">
        <f>IFERROR(IF(X380="",0,CEILING((X380/$H380),1)*$H380),"")</f>
        <v>92.4</v>
      </c>
      <c r="Z380" s="36">
        <f>IFERROR(IF(Y380=0,"",ROUNDUP(Y380/H380,0)*0.01898),"")</f>
        <v>0.20877999999999999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96.351666666666674</v>
      </c>
      <c r="BN380" s="64">
        <f>IFERROR(Y380*I380/H380,"0")</f>
        <v>97.834000000000003</v>
      </c>
      <c r="BO380" s="64">
        <f>IFERROR(1/J380*(X380/H380),"0")</f>
        <v>0.16927083333333331</v>
      </c>
      <c r="BP380" s="64">
        <f>IFERROR(1/J380*(Y380/H380),"0")</f>
        <v>0.171875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438</v>
      </c>
      <c r="Y381" s="618">
        <f>IFERROR(IF(X381="",0,CEILING((X381/$H381),1)*$H381),"")</f>
        <v>444.59999999999997</v>
      </c>
      <c r="Z381" s="36">
        <f>IFERROR(IF(Y381=0,"",ROUNDUP(Y381/H381,0)*0.01898),"")</f>
        <v>1.08186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465.74000000000007</v>
      </c>
      <c r="BN381" s="64">
        <f>IFERROR(Y381*I381/H381,"0")</f>
        <v>472.75800000000004</v>
      </c>
      <c r="BO381" s="64">
        <f>IFERROR(1/J381*(X381/H381),"0")</f>
        <v>0.87740384615384615</v>
      </c>
      <c r="BP381" s="64">
        <f>IFERROR(1/J381*(Y381/H381),"0")</f>
        <v>0.890625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89</v>
      </c>
      <c r="Y382" s="618">
        <f>IFERROR(IF(X382="",0,CEILING((X382/$H382),1)*$H382),"")</f>
        <v>92.4</v>
      </c>
      <c r="Z382" s="36">
        <f>IFERROR(IF(Y382=0,"",ROUNDUP(Y382/H382,0)*0.01898),"")</f>
        <v>0.20877999999999999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94.234047619047615</v>
      </c>
      <c r="BN382" s="64">
        <f>IFERROR(Y382*I382/H382,"0")</f>
        <v>97.834000000000003</v>
      </c>
      <c r="BO382" s="64">
        <f>IFERROR(1/J382*(X382/H382),"0")</f>
        <v>0.16555059523809523</v>
      </c>
      <c r="BP382" s="64">
        <f>IFERROR(1/J382*(Y382/H382),"0")</f>
        <v>0.171875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77.582417582417577</v>
      </c>
      <c r="Y383" s="619">
        <f>IFERROR(Y380/H380,"0")+IFERROR(Y381/H381,"0")+IFERROR(Y382/H382,"0")</f>
        <v>79</v>
      </c>
      <c r="Z383" s="619">
        <f>IFERROR(IF(Z380="",0,Z380),"0")+IFERROR(IF(Z381="",0,Z381),"0")+IFERROR(IF(Z382="",0,Z382),"0")</f>
        <v>1.49942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618</v>
      </c>
      <c r="Y384" s="619">
        <f>IFERROR(SUM(Y380:Y382),"0")</f>
        <v>629.4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18</v>
      </c>
      <c r="Y389" s="618">
        <f>IFERROR(IF(X389="",0,CEILING((X389/$H389),1)*$H389),"")</f>
        <v>20.399999999999999</v>
      </c>
      <c r="Z389" s="36">
        <f>IFERROR(IF(Y389=0,"",ROUNDUP(Y389/H389,0)*0.00651),"")</f>
        <v>5.2080000000000001E-2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20.329411764705881</v>
      </c>
      <c r="BN389" s="64">
        <f>IFERROR(Y389*I389/H389,"0")</f>
        <v>23.04</v>
      </c>
      <c r="BO389" s="64">
        <f>IFERROR(1/J389*(X389/H389),"0")</f>
        <v>3.8784744667097616E-2</v>
      </c>
      <c r="BP389" s="64">
        <f>IFERROR(1/J389*(Y389/H389),"0")</f>
        <v>4.3956043956043959E-2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7.0588235294117654</v>
      </c>
      <c r="Y390" s="619">
        <f>IFERROR(Y386/H386,"0")+IFERROR(Y387/H387,"0")+IFERROR(Y388/H388,"0")+IFERROR(Y389/H389,"0")</f>
        <v>8</v>
      </c>
      <c r="Z390" s="619">
        <f>IFERROR(IF(Z386="",0,Z386),"0")+IFERROR(IF(Z387="",0,Z387),"0")+IFERROR(IF(Z388="",0,Z388),"0")+IFERROR(IF(Z389="",0,Z389),"0")</f>
        <v>5.2080000000000001E-2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18</v>
      </c>
      <c r="Y391" s="619">
        <f>IFERROR(SUM(Y386:Y389),"0")</f>
        <v>20.399999999999999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22</v>
      </c>
      <c r="Y393" s="618">
        <f>IFERROR(IF(X393="",0,CEILING((X393/$H393),1)*$H393),"")</f>
        <v>22</v>
      </c>
      <c r="Z393" s="36">
        <f>IFERROR(IF(Y393=0,"",ROUNDUP(Y393/H393,0)*0.00474),"")</f>
        <v>5.2140000000000006E-2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24.64</v>
      </c>
      <c r="BN393" s="64">
        <f>IFERROR(Y393*I393/H393,"0")</f>
        <v>24.64</v>
      </c>
      <c r="BO393" s="64">
        <f>IFERROR(1/J393*(X393/H393),"0")</f>
        <v>4.6218487394957979E-2</v>
      </c>
      <c r="BP393" s="64">
        <f>IFERROR(1/J393*(Y393/H393),"0")</f>
        <v>4.6218487394957979E-2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24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0.11376000000000001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48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1695</v>
      </c>
      <c r="Y421" s="618">
        <f t="shared" si="61"/>
        <v>1695</v>
      </c>
      <c r="Z421" s="36">
        <f>IFERROR(IF(Y421=0,"",ROUNDUP(Y421/H421,0)*0.02175),"")</f>
        <v>2.4577499999999999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1748.1100000000001</v>
      </c>
      <c r="BN421" s="64">
        <f t="shared" si="63"/>
        <v>1748.1100000000001</v>
      </c>
      <c r="BO421" s="64">
        <f t="shared" si="64"/>
        <v>2.3541666666666665</v>
      </c>
      <c r="BP421" s="64">
        <f t="shared" si="65"/>
        <v>2.3541666666666665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1319</v>
      </c>
      <c r="Y422" s="618">
        <f t="shared" si="61"/>
        <v>1320</v>
      </c>
      <c r="Z422" s="36">
        <f>IFERROR(IF(Y422=0,"",ROUNDUP(Y422/H422,0)*0.02175),"")</f>
        <v>1.9139999999999999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1360.3286666666668</v>
      </c>
      <c r="BN422" s="64">
        <f t="shared" si="63"/>
        <v>1361.3600000000001</v>
      </c>
      <c r="BO422" s="64">
        <f t="shared" si="64"/>
        <v>1.8319444444444444</v>
      </c>
      <c r="BP422" s="64">
        <f t="shared" si="65"/>
        <v>1.8333333333333333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410</v>
      </c>
      <c r="Y423" s="618">
        <f t="shared" si="61"/>
        <v>420</v>
      </c>
      <c r="Z423" s="36">
        <f>IFERROR(IF(Y423=0,"",ROUNDUP(Y423/H423,0)*0.02175),"")</f>
        <v>0.60899999999999999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422.84666666666664</v>
      </c>
      <c r="BN423" s="64">
        <f t="shared" si="63"/>
        <v>433.16</v>
      </c>
      <c r="BO423" s="64">
        <f t="shared" si="64"/>
        <v>0.56944444444444442</v>
      </c>
      <c r="BP423" s="64">
        <f t="shared" si="65"/>
        <v>0.58333333333333326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1108</v>
      </c>
      <c r="Y424" s="618">
        <f t="shared" si="61"/>
        <v>1110</v>
      </c>
      <c r="Z424" s="36">
        <f>IFERROR(IF(Y424=0,"",ROUNDUP(Y424/H424,0)*0.02175),"")</f>
        <v>1.6094999999999999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1142.7173333333335</v>
      </c>
      <c r="BN424" s="64">
        <f t="shared" si="63"/>
        <v>1144.78</v>
      </c>
      <c r="BO424" s="64">
        <f t="shared" si="64"/>
        <v>1.5388888888888888</v>
      </c>
      <c r="BP424" s="64">
        <f t="shared" si="65"/>
        <v>1.5416666666666665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302.13333333333333</v>
      </c>
      <c r="Y428" s="619">
        <f>IFERROR(Y420/H420,"0")+IFERROR(Y421/H421,"0")+IFERROR(Y422/H422,"0")+IFERROR(Y423/H423,"0")+IFERROR(Y424/H424,"0")+IFERROR(Y425/H425,"0")+IFERROR(Y426/H426,"0")+IFERROR(Y427/H427,"0")</f>
        <v>303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6.5902499999999993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4532</v>
      </c>
      <c r="Y429" s="619">
        <f>IFERROR(SUM(Y420:Y427),"0")</f>
        <v>4545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2270</v>
      </c>
      <c r="Y431" s="618">
        <f>IFERROR(IF(X431="",0,CEILING((X431/$H431),1)*$H431),"")</f>
        <v>2280</v>
      </c>
      <c r="Z431" s="36">
        <f>IFERROR(IF(Y431=0,"",ROUNDUP(Y431/H431,0)*0.02175),"")</f>
        <v>3.3059999999999996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2341.1266666666666</v>
      </c>
      <c r="BN431" s="64">
        <f>IFERROR(Y431*I431/H431,"0")</f>
        <v>2351.44</v>
      </c>
      <c r="BO431" s="64">
        <f>IFERROR(1/J431*(X431/H431),"0")</f>
        <v>3.1527777777777777</v>
      </c>
      <c r="BP431" s="64">
        <f>IFERROR(1/J431*(Y431/H431),"0")</f>
        <v>3.1666666666666665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151.33333333333334</v>
      </c>
      <c r="Y434" s="619">
        <f>IFERROR(Y431/H431,"0")+IFERROR(Y432/H432,"0")+IFERROR(Y433/H433,"0")</f>
        <v>152</v>
      </c>
      <c r="Z434" s="619">
        <f>IFERROR(IF(Z431="",0,Z431),"0")+IFERROR(IF(Z432="",0,Z432),"0")+IFERROR(IF(Z433="",0,Z433),"0")</f>
        <v>3.3059999999999996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2270</v>
      </c>
      <c r="Y435" s="619">
        <f>IFERROR(SUM(Y431:Y433),"0")</f>
        <v>2280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717</v>
      </c>
      <c r="Y458" s="618">
        <f>IFERROR(IF(X458="",0,CEILING((X458/$H458),1)*$H458),"")</f>
        <v>720</v>
      </c>
      <c r="Z458" s="36">
        <f>IFERROR(IF(Y458=0,"",ROUNDUP(Y458/H458,0)*0.01898),"")</f>
        <v>1.5184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756.35533333333331</v>
      </c>
      <c r="BN458" s="64">
        <f>IFERROR(Y458*I458/H458,"0")</f>
        <v>759.52</v>
      </c>
      <c r="BO458" s="64">
        <f>IFERROR(1/J458*(X458/H458),"0")</f>
        <v>1.2447916666666667</v>
      </c>
      <c r="BP458" s="64">
        <f>IFERROR(1/J458*(Y458/H458),"0")</f>
        <v>1.25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79.666666666666671</v>
      </c>
      <c r="Y461" s="619">
        <f>IFERROR(Y458/H458,"0")+IFERROR(Y459/H459,"0")+IFERROR(Y460/H460,"0")</f>
        <v>80</v>
      </c>
      <c r="Z461" s="619">
        <f>IFERROR(IF(Z458="",0,Z458),"0")+IFERROR(IF(Z459="",0,Z459),"0")+IFERROR(IF(Z460="",0,Z460),"0")</f>
        <v>1.5184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717</v>
      </c>
      <c r="Y462" s="619">
        <f>IFERROR(SUM(Y458:Y460),"0")</f>
        <v>720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453</v>
      </c>
      <c r="Y495" s="618">
        <f t="shared" si="71"/>
        <v>454.08000000000004</v>
      </c>
      <c r="Z495" s="36">
        <f>IFERROR(IF(Y495=0,"",ROUNDUP(Y495/H495,0)*0.01196),"")</f>
        <v>1.0285599999999999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483.02840909090907</v>
      </c>
      <c r="BN495" s="64">
        <f t="shared" si="73"/>
        <v>484.18</v>
      </c>
      <c r="BO495" s="64">
        <f t="shared" si="74"/>
        <v>0.82495629370629375</v>
      </c>
      <c r="BP495" s="64">
        <f t="shared" si="75"/>
        <v>0.82692307692307698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659</v>
      </c>
      <c r="Y496" s="618">
        <f t="shared" si="71"/>
        <v>660</v>
      </c>
      <c r="Z496" s="36">
        <f>IFERROR(IF(Y496=0,"",ROUNDUP(Y496/H496,0)*0.01196),"")</f>
        <v>1.4950000000000001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702.68371212121212</v>
      </c>
      <c r="BN496" s="64">
        <f t="shared" si="73"/>
        <v>703.74999999999989</v>
      </c>
      <c r="BO496" s="64">
        <f t="shared" si="74"/>
        <v>1.2001019813519813</v>
      </c>
      <c r="BP496" s="64">
        <f t="shared" si="75"/>
        <v>1.2019230769230771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210.60606060606059</v>
      </c>
      <c r="Y500" s="619">
        <f>IFERROR(Y492/H492,"0")+IFERROR(Y493/H493,"0")+IFERROR(Y494/H494,"0")+IFERROR(Y495/H495,"0")+IFERROR(Y496/H496,"0")+IFERROR(Y497/H497,"0")+IFERROR(Y498/H498,"0")+IFERROR(Y499/H499,"0")</f>
        <v>211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2.5235599999999998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1112</v>
      </c>
      <c r="Y501" s="619">
        <f>IFERROR(SUM(Y492:Y499),"0")</f>
        <v>1114.08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505</v>
      </c>
      <c r="Y503" s="618">
        <f>IFERROR(IF(X503="",0,CEILING((X503/$H503),1)*$H503),"")</f>
        <v>506.88</v>
      </c>
      <c r="Z503" s="36">
        <f>IFERROR(IF(Y503=0,"",ROUNDUP(Y503/H503,0)*0.01196),"")</f>
        <v>1.1481600000000001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538.47537878787875</v>
      </c>
      <c r="BN503" s="64">
        <f>IFERROR(Y503*I503/H503,"0")</f>
        <v>540.4799999999999</v>
      </c>
      <c r="BO503" s="64">
        <f>IFERROR(1/J503*(X503/H503),"0")</f>
        <v>0.91965326340326348</v>
      </c>
      <c r="BP503" s="64">
        <f>IFERROR(1/J503*(Y503/H503),"0")</f>
        <v>0.92307692307692313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95.643939393939391</v>
      </c>
      <c r="Y506" s="619">
        <f>IFERROR(Y503/H503,"0")+IFERROR(Y504/H504,"0")+IFERROR(Y505/H505,"0")</f>
        <v>96</v>
      </c>
      <c r="Z506" s="619">
        <f>IFERROR(IF(Z503="",0,Z503),"0")+IFERROR(IF(Z504="",0,Z504),"0")+IFERROR(IF(Z505="",0,Z505),"0")</f>
        <v>1.1481600000000001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505</v>
      </c>
      <c r="Y507" s="619">
        <f>IFERROR(SUM(Y503:Y505),"0")</f>
        <v>506.88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63</v>
      </c>
      <c r="Y509" s="618">
        <f t="shared" ref="Y509:Y515" si="76">IFERROR(IF(X509="",0,CEILING((X509/$H509),1)*$H509),"")</f>
        <v>63.36</v>
      </c>
      <c r="Z509" s="36">
        <f>IFERROR(IF(Y509=0,"",ROUNDUP(Y509/H509,0)*0.01196),"")</f>
        <v>0.14352000000000001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67.17613636363636</v>
      </c>
      <c r="BN509" s="64">
        <f t="shared" ref="BN509:BN515" si="78">IFERROR(Y509*I509/H509,"0")</f>
        <v>67.559999999999988</v>
      </c>
      <c r="BO509" s="64">
        <f t="shared" ref="BO509:BO515" si="79">IFERROR(1/J509*(X509/H509),"0")</f>
        <v>0.11472902097902099</v>
      </c>
      <c r="BP509" s="64">
        <f t="shared" ref="BP509:BP515" si="80">IFERROR(1/J509*(Y509/H509),"0")</f>
        <v>0.11538461538461539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243</v>
      </c>
      <c r="Y510" s="618">
        <f t="shared" si="76"/>
        <v>248.16000000000003</v>
      </c>
      <c r="Z510" s="36">
        <f>IFERROR(IF(Y510=0,"",ROUNDUP(Y510/H510,0)*0.01196),"")</f>
        <v>0.56211999999999995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259.1079545454545</v>
      </c>
      <c r="BN510" s="64">
        <f t="shared" si="78"/>
        <v>264.61</v>
      </c>
      <c r="BO510" s="64">
        <f t="shared" si="79"/>
        <v>0.4425262237762238</v>
      </c>
      <c r="BP510" s="64">
        <f t="shared" si="80"/>
        <v>0.45192307692307693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379</v>
      </c>
      <c r="Y511" s="618">
        <f t="shared" si="76"/>
        <v>380.16</v>
      </c>
      <c r="Z511" s="36">
        <f>IFERROR(IF(Y511=0,"",ROUNDUP(Y511/H511,0)*0.01196),"")</f>
        <v>0.86112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404.12310606060606</v>
      </c>
      <c r="BN511" s="64">
        <f t="shared" si="78"/>
        <v>405.35999999999996</v>
      </c>
      <c r="BO511" s="64">
        <f t="shared" si="79"/>
        <v>0.6901952214452215</v>
      </c>
      <c r="BP511" s="64">
        <f t="shared" si="80"/>
        <v>0.69230769230769229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129.7348484848485</v>
      </c>
      <c r="Y516" s="619">
        <f>IFERROR(Y509/H509,"0")+IFERROR(Y510/H510,"0")+IFERROR(Y511/H511,"0")+IFERROR(Y512/H512,"0")+IFERROR(Y513/H513,"0")+IFERROR(Y514/H514,"0")+IFERROR(Y515/H515,"0")</f>
        <v>131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1.5667599999999999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685</v>
      </c>
      <c r="Y517" s="619">
        <f>IFERROR(SUM(Y509:Y515),"0")</f>
        <v>691.68000000000006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17098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17222.939999999999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17945.575312918445</v>
      </c>
      <c r="Y547" s="619">
        <f>IFERROR(SUM(BN22:BN543),"0")</f>
        <v>18077.056000000004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29</v>
      </c>
      <c r="Y548" s="38">
        <f>ROUNDUP(SUM(BP22:BP543),0)</f>
        <v>29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18670.575312918445</v>
      </c>
      <c r="Y549" s="619">
        <f>GrossWeightTotalR+PalletQtyTotalR*25</f>
        <v>18802.056000000004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2407.3451111823661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2427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33.088819999999998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1067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745.2</v>
      </c>
      <c r="F556" s="46">
        <f>IFERROR(Y84*1,"0")+IFERROR(Y85*1,"0")+IFERROR(Y86*1,"0")+IFERROR(Y87*1,"0")+IFERROR(Y88*1,"0")+IFERROR(Y89*1,"0")+IFERROR(Y93*1,"0")+IFERROR(Y94*1,"0")+IFERROR(Y95*1,"0")+IFERROR(Y96*1,"0")</f>
        <v>945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968.1</v>
      </c>
      <c r="H556" s="46">
        <f>IFERROR(Y131*1,"0")+IFERROR(Y132*1,"0")+IFERROR(Y136*1,"0")+IFERROR(Y137*1,"0")+IFERROR(Y141*1,"0")+IFERROR(Y142*1,"0")</f>
        <v>44.8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532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87.8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1467.6000000000001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139.19999999999999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670.8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697.8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6825</v>
      </c>
      <c r="X556" s="46">
        <f>IFERROR(Y449*1,"0")+IFERROR(Y450*1,"0")+IFERROR(Y454*1,"0")+IFERROR(Y458*1,"0")+IFERROR(Y459*1,"0")+IFERROR(Y460*1,"0")</f>
        <v>720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2312.64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9,00"/>
        <filter val="1 059,00"/>
        <filter val="1 108,00"/>
        <filter val="1 112,00"/>
        <filter val="1 319,00"/>
        <filter val="1 347,00"/>
        <filter val="1 695,00"/>
        <filter val="106,94"/>
        <filter val="109,00"/>
        <filter val="11,00"/>
        <filter val="114,00"/>
        <filter val="12,50"/>
        <filter val="129,73"/>
        <filter val="13,00"/>
        <filter val="132,00"/>
        <filter val="136,00"/>
        <filter val="139,00"/>
        <filter val="151,33"/>
        <filter val="151,71"/>
        <filter val="17 098,00"/>
        <filter val="17 945,58"/>
        <filter val="174,00"/>
        <filter val="18 670,58"/>
        <filter val="18,00"/>
        <filter val="2 270,00"/>
        <filter val="2 407,35"/>
        <filter val="20,00"/>
        <filter val="20,19"/>
        <filter val="210,61"/>
        <filter val="22,00"/>
        <filter val="237,00"/>
        <filter val="24,00"/>
        <filter val="243,00"/>
        <filter val="26,57"/>
        <filter val="287,00"/>
        <filter val="29"/>
        <filter val="30,00"/>
        <filter val="302,13"/>
        <filter val="326,00"/>
        <filter val="353,00"/>
        <filter val="373,00"/>
        <filter val="379,00"/>
        <filter val="4 532,00"/>
        <filter val="404,00"/>
        <filter val="41,48"/>
        <filter val="410,00"/>
        <filter val="42,04"/>
        <filter val="438,00"/>
        <filter val="44,76"/>
        <filter val="448,00"/>
        <filter val="452,00"/>
        <filter val="453,00"/>
        <filter val="454,00"/>
        <filter val="467,00"/>
        <filter val="48,00"/>
        <filter val="485,00"/>
        <filter val="50,00"/>
        <filter val="505,00"/>
        <filter val="510,23"/>
        <filter val="52,09"/>
        <filter val="531,00"/>
        <filter val="56,67"/>
        <filter val="59,00"/>
        <filter val="6,25"/>
        <filter val="618,00"/>
        <filter val="62,00"/>
        <filter val="63,00"/>
        <filter val="659,00"/>
        <filter val="660,00"/>
        <filter val="685,00"/>
        <filter val="7,06"/>
        <filter val="7,86"/>
        <filter val="717,00"/>
        <filter val="728,00"/>
        <filter val="77,00"/>
        <filter val="77,58"/>
        <filter val="79,00"/>
        <filter val="79,67"/>
        <filter val="79,88"/>
        <filter val="8,00"/>
        <filter val="81,00"/>
        <filter val="83,00"/>
        <filter val="84,62"/>
        <filter val="85,80"/>
        <filter val="86,00"/>
        <filter val="89,00"/>
        <filter val="91,00"/>
        <filter val="95,64"/>
        <filter val="97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