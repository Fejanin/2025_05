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C21B4E-F32B-4552-8CEF-1B42BA7F96BF}" xr6:coauthVersionLast="47" xr6:coauthVersionMax="47" xr10:uidLastSave="{00000000-0000-0000-0000-000000000000}"/>
  <bookViews>
    <workbookView xWindow="0" yWindow="0" windowWidth="27075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BO486" i="1"/>
  <c r="BN486" i="1"/>
  <c r="BM486" i="1"/>
  <c r="Y486" i="1"/>
  <c r="BP486" i="1" s="1"/>
  <c r="P486" i="1"/>
  <c r="BO485" i="1"/>
  <c r="BM485" i="1"/>
  <c r="Y485" i="1"/>
  <c r="P485" i="1"/>
  <c r="X481" i="1"/>
  <c r="X480" i="1"/>
  <c r="BO479" i="1"/>
  <c r="BM479" i="1"/>
  <c r="Y479" i="1"/>
  <c r="BP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Y474" i="1" s="1"/>
  <c r="P473" i="1"/>
  <c r="X471" i="1"/>
  <c r="X470" i="1"/>
  <c r="BO469" i="1"/>
  <c r="BM469" i="1"/>
  <c r="Y469" i="1"/>
  <c r="BP469" i="1" s="1"/>
  <c r="P469" i="1"/>
  <c r="BO468" i="1"/>
  <c r="BN468" i="1"/>
  <c r="BM468" i="1"/>
  <c r="Y468" i="1"/>
  <c r="BP468" i="1" s="1"/>
  <c r="P468" i="1"/>
  <c r="X465" i="1"/>
  <c r="X464" i="1"/>
  <c r="BO463" i="1"/>
  <c r="BM463" i="1"/>
  <c r="Y463" i="1"/>
  <c r="P463" i="1"/>
  <c r="BO462" i="1"/>
  <c r="BM462" i="1"/>
  <c r="Y462" i="1"/>
  <c r="Y465" i="1" s="1"/>
  <c r="P462" i="1"/>
  <c r="X460" i="1"/>
  <c r="X459" i="1"/>
  <c r="BO458" i="1"/>
  <c r="BM458" i="1"/>
  <c r="Y458" i="1"/>
  <c r="BP458" i="1" s="1"/>
  <c r="P458" i="1"/>
  <c r="BO457" i="1"/>
  <c r="BN457" i="1"/>
  <c r="BM457" i="1"/>
  <c r="Y457" i="1"/>
  <c r="BP457" i="1" s="1"/>
  <c r="P457" i="1"/>
  <c r="BO456" i="1"/>
  <c r="BM456" i="1"/>
  <c r="Y456" i="1"/>
  <c r="P456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Y453" i="1" s="1"/>
  <c r="P450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BP442" i="1" s="1"/>
  <c r="P442" i="1"/>
  <c r="BO441" i="1"/>
  <c r="BM441" i="1"/>
  <c r="Y441" i="1"/>
  <c r="BN441" i="1" s="1"/>
  <c r="P441" i="1"/>
  <c r="BO440" i="1"/>
  <c r="BM440" i="1"/>
  <c r="Y440" i="1"/>
  <c r="BP440" i="1" s="1"/>
  <c r="P440" i="1"/>
  <c r="BO439" i="1"/>
  <c r="BM439" i="1"/>
  <c r="Y439" i="1"/>
  <c r="P439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O431" i="1"/>
  <c r="BM431" i="1"/>
  <c r="Y431" i="1"/>
  <c r="P431" i="1"/>
  <c r="X428" i="1"/>
  <c r="X427" i="1"/>
  <c r="BO426" i="1"/>
  <c r="BN426" i="1"/>
  <c r="BM426" i="1"/>
  <c r="Y426" i="1"/>
  <c r="BP426" i="1" s="1"/>
  <c r="P426" i="1"/>
  <c r="BO425" i="1"/>
  <c r="BM425" i="1"/>
  <c r="Y425" i="1"/>
  <c r="BP425" i="1" s="1"/>
  <c r="P425" i="1"/>
  <c r="BO424" i="1"/>
  <c r="BM424" i="1"/>
  <c r="Y424" i="1"/>
  <c r="P424" i="1"/>
  <c r="X421" i="1"/>
  <c r="X420" i="1"/>
  <c r="BO419" i="1"/>
  <c r="BN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P417" i="1"/>
  <c r="X415" i="1"/>
  <c r="X414" i="1"/>
  <c r="BO413" i="1"/>
  <c r="BM413" i="1"/>
  <c r="Y413" i="1"/>
  <c r="BN413" i="1" s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P407" i="1"/>
  <c r="BO407" i="1"/>
  <c r="BM407" i="1"/>
  <c r="Z407" i="1"/>
  <c r="Y407" i="1"/>
  <c r="BN407" i="1" s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Y409" i="1" s="1"/>
  <c r="P404" i="1"/>
  <c r="X402" i="1"/>
  <c r="X401" i="1"/>
  <c r="BO400" i="1"/>
  <c r="BM400" i="1"/>
  <c r="Y400" i="1"/>
  <c r="BP400" i="1" s="1"/>
  <c r="P400" i="1"/>
  <c r="BO399" i="1"/>
  <c r="BN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BN385" i="1" s="1"/>
  <c r="P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N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P372" i="1"/>
  <c r="BO371" i="1"/>
  <c r="BN371" i="1"/>
  <c r="BM371" i="1"/>
  <c r="Y371" i="1"/>
  <c r="P371" i="1"/>
  <c r="X368" i="1"/>
  <c r="X367" i="1"/>
  <c r="BO366" i="1"/>
  <c r="BM366" i="1"/>
  <c r="Y366" i="1"/>
  <c r="BN366" i="1" s="1"/>
  <c r="P366" i="1"/>
  <c r="BO365" i="1"/>
  <c r="BM365" i="1"/>
  <c r="Y365" i="1"/>
  <c r="P365" i="1"/>
  <c r="BO364" i="1"/>
  <c r="BM364" i="1"/>
  <c r="Z364" i="1"/>
  <c r="Y364" i="1"/>
  <c r="BP364" i="1" s="1"/>
  <c r="P364" i="1"/>
  <c r="X361" i="1"/>
  <c r="X360" i="1"/>
  <c r="BO359" i="1"/>
  <c r="BM359" i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Y357" i="1" s="1"/>
  <c r="P355" i="1"/>
  <c r="X352" i="1"/>
  <c r="X351" i="1"/>
  <c r="BO350" i="1"/>
  <c r="BN350" i="1"/>
  <c r="BM350" i="1"/>
  <c r="Y350" i="1"/>
  <c r="BP350" i="1" s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Z336" i="1" s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BN326" i="1" s="1"/>
  <c r="P326" i="1"/>
  <c r="BO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P575" i="1" s="1"/>
  <c r="P323" i="1"/>
  <c r="X320" i="1"/>
  <c r="X319" i="1"/>
  <c r="BO318" i="1"/>
  <c r="BM318" i="1"/>
  <c r="Y318" i="1"/>
  <c r="BP318" i="1" s="1"/>
  <c r="P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M266" i="1"/>
  <c r="Z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3" i="1" s="1"/>
  <c r="P260" i="1"/>
  <c r="X258" i="1"/>
  <c r="X257" i="1"/>
  <c r="BO256" i="1"/>
  <c r="BM256" i="1"/>
  <c r="Y256" i="1"/>
  <c r="BN256" i="1" s="1"/>
  <c r="P256" i="1"/>
  <c r="BO255" i="1"/>
  <c r="BM255" i="1"/>
  <c r="Y255" i="1"/>
  <c r="M57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BP246" i="1" s="1"/>
  <c r="P246" i="1"/>
  <c r="BO245" i="1"/>
  <c r="BN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N237" i="1" s="1"/>
  <c r="P237" i="1"/>
  <c r="BO236" i="1"/>
  <c r="BM236" i="1"/>
  <c r="Y236" i="1"/>
  <c r="Y242" i="1" s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M229" i="1"/>
  <c r="Z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N221" i="1"/>
  <c r="BM221" i="1"/>
  <c r="Y221" i="1"/>
  <c r="BP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M206" i="1"/>
  <c r="Z206" i="1"/>
  <c r="Y206" i="1"/>
  <c r="BN206" i="1" s="1"/>
  <c r="P206" i="1"/>
  <c r="BO205" i="1"/>
  <c r="BM205" i="1"/>
  <c r="Y205" i="1"/>
  <c r="P205" i="1"/>
  <c r="X201" i="1"/>
  <c r="X200" i="1"/>
  <c r="BO199" i="1"/>
  <c r="BM199" i="1"/>
  <c r="Y199" i="1"/>
  <c r="Y201" i="1" s="1"/>
  <c r="P199" i="1"/>
  <c r="X197" i="1"/>
  <c r="X196" i="1"/>
  <c r="BO195" i="1"/>
  <c r="BM195" i="1"/>
  <c r="Y195" i="1"/>
  <c r="Y197" i="1" s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N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N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P147" i="1"/>
  <c r="BO146" i="1"/>
  <c r="BM146" i="1"/>
  <c r="Y146" i="1"/>
  <c r="BN146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O136" i="1"/>
  <c r="BN136" i="1"/>
  <c r="BM136" i="1"/>
  <c r="Y136" i="1"/>
  <c r="BP136" i="1" s="1"/>
  <c r="P136" i="1"/>
  <c r="X133" i="1"/>
  <c r="X132" i="1"/>
  <c r="BP131" i="1"/>
  <c r="BO131" i="1"/>
  <c r="BM131" i="1"/>
  <c r="Z131" i="1"/>
  <c r="Z132" i="1" s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N125" i="1"/>
  <c r="BM125" i="1"/>
  <c r="Z125" i="1"/>
  <c r="Y125" i="1"/>
  <c r="BP125" i="1" s="1"/>
  <c r="P125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N109" i="1" s="1"/>
  <c r="P109" i="1"/>
  <c r="BO108" i="1"/>
  <c r="BM108" i="1"/>
  <c r="Y108" i="1"/>
  <c r="Z108" i="1" s="1"/>
  <c r="P108" i="1"/>
  <c r="BO107" i="1"/>
  <c r="BM107" i="1"/>
  <c r="Y107" i="1"/>
  <c r="BP107" i="1" s="1"/>
  <c r="P107" i="1"/>
  <c r="BO106" i="1"/>
  <c r="BN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P91" i="1"/>
  <c r="BO91" i="1"/>
  <c r="BM91" i="1"/>
  <c r="Z91" i="1"/>
  <c r="Y91" i="1"/>
  <c r="BN91" i="1" s="1"/>
  <c r="P91" i="1"/>
  <c r="BO90" i="1"/>
  <c r="BM90" i="1"/>
  <c r="Y90" i="1"/>
  <c r="BP90" i="1" s="1"/>
  <c r="P90" i="1"/>
  <c r="BO89" i="1"/>
  <c r="BM89" i="1"/>
  <c r="Y89" i="1"/>
  <c r="BP89" i="1" s="1"/>
  <c r="P89" i="1"/>
  <c r="X86" i="1"/>
  <c r="X85" i="1"/>
  <c r="BO84" i="1"/>
  <c r="BN84" i="1"/>
  <c r="BM84" i="1"/>
  <c r="Y84" i="1"/>
  <c r="BP84" i="1" s="1"/>
  <c r="P84" i="1"/>
  <c r="BO83" i="1"/>
  <c r="BM83" i="1"/>
  <c r="Y83" i="1"/>
  <c r="P83" i="1"/>
  <c r="BO82" i="1"/>
  <c r="BM82" i="1"/>
  <c r="Y82" i="1"/>
  <c r="Y86" i="1" s="1"/>
  <c r="P82" i="1"/>
  <c r="X80" i="1"/>
  <c r="X79" i="1"/>
  <c r="BO78" i="1"/>
  <c r="BN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P53" i="1"/>
  <c r="BO53" i="1"/>
  <c r="BM53" i="1"/>
  <c r="Z53" i="1"/>
  <c r="Y53" i="1"/>
  <c r="BN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N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X569" i="1" s="1"/>
  <c r="BO22" i="1"/>
  <c r="BM22" i="1"/>
  <c r="Y22" i="1"/>
  <c r="P22" i="1"/>
  <c r="H10" i="1"/>
  <c r="A9" i="1"/>
  <c r="A10" i="1" s="1"/>
  <c r="D7" i="1"/>
  <c r="Q6" i="1"/>
  <c r="P2" i="1"/>
  <c r="B575" i="1" l="1"/>
  <c r="Z60" i="1"/>
  <c r="Z70" i="1"/>
  <c r="BP99" i="1"/>
  <c r="BP109" i="1"/>
  <c r="Z146" i="1"/>
  <c r="Z166" i="1"/>
  <c r="Y234" i="1"/>
  <c r="Z225" i="1"/>
  <c r="BP225" i="1"/>
  <c r="Z237" i="1"/>
  <c r="BP237" i="1"/>
  <c r="Z256" i="1"/>
  <c r="BP256" i="1"/>
  <c r="Z326" i="1"/>
  <c r="BP326" i="1"/>
  <c r="Y338" i="1"/>
  <c r="Z359" i="1"/>
  <c r="Z360" i="1" s="1"/>
  <c r="Z366" i="1"/>
  <c r="BP366" i="1"/>
  <c r="U575" i="1"/>
  <c r="Z375" i="1"/>
  <c r="BP375" i="1"/>
  <c r="Z385" i="1"/>
  <c r="BP385" i="1"/>
  <c r="Z413" i="1"/>
  <c r="BP413" i="1"/>
  <c r="Z441" i="1"/>
  <c r="BP441" i="1"/>
  <c r="Z514" i="1"/>
  <c r="BP514" i="1"/>
  <c r="Z524" i="1"/>
  <c r="BP524" i="1"/>
  <c r="Z534" i="1"/>
  <c r="BP534" i="1"/>
  <c r="BP70" i="1"/>
  <c r="X566" i="1"/>
  <c r="X568" i="1" s="1"/>
  <c r="Z64" i="1"/>
  <c r="Z78" i="1"/>
  <c r="Z106" i="1"/>
  <c r="Z117" i="1"/>
  <c r="BN131" i="1"/>
  <c r="Y132" i="1"/>
  <c r="Z136" i="1"/>
  <c r="Z155" i="1"/>
  <c r="Y187" i="1"/>
  <c r="Z184" i="1"/>
  <c r="Y192" i="1"/>
  <c r="Z221" i="1"/>
  <c r="Z245" i="1"/>
  <c r="Z284" i="1"/>
  <c r="Z335" i="1"/>
  <c r="Z350" i="1"/>
  <c r="Z371" i="1"/>
  <c r="BP371" i="1"/>
  <c r="Z381" i="1"/>
  <c r="Z391" i="1"/>
  <c r="Z419" i="1"/>
  <c r="Z468" i="1"/>
  <c r="Z530" i="1"/>
  <c r="X565" i="1"/>
  <c r="Z99" i="1"/>
  <c r="Z109" i="1"/>
  <c r="BP146" i="1"/>
  <c r="BP166" i="1"/>
  <c r="X567" i="1"/>
  <c r="Z43" i="1"/>
  <c r="Y75" i="1"/>
  <c r="Z84" i="1"/>
  <c r="Y149" i="1"/>
  <c r="K575" i="1"/>
  <c r="L575" i="1"/>
  <c r="Z399" i="1"/>
  <c r="Z426" i="1"/>
  <c r="Z457" i="1"/>
  <c r="Z486" i="1"/>
  <c r="Z27" i="1"/>
  <c r="BN27" i="1"/>
  <c r="Z35" i="1"/>
  <c r="BN35" i="1"/>
  <c r="Z51" i="1"/>
  <c r="BN51" i="1"/>
  <c r="Y56" i="1"/>
  <c r="BN60" i="1"/>
  <c r="BN64" i="1"/>
  <c r="Y193" i="1"/>
  <c r="Z208" i="1"/>
  <c r="BN208" i="1"/>
  <c r="Z260" i="1"/>
  <c r="BN260" i="1"/>
  <c r="BP260" i="1"/>
  <c r="Y274" i="1"/>
  <c r="Z268" i="1"/>
  <c r="BN268" i="1"/>
  <c r="Z272" i="1"/>
  <c r="BN272" i="1"/>
  <c r="Y288" i="1"/>
  <c r="Z278" i="1"/>
  <c r="BN278" i="1"/>
  <c r="Z282" i="1"/>
  <c r="BN282" i="1"/>
  <c r="Z286" i="1"/>
  <c r="BN286" i="1"/>
  <c r="Z297" i="1"/>
  <c r="BN297" i="1"/>
  <c r="Y304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BP315" i="1"/>
  <c r="Y320" i="1"/>
  <c r="Z324" i="1"/>
  <c r="BN324" i="1"/>
  <c r="Z328" i="1"/>
  <c r="BN328" i="1"/>
  <c r="BN342" i="1"/>
  <c r="Z348" i="1"/>
  <c r="BN348" i="1"/>
  <c r="BP348" i="1"/>
  <c r="Z373" i="1"/>
  <c r="BN373" i="1"/>
  <c r="BP383" i="1"/>
  <c r="BN383" i="1"/>
  <c r="Z383" i="1"/>
  <c r="BP393" i="1"/>
  <c r="BN393" i="1"/>
  <c r="Z393" i="1"/>
  <c r="Y415" i="1"/>
  <c r="BP411" i="1"/>
  <c r="BN411" i="1"/>
  <c r="Z411" i="1"/>
  <c r="BP424" i="1"/>
  <c r="BN424" i="1"/>
  <c r="Z424" i="1"/>
  <c r="BP439" i="1"/>
  <c r="BN439" i="1"/>
  <c r="Z439" i="1"/>
  <c r="BP451" i="1"/>
  <c r="BN451" i="1"/>
  <c r="Z451" i="1"/>
  <c r="BP478" i="1"/>
  <c r="BN478" i="1"/>
  <c r="Z478" i="1"/>
  <c r="BP512" i="1"/>
  <c r="BN512" i="1"/>
  <c r="Z512" i="1"/>
  <c r="BP522" i="1"/>
  <c r="BN522" i="1"/>
  <c r="Z522" i="1"/>
  <c r="BP532" i="1"/>
  <c r="BN532" i="1"/>
  <c r="Z532" i="1"/>
  <c r="Z41" i="1"/>
  <c r="BN41" i="1"/>
  <c r="Y46" i="1"/>
  <c r="Z45" i="1"/>
  <c r="BN45" i="1"/>
  <c r="Z62" i="1"/>
  <c r="BN62" i="1"/>
  <c r="Z66" i="1"/>
  <c r="BN66" i="1"/>
  <c r="Y74" i="1"/>
  <c r="Z72" i="1"/>
  <c r="BN72" i="1"/>
  <c r="Z82" i="1"/>
  <c r="BN82" i="1"/>
  <c r="BP82" i="1"/>
  <c r="Y85" i="1"/>
  <c r="Z89" i="1"/>
  <c r="BN89" i="1"/>
  <c r="Z93" i="1"/>
  <c r="BN93" i="1"/>
  <c r="Y102" i="1"/>
  <c r="Z101" i="1"/>
  <c r="BN101" i="1"/>
  <c r="Z111" i="1"/>
  <c r="BN111" i="1"/>
  <c r="Z119" i="1"/>
  <c r="BN119" i="1"/>
  <c r="Z127" i="1"/>
  <c r="BN127" i="1"/>
  <c r="Z142" i="1"/>
  <c r="BN142" i="1"/>
  <c r="Y148" i="1"/>
  <c r="Z153" i="1"/>
  <c r="BN153" i="1"/>
  <c r="Z159" i="1"/>
  <c r="Z160" i="1" s="1"/>
  <c r="BN159" i="1"/>
  <c r="BP159" i="1"/>
  <c r="Y160" i="1"/>
  <c r="Z164" i="1"/>
  <c r="BN164" i="1"/>
  <c r="Y169" i="1"/>
  <c r="Z172" i="1"/>
  <c r="BN172" i="1"/>
  <c r="Y188" i="1"/>
  <c r="Z178" i="1"/>
  <c r="BN178" i="1"/>
  <c r="Z182" i="1"/>
  <c r="BN182" i="1"/>
  <c r="Z186" i="1"/>
  <c r="BN186" i="1"/>
  <c r="Z223" i="1"/>
  <c r="BN223" i="1"/>
  <c r="Z227" i="1"/>
  <c r="BN227" i="1"/>
  <c r="Z231" i="1"/>
  <c r="BN231" i="1"/>
  <c r="Z239" i="1"/>
  <c r="BN239" i="1"/>
  <c r="Y248" i="1"/>
  <c r="Z344" i="1"/>
  <c r="BN344" i="1"/>
  <c r="Y351" i="1"/>
  <c r="BN359" i="1"/>
  <c r="BP359" i="1"/>
  <c r="Y360" i="1"/>
  <c r="BN364" i="1"/>
  <c r="Y367" i="1"/>
  <c r="BP377" i="1"/>
  <c r="BN377" i="1"/>
  <c r="Z377" i="1"/>
  <c r="BP387" i="1"/>
  <c r="BN387" i="1"/>
  <c r="Z387" i="1"/>
  <c r="BP405" i="1"/>
  <c r="BN405" i="1"/>
  <c r="Z405" i="1"/>
  <c r="Y421" i="1"/>
  <c r="BP417" i="1"/>
  <c r="BN417" i="1"/>
  <c r="Z417" i="1"/>
  <c r="Y435" i="1"/>
  <c r="BP431" i="1"/>
  <c r="BN431" i="1"/>
  <c r="Z431" i="1"/>
  <c r="BP443" i="1"/>
  <c r="BN443" i="1"/>
  <c r="Z443" i="1"/>
  <c r="BP463" i="1"/>
  <c r="BN463" i="1"/>
  <c r="Z463" i="1"/>
  <c r="BP488" i="1"/>
  <c r="BN488" i="1"/>
  <c r="Z488" i="1"/>
  <c r="BP516" i="1"/>
  <c r="BN516" i="1"/>
  <c r="Z516" i="1"/>
  <c r="Y536" i="1"/>
  <c r="BP528" i="1"/>
  <c r="BN528" i="1"/>
  <c r="Z528" i="1"/>
  <c r="Y542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BP556" i="1"/>
  <c r="BN556" i="1"/>
  <c r="Z556" i="1"/>
  <c r="Y389" i="1"/>
  <c r="Y395" i="1"/>
  <c r="Y401" i="1"/>
  <c r="Y459" i="1"/>
  <c r="Y575" i="1"/>
  <c r="AA575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5" i="1"/>
  <c r="Z42" i="1"/>
  <c r="BN42" i="1"/>
  <c r="BP42" i="1"/>
  <c r="Z44" i="1"/>
  <c r="BN44" i="1"/>
  <c r="Y47" i="1"/>
  <c r="D575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BN83" i="1"/>
  <c r="BP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Y103" i="1"/>
  <c r="G575" i="1"/>
  <c r="Y113" i="1"/>
  <c r="Z107" i="1"/>
  <c r="BN107" i="1"/>
  <c r="BP108" i="1"/>
  <c r="BN108" i="1"/>
  <c r="BP110" i="1"/>
  <c r="BN110" i="1"/>
  <c r="Z110" i="1"/>
  <c r="BP118" i="1"/>
  <c r="BN118" i="1"/>
  <c r="Z118" i="1"/>
  <c r="BP126" i="1"/>
  <c r="BN126" i="1"/>
  <c r="Z126" i="1"/>
  <c r="H9" i="1"/>
  <c r="Y24" i="1"/>
  <c r="Y67" i="1"/>
  <c r="Y96" i="1"/>
  <c r="BP112" i="1"/>
  <c r="BN112" i="1"/>
  <c r="Z112" i="1"/>
  <c r="Y114" i="1"/>
  <c r="Y121" i="1"/>
  <c r="BP116" i="1"/>
  <c r="BN116" i="1"/>
  <c r="Z116" i="1"/>
  <c r="BP120" i="1"/>
  <c r="BN120" i="1"/>
  <c r="Z120" i="1"/>
  <c r="Y122" i="1"/>
  <c r="Y129" i="1"/>
  <c r="BP124" i="1"/>
  <c r="BN124" i="1"/>
  <c r="Z124" i="1"/>
  <c r="Z128" i="1" s="1"/>
  <c r="Y128" i="1"/>
  <c r="H575" i="1"/>
  <c r="Z137" i="1"/>
  <c r="Z138" i="1" s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BN152" i="1"/>
  <c r="BP152" i="1"/>
  <c r="Z154" i="1"/>
  <c r="BN154" i="1"/>
  <c r="Y157" i="1"/>
  <c r="J575" i="1"/>
  <c r="Z165" i="1"/>
  <c r="BN165" i="1"/>
  <c r="BP165" i="1"/>
  <c r="Z167" i="1"/>
  <c r="BN167" i="1"/>
  <c r="Y168" i="1"/>
  <c r="Z171" i="1"/>
  <c r="Z173" i="1" s="1"/>
  <c r="BN171" i="1"/>
  <c r="BP171" i="1"/>
  <c r="Y174" i="1"/>
  <c r="Z177" i="1"/>
  <c r="BN177" i="1"/>
  <c r="BP177" i="1"/>
  <c r="Z179" i="1"/>
  <c r="BN179" i="1"/>
  <c r="Z181" i="1"/>
  <c r="BN181" i="1"/>
  <c r="Z183" i="1"/>
  <c r="BN183" i="1"/>
  <c r="Z185" i="1"/>
  <c r="BN185" i="1"/>
  <c r="Z191" i="1"/>
  <c r="Z192" i="1" s="1"/>
  <c r="BN191" i="1"/>
  <c r="BP191" i="1"/>
  <c r="Z195" i="1"/>
  <c r="Z196" i="1" s="1"/>
  <c r="BN195" i="1"/>
  <c r="BP195" i="1"/>
  <c r="Y196" i="1"/>
  <c r="Z199" i="1"/>
  <c r="Z200" i="1" s="1"/>
  <c r="BN199" i="1"/>
  <c r="BP199" i="1"/>
  <c r="Y200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BN236" i="1"/>
  <c r="BP236" i="1"/>
  <c r="Z238" i="1"/>
  <c r="BN238" i="1"/>
  <c r="Z240" i="1"/>
  <c r="BN240" i="1"/>
  <c r="Y241" i="1"/>
  <c r="Z244" i="1"/>
  <c r="BN244" i="1"/>
  <c r="BP244" i="1"/>
  <c r="Z246" i="1"/>
  <c r="BN246" i="1"/>
  <c r="Y247" i="1"/>
  <c r="Z250" i="1"/>
  <c r="Z251" i="1" s="1"/>
  <c r="BN250" i="1"/>
  <c r="BP250" i="1"/>
  <c r="Y251" i="1"/>
  <c r="Z255" i="1"/>
  <c r="Z257" i="1" s="1"/>
  <c r="BN255" i="1"/>
  <c r="BP255" i="1"/>
  <c r="Y258" i="1"/>
  <c r="Z261" i="1"/>
  <c r="Z262" i="1" s="1"/>
  <c r="BN261" i="1"/>
  <c r="Y262" i="1"/>
  <c r="Z265" i="1"/>
  <c r="BN265" i="1"/>
  <c r="BP265" i="1"/>
  <c r="BP269" i="1"/>
  <c r="BN269" i="1"/>
  <c r="Z269" i="1"/>
  <c r="Y273" i="1"/>
  <c r="Y289" i="1"/>
  <c r="BP277" i="1"/>
  <c r="BN277" i="1"/>
  <c r="Z277" i="1"/>
  <c r="BP281" i="1"/>
  <c r="BN281" i="1"/>
  <c r="Z281" i="1"/>
  <c r="BP285" i="1"/>
  <c r="BN285" i="1"/>
  <c r="Z285" i="1"/>
  <c r="Y156" i="1"/>
  <c r="Y213" i="1"/>
  <c r="Y218" i="1"/>
  <c r="Y257" i="1"/>
  <c r="BP267" i="1"/>
  <c r="BN267" i="1"/>
  <c r="Z267" i="1"/>
  <c r="BP271" i="1"/>
  <c r="BN271" i="1"/>
  <c r="Z271" i="1"/>
  <c r="BP279" i="1"/>
  <c r="BN279" i="1"/>
  <c r="Z279" i="1"/>
  <c r="BP283" i="1"/>
  <c r="BN283" i="1"/>
  <c r="Z283" i="1"/>
  <c r="Z287" i="1"/>
  <c r="BN287" i="1"/>
  <c r="Z291" i="1"/>
  <c r="Z293" i="1" s="1"/>
  <c r="BN291" i="1"/>
  <c r="BP291" i="1"/>
  <c r="Y294" i="1"/>
  <c r="O575" i="1"/>
  <c r="Z298" i="1"/>
  <c r="BN298" i="1"/>
  <c r="BP298" i="1"/>
  <c r="Z300" i="1"/>
  <c r="BN300" i="1"/>
  <c r="Z302" i="1"/>
  <c r="BN302" i="1"/>
  <c r="Y305" i="1"/>
  <c r="Z316" i="1"/>
  <c r="BN316" i="1"/>
  <c r="BP316" i="1"/>
  <c r="Z318" i="1"/>
  <c r="BN318" i="1"/>
  <c r="Z323" i="1"/>
  <c r="BN323" i="1"/>
  <c r="BP323" i="1"/>
  <c r="Z325" i="1"/>
  <c r="BN325" i="1"/>
  <c r="Z327" i="1"/>
  <c r="BN327" i="1"/>
  <c r="Z329" i="1"/>
  <c r="BN329" i="1"/>
  <c r="Y330" i="1"/>
  <c r="Z334" i="1"/>
  <c r="Z337" i="1" s="1"/>
  <c r="BN334" i="1"/>
  <c r="BP334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Y378" i="1"/>
  <c r="Y331" i="1"/>
  <c r="Q575" i="1"/>
  <c r="Y337" i="1"/>
  <c r="BP336" i="1"/>
  <c r="BN336" i="1"/>
  <c r="BP343" i="1"/>
  <c r="BN343" i="1"/>
  <c r="Z343" i="1"/>
  <c r="BP365" i="1"/>
  <c r="BN365" i="1"/>
  <c r="Z365" i="1"/>
  <c r="Z367" i="1" s="1"/>
  <c r="Y388" i="1"/>
  <c r="Y396" i="1"/>
  <c r="Y402" i="1"/>
  <c r="Y408" i="1"/>
  <c r="Y414" i="1"/>
  <c r="Y420" i="1"/>
  <c r="Y427" i="1"/>
  <c r="Y434" i="1"/>
  <c r="Y448" i="1"/>
  <c r="Y454" i="1"/>
  <c r="Y460" i="1"/>
  <c r="Y464" i="1"/>
  <c r="Y471" i="1"/>
  <c r="Y475" i="1"/>
  <c r="Y481" i="1"/>
  <c r="Z575" i="1"/>
  <c r="Y491" i="1"/>
  <c r="BP505" i="1"/>
  <c r="BN505" i="1"/>
  <c r="Z505" i="1"/>
  <c r="Y507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BP531" i="1"/>
  <c r="BN531" i="1"/>
  <c r="Z531" i="1"/>
  <c r="Y535" i="1"/>
  <c r="BP557" i="1"/>
  <c r="BN557" i="1"/>
  <c r="Z557" i="1"/>
  <c r="Y559" i="1"/>
  <c r="AD575" i="1"/>
  <c r="Y563" i="1"/>
  <c r="BP562" i="1"/>
  <c r="BN562" i="1"/>
  <c r="Z562" i="1"/>
  <c r="Z563" i="1" s="1"/>
  <c r="Y564" i="1"/>
  <c r="S575" i="1"/>
  <c r="W575" i="1"/>
  <c r="T575" i="1"/>
  <c r="Y368" i="1"/>
  <c r="Z374" i="1"/>
  <c r="BN374" i="1"/>
  <c r="Z376" i="1"/>
  <c r="BN376" i="1"/>
  <c r="Y379" i="1"/>
  <c r="Z382" i="1"/>
  <c r="BN382" i="1"/>
  <c r="Z384" i="1"/>
  <c r="BN384" i="1"/>
  <c r="Z386" i="1"/>
  <c r="BN386" i="1"/>
  <c r="Z392" i="1"/>
  <c r="BN392" i="1"/>
  <c r="Z394" i="1"/>
  <c r="BN394" i="1"/>
  <c r="Z398" i="1"/>
  <c r="BN398" i="1"/>
  <c r="BP398" i="1"/>
  <c r="Z400" i="1"/>
  <c r="BN400" i="1"/>
  <c r="Z404" i="1"/>
  <c r="BN404" i="1"/>
  <c r="BP404" i="1"/>
  <c r="Z406" i="1"/>
  <c r="BN406" i="1"/>
  <c r="Z412" i="1"/>
  <c r="Z414" i="1" s="1"/>
  <c r="BN412" i="1"/>
  <c r="Z418" i="1"/>
  <c r="Z420" i="1" s="1"/>
  <c r="BN418" i="1"/>
  <c r="V575" i="1"/>
  <c r="Z425" i="1"/>
  <c r="Z427" i="1" s="1"/>
  <c r="BN425" i="1"/>
  <c r="Y428" i="1"/>
  <c r="Z432" i="1"/>
  <c r="Z434" i="1" s="1"/>
  <c r="BN432" i="1"/>
  <c r="X575" i="1"/>
  <c r="Z440" i="1"/>
  <c r="BN440" i="1"/>
  <c r="Z442" i="1"/>
  <c r="BN442" i="1"/>
  <c r="Z444" i="1"/>
  <c r="BN444" i="1"/>
  <c r="Z446" i="1"/>
  <c r="BN446" i="1"/>
  <c r="Y447" i="1"/>
  <c r="Z450" i="1"/>
  <c r="Z453" i="1" s="1"/>
  <c r="BN450" i="1"/>
  <c r="BP450" i="1"/>
  <c r="Z452" i="1"/>
  <c r="BN452" i="1"/>
  <c r="Z456" i="1"/>
  <c r="BN456" i="1"/>
  <c r="BP456" i="1"/>
  <c r="Z458" i="1"/>
  <c r="BN458" i="1"/>
  <c r="Z462" i="1"/>
  <c r="Z464" i="1" s="1"/>
  <c r="BN462" i="1"/>
  <c r="BP462" i="1"/>
  <c r="Z469" i="1"/>
  <c r="Z470" i="1" s="1"/>
  <c r="BN469" i="1"/>
  <c r="Y470" i="1"/>
  <c r="Z473" i="1"/>
  <c r="Z474" i="1" s="1"/>
  <c r="BN473" i="1"/>
  <c r="BP473" i="1"/>
  <c r="Z477" i="1"/>
  <c r="BN477" i="1"/>
  <c r="BP477" i="1"/>
  <c r="Z479" i="1"/>
  <c r="BN479" i="1"/>
  <c r="Z485" i="1"/>
  <c r="BN485" i="1"/>
  <c r="BP485" i="1"/>
  <c r="Z487" i="1"/>
  <c r="BN487" i="1"/>
  <c r="Z489" i="1"/>
  <c r="BN489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Y501" i="1"/>
  <c r="Y506" i="1"/>
  <c r="BP503" i="1"/>
  <c r="BN503" i="1"/>
  <c r="Z503" i="1"/>
  <c r="Z506" i="1" s="1"/>
  <c r="BP513" i="1"/>
  <c r="BN513" i="1"/>
  <c r="Z513" i="1"/>
  <c r="BP517" i="1"/>
  <c r="BN517" i="1"/>
  <c r="Z517" i="1"/>
  <c r="Y526" i="1"/>
  <c r="Y525" i="1"/>
  <c r="BP529" i="1"/>
  <c r="BN529" i="1"/>
  <c r="Z529" i="1"/>
  <c r="BP533" i="1"/>
  <c r="BN533" i="1"/>
  <c r="Z533" i="1"/>
  <c r="Y558" i="1"/>
  <c r="AC575" i="1"/>
  <c r="Z388" i="1" l="1"/>
  <c r="Z491" i="1"/>
  <c r="Z401" i="1"/>
  <c r="Z319" i="1"/>
  <c r="Z74" i="1"/>
  <c r="Z55" i="1"/>
  <c r="Z395" i="1"/>
  <c r="Z288" i="1"/>
  <c r="Z113" i="1"/>
  <c r="Z535" i="1"/>
  <c r="Z447" i="1"/>
  <c r="Z558" i="1"/>
  <c r="Z378" i="1"/>
  <c r="Z330" i="1"/>
  <c r="Z304" i="1"/>
  <c r="Z187" i="1"/>
  <c r="Z168" i="1"/>
  <c r="Z95" i="1"/>
  <c r="Z85" i="1"/>
  <c r="Z46" i="1"/>
  <c r="Z519" i="1"/>
  <c r="Z273" i="1"/>
  <c r="Z156" i="1"/>
  <c r="Z102" i="1"/>
  <c r="Z67" i="1"/>
  <c r="Z31" i="1"/>
  <c r="Y567" i="1"/>
  <c r="Z480" i="1"/>
  <c r="Z459" i="1"/>
  <c r="Z408" i="1"/>
  <c r="Z345" i="1"/>
  <c r="Z247" i="1"/>
  <c r="Z241" i="1"/>
  <c r="Z233" i="1"/>
  <c r="Z212" i="1"/>
  <c r="Z121" i="1"/>
  <c r="Y565" i="1"/>
  <c r="Y569" i="1"/>
  <c r="Y566" i="1"/>
  <c r="Y568" i="1" s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<sst xmlns="http://schemas.openxmlformats.org/spreadsheetml/2006/main" count="2537" uniqueCount="914">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</sst>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935" t="s">
        <v>0</v>
      </c>
      <c r="E1" s="681"/>
      <c r="F1" s="681"/>
      <c r="G1" s="12" t="s">
        <v>1</v>
      </c>
      <c r="H1" s="935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81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884" t="s">
        <v>8</v>
      </c>
      <c r="B5" s="752"/>
      <c r="C5" s="672"/>
      <c r="D5" s="747"/>
      <c r="E5" s="749"/>
      <c r="F5" s="701" t="s">
        <v>9</v>
      </c>
      <c r="G5" s="672"/>
      <c r="H5" s="747" t="s">
        <v>913</v>
      </c>
      <c r="I5" s="748"/>
      <c r="J5" s="748"/>
      <c r="K5" s="748"/>
      <c r="L5" s="748"/>
      <c r="M5" s="749"/>
      <c r="N5" s="58"/>
      <c r="P5" s="24" t="s">
        <v>10</v>
      </c>
      <c r="Q5" s="686">
        <v>46321</v>
      </c>
      <c r="R5" s="687"/>
      <c r="T5" s="847" t="s">
        <v>11</v>
      </c>
      <c r="U5" s="848"/>
      <c r="V5" s="849" t="s">
        <v>12</v>
      </c>
      <c r="W5" s="687"/>
      <c r="AB5" s="51"/>
      <c r="AC5" s="51"/>
      <c r="AD5" s="51"/>
      <c r="AE5" s="51"/>
    </row>
    <row r="6" spans="1:32" s="629" customFormat="1" ht="24" customHeight="1" x14ac:dyDescent="0.2">
      <c r="A6" s="884" t="s">
        <v>13</v>
      </c>
      <c r="B6" s="752"/>
      <c r="C6" s="672"/>
      <c r="D6" s="754" t="s">
        <v>890</v>
      </c>
      <c r="E6" s="755"/>
      <c r="F6" s="755"/>
      <c r="G6" s="755"/>
      <c r="H6" s="755"/>
      <c r="I6" s="755"/>
      <c r="J6" s="755"/>
      <c r="K6" s="755"/>
      <c r="L6" s="755"/>
      <c r="M6" s="687"/>
      <c r="N6" s="59"/>
      <c r="P6" s="24" t="s">
        <v>14</v>
      </c>
      <c r="Q6" s="677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56" t="s">
        <v>15</v>
      </c>
      <c r="U6" s="848"/>
      <c r="V6" s="768" t="s">
        <v>16</v>
      </c>
      <c r="W6" s="769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956" t="str">
        <f>IFERROR(VLOOKUP(DeliveryAddress,Table,3,0),1)</f>
        <v>5</v>
      </c>
      <c r="E7" s="957"/>
      <c r="F7" s="957"/>
      <c r="G7" s="957"/>
      <c r="H7" s="957"/>
      <c r="I7" s="957"/>
      <c r="J7" s="957"/>
      <c r="K7" s="957"/>
      <c r="L7" s="957"/>
      <c r="M7" s="852"/>
      <c r="N7" s="60"/>
      <c r="P7" s="24"/>
      <c r="Q7" s="42"/>
      <c r="R7" s="42"/>
      <c r="T7" s="648"/>
      <c r="U7" s="848"/>
      <c r="V7" s="770"/>
      <c r="W7" s="771"/>
      <c r="AB7" s="51"/>
      <c r="AC7" s="51"/>
      <c r="AD7" s="51"/>
      <c r="AE7" s="51"/>
    </row>
    <row r="8" spans="1:32" s="629" customFormat="1" ht="25.5" customHeight="1" x14ac:dyDescent="0.2">
      <c r="A8" s="639" t="s">
        <v>17</v>
      </c>
      <c r="B8" s="640"/>
      <c r="C8" s="641"/>
      <c r="D8" s="968"/>
      <c r="E8" s="969"/>
      <c r="F8" s="969"/>
      <c r="G8" s="969"/>
      <c r="H8" s="969"/>
      <c r="I8" s="969"/>
      <c r="J8" s="969"/>
      <c r="K8" s="969"/>
      <c r="L8" s="969"/>
      <c r="M8" s="970"/>
      <c r="N8" s="61"/>
      <c r="P8" s="24" t="s">
        <v>18</v>
      </c>
      <c r="Q8" s="851">
        <v>0.41666666666666669</v>
      </c>
      <c r="R8" s="852"/>
      <c r="T8" s="648"/>
      <c r="U8" s="848"/>
      <c r="V8" s="770"/>
      <c r="W8" s="771"/>
      <c r="AB8" s="51"/>
      <c r="AC8" s="51"/>
      <c r="AD8" s="51"/>
      <c r="AE8" s="51"/>
    </row>
    <row r="9" spans="1:32" s="629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17"/>
      <c r="E9" s="718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812" t="str">
        <f>IF(AND($A$9="Тип доверенности/получателя при получении в адресе перегруза:",$D$9="Разовая доверенность"),"Введите ФИО","")</f>
        <v/>
      </c>
      <c r="I9" s="718"/>
      <c r="J9" s="8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8"/>
      <c r="L9" s="718"/>
      <c r="M9" s="718"/>
      <c r="N9" s="627"/>
      <c r="P9" s="26" t="s">
        <v>19</v>
      </c>
      <c r="Q9" s="910"/>
      <c r="R9" s="705"/>
      <c r="T9" s="648"/>
      <c r="U9" s="84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17"/>
      <c r="E10" s="718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787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57"/>
      <c r="R10" s="858"/>
      <c r="U10" s="24" t="s">
        <v>21</v>
      </c>
      <c r="V10" s="1006" t="s">
        <v>22</v>
      </c>
      <c r="W10" s="769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2"/>
      <c r="R11" s="687"/>
      <c r="U11" s="24" t="s">
        <v>25</v>
      </c>
      <c r="V11" s="704" t="s">
        <v>26</v>
      </c>
      <c r="W11" s="705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4" t="s">
        <v>27</v>
      </c>
      <c r="B12" s="752"/>
      <c r="C12" s="752"/>
      <c r="D12" s="752"/>
      <c r="E12" s="752"/>
      <c r="F12" s="752"/>
      <c r="G12" s="752"/>
      <c r="H12" s="752"/>
      <c r="I12" s="752"/>
      <c r="J12" s="752"/>
      <c r="K12" s="752"/>
      <c r="L12" s="752"/>
      <c r="M12" s="672"/>
      <c r="N12" s="62"/>
      <c r="P12" s="24" t="s">
        <v>28</v>
      </c>
      <c r="Q12" s="851"/>
      <c r="R12" s="852"/>
      <c r="S12" s="23"/>
      <c r="U12" s="24"/>
      <c r="V12" s="681"/>
      <c r="W12" s="648"/>
      <c r="AB12" s="51"/>
      <c r="AC12" s="51"/>
      <c r="AD12" s="51"/>
      <c r="AE12" s="51"/>
    </row>
    <row r="13" spans="1:32" s="629" customFormat="1" ht="23.25" customHeight="1" x14ac:dyDescent="0.2">
      <c r="A13" s="824" t="s">
        <v>29</v>
      </c>
      <c r="B13" s="752"/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672"/>
      <c r="N13" s="62"/>
      <c r="O13" s="26"/>
      <c r="P13" s="26" t="s">
        <v>30</v>
      </c>
      <c r="Q13" s="704"/>
      <c r="R13" s="7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4" t="s">
        <v>31</v>
      </c>
      <c r="B14" s="752"/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25" t="s">
        <v>32</v>
      </c>
      <c r="B15" s="752"/>
      <c r="C15" s="752"/>
      <c r="D15" s="752"/>
      <c r="E15" s="752"/>
      <c r="F15" s="752"/>
      <c r="G15" s="752"/>
      <c r="H15" s="752"/>
      <c r="I15" s="752"/>
      <c r="J15" s="752"/>
      <c r="K15" s="752"/>
      <c r="L15" s="752"/>
      <c r="M15" s="672"/>
      <c r="N15" s="63"/>
      <c r="P15" s="903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04"/>
      <c r="Q16" s="904"/>
      <c r="R16" s="904"/>
      <c r="S16" s="904"/>
      <c r="T16" s="9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6" t="s">
        <v>34</v>
      </c>
      <c r="B17" s="656" t="s">
        <v>35</v>
      </c>
      <c r="C17" s="890" t="s">
        <v>36</v>
      </c>
      <c r="D17" s="656" t="s">
        <v>37</v>
      </c>
      <c r="E17" s="657"/>
      <c r="F17" s="656" t="s">
        <v>38</v>
      </c>
      <c r="G17" s="656" t="s">
        <v>39</v>
      </c>
      <c r="H17" s="656" t="s">
        <v>40</v>
      </c>
      <c r="I17" s="656" t="s">
        <v>41</v>
      </c>
      <c r="J17" s="656" t="s">
        <v>42</v>
      </c>
      <c r="K17" s="656" t="s">
        <v>43</v>
      </c>
      <c r="L17" s="656" t="s">
        <v>44</v>
      </c>
      <c r="M17" s="656" t="s">
        <v>45</v>
      </c>
      <c r="N17" s="656" t="s">
        <v>46</v>
      </c>
      <c r="O17" s="656" t="s">
        <v>47</v>
      </c>
      <c r="P17" s="656" t="s">
        <v>48</v>
      </c>
      <c r="Q17" s="920"/>
      <c r="R17" s="920"/>
      <c r="S17" s="920"/>
      <c r="T17" s="657"/>
      <c r="U17" s="671" t="s">
        <v>49</v>
      </c>
      <c r="V17" s="672"/>
      <c r="W17" s="656" t="s">
        <v>50</v>
      </c>
      <c r="X17" s="656" t="s">
        <v>51</v>
      </c>
      <c r="Y17" s="673" t="s">
        <v>52</v>
      </c>
      <c r="Z17" s="778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64"/>
      <c r="B18" s="664"/>
      <c r="C18" s="664"/>
      <c r="D18" s="658"/>
      <c r="E18" s="659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58"/>
      <c r="Q18" s="921"/>
      <c r="R18" s="921"/>
      <c r="S18" s="921"/>
      <c r="T18" s="659"/>
      <c r="U18" s="67" t="s">
        <v>59</v>
      </c>
      <c r="V18" s="67" t="s">
        <v>60</v>
      </c>
      <c r="W18" s="664"/>
      <c r="X18" s="664"/>
      <c r="Y18" s="674"/>
      <c r="Z18" s="779"/>
      <c r="AA18" s="780"/>
      <c r="AB18" s="780"/>
      <c r="AC18" s="780"/>
      <c r="AD18" s="698"/>
      <c r="AE18" s="699"/>
      <c r="AF18" s="700"/>
      <c r="AG18" s="66"/>
      <c r="BD18" s="65"/>
    </row>
    <row r="19" spans="1:68" ht="27.75" hidden="1" customHeight="1" x14ac:dyDescent="0.2">
      <c r="A19" s="727" t="s">
        <v>61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hidden="1" customHeight="1" x14ac:dyDescent="0.25">
      <c r="A20" s="647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3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2">
        <v>4680115889071</v>
      </c>
      <c r="E22" s="643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6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69"/>
      <c r="P23" s="644" t="s">
        <v>69</v>
      </c>
      <c r="Q23" s="640"/>
      <c r="R23" s="640"/>
      <c r="S23" s="640"/>
      <c r="T23" s="640"/>
      <c r="U23" s="640"/>
      <c r="V23" s="641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69"/>
      <c r="P24" s="644" t="s">
        <v>69</v>
      </c>
      <c r="Q24" s="640"/>
      <c r="R24" s="640"/>
      <c r="S24" s="640"/>
      <c r="T24" s="640"/>
      <c r="U24" s="640"/>
      <c r="V24" s="641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53" t="s">
        <v>71</v>
      </c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48"/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2">
        <v>4680115885912</v>
      </c>
      <c r="E26" s="643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0"/>
      <c r="R26" s="650"/>
      <c r="S26" s="650"/>
      <c r="T26" s="65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2">
        <v>4607091388237</v>
      </c>
      <c r="E27" s="643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7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0"/>
      <c r="R27" s="650"/>
      <c r="S27" s="650"/>
      <c r="T27" s="651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42">
        <v>4680115887350</v>
      </c>
      <c r="E28" s="643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94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0"/>
      <c r="R28" s="650"/>
      <c r="S28" s="650"/>
      <c r="T28" s="651"/>
      <c r="U28" s="34"/>
      <c r="V28" s="34"/>
      <c r="W28" s="35" t="s">
        <v>67</v>
      </c>
      <c r="X28" s="635">
        <v>4</v>
      </c>
      <c r="Y28" s="636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7.0666666666666664</v>
      </c>
      <c r="BN28" s="64">
        <f>IFERROR(Y28*I28/H28,"0")</f>
        <v>9.5400000000000009</v>
      </c>
      <c r="BO28" s="64">
        <f>IFERROR(1/J28*(X28/H28),"0")</f>
        <v>1.2210012210012212E-2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2">
        <v>4680115885905</v>
      </c>
      <c r="E29" s="643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2">
        <v>4680115887619</v>
      </c>
      <c r="E30" s="643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99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6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69"/>
      <c r="P31" s="644" t="s">
        <v>69</v>
      </c>
      <c r="Q31" s="640"/>
      <c r="R31" s="640"/>
      <c r="S31" s="640"/>
      <c r="T31" s="640"/>
      <c r="U31" s="640"/>
      <c r="V31" s="641"/>
      <c r="W31" s="37" t="s">
        <v>70</v>
      </c>
      <c r="X31" s="637">
        <f>IFERROR(X26/H26,"0")+IFERROR(X27/H27,"0")+IFERROR(X28/H28,"0")+IFERROR(X29/H29,"0")+IFERROR(X30/H30,"0")</f>
        <v>2.2222222222222223</v>
      </c>
      <c r="Y31" s="637">
        <f>IFERROR(Y26/H26,"0")+IFERROR(Y27/H27,"0")+IFERROR(Y28/H28,"0")+IFERROR(Y29/H29,"0")+IFERROR(Y30/H30,"0")</f>
        <v>3</v>
      </c>
      <c r="Z31" s="637">
        <f>IFERROR(IF(Z26="",0,Z26),"0")+IFERROR(IF(Z27="",0,Z27),"0")+IFERROR(IF(Z28="",0,Z28),"0")+IFERROR(IF(Z29="",0,Z29),"0")+IFERROR(IF(Z30="",0,Z30),"0")</f>
        <v>1.9529999999999999E-2</v>
      </c>
      <c r="AA31" s="638"/>
      <c r="AB31" s="638"/>
      <c r="AC31" s="638"/>
    </row>
    <row r="32" spans="1:68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69"/>
      <c r="P32" s="644" t="s">
        <v>69</v>
      </c>
      <c r="Q32" s="640"/>
      <c r="R32" s="640"/>
      <c r="S32" s="640"/>
      <c r="T32" s="640"/>
      <c r="U32" s="640"/>
      <c r="V32" s="641"/>
      <c r="W32" s="37" t="s">
        <v>67</v>
      </c>
      <c r="X32" s="637">
        <f>IFERROR(SUM(X26:X30),"0")</f>
        <v>4</v>
      </c>
      <c r="Y32" s="637">
        <f>IFERROR(SUM(Y26:Y30),"0")</f>
        <v>5.4</v>
      </c>
      <c r="Z32" s="37"/>
      <c r="AA32" s="638"/>
      <c r="AB32" s="638"/>
      <c r="AC32" s="638"/>
    </row>
    <row r="33" spans="1:68" ht="14.25" hidden="1" customHeight="1" x14ac:dyDescent="0.25">
      <c r="A33" s="653" t="s">
        <v>89</v>
      </c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8"/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2">
        <v>4680115889262</v>
      </c>
      <c r="E34" s="643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0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0"/>
      <c r="R34" s="650"/>
      <c r="S34" s="650"/>
      <c r="T34" s="651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2">
        <v>4680115889040</v>
      </c>
      <c r="E35" s="643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74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0"/>
      <c r="R35" s="650"/>
      <c r="S35" s="650"/>
      <c r="T35" s="651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6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69"/>
      <c r="P36" s="644" t="s">
        <v>69</v>
      </c>
      <c r="Q36" s="640"/>
      <c r="R36" s="640"/>
      <c r="S36" s="640"/>
      <c r="T36" s="640"/>
      <c r="U36" s="640"/>
      <c r="V36" s="641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69"/>
      <c r="P37" s="644" t="s">
        <v>69</v>
      </c>
      <c r="Q37" s="640"/>
      <c r="R37" s="640"/>
      <c r="S37" s="640"/>
      <c r="T37" s="640"/>
      <c r="U37" s="640"/>
      <c r="V37" s="641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727" t="s">
        <v>100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hidden="1" customHeight="1" x14ac:dyDescent="0.25">
      <c r="A39" s="647" t="s">
        <v>101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30"/>
      <c r="AB39" s="630"/>
      <c r="AC39" s="630"/>
    </row>
    <row r="40" spans="1:68" ht="14.25" hidden="1" customHeight="1" x14ac:dyDescent="0.25">
      <c r="A40" s="653" t="s">
        <v>71</v>
      </c>
      <c r="B40" s="648"/>
      <c r="C40" s="648"/>
      <c r="D40" s="648"/>
      <c r="E40" s="648"/>
      <c r="F40" s="648"/>
      <c r="G40" s="648"/>
      <c r="H40" s="648"/>
      <c r="I40" s="648"/>
      <c r="J40" s="648"/>
      <c r="K40" s="648"/>
      <c r="L40" s="648"/>
      <c r="M40" s="648"/>
      <c r="N40" s="648"/>
      <c r="O40" s="648"/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2">
        <v>4680115889354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2">
        <v>4680115888463</v>
      </c>
      <c r="E42" s="643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0"/>
      <c r="R42" s="650"/>
      <c r="S42" s="650"/>
      <c r="T42" s="651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2">
        <v>4680115889590</v>
      </c>
      <c r="E43" s="643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5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0"/>
      <c r="R43" s="650"/>
      <c r="S43" s="650"/>
      <c r="T43" s="651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2">
        <v>4680115888272</v>
      </c>
      <c r="E44" s="643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94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0"/>
      <c r="R44" s="650"/>
      <c r="S44" s="650"/>
      <c r="T44" s="651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2">
        <v>4680115888364</v>
      </c>
      <c r="E45" s="643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7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0"/>
      <c r="R45" s="650"/>
      <c r="S45" s="650"/>
      <c r="T45" s="651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6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69"/>
      <c r="P46" s="644" t="s">
        <v>69</v>
      </c>
      <c r="Q46" s="640"/>
      <c r="R46" s="640"/>
      <c r="S46" s="640"/>
      <c r="T46" s="640"/>
      <c r="U46" s="640"/>
      <c r="V46" s="641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69"/>
      <c r="P47" s="644" t="s">
        <v>69</v>
      </c>
      <c r="Q47" s="640"/>
      <c r="R47" s="640"/>
      <c r="S47" s="640"/>
      <c r="T47" s="640"/>
      <c r="U47" s="640"/>
      <c r="V47" s="641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727" t="s">
        <v>117</v>
      </c>
      <c r="B48" s="728"/>
      <c r="C48" s="728"/>
      <c r="D48" s="728"/>
      <c r="E48" s="728"/>
      <c r="F48" s="728"/>
      <c r="G48" s="728"/>
      <c r="H48" s="728"/>
      <c r="I48" s="728"/>
      <c r="J48" s="728"/>
      <c r="K48" s="728"/>
      <c r="L48" s="728"/>
      <c r="M48" s="728"/>
      <c r="N48" s="728"/>
      <c r="O48" s="728"/>
      <c r="P48" s="728"/>
      <c r="Q48" s="728"/>
      <c r="R48" s="728"/>
      <c r="S48" s="728"/>
      <c r="T48" s="728"/>
      <c r="U48" s="728"/>
      <c r="V48" s="728"/>
      <c r="W48" s="728"/>
      <c r="X48" s="728"/>
      <c r="Y48" s="728"/>
      <c r="Z48" s="728"/>
      <c r="AA48" s="48"/>
      <c r="AB48" s="48"/>
      <c r="AC48" s="48"/>
    </row>
    <row r="49" spans="1:68" ht="16.5" hidden="1" customHeight="1" x14ac:dyDescent="0.25">
      <c r="A49" s="647" t="s">
        <v>118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30"/>
      <c r="AB49" s="630"/>
      <c r="AC49" s="630"/>
    </row>
    <row r="50" spans="1:68" ht="14.25" hidden="1" customHeight="1" x14ac:dyDescent="0.25">
      <c r="A50" s="653" t="s">
        <v>119</v>
      </c>
      <c r="B50" s="648"/>
      <c r="C50" s="648"/>
      <c r="D50" s="648"/>
      <c r="E50" s="648"/>
      <c r="F50" s="648"/>
      <c r="G50" s="648"/>
      <c r="H50" s="648"/>
      <c r="I50" s="648"/>
      <c r="J50" s="648"/>
      <c r="K50" s="648"/>
      <c r="L50" s="648"/>
      <c r="M50" s="648"/>
      <c r="N50" s="648"/>
      <c r="O50" s="648"/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42">
        <v>4607091385670</v>
      </c>
      <c r="E51" s="643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90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0"/>
      <c r="R51" s="650"/>
      <c r="S51" s="650"/>
      <c r="T51" s="651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2">
        <v>4680115887725</v>
      </c>
      <c r="E52" s="643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0"/>
      <c r="R52" s="650"/>
      <c r="S52" s="650"/>
      <c r="T52" s="651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42">
        <v>4607091385687</v>
      </c>
      <c r="E53" s="643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8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0"/>
      <c r="R53" s="650"/>
      <c r="S53" s="650"/>
      <c r="T53" s="651"/>
      <c r="U53" s="34"/>
      <c r="V53" s="34"/>
      <c r="W53" s="35" t="s">
        <v>67</v>
      </c>
      <c r="X53" s="635">
        <v>22</v>
      </c>
      <c r="Y53" s="636">
        <f>IFERROR(IF(X53="",0,CEILING((X53/$H53),1)*$H53),"")</f>
        <v>24</v>
      </c>
      <c r="Z53" s="36">
        <f>IFERROR(IF(Y53=0,"",ROUNDUP(Y53/H53,0)*0.00902),"")</f>
        <v>5.4120000000000001E-2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23.045000000000002</v>
      </c>
      <c r="BN53" s="64">
        <f>IFERROR(Y53*I53/H53,"0")</f>
        <v>25.14</v>
      </c>
      <c r="BO53" s="64">
        <f>IFERROR(1/J53*(X53/H53),"0")</f>
        <v>4.1666666666666671E-2</v>
      </c>
      <c r="BP53" s="64">
        <f>IFERROR(1/J53*(Y53/H53),"0")</f>
        <v>4.5454545454545456E-2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2">
        <v>4680115882539</v>
      </c>
      <c r="E54" s="643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0"/>
      <c r="R54" s="650"/>
      <c r="S54" s="650"/>
      <c r="T54" s="651"/>
      <c r="U54" s="34"/>
      <c r="V54" s="34"/>
      <c r="W54" s="35" t="s">
        <v>67</v>
      </c>
      <c r="X54" s="635">
        <v>54</v>
      </c>
      <c r="Y54" s="636">
        <f>IFERROR(IF(X54="",0,CEILING((X54/$H54),1)*$H54),"")</f>
        <v>55.5</v>
      </c>
      <c r="Z54" s="36">
        <f>IFERROR(IF(Y54=0,"",ROUNDUP(Y54/H54,0)*0.00902),"")</f>
        <v>0.1353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56.772972972972973</v>
      </c>
      <c r="BN54" s="64">
        <f>IFERROR(Y54*I54/H54,"0")</f>
        <v>58.35</v>
      </c>
      <c r="BO54" s="64">
        <f>IFERROR(1/J54*(X54/H54),"0")</f>
        <v>0.11056511056511056</v>
      </c>
      <c r="BP54" s="64">
        <f>IFERROR(1/J54*(Y54/H54),"0")</f>
        <v>0.11363636363636365</v>
      </c>
    </row>
    <row r="55" spans="1:68" x14ac:dyDescent="0.2">
      <c r="A55" s="66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69"/>
      <c r="P55" s="644" t="s">
        <v>69</v>
      </c>
      <c r="Q55" s="640"/>
      <c r="R55" s="640"/>
      <c r="S55" s="640"/>
      <c r="T55" s="640"/>
      <c r="U55" s="640"/>
      <c r="V55" s="641"/>
      <c r="W55" s="37" t="s">
        <v>70</v>
      </c>
      <c r="X55" s="637">
        <f>IFERROR(X51/H51,"0")+IFERROR(X52/H52,"0")+IFERROR(X53/H53,"0")+IFERROR(X54/H54,"0")</f>
        <v>20.094594594594597</v>
      </c>
      <c r="Y55" s="637">
        <f>IFERROR(Y51/H51,"0")+IFERROR(Y52/H52,"0")+IFERROR(Y53/H53,"0")+IFERROR(Y54/H54,"0")</f>
        <v>21</v>
      </c>
      <c r="Z55" s="637">
        <f>IFERROR(IF(Z51="",0,Z51),"0")+IFERROR(IF(Z52="",0,Z52),"0")+IFERROR(IF(Z53="",0,Z53),"0")+IFERROR(IF(Z54="",0,Z54),"0")</f>
        <v>0.18942000000000001</v>
      </c>
      <c r="AA55" s="638"/>
      <c r="AB55" s="638"/>
      <c r="AC55" s="638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69"/>
      <c r="P56" s="644" t="s">
        <v>69</v>
      </c>
      <c r="Q56" s="640"/>
      <c r="R56" s="640"/>
      <c r="S56" s="640"/>
      <c r="T56" s="640"/>
      <c r="U56" s="640"/>
      <c r="V56" s="641"/>
      <c r="W56" s="37" t="s">
        <v>67</v>
      </c>
      <c r="X56" s="637">
        <f>IFERROR(SUM(X51:X54),"0")</f>
        <v>76</v>
      </c>
      <c r="Y56" s="637">
        <f>IFERROR(SUM(Y51:Y54),"0")</f>
        <v>79.5</v>
      </c>
      <c r="Z56" s="37"/>
      <c r="AA56" s="638"/>
      <c r="AB56" s="638"/>
      <c r="AC56" s="638"/>
    </row>
    <row r="57" spans="1:68" ht="16.5" hidden="1" customHeight="1" x14ac:dyDescent="0.25">
      <c r="A57" s="647" t="s">
        <v>134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30"/>
      <c r="AB57" s="630"/>
      <c r="AC57" s="630"/>
    </row>
    <row r="58" spans="1:68" ht="14.25" hidden="1" customHeight="1" x14ac:dyDescent="0.25">
      <c r="A58" s="653" t="s">
        <v>119</v>
      </c>
      <c r="B58" s="648"/>
      <c r="C58" s="648"/>
      <c r="D58" s="648"/>
      <c r="E58" s="648"/>
      <c r="F58" s="648"/>
      <c r="G58" s="648"/>
      <c r="H58" s="648"/>
      <c r="I58" s="648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2">
        <v>4680115885882</v>
      </c>
      <c r="E59" s="643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2">
        <v>4680115881426</v>
      </c>
      <c r="E60" s="643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6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2">
        <v>4680115881426</v>
      </c>
      <c r="E61" s="643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7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2">
        <v>4680115880283</v>
      </c>
      <c r="E62" s="643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0"/>
      <c r="R62" s="650"/>
      <c r="S62" s="650"/>
      <c r="T62" s="65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2">
        <v>4680115881525</v>
      </c>
      <c r="E63" s="643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0"/>
      <c r="R63" s="650"/>
      <c r="S63" s="650"/>
      <c r="T63" s="651"/>
      <c r="U63" s="34"/>
      <c r="V63" s="34"/>
      <c r="W63" s="35" t="s">
        <v>67</v>
      </c>
      <c r="X63" s="635">
        <v>21</v>
      </c>
      <c r="Y63" s="636">
        <f t="shared" si="0"/>
        <v>24</v>
      </c>
      <c r="Z63" s="36">
        <f>IFERROR(IF(Y63=0,"",ROUNDUP(Y63/H63,0)*0.00902),"")</f>
        <v>5.4120000000000001E-2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21.997500000000002</v>
      </c>
      <c r="BN63" s="64">
        <f t="shared" si="2"/>
        <v>25.14</v>
      </c>
      <c r="BO63" s="64">
        <f t="shared" si="3"/>
        <v>3.9772727272727272E-2</v>
      </c>
      <c r="BP63" s="64">
        <f t="shared" si="4"/>
        <v>4.5454545454545456E-2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2">
        <v>4680115881525</v>
      </c>
      <c r="E64" s="643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71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0"/>
      <c r="R64" s="650"/>
      <c r="S64" s="650"/>
      <c r="T64" s="651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2">
        <v>4680115885899</v>
      </c>
      <c r="E65" s="643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6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2">
        <v>4680115881419</v>
      </c>
      <c r="E66" s="643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89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6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69"/>
      <c r="P67" s="644" t="s">
        <v>69</v>
      </c>
      <c r="Q67" s="640"/>
      <c r="R67" s="640"/>
      <c r="S67" s="640"/>
      <c r="T67" s="640"/>
      <c r="U67" s="640"/>
      <c r="V67" s="641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5.25</v>
      </c>
      <c r="Y67" s="637">
        <f>IFERROR(Y59/H59,"0")+IFERROR(Y60/H60,"0")+IFERROR(Y61/H61,"0")+IFERROR(Y62/H62,"0")+IFERROR(Y63/H63,"0")+IFERROR(Y64/H64,"0")+IFERROR(Y65/H65,"0")+IFERROR(Y66/H66,"0")</f>
        <v>6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8"/>
      <c r="AB67" s="638"/>
      <c r="AC67" s="638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69"/>
      <c r="P68" s="644" t="s">
        <v>69</v>
      </c>
      <c r="Q68" s="640"/>
      <c r="R68" s="640"/>
      <c r="S68" s="640"/>
      <c r="T68" s="640"/>
      <c r="U68" s="640"/>
      <c r="V68" s="641"/>
      <c r="W68" s="37" t="s">
        <v>67</v>
      </c>
      <c r="X68" s="637">
        <f>IFERROR(SUM(X59:X66),"0")</f>
        <v>21</v>
      </c>
      <c r="Y68" s="637">
        <f>IFERROR(SUM(Y59:Y66),"0")</f>
        <v>24</v>
      </c>
      <c r="Z68" s="37"/>
      <c r="AA68" s="638"/>
      <c r="AB68" s="638"/>
      <c r="AC68" s="638"/>
    </row>
    <row r="69" spans="1:68" ht="14.25" hidden="1" customHeight="1" x14ac:dyDescent="0.25">
      <c r="A69" s="653" t="s">
        <v>155</v>
      </c>
      <c r="B69" s="648"/>
      <c r="C69" s="648"/>
      <c r="D69" s="648"/>
      <c r="E69" s="648"/>
      <c r="F69" s="648"/>
      <c r="G69" s="648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2">
        <v>4680115881440</v>
      </c>
      <c r="E70" s="643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6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0"/>
      <c r="R70" s="650"/>
      <c r="S70" s="650"/>
      <c r="T70" s="651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2">
        <v>4680115885950</v>
      </c>
      <c r="E71" s="643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6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0"/>
      <c r="R71" s="650"/>
      <c r="S71" s="650"/>
      <c r="T71" s="651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2">
        <v>4680115887688</v>
      </c>
      <c r="E72" s="643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2">
        <v>4680115881433</v>
      </c>
      <c r="E73" s="643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100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6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69"/>
      <c r="P74" s="644" t="s">
        <v>69</v>
      </c>
      <c r="Q74" s="640"/>
      <c r="R74" s="640"/>
      <c r="S74" s="640"/>
      <c r="T74" s="640"/>
      <c r="U74" s="640"/>
      <c r="V74" s="641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69"/>
      <c r="P75" s="644" t="s">
        <v>69</v>
      </c>
      <c r="Q75" s="640"/>
      <c r="R75" s="640"/>
      <c r="S75" s="640"/>
      <c r="T75" s="640"/>
      <c r="U75" s="640"/>
      <c r="V75" s="641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53" t="s">
        <v>71</v>
      </c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8"/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2">
        <v>4680115884311</v>
      </c>
      <c r="E77" s="643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2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0"/>
      <c r="R77" s="650"/>
      <c r="S77" s="650"/>
      <c r="T77" s="651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2">
        <v>4680115884403</v>
      </c>
      <c r="E78" s="643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91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6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69"/>
      <c r="P79" s="644" t="s">
        <v>69</v>
      </c>
      <c r="Q79" s="640"/>
      <c r="R79" s="640"/>
      <c r="S79" s="640"/>
      <c r="T79" s="640"/>
      <c r="U79" s="640"/>
      <c r="V79" s="641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69"/>
      <c r="P80" s="644" t="s">
        <v>69</v>
      </c>
      <c r="Q80" s="640"/>
      <c r="R80" s="640"/>
      <c r="S80" s="640"/>
      <c r="T80" s="640"/>
      <c r="U80" s="640"/>
      <c r="V80" s="641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53" t="s">
        <v>173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42">
        <v>4680115881532</v>
      </c>
      <c r="E82" s="643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7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0"/>
      <c r="R82" s="650"/>
      <c r="S82" s="650"/>
      <c r="T82" s="651"/>
      <c r="U82" s="34"/>
      <c r="V82" s="34"/>
      <c r="W82" s="35" t="s">
        <v>67</v>
      </c>
      <c r="X82" s="635">
        <v>142</v>
      </c>
      <c r="Y82" s="636">
        <f>IFERROR(IF(X82="",0,CEILING((X82/$H82),1)*$H82),"")</f>
        <v>148.19999999999999</v>
      </c>
      <c r="Z82" s="36">
        <f>IFERROR(IF(Y82=0,"",ROUNDUP(Y82/H82,0)*0.01898),"")</f>
        <v>0.36062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149.46410256410257</v>
      </c>
      <c r="BN82" s="64">
        <f>IFERROR(Y82*I82/H82,"0")</f>
        <v>155.99</v>
      </c>
      <c r="BO82" s="64">
        <f>IFERROR(1/J82*(X82/H82),"0")</f>
        <v>0.28445512820512819</v>
      </c>
      <c r="BP82" s="64">
        <f>IFERROR(1/J82*(Y82/H82),"0")</f>
        <v>0.296875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2">
        <v>4680115881532</v>
      </c>
      <c r="E83" s="643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68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0"/>
      <c r="R83" s="650"/>
      <c r="S83" s="650"/>
      <c r="T83" s="651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2">
        <v>4680115881464</v>
      </c>
      <c r="E84" s="643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77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0"/>
      <c r="R84" s="650"/>
      <c r="S84" s="650"/>
      <c r="T84" s="651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6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69"/>
      <c r="P85" s="644" t="s">
        <v>69</v>
      </c>
      <c r="Q85" s="640"/>
      <c r="R85" s="640"/>
      <c r="S85" s="640"/>
      <c r="T85" s="640"/>
      <c r="U85" s="640"/>
      <c r="V85" s="641"/>
      <c r="W85" s="37" t="s">
        <v>70</v>
      </c>
      <c r="X85" s="637">
        <f>IFERROR(X82/H82,"0")+IFERROR(X83/H83,"0")+IFERROR(X84/H84,"0")</f>
        <v>18.205128205128204</v>
      </c>
      <c r="Y85" s="637">
        <f>IFERROR(Y82/H82,"0")+IFERROR(Y83/H83,"0")+IFERROR(Y84/H84,"0")</f>
        <v>19</v>
      </c>
      <c r="Z85" s="637">
        <f>IFERROR(IF(Z82="",0,Z82),"0")+IFERROR(IF(Z83="",0,Z83),"0")+IFERROR(IF(Z84="",0,Z84),"0")</f>
        <v>0.36062</v>
      </c>
      <c r="AA85" s="638"/>
      <c r="AB85" s="638"/>
      <c r="AC85" s="638"/>
    </row>
    <row r="86" spans="1:68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69"/>
      <c r="P86" s="644" t="s">
        <v>69</v>
      </c>
      <c r="Q86" s="640"/>
      <c r="R86" s="640"/>
      <c r="S86" s="640"/>
      <c r="T86" s="640"/>
      <c r="U86" s="640"/>
      <c r="V86" s="641"/>
      <c r="W86" s="37" t="s">
        <v>67</v>
      </c>
      <c r="X86" s="637">
        <f>IFERROR(SUM(X82:X84),"0")</f>
        <v>142</v>
      </c>
      <c r="Y86" s="637">
        <f>IFERROR(SUM(Y82:Y84),"0")</f>
        <v>148.19999999999999</v>
      </c>
      <c r="Z86" s="37"/>
      <c r="AA86" s="638"/>
      <c r="AB86" s="638"/>
      <c r="AC86" s="638"/>
    </row>
    <row r="87" spans="1:68" ht="16.5" hidden="1" customHeight="1" x14ac:dyDescent="0.25">
      <c r="A87" s="647" t="s">
        <v>181</v>
      </c>
      <c r="B87" s="648"/>
      <c r="C87" s="648"/>
      <c r="D87" s="648"/>
      <c r="E87" s="648"/>
      <c r="F87" s="648"/>
      <c r="G87" s="648"/>
      <c r="H87" s="648"/>
      <c r="I87" s="648"/>
      <c r="J87" s="648"/>
      <c r="K87" s="648"/>
      <c r="L87" s="648"/>
      <c r="M87" s="648"/>
      <c r="N87" s="648"/>
      <c r="O87" s="648"/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30"/>
      <c r="AB87" s="630"/>
      <c r="AC87" s="630"/>
    </row>
    <row r="88" spans="1:68" ht="14.25" hidden="1" customHeight="1" x14ac:dyDescent="0.25">
      <c r="A88" s="653" t="s">
        <v>119</v>
      </c>
      <c r="B88" s="648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2">
        <v>4680115881327</v>
      </c>
      <c r="E89" s="643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4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0"/>
      <c r="R89" s="650"/>
      <c r="S89" s="650"/>
      <c r="T89" s="651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2">
        <v>4680115881327</v>
      </c>
      <c r="E90" s="643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8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0"/>
      <c r="R90" s="650"/>
      <c r="S90" s="650"/>
      <c r="T90" s="65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2">
        <v>4680115887732</v>
      </c>
      <c r="E91" s="643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0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0"/>
      <c r="R91" s="650"/>
      <c r="S91" s="650"/>
      <c r="T91" s="651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2">
        <v>4680115881518</v>
      </c>
      <c r="E92" s="643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9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0"/>
      <c r="R92" s="650"/>
      <c r="S92" s="650"/>
      <c r="T92" s="651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2">
        <v>4680115881518</v>
      </c>
      <c r="E93" s="643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42">
        <v>4680115881303</v>
      </c>
      <c r="E94" s="643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96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6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69"/>
      <c r="P95" s="644" t="s">
        <v>69</v>
      </c>
      <c r="Q95" s="640"/>
      <c r="R95" s="640"/>
      <c r="S95" s="640"/>
      <c r="T95" s="640"/>
      <c r="U95" s="640"/>
      <c r="V95" s="641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69"/>
      <c r="P96" s="644" t="s">
        <v>69</v>
      </c>
      <c r="Q96" s="640"/>
      <c r="R96" s="640"/>
      <c r="S96" s="640"/>
      <c r="T96" s="640"/>
      <c r="U96" s="640"/>
      <c r="V96" s="641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53" t="s">
        <v>71</v>
      </c>
      <c r="B97" s="648"/>
      <c r="C97" s="648"/>
      <c r="D97" s="648"/>
      <c r="E97" s="648"/>
      <c r="F97" s="648"/>
      <c r="G97" s="648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2">
        <v>4607091386967</v>
      </c>
      <c r="E98" s="643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75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0"/>
      <c r="R98" s="650"/>
      <c r="S98" s="650"/>
      <c r="T98" s="651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2">
        <v>4680115884953</v>
      </c>
      <c r="E99" s="643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10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0"/>
      <c r="R99" s="650"/>
      <c r="S99" s="650"/>
      <c r="T99" s="651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2">
        <v>4607091385731</v>
      </c>
      <c r="E100" s="643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9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0"/>
      <c r="R100" s="650"/>
      <c r="S100" s="650"/>
      <c r="T100" s="651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2">
        <v>4680115880894</v>
      </c>
      <c r="E101" s="643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7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6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69"/>
      <c r="P102" s="644" t="s">
        <v>69</v>
      </c>
      <c r="Q102" s="640"/>
      <c r="R102" s="640"/>
      <c r="S102" s="640"/>
      <c r="T102" s="640"/>
      <c r="U102" s="640"/>
      <c r="V102" s="641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69"/>
      <c r="P103" s="644" t="s">
        <v>69</v>
      </c>
      <c r="Q103" s="640"/>
      <c r="R103" s="640"/>
      <c r="S103" s="640"/>
      <c r="T103" s="640"/>
      <c r="U103" s="640"/>
      <c r="V103" s="641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7" t="s">
        <v>205</v>
      </c>
      <c r="B104" s="648"/>
      <c r="C104" s="648"/>
      <c r="D104" s="648"/>
      <c r="E104" s="648"/>
      <c r="F104" s="648"/>
      <c r="G104" s="648"/>
      <c r="H104" s="648"/>
      <c r="I104" s="648"/>
      <c r="J104" s="648"/>
      <c r="K104" s="648"/>
      <c r="L104" s="648"/>
      <c r="M104" s="648"/>
      <c r="N104" s="648"/>
      <c r="O104" s="648"/>
      <c r="P104" s="648"/>
      <c r="Q104" s="648"/>
      <c r="R104" s="648"/>
      <c r="S104" s="648"/>
      <c r="T104" s="648"/>
      <c r="U104" s="648"/>
      <c r="V104" s="648"/>
      <c r="W104" s="648"/>
      <c r="X104" s="648"/>
      <c r="Y104" s="648"/>
      <c r="Z104" s="648"/>
      <c r="AA104" s="630"/>
      <c r="AB104" s="630"/>
      <c r="AC104" s="630"/>
    </row>
    <row r="105" spans="1:68" ht="14.25" hidden="1" customHeight="1" x14ac:dyDescent="0.25">
      <c r="A105" s="653" t="s">
        <v>119</v>
      </c>
      <c r="B105" s="648"/>
      <c r="C105" s="648"/>
      <c r="D105" s="648"/>
      <c r="E105" s="648"/>
      <c r="F105" s="648"/>
      <c r="G105" s="648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  <c r="Y105" s="648"/>
      <c r="Z105" s="648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2">
        <v>4680115882133</v>
      </c>
      <c r="E106" s="643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0"/>
      <c r="R106" s="650"/>
      <c r="S106" s="650"/>
      <c r="T106" s="651"/>
      <c r="U106" s="34"/>
      <c r="V106" s="34"/>
      <c r="W106" s="35" t="s">
        <v>67</v>
      </c>
      <c r="X106" s="635">
        <v>6</v>
      </c>
      <c r="Y106" s="636">
        <f t="shared" ref="Y106:Y112" si="10"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6.2277777777777779</v>
      </c>
      <c r="BN106" s="64">
        <f t="shared" ref="BN106:BN112" si="12">IFERROR(Y106*I106/H106,"0")</f>
        <v>11.21</v>
      </c>
      <c r="BO106" s="64">
        <f t="shared" ref="BO106:BO112" si="13">IFERROR(1/J106*(X106/H106),"0")</f>
        <v>8.6805555555555542E-3</v>
      </c>
      <c r="BP106" s="64">
        <f t="shared" ref="BP106:BP112" si="14">IFERROR(1/J106*(Y106/H106),"0")</f>
        <v>1.5625E-2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2">
        <v>4680115882133</v>
      </c>
      <c r="E107" s="643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73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2">
        <v>4680115887718</v>
      </c>
      <c r="E108" s="643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2">
        <v>4680115880269</v>
      </c>
      <c r="E109" s="643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0"/>
      <c r="R109" s="650"/>
      <c r="S109" s="650"/>
      <c r="T109" s="651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42">
        <v>4680115880429</v>
      </c>
      <c r="E110" s="643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73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0"/>
      <c r="R110" s="650"/>
      <c r="S110" s="650"/>
      <c r="T110" s="651"/>
      <c r="U110" s="34"/>
      <c r="V110" s="34"/>
      <c r="W110" s="35" t="s">
        <v>67</v>
      </c>
      <c r="X110" s="635">
        <v>14</v>
      </c>
      <c r="Y110" s="636">
        <f t="shared" si="10"/>
        <v>18</v>
      </c>
      <c r="Z110" s="36">
        <f>IFERROR(IF(Y110=0,"",ROUNDUP(Y110/H110,0)*0.00902),"")</f>
        <v>3.6080000000000001E-2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14.591111111111113</v>
      </c>
      <c r="BN110" s="64">
        <f t="shared" si="12"/>
        <v>18.760000000000002</v>
      </c>
      <c r="BO110" s="64">
        <f t="shared" si="13"/>
        <v>2.3569023569023569E-2</v>
      </c>
      <c r="BP110" s="64">
        <f t="shared" si="14"/>
        <v>3.0303030303030304E-2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2">
        <v>4680115881457</v>
      </c>
      <c r="E111" s="643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2">
        <v>4680115889477</v>
      </c>
      <c r="E112" s="643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6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69"/>
      <c r="P113" s="644" t="s">
        <v>69</v>
      </c>
      <c r="Q113" s="640"/>
      <c r="R113" s="640"/>
      <c r="S113" s="640"/>
      <c r="T113" s="640"/>
      <c r="U113" s="640"/>
      <c r="V113" s="641"/>
      <c r="W113" s="37" t="s">
        <v>70</v>
      </c>
      <c r="X113" s="637">
        <f>IFERROR(X106/H106,"0")+IFERROR(X107/H107,"0")+IFERROR(X108/H108,"0")+IFERROR(X109/H109,"0")+IFERROR(X110/H110,"0")+IFERROR(X111/H111,"0")+IFERROR(X112/H112,"0")</f>
        <v>3.6666666666666665</v>
      </c>
      <c r="Y113" s="637">
        <f>IFERROR(Y106/H106,"0")+IFERROR(Y107/H107,"0")+IFERROR(Y108/H108,"0")+IFERROR(Y109/H109,"0")+IFERROR(Y110/H110,"0")+IFERROR(Y111/H111,"0")+IFERROR(Y112/H112,"0")</f>
        <v>5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5.5059999999999998E-2</v>
      </c>
      <c r="AA113" s="638"/>
      <c r="AB113" s="638"/>
      <c r="AC113" s="638"/>
    </row>
    <row r="114" spans="1:68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69"/>
      <c r="P114" s="644" t="s">
        <v>69</v>
      </c>
      <c r="Q114" s="640"/>
      <c r="R114" s="640"/>
      <c r="S114" s="640"/>
      <c r="T114" s="640"/>
      <c r="U114" s="640"/>
      <c r="V114" s="641"/>
      <c r="W114" s="37" t="s">
        <v>67</v>
      </c>
      <c r="X114" s="637">
        <f>IFERROR(SUM(X106:X112),"0")</f>
        <v>20</v>
      </c>
      <c r="Y114" s="637">
        <f>IFERROR(SUM(Y106:Y112),"0")</f>
        <v>28.8</v>
      </c>
      <c r="Z114" s="37"/>
      <c r="AA114" s="638"/>
      <c r="AB114" s="638"/>
      <c r="AC114" s="638"/>
    </row>
    <row r="115" spans="1:68" ht="14.25" hidden="1" customHeight="1" x14ac:dyDescent="0.25">
      <c r="A115" s="653" t="s">
        <v>155</v>
      </c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  <c r="Y115" s="648"/>
      <c r="Z115" s="648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2">
        <v>4680115881488</v>
      </c>
      <c r="E116" s="643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5">
        <v>56</v>
      </c>
      <c r="Y116" s="636">
        <f>IFERROR(IF(X116="",0,CEILING((X116/$H116),1)*$H116),"")</f>
        <v>64.800000000000011</v>
      </c>
      <c r="Z116" s="36">
        <f>IFERROR(IF(Y116=0,"",ROUNDUP(Y116/H116,0)*0.01898),"")</f>
        <v>0.11388000000000001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58.12592592592592</v>
      </c>
      <c r="BN116" s="64">
        <f>IFERROR(Y116*I116/H116,"0")</f>
        <v>67.260000000000005</v>
      </c>
      <c r="BO116" s="64">
        <f>IFERROR(1/J116*(X116/H116),"0")</f>
        <v>8.1018518518518517E-2</v>
      </c>
      <c r="BP116" s="64">
        <f>IFERROR(1/J116*(Y116/H116),"0")</f>
        <v>9.3750000000000014E-2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2">
        <v>4680115887664</v>
      </c>
      <c r="E117" s="643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9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0"/>
      <c r="R117" s="650"/>
      <c r="S117" s="650"/>
      <c r="T117" s="651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2">
        <v>4680115887664</v>
      </c>
      <c r="E118" s="643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9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0"/>
      <c r="R118" s="650"/>
      <c r="S118" s="650"/>
      <c r="T118" s="651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2">
        <v>4680115882775</v>
      </c>
      <c r="E119" s="643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0"/>
      <c r="R119" s="650"/>
      <c r="S119" s="650"/>
      <c r="T119" s="65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2">
        <v>4680115880658</v>
      </c>
      <c r="E120" s="643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95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5">
        <v>29</v>
      </c>
      <c r="Y120" s="636">
        <f>IFERROR(IF(X120="",0,CEILING((X120/$H120),1)*$H120),"")</f>
        <v>31.2</v>
      </c>
      <c r="Z120" s="36">
        <f>IFERROR(IF(Y120=0,"",ROUNDUP(Y120/H120,0)*0.00651),"")</f>
        <v>8.4629999999999997E-2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31.175000000000004</v>
      </c>
      <c r="BN120" s="64">
        <f>IFERROR(Y120*I120/H120,"0")</f>
        <v>33.54</v>
      </c>
      <c r="BO120" s="64">
        <f>IFERROR(1/J120*(X120/H120),"0")</f>
        <v>6.6391941391941406E-2</v>
      </c>
      <c r="BP120" s="64">
        <f>IFERROR(1/J120*(Y120/H120),"0")</f>
        <v>7.1428571428571438E-2</v>
      </c>
    </row>
    <row r="121" spans="1:68" x14ac:dyDescent="0.2">
      <c r="A121" s="66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69"/>
      <c r="P121" s="644" t="s">
        <v>69</v>
      </c>
      <c r="Q121" s="640"/>
      <c r="R121" s="640"/>
      <c r="S121" s="640"/>
      <c r="T121" s="640"/>
      <c r="U121" s="640"/>
      <c r="V121" s="641"/>
      <c r="W121" s="37" t="s">
        <v>70</v>
      </c>
      <c r="X121" s="637">
        <f>IFERROR(X116/H116,"0")+IFERROR(X117/H117,"0")+IFERROR(X118/H118,"0")+IFERROR(X119/H119,"0")+IFERROR(X120/H120,"0")</f>
        <v>17.268518518518519</v>
      </c>
      <c r="Y121" s="637">
        <f>IFERROR(Y116/H116,"0")+IFERROR(Y117/H117,"0")+IFERROR(Y118/H118,"0")+IFERROR(Y119/H119,"0")+IFERROR(Y120/H120,"0")</f>
        <v>19</v>
      </c>
      <c r="Z121" s="637">
        <f>IFERROR(IF(Z116="",0,Z116),"0")+IFERROR(IF(Z117="",0,Z117),"0")+IFERROR(IF(Z118="",0,Z118),"0")+IFERROR(IF(Z119="",0,Z119),"0")+IFERROR(IF(Z120="",0,Z120),"0")</f>
        <v>0.19851000000000002</v>
      </c>
      <c r="AA121" s="638"/>
      <c r="AB121" s="638"/>
      <c r="AC121" s="638"/>
    </row>
    <row r="122" spans="1:68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69"/>
      <c r="P122" s="644" t="s">
        <v>69</v>
      </c>
      <c r="Q122" s="640"/>
      <c r="R122" s="640"/>
      <c r="S122" s="640"/>
      <c r="T122" s="640"/>
      <c r="U122" s="640"/>
      <c r="V122" s="641"/>
      <c r="W122" s="37" t="s">
        <v>67</v>
      </c>
      <c r="X122" s="637">
        <f>IFERROR(SUM(X116:X120),"0")</f>
        <v>85</v>
      </c>
      <c r="Y122" s="637">
        <f>IFERROR(SUM(Y116:Y120),"0")</f>
        <v>96.000000000000014</v>
      </c>
      <c r="Z122" s="37"/>
      <c r="AA122" s="638"/>
      <c r="AB122" s="638"/>
      <c r="AC122" s="638"/>
    </row>
    <row r="123" spans="1:68" ht="14.25" hidden="1" customHeight="1" x14ac:dyDescent="0.25">
      <c r="A123" s="653" t="s">
        <v>71</v>
      </c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2">
        <v>4607091385168</v>
      </c>
      <c r="E124" s="643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6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0"/>
      <c r="R124" s="650"/>
      <c r="S124" s="650"/>
      <c r="T124" s="651"/>
      <c r="U124" s="34"/>
      <c r="V124" s="34"/>
      <c r="W124" s="35" t="s">
        <v>67</v>
      </c>
      <c r="X124" s="635">
        <v>190</v>
      </c>
      <c r="Y124" s="636">
        <f>IFERROR(IF(X124="",0,CEILING((X124/$H124),1)*$H124),"")</f>
        <v>194.39999999999998</v>
      </c>
      <c r="Z124" s="36">
        <f>IFERROR(IF(Y124=0,"",ROUNDUP(Y124/H124,0)*0.01898),"")</f>
        <v>0.45552000000000004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201.4469135802469</v>
      </c>
      <c r="BN124" s="64">
        <f>IFERROR(Y124*I124/H124,"0")</f>
        <v>206.11199999999997</v>
      </c>
      <c r="BO124" s="64">
        <f>IFERROR(1/J124*(X124/H124),"0")</f>
        <v>0.36651234567901236</v>
      </c>
      <c r="BP124" s="64">
        <f>IFERROR(1/J124*(Y124/H124),"0")</f>
        <v>0.375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2">
        <v>4607091383256</v>
      </c>
      <c r="E125" s="643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78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0"/>
      <c r="R125" s="650"/>
      <c r="S125" s="650"/>
      <c r="T125" s="65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2">
        <v>4607091385748</v>
      </c>
      <c r="E126" s="643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64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0"/>
      <c r="R126" s="650"/>
      <c r="S126" s="650"/>
      <c r="T126" s="651"/>
      <c r="U126" s="34"/>
      <c r="V126" s="34"/>
      <c r="W126" s="35" t="s">
        <v>67</v>
      </c>
      <c r="X126" s="635">
        <v>42</v>
      </c>
      <c r="Y126" s="636">
        <f>IFERROR(IF(X126="",0,CEILING((X126/$H126),1)*$H126),"")</f>
        <v>43.2</v>
      </c>
      <c r="Z126" s="36">
        <f>IFERROR(IF(Y126=0,"",ROUNDUP(Y126/H126,0)*0.00651),"")</f>
        <v>0.10416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45.919999999999995</v>
      </c>
      <c r="BN126" s="64">
        <f>IFERROR(Y126*I126/H126,"0")</f>
        <v>47.231999999999999</v>
      </c>
      <c r="BO126" s="64">
        <f>IFERROR(1/J126*(X126/H126),"0")</f>
        <v>8.5470085470085472E-2</v>
      </c>
      <c r="BP126" s="64">
        <f>IFERROR(1/J126*(Y126/H126),"0")</f>
        <v>8.7912087912087919E-2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2">
        <v>4680115884533</v>
      </c>
      <c r="E127" s="643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71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6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69"/>
      <c r="P128" s="644" t="s">
        <v>69</v>
      </c>
      <c r="Q128" s="640"/>
      <c r="R128" s="640"/>
      <c r="S128" s="640"/>
      <c r="T128" s="640"/>
      <c r="U128" s="640"/>
      <c r="V128" s="641"/>
      <c r="W128" s="37" t="s">
        <v>70</v>
      </c>
      <c r="X128" s="637">
        <f>IFERROR(X124/H124,"0")+IFERROR(X125/H125,"0")+IFERROR(X126/H126,"0")+IFERROR(X127/H127,"0")</f>
        <v>39.012345679012348</v>
      </c>
      <c r="Y128" s="637">
        <f>IFERROR(Y124/H124,"0")+IFERROR(Y125/H125,"0")+IFERROR(Y126/H126,"0")+IFERROR(Y127/H127,"0")</f>
        <v>40</v>
      </c>
      <c r="Z128" s="637">
        <f>IFERROR(IF(Z124="",0,Z124),"0")+IFERROR(IF(Z125="",0,Z125),"0")+IFERROR(IF(Z126="",0,Z126),"0")+IFERROR(IF(Z127="",0,Z127),"0")</f>
        <v>0.55968000000000007</v>
      </c>
      <c r="AA128" s="638"/>
      <c r="AB128" s="638"/>
      <c r="AC128" s="638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69"/>
      <c r="P129" s="644" t="s">
        <v>69</v>
      </c>
      <c r="Q129" s="640"/>
      <c r="R129" s="640"/>
      <c r="S129" s="640"/>
      <c r="T129" s="640"/>
      <c r="U129" s="640"/>
      <c r="V129" s="641"/>
      <c r="W129" s="37" t="s">
        <v>67</v>
      </c>
      <c r="X129" s="637">
        <f>IFERROR(SUM(X124:X127),"0")</f>
        <v>232</v>
      </c>
      <c r="Y129" s="637">
        <f>IFERROR(SUM(Y124:Y127),"0")</f>
        <v>237.59999999999997</v>
      </c>
      <c r="Z129" s="37"/>
      <c r="AA129" s="638"/>
      <c r="AB129" s="638"/>
      <c r="AC129" s="638"/>
    </row>
    <row r="130" spans="1:68" ht="14.25" hidden="1" customHeight="1" x14ac:dyDescent="0.25">
      <c r="A130" s="653" t="s">
        <v>173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2">
        <v>4680115880238</v>
      </c>
      <c r="E131" s="643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0"/>
      <c r="R131" s="650"/>
      <c r="S131" s="650"/>
      <c r="T131" s="651"/>
      <c r="U131" s="34"/>
      <c r="V131" s="34"/>
      <c r="W131" s="35" t="s">
        <v>67</v>
      </c>
      <c r="X131" s="635">
        <v>17</v>
      </c>
      <c r="Y131" s="636">
        <f>IFERROR(IF(X131="",0,CEILING((X131/$H131),1)*$H131),"")</f>
        <v>17.82</v>
      </c>
      <c r="Z131" s="36">
        <f>IFERROR(IF(Y131=0,"",ROUNDUP(Y131/H131,0)*0.00651),"")</f>
        <v>5.8590000000000003E-2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19.215151515151515</v>
      </c>
      <c r="BN131" s="64">
        <f>IFERROR(Y131*I131/H131,"0")</f>
        <v>20.141999999999999</v>
      </c>
      <c r="BO131" s="64">
        <f>IFERROR(1/J131*(X131/H131),"0")</f>
        <v>4.7175047175047183E-2</v>
      </c>
      <c r="BP131" s="64">
        <f>IFERROR(1/J131*(Y131/H131),"0")</f>
        <v>4.9450549450549455E-2</v>
      </c>
    </row>
    <row r="132" spans="1:68" x14ac:dyDescent="0.2">
      <c r="A132" s="66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69"/>
      <c r="P132" s="644" t="s">
        <v>69</v>
      </c>
      <c r="Q132" s="640"/>
      <c r="R132" s="640"/>
      <c r="S132" s="640"/>
      <c r="T132" s="640"/>
      <c r="U132" s="640"/>
      <c r="V132" s="641"/>
      <c r="W132" s="37" t="s">
        <v>70</v>
      </c>
      <c r="X132" s="637">
        <f>IFERROR(X131/H131,"0")</f>
        <v>8.5858585858585865</v>
      </c>
      <c r="Y132" s="637">
        <f>IFERROR(Y131/H131,"0")</f>
        <v>9</v>
      </c>
      <c r="Z132" s="637">
        <f>IFERROR(IF(Z131="",0,Z131),"0")</f>
        <v>5.8590000000000003E-2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69"/>
      <c r="P133" s="644" t="s">
        <v>69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IFERROR(SUM(X131:X131),"0")</f>
        <v>17</v>
      </c>
      <c r="Y133" s="637">
        <f>IFERROR(SUM(Y131:Y131),"0")</f>
        <v>17.82</v>
      </c>
      <c r="Z133" s="37"/>
      <c r="AA133" s="638"/>
      <c r="AB133" s="638"/>
      <c r="AC133" s="638"/>
    </row>
    <row r="134" spans="1:68" ht="16.5" hidden="1" customHeight="1" x14ac:dyDescent="0.25">
      <c r="A134" s="647" t="s">
        <v>248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0"/>
      <c r="AB134" s="630"/>
      <c r="AC134" s="630"/>
    </row>
    <row r="135" spans="1:68" ht="14.25" hidden="1" customHeight="1" x14ac:dyDescent="0.25">
      <c r="A135" s="653" t="s">
        <v>119</v>
      </c>
      <c r="B135" s="648"/>
      <c r="C135" s="648"/>
      <c r="D135" s="648"/>
      <c r="E135" s="648"/>
      <c r="F135" s="648"/>
      <c r="G135" s="648"/>
      <c r="H135" s="648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  <c r="Y135" s="648"/>
      <c r="Z135" s="648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42">
        <v>4680115882577</v>
      </c>
      <c r="E136" s="643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6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0"/>
      <c r="R136" s="650"/>
      <c r="S136" s="650"/>
      <c r="T136" s="651"/>
      <c r="U136" s="34"/>
      <c r="V136" s="34"/>
      <c r="W136" s="35" t="s">
        <v>67</v>
      </c>
      <c r="X136" s="635">
        <v>32</v>
      </c>
      <c r="Y136" s="636">
        <f>IFERROR(IF(X136="",0,CEILING((X136/$H136),1)*$H136),"")</f>
        <v>32</v>
      </c>
      <c r="Z136" s="36">
        <f>IFERROR(IF(Y136=0,"",ROUNDUP(Y136/H136,0)*0.00651),"")</f>
        <v>6.5100000000000005E-2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33.799999999999997</v>
      </c>
      <c r="BN136" s="64">
        <f>IFERROR(Y136*I136/H136,"0")</f>
        <v>33.799999999999997</v>
      </c>
      <c r="BO136" s="64">
        <f>IFERROR(1/J136*(X136/H136),"0")</f>
        <v>5.4945054945054951E-2</v>
      </c>
      <c r="BP136" s="64">
        <f>IFERROR(1/J136*(Y136/H136),"0")</f>
        <v>5.4945054945054951E-2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2">
        <v>4680115882577</v>
      </c>
      <c r="E137" s="643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8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0"/>
      <c r="R137" s="650"/>
      <c r="S137" s="650"/>
      <c r="T137" s="651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6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69"/>
      <c r="P138" s="644" t="s">
        <v>69</v>
      </c>
      <c r="Q138" s="640"/>
      <c r="R138" s="640"/>
      <c r="S138" s="640"/>
      <c r="T138" s="640"/>
      <c r="U138" s="640"/>
      <c r="V138" s="641"/>
      <c r="W138" s="37" t="s">
        <v>70</v>
      </c>
      <c r="X138" s="637">
        <f>IFERROR(X136/H136,"0")+IFERROR(X137/H137,"0")</f>
        <v>10</v>
      </c>
      <c r="Y138" s="637">
        <f>IFERROR(Y136/H136,"0")+IFERROR(Y137/H137,"0")</f>
        <v>10</v>
      </c>
      <c r="Z138" s="637">
        <f>IFERROR(IF(Z136="",0,Z136),"0")+IFERROR(IF(Z137="",0,Z137),"0")</f>
        <v>6.5100000000000005E-2</v>
      </c>
      <c r="AA138" s="638"/>
      <c r="AB138" s="638"/>
      <c r="AC138" s="638"/>
    </row>
    <row r="139" spans="1:68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69"/>
      <c r="P139" s="644" t="s">
        <v>69</v>
      </c>
      <c r="Q139" s="640"/>
      <c r="R139" s="640"/>
      <c r="S139" s="640"/>
      <c r="T139" s="640"/>
      <c r="U139" s="640"/>
      <c r="V139" s="641"/>
      <c r="W139" s="37" t="s">
        <v>67</v>
      </c>
      <c r="X139" s="637">
        <f>IFERROR(SUM(X136:X137),"0")</f>
        <v>32</v>
      </c>
      <c r="Y139" s="637">
        <f>IFERROR(SUM(Y136:Y137),"0")</f>
        <v>32</v>
      </c>
      <c r="Z139" s="37"/>
      <c r="AA139" s="638"/>
      <c r="AB139" s="638"/>
      <c r="AC139" s="638"/>
    </row>
    <row r="140" spans="1:68" ht="14.25" hidden="1" customHeight="1" x14ac:dyDescent="0.25">
      <c r="A140" s="653" t="s">
        <v>62</v>
      </c>
      <c r="B140" s="648"/>
      <c r="C140" s="648"/>
      <c r="D140" s="648"/>
      <c r="E140" s="648"/>
      <c r="F140" s="648"/>
      <c r="G140" s="648"/>
      <c r="H140" s="648"/>
      <c r="I140" s="648"/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  <c r="Y140" s="648"/>
      <c r="Z140" s="648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2">
        <v>4680115883444</v>
      </c>
      <c r="E141" s="643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0"/>
      <c r="R141" s="650"/>
      <c r="S141" s="650"/>
      <c r="T141" s="651"/>
      <c r="U141" s="34"/>
      <c r="V141" s="34"/>
      <c r="W141" s="35" t="s">
        <v>67</v>
      </c>
      <c r="X141" s="635">
        <v>19</v>
      </c>
      <c r="Y141" s="636">
        <f>IFERROR(IF(X141="",0,CEILING((X141/$H141),1)*$H141),"")</f>
        <v>19.599999999999998</v>
      </c>
      <c r="Z141" s="36">
        <f>IFERROR(IF(Y141=0,"",ROUNDUP(Y141/H141,0)*0.00651),"")</f>
        <v>4.5569999999999999E-2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20.818571428571431</v>
      </c>
      <c r="BN141" s="64">
        <f>IFERROR(Y141*I141/H141,"0")</f>
        <v>21.475999999999999</v>
      </c>
      <c r="BO141" s="64">
        <f>IFERROR(1/J141*(X141/H141),"0")</f>
        <v>3.7284144427001578E-2</v>
      </c>
      <c r="BP141" s="64">
        <f>IFERROR(1/J141*(Y141/H141),"0")</f>
        <v>3.8461538461538464E-2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2">
        <v>4680115883444</v>
      </c>
      <c r="E142" s="643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0"/>
      <c r="R142" s="650"/>
      <c r="S142" s="650"/>
      <c r="T142" s="651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6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69"/>
      <c r="P143" s="644" t="s">
        <v>69</v>
      </c>
      <c r="Q143" s="640"/>
      <c r="R143" s="640"/>
      <c r="S143" s="640"/>
      <c r="T143" s="640"/>
      <c r="U143" s="640"/>
      <c r="V143" s="641"/>
      <c r="W143" s="37" t="s">
        <v>70</v>
      </c>
      <c r="X143" s="637">
        <f>IFERROR(X141/H141,"0")+IFERROR(X142/H142,"0")</f>
        <v>6.7857142857142865</v>
      </c>
      <c r="Y143" s="637">
        <f>IFERROR(Y141/H141,"0")+IFERROR(Y142/H142,"0")</f>
        <v>7</v>
      </c>
      <c r="Z143" s="637">
        <f>IFERROR(IF(Z141="",0,Z141),"0")+IFERROR(IF(Z142="",0,Z142),"0")</f>
        <v>4.5569999999999999E-2</v>
      </c>
      <c r="AA143" s="638"/>
      <c r="AB143" s="638"/>
      <c r="AC143" s="638"/>
    </row>
    <row r="144" spans="1:68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69"/>
      <c r="P144" s="644" t="s">
        <v>69</v>
      </c>
      <c r="Q144" s="640"/>
      <c r="R144" s="640"/>
      <c r="S144" s="640"/>
      <c r="T144" s="640"/>
      <c r="U144" s="640"/>
      <c r="V144" s="641"/>
      <c r="W144" s="37" t="s">
        <v>67</v>
      </c>
      <c r="X144" s="637">
        <f>IFERROR(SUM(X141:X142),"0")</f>
        <v>19</v>
      </c>
      <c r="Y144" s="637">
        <f>IFERROR(SUM(Y141:Y142),"0")</f>
        <v>19.599999999999998</v>
      </c>
      <c r="Z144" s="37"/>
      <c r="AA144" s="638"/>
      <c r="AB144" s="638"/>
      <c r="AC144" s="638"/>
    </row>
    <row r="145" spans="1:68" ht="14.25" hidden="1" customHeight="1" x14ac:dyDescent="0.25">
      <c r="A145" s="653" t="s">
        <v>71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42">
        <v>4680115882584</v>
      </c>
      <c r="E146" s="643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0"/>
      <c r="R146" s="650"/>
      <c r="S146" s="650"/>
      <c r="T146" s="651"/>
      <c r="U146" s="34"/>
      <c r="V146" s="34"/>
      <c r="W146" s="35" t="s">
        <v>67</v>
      </c>
      <c r="X146" s="635">
        <v>61</v>
      </c>
      <c r="Y146" s="636">
        <f>IFERROR(IF(X146="",0,CEILING((X146/$H146),1)*$H146),"")</f>
        <v>63.36</v>
      </c>
      <c r="Z146" s="36">
        <f>IFERROR(IF(Y146=0,"",ROUNDUP(Y146/H146,0)*0.00651),"")</f>
        <v>0.15623999999999999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67.192424242424238</v>
      </c>
      <c r="BN146" s="64">
        <f>IFERROR(Y146*I146/H146,"0")</f>
        <v>69.792000000000002</v>
      </c>
      <c r="BO146" s="64">
        <f>IFERROR(1/J146*(X146/H146),"0")</f>
        <v>0.12695637695637696</v>
      </c>
      <c r="BP146" s="64">
        <f>IFERROR(1/J146*(Y146/H146),"0")</f>
        <v>0.13186813186813187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2">
        <v>4680115882584</v>
      </c>
      <c r="E147" s="643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9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0"/>
      <c r="R147" s="650"/>
      <c r="S147" s="650"/>
      <c r="T147" s="65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6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69"/>
      <c r="P148" s="644" t="s">
        <v>69</v>
      </c>
      <c r="Q148" s="640"/>
      <c r="R148" s="640"/>
      <c r="S148" s="640"/>
      <c r="T148" s="640"/>
      <c r="U148" s="640"/>
      <c r="V148" s="641"/>
      <c r="W148" s="37" t="s">
        <v>70</v>
      </c>
      <c r="X148" s="637">
        <f>IFERROR(X146/H146,"0")+IFERROR(X147/H147,"0")</f>
        <v>23.106060606060606</v>
      </c>
      <c r="Y148" s="637">
        <f>IFERROR(Y146/H146,"0")+IFERROR(Y147/H147,"0")</f>
        <v>24</v>
      </c>
      <c r="Z148" s="637">
        <f>IFERROR(IF(Z146="",0,Z146),"0")+IFERROR(IF(Z147="",0,Z147),"0")</f>
        <v>0.15623999999999999</v>
      </c>
      <c r="AA148" s="638"/>
      <c r="AB148" s="638"/>
      <c r="AC148" s="638"/>
    </row>
    <row r="149" spans="1:68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69"/>
      <c r="P149" s="644" t="s">
        <v>69</v>
      </c>
      <c r="Q149" s="640"/>
      <c r="R149" s="640"/>
      <c r="S149" s="640"/>
      <c r="T149" s="640"/>
      <c r="U149" s="640"/>
      <c r="V149" s="641"/>
      <c r="W149" s="37" t="s">
        <v>67</v>
      </c>
      <c r="X149" s="637">
        <f>IFERROR(SUM(X146:X147),"0")</f>
        <v>61</v>
      </c>
      <c r="Y149" s="637">
        <f>IFERROR(SUM(Y146:Y147),"0")</f>
        <v>63.36</v>
      </c>
      <c r="Z149" s="37"/>
      <c r="AA149" s="638"/>
      <c r="AB149" s="638"/>
      <c r="AC149" s="638"/>
    </row>
    <row r="150" spans="1:68" ht="16.5" hidden="1" customHeight="1" x14ac:dyDescent="0.25">
      <c r="A150" s="647" t="s">
        <v>261</v>
      </c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8"/>
      <c r="P150" s="648"/>
      <c r="Q150" s="648"/>
      <c r="R150" s="648"/>
      <c r="S150" s="648"/>
      <c r="T150" s="648"/>
      <c r="U150" s="648"/>
      <c r="V150" s="648"/>
      <c r="W150" s="648"/>
      <c r="X150" s="648"/>
      <c r="Y150" s="648"/>
      <c r="Z150" s="648"/>
      <c r="AA150" s="630"/>
      <c r="AB150" s="630"/>
      <c r="AC150" s="630"/>
    </row>
    <row r="151" spans="1:68" ht="14.25" hidden="1" customHeight="1" x14ac:dyDescent="0.25">
      <c r="A151" s="653" t="s">
        <v>71</v>
      </c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  <c r="Y151" s="648"/>
      <c r="Z151" s="648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2">
        <v>4680115888203</v>
      </c>
      <c r="E152" s="643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9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2">
        <v>4680115888180</v>
      </c>
      <c r="E153" s="643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2">
        <v>4680115888197</v>
      </c>
      <c r="E154" s="643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0"/>
      <c r="R154" s="650"/>
      <c r="S154" s="650"/>
      <c r="T154" s="651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2">
        <v>4680115888210</v>
      </c>
      <c r="E155" s="643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10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0"/>
      <c r="R155" s="650"/>
      <c r="S155" s="650"/>
      <c r="T155" s="651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6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69"/>
      <c r="P156" s="644" t="s">
        <v>69</v>
      </c>
      <c r="Q156" s="640"/>
      <c r="R156" s="640"/>
      <c r="S156" s="640"/>
      <c r="T156" s="640"/>
      <c r="U156" s="640"/>
      <c r="V156" s="641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69"/>
      <c r="P157" s="644" t="s">
        <v>69</v>
      </c>
      <c r="Q157" s="640"/>
      <c r="R157" s="640"/>
      <c r="S157" s="640"/>
      <c r="T157" s="640"/>
      <c r="U157" s="640"/>
      <c r="V157" s="641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53" t="s">
        <v>89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2">
        <v>4680115889132</v>
      </c>
      <c r="E159" s="643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0"/>
      <c r="R159" s="650"/>
      <c r="S159" s="650"/>
      <c r="T159" s="65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69"/>
      <c r="P160" s="644" t="s">
        <v>69</v>
      </c>
      <c r="Q160" s="640"/>
      <c r="R160" s="640"/>
      <c r="S160" s="640"/>
      <c r="T160" s="640"/>
      <c r="U160" s="640"/>
      <c r="V160" s="641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69"/>
      <c r="P161" s="644" t="s">
        <v>69</v>
      </c>
      <c r="Q161" s="640"/>
      <c r="R161" s="640"/>
      <c r="S161" s="640"/>
      <c r="T161" s="640"/>
      <c r="U161" s="640"/>
      <c r="V161" s="641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7" t="s">
        <v>117</v>
      </c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  <c r="Y162" s="648"/>
      <c r="Z162" s="648"/>
      <c r="AA162" s="630"/>
      <c r="AB162" s="630"/>
      <c r="AC162" s="630"/>
    </row>
    <row r="163" spans="1:68" ht="14.25" hidden="1" customHeight="1" x14ac:dyDescent="0.25">
      <c r="A163" s="653" t="s">
        <v>119</v>
      </c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2">
        <v>4680115887374</v>
      </c>
      <c r="E164" s="643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7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2">
        <v>4607091384604</v>
      </c>
      <c r="E165" s="643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9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0"/>
      <c r="R165" s="650"/>
      <c r="S165" s="650"/>
      <c r="T165" s="65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2">
        <v>4607091384604</v>
      </c>
      <c r="E166" s="643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94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0"/>
      <c r="R166" s="650"/>
      <c r="S166" s="650"/>
      <c r="T166" s="65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2">
        <v>4680115888876</v>
      </c>
      <c r="E167" s="643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0"/>
      <c r="R167" s="650"/>
      <c r="S167" s="650"/>
      <c r="T167" s="651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6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69"/>
      <c r="P168" s="644" t="s">
        <v>69</v>
      </c>
      <c r="Q168" s="640"/>
      <c r="R168" s="640"/>
      <c r="S168" s="640"/>
      <c r="T168" s="640"/>
      <c r="U168" s="640"/>
      <c r="V168" s="641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69"/>
      <c r="P169" s="644" t="s">
        <v>69</v>
      </c>
      <c r="Q169" s="640"/>
      <c r="R169" s="640"/>
      <c r="S169" s="640"/>
      <c r="T169" s="640"/>
      <c r="U169" s="640"/>
      <c r="V169" s="641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53" t="s">
        <v>155</v>
      </c>
      <c r="B170" s="648"/>
      <c r="C170" s="648"/>
      <c r="D170" s="648"/>
      <c r="E170" s="648"/>
      <c r="F170" s="648"/>
      <c r="G170" s="648"/>
      <c r="H170" s="648"/>
      <c r="I170" s="648"/>
      <c r="J170" s="648"/>
      <c r="K170" s="648"/>
      <c r="L170" s="648"/>
      <c r="M170" s="648"/>
      <c r="N170" s="648"/>
      <c r="O170" s="648"/>
      <c r="P170" s="648"/>
      <c r="Q170" s="648"/>
      <c r="R170" s="648"/>
      <c r="S170" s="648"/>
      <c r="T170" s="648"/>
      <c r="U170" s="648"/>
      <c r="V170" s="648"/>
      <c r="W170" s="648"/>
      <c r="X170" s="648"/>
      <c r="Y170" s="648"/>
      <c r="Z170" s="648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2">
        <v>4680115887695</v>
      </c>
      <c r="E171" s="643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9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0"/>
      <c r="R171" s="650"/>
      <c r="S171" s="650"/>
      <c r="T171" s="651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2">
        <v>4680115889491</v>
      </c>
      <c r="E172" s="643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9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0"/>
      <c r="R172" s="650"/>
      <c r="S172" s="650"/>
      <c r="T172" s="651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6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69"/>
      <c r="P173" s="644" t="s">
        <v>69</v>
      </c>
      <c r="Q173" s="640"/>
      <c r="R173" s="640"/>
      <c r="S173" s="640"/>
      <c r="T173" s="640"/>
      <c r="U173" s="640"/>
      <c r="V173" s="641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69"/>
      <c r="P174" s="644" t="s">
        <v>69</v>
      </c>
      <c r="Q174" s="640"/>
      <c r="R174" s="640"/>
      <c r="S174" s="640"/>
      <c r="T174" s="640"/>
      <c r="U174" s="640"/>
      <c r="V174" s="641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53" t="s">
        <v>62</v>
      </c>
      <c r="B175" s="648"/>
      <c r="C175" s="648"/>
      <c r="D175" s="648"/>
      <c r="E175" s="648"/>
      <c r="F175" s="648"/>
      <c r="G175" s="648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2">
        <v>4680115889613</v>
      </c>
      <c r="E176" s="643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2">
        <v>4680115887428</v>
      </c>
      <c r="E177" s="643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5">
        <v>270</v>
      </c>
      <c r="Y177" s="636">
        <f t="shared" si="15"/>
        <v>273</v>
      </c>
      <c r="Z177" s="36">
        <f>IFERROR(IF(Y177=0,"",ROUNDUP(Y177/H177,0)*0.00902),"")</f>
        <v>0.70355999999999996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284.65714285714284</v>
      </c>
      <c r="BN177" s="64">
        <f t="shared" si="17"/>
        <v>287.82</v>
      </c>
      <c r="BO177" s="64">
        <f t="shared" si="18"/>
        <v>0.58441558441558439</v>
      </c>
      <c r="BP177" s="64">
        <f t="shared" si="19"/>
        <v>0.59090909090909094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2">
        <v>4680115889170</v>
      </c>
      <c r="E178" s="643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0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42">
        <v>4680115887398</v>
      </c>
      <c r="E179" s="643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3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5">
        <v>227</v>
      </c>
      <c r="Y179" s="636">
        <f t="shared" si="15"/>
        <v>227.5</v>
      </c>
      <c r="Z179" s="36">
        <f>IFERROR(IF(Y179=0,"",ROUNDUP(Y179/H179,0)*0.00902),"")</f>
        <v>0.58630000000000004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239.32285714285715</v>
      </c>
      <c r="BN179" s="64">
        <f t="shared" si="17"/>
        <v>239.85</v>
      </c>
      <c r="BO179" s="64">
        <f t="shared" si="18"/>
        <v>0.49134199134199141</v>
      </c>
      <c r="BP179" s="64">
        <f t="shared" si="19"/>
        <v>0.49242424242424243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2">
        <v>4680115887336</v>
      </c>
      <c r="E180" s="643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customHeight="1" x14ac:dyDescent="0.25">
      <c r="A181" s="54" t="s">
        <v>308</v>
      </c>
      <c r="B181" s="54" t="s">
        <v>309</v>
      </c>
      <c r="C181" s="31">
        <v>4301031528</v>
      </c>
      <c r="D181" s="642">
        <v>4680115887787</v>
      </c>
      <c r="E181" s="643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70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5">
        <v>8</v>
      </c>
      <c r="Y181" s="636">
        <f t="shared" si="15"/>
        <v>8.1</v>
      </c>
      <c r="Z181" s="36">
        <f>IFERROR(IF(Y181=0,"",ROUNDUP(Y181/H181,0)*0.00726),"")</f>
        <v>6.5339999999999995E-2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9.8666666666666671</v>
      </c>
      <c r="BN181" s="64">
        <f t="shared" si="17"/>
        <v>9.99</v>
      </c>
      <c r="BO181" s="64">
        <f t="shared" si="18"/>
        <v>4.6296296296296294E-2</v>
      </c>
      <c r="BP181" s="64">
        <f t="shared" si="19"/>
        <v>4.6875E-2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2">
        <v>4680115887503</v>
      </c>
      <c r="E182" s="643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2">
        <v>4680115887763</v>
      </c>
      <c r="E183" s="643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42">
        <v>4680115887480</v>
      </c>
      <c r="E184" s="643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5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5">
        <v>116</v>
      </c>
      <c r="Y184" s="636">
        <f t="shared" si="15"/>
        <v>117.6</v>
      </c>
      <c r="Z184" s="36">
        <f>IFERROR(IF(Y184=0,"",ROUNDUP(Y184/H184,0)*0.00502),"")</f>
        <v>0.35139999999999999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122.9047619047619</v>
      </c>
      <c r="BN184" s="64">
        <f t="shared" si="17"/>
        <v>124.60000000000001</v>
      </c>
      <c r="BO184" s="64">
        <f t="shared" si="18"/>
        <v>0.29507529507529512</v>
      </c>
      <c r="BP184" s="64">
        <f t="shared" si="19"/>
        <v>0.29914529914529919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2">
        <v>4680115888067</v>
      </c>
      <c r="E185" s="643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0"/>
      <c r="R185" s="650"/>
      <c r="S185" s="650"/>
      <c r="T185" s="651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2">
        <v>4680115887435</v>
      </c>
      <c r="E186" s="643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7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0"/>
      <c r="R186" s="650"/>
      <c r="S186" s="650"/>
      <c r="T186" s="651"/>
      <c r="U186" s="34"/>
      <c r="V186" s="34"/>
      <c r="W186" s="35" t="s">
        <v>67</v>
      </c>
      <c r="X186" s="635">
        <v>11</v>
      </c>
      <c r="Y186" s="636">
        <f t="shared" si="15"/>
        <v>11.76</v>
      </c>
      <c r="Z186" s="36">
        <f>IFERROR(IF(Y186=0,"",ROUNDUP(Y186/H186,0)*0.00502),"")</f>
        <v>3.5140000000000005E-2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11.654761904761907</v>
      </c>
      <c r="BN186" s="64">
        <f t="shared" si="17"/>
        <v>12.46</v>
      </c>
      <c r="BO186" s="64">
        <f t="shared" si="18"/>
        <v>2.7981277981277985E-2</v>
      </c>
      <c r="BP186" s="64">
        <f t="shared" si="19"/>
        <v>2.9914529914529919E-2</v>
      </c>
    </row>
    <row r="187" spans="1:68" x14ac:dyDescent="0.2">
      <c r="A187" s="66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69"/>
      <c r="P187" s="644" t="s">
        <v>69</v>
      </c>
      <c r="Q187" s="640"/>
      <c r="R187" s="640"/>
      <c r="S187" s="640"/>
      <c r="T187" s="640"/>
      <c r="U187" s="640"/>
      <c r="V187" s="641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226.48412698412699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229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1.7417399999999998</v>
      </c>
      <c r="AA187" s="638"/>
      <c r="AB187" s="638"/>
      <c r="AC187" s="638"/>
    </row>
    <row r="188" spans="1:68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69"/>
      <c r="P188" s="644" t="s">
        <v>69</v>
      </c>
      <c r="Q188" s="640"/>
      <c r="R188" s="640"/>
      <c r="S188" s="640"/>
      <c r="T188" s="640"/>
      <c r="U188" s="640"/>
      <c r="V188" s="641"/>
      <c r="W188" s="37" t="s">
        <v>67</v>
      </c>
      <c r="X188" s="637">
        <f>IFERROR(SUM(X176:X186),"0")</f>
        <v>632</v>
      </c>
      <c r="Y188" s="637">
        <f>IFERROR(SUM(Y176:Y186),"0")</f>
        <v>637.96</v>
      </c>
      <c r="Z188" s="37"/>
      <c r="AA188" s="638"/>
      <c r="AB188" s="638"/>
      <c r="AC188" s="638"/>
    </row>
    <row r="189" spans="1:68" ht="14.25" hidden="1" customHeight="1" x14ac:dyDescent="0.25">
      <c r="A189" s="653" t="s">
        <v>71</v>
      </c>
      <c r="B189" s="648"/>
      <c r="C189" s="648"/>
      <c r="D189" s="648"/>
      <c r="E189" s="648"/>
      <c r="F189" s="648"/>
      <c r="G189" s="648"/>
      <c r="H189" s="648"/>
      <c r="I189" s="648"/>
      <c r="J189" s="648"/>
      <c r="K189" s="648"/>
      <c r="L189" s="648"/>
      <c r="M189" s="648"/>
      <c r="N189" s="648"/>
      <c r="O189" s="648"/>
      <c r="P189" s="648"/>
      <c r="Q189" s="648"/>
      <c r="R189" s="648"/>
      <c r="S189" s="648"/>
      <c r="T189" s="648"/>
      <c r="U189" s="648"/>
      <c r="V189" s="648"/>
      <c r="W189" s="648"/>
      <c r="X189" s="648"/>
      <c r="Y189" s="648"/>
      <c r="Z189" s="648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2">
        <v>4680115888395</v>
      </c>
      <c r="E190" s="643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74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2">
        <v>4680115888371</v>
      </c>
      <c r="E191" s="643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7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0"/>
      <c r="R191" s="650"/>
      <c r="S191" s="650"/>
      <c r="T191" s="651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69"/>
      <c r="P192" s="644" t="s">
        <v>69</v>
      </c>
      <c r="Q192" s="640"/>
      <c r="R192" s="640"/>
      <c r="S192" s="640"/>
      <c r="T192" s="640"/>
      <c r="U192" s="640"/>
      <c r="V192" s="641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69"/>
      <c r="P193" s="644" t="s">
        <v>69</v>
      </c>
      <c r="Q193" s="640"/>
      <c r="R193" s="640"/>
      <c r="S193" s="640"/>
      <c r="T193" s="640"/>
      <c r="U193" s="640"/>
      <c r="V193" s="641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53" t="s">
        <v>89</v>
      </c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2">
        <v>4680115889026</v>
      </c>
      <c r="E195" s="643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8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0"/>
      <c r="R195" s="650"/>
      <c r="S195" s="650"/>
      <c r="T195" s="651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69"/>
      <c r="P196" s="644" t="s">
        <v>69</v>
      </c>
      <c r="Q196" s="640"/>
      <c r="R196" s="640"/>
      <c r="S196" s="640"/>
      <c r="T196" s="640"/>
      <c r="U196" s="640"/>
      <c r="V196" s="641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69"/>
      <c r="P197" s="644" t="s">
        <v>69</v>
      </c>
      <c r="Q197" s="640"/>
      <c r="R197" s="640"/>
      <c r="S197" s="640"/>
      <c r="T197" s="640"/>
      <c r="U197" s="640"/>
      <c r="V197" s="641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53" t="s">
        <v>333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2">
        <v>4680115889033</v>
      </c>
      <c r="E199" s="643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6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0"/>
      <c r="R199" s="650"/>
      <c r="S199" s="650"/>
      <c r="T199" s="651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69"/>
      <c r="P200" s="644" t="s">
        <v>69</v>
      </c>
      <c r="Q200" s="640"/>
      <c r="R200" s="640"/>
      <c r="S200" s="640"/>
      <c r="T200" s="640"/>
      <c r="U200" s="640"/>
      <c r="V200" s="641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69"/>
      <c r="P201" s="644" t="s">
        <v>69</v>
      </c>
      <c r="Q201" s="640"/>
      <c r="R201" s="640"/>
      <c r="S201" s="640"/>
      <c r="T201" s="640"/>
      <c r="U201" s="640"/>
      <c r="V201" s="641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727" t="s">
        <v>337</v>
      </c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8"/>
      <c r="P202" s="728"/>
      <c r="Q202" s="728"/>
      <c r="R202" s="728"/>
      <c r="S202" s="728"/>
      <c r="T202" s="728"/>
      <c r="U202" s="728"/>
      <c r="V202" s="728"/>
      <c r="W202" s="728"/>
      <c r="X202" s="728"/>
      <c r="Y202" s="728"/>
      <c r="Z202" s="728"/>
      <c r="AA202" s="48"/>
      <c r="AB202" s="48"/>
      <c r="AC202" s="48"/>
    </row>
    <row r="203" spans="1:68" ht="16.5" hidden="1" customHeight="1" x14ac:dyDescent="0.25">
      <c r="A203" s="647" t="s">
        <v>338</v>
      </c>
      <c r="B203" s="648"/>
      <c r="C203" s="648"/>
      <c r="D203" s="648"/>
      <c r="E203" s="648"/>
      <c r="F203" s="648"/>
      <c r="G203" s="648"/>
      <c r="H203" s="648"/>
      <c r="I203" s="648"/>
      <c r="J203" s="648"/>
      <c r="K203" s="648"/>
      <c r="L203" s="648"/>
      <c r="M203" s="648"/>
      <c r="N203" s="648"/>
      <c r="O203" s="648"/>
      <c r="P203" s="648"/>
      <c r="Q203" s="648"/>
      <c r="R203" s="648"/>
      <c r="S203" s="648"/>
      <c r="T203" s="648"/>
      <c r="U203" s="648"/>
      <c r="V203" s="648"/>
      <c r="W203" s="648"/>
      <c r="X203" s="648"/>
      <c r="Y203" s="648"/>
      <c r="Z203" s="648"/>
      <c r="AA203" s="630"/>
      <c r="AB203" s="630"/>
      <c r="AC203" s="630"/>
    </row>
    <row r="204" spans="1:68" ht="14.25" hidden="1" customHeight="1" x14ac:dyDescent="0.25">
      <c r="A204" s="653" t="s">
        <v>119</v>
      </c>
      <c r="B204" s="648"/>
      <c r="C204" s="648"/>
      <c r="D204" s="648"/>
      <c r="E204" s="648"/>
      <c r="F204" s="648"/>
      <c r="G204" s="648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  <c r="Y204" s="648"/>
      <c r="Z204" s="648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2">
        <v>4607091383423</v>
      </c>
      <c r="E205" s="643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9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0"/>
      <c r="R205" s="650"/>
      <c r="S205" s="650"/>
      <c r="T205" s="651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2">
        <v>4680115888760</v>
      </c>
      <c r="E206" s="643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2">
        <v>4680115888807</v>
      </c>
      <c r="E207" s="643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0"/>
      <c r="R207" s="650"/>
      <c r="S207" s="650"/>
      <c r="T207" s="651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2">
        <v>4680115888852</v>
      </c>
      <c r="E208" s="643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0"/>
      <c r="R208" s="650"/>
      <c r="S208" s="650"/>
      <c r="T208" s="651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2">
        <v>4680115886957</v>
      </c>
      <c r="E209" s="643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9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0"/>
      <c r="R209" s="650"/>
      <c r="S209" s="650"/>
      <c r="T209" s="651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2">
        <v>4680115885660</v>
      </c>
      <c r="E210" s="643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0"/>
      <c r="R210" s="650"/>
      <c r="S210" s="650"/>
      <c r="T210" s="651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2">
        <v>4680115886773</v>
      </c>
      <c r="E211" s="643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6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69"/>
      <c r="P212" s="644" t="s">
        <v>69</v>
      </c>
      <c r="Q212" s="640"/>
      <c r="R212" s="640"/>
      <c r="S212" s="640"/>
      <c r="T212" s="640"/>
      <c r="U212" s="640"/>
      <c r="V212" s="641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69"/>
      <c r="P213" s="644" t="s">
        <v>69</v>
      </c>
      <c r="Q213" s="640"/>
      <c r="R213" s="640"/>
      <c r="S213" s="640"/>
      <c r="T213" s="640"/>
      <c r="U213" s="640"/>
      <c r="V213" s="641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7" t="s">
        <v>359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0"/>
      <c r="AB214" s="630"/>
      <c r="AC214" s="630"/>
    </row>
    <row r="215" spans="1:68" ht="14.25" hidden="1" customHeight="1" x14ac:dyDescent="0.25">
      <c r="A215" s="653" t="s">
        <v>155</v>
      </c>
      <c r="B215" s="648"/>
      <c r="C215" s="648"/>
      <c r="D215" s="648"/>
      <c r="E215" s="648"/>
      <c r="F215" s="648"/>
      <c r="G215" s="648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  <c r="Y215" s="648"/>
      <c r="Z215" s="648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2">
        <v>4680115886223</v>
      </c>
      <c r="E216" s="643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0"/>
      <c r="R216" s="650"/>
      <c r="S216" s="650"/>
      <c r="T216" s="651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69"/>
      <c r="P217" s="644" t="s">
        <v>69</v>
      </c>
      <c r="Q217" s="640"/>
      <c r="R217" s="640"/>
      <c r="S217" s="640"/>
      <c r="T217" s="640"/>
      <c r="U217" s="640"/>
      <c r="V217" s="641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69"/>
      <c r="P218" s="644" t="s">
        <v>69</v>
      </c>
      <c r="Q218" s="640"/>
      <c r="R218" s="640"/>
      <c r="S218" s="640"/>
      <c r="T218" s="640"/>
      <c r="U218" s="640"/>
      <c r="V218" s="641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53" t="s">
        <v>62</v>
      </c>
      <c r="B219" s="648"/>
      <c r="C219" s="648"/>
      <c r="D219" s="648"/>
      <c r="E219" s="648"/>
      <c r="F219" s="648"/>
      <c r="G219" s="648"/>
      <c r="H219" s="648"/>
      <c r="I219" s="648"/>
      <c r="J219" s="648"/>
      <c r="K219" s="648"/>
      <c r="L219" s="648"/>
      <c r="M219" s="648"/>
      <c r="N219" s="648"/>
      <c r="O219" s="648"/>
      <c r="P219" s="648"/>
      <c r="Q219" s="648"/>
      <c r="R219" s="648"/>
      <c r="S219" s="648"/>
      <c r="T219" s="648"/>
      <c r="U219" s="648"/>
      <c r="V219" s="648"/>
      <c r="W219" s="648"/>
      <c r="X219" s="648"/>
      <c r="Y219" s="648"/>
      <c r="Z219" s="648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2">
        <v>4680115880993</v>
      </c>
      <c r="E220" s="643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0"/>
      <c r="R220" s="650"/>
      <c r="S220" s="650"/>
      <c r="T220" s="651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2">
        <v>4680115881761</v>
      </c>
      <c r="E221" s="643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9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2">
        <v>4680115881563</v>
      </c>
      <c r="E222" s="643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77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2">
        <v>4680115887565</v>
      </c>
      <c r="E223" s="643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42">
        <v>4680115880986</v>
      </c>
      <c r="E224" s="643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0"/>
      <c r="R224" s="650"/>
      <c r="S224" s="650"/>
      <c r="T224" s="651"/>
      <c r="U224" s="34"/>
      <c r="V224" s="34"/>
      <c r="W224" s="35" t="s">
        <v>67</v>
      </c>
      <c r="X224" s="635">
        <v>84</v>
      </c>
      <c r="Y224" s="636">
        <f t="shared" si="26"/>
        <v>84</v>
      </c>
      <c r="Z224" s="36">
        <f>IFERROR(IF(Y224=0,"",ROUNDUP(Y224/H224,0)*0.00502),"")</f>
        <v>0.20080000000000001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89.199999999999989</v>
      </c>
      <c r="BN224" s="64">
        <f t="shared" si="28"/>
        <v>89.199999999999989</v>
      </c>
      <c r="BO224" s="64">
        <f t="shared" si="29"/>
        <v>0.17094017094017094</v>
      </c>
      <c r="BP224" s="64">
        <f t="shared" si="30"/>
        <v>0.17094017094017094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2">
        <v>4680115887213</v>
      </c>
      <c r="E225" s="643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75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2">
        <v>4680115881785</v>
      </c>
      <c r="E226" s="643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2">
        <v>4680115888432</v>
      </c>
      <c r="E227" s="643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0"/>
      <c r="R227" s="650"/>
      <c r="S227" s="650"/>
      <c r="T227" s="651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2">
        <v>4680115886537</v>
      </c>
      <c r="E228" s="643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9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2">
        <v>4680115887596</v>
      </c>
      <c r="E229" s="643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5">
        <v>2</v>
      </c>
      <c r="Y229" s="636">
        <f t="shared" si="26"/>
        <v>2.4000000000000004</v>
      </c>
      <c r="Z229" s="36">
        <f>IFERROR(IF(Y229=0,"",ROUNDUP(Y229/H229,0)*0.00417),"")</f>
        <v>1.251E-2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2.5249999999999999</v>
      </c>
      <c r="BN229" s="64">
        <f t="shared" si="28"/>
        <v>3.0300000000000002</v>
      </c>
      <c r="BO229" s="64">
        <f t="shared" si="29"/>
        <v>8.0128205128205121E-3</v>
      </c>
      <c r="BP229" s="64">
        <f t="shared" si="30"/>
        <v>9.6153846153846159E-3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2">
        <v>4680115881679</v>
      </c>
      <c r="E230" s="643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0"/>
      <c r="R230" s="650"/>
      <c r="S230" s="650"/>
      <c r="T230" s="651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2">
        <v>4680115880191</v>
      </c>
      <c r="E231" s="643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100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2">
        <v>4680115883963</v>
      </c>
      <c r="E232" s="643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6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69"/>
      <c r="P233" s="644" t="s">
        <v>69</v>
      </c>
      <c r="Q233" s="640"/>
      <c r="R233" s="640"/>
      <c r="S233" s="640"/>
      <c r="T233" s="640"/>
      <c r="U233" s="640"/>
      <c r="V233" s="641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42.5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43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0.21331</v>
      </c>
      <c r="AA233" s="638"/>
      <c r="AB233" s="638"/>
      <c r="AC233" s="638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69"/>
      <c r="P234" s="644" t="s">
        <v>69</v>
      </c>
      <c r="Q234" s="640"/>
      <c r="R234" s="640"/>
      <c r="S234" s="640"/>
      <c r="T234" s="640"/>
      <c r="U234" s="640"/>
      <c r="V234" s="641"/>
      <c r="W234" s="37" t="s">
        <v>67</v>
      </c>
      <c r="X234" s="637">
        <f>IFERROR(SUM(X220:X232),"0")</f>
        <v>86</v>
      </c>
      <c r="Y234" s="637">
        <f>IFERROR(SUM(Y220:Y232),"0")</f>
        <v>86.4</v>
      </c>
      <c r="Z234" s="37"/>
      <c r="AA234" s="638"/>
      <c r="AB234" s="638"/>
      <c r="AC234" s="638"/>
    </row>
    <row r="235" spans="1:68" ht="14.25" hidden="1" customHeight="1" x14ac:dyDescent="0.25">
      <c r="A235" s="653" t="s">
        <v>71</v>
      </c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8"/>
      <c r="P235" s="648"/>
      <c r="Q235" s="648"/>
      <c r="R235" s="648"/>
      <c r="S235" s="648"/>
      <c r="T235" s="648"/>
      <c r="U235" s="648"/>
      <c r="V235" s="648"/>
      <c r="W235" s="648"/>
      <c r="X235" s="648"/>
      <c r="Y235" s="648"/>
      <c r="Z235" s="648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2">
        <v>4680115888692</v>
      </c>
      <c r="E236" s="643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95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2">
        <v>4680115888722</v>
      </c>
      <c r="E237" s="643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9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2">
        <v>4680115888951</v>
      </c>
      <c r="E238" s="643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2">
        <v>4680115888975</v>
      </c>
      <c r="E239" s="643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90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2">
        <v>4680115888982</v>
      </c>
      <c r="E240" s="643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94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6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69"/>
      <c r="P241" s="644" t="s">
        <v>69</v>
      </c>
      <c r="Q241" s="640"/>
      <c r="R241" s="640"/>
      <c r="S241" s="640"/>
      <c r="T241" s="640"/>
      <c r="U241" s="640"/>
      <c r="V241" s="641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69"/>
      <c r="P242" s="644" t="s">
        <v>69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3" t="s">
        <v>89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2">
        <v>4680115886780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10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0"/>
      <c r="R244" s="650"/>
      <c r="S244" s="650"/>
      <c r="T244" s="65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2">
        <v>4680115886742</v>
      </c>
      <c r="E245" s="643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42">
        <v>4680115886766</v>
      </c>
      <c r="E246" s="643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9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5">
        <v>3</v>
      </c>
      <c r="Y246" s="636">
        <f>IFERROR(IF(X246="",0,CEILING((X246/$H246),1)*$H246),"")</f>
        <v>3.7800000000000002</v>
      </c>
      <c r="Z246" s="36">
        <f>IFERROR(IF(Y246=0,"",ROUNDUP(Y246/H246,0)*0.0059),"")</f>
        <v>1.77E-2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3.4523809523809521</v>
      </c>
      <c r="BN246" s="64">
        <f>IFERROR(Y246*I246/H246,"0")</f>
        <v>4.3499999999999996</v>
      </c>
      <c r="BO246" s="64">
        <f>IFERROR(1/J246*(X246/H246),"0")</f>
        <v>1.1022927689594356E-2</v>
      </c>
      <c r="BP246" s="64">
        <f>IFERROR(1/J246*(Y246/H246),"0")</f>
        <v>1.3888888888888888E-2</v>
      </c>
    </row>
    <row r="247" spans="1:68" x14ac:dyDescent="0.2">
      <c r="A247" s="66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69"/>
      <c r="P247" s="644" t="s">
        <v>69</v>
      </c>
      <c r="Q247" s="640"/>
      <c r="R247" s="640"/>
      <c r="S247" s="640"/>
      <c r="T247" s="640"/>
      <c r="U247" s="640"/>
      <c r="V247" s="641"/>
      <c r="W247" s="37" t="s">
        <v>70</v>
      </c>
      <c r="X247" s="637">
        <f>IFERROR(X244/H244,"0")+IFERROR(X245/H245,"0")+IFERROR(X246/H246,"0")</f>
        <v>2.3809523809523809</v>
      </c>
      <c r="Y247" s="637">
        <f>IFERROR(Y244/H244,"0")+IFERROR(Y245/H245,"0")+IFERROR(Y246/H246,"0")</f>
        <v>3</v>
      </c>
      <c r="Z247" s="637">
        <f>IFERROR(IF(Z244="",0,Z244),"0")+IFERROR(IF(Z245="",0,Z245),"0")+IFERROR(IF(Z246="",0,Z246),"0")</f>
        <v>1.77E-2</v>
      </c>
      <c r="AA247" s="638"/>
      <c r="AB247" s="638"/>
      <c r="AC247" s="638"/>
    </row>
    <row r="248" spans="1:68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69"/>
      <c r="P248" s="644" t="s">
        <v>69</v>
      </c>
      <c r="Q248" s="640"/>
      <c r="R248" s="640"/>
      <c r="S248" s="640"/>
      <c r="T248" s="640"/>
      <c r="U248" s="640"/>
      <c r="V248" s="641"/>
      <c r="W248" s="37" t="s">
        <v>67</v>
      </c>
      <c r="X248" s="637">
        <f>IFERROR(SUM(X244:X246),"0")</f>
        <v>3</v>
      </c>
      <c r="Y248" s="637">
        <f>IFERROR(SUM(Y244:Y246),"0")</f>
        <v>3.7800000000000002</v>
      </c>
      <c r="Z248" s="37"/>
      <c r="AA248" s="638"/>
      <c r="AB248" s="638"/>
      <c r="AC248" s="638"/>
    </row>
    <row r="249" spans="1:68" ht="14.25" hidden="1" customHeight="1" x14ac:dyDescent="0.25">
      <c r="A249" s="653" t="s">
        <v>419</v>
      </c>
      <c r="B249" s="648"/>
      <c r="C249" s="648"/>
      <c r="D249" s="648"/>
      <c r="E249" s="648"/>
      <c r="F249" s="648"/>
      <c r="G249" s="648"/>
      <c r="H249" s="648"/>
      <c r="I249" s="648"/>
      <c r="J249" s="648"/>
      <c r="K249" s="648"/>
      <c r="L249" s="648"/>
      <c r="M249" s="648"/>
      <c r="N249" s="648"/>
      <c r="O249" s="648"/>
      <c r="P249" s="648"/>
      <c r="Q249" s="648"/>
      <c r="R249" s="648"/>
      <c r="S249" s="648"/>
      <c r="T249" s="648"/>
      <c r="U249" s="648"/>
      <c r="V249" s="648"/>
      <c r="W249" s="648"/>
      <c r="X249" s="648"/>
      <c r="Y249" s="648"/>
      <c r="Z249" s="648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42">
        <v>4680115886797</v>
      </c>
      <c r="E250" s="643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9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0"/>
      <c r="R250" s="650"/>
      <c r="S250" s="650"/>
      <c r="T250" s="651"/>
      <c r="U250" s="34"/>
      <c r="V250" s="34"/>
      <c r="W250" s="35" t="s">
        <v>67</v>
      </c>
      <c r="X250" s="635">
        <v>6</v>
      </c>
      <c r="Y250" s="636">
        <f>IFERROR(IF(X250="",0,CEILING((X250/$H250),1)*$H250),"")</f>
        <v>6.3</v>
      </c>
      <c r="Z250" s="36">
        <f>IFERROR(IF(Y250=0,"",ROUNDUP(Y250/H250,0)*0.0059),"")</f>
        <v>2.9499999999999998E-2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6.9047619047619042</v>
      </c>
      <c r="BN250" s="64">
        <f>IFERROR(Y250*I250/H250,"0")</f>
        <v>7.25</v>
      </c>
      <c r="BO250" s="64">
        <f>IFERROR(1/J250*(X250/H250),"0")</f>
        <v>2.2045855379188711E-2</v>
      </c>
      <c r="BP250" s="64">
        <f>IFERROR(1/J250*(Y250/H250),"0")</f>
        <v>2.3148148148148147E-2</v>
      </c>
    </row>
    <row r="251" spans="1:68" x14ac:dyDescent="0.2">
      <c r="A251" s="66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69"/>
      <c r="P251" s="644" t="s">
        <v>69</v>
      </c>
      <c r="Q251" s="640"/>
      <c r="R251" s="640"/>
      <c r="S251" s="640"/>
      <c r="T251" s="640"/>
      <c r="U251" s="640"/>
      <c r="V251" s="641"/>
      <c r="W251" s="37" t="s">
        <v>70</v>
      </c>
      <c r="X251" s="637">
        <f>IFERROR(X250/H250,"0")</f>
        <v>4.7619047619047619</v>
      </c>
      <c r="Y251" s="637">
        <f>IFERROR(Y250/H250,"0")</f>
        <v>5</v>
      </c>
      <c r="Z251" s="637">
        <f>IFERROR(IF(Z250="",0,Z250),"0")</f>
        <v>2.9499999999999998E-2</v>
      </c>
      <c r="AA251" s="638"/>
      <c r="AB251" s="638"/>
      <c r="AC251" s="638"/>
    </row>
    <row r="252" spans="1:68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69"/>
      <c r="P252" s="644" t="s">
        <v>69</v>
      </c>
      <c r="Q252" s="640"/>
      <c r="R252" s="640"/>
      <c r="S252" s="640"/>
      <c r="T252" s="640"/>
      <c r="U252" s="640"/>
      <c r="V252" s="641"/>
      <c r="W252" s="37" t="s">
        <v>67</v>
      </c>
      <c r="X252" s="637">
        <f>IFERROR(SUM(X250:X250),"0")</f>
        <v>6</v>
      </c>
      <c r="Y252" s="637">
        <f>IFERROR(SUM(Y250:Y250),"0")</f>
        <v>6.3</v>
      </c>
      <c r="Z252" s="37"/>
      <c r="AA252" s="638"/>
      <c r="AB252" s="638"/>
      <c r="AC252" s="638"/>
    </row>
    <row r="253" spans="1:68" ht="16.5" hidden="1" customHeight="1" x14ac:dyDescent="0.25">
      <c r="A253" s="647" t="s">
        <v>422</v>
      </c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8"/>
      <c r="P253" s="648"/>
      <c r="Q253" s="648"/>
      <c r="R253" s="648"/>
      <c r="S253" s="648"/>
      <c r="T253" s="648"/>
      <c r="U253" s="648"/>
      <c r="V253" s="648"/>
      <c r="W253" s="648"/>
      <c r="X253" s="648"/>
      <c r="Y253" s="648"/>
      <c r="Z253" s="648"/>
      <c r="AA253" s="630"/>
      <c r="AB253" s="630"/>
      <c r="AC253" s="630"/>
    </row>
    <row r="254" spans="1:68" ht="14.25" hidden="1" customHeight="1" x14ac:dyDescent="0.25">
      <c r="A254" s="653" t="s">
        <v>119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2">
        <v>4680115881402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9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0"/>
      <c r="R255" s="650"/>
      <c r="S255" s="650"/>
      <c r="T255" s="65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2">
        <v>4680115881396</v>
      </c>
      <c r="E256" s="643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0"/>
      <c r="R256" s="650"/>
      <c r="S256" s="650"/>
      <c r="T256" s="65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69"/>
      <c r="P257" s="644" t="s">
        <v>69</v>
      </c>
      <c r="Q257" s="640"/>
      <c r="R257" s="640"/>
      <c r="S257" s="640"/>
      <c r="T257" s="640"/>
      <c r="U257" s="640"/>
      <c r="V257" s="641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69"/>
      <c r="P258" s="644" t="s">
        <v>69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3" t="s">
        <v>155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2">
        <v>4680115882935</v>
      </c>
      <c r="E260" s="643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0"/>
      <c r="R260" s="650"/>
      <c r="S260" s="650"/>
      <c r="T260" s="651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2">
        <v>4680115880764</v>
      </c>
      <c r="E261" s="643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0"/>
      <c r="R261" s="650"/>
      <c r="S261" s="650"/>
      <c r="T261" s="651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6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69"/>
      <c r="P262" s="644" t="s">
        <v>69</v>
      </c>
      <c r="Q262" s="640"/>
      <c r="R262" s="640"/>
      <c r="S262" s="640"/>
      <c r="T262" s="640"/>
      <c r="U262" s="640"/>
      <c r="V262" s="641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69"/>
      <c r="P263" s="644" t="s">
        <v>69</v>
      </c>
      <c r="Q263" s="640"/>
      <c r="R263" s="640"/>
      <c r="S263" s="640"/>
      <c r="T263" s="640"/>
      <c r="U263" s="640"/>
      <c r="V263" s="641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53" t="s">
        <v>62</v>
      </c>
      <c r="B264" s="648"/>
      <c r="C264" s="648"/>
      <c r="D264" s="648"/>
      <c r="E264" s="648"/>
      <c r="F264" s="648"/>
      <c r="G264" s="648"/>
      <c r="H264" s="648"/>
      <c r="I264" s="648"/>
      <c r="J264" s="648"/>
      <c r="K264" s="648"/>
      <c r="L264" s="648"/>
      <c r="M264" s="648"/>
      <c r="N264" s="648"/>
      <c r="O264" s="648"/>
      <c r="P264" s="648"/>
      <c r="Q264" s="648"/>
      <c r="R264" s="648"/>
      <c r="S264" s="648"/>
      <c r="T264" s="648"/>
      <c r="U264" s="648"/>
      <c r="V264" s="648"/>
      <c r="W264" s="648"/>
      <c r="X264" s="648"/>
      <c r="Y264" s="648"/>
      <c r="Z264" s="648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2">
        <v>4680115882683</v>
      </c>
      <c r="E265" s="643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0"/>
      <c r="R265" s="650"/>
      <c r="S265" s="650"/>
      <c r="T265" s="651"/>
      <c r="U265" s="34"/>
      <c r="V265" s="34"/>
      <c r="W265" s="35" t="s">
        <v>67</v>
      </c>
      <c r="X265" s="635">
        <v>275</v>
      </c>
      <c r="Y265" s="636">
        <f t="shared" ref="Y265:Y272" si="31">IFERROR(IF(X265="",0,CEILING((X265/$H265),1)*$H265),"")</f>
        <v>275.40000000000003</v>
      </c>
      <c r="Z265" s="36">
        <f>IFERROR(IF(Y265=0,"",ROUNDUP(Y265/H265,0)*0.00902),"")</f>
        <v>0.46001999999999998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284.67592592592592</v>
      </c>
      <c r="BN265" s="64">
        <f t="shared" ref="BN265:BN272" si="33">IFERROR(Y265*I265/H265,"0")</f>
        <v>285.08999999999997</v>
      </c>
      <c r="BO265" s="64">
        <f t="shared" ref="BO265:BO272" si="34">IFERROR(1/J265*(X265/H265),"0")</f>
        <v>0.38580246913580246</v>
      </c>
      <c r="BP265" s="64">
        <f t="shared" ref="BP265:BP272" si="35">IFERROR(1/J265*(Y265/H265),"0")</f>
        <v>0.38636363636363635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2">
        <v>4680115882690</v>
      </c>
      <c r="E266" s="643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95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5">
        <v>245</v>
      </c>
      <c r="Y266" s="636">
        <f t="shared" si="31"/>
        <v>248.4</v>
      </c>
      <c r="Z266" s="36">
        <f>IFERROR(IF(Y266=0,"",ROUNDUP(Y266/H266,0)*0.00902),"")</f>
        <v>0.41492000000000001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253.62037037037035</v>
      </c>
      <c r="BN266" s="64">
        <f t="shared" si="33"/>
        <v>257.14</v>
      </c>
      <c r="BO266" s="64">
        <f t="shared" si="34"/>
        <v>0.34371492704826034</v>
      </c>
      <c r="BP266" s="64">
        <f t="shared" si="35"/>
        <v>0.34848484848484851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2">
        <v>4680115882669</v>
      </c>
      <c r="E267" s="643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2">
        <v>4680115882676</v>
      </c>
      <c r="E268" s="643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9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2">
        <v>4680115884014</v>
      </c>
      <c r="E269" s="643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76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2">
        <v>4680115884007</v>
      </c>
      <c r="E270" s="643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2">
        <v>4680115884038</v>
      </c>
      <c r="E271" s="643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6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2">
        <v>4680115884021</v>
      </c>
      <c r="E272" s="643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6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69"/>
      <c r="P273" s="644" t="s">
        <v>69</v>
      </c>
      <c r="Q273" s="640"/>
      <c r="R273" s="640"/>
      <c r="S273" s="640"/>
      <c r="T273" s="640"/>
      <c r="U273" s="640"/>
      <c r="V273" s="641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96.296296296296291</v>
      </c>
      <c r="Y273" s="637">
        <f>IFERROR(Y265/H265,"0")+IFERROR(Y266/H266,"0")+IFERROR(Y267/H267,"0")+IFERROR(Y268/H268,"0")+IFERROR(Y269/H269,"0")+IFERROR(Y270/H270,"0")+IFERROR(Y271/H271,"0")+IFERROR(Y272/H272,"0")</f>
        <v>97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0.87494000000000005</v>
      </c>
      <c r="AA273" s="638"/>
      <c r="AB273" s="638"/>
      <c r="AC273" s="638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69"/>
      <c r="P274" s="644" t="s">
        <v>69</v>
      </c>
      <c r="Q274" s="640"/>
      <c r="R274" s="640"/>
      <c r="S274" s="640"/>
      <c r="T274" s="640"/>
      <c r="U274" s="640"/>
      <c r="V274" s="641"/>
      <c r="W274" s="37" t="s">
        <v>67</v>
      </c>
      <c r="X274" s="637">
        <f>IFERROR(SUM(X265:X272),"0")</f>
        <v>520</v>
      </c>
      <c r="Y274" s="637">
        <f>IFERROR(SUM(Y265:Y272),"0")</f>
        <v>523.80000000000007</v>
      </c>
      <c r="Z274" s="37"/>
      <c r="AA274" s="638"/>
      <c r="AB274" s="638"/>
      <c r="AC274" s="638"/>
    </row>
    <row r="275" spans="1:68" ht="14.25" hidden="1" customHeight="1" x14ac:dyDescent="0.25">
      <c r="A275" s="653" t="s">
        <v>71</v>
      </c>
      <c r="B275" s="648"/>
      <c r="C275" s="648"/>
      <c r="D275" s="648"/>
      <c r="E275" s="648"/>
      <c r="F275" s="648"/>
      <c r="G275" s="648"/>
      <c r="H275" s="648"/>
      <c r="I275" s="648"/>
      <c r="J275" s="648"/>
      <c r="K275" s="648"/>
      <c r="L275" s="648"/>
      <c r="M275" s="648"/>
      <c r="N275" s="648"/>
      <c r="O275" s="648"/>
      <c r="P275" s="648"/>
      <c r="Q275" s="648"/>
      <c r="R275" s="648"/>
      <c r="S275" s="648"/>
      <c r="T275" s="648"/>
      <c r="U275" s="648"/>
      <c r="V275" s="648"/>
      <c r="W275" s="648"/>
      <c r="X275" s="648"/>
      <c r="Y275" s="648"/>
      <c r="Z275" s="648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2">
        <v>4680115889873</v>
      </c>
      <c r="E276" s="643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10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0"/>
      <c r="R276" s="650"/>
      <c r="S276" s="650"/>
      <c r="T276" s="651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2">
        <v>4680115881594</v>
      </c>
      <c r="E277" s="643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5">
        <v>133</v>
      </c>
      <c r="Y277" s="636">
        <f t="shared" si="36"/>
        <v>137.69999999999999</v>
      </c>
      <c r="Z277" s="36">
        <f>IFERROR(IF(Y277=0,"",ROUNDUP(Y277/H277,0)*0.01898),"")</f>
        <v>0.32266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141.11135802469136</v>
      </c>
      <c r="BN277" s="64">
        <f t="shared" si="38"/>
        <v>146.09799999999998</v>
      </c>
      <c r="BO277" s="64">
        <f t="shared" si="39"/>
        <v>0.25655864197530864</v>
      </c>
      <c r="BP277" s="64">
        <f t="shared" si="40"/>
        <v>0.265625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2">
        <v>4680115881617</v>
      </c>
      <c r="E278" s="643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5">
        <v>139</v>
      </c>
      <c r="Y278" s="636">
        <f t="shared" si="36"/>
        <v>145.79999999999998</v>
      </c>
      <c r="Z278" s="36">
        <f>IFERROR(IF(Y278=0,"",ROUNDUP(Y278/H278,0)*0.01898),"")</f>
        <v>0.34164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147.1683950617284</v>
      </c>
      <c r="BN278" s="64">
        <f t="shared" si="38"/>
        <v>154.36799999999999</v>
      </c>
      <c r="BO278" s="64">
        <f t="shared" si="39"/>
        <v>0.26813271604938271</v>
      </c>
      <c r="BP278" s="64">
        <f t="shared" si="40"/>
        <v>0.28125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2">
        <v>4680115880573</v>
      </c>
      <c r="E279" s="643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7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2">
        <v>4680115882195</v>
      </c>
      <c r="E280" s="643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8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5">
        <v>79</v>
      </c>
      <c r="Y280" s="636">
        <f t="shared" si="36"/>
        <v>79.2</v>
      </c>
      <c r="Z280" s="36">
        <f>IFERROR(IF(Y280=0,"",ROUNDUP(Y280/H280,0)*0.00651),"")</f>
        <v>0.21482999999999999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87.887500000000003</v>
      </c>
      <c r="BN280" s="64">
        <f t="shared" si="38"/>
        <v>88.11</v>
      </c>
      <c r="BO280" s="64">
        <f t="shared" si="39"/>
        <v>0.18086080586080591</v>
      </c>
      <c r="BP280" s="64">
        <f t="shared" si="40"/>
        <v>0.18131868131868134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2">
        <v>4680115882607</v>
      </c>
      <c r="E281" s="643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9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42">
        <v>4680115880092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2">
        <v>4680115889064</v>
      </c>
      <c r="E283" s="643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6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2">
        <v>4680115880221</v>
      </c>
      <c r="E284" s="643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91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2">
        <v>4680115880504</v>
      </c>
      <c r="E285" s="643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0"/>
      <c r="R285" s="650"/>
      <c r="S285" s="650"/>
      <c r="T285" s="651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2">
        <v>4680115882164</v>
      </c>
      <c r="E286" s="643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9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0"/>
      <c r="R286" s="650"/>
      <c r="S286" s="650"/>
      <c r="T286" s="651"/>
      <c r="U286" s="34"/>
      <c r="V286" s="34"/>
      <c r="W286" s="35" t="s">
        <v>67</v>
      </c>
      <c r="X286" s="635">
        <v>18</v>
      </c>
      <c r="Y286" s="636">
        <f t="shared" si="36"/>
        <v>19.2</v>
      </c>
      <c r="Z286" s="36">
        <f>IFERROR(IF(Y286=0,"",ROUNDUP(Y286/H286,0)*0.00651),"")</f>
        <v>5.2080000000000001E-2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19.935000000000002</v>
      </c>
      <c r="BN286" s="64">
        <f t="shared" si="38"/>
        <v>21.263999999999999</v>
      </c>
      <c r="BO286" s="64">
        <f t="shared" si="39"/>
        <v>4.1208791208791215E-2</v>
      </c>
      <c r="BP286" s="64">
        <f t="shared" si="40"/>
        <v>4.3956043956043959E-2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2">
        <v>4680115888340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9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6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69"/>
      <c r="P288" s="644" t="s">
        <v>69</v>
      </c>
      <c r="Q288" s="640"/>
      <c r="R288" s="640"/>
      <c r="S288" s="640"/>
      <c r="T288" s="640"/>
      <c r="U288" s="640"/>
      <c r="V288" s="641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73.996913580246911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76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0.93120999999999998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69"/>
      <c r="P289" s="644" t="s">
        <v>69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IFERROR(SUM(X276:X287),"0")</f>
        <v>369</v>
      </c>
      <c r="Y289" s="637">
        <f>IFERROR(SUM(Y276:Y287),"0")</f>
        <v>381.9</v>
      </c>
      <c r="Z289" s="37"/>
      <c r="AA289" s="638"/>
      <c r="AB289" s="638"/>
      <c r="AC289" s="638"/>
    </row>
    <row r="290" spans="1:68" ht="14.25" hidden="1" customHeight="1" x14ac:dyDescent="0.25">
      <c r="A290" s="653" t="s">
        <v>173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2">
        <v>4680115880818</v>
      </c>
      <c r="E291" s="643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0"/>
      <c r="R291" s="650"/>
      <c r="S291" s="650"/>
      <c r="T291" s="651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2">
        <v>4680115880801</v>
      </c>
      <c r="E292" s="643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6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6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69"/>
      <c r="P293" s="644" t="s">
        <v>69</v>
      </c>
      <c r="Q293" s="640"/>
      <c r="R293" s="640"/>
      <c r="S293" s="640"/>
      <c r="T293" s="640"/>
      <c r="U293" s="640"/>
      <c r="V293" s="641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69"/>
      <c r="P294" s="644" t="s">
        <v>69</v>
      </c>
      <c r="Q294" s="640"/>
      <c r="R294" s="640"/>
      <c r="S294" s="640"/>
      <c r="T294" s="640"/>
      <c r="U294" s="640"/>
      <c r="V294" s="641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7" t="s">
        <v>491</v>
      </c>
      <c r="B295" s="648"/>
      <c r="C295" s="648"/>
      <c r="D295" s="648"/>
      <c r="E295" s="648"/>
      <c r="F295" s="648"/>
      <c r="G295" s="648"/>
      <c r="H295" s="648"/>
      <c r="I295" s="648"/>
      <c r="J295" s="648"/>
      <c r="K295" s="648"/>
      <c r="L295" s="648"/>
      <c r="M295" s="648"/>
      <c r="N295" s="648"/>
      <c r="O295" s="648"/>
      <c r="P295" s="648"/>
      <c r="Q295" s="648"/>
      <c r="R295" s="648"/>
      <c r="S295" s="648"/>
      <c r="T295" s="648"/>
      <c r="U295" s="648"/>
      <c r="V295" s="648"/>
      <c r="W295" s="648"/>
      <c r="X295" s="648"/>
      <c r="Y295" s="648"/>
      <c r="Z295" s="648"/>
      <c r="AA295" s="630"/>
      <c r="AB295" s="630"/>
      <c r="AC295" s="630"/>
    </row>
    <row r="296" spans="1:68" ht="14.25" hidden="1" customHeight="1" x14ac:dyDescent="0.25">
      <c r="A296" s="653" t="s">
        <v>119</v>
      </c>
      <c r="B296" s="648"/>
      <c r="C296" s="648"/>
      <c r="D296" s="648"/>
      <c r="E296" s="648"/>
      <c r="F296" s="648"/>
      <c r="G296" s="648"/>
      <c r="H296" s="648"/>
      <c r="I296" s="648"/>
      <c r="J296" s="648"/>
      <c r="K296" s="648"/>
      <c r="L296" s="648"/>
      <c r="M296" s="648"/>
      <c r="N296" s="648"/>
      <c r="O296" s="648"/>
      <c r="P296" s="648"/>
      <c r="Q296" s="648"/>
      <c r="R296" s="648"/>
      <c r="S296" s="648"/>
      <c r="T296" s="648"/>
      <c r="U296" s="648"/>
      <c r="V296" s="648"/>
      <c r="W296" s="648"/>
      <c r="X296" s="648"/>
      <c r="Y296" s="648"/>
      <c r="Z296" s="648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2">
        <v>4680115884137</v>
      </c>
      <c r="E297" s="643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6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0"/>
      <c r="R297" s="650"/>
      <c r="S297" s="650"/>
      <c r="T297" s="651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2">
        <v>4680115884236</v>
      </c>
      <c r="E298" s="643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7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2">
        <v>4680115884175</v>
      </c>
      <c r="E299" s="643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2">
        <v>4680115884144</v>
      </c>
      <c r="E300" s="643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2">
        <v>4680115886551</v>
      </c>
      <c r="E301" s="643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2">
        <v>4680115887282</v>
      </c>
      <c r="E302" s="643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10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2">
        <v>4680115884205</v>
      </c>
      <c r="E303" s="643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6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69"/>
      <c r="P304" s="644" t="s">
        <v>69</v>
      </c>
      <c r="Q304" s="640"/>
      <c r="R304" s="640"/>
      <c r="S304" s="640"/>
      <c r="T304" s="640"/>
      <c r="U304" s="640"/>
      <c r="V304" s="641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69"/>
      <c r="P305" s="644" t="s">
        <v>69</v>
      </c>
      <c r="Q305" s="640"/>
      <c r="R305" s="640"/>
      <c r="S305" s="640"/>
      <c r="T305" s="640"/>
      <c r="U305" s="640"/>
      <c r="V305" s="641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53" t="s">
        <v>155</v>
      </c>
      <c r="B306" s="648"/>
      <c r="C306" s="648"/>
      <c r="D306" s="648"/>
      <c r="E306" s="648"/>
      <c r="F306" s="648"/>
      <c r="G306" s="648"/>
      <c r="H306" s="648"/>
      <c r="I306" s="648"/>
      <c r="J306" s="648"/>
      <c r="K306" s="648"/>
      <c r="L306" s="648"/>
      <c r="M306" s="648"/>
      <c r="N306" s="648"/>
      <c r="O306" s="648"/>
      <c r="P306" s="648"/>
      <c r="Q306" s="648"/>
      <c r="R306" s="648"/>
      <c r="S306" s="648"/>
      <c r="T306" s="648"/>
      <c r="U306" s="648"/>
      <c r="V306" s="648"/>
      <c r="W306" s="648"/>
      <c r="X306" s="648"/>
      <c r="Y306" s="648"/>
      <c r="Z306" s="648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2">
        <v>4680115885981</v>
      </c>
      <c r="E307" s="643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66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0"/>
      <c r="R307" s="650"/>
      <c r="S307" s="650"/>
      <c r="T307" s="651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6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69"/>
      <c r="P308" s="644" t="s">
        <v>69</v>
      </c>
      <c r="Q308" s="640"/>
      <c r="R308" s="640"/>
      <c r="S308" s="640"/>
      <c r="T308" s="640"/>
      <c r="U308" s="640"/>
      <c r="V308" s="641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69"/>
      <c r="P309" s="644" t="s">
        <v>69</v>
      </c>
      <c r="Q309" s="640"/>
      <c r="R309" s="640"/>
      <c r="S309" s="640"/>
      <c r="T309" s="640"/>
      <c r="U309" s="640"/>
      <c r="V309" s="641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53" t="s">
        <v>513</v>
      </c>
      <c r="B310" s="648"/>
      <c r="C310" s="648"/>
      <c r="D310" s="648"/>
      <c r="E310" s="648"/>
      <c r="F310" s="648"/>
      <c r="G310" s="648"/>
      <c r="H310" s="648"/>
      <c r="I310" s="648"/>
      <c r="J310" s="648"/>
      <c r="K310" s="648"/>
      <c r="L310" s="648"/>
      <c r="M310" s="648"/>
      <c r="N310" s="648"/>
      <c r="O310" s="648"/>
      <c r="P310" s="648"/>
      <c r="Q310" s="648"/>
      <c r="R310" s="648"/>
      <c r="S310" s="648"/>
      <c r="T310" s="648"/>
      <c r="U310" s="648"/>
      <c r="V310" s="648"/>
      <c r="W310" s="648"/>
      <c r="X310" s="648"/>
      <c r="Y310" s="648"/>
      <c r="Z310" s="648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42">
        <v>4680115886803</v>
      </c>
      <c r="E311" s="643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0"/>
      <c r="R311" s="650"/>
      <c r="S311" s="650"/>
      <c r="T311" s="651"/>
      <c r="U311" s="34"/>
      <c r="V311" s="34"/>
      <c r="W311" s="35" t="s">
        <v>67</v>
      </c>
      <c r="X311" s="635">
        <v>10</v>
      </c>
      <c r="Y311" s="636">
        <f>IFERROR(IF(X311="",0,CEILING((X311/$H311),1)*$H311),"")</f>
        <v>10.8</v>
      </c>
      <c r="Z311" s="36">
        <f>IFERROR(IF(Y311=0,"",ROUNDUP(Y311/H311,0)*0.0059),"")</f>
        <v>3.5400000000000001E-2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10.972222222222221</v>
      </c>
      <c r="BN311" s="64">
        <f>IFERROR(Y311*I311/H311,"0")</f>
        <v>11.850000000000001</v>
      </c>
      <c r="BO311" s="64">
        <f>IFERROR(1/J311*(X311/H311),"0")</f>
        <v>2.5720164609053495E-2</v>
      </c>
      <c r="BP311" s="64">
        <f>IFERROR(1/J311*(Y311/H311),"0")</f>
        <v>2.7777777777777776E-2</v>
      </c>
    </row>
    <row r="312" spans="1:68" x14ac:dyDescent="0.2">
      <c r="A312" s="66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69"/>
      <c r="P312" s="644" t="s">
        <v>69</v>
      </c>
      <c r="Q312" s="640"/>
      <c r="R312" s="640"/>
      <c r="S312" s="640"/>
      <c r="T312" s="640"/>
      <c r="U312" s="640"/>
      <c r="V312" s="641"/>
      <c r="W312" s="37" t="s">
        <v>70</v>
      </c>
      <c r="X312" s="637">
        <f>IFERROR(X311/H311,"0")</f>
        <v>5.5555555555555554</v>
      </c>
      <c r="Y312" s="637">
        <f>IFERROR(Y311/H311,"0")</f>
        <v>6</v>
      </c>
      <c r="Z312" s="637">
        <f>IFERROR(IF(Z311="",0,Z311),"0")</f>
        <v>3.5400000000000001E-2</v>
      </c>
      <c r="AA312" s="638"/>
      <c r="AB312" s="638"/>
      <c r="AC312" s="638"/>
    </row>
    <row r="313" spans="1:68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69"/>
      <c r="P313" s="644" t="s">
        <v>69</v>
      </c>
      <c r="Q313" s="640"/>
      <c r="R313" s="640"/>
      <c r="S313" s="640"/>
      <c r="T313" s="640"/>
      <c r="U313" s="640"/>
      <c r="V313" s="641"/>
      <c r="W313" s="37" t="s">
        <v>67</v>
      </c>
      <c r="X313" s="637">
        <f>IFERROR(SUM(X311:X311),"0")</f>
        <v>10</v>
      </c>
      <c r="Y313" s="637">
        <f>IFERROR(SUM(Y311:Y311),"0")</f>
        <v>10.8</v>
      </c>
      <c r="Z313" s="37"/>
      <c r="AA313" s="638"/>
      <c r="AB313" s="638"/>
      <c r="AC313" s="638"/>
    </row>
    <row r="314" spans="1:68" ht="14.25" hidden="1" customHeight="1" x14ac:dyDescent="0.25">
      <c r="A314" s="653" t="s">
        <v>333</v>
      </c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8"/>
      <c r="P314" s="648"/>
      <c r="Q314" s="648"/>
      <c r="R314" s="648"/>
      <c r="S314" s="648"/>
      <c r="T314" s="648"/>
      <c r="U314" s="648"/>
      <c r="V314" s="648"/>
      <c r="W314" s="648"/>
      <c r="X314" s="648"/>
      <c r="Y314" s="648"/>
      <c r="Z314" s="648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2">
        <v>4680115886681</v>
      </c>
      <c r="E315" s="643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10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0"/>
      <c r="R315" s="650"/>
      <c r="S315" s="650"/>
      <c r="T315" s="651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2">
        <v>4680115886735</v>
      </c>
      <c r="E316" s="643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9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2">
        <v>4680115886728</v>
      </c>
      <c r="E317" s="643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0"/>
      <c r="R317" s="650"/>
      <c r="S317" s="650"/>
      <c r="T317" s="651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2">
        <v>4680115886711</v>
      </c>
      <c r="E318" s="643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0"/>
      <c r="R318" s="650"/>
      <c r="S318" s="650"/>
      <c r="T318" s="651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6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69"/>
      <c r="P319" s="644" t="s">
        <v>69</v>
      </c>
      <c r="Q319" s="640"/>
      <c r="R319" s="640"/>
      <c r="S319" s="640"/>
      <c r="T319" s="640"/>
      <c r="U319" s="640"/>
      <c r="V319" s="641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69"/>
      <c r="P320" s="644" t="s">
        <v>69</v>
      </c>
      <c r="Q320" s="640"/>
      <c r="R320" s="640"/>
      <c r="S320" s="640"/>
      <c r="T320" s="640"/>
      <c r="U320" s="640"/>
      <c r="V320" s="641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7" t="s">
        <v>526</v>
      </c>
      <c r="B321" s="648"/>
      <c r="C321" s="648"/>
      <c r="D321" s="648"/>
      <c r="E321" s="648"/>
      <c r="F321" s="648"/>
      <c r="G321" s="648"/>
      <c r="H321" s="648"/>
      <c r="I321" s="648"/>
      <c r="J321" s="648"/>
      <c r="K321" s="648"/>
      <c r="L321" s="648"/>
      <c r="M321" s="648"/>
      <c r="N321" s="648"/>
      <c r="O321" s="648"/>
      <c r="P321" s="648"/>
      <c r="Q321" s="648"/>
      <c r="R321" s="648"/>
      <c r="S321" s="648"/>
      <c r="T321" s="648"/>
      <c r="U321" s="648"/>
      <c r="V321" s="648"/>
      <c r="W321" s="648"/>
      <c r="X321" s="648"/>
      <c r="Y321" s="648"/>
      <c r="Z321" s="648"/>
      <c r="AA321" s="630"/>
      <c r="AB321" s="630"/>
      <c r="AC321" s="630"/>
    </row>
    <row r="322" spans="1:68" ht="14.25" hidden="1" customHeight="1" x14ac:dyDescent="0.25">
      <c r="A322" s="653" t="s">
        <v>119</v>
      </c>
      <c r="B322" s="648"/>
      <c r="C322" s="648"/>
      <c r="D322" s="648"/>
      <c r="E322" s="648"/>
      <c r="F322" s="648"/>
      <c r="G322" s="648"/>
      <c r="H322" s="648"/>
      <c r="I322" s="648"/>
      <c r="J322" s="648"/>
      <c r="K322" s="648"/>
      <c r="L322" s="648"/>
      <c r="M322" s="648"/>
      <c r="N322" s="648"/>
      <c r="O322" s="648"/>
      <c r="P322" s="648"/>
      <c r="Q322" s="648"/>
      <c r="R322" s="648"/>
      <c r="S322" s="648"/>
      <c r="T322" s="648"/>
      <c r="U322" s="648"/>
      <c r="V322" s="648"/>
      <c r="W322" s="648"/>
      <c r="X322" s="648"/>
      <c r="Y322" s="648"/>
      <c r="Z322" s="648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2">
        <v>4680115885837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78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2">
        <v>4680115887077</v>
      </c>
      <c r="E324" s="643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2">
        <v>4680115889637</v>
      </c>
      <c r="E325" s="643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2">
        <v>4680115887237</v>
      </c>
      <c r="E326" s="643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9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2">
        <v>4680115885806</v>
      </c>
      <c r="E327" s="643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0"/>
      <c r="R327" s="650"/>
      <c r="S327" s="650"/>
      <c r="T327" s="651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2">
        <v>4680115885844</v>
      </c>
      <c r="E328" s="643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9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0"/>
      <c r="R328" s="650"/>
      <c r="S328" s="650"/>
      <c r="T328" s="651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2">
        <v>4680115885820</v>
      </c>
      <c r="E329" s="643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0"/>
      <c r="R329" s="650"/>
      <c r="S329" s="650"/>
      <c r="T329" s="651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6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69"/>
      <c r="P330" s="644" t="s">
        <v>69</v>
      </c>
      <c r="Q330" s="640"/>
      <c r="R330" s="640"/>
      <c r="S330" s="640"/>
      <c r="T330" s="640"/>
      <c r="U330" s="640"/>
      <c r="V330" s="641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69"/>
      <c r="P331" s="644" t="s">
        <v>69</v>
      </c>
      <c r="Q331" s="640"/>
      <c r="R331" s="640"/>
      <c r="S331" s="640"/>
      <c r="T331" s="640"/>
      <c r="U331" s="640"/>
      <c r="V331" s="641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7" t="s">
        <v>548</v>
      </c>
      <c r="B332" s="648"/>
      <c r="C332" s="648"/>
      <c r="D332" s="648"/>
      <c r="E332" s="648"/>
      <c r="F332" s="648"/>
      <c r="G332" s="648"/>
      <c r="H332" s="648"/>
      <c r="I332" s="648"/>
      <c r="J332" s="648"/>
      <c r="K332" s="648"/>
      <c r="L332" s="648"/>
      <c r="M332" s="648"/>
      <c r="N332" s="648"/>
      <c r="O332" s="648"/>
      <c r="P332" s="648"/>
      <c r="Q332" s="648"/>
      <c r="R332" s="648"/>
      <c r="S332" s="648"/>
      <c r="T332" s="648"/>
      <c r="U332" s="648"/>
      <c r="V332" s="648"/>
      <c r="W332" s="648"/>
      <c r="X332" s="648"/>
      <c r="Y332" s="648"/>
      <c r="Z332" s="648"/>
      <c r="AA332" s="630"/>
      <c r="AB332" s="630"/>
      <c r="AC332" s="630"/>
    </row>
    <row r="333" spans="1:68" ht="14.25" hidden="1" customHeight="1" x14ac:dyDescent="0.25">
      <c r="A333" s="653" t="s">
        <v>71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2">
        <v>4680115886186</v>
      </c>
      <c r="E334" s="643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9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0"/>
      <c r="R334" s="650"/>
      <c r="S334" s="650"/>
      <c r="T334" s="651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2">
        <v>4680115881228</v>
      </c>
      <c r="E335" s="643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0"/>
      <c r="R335" s="650"/>
      <c r="S335" s="650"/>
      <c r="T335" s="651"/>
      <c r="U335" s="34"/>
      <c r="V335" s="34"/>
      <c r="W335" s="35" t="s">
        <v>67</v>
      </c>
      <c r="X335" s="635">
        <v>9</v>
      </c>
      <c r="Y335" s="636">
        <f>IFERROR(IF(X335="",0,CEILING((X335/$H335),1)*$H335),"")</f>
        <v>9.6</v>
      </c>
      <c r="Z335" s="36">
        <f>IFERROR(IF(Y335=0,"",ROUNDUP(Y335/H335,0)*0.00651),"")</f>
        <v>2.6040000000000001E-2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9.9450000000000021</v>
      </c>
      <c r="BN335" s="64">
        <f>IFERROR(Y335*I335/H335,"0")</f>
        <v>10.608000000000001</v>
      </c>
      <c r="BO335" s="64">
        <f>IFERROR(1/J335*(X335/H335),"0")</f>
        <v>2.0604395604395608E-2</v>
      </c>
      <c r="BP335" s="64">
        <f>IFERROR(1/J335*(Y335/H335),"0")</f>
        <v>2.197802197802198E-2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2">
        <v>4680115881211</v>
      </c>
      <c r="E336" s="643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7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0"/>
      <c r="R336" s="650"/>
      <c r="S336" s="650"/>
      <c r="T336" s="651"/>
      <c r="U336" s="34"/>
      <c r="V336" s="34"/>
      <c r="W336" s="35" t="s">
        <v>67</v>
      </c>
      <c r="X336" s="635">
        <v>70</v>
      </c>
      <c r="Y336" s="636">
        <f>IFERROR(IF(X336="",0,CEILING((X336/$H336),1)*$H336),"")</f>
        <v>72</v>
      </c>
      <c r="Z336" s="36">
        <f>IFERROR(IF(Y336=0,"",ROUNDUP(Y336/H336,0)*0.00651),"")</f>
        <v>0.1953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75.25</v>
      </c>
      <c r="BN336" s="64">
        <f>IFERROR(Y336*I336/H336,"0")</f>
        <v>77.400000000000006</v>
      </c>
      <c r="BO336" s="64">
        <f>IFERROR(1/J336*(X336/H336),"0")</f>
        <v>0.16025641025641027</v>
      </c>
      <c r="BP336" s="64">
        <f>IFERROR(1/J336*(Y336/H336),"0")</f>
        <v>0.16483516483516486</v>
      </c>
    </row>
    <row r="337" spans="1:68" x14ac:dyDescent="0.2">
      <c r="A337" s="66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69"/>
      <c r="P337" s="644" t="s">
        <v>69</v>
      </c>
      <c r="Q337" s="640"/>
      <c r="R337" s="640"/>
      <c r="S337" s="640"/>
      <c r="T337" s="640"/>
      <c r="U337" s="640"/>
      <c r="V337" s="641"/>
      <c r="W337" s="37" t="s">
        <v>70</v>
      </c>
      <c r="X337" s="637">
        <f>IFERROR(X334/H334,"0")+IFERROR(X335/H335,"0")+IFERROR(X336/H336,"0")</f>
        <v>32.916666666666671</v>
      </c>
      <c r="Y337" s="637">
        <f>IFERROR(Y334/H334,"0")+IFERROR(Y335/H335,"0")+IFERROR(Y336/H336,"0")</f>
        <v>34</v>
      </c>
      <c r="Z337" s="637">
        <f>IFERROR(IF(Z334="",0,Z334),"0")+IFERROR(IF(Z335="",0,Z335),"0")+IFERROR(IF(Z336="",0,Z336),"0")</f>
        <v>0.22134000000000001</v>
      </c>
      <c r="AA337" s="638"/>
      <c r="AB337" s="638"/>
      <c r="AC337" s="638"/>
    </row>
    <row r="338" spans="1:68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69"/>
      <c r="P338" s="644" t="s">
        <v>69</v>
      </c>
      <c r="Q338" s="640"/>
      <c r="R338" s="640"/>
      <c r="S338" s="640"/>
      <c r="T338" s="640"/>
      <c r="U338" s="640"/>
      <c r="V338" s="641"/>
      <c r="W338" s="37" t="s">
        <v>67</v>
      </c>
      <c r="X338" s="637">
        <f>IFERROR(SUM(X334:X336),"0")</f>
        <v>79</v>
      </c>
      <c r="Y338" s="637">
        <f>IFERROR(SUM(Y334:Y336),"0")</f>
        <v>81.599999999999994</v>
      </c>
      <c r="Z338" s="37"/>
      <c r="AA338" s="638"/>
      <c r="AB338" s="638"/>
      <c r="AC338" s="638"/>
    </row>
    <row r="339" spans="1:68" ht="16.5" hidden="1" customHeight="1" x14ac:dyDescent="0.25">
      <c r="A339" s="647" t="s">
        <v>557</v>
      </c>
      <c r="B339" s="648"/>
      <c r="C339" s="648"/>
      <c r="D339" s="648"/>
      <c r="E339" s="648"/>
      <c r="F339" s="648"/>
      <c r="G339" s="648"/>
      <c r="H339" s="648"/>
      <c r="I339" s="648"/>
      <c r="J339" s="648"/>
      <c r="K339" s="648"/>
      <c r="L339" s="648"/>
      <c r="M339" s="648"/>
      <c r="N339" s="648"/>
      <c r="O339" s="648"/>
      <c r="P339" s="648"/>
      <c r="Q339" s="648"/>
      <c r="R339" s="648"/>
      <c r="S339" s="648"/>
      <c r="T339" s="648"/>
      <c r="U339" s="648"/>
      <c r="V339" s="648"/>
      <c r="W339" s="648"/>
      <c r="X339" s="648"/>
      <c r="Y339" s="648"/>
      <c r="Z339" s="648"/>
      <c r="AA339" s="630"/>
      <c r="AB339" s="630"/>
      <c r="AC339" s="630"/>
    </row>
    <row r="340" spans="1:68" ht="14.25" hidden="1" customHeight="1" x14ac:dyDescent="0.25">
      <c r="A340" s="653" t="s">
        <v>62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2">
        <v>4680115888319</v>
      </c>
      <c r="E341" s="643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73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2">
        <v>4680115884700</v>
      </c>
      <c r="E342" s="643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2">
        <v>4680115880344</v>
      </c>
      <c r="E343" s="643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0"/>
      <c r="R343" s="650"/>
      <c r="S343" s="650"/>
      <c r="T343" s="651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2">
        <v>4680115886919</v>
      </c>
      <c r="E344" s="643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7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0"/>
      <c r="R344" s="650"/>
      <c r="S344" s="650"/>
      <c r="T344" s="65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69"/>
      <c r="P345" s="644" t="s">
        <v>69</v>
      </c>
      <c r="Q345" s="640"/>
      <c r="R345" s="640"/>
      <c r="S345" s="640"/>
      <c r="T345" s="640"/>
      <c r="U345" s="640"/>
      <c r="V345" s="641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69"/>
      <c r="P346" s="644" t="s">
        <v>69</v>
      </c>
      <c r="Q346" s="640"/>
      <c r="R346" s="640"/>
      <c r="S346" s="640"/>
      <c r="T346" s="640"/>
      <c r="U346" s="640"/>
      <c r="V346" s="641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53" t="s">
        <v>71</v>
      </c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8"/>
      <c r="P347" s="648"/>
      <c r="Q347" s="648"/>
      <c r="R347" s="648"/>
      <c r="S347" s="648"/>
      <c r="T347" s="648"/>
      <c r="U347" s="648"/>
      <c r="V347" s="648"/>
      <c r="W347" s="648"/>
      <c r="X347" s="648"/>
      <c r="Y347" s="648"/>
      <c r="Z347" s="648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2">
        <v>4680115884618</v>
      </c>
      <c r="E348" s="643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7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0"/>
      <c r="R348" s="650"/>
      <c r="S348" s="650"/>
      <c r="T348" s="651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2">
        <v>4680115887114</v>
      </c>
      <c r="E349" s="643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7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0"/>
      <c r="R349" s="650"/>
      <c r="S349" s="650"/>
      <c r="T349" s="651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2">
        <v>4680115887466</v>
      </c>
      <c r="E350" s="643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92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0"/>
      <c r="R350" s="650"/>
      <c r="S350" s="650"/>
      <c r="T350" s="651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6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69"/>
      <c r="P351" s="644" t="s">
        <v>69</v>
      </c>
      <c r="Q351" s="640"/>
      <c r="R351" s="640"/>
      <c r="S351" s="640"/>
      <c r="T351" s="640"/>
      <c r="U351" s="640"/>
      <c r="V351" s="641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69"/>
      <c r="P352" s="644" t="s">
        <v>69</v>
      </c>
      <c r="Q352" s="640"/>
      <c r="R352" s="640"/>
      <c r="S352" s="640"/>
      <c r="T352" s="640"/>
      <c r="U352" s="640"/>
      <c r="V352" s="641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7" t="s">
        <v>579</v>
      </c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8"/>
      <c r="P353" s="648"/>
      <c r="Q353" s="648"/>
      <c r="R353" s="648"/>
      <c r="S353" s="648"/>
      <c r="T353" s="648"/>
      <c r="U353" s="648"/>
      <c r="V353" s="648"/>
      <c r="W353" s="648"/>
      <c r="X353" s="648"/>
      <c r="Y353" s="648"/>
      <c r="Z353" s="648"/>
      <c r="AA353" s="630"/>
      <c r="AB353" s="630"/>
      <c r="AC353" s="630"/>
    </row>
    <row r="354" spans="1:68" ht="14.25" hidden="1" customHeight="1" x14ac:dyDescent="0.25">
      <c r="A354" s="653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2">
        <v>4680115886001</v>
      </c>
      <c r="E355" s="643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73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0"/>
      <c r="R355" s="650"/>
      <c r="S355" s="650"/>
      <c r="T355" s="65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6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69"/>
      <c r="P356" s="644" t="s">
        <v>69</v>
      </c>
      <c r="Q356" s="640"/>
      <c r="R356" s="640"/>
      <c r="S356" s="640"/>
      <c r="T356" s="640"/>
      <c r="U356" s="640"/>
      <c r="V356" s="641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69"/>
      <c r="P357" s="644" t="s">
        <v>69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53" t="s">
        <v>71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2">
        <v>4680115886087</v>
      </c>
      <c r="E359" s="643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76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0"/>
      <c r="R359" s="650"/>
      <c r="S359" s="650"/>
      <c r="T359" s="651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6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69"/>
      <c r="P360" s="644" t="s">
        <v>69</v>
      </c>
      <c r="Q360" s="640"/>
      <c r="R360" s="640"/>
      <c r="S360" s="640"/>
      <c r="T360" s="640"/>
      <c r="U360" s="640"/>
      <c r="V360" s="641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69"/>
      <c r="P361" s="644" t="s">
        <v>69</v>
      </c>
      <c r="Q361" s="640"/>
      <c r="R361" s="640"/>
      <c r="S361" s="640"/>
      <c r="T361" s="640"/>
      <c r="U361" s="640"/>
      <c r="V361" s="641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7" t="s">
        <v>586</v>
      </c>
      <c r="B362" s="648"/>
      <c r="C362" s="648"/>
      <c r="D362" s="648"/>
      <c r="E362" s="648"/>
      <c r="F362" s="648"/>
      <c r="G362" s="648"/>
      <c r="H362" s="648"/>
      <c r="I362" s="648"/>
      <c r="J362" s="648"/>
      <c r="K362" s="648"/>
      <c r="L362" s="648"/>
      <c r="M362" s="648"/>
      <c r="N362" s="648"/>
      <c r="O362" s="648"/>
      <c r="P362" s="648"/>
      <c r="Q362" s="648"/>
      <c r="R362" s="648"/>
      <c r="S362" s="648"/>
      <c r="T362" s="648"/>
      <c r="U362" s="648"/>
      <c r="V362" s="648"/>
      <c r="W362" s="648"/>
      <c r="X362" s="648"/>
      <c r="Y362" s="648"/>
      <c r="Z362" s="648"/>
      <c r="AA362" s="630"/>
      <c r="AB362" s="630"/>
      <c r="AC362" s="630"/>
    </row>
    <row r="363" spans="1:68" ht="14.25" hidden="1" customHeight="1" x14ac:dyDescent="0.25">
      <c r="A363" s="653" t="s">
        <v>119</v>
      </c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8"/>
      <c r="P363" s="648"/>
      <c r="Q363" s="648"/>
      <c r="R363" s="648"/>
      <c r="S363" s="648"/>
      <c r="T363" s="648"/>
      <c r="U363" s="648"/>
      <c r="V363" s="648"/>
      <c r="W363" s="648"/>
      <c r="X363" s="648"/>
      <c r="Y363" s="648"/>
      <c r="Z363" s="648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2">
        <v>4680115887947</v>
      </c>
      <c r="E364" s="643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7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42">
        <v>4680115887978</v>
      </c>
      <c r="E365" s="643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73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42">
        <v>4680115887992</v>
      </c>
      <c r="E366" s="643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10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0"/>
      <c r="R366" s="650"/>
      <c r="S366" s="650"/>
      <c r="T366" s="651"/>
      <c r="U366" s="34"/>
      <c r="V366" s="34"/>
      <c r="W366" s="35" t="s">
        <v>67</v>
      </c>
      <c r="X366" s="635">
        <v>49</v>
      </c>
      <c r="Y366" s="636">
        <f>IFERROR(IF(X366="",0,CEILING((X366/$H366),1)*$H366),"")</f>
        <v>54.6</v>
      </c>
      <c r="Z366" s="36">
        <f>IFERROR(IF(Y366=0,"",ROUNDUP(Y366/H366,0)*0.01898),"")</f>
        <v>0.13286000000000001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51.575641025641026</v>
      </c>
      <c r="BN366" s="64">
        <f>IFERROR(Y366*I366/H366,"0")</f>
        <v>57.470000000000013</v>
      </c>
      <c r="BO366" s="64">
        <f>IFERROR(1/J366*(X366/H366),"0")</f>
        <v>9.815705128205128E-2</v>
      </c>
      <c r="BP366" s="64">
        <f>IFERROR(1/J366*(Y366/H366),"0")</f>
        <v>0.109375</v>
      </c>
    </row>
    <row r="367" spans="1:68" x14ac:dyDescent="0.2">
      <c r="A367" s="66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69"/>
      <c r="P367" s="644" t="s">
        <v>69</v>
      </c>
      <c r="Q367" s="640"/>
      <c r="R367" s="640"/>
      <c r="S367" s="640"/>
      <c r="T367" s="640"/>
      <c r="U367" s="640"/>
      <c r="V367" s="641"/>
      <c r="W367" s="37" t="s">
        <v>70</v>
      </c>
      <c r="X367" s="637">
        <f>IFERROR(X364/H364,"0")+IFERROR(X365/H365,"0")+IFERROR(X366/H366,"0")</f>
        <v>6.2820512820512819</v>
      </c>
      <c r="Y367" s="637">
        <f>IFERROR(Y364/H364,"0")+IFERROR(Y365/H365,"0")+IFERROR(Y366/H366,"0")</f>
        <v>7</v>
      </c>
      <c r="Z367" s="637">
        <f>IFERROR(IF(Z364="",0,Z364),"0")+IFERROR(IF(Z365="",0,Z365),"0")+IFERROR(IF(Z366="",0,Z366),"0")</f>
        <v>0.13286000000000001</v>
      </c>
      <c r="AA367" s="638"/>
      <c r="AB367" s="638"/>
      <c r="AC367" s="638"/>
    </row>
    <row r="368" spans="1:68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69"/>
      <c r="P368" s="644" t="s">
        <v>69</v>
      </c>
      <c r="Q368" s="640"/>
      <c r="R368" s="640"/>
      <c r="S368" s="640"/>
      <c r="T368" s="640"/>
      <c r="U368" s="640"/>
      <c r="V368" s="641"/>
      <c r="W368" s="37" t="s">
        <v>67</v>
      </c>
      <c r="X368" s="637">
        <f>IFERROR(SUM(X364:X366),"0")</f>
        <v>49</v>
      </c>
      <c r="Y368" s="637">
        <f>IFERROR(SUM(Y364:Y366),"0")</f>
        <v>54.6</v>
      </c>
      <c r="Z368" s="37"/>
      <c r="AA368" s="638"/>
      <c r="AB368" s="638"/>
      <c r="AC368" s="638"/>
    </row>
    <row r="369" spans="1:68" ht="16.5" hidden="1" customHeight="1" x14ac:dyDescent="0.25">
      <c r="A369" s="647" t="s">
        <v>595</v>
      </c>
      <c r="B369" s="648"/>
      <c r="C369" s="648"/>
      <c r="D369" s="648"/>
      <c r="E369" s="648"/>
      <c r="F369" s="648"/>
      <c r="G369" s="648"/>
      <c r="H369" s="648"/>
      <c r="I369" s="648"/>
      <c r="J369" s="648"/>
      <c r="K369" s="648"/>
      <c r="L369" s="648"/>
      <c r="M369" s="648"/>
      <c r="N369" s="648"/>
      <c r="O369" s="648"/>
      <c r="P369" s="648"/>
      <c r="Q369" s="648"/>
      <c r="R369" s="648"/>
      <c r="S369" s="648"/>
      <c r="T369" s="648"/>
      <c r="U369" s="648"/>
      <c r="V369" s="648"/>
      <c r="W369" s="648"/>
      <c r="X369" s="648"/>
      <c r="Y369" s="648"/>
      <c r="Z369" s="648"/>
      <c r="AA369" s="630"/>
      <c r="AB369" s="630"/>
      <c r="AC369" s="630"/>
    </row>
    <row r="370" spans="1:68" ht="14.25" hidden="1" customHeight="1" x14ac:dyDescent="0.25">
      <c r="A370" s="653" t="s">
        <v>119</v>
      </c>
      <c r="B370" s="648"/>
      <c r="C370" s="648"/>
      <c r="D370" s="648"/>
      <c r="E370" s="648"/>
      <c r="F370" s="648"/>
      <c r="G370" s="648"/>
      <c r="H370" s="648"/>
      <c r="I370" s="648"/>
      <c r="J370" s="648"/>
      <c r="K370" s="648"/>
      <c r="L370" s="648"/>
      <c r="M370" s="648"/>
      <c r="N370" s="648"/>
      <c r="O370" s="648"/>
      <c r="P370" s="648"/>
      <c r="Q370" s="648"/>
      <c r="R370" s="648"/>
      <c r="S370" s="648"/>
      <c r="T370" s="648"/>
      <c r="U370" s="648"/>
      <c r="V370" s="648"/>
      <c r="W370" s="648"/>
      <c r="X370" s="648"/>
      <c r="Y370" s="648"/>
      <c r="Z370" s="648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2">
        <v>4680115889293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88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0"/>
      <c r="R371" s="650"/>
      <c r="S371" s="650"/>
      <c r="T371" s="651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2">
        <v>4680115887190</v>
      </c>
      <c r="E372" s="643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0"/>
      <c r="R372" s="650"/>
      <c r="S372" s="650"/>
      <c r="T372" s="651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2">
        <v>4680115889880</v>
      </c>
      <c r="E373" s="643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6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0"/>
      <c r="R373" s="650"/>
      <c r="S373" s="650"/>
      <c r="T373" s="651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2">
        <v>4680115887138</v>
      </c>
      <c r="E374" s="643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2">
        <v>4680115885554</v>
      </c>
      <c r="E375" s="643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0"/>
      <c r="R375" s="650"/>
      <c r="S375" s="650"/>
      <c r="T375" s="651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2">
        <v>4680115887220</v>
      </c>
      <c r="E376" s="643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9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0"/>
      <c r="R376" s="650"/>
      <c r="S376" s="650"/>
      <c r="T376" s="651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2">
        <v>4680115885608</v>
      </c>
      <c r="E377" s="643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0"/>
      <c r="R377" s="650"/>
      <c r="S377" s="650"/>
      <c r="T377" s="651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6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69"/>
      <c r="P378" s="644" t="s">
        <v>69</v>
      </c>
      <c r="Q378" s="640"/>
      <c r="R378" s="640"/>
      <c r="S378" s="640"/>
      <c r="T378" s="640"/>
      <c r="U378" s="640"/>
      <c r="V378" s="641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69"/>
      <c r="P379" s="644" t="s">
        <v>69</v>
      </c>
      <c r="Q379" s="640"/>
      <c r="R379" s="640"/>
      <c r="S379" s="640"/>
      <c r="T379" s="640"/>
      <c r="U379" s="640"/>
      <c r="V379" s="641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53" t="s">
        <v>62</v>
      </c>
      <c r="B380" s="648"/>
      <c r="C380" s="648"/>
      <c r="D380" s="648"/>
      <c r="E380" s="648"/>
      <c r="F380" s="648"/>
      <c r="G380" s="648"/>
      <c r="H380" s="648"/>
      <c r="I380" s="648"/>
      <c r="J380" s="648"/>
      <c r="K380" s="648"/>
      <c r="L380" s="648"/>
      <c r="M380" s="648"/>
      <c r="N380" s="648"/>
      <c r="O380" s="648"/>
      <c r="P380" s="648"/>
      <c r="Q380" s="648"/>
      <c r="R380" s="648"/>
      <c r="S380" s="648"/>
      <c r="T380" s="648"/>
      <c r="U380" s="648"/>
      <c r="V380" s="648"/>
      <c r="W380" s="648"/>
      <c r="X380" s="648"/>
      <c r="Y380" s="648"/>
      <c r="Z380" s="648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2">
        <v>4607091387193</v>
      </c>
      <c r="E381" s="643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2">
        <v>4607091387230</v>
      </c>
      <c r="E382" s="643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0"/>
      <c r="R382" s="650"/>
      <c r="S382" s="650"/>
      <c r="T382" s="651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2">
        <v>4607091387292</v>
      </c>
      <c r="E383" s="643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0"/>
      <c r="R383" s="650"/>
      <c r="S383" s="650"/>
      <c r="T383" s="651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2">
        <v>4607091387285</v>
      </c>
      <c r="E384" s="643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9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0"/>
      <c r="R384" s="650"/>
      <c r="S384" s="650"/>
      <c r="T384" s="651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2">
        <v>4607091389845</v>
      </c>
      <c r="E385" s="643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6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0"/>
      <c r="R385" s="650"/>
      <c r="S385" s="650"/>
      <c r="T385" s="651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2">
        <v>4680115887442</v>
      </c>
      <c r="E386" s="643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98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42">
        <v>4607091383836</v>
      </c>
      <c r="E387" s="643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0"/>
      <c r="R387" s="650"/>
      <c r="S387" s="650"/>
      <c r="T387" s="651"/>
      <c r="U387" s="34"/>
      <c r="V387" s="34"/>
      <c r="W387" s="35" t="s">
        <v>67</v>
      </c>
      <c r="X387" s="635">
        <v>15</v>
      </c>
      <c r="Y387" s="636">
        <f t="shared" si="56"/>
        <v>16.2</v>
      </c>
      <c r="Z387" s="36">
        <f>IFERROR(IF(Y387=0,"",ROUNDUP(Y387/H387,0)*0.00651),"")</f>
        <v>5.8590000000000003E-2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16.900000000000002</v>
      </c>
      <c r="BN387" s="64">
        <f t="shared" si="58"/>
        <v>18.251999999999999</v>
      </c>
      <c r="BO387" s="64">
        <f t="shared" si="59"/>
        <v>4.5787545787545791E-2</v>
      </c>
      <c r="BP387" s="64">
        <f t="shared" si="60"/>
        <v>4.9450549450549455E-2</v>
      </c>
    </row>
    <row r="388" spans="1:68" x14ac:dyDescent="0.2">
      <c r="A388" s="66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69"/>
      <c r="P388" s="644" t="s">
        <v>69</v>
      </c>
      <c r="Q388" s="640"/>
      <c r="R388" s="640"/>
      <c r="S388" s="640"/>
      <c r="T388" s="640"/>
      <c r="U388" s="640"/>
      <c r="V388" s="641"/>
      <c r="W388" s="37" t="s">
        <v>70</v>
      </c>
      <c r="X388" s="637">
        <f>IFERROR(X381/H381,"0")+IFERROR(X382/H382,"0")+IFERROR(X383/H383,"0")+IFERROR(X384/H384,"0")+IFERROR(X385/H385,"0")+IFERROR(X386/H386,"0")+IFERROR(X387/H387,"0")</f>
        <v>8.3333333333333339</v>
      </c>
      <c r="Y388" s="637">
        <f>IFERROR(Y381/H381,"0")+IFERROR(Y382/H382,"0")+IFERROR(Y383/H383,"0")+IFERROR(Y384/H384,"0")+IFERROR(Y385/H385,"0")+IFERROR(Y386/H386,"0")+IFERROR(Y387/H387,"0")</f>
        <v>9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5.8590000000000003E-2</v>
      </c>
      <c r="AA388" s="638"/>
      <c r="AB388" s="638"/>
      <c r="AC388" s="638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69"/>
      <c r="P389" s="644" t="s">
        <v>69</v>
      </c>
      <c r="Q389" s="640"/>
      <c r="R389" s="640"/>
      <c r="S389" s="640"/>
      <c r="T389" s="640"/>
      <c r="U389" s="640"/>
      <c r="V389" s="641"/>
      <c r="W389" s="37" t="s">
        <v>67</v>
      </c>
      <c r="X389" s="637">
        <f>IFERROR(SUM(X381:X387),"0")</f>
        <v>15</v>
      </c>
      <c r="Y389" s="637">
        <f>IFERROR(SUM(Y381:Y387),"0")</f>
        <v>16.2</v>
      </c>
      <c r="Z389" s="37"/>
      <c r="AA389" s="638"/>
      <c r="AB389" s="638"/>
      <c r="AC389" s="638"/>
    </row>
    <row r="390" spans="1:68" ht="14.25" hidden="1" customHeight="1" x14ac:dyDescent="0.25">
      <c r="A390" s="653" t="s">
        <v>71</v>
      </c>
      <c r="B390" s="648"/>
      <c r="C390" s="648"/>
      <c r="D390" s="648"/>
      <c r="E390" s="648"/>
      <c r="F390" s="648"/>
      <c r="G390" s="648"/>
      <c r="H390" s="648"/>
      <c r="I390" s="648"/>
      <c r="J390" s="648"/>
      <c r="K390" s="648"/>
      <c r="L390" s="648"/>
      <c r="M390" s="648"/>
      <c r="N390" s="648"/>
      <c r="O390" s="648"/>
      <c r="P390" s="648"/>
      <c r="Q390" s="648"/>
      <c r="R390" s="648"/>
      <c r="S390" s="648"/>
      <c r="T390" s="648"/>
      <c r="U390" s="648"/>
      <c r="V390" s="648"/>
      <c r="W390" s="648"/>
      <c r="X390" s="648"/>
      <c r="Y390" s="648"/>
      <c r="Z390" s="648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2">
        <v>4607091387766</v>
      </c>
      <c r="E391" s="643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9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0"/>
      <c r="R391" s="650"/>
      <c r="S391" s="650"/>
      <c r="T391" s="651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2">
        <v>4607091387957</v>
      </c>
      <c r="E392" s="643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2">
        <v>4607091387964</v>
      </c>
      <c r="E393" s="643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2">
        <v>4680115884588</v>
      </c>
      <c r="E394" s="643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0"/>
      <c r="R394" s="650"/>
      <c r="S394" s="650"/>
      <c r="T394" s="65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6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69"/>
      <c r="P395" s="644" t="s">
        <v>69</v>
      </c>
      <c r="Q395" s="640"/>
      <c r="R395" s="640"/>
      <c r="S395" s="640"/>
      <c r="T395" s="640"/>
      <c r="U395" s="640"/>
      <c r="V395" s="641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69"/>
      <c r="P396" s="644" t="s">
        <v>69</v>
      </c>
      <c r="Q396" s="640"/>
      <c r="R396" s="640"/>
      <c r="S396" s="640"/>
      <c r="T396" s="640"/>
      <c r="U396" s="640"/>
      <c r="V396" s="641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53" t="s">
        <v>173</v>
      </c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8"/>
      <c r="P397" s="648"/>
      <c r="Q397" s="648"/>
      <c r="R397" s="648"/>
      <c r="S397" s="648"/>
      <c r="T397" s="648"/>
      <c r="U397" s="648"/>
      <c r="V397" s="648"/>
      <c r="W397" s="648"/>
      <c r="X397" s="648"/>
      <c r="Y397" s="648"/>
      <c r="Z397" s="648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2">
        <v>4607091380880</v>
      </c>
      <c r="E398" s="643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0"/>
      <c r="R398" s="650"/>
      <c r="S398" s="650"/>
      <c r="T398" s="651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2">
        <v>4607091384482</v>
      </c>
      <c r="E399" s="643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5">
        <v>206</v>
      </c>
      <c r="Y399" s="636">
        <f>IFERROR(IF(X399="",0,CEILING((X399/$H399),1)*$H399),"")</f>
        <v>210.6</v>
      </c>
      <c r="Z399" s="36">
        <f>IFERROR(IF(Y399=0,"",ROUNDUP(Y399/H399,0)*0.01898),"")</f>
        <v>0.51246000000000003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219.04666666666668</v>
      </c>
      <c r="BN399" s="64">
        <f>IFERROR(Y399*I399/H399,"0")</f>
        <v>223.93800000000002</v>
      </c>
      <c r="BO399" s="64">
        <f>IFERROR(1/J399*(X399/H399),"0")</f>
        <v>0.41266025641025644</v>
      </c>
      <c r="BP399" s="64">
        <f>IFERROR(1/J399*(Y399/H399),"0")</f>
        <v>0.421875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42">
        <v>4607091380897</v>
      </c>
      <c r="E400" s="643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9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5">
        <v>82</v>
      </c>
      <c r="Y400" s="636">
        <f>IFERROR(IF(X400="",0,CEILING((X400/$H400),1)*$H400),"")</f>
        <v>84</v>
      </c>
      <c r="Z400" s="36">
        <f>IFERROR(IF(Y400=0,"",ROUNDUP(Y400/H400,0)*0.01898),"")</f>
        <v>0.1898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86.822380952380954</v>
      </c>
      <c r="BN400" s="64">
        <f>IFERROR(Y400*I400/H400,"0")</f>
        <v>88.94</v>
      </c>
      <c r="BO400" s="64">
        <f>IFERROR(1/J400*(X400/H400),"0")</f>
        <v>0.15252976190476189</v>
      </c>
      <c r="BP400" s="64">
        <f>IFERROR(1/J400*(Y400/H400),"0")</f>
        <v>0.15625</v>
      </c>
    </row>
    <row r="401" spans="1:68" x14ac:dyDescent="0.2">
      <c r="A401" s="66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69"/>
      <c r="P401" s="644" t="s">
        <v>69</v>
      </c>
      <c r="Q401" s="640"/>
      <c r="R401" s="640"/>
      <c r="S401" s="640"/>
      <c r="T401" s="640"/>
      <c r="U401" s="640"/>
      <c r="V401" s="641"/>
      <c r="W401" s="37" t="s">
        <v>70</v>
      </c>
      <c r="X401" s="637">
        <f>IFERROR(X398/H398,"0")+IFERROR(X399/H399,"0")+IFERROR(X400/H400,"0")</f>
        <v>36.172161172161175</v>
      </c>
      <c r="Y401" s="637">
        <f>IFERROR(Y398/H398,"0")+IFERROR(Y399/H399,"0")+IFERROR(Y400/H400,"0")</f>
        <v>37</v>
      </c>
      <c r="Z401" s="637">
        <f>IFERROR(IF(Z398="",0,Z398),"0")+IFERROR(IF(Z399="",0,Z399),"0")+IFERROR(IF(Z400="",0,Z400),"0")</f>
        <v>0.70226</v>
      </c>
      <c r="AA401" s="638"/>
      <c r="AB401" s="638"/>
      <c r="AC401" s="638"/>
    </row>
    <row r="402" spans="1:68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69"/>
      <c r="P402" s="644" t="s">
        <v>69</v>
      </c>
      <c r="Q402" s="640"/>
      <c r="R402" s="640"/>
      <c r="S402" s="640"/>
      <c r="T402" s="640"/>
      <c r="U402" s="640"/>
      <c r="V402" s="641"/>
      <c r="W402" s="37" t="s">
        <v>67</v>
      </c>
      <c r="X402" s="637">
        <f>IFERROR(SUM(X398:X400),"0")</f>
        <v>288</v>
      </c>
      <c r="Y402" s="637">
        <f>IFERROR(SUM(Y398:Y400),"0")</f>
        <v>294.60000000000002</v>
      </c>
      <c r="Z402" s="37"/>
      <c r="AA402" s="638"/>
      <c r="AB402" s="638"/>
      <c r="AC402" s="638"/>
    </row>
    <row r="403" spans="1:68" ht="14.25" hidden="1" customHeight="1" x14ac:dyDescent="0.25">
      <c r="A403" s="653" t="s">
        <v>89</v>
      </c>
      <c r="B403" s="648"/>
      <c r="C403" s="648"/>
      <c r="D403" s="648"/>
      <c r="E403" s="648"/>
      <c r="F403" s="648"/>
      <c r="G403" s="648"/>
      <c r="H403" s="648"/>
      <c r="I403" s="648"/>
      <c r="J403" s="648"/>
      <c r="K403" s="648"/>
      <c r="L403" s="648"/>
      <c r="M403" s="648"/>
      <c r="N403" s="648"/>
      <c r="O403" s="648"/>
      <c r="P403" s="648"/>
      <c r="Q403" s="648"/>
      <c r="R403" s="648"/>
      <c r="S403" s="648"/>
      <c r="T403" s="648"/>
      <c r="U403" s="648"/>
      <c r="V403" s="648"/>
      <c r="W403" s="648"/>
      <c r="X403" s="648"/>
      <c r="Y403" s="648"/>
      <c r="Z403" s="648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2">
        <v>4607091388381</v>
      </c>
      <c r="E404" s="643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9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0"/>
      <c r="R404" s="650"/>
      <c r="S404" s="650"/>
      <c r="T404" s="651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2">
        <v>4607091388374</v>
      </c>
      <c r="E405" s="643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0"/>
      <c r="R405" s="650"/>
      <c r="S405" s="650"/>
      <c r="T405" s="651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2">
        <v>4607091383102</v>
      </c>
      <c r="E406" s="643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8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0"/>
      <c r="R406" s="650"/>
      <c r="S406" s="650"/>
      <c r="T406" s="651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2">
        <v>4607091388404</v>
      </c>
      <c r="E407" s="643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9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0"/>
      <c r="R407" s="650"/>
      <c r="S407" s="650"/>
      <c r="T407" s="651"/>
      <c r="U407" s="34"/>
      <c r="V407" s="34"/>
      <c r="W407" s="35" t="s">
        <v>67</v>
      </c>
      <c r="X407" s="635">
        <v>10</v>
      </c>
      <c r="Y407" s="636">
        <f>IFERROR(IF(X407="",0,CEILING((X407/$H407),1)*$H407),"")</f>
        <v>10.199999999999999</v>
      </c>
      <c r="Z407" s="36">
        <f>IFERROR(IF(Y407=0,"",ROUNDUP(Y407/H407,0)*0.00651),"")</f>
        <v>2.6040000000000001E-2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11.294117647058822</v>
      </c>
      <c r="BN407" s="64">
        <f>IFERROR(Y407*I407/H407,"0")</f>
        <v>11.52</v>
      </c>
      <c r="BO407" s="64">
        <f>IFERROR(1/J407*(X407/H407),"0")</f>
        <v>2.1547080370609786E-2</v>
      </c>
      <c r="BP407" s="64">
        <f>IFERROR(1/J407*(Y407/H407),"0")</f>
        <v>2.197802197802198E-2</v>
      </c>
    </row>
    <row r="408" spans="1:68" x14ac:dyDescent="0.2">
      <c r="A408" s="66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69"/>
      <c r="P408" s="644" t="s">
        <v>69</v>
      </c>
      <c r="Q408" s="640"/>
      <c r="R408" s="640"/>
      <c r="S408" s="640"/>
      <c r="T408" s="640"/>
      <c r="U408" s="640"/>
      <c r="V408" s="641"/>
      <c r="W408" s="37" t="s">
        <v>70</v>
      </c>
      <c r="X408" s="637">
        <f>IFERROR(X404/H404,"0")+IFERROR(X405/H405,"0")+IFERROR(X406/H406,"0")+IFERROR(X407/H407,"0")</f>
        <v>3.9215686274509807</v>
      </c>
      <c r="Y408" s="637">
        <f>IFERROR(Y404/H404,"0")+IFERROR(Y405/H405,"0")+IFERROR(Y406/H406,"0")+IFERROR(Y407/H407,"0")</f>
        <v>4</v>
      </c>
      <c r="Z408" s="637">
        <f>IFERROR(IF(Z404="",0,Z404),"0")+IFERROR(IF(Z405="",0,Z405),"0")+IFERROR(IF(Z406="",0,Z406),"0")+IFERROR(IF(Z407="",0,Z407),"0")</f>
        <v>2.6040000000000001E-2</v>
      </c>
      <c r="AA408" s="638"/>
      <c r="AB408" s="638"/>
      <c r="AC408" s="638"/>
    </row>
    <row r="409" spans="1:68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69"/>
      <c r="P409" s="644" t="s">
        <v>69</v>
      </c>
      <c r="Q409" s="640"/>
      <c r="R409" s="640"/>
      <c r="S409" s="640"/>
      <c r="T409" s="640"/>
      <c r="U409" s="640"/>
      <c r="V409" s="641"/>
      <c r="W409" s="37" t="s">
        <v>67</v>
      </c>
      <c r="X409" s="637">
        <f>IFERROR(SUM(X404:X407),"0")</f>
        <v>10</v>
      </c>
      <c r="Y409" s="637">
        <f>IFERROR(SUM(Y404:Y407),"0")</f>
        <v>10.199999999999999</v>
      </c>
      <c r="Z409" s="37"/>
      <c r="AA409" s="638"/>
      <c r="AB409" s="638"/>
      <c r="AC409" s="638"/>
    </row>
    <row r="410" spans="1:68" ht="14.25" hidden="1" customHeight="1" x14ac:dyDescent="0.25">
      <c r="A410" s="653" t="s">
        <v>663</v>
      </c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8"/>
      <c r="P410" s="648"/>
      <c r="Q410" s="648"/>
      <c r="R410" s="648"/>
      <c r="S410" s="648"/>
      <c r="T410" s="648"/>
      <c r="U410" s="648"/>
      <c r="V410" s="648"/>
      <c r="W410" s="648"/>
      <c r="X410" s="648"/>
      <c r="Y410" s="648"/>
      <c r="Z410" s="648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2">
        <v>4680115881808</v>
      </c>
      <c r="E411" s="643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8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0"/>
      <c r="R411" s="650"/>
      <c r="S411" s="650"/>
      <c r="T411" s="651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2">
        <v>4680115881822</v>
      </c>
      <c r="E412" s="643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2">
        <v>4680115880016</v>
      </c>
      <c r="E413" s="643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9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0"/>
      <c r="R413" s="650"/>
      <c r="S413" s="650"/>
      <c r="T413" s="65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69"/>
      <c r="P414" s="644" t="s">
        <v>69</v>
      </c>
      <c r="Q414" s="640"/>
      <c r="R414" s="640"/>
      <c r="S414" s="640"/>
      <c r="T414" s="640"/>
      <c r="U414" s="640"/>
      <c r="V414" s="641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69"/>
      <c r="P415" s="644" t="s">
        <v>69</v>
      </c>
      <c r="Q415" s="640"/>
      <c r="R415" s="640"/>
      <c r="S415" s="640"/>
      <c r="T415" s="640"/>
      <c r="U415" s="640"/>
      <c r="V415" s="641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53" t="s">
        <v>672</v>
      </c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8"/>
      <c r="P416" s="648"/>
      <c r="Q416" s="648"/>
      <c r="R416" s="648"/>
      <c r="S416" s="648"/>
      <c r="T416" s="648"/>
      <c r="U416" s="648"/>
      <c r="V416" s="648"/>
      <c r="W416" s="648"/>
      <c r="X416" s="648"/>
      <c r="Y416" s="648"/>
      <c r="Z416" s="648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2">
        <v>4680115888678</v>
      </c>
      <c r="E417" s="643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0"/>
      <c r="R417" s="650"/>
      <c r="S417" s="650"/>
      <c r="T417" s="651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2">
        <v>4680115888654</v>
      </c>
      <c r="E418" s="643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71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0"/>
      <c r="R418" s="650"/>
      <c r="S418" s="650"/>
      <c r="T418" s="651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2">
        <v>4680115888753</v>
      </c>
      <c r="E419" s="643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6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69"/>
      <c r="P420" s="644" t="s">
        <v>69</v>
      </c>
      <c r="Q420" s="640"/>
      <c r="R420" s="640"/>
      <c r="S420" s="640"/>
      <c r="T420" s="640"/>
      <c r="U420" s="640"/>
      <c r="V420" s="641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69"/>
      <c r="P421" s="644" t="s">
        <v>69</v>
      </c>
      <c r="Q421" s="640"/>
      <c r="R421" s="640"/>
      <c r="S421" s="640"/>
      <c r="T421" s="640"/>
      <c r="U421" s="640"/>
      <c r="V421" s="641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7" t="s">
        <v>681</v>
      </c>
      <c r="B422" s="648"/>
      <c r="C422" s="648"/>
      <c r="D422" s="648"/>
      <c r="E422" s="648"/>
      <c r="F422" s="648"/>
      <c r="G422" s="648"/>
      <c r="H422" s="648"/>
      <c r="I422" s="648"/>
      <c r="J422" s="648"/>
      <c r="K422" s="648"/>
      <c r="L422" s="648"/>
      <c r="M422" s="648"/>
      <c r="N422" s="648"/>
      <c r="O422" s="648"/>
      <c r="P422" s="648"/>
      <c r="Q422" s="648"/>
      <c r="R422" s="648"/>
      <c r="S422" s="648"/>
      <c r="T422" s="648"/>
      <c r="U422" s="648"/>
      <c r="V422" s="648"/>
      <c r="W422" s="648"/>
      <c r="X422" s="648"/>
      <c r="Y422" s="648"/>
      <c r="Z422" s="648"/>
      <c r="AA422" s="630"/>
      <c r="AB422" s="630"/>
      <c r="AC422" s="630"/>
    </row>
    <row r="423" spans="1:68" ht="14.25" hidden="1" customHeight="1" x14ac:dyDescent="0.25">
      <c r="A423" s="653" t="s">
        <v>71</v>
      </c>
      <c r="B423" s="648"/>
      <c r="C423" s="648"/>
      <c r="D423" s="648"/>
      <c r="E423" s="648"/>
      <c r="F423" s="648"/>
      <c r="G423" s="648"/>
      <c r="H423" s="648"/>
      <c r="I423" s="648"/>
      <c r="J423" s="648"/>
      <c r="K423" s="648"/>
      <c r="L423" s="648"/>
      <c r="M423" s="648"/>
      <c r="N423" s="648"/>
      <c r="O423" s="648"/>
      <c r="P423" s="648"/>
      <c r="Q423" s="648"/>
      <c r="R423" s="648"/>
      <c r="S423" s="648"/>
      <c r="T423" s="648"/>
      <c r="U423" s="648"/>
      <c r="V423" s="648"/>
      <c r="W423" s="648"/>
      <c r="X423" s="648"/>
      <c r="Y423" s="648"/>
      <c r="Z423" s="648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2">
        <v>4660663720026</v>
      </c>
      <c r="E424" s="643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6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0"/>
      <c r="R424" s="650"/>
      <c r="S424" s="650"/>
      <c r="T424" s="651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2">
        <v>4680115889422</v>
      </c>
      <c r="E425" s="643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5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0"/>
      <c r="R425" s="650"/>
      <c r="S425" s="650"/>
      <c r="T425" s="651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2">
        <v>4680115889972</v>
      </c>
      <c r="E426" s="643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936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0"/>
      <c r="R426" s="650"/>
      <c r="S426" s="650"/>
      <c r="T426" s="651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6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69"/>
      <c r="P427" s="644" t="s">
        <v>69</v>
      </c>
      <c r="Q427" s="640"/>
      <c r="R427" s="640"/>
      <c r="S427" s="640"/>
      <c r="T427" s="640"/>
      <c r="U427" s="640"/>
      <c r="V427" s="641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69"/>
      <c r="P428" s="644" t="s">
        <v>69</v>
      </c>
      <c r="Q428" s="640"/>
      <c r="R428" s="640"/>
      <c r="S428" s="640"/>
      <c r="T428" s="640"/>
      <c r="U428" s="640"/>
      <c r="V428" s="641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7" t="s">
        <v>690</v>
      </c>
      <c r="B429" s="648"/>
      <c r="C429" s="648"/>
      <c r="D429" s="648"/>
      <c r="E429" s="648"/>
      <c r="F429" s="648"/>
      <c r="G429" s="648"/>
      <c r="H429" s="648"/>
      <c r="I429" s="648"/>
      <c r="J429" s="648"/>
      <c r="K429" s="648"/>
      <c r="L429" s="648"/>
      <c r="M429" s="648"/>
      <c r="N429" s="648"/>
      <c r="O429" s="648"/>
      <c r="P429" s="648"/>
      <c r="Q429" s="648"/>
      <c r="R429" s="648"/>
      <c r="S429" s="648"/>
      <c r="T429" s="648"/>
      <c r="U429" s="648"/>
      <c r="V429" s="648"/>
      <c r="W429" s="648"/>
      <c r="X429" s="648"/>
      <c r="Y429" s="648"/>
      <c r="Z429" s="648"/>
      <c r="AA429" s="630"/>
      <c r="AB429" s="630"/>
      <c r="AC429" s="630"/>
    </row>
    <row r="430" spans="1:68" ht="14.25" hidden="1" customHeight="1" x14ac:dyDescent="0.25">
      <c r="A430" s="653" t="s">
        <v>71</v>
      </c>
      <c r="B430" s="648"/>
      <c r="C430" s="648"/>
      <c r="D430" s="648"/>
      <c r="E430" s="648"/>
      <c r="F430" s="648"/>
      <c r="G430" s="648"/>
      <c r="H430" s="648"/>
      <c r="I430" s="648"/>
      <c r="J430" s="648"/>
      <c r="K430" s="648"/>
      <c r="L430" s="648"/>
      <c r="M430" s="648"/>
      <c r="N430" s="648"/>
      <c r="O430" s="648"/>
      <c r="P430" s="648"/>
      <c r="Q430" s="648"/>
      <c r="R430" s="648"/>
      <c r="S430" s="648"/>
      <c r="T430" s="648"/>
      <c r="U430" s="648"/>
      <c r="V430" s="648"/>
      <c r="W430" s="648"/>
      <c r="X430" s="648"/>
      <c r="Y430" s="648"/>
      <c r="Z430" s="648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2">
        <v>4607091387919</v>
      </c>
      <c r="E431" s="643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0"/>
      <c r="R431" s="650"/>
      <c r="S431" s="650"/>
      <c r="T431" s="651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2">
        <v>4680115883604</v>
      </c>
      <c r="E432" s="643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9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0"/>
      <c r="R432" s="650"/>
      <c r="S432" s="650"/>
      <c r="T432" s="651"/>
      <c r="U432" s="34"/>
      <c r="V432" s="34"/>
      <c r="W432" s="35" t="s">
        <v>67</v>
      </c>
      <c r="X432" s="635">
        <v>9</v>
      </c>
      <c r="Y432" s="636">
        <f>IFERROR(IF(X432="",0,CEILING((X432/$H432),1)*$H432),"")</f>
        <v>10.5</v>
      </c>
      <c r="Z432" s="36">
        <f>IFERROR(IF(Y432=0,"",ROUNDUP(Y432/H432,0)*0.00651),"")</f>
        <v>3.2550000000000003E-2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10.08</v>
      </c>
      <c r="BN432" s="64">
        <f>IFERROR(Y432*I432/H432,"0")</f>
        <v>11.759999999999998</v>
      </c>
      <c r="BO432" s="64">
        <f>IFERROR(1/J432*(X432/H432),"0")</f>
        <v>2.3547880690737835E-2</v>
      </c>
      <c r="BP432" s="64">
        <f>IFERROR(1/J432*(Y432/H432),"0")</f>
        <v>2.7472527472527476E-2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42">
        <v>4680115883567</v>
      </c>
      <c r="E433" s="643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0"/>
      <c r="R433" s="650"/>
      <c r="S433" s="650"/>
      <c r="T433" s="651"/>
      <c r="U433" s="34"/>
      <c r="V433" s="34"/>
      <c r="W433" s="35" t="s">
        <v>67</v>
      </c>
      <c r="X433" s="635">
        <v>14</v>
      </c>
      <c r="Y433" s="636">
        <f>IFERROR(IF(X433="",0,CEILING((X433/$H433),1)*$H433),"")</f>
        <v>14.700000000000001</v>
      </c>
      <c r="Z433" s="36">
        <f>IFERROR(IF(Y433=0,"",ROUNDUP(Y433/H433,0)*0.00651),"")</f>
        <v>4.5569999999999999E-2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15.599999999999998</v>
      </c>
      <c r="BN433" s="64">
        <f>IFERROR(Y433*I433/H433,"0")</f>
        <v>16.380000000000003</v>
      </c>
      <c r="BO433" s="64">
        <f>IFERROR(1/J433*(X433/H433),"0")</f>
        <v>3.6630036630036632E-2</v>
      </c>
      <c r="BP433" s="64">
        <f>IFERROR(1/J433*(Y433/H433),"0")</f>
        <v>3.8461538461538464E-2</v>
      </c>
    </row>
    <row r="434" spans="1:68" x14ac:dyDescent="0.2">
      <c r="A434" s="66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69"/>
      <c r="P434" s="644" t="s">
        <v>69</v>
      </c>
      <c r="Q434" s="640"/>
      <c r="R434" s="640"/>
      <c r="S434" s="640"/>
      <c r="T434" s="640"/>
      <c r="U434" s="640"/>
      <c r="V434" s="641"/>
      <c r="W434" s="37" t="s">
        <v>70</v>
      </c>
      <c r="X434" s="637">
        <f>IFERROR(X431/H431,"0")+IFERROR(X432/H432,"0")+IFERROR(X433/H433,"0")</f>
        <v>10.952380952380953</v>
      </c>
      <c r="Y434" s="637">
        <f>IFERROR(Y431/H431,"0")+IFERROR(Y432/H432,"0")+IFERROR(Y433/H433,"0")</f>
        <v>12</v>
      </c>
      <c r="Z434" s="637">
        <f>IFERROR(IF(Z431="",0,Z431),"0")+IFERROR(IF(Z432="",0,Z432),"0")+IFERROR(IF(Z433="",0,Z433),"0")</f>
        <v>7.8119999999999995E-2</v>
      </c>
      <c r="AA434" s="638"/>
      <c r="AB434" s="638"/>
      <c r="AC434" s="638"/>
    </row>
    <row r="435" spans="1:68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69"/>
      <c r="P435" s="644" t="s">
        <v>69</v>
      </c>
      <c r="Q435" s="640"/>
      <c r="R435" s="640"/>
      <c r="S435" s="640"/>
      <c r="T435" s="640"/>
      <c r="U435" s="640"/>
      <c r="V435" s="641"/>
      <c r="W435" s="37" t="s">
        <v>67</v>
      </c>
      <c r="X435" s="637">
        <f>IFERROR(SUM(X431:X433),"0")</f>
        <v>23</v>
      </c>
      <c r="Y435" s="637">
        <f>IFERROR(SUM(Y431:Y433),"0")</f>
        <v>25.200000000000003</v>
      </c>
      <c r="Z435" s="37"/>
      <c r="AA435" s="638"/>
      <c r="AB435" s="638"/>
      <c r="AC435" s="638"/>
    </row>
    <row r="436" spans="1:68" ht="27.75" hidden="1" customHeight="1" x14ac:dyDescent="0.2">
      <c r="A436" s="727" t="s">
        <v>700</v>
      </c>
      <c r="B436" s="728"/>
      <c r="C436" s="728"/>
      <c r="D436" s="728"/>
      <c r="E436" s="728"/>
      <c r="F436" s="728"/>
      <c r="G436" s="728"/>
      <c r="H436" s="728"/>
      <c r="I436" s="728"/>
      <c r="J436" s="728"/>
      <c r="K436" s="728"/>
      <c r="L436" s="728"/>
      <c r="M436" s="728"/>
      <c r="N436" s="728"/>
      <c r="O436" s="728"/>
      <c r="P436" s="728"/>
      <c r="Q436" s="728"/>
      <c r="R436" s="728"/>
      <c r="S436" s="728"/>
      <c r="T436" s="728"/>
      <c r="U436" s="728"/>
      <c r="V436" s="728"/>
      <c r="W436" s="728"/>
      <c r="X436" s="728"/>
      <c r="Y436" s="728"/>
      <c r="Z436" s="728"/>
      <c r="AA436" s="48"/>
      <c r="AB436" s="48"/>
      <c r="AC436" s="48"/>
    </row>
    <row r="437" spans="1:68" ht="16.5" hidden="1" customHeight="1" x14ac:dyDescent="0.25">
      <c r="A437" s="647" t="s">
        <v>701</v>
      </c>
      <c r="B437" s="648"/>
      <c r="C437" s="648"/>
      <c r="D437" s="648"/>
      <c r="E437" s="648"/>
      <c r="F437" s="648"/>
      <c r="G437" s="648"/>
      <c r="H437" s="648"/>
      <c r="I437" s="648"/>
      <c r="J437" s="648"/>
      <c r="K437" s="648"/>
      <c r="L437" s="648"/>
      <c r="M437" s="648"/>
      <c r="N437" s="648"/>
      <c r="O437" s="648"/>
      <c r="P437" s="648"/>
      <c r="Q437" s="648"/>
      <c r="R437" s="648"/>
      <c r="S437" s="648"/>
      <c r="T437" s="648"/>
      <c r="U437" s="648"/>
      <c r="V437" s="648"/>
      <c r="W437" s="648"/>
      <c r="X437" s="648"/>
      <c r="Y437" s="648"/>
      <c r="Z437" s="648"/>
      <c r="AA437" s="630"/>
      <c r="AB437" s="630"/>
      <c r="AC437" s="630"/>
    </row>
    <row r="438" spans="1:68" ht="14.25" hidden="1" customHeight="1" x14ac:dyDescent="0.25">
      <c r="A438" s="653" t="s">
        <v>119</v>
      </c>
      <c r="B438" s="648"/>
      <c r="C438" s="648"/>
      <c r="D438" s="648"/>
      <c r="E438" s="648"/>
      <c r="F438" s="648"/>
      <c r="G438" s="648"/>
      <c r="H438" s="648"/>
      <c r="I438" s="648"/>
      <c r="J438" s="648"/>
      <c r="K438" s="648"/>
      <c r="L438" s="648"/>
      <c r="M438" s="648"/>
      <c r="N438" s="648"/>
      <c r="O438" s="648"/>
      <c r="P438" s="648"/>
      <c r="Q438" s="648"/>
      <c r="R438" s="648"/>
      <c r="S438" s="648"/>
      <c r="T438" s="648"/>
      <c r="U438" s="648"/>
      <c r="V438" s="648"/>
      <c r="W438" s="648"/>
      <c r="X438" s="648"/>
      <c r="Y438" s="648"/>
      <c r="Z438" s="648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2">
        <v>4680115888401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0"/>
      <c r="R439" s="650"/>
      <c r="S439" s="650"/>
      <c r="T439" s="651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42">
        <v>4680115884847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0"/>
      <c r="R440" s="650"/>
      <c r="S440" s="650"/>
      <c r="T440" s="651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42">
        <v>4680115884854</v>
      </c>
      <c r="E441" s="643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0"/>
      <c r="R441" s="650"/>
      <c r="S441" s="650"/>
      <c r="T441" s="651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2">
        <v>4680115884830</v>
      </c>
      <c r="E442" s="643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8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0"/>
      <c r="R442" s="650"/>
      <c r="S442" s="650"/>
      <c r="T442" s="651"/>
      <c r="U442" s="34"/>
      <c r="V442" s="34"/>
      <c r="W442" s="35" t="s">
        <v>67</v>
      </c>
      <c r="X442" s="635">
        <v>940</v>
      </c>
      <c r="Y442" s="636">
        <f t="shared" si="61"/>
        <v>945</v>
      </c>
      <c r="Z442" s="36">
        <f>IFERROR(IF(Y442=0,"",ROUNDUP(Y442/H442,0)*0.02175),"")</f>
        <v>1.37025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969.45333333333338</v>
      </c>
      <c r="BN442" s="64">
        <f t="shared" si="63"/>
        <v>974.61000000000013</v>
      </c>
      <c r="BO442" s="64">
        <f t="shared" si="64"/>
        <v>1.3055555555555554</v>
      </c>
      <c r="BP442" s="64">
        <f t="shared" si="65"/>
        <v>1.3125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42">
        <v>4680115889231</v>
      </c>
      <c r="E443" s="643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97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5">
        <v>13</v>
      </c>
      <c r="Y443" s="636">
        <f t="shared" si="61"/>
        <v>15</v>
      </c>
      <c r="Z443" s="36">
        <f>IFERROR(IF(Y443=0,"",ROUNDUP(Y443/H443,0)*0.02175),"")</f>
        <v>2.1749999999999999E-2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13.407333333333334</v>
      </c>
      <c r="BN443" s="64">
        <f t="shared" si="63"/>
        <v>15.47</v>
      </c>
      <c r="BO443" s="64">
        <f t="shared" si="64"/>
        <v>1.8055555555555554E-2</v>
      </c>
      <c r="BP443" s="64">
        <f t="shared" si="65"/>
        <v>2.0833333333333332E-2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2">
        <v>4680115882638</v>
      </c>
      <c r="E444" s="643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2">
        <v>4680115884922</v>
      </c>
      <c r="E445" s="643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9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2">
        <v>4680115884861</v>
      </c>
      <c r="E446" s="643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0"/>
      <c r="R446" s="650"/>
      <c r="S446" s="650"/>
      <c r="T446" s="651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6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69"/>
      <c r="P447" s="644" t="s">
        <v>69</v>
      </c>
      <c r="Q447" s="640"/>
      <c r="R447" s="640"/>
      <c r="S447" s="640"/>
      <c r="T447" s="640"/>
      <c r="U447" s="640"/>
      <c r="V447" s="641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63.533333333333331</v>
      </c>
      <c r="Y447" s="637">
        <f>IFERROR(Y439/H439,"0")+IFERROR(Y440/H440,"0")+IFERROR(Y441/H441,"0")+IFERROR(Y442/H442,"0")+IFERROR(Y443/H443,"0")+IFERROR(Y444/H444,"0")+IFERROR(Y445/H445,"0")+IFERROR(Y446/H446,"0")</f>
        <v>64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1.3919999999999999</v>
      </c>
      <c r="AA447" s="638"/>
      <c r="AB447" s="638"/>
      <c r="AC447" s="638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69"/>
      <c r="P448" s="644" t="s">
        <v>69</v>
      </c>
      <c r="Q448" s="640"/>
      <c r="R448" s="640"/>
      <c r="S448" s="640"/>
      <c r="T448" s="640"/>
      <c r="U448" s="640"/>
      <c r="V448" s="641"/>
      <c r="W448" s="37" t="s">
        <v>67</v>
      </c>
      <c r="X448" s="637">
        <f>IFERROR(SUM(X439:X446),"0")</f>
        <v>953</v>
      </c>
      <c r="Y448" s="637">
        <f>IFERROR(SUM(Y439:Y446),"0")</f>
        <v>960</v>
      </c>
      <c r="Z448" s="37"/>
      <c r="AA448" s="638"/>
      <c r="AB448" s="638"/>
      <c r="AC448" s="638"/>
    </row>
    <row r="449" spans="1:68" ht="14.25" hidden="1" customHeight="1" x14ac:dyDescent="0.25">
      <c r="A449" s="653" t="s">
        <v>155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2">
        <v>4607091383980</v>
      </c>
      <c r="E450" s="643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0"/>
      <c r="R450" s="650"/>
      <c r="S450" s="650"/>
      <c r="T450" s="651"/>
      <c r="U450" s="34"/>
      <c r="V450" s="34"/>
      <c r="W450" s="35" t="s">
        <v>67</v>
      </c>
      <c r="X450" s="635">
        <v>945</v>
      </c>
      <c r="Y450" s="636">
        <f>IFERROR(IF(X450="",0,CEILING((X450/$H450),1)*$H450),"")</f>
        <v>945</v>
      </c>
      <c r="Z450" s="36">
        <f>IFERROR(IF(Y450=0,"",ROUNDUP(Y450/H450,0)*0.02175),"")</f>
        <v>1.37025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974.61000000000013</v>
      </c>
      <c r="BN450" s="64">
        <f>IFERROR(Y450*I450/H450,"0")</f>
        <v>974.61000000000013</v>
      </c>
      <c r="BO450" s="64">
        <f>IFERROR(1/J450*(X450/H450),"0")</f>
        <v>1.3125</v>
      </c>
      <c r="BP450" s="64">
        <f>IFERROR(1/J450*(Y450/H450),"0")</f>
        <v>1.3125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2">
        <v>4680115888425</v>
      </c>
      <c r="E451" s="643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0"/>
      <c r="R451" s="650"/>
      <c r="S451" s="650"/>
      <c r="T451" s="651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2">
        <v>4607091384178</v>
      </c>
      <c r="E452" s="643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99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0"/>
      <c r="R452" s="650"/>
      <c r="S452" s="650"/>
      <c r="T452" s="651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6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69"/>
      <c r="P453" s="644" t="s">
        <v>69</v>
      </c>
      <c r="Q453" s="640"/>
      <c r="R453" s="640"/>
      <c r="S453" s="640"/>
      <c r="T453" s="640"/>
      <c r="U453" s="640"/>
      <c r="V453" s="641"/>
      <c r="W453" s="37" t="s">
        <v>70</v>
      </c>
      <c r="X453" s="637">
        <f>IFERROR(X450/H450,"0")+IFERROR(X451/H451,"0")+IFERROR(X452/H452,"0")</f>
        <v>63</v>
      </c>
      <c r="Y453" s="637">
        <f>IFERROR(Y450/H450,"0")+IFERROR(Y451/H451,"0")+IFERROR(Y452/H452,"0")</f>
        <v>63</v>
      </c>
      <c r="Z453" s="637">
        <f>IFERROR(IF(Z450="",0,Z450),"0")+IFERROR(IF(Z451="",0,Z451),"0")+IFERROR(IF(Z452="",0,Z452),"0")</f>
        <v>1.37025</v>
      </c>
      <c r="AA453" s="638"/>
      <c r="AB453" s="638"/>
      <c r="AC453" s="638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69"/>
      <c r="P454" s="644" t="s">
        <v>69</v>
      </c>
      <c r="Q454" s="640"/>
      <c r="R454" s="640"/>
      <c r="S454" s="640"/>
      <c r="T454" s="640"/>
      <c r="U454" s="640"/>
      <c r="V454" s="641"/>
      <c r="W454" s="37" t="s">
        <v>67</v>
      </c>
      <c r="X454" s="637">
        <f>IFERROR(SUM(X450:X452),"0")</f>
        <v>945</v>
      </c>
      <c r="Y454" s="637">
        <f>IFERROR(SUM(Y450:Y452),"0")</f>
        <v>945</v>
      </c>
      <c r="Z454" s="37"/>
      <c r="AA454" s="638"/>
      <c r="AB454" s="638"/>
      <c r="AC454" s="638"/>
    </row>
    <row r="455" spans="1:68" ht="14.25" hidden="1" customHeight="1" x14ac:dyDescent="0.25">
      <c r="A455" s="653" t="s">
        <v>71</v>
      </c>
      <c r="B455" s="648"/>
      <c r="C455" s="648"/>
      <c r="D455" s="648"/>
      <c r="E455" s="648"/>
      <c r="F455" s="648"/>
      <c r="G455" s="648"/>
      <c r="H455" s="648"/>
      <c r="I455" s="648"/>
      <c r="J455" s="648"/>
      <c r="K455" s="648"/>
      <c r="L455" s="648"/>
      <c r="M455" s="648"/>
      <c r="N455" s="648"/>
      <c r="O455" s="648"/>
      <c r="P455" s="648"/>
      <c r="Q455" s="648"/>
      <c r="R455" s="648"/>
      <c r="S455" s="648"/>
      <c r="T455" s="648"/>
      <c r="U455" s="648"/>
      <c r="V455" s="648"/>
      <c r="W455" s="648"/>
      <c r="X455" s="648"/>
      <c r="Y455" s="648"/>
      <c r="Z455" s="648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2">
        <v>4607091383928</v>
      </c>
      <c r="E456" s="643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93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2">
        <v>4607091384260</v>
      </c>
      <c r="E457" s="643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9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0"/>
      <c r="R457" s="650"/>
      <c r="S457" s="650"/>
      <c r="T457" s="651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2">
        <v>4680115889538</v>
      </c>
      <c r="E458" s="643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0"/>
      <c r="R458" s="650"/>
      <c r="S458" s="650"/>
      <c r="T458" s="651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6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69"/>
      <c r="P459" s="644" t="s">
        <v>69</v>
      </c>
      <c r="Q459" s="640"/>
      <c r="R459" s="640"/>
      <c r="S459" s="640"/>
      <c r="T459" s="640"/>
      <c r="U459" s="640"/>
      <c r="V459" s="641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69"/>
      <c r="P460" s="644" t="s">
        <v>69</v>
      </c>
      <c r="Q460" s="640"/>
      <c r="R460" s="640"/>
      <c r="S460" s="640"/>
      <c r="T460" s="640"/>
      <c r="U460" s="640"/>
      <c r="V460" s="641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53" t="s">
        <v>173</v>
      </c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8"/>
      <c r="P461" s="648"/>
      <c r="Q461" s="648"/>
      <c r="R461" s="648"/>
      <c r="S461" s="648"/>
      <c r="T461" s="648"/>
      <c r="U461" s="648"/>
      <c r="V461" s="648"/>
      <c r="W461" s="648"/>
      <c r="X461" s="648"/>
      <c r="Y461" s="648"/>
      <c r="Z461" s="648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2">
        <v>4680115889545</v>
      </c>
      <c r="E462" s="643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7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0"/>
      <c r="R462" s="650"/>
      <c r="S462" s="650"/>
      <c r="T462" s="651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2">
        <v>4607091384673</v>
      </c>
      <c r="E463" s="643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7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0"/>
      <c r="R463" s="650"/>
      <c r="S463" s="650"/>
      <c r="T463" s="651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69"/>
      <c r="P464" s="644" t="s">
        <v>69</v>
      </c>
      <c r="Q464" s="640"/>
      <c r="R464" s="640"/>
      <c r="S464" s="640"/>
      <c r="T464" s="640"/>
      <c r="U464" s="640"/>
      <c r="V464" s="641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69"/>
      <c r="P465" s="644" t="s">
        <v>69</v>
      </c>
      <c r="Q465" s="640"/>
      <c r="R465" s="640"/>
      <c r="S465" s="640"/>
      <c r="T465" s="640"/>
      <c r="U465" s="640"/>
      <c r="V465" s="641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7" t="s">
        <v>750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30"/>
      <c r="AB466" s="630"/>
      <c r="AC466" s="630"/>
    </row>
    <row r="467" spans="1:68" ht="14.25" hidden="1" customHeight="1" x14ac:dyDescent="0.25">
      <c r="A467" s="653" t="s">
        <v>119</v>
      </c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8"/>
      <c r="P467" s="648"/>
      <c r="Q467" s="648"/>
      <c r="R467" s="648"/>
      <c r="S467" s="648"/>
      <c r="T467" s="648"/>
      <c r="U467" s="648"/>
      <c r="V467" s="648"/>
      <c r="W467" s="648"/>
      <c r="X467" s="648"/>
      <c r="Y467" s="648"/>
      <c r="Z467" s="648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2">
        <v>4680115884885</v>
      </c>
      <c r="E468" s="643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10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0"/>
      <c r="R468" s="650"/>
      <c r="S468" s="650"/>
      <c r="T468" s="651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2">
        <v>4680115884908</v>
      </c>
      <c r="E469" s="643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0"/>
      <c r="R469" s="650"/>
      <c r="S469" s="650"/>
      <c r="T469" s="651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6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69"/>
      <c r="P470" s="644" t="s">
        <v>69</v>
      </c>
      <c r="Q470" s="640"/>
      <c r="R470" s="640"/>
      <c r="S470" s="640"/>
      <c r="T470" s="640"/>
      <c r="U470" s="640"/>
      <c r="V470" s="641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69"/>
      <c r="P471" s="644" t="s">
        <v>69</v>
      </c>
      <c r="Q471" s="640"/>
      <c r="R471" s="640"/>
      <c r="S471" s="640"/>
      <c r="T471" s="640"/>
      <c r="U471" s="640"/>
      <c r="V471" s="641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53" t="s">
        <v>62</v>
      </c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8"/>
      <c r="P472" s="648"/>
      <c r="Q472" s="648"/>
      <c r="R472" s="648"/>
      <c r="S472" s="648"/>
      <c r="T472" s="648"/>
      <c r="U472" s="648"/>
      <c r="V472" s="648"/>
      <c r="W472" s="648"/>
      <c r="X472" s="648"/>
      <c r="Y472" s="648"/>
      <c r="Z472" s="648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2">
        <v>4607091384802</v>
      </c>
      <c r="E473" s="643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94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0"/>
      <c r="R473" s="650"/>
      <c r="S473" s="650"/>
      <c r="T473" s="651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6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69"/>
      <c r="P474" s="644" t="s">
        <v>69</v>
      </c>
      <c r="Q474" s="640"/>
      <c r="R474" s="640"/>
      <c r="S474" s="640"/>
      <c r="T474" s="640"/>
      <c r="U474" s="640"/>
      <c r="V474" s="641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69"/>
      <c r="P475" s="644" t="s">
        <v>69</v>
      </c>
      <c r="Q475" s="640"/>
      <c r="R475" s="640"/>
      <c r="S475" s="640"/>
      <c r="T475" s="640"/>
      <c r="U475" s="640"/>
      <c r="V475" s="641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53" t="s">
        <v>71</v>
      </c>
      <c r="B476" s="648"/>
      <c r="C476" s="648"/>
      <c r="D476" s="648"/>
      <c r="E476" s="648"/>
      <c r="F476" s="648"/>
      <c r="G476" s="648"/>
      <c r="H476" s="648"/>
      <c r="I476" s="648"/>
      <c r="J476" s="648"/>
      <c r="K476" s="648"/>
      <c r="L476" s="648"/>
      <c r="M476" s="648"/>
      <c r="N476" s="648"/>
      <c r="O476" s="648"/>
      <c r="P476" s="648"/>
      <c r="Q476" s="648"/>
      <c r="R476" s="648"/>
      <c r="S476" s="648"/>
      <c r="T476" s="648"/>
      <c r="U476" s="648"/>
      <c r="V476" s="648"/>
      <c r="W476" s="648"/>
      <c r="X476" s="648"/>
      <c r="Y476" s="648"/>
      <c r="Z476" s="648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2">
        <v>4607091384246</v>
      </c>
      <c r="E477" s="643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0"/>
      <c r="R477" s="650"/>
      <c r="S477" s="650"/>
      <c r="T477" s="651"/>
      <c r="U477" s="34"/>
      <c r="V477" s="34"/>
      <c r="W477" s="35" t="s">
        <v>67</v>
      </c>
      <c r="X477" s="635">
        <v>81</v>
      </c>
      <c r="Y477" s="636">
        <f>IFERROR(IF(X477="",0,CEILING((X477/$H477),1)*$H477),"")</f>
        <v>81</v>
      </c>
      <c r="Z477" s="36">
        <f>IFERROR(IF(Y477=0,"",ROUNDUP(Y477/H477,0)*0.01898),"")</f>
        <v>0.17082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85.445999999999998</v>
      </c>
      <c r="BN477" s="64">
        <f>IFERROR(Y477*I477/H477,"0")</f>
        <v>85.445999999999998</v>
      </c>
      <c r="BO477" s="64">
        <f>IFERROR(1/J477*(X477/H477),"0")</f>
        <v>0.140625</v>
      </c>
      <c r="BP477" s="64">
        <f>IFERROR(1/J477*(Y477/H477),"0")</f>
        <v>0.140625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42">
        <v>4607091384253</v>
      </c>
      <c r="E478" s="643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0"/>
      <c r="R478" s="650"/>
      <c r="S478" s="650"/>
      <c r="T478" s="651"/>
      <c r="U478" s="34"/>
      <c r="V478" s="34"/>
      <c r="W478" s="35" t="s">
        <v>67</v>
      </c>
      <c r="X478" s="635">
        <v>22</v>
      </c>
      <c r="Y478" s="636">
        <f>IFERROR(IF(X478="",0,CEILING((X478/$H478),1)*$H478),"")</f>
        <v>24</v>
      </c>
      <c r="Z478" s="36">
        <f>IFERROR(IF(Y478=0,"",ROUNDUP(Y478/H478,0)*0.00651),"")</f>
        <v>6.5100000000000005E-2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24.42</v>
      </c>
      <c r="BN478" s="64">
        <f>IFERROR(Y478*I478/H478,"0")</f>
        <v>26.640000000000004</v>
      </c>
      <c r="BO478" s="64">
        <f>IFERROR(1/J478*(X478/H478),"0")</f>
        <v>5.0366300366300375E-2</v>
      </c>
      <c r="BP478" s="64">
        <f>IFERROR(1/J478*(Y478/H478),"0")</f>
        <v>5.4945054945054951E-2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2">
        <v>4607091384253</v>
      </c>
      <c r="E479" s="643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0"/>
      <c r="R479" s="650"/>
      <c r="S479" s="650"/>
      <c r="T479" s="651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6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69"/>
      <c r="P480" s="644" t="s">
        <v>69</v>
      </c>
      <c r="Q480" s="640"/>
      <c r="R480" s="640"/>
      <c r="S480" s="640"/>
      <c r="T480" s="640"/>
      <c r="U480" s="640"/>
      <c r="V480" s="641"/>
      <c r="W480" s="37" t="s">
        <v>70</v>
      </c>
      <c r="X480" s="637">
        <f>IFERROR(X477/H477,"0")+IFERROR(X478/H478,"0")+IFERROR(X479/H479,"0")</f>
        <v>18.166666666666668</v>
      </c>
      <c r="Y480" s="637">
        <f>IFERROR(Y477/H477,"0")+IFERROR(Y478/H478,"0")+IFERROR(Y479/H479,"0")</f>
        <v>19</v>
      </c>
      <c r="Z480" s="637">
        <f>IFERROR(IF(Z477="",0,Z477),"0")+IFERROR(IF(Z478="",0,Z478),"0")+IFERROR(IF(Z479="",0,Z479),"0")</f>
        <v>0.23592000000000002</v>
      </c>
      <c r="AA480" s="638"/>
      <c r="AB480" s="638"/>
      <c r="AC480" s="638"/>
    </row>
    <row r="481" spans="1:68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69"/>
      <c r="P481" s="644" t="s">
        <v>69</v>
      </c>
      <c r="Q481" s="640"/>
      <c r="R481" s="640"/>
      <c r="S481" s="640"/>
      <c r="T481" s="640"/>
      <c r="U481" s="640"/>
      <c r="V481" s="641"/>
      <c r="W481" s="37" t="s">
        <v>67</v>
      </c>
      <c r="X481" s="637">
        <f>IFERROR(SUM(X477:X479),"0")</f>
        <v>103</v>
      </c>
      <c r="Y481" s="637">
        <f>IFERROR(SUM(Y477:Y479),"0")</f>
        <v>105</v>
      </c>
      <c r="Z481" s="37"/>
      <c r="AA481" s="638"/>
      <c r="AB481" s="638"/>
      <c r="AC481" s="638"/>
    </row>
    <row r="482" spans="1:68" ht="27.75" hidden="1" customHeight="1" x14ac:dyDescent="0.2">
      <c r="A482" s="727" t="s">
        <v>766</v>
      </c>
      <c r="B482" s="728"/>
      <c r="C482" s="728"/>
      <c r="D482" s="728"/>
      <c r="E482" s="728"/>
      <c r="F482" s="728"/>
      <c r="G482" s="728"/>
      <c r="H482" s="728"/>
      <c r="I482" s="728"/>
      <c r="J482" s="728"/>
      <c r="K482" s="728"/>
      <c r="L482" s="728"/>
      <c r="M482" s="728"/>
      <c r="N482" s="728"/>
      <c r="O482" s="728"/>
      <c r="P482" s="728"/>
      <c r="Q482" s="728"/>
      <c r="R482" s="728"/>
      <c r="S482" s="728"/>
      <c r="T482" s="728"/>
      <c r="U482" s="728"/>
      <c r="V482" s="728"/>
      <c r="W482" s="728"/>
      <c r="X482" s="728"/>
      <c r="Y482" s="728"/>
      <c r="Z482" s="728"/>
      <c r="AA482" s="48"/>
      <c r="AB482" s="48"/>
      <c r="AC482" s="48"/>
    </row>
    <row r="483" spans="1:68" ht="16.5" hidden="1" customHeight="1" x14ac:dyDescent="0.25">
      <c r="A483" s="647" t="s">
        <v>767</v>
      </c>
      <c r="B483" s="648"/>
      <c r="C483" s="648"/>
      <c r="D483" s="648"/>
      <c r="E483" s="648"/>
      <c r="F483" s="648"/>
      <c r="G483" s="648"/>
      <c r="H483" s="648"/>
      <c r="I483" s="648"/>
      <c r="J483" s="648"/>
      <c r="K483" s="648"/>
      <c r="L483" s="648"/>
      <c r="M483" s="648"/>
      <c r="N483" s="648"/>
      <c r="O483" s="648"/>
      <c r="P483" s="648"/>
      <c r="Q483" s="648"/>
      <c r="R483" s="648"/>
      <c r="S483" s="648"/>
      <c r="T483" s="648"/>
      <c r="U483" s="648"/>
      <c r="V483" s="648"/>
      <c r="W483" s="648"/>
      <c r="X483" s="648"/>
      <c r="Y483" s="648"/>
      <c r="Z483" s="648"/>
      <c r="AA483" s="630"/>
      <c r="AB483" s="630"/>
      <c r="AC483" s="630"/>
    </row>
    <row r="484" spans="1:68" ht="14.25" hidden="1" customHeight="1" x14ac:dyDescent="0.25">
      <c r="A484" s="653" t="s">
        <v>62</v>
      </c>
      <c r="B484" s="648"/>
      <c r="C484" s="648"/>
      <c r="D484" s="648"/>
      <c r="E484" s="648"/>
      <c r="F484" s="648"/>
      <c r="G484" s="648"/>
      <c r="H484" s="648"/>
      <c r="I484" s="648"/>
      <c r="J484" s="648"/>
      <c r="K484" s="648"/>
      <c r="L484" s="648"/>
      <c r="M484" s="648"/>
      <c r="N484" s="648"/>
      <c r="O484" s="648"/>
      <c r="P484" s="648"/>
      <c r="Q484" s="648"/>
      <c r="R484" s="648"/>
      <c r="S484" s="648"/>
      <c r="T484" s="648"/>
      <c r="U484" s="648"/>
      <c r="V484" s="648"/>
      <c r="W484" s="648"/>
      <c r="X484" s="648"/>
      <c r="Y484" s="648"/>
      <c r="Z484" s="648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2">
        <v>4680115886100</v>
      </c>
      <c r="E485" s="643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0"/>
      <c r="R485" s="650"/>
      <c r="S485" s="650"/>
      <c r="T485" s="651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2">
        <v>4680115886124</v>
      </c>
      <c r="E486" s="643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7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0"/>
      <c r="R486" s="650"/>
      <c r="S486" s="650"/>
      <c r="T486" s="651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2">
        <v>4607091384338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7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0"/>
      <c r="R487" s="650"/>
      <c r="S487" s="650"/>
      <c r="T487" s="651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2">
        <v>4680115883161</v>
      </c>
      <c r="E488" s="643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0"/>
      <c r="R488" s="650"/>
      <c r="S488" s="650"/>
      <c r="T488" s="651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2">
        <v>4607091389531</v>
      </c>
      <c r="E489" s="643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0"/>
      <c r="R489" s="650"/>
      <c r="S489" s="650"/>
      <c r="T489" s="651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2">
        <v>4607091384345</v>
      </c>
      <c r="E490" s="643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7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0"/>
      <c r="R490" s="650"/>
      <c r="S490" s="650"/>
      <c r="T490" s="651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6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69"/>
      <c r="P491" s="644" t="s">
        <v>69</v>
      </c>
      <c r="Q491" s="640"/>
      <c r="R491" s="640"/>
      <c r="S491" s="640"/>
      <c r="T491" s="640"/>
      <c r="U491" s="640"/>
      <c r="V491" s="641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69"/>
      <c r="P492" s="644" t="s">
        <v>69</v>
      </c>
      <c r="Q492" s="640"/>
      <c r="R492" s="640"/>
      <c r="S492" s="640"/>
      <c r="T492" s="640"/>
      <c r="U492" s="640"/>
      <c r="V492" s="641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53" t="s">
        <v>71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2">
        <v>4607091384352</v>
      </c>
      <c r="E494" s="643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0"/>
      <c r="R494" s="650"/>
      <c r="S494" s="650"/>
      <c r="T494" s="651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69"/>
      <c r="P495" s="644" t="s">
        <v>69</v>
      </c>
      <c r="Q495" s="640"/>
      <c r="R495" s="640"/>
      <c r="S495" s="640"/>
      <c r="T495" s="640"/>
      <c r="U495" s="640"/>
      <c r="V495" s="641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69"/>
      <c r="P496" s="644" t="s">
        <v>69</v>
      </c>
      <c r="Q496" s="640"/>
      <c r="R496" s="640"/>
      <c r="S496" s="640"/>
      <c r="T496" s="640"/>
      <c r="U496" s="640"/>
      <c r="V496" s="641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7" t="s">
        <v>787</v>
      </c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8"/>
      <c r="P497" s="648"/>
      <c r="Q497" s="648"/>
      <c r="R497" s="648"/>
      <c r="S497" s="648"/>
      <c r="T497" s="648"/>
      <c r="U497" s="648"/>
      <c r="V497" s="648"/>
      <c r="W497" s="648"/>
      <c r="X497" s="648"/>
      <c r="Y497" s="648"/>
      <c r="Z497" s="648"/>
      <c r="AA497" s="630"/>
      <c r="AB497" s="630"/>
      <c r="AC497" s="630"/>
    </row>
    <row r="498" spans="1:68" ht="14.25" hidden="1" customHeight="1" x14ac:dyDescent="0.25">
      <c r="A498" s="653" t="s">
        <v>155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2">
        <v>4680115885240</v>
      </c>
      <c r="E499" s="643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6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0"/>
      <c r="R499" s="650"/>
      <c r="S499" s="650"/>
      <c r="T499" s="651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6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69"/>
      <c r="P500" s="644" t="s">
        <v>69</v>
      </c>
      <c r="Q500" s="640"/>
      <c r="R500" s="640"/>
      <c r="S500" s="640"/>
      <c r="T500" s="640"/>
      <c r="U500" s="640"/>
      <c r="V500" s="641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69"/>
      <c r="P501" s="644" t="s">
        <v>69</v>
      </c>
      <c r="Q501" s="640"/>
      <c r="R501" s="640"/>
      <c r="S501" s="640"/>
      <c r="T501" s="640"/>
      <c r="U501" s="640"/>
      <c r="V501" s="641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53" t="s">
        <v>62</v>
      </c>
      <c r="B502" s="648"/>
      <c r="C502" s="648"/>
      <c r="D502" s="648"/>
      <c r="E502" s="648"/>
      <c r="F502" s="648"/>
      <c r="G502" s="648"/>
      <c r="H502" s="648"/>
      <c r="I502" s="648"/>
      <c r="J502" s="648"/>
      <c r="K502" s="648"/>
      <c r="L502" s="648"/>
      <c r="M502" s="648"/>
      <c r="N502" s="648"/>
      <c r="O502" s="648"/>
      <c r="P502" s="648"/>
      <c r="Q502" s="648"/>
      <c r="R502" s="648"/>
      <c r="S502" s="648"/>
      <c r="T502" s="648"/>
      <c r="U502" s="648"/>
      <c r="V502" s="648"/>
      <c r="W502" s="648"/>
      <c r="X502" s="648"/>
      <c r="Y502" s="648"/>
      <c r="Z502" s="648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42">
        <v>4680115886094</v>
      </c>
      <c r="E503" s="643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0"/>
      <c r="R503" s="650"/>
      <c r="S503" s="650"/>
      <c r="T503" s="651"/>
      <c r="U503" s="34"/>
      <c r="V503" s="34"/>
      <c r="W503" s="35" t="s">
        <v>67</v>
      </c>
      <c r="X503" s="635">
        <v>31</v>
      </c>
      <c r="Y503" s="636">
        <f>IFERROR(IF(X503="",0,CEILING((X503/$H503),1)*$H503),"")</f>
        <v>32.400000000000006</v>
      </c>
      <c r="Z503" s="36">
        <f>IFERROR(IF(Y503=0,"",ROUNDUP(Y503/H503,0)*0.00902),"")</f>
        <v>5.4120000000000001E-2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32.090740740740735</v>
      </c>
      <c r="BN503" s="64">
        <f>IFERROR(Y503*I503/H503,"0")</f>
        <v>33.54</v>
      </c>
      <c r="BO503" s="64">
        <f>IFERROR(1/J503*(X503/H503),"0")</f>
        <v>4.349046015712682E-2</v>
      </c>
      <c r="BP503" s="64">
        <f>IFERROR(1/J503*(Y503/H503),"0")</f>
        <v>4.5454545454545463E-2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2">
        <v>4680115880771</v>
      </c>
      <c r="E504" s="643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0"/>
      <c r="R504" s="650"/>
      <c r="S504" s="650"/>
      <c r="T504" s="651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2">
        <v>4607091389500</v>
      </c>
      <c r="E505" s="643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0"/>
      <c r="R505" s="650"/>
      <c r="S505" s="650"/>
      <c r="T505" s="651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6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69"/>
      <c r="P506" s="644" t="s">
        <v>69</v>
      </c>
      <c r="Q506" s="640"/>
      <c r="R506" s="640"/>
      <c r="S506" s="640"/>
      <c r="T506" s="640"/>
      <c r="U506" s="640"/>
      <c r="V506" s="641"/>
      <c r="W506" s="37" t="s">
        <v>70</v>
      </c>
      <c r="X506" s="637">
        <f>IFERROR(X503/H503,"0")+IFERROR(X504/H504,"0")+IFERROR(X505/H505,"0")</f>
        <v>5.7407407407407405</v>
      </c>
      <c r="Y506" s="637">
        <f>IFERROR(Y503/H503,"0")+IFERROR(Y504/H504,"0")+IFERROR(Y505/H505,"0")</f>
        <v>6.0000000000000009</v>
      </c>
      <c r="Z506" s="637">
        <f>IFERROR(IF(Z503="",0,Z503),"0")+IFERROR(IF(Z504="",0,Z504),"0")+IFERROR(IF(Z505="",0,Z505),"0")</f>
        <v>5.4120000000000001E-2</v>
      </c>
      <c r="AA506" s="638"/>
      <c r="AB506" s="638"/>
      <c r="AC506" s="638"/>
    </row>
    <row r="507" spans="1:68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69"/>
      <c r="P507" s="644" t="s">
        <v>69</v>
      </c>
      <c r="Q507" s="640"/>
      <c r="R507" s="640"/>
      <c r="S507" s="640"/>
      <c r="T507" s="640"/>
      <c r="U507" s="640"/>
      <c r="V507" s="641"/>
      <c r="W507" s="37" t="s">
        <v>67</v>
      </c>
      <c r="X507" s="637">
        <f>IFERROR(SUM(X503:X505),"0")</f>
        <v>31</v>
      </c>
      <c r="Y507" s="637">
        <f>IFERROR(SUM(Y503:Y505),"0")</f>
        <v>32.400000000000006</v>
      </c>
      <c r="Z507" s="37"/>
      <c r="AA507" s="638"/>
      <c r="AB507" s="638"/>
      <c r="AC507" s="638"/>
    </row>
    <row r="508" spans="1:68" ht="27.75" hidden="1" customHeight="1" x14ac:dyDescent="0.2">
      <c r="A508" s="727" t="s">
        <v>799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48"/>
      <c r="AB508" s="48"/>
      <c r="AC508" s="48"/>
    </row>
    <row r="509" spans="1:68" ht="16.5" hidden="1" customHeight="1" x14ac:dyDescent="0.25">
      <c r="A509" s="647" t="s">
        <v>799</v>
      </c>
      <c r="B509" s="648"/>
      <c r="C509" s="648"/>
      <c r="D509" s="648"/>
      <c r="E509" s="648"/>
      <c r="F509" s="648"/>
      <c r="G509" s="648"/>
      <c r="H509" s="648"/>
      <c r="I509" s="648"/>
      <c r="J509" s="648"/>
      <c r="K509" s="648"/>
      <c r="L509" s="648"/>
      <c r="M509" s="648"/>
      <c r="N509" s="648"/>
      <c r="O509" s="648"/>
      <c r="P509" s="648"/>
      <c r="Q509" s="648"/>
      <c r="R509" s="648"/>
      <c r="S509" s="648"/>
      <c r="T509" s="648"/>
      <c r="U509" s="648"/>
      <c r="V509" s="648"/>
      <c r="W509" s="648"/>
      <c r="X509" s="648"/>
      <c r="Y509" s="648"/>
      <c r="Z509" s="648"/>
      <c r="AA509" s="630"/>
      <c r="AB509" s="630"/>
      <c r="AC509" s="630"/>
    </row>
    <row r="510" spans="1:68" ht="14.25" hidden="1" customHeight="1" x14ac:dyDescent="0.25">
      <c r="A510" s="653" t="s">
        <v>119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2">
        <v>4607091389067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2">
        <v>4680115889576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79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2">
        <v>4680115885271</v>
      </c>
      <c r="E513" s="643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2">
        <v>4680115885226</v>
      </c>
      <c r="E514" s="643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0"/>
      <c r="R514" s="650"/>
      <c r="S514" s="650"/>
      <c r="T514" s="651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2">
        <v>4607091389104</v>
      </c>
      <c r="E515" s="643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7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0"/>
      <c r="R515" s="650"/>
      <c r="S515" s="650"/>
      <c r="T515" s="651"/>
      <c r="U515" s="34"/>
      <c r="V515" s="34"/>
      <c r="W515" s="35" t="s">
        <v>67</v>
      </c>
      <c r="X515" s="635">
        <v>188</v>
      </c>
      <c r="Y515" s="636">
        <f t="shared" si="71"/>
        <v>190.08</v>
      </c>
      <c r="Z515" s="36">
        <f>IFERROR(IF(Y515=0,"",ROUNDUP(Y515/H515,0)*0.01196),"")</f>
        <v>0.43056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200.46212121212122</v>
      </c>
      <c r="BN515" s="64">
        <f t="shared" si="73"/>
        <v>202.67999999999998</v>
      </c>
      <c r="BO515" s="64">
        <f t="shared" si="74"/>
        <v>0.34236596736596736</v>
      </c>
      <c r="BP515" s="64">
        <f t="shared" si="75"/>
        <v>0.34615384615384615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2">
        <v>4680115886391</v>
      </c>
      <c r="E516" s="643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0"/>
      <c r="R516" s="650"/>
      <c r="S516" s="650"/>
      <c r="T516" s="651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2">
        <v>4680115880603</v>
      </c>
      <c r="E517" s="643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42">
        <v>4607091389982</v>
      </c>
      <c r="E518" s="643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9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5">
        <v>33</v>
      </c>
      <c r="Y518" s="636">
        <f t="shared" si="71"/>
        <v>33.6</v>
      </c>
      <c r="Z518" s="36">
        <f>IFERROR(IF(Y518=0,"",ROUNDUP(Y518/H518,0)*0.00902),"")</f>
        <v>6.3140000000000002E-2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47.506250000000001</v>
      </c>
      <c r="BN518" s="64">
        <f t="shared" si="73"/>
        <v>48.370000000000005</v>
      </c>
      <c r="BO518" s="64">
        <f t="shared" si="74"/>
        <v>5.2083333333333336E-2</v>
      </c>
      <c r="BP518" s="64">
        <f t="shared" si="75"/>
        <v>5.3030303030303039E-2</v>
      </c>
    </row>
    <row r="519" spans="1:68" x14ac:dyDescent="0.2">
      <c r="A519" s="66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69"/>
      <c r="P519" s="644" t="s">
        <v>69</v>
      </c>
      <c r="Q519" s="640"/>
      <c r="R519" s="640"/>
      <c r="S519" s="640"/>
      <c r="T519" s="640"/>
      <c r="U519" s="640"/>
      <c r="V519" s="641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42.481060606060602</v>
      </c>
      <c r="Y519" s="637">
        <f>IFERROR(Y511/H511,"0")+IFERROR(Y512/H512,"0")+IFERROR(Y513/H513,"0")+IFERROR(Y514/H514,"0")+IFERROR(Y515/H515,"0")+IFERROR(Y516/H516,"0")+IFERROR(Y517/H517,"0")+IFERROR(Y518/H518,"0")</f>
        <v>43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0.49370000000000003</v>
      </c>
      <c r="AA519" s="638"/>
      <c r="AB519" s="638"/>
      <c r="AC519" s="638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69"/>
      <c r="P520" s="644" t="s">
        <v>69</v>
      </c>
      <c r="Q520" s="640"/>
      <c r="R520" s="640"/>
      <c r="S520" s="640"/>
      <c r="T520" s="640"/>
      <c r="U520" s="640"/>
      <c r="V520" s="641"/>
      <c r="W520" s="37" t="s">
        <v>67</v>
      </c>
      <c r="X520" s="637">
        <f>IFERROR(SUM(X511:X518),"0")</f>
        <v>221</v>
      </c>
      <c r="Y520" s="637">
        <f>IFERROR(SUM(Y511:Y518),"0")</f>
        <v>223.68</v>
      </c>
      <c r="Z520" s="37"/>
      <c r="AA520" s="638"/>
      <c r="AB520" s="638"/>
      <c r="AC520" s="638"/>
    </row>
    <row r="521" spans="1:68" ht="14.25" hidden="1" customHeight="1" x14ac:dyDescent="0.25">
      <c r="A521" s="653" t="s">
        <v>155</v>
      </c>
      <c r="B521" s="648"/>
      <c r="C521" s="648"/>
      <c r="D521" s="648"/>
      <c r="E521" s="648"/>
      <c r="F521" s="648"/>
      <c r="G521" s="648"/>
      <c r="H521" s="648"/>
      <c r="I521" s="648"/>
      <c r="J521" s="648"/>
      <c r="K521" s="648"/>
      <c r="L521" s="648"/>
      <c r="M521" s="648"/>
      <c r="N521" s="648"/>
      <c r="O521" s="648"/>
      <c r="P521" s="648"/>
      <c r="Q521" s="648"/>
      <c r="R521" s="648"/>
      <c r="S521" s="648"/>
      <c r="T521" s="648"/>
      <c r="U521" s="648"/>
      <c r="V521" s="648"/>
      <c r="W521" s="648"/>
      <c r="X521" s="648"/>
      <c r="Y521" s="648"/>
      <c r="Z521" s="648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2">
        <v>4607091388930</v>
      </c>
      <c r="E522" s="643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9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0"/>
      <c r="R522" s="650"/>
      <c r="S522" s="650"/>
      <c r="T522" s="651"/>
      <c r="U522" s="34"/>
      <c r="V522" s="34"/>
      <c r="W522" s="35" t="s">
        <v>67</v>
      </c>
      <c r="X522" s="635">
        <v>387</v>
      </c>
      <c r="Y522" s="636">
        <f>IFERROR(IF(X522="",0,CEILING((X522/$H522),1)*$H522),"")</f>
        <v>390.72</v>
      </c>
      <c r="Z522" s="36">
        <f>IFERROR(IF(Y522=0,"",ROUNDUP(Y522/H522,0)*0.01196),"")</f>
        <v>0.88504000000000005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412.65340909090907</v>
      </c>
      <c r="BN522" s="64">
        <f>IFERROR(Y522*I522/H522,"0")</f>
        <v>416.62</v>
      </c>
      <c r="BO522" s="64">
        <f>IFERROR(1/J522*(X522/H522),"0")</f>
        <v>0.70476398601398604</v>
      </c>
      <c r="BP522" s="64">
        <f>IFERROR(1/J522*(Y522/H522),"0")</f>
        <v>0.71153846153846156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2">
        <v>4680115886407</v>
      </c>
      <c r="E523" s="643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customHeight="1" x14ac:dyDescent="0.25">
      <c r="A524" s="54" t="s">
        <v>825</v>
      </c>
      <c r="B524" s="54" t="s">
        <v>826</v>
      </c>
      <c r="C524" s="31">
        <v>4301020385</v>
      </c>
      <c r="D524" s="642">
        <v>4680115880054</v>
      </c>
      <c r="E524" s="643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8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0"/>
      <c r="R524" s="650"/>
      <c r="S524" s="650"/>
      <c r="T524" s="651"/>
      <c r="U524" s="34"/>
      <c r="V524" s="34"/>
      <c r="W524" s="35" t="s">
        <v>67</v>
      </c>
      <c r="X524" s="635">
        <v>3</v>
      </c>
      <c r="Y524" s="636">
        <f>IFERROR(IF(X524="",0,CEILING((X524/$H524),1)*$H524),"")</f>
        <v>4.8</v>
      </c>
      <c r="Z524" s="36">
        <f>IFERROR(IF(Y524=0,"",ROUNDUP(Y524/H524,0)*0.00902),"")</f>
        <v>9.0200000000000002E-3</v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4.3187500000000005</v>
      </c>
      <c r="BN524" s="64">
        <f>IFERROR(Y524*I524/H524,"0")</f>
        <v>6.91</v>
      </c>
      <c r="BO524" s="64">
        <f>IFERROR(1/J524*(X524/H524),"0")</f>
        <v>4.734848484848485E-3</v>
      </c>
      <c r="BP524" s="64">
        <f>IFERROR(1/J524*(Y524/H524),"0")</f>
        <v>7.575757575757576E-3</v>
      </c>
    </row>
    <row r="525" spans="1:68" x14ac:dyDescent="0.2">
      <c r="A525" s="66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69"/>
      <c r="P525" s="644" t="s">
        <v>69</v>
      </c>
      <c r="Q525" s="640"/>
      <c r="R525" s="640"/>
      <c r="S525" s="640"/>
      <c r="T525" s="640"/>
      <c r="U525" s="640"/>
      <c r="V525" s="641"/>
      <c r="W525" s="37" t="s">
        <v>70</v>
      </c>
      <c r="X525" s="637">
        <f>IFERROR(X522/H522,"0")+IFERROR(X523/H523,"0")+IFERROR(X524/H524,"0")</f>
        <v>73.920454545454547</v>
      </c>
      <c r="Y525" s="637">
        <f>IFERROR(Y522/H522,"0")+IFERROR(Y523/H523,"0")+IFERROR(Y524/H524,"0")</f>
        <v>75</v>
      </c>
      <c r="Z525" s="637">
        <f>IFERROR(IF(Z522="",0,Z522),"0")+IFERROR(IF(Z523="",0,Z523),"0")+IFERROR(IF(Z524="",0,Z524),"0")</f>
        <v>0.89406000000000008</v>
      </c>
      <c r="AA525" s="638"/>
      <c r="AB525" s="638"/>
      <c r="AC525" s="638"/>
    </row>
    <row r="526" spans="1:68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69"/>
      <c r="P526" s="644" t="s">
        <v>69</v>
      </c>
      <c r="Q526" s="640"/>
      <c r="R526" s="640"/>
      <c r="S526" s="640"/>
      <c r="T526" s="640"/>
      <c r="U526" s="640"/>
      <c r="V526" s="641"/>
      <c r="W526" s="37" t="s">
        <v>67</v>
      </c>
      <c r="X526" s="637">
        <f>IFERROR(SUM(X522:X524),"0")</f>
        <v>390</v>
      </c>
      <c r="Y526" s="637">
        <f>IFERROR(SUM(Y522:Y524),"0")</f>
        <v>395.52000000000004</v>
      </c>
      <c r="Z526" s="37"/>
      <c r="AA526" s="638"/>
      <c r="AB526" s="638"/>
      <c r="AC526" s="638"/>
    </row>
    <row r="527" spans="1:68" ht="14.25" hidden="1" customHeight="1" x14ac:dyDescent="0.25">
      <c r="A527" s="653" t="s">
        <v>62</v>
      </c>
      <c r="B527" s="648"/>
      <c r="C527" s="648"/>
      <c r="D527" s="648"/>
      <c r="E527" s="648"/>
      <c r="F527" s="648"/>
      <c r="G527" s="648"/>
      <c r="H527" s="648"/>
      <c r="I527" s="648"/>
      <c r="J527" s="648"/>
      <c r="K527" s="648"/>
      <c r="L527" s="648"/>
      <c r="M527" s="648"/>
      <c r="N527" s="648"/>
      <c r="O527" s="648"/>
      <c r="P527" s="648"/>
      <c r="Q527" s="648"/>
      <c r="R527" s="648"/>
      <c r="S527" s="648"/>
      <c r="T527" s="648"/>
      <c r="U527" s="648"/>
      <c r="V527" s="648"/>
      <c r="W527" s="648"/>
      <c r="X527" s="648"/>
      <c r="Y527" s="648"/>
      <c r="Z527" s="648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2">
        <v>4680115883116</v>
      </c>
      <c r="E528" s="643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0"/>
      <c r="R528" s="650"/>
      <c r="S528" s="650"/>
      <c r="T528" s="651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2">
        <v>4680115883093</v>
      </c>
      <c r="E529" s="643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8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0"/>
      <c r="R529" s="650"/>
      <c r="S529" s="650"/>
      <c r="T529" s="651"/>
      <c r="U529" s="34"/>
      <c r="V529" s="34"/>
      <c r="W529" s="35" t="s">
        <v>67</v>
      </c>
      <c r="X529" s="635">
        <v>325</v>
      </c>
      <c r="Y529" s="636">
        <f t="shared" si="76"/>
        <v>327.36</v>
      </c>
      <c r="Z529" s="36">
        <f>IFERROR(IF(Y529=0,"",ROUNDUP(Y529/H529,0)*0.01196),"")</f>
        <v>0.74151999999999996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346.54356060606057</v>
      </c>
      <c r="BN529" s="64">
        <f t="shared" si="78"/>
        <v>349.06</v>
      </c>
      <c r="BO529" s="64">
        <f t="shared" si="79"/>
        <v>0.59185606060606055</v>
      </c>
      <c r="BP529" s="64">
        <f t="shared" si="80"/>
        <v>0.59615384615384615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2">
        <v>4680115883109</v>
      </c>
      <c r="E530" s="643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79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0"/>
      <c r="R530" s="650"/>
      <c r="S530" s="650"/>
      <c r="T530" s="651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2">
        <v>4680115882072</v>
      </c>
      <c r="E531" s="643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0"/>
      <c r="R531" s="650"/>
      <c r="S531" s="650"/>
      <c r="T531" s="651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2">
        <v>4680115882102</v>
      </c>
      <c r="E532" s="643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0"/>
      <c r="R532" s="650"/>
      <c r="S532" s="650"/>
      <c r="T532" s="651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2">
        <v>4680115882102</v>
      </c>
      <c r="E533" s="643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0"/>
      <c r="R533" s="650"/>
      <c r="S533" s="650"/>
      <c r="T533" s="651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2">
        <v>4680115882096</v>
      </c>
      <c r="E534" s="643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0"/>
      <c r="R534" s="650"/>
      <c r="S534" s="650"/>
      <c r="T534" s="651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6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69"/>
      <c r="P535" s="644" t="s">
        <v>69</v>
      </c>
      <c r="Q535" s="640"/>
      <c r="R535" s="640"/>
      <c r="S535" s="640"/>
      <c r="T535" s="640"/>
      <c r="U535" s="640"/>
      <c r="V535" s="641"/>
      <c r="W535" s="37" t="s">
        <v>70</v>
      </c>
      <c r="X535" s="637">
        <f>IFERROR(X528/H528,"0")+IFERROR(X529/H529,"0")+IFERROR(X530/H530,"0")+IFERROR(X531/H531,"0")+IFERROR(X532/H532,"0")+IFERROR(X533/H533,"0")+IFERROR(X534/H534,"0")</f>
        <v>61.553030303030297</v>
      </c>
      <c r="Y535" s="637">
        <f>IFERROR(Y528/H528,"0")+IFERROR(Y529/H529,"0")+IFERROR(Y530/H530,"0")+IFERROR(Y531/H531,"0")+IFERROR(Y532/H532,"0")+IFERROR(Y533/H533,"0")+IFERROR(Y534/H534,"0")</f>
        <v>62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0.74151999999999996</v>
      </c>
      <c r="AA535" s="638"/>
      <c r="AB535" s="638"/>
      <c r="AC535" s="638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69"/>
      <c r="P536" s="644" t="s">
        <v>69</v>
      </c>
      <c r="Q536" s="640"/>
      <c r="R536" s="640"/>
      <c r="S536" s="640"/>
      <c r="T536" s="640"/>
      <c r="U536" s="640"/>
      <c r="V536" s="641"/>
      <c r="W536" s="37" t="s">
        <v>67</v>
      </c>
      <c r="X536" s="637">
        <f>IFERROR(SUM(X528:X534),"0")</f>
        <v>325</v>
      </c>
      <c r="Y536" s="637">
        <f>IFERROR(SUM(Y528:Y534),"0")</f>
        <v>327.36</v>
      </c>
      <c r="Z536" s="37"/>
      <c r="AA536" s="638"/>
      <c r="AB536" s="638"/>
      <c r="AC536" s="638"/>
    </row>
    <row r="537" spans="1:68" ht="27.75" hidden="1" customHeight="1" x14ac:dyDescent="0.2">
      <c r="A537" s="727" t="s">
        <v>843</v>
      </c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8"/>
      <c r="P537" s="728"/>
      <c r="Q537" s="728"/>
      <c r="R537" s="728"/>
      <c r="S537" s="728"/>
      <c r="T537" s="728"/>
      <c r="U537" s="728"/>
      <c r="V537" s="728"/>
      <c r="W537" s="728"/>
      <c r="X537" s="728"/>
      <c r="Y537" s="728"/>
      <c r="Z537" s="728"/>
      <c r="AA537" s="48"/>
      <c r="AB537" s="48"/>
      <c r="AC537" s="48"/>
    </row>
    <row r="538" spans="1:68" ht="16.5" hidden="1" customHeight="1" x14ac:dyDescent="0.25">
      <c r="A538" s="647" t="s">
        <v>843</v>
      </c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8"/>
      <c r="P538" s="648"/>
      <c r="Q538" s="648"/>
      <c r="R538" s="648"/>
      <c r="S538" s="648"/>
      <c r="T538" s="648"/>
      <c r="U538" s="648"/>
      <c r="V538" s="648"/>
      <c r="W538" s="648"/>
      <c r="X538" s="648"/>
      <c r="Y538" s="648"/>
      <c r="Z538" s="648"/>
      <c r="AA538" s="630"/>
      <c r="AB538" s="630"/>
      <c r="AC538" s="630"/>
    </row>
    <row r="539" spans="1:68" ht="14.25" hidden="1" customHeight="1" x14ac:dyDescent="0.25">
      <c r="A539" s="653" t="s">
        <v>119</v>
      </c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8"/>
      <c r="P539" s="648"/>
      <c r="Q539" s="648"/>
      <c r="R539" s="648"/>
      <c r="S539" s="648"/>
      <c r="T539" s="648"/>
      <c r="U539" s="648"/>
      <c r="V539" s="648"/>
      <c r="W539" s="648"/>
      <c r="X539" s="648"/>
      <c r="Y539" s="648"/>
      <c r="Z539" s="648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2">
        <v>4680115889736</v>
      </c>
      <c r="E540" s="643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1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0"/>
      <c r="R540" s="650"/>
      <c r="S540" s="650"/>
      <c r="T540" s="651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69"/>
      <c r="P541" s="644" t="s">
        <v>69</v>
      </c>
      <c r="Q541" s="640"/>
      <c r="R541" s="640"/>
      <c r="S541" s="640"/>
      <c r="T541" s="640"/>
      <c r="U541" s="640"/>
      <c r="V541" s="641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69"/>
      <c r="P542" s="644" t="s">
        <v>69</v>
      </c>
      <c r="Q542" s="640"/>
      <c r="R542" s="640"/>
      <c r="S542" s="640"/>
      <c r="T542" s="640"/>
      <c r="U542" s="640"/>
      <c r="V542" s="641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53" t="s">
        <v>155</v>
      </c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8"/>
      <c r="P543" s="648"/>
      <c r="Q543" s="648"/>
      <c r="R543" s="648"/>
      <c r="S543" s="648"/>
      <c r="T543" s="648"/>
      <c r="U543" s="648"/>
      <c r="V543" s="648"/>
      <c r="W543" s="648"/>
      <c r="X543" s="648"/>
      <c r="Y543" s="648"/>
      <c r="Z543" s="648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2">
        <v>4680115889781</v>
      </c>
      <c r="E544" s="643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0"/>
      <c r="R544" s="650"/>
      <c r="S544" s="650"/>
      <c r="T544" s="651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69"/>
      <c r="P545" s="644" t="s">
        <v>69</v>
      </c>
      <c r="Q545" s="640"/>
      <c r="R545" s="640"/>
      <c r="S545" s="640"/>
      <c r="T545" s="640"/>
      <c r="U545" s="640"/>
      <c r="V545" s="641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69"/>
      <c r="P546" s="644" t="s">
        <v>69</v>
      </c>
      <c r="Q546" s="640"/>
      <c r="R546" s="640"/>
      <c r="S546" s="640"/>
      <c r="T546" s="640"/>
      <c r="U546" s="640"/>
      <c r="V546" s="641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53" t="s">
        <v>62</v>
      </c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8"/>
      <c r="P547" s="648"/>
      <c r="Q547" s="648"/>
      <c r="R547" s="648"/>
      <c r="S547" s="648"/>
      <c r="T547" s="648"/>
      <c r="U547" s="648"/>
      <c r="V547" s="648"/>
      <c r="W547" s="648"/>
      <c r="X547" s="648"/>
      <c r="Y547" s="648"/>
      <c r="Z547" s="648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2">
        <v>4680115889774</v>
      </c>
      <c r="E548" s="643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0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0"/>
      <c r="R548" s="650"/>
      <c r="S548" s="650"/>
      <c r="T548" s="651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69"/>
      <c r="P549" s="644" t="s">
        <v>69</v>
      </c>
      <c r="Q549" s="640"/>
      <c r="R549" s="640"/>
      <c r="S549" s="640"/>
      <c r="T549" s="640"/>
      <c r="U549" s="640"/>
      <c r="V549" s="641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69"/>
      <c r="P550" s="644" t="s">
        <v>69</v>
      </c>
      <c r="Q550" s="640"/>
      <c r="R550" s="640"/>
      <c r="S550" s="640"/>
      <c r="T550" s="640"/>
      <c r="U550" s="640"/>
      <c r="V550" s="641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53" t="s">
        <v>71</v>
      </c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8"/>
      <c r="P551" s="648"/>
      <c r="Q551" s="648"/>
      <c r="R551" s="648"/>
      <c r="S551" s="648"/>
      <c r="T551" s="648"/>
      <c r="U551" s="648"/>
      <c r="V551" s="648"/>
      <c r="W551" s="648"/>
      <c r="X551" s="648"/>
      <c r="Y551" s="648"/>
      <c r="Z551" s="648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42">
        <v>4680115889811</v>
      </c>
      <c r="E552" s="643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9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0"/>
      <c r="R552" s="650"/>
      <c r="S552" s="650"/>
      <c r="T552" s="651"/>
      <c r="U552" s="34"/>
      <c r="V552" s="34"/>
      <c r="W552" s="35" t="s">
        <v>67</v>
      </c>
      <c r="X552" s="635">
        <v>45</v>
      </c>
      <c r="Y552" s="636">
        <f>IFERROR(IF(X552="",0,CEILING((X552/$H552),1)*$H552),"")</f>
        <v>45</v>
      </c>
      <c r="Z552" s="36">
        <f>IFERROR(IF(Y552=0,"",ROUNDUP(Y552/H552,0)*0.01898),"")</f>
        <v>9.4899999999999998E-2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47.47</v>
      </c>
      <c r="BN552" s="64">
        <f>IFERROR(Y552*I552/H552,"0")</f>
        <v>47.47</v>
      </c>
      <c r="BO552" s="64">
        <f>IFERROR(1/J552*(X552/H552),"0")</f>
        <v>7.8125E-2</v>
      </c>
      <c r="BP552" s="64">
        <f>IFERROR(1/J552*(Y552/H552),"0")</f>
        <v>7.8125E-2</v>
      </c>
    </row>
    <row r="553" spans="1:68" x14ac:dyDescent="0.2">
      <c r="A553" s="66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69"/>
      <c r="P553" s="644" t="s">
        <v>69</v>
      </c>
      <c r="Q553" s="640"/>
      <c r="R553" s="640"/>
      <c r="S553" s="640"/>
      <c r="T553" s="640"/>
      <c r="U553" s="640"/>
      <c r="V553" s="641"/>
      <c r="W553" s="37" t="s">
        <v>70</v>
      </c>
      <c r="X553" s="637">
        <f>IFERROR(X552/H552,"0")</f>
        <v>5</v>
      </c>
      <c r="Y553" s="637">
        <f>IFERROR(Y552/H552,"0")</f>
        <v>5</v>
      </c>
      <c r="Z553" s="637">
        <f>IFERROR(IF(Z552="",0,Z552),"0")</f>
        <v>9.4899999999999998E-2</v>
      </c>
      <c r="AA553" s="638"/>
      <c r="AB553" s="638"/>
      <c r="AC553" s="638"/>
    </row>
    <row r="554" spans="1:68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69"/>
      <c r="P554" s="644" t="s">
        <v>69</v>
      </c>
      <c r="Q554" s="640"/>
      <c r="R554" s="640"/>
      <c r="S554" s="640"/>
      <c r="T554" s="640"/>
      <c r="U554" s="640"/>
      <c r="V554" s="641"/>
      <c r="W554" s="37" t="s">
        <v>67</v>
      </c>
      <c r="X554" s="637">
        <f>IFERROR(SUM(X552:X552),"0")</f>
        <v>45</v>
      </c>
      <c r="Y554" s="637">
        <f>IFERROR(SUM(Y552:Y552),"0")</f>
        <v>45</v>
      </c>
      <c r="Z554" s="37"/>
      <c r="AA554" s="638"/>
      <c r="AB554" s="638"/>
      <c r="AC554" s="638"/>
    </row>
    <row r="555" spans="1:68" ht="14.25" hidden="1" customHeight="1" x14ac:dyDescent="0.25">
      <c r="A555" s="653" t="s">
        <v>173</v>
      </c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8"/>
      <c r="P555" s="648"/>
      <c r="Q555" s="648"/>
      <c r="R555" s="648"/>
      <c r="S555" s="648"/>
      <c r="T555" s="648"/>
      <c r="U555" s="648"/>
      <c r="V555" s="648"/>
      <c r="W555" s="648"/>
      <c r="X555" s="648"/>
      <c r="Y555" s="648"/>
      <c r="Z555" s="648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2">
        <v>4680115889804</v>
      </c>
      <c r="E556" s="643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92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0"/>
      <c r="R556" s="650"/>
      <c r="S556" s="650"/>
      <c r="T556" s="651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2">
        <v>4680115889828</v>
      </c>
      <c r="E557" s="643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78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0"/>
      <c r="R557" s="650"/>
      <c r="S557" s="650"/>
      <c r="T557" s="651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6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69"/>
      <c r="P558" s="644" t="s">
        <v>69</v>
      </c>
      <c r="Q558" s="640"/>
      <c r="R558" s="640"/>
      <c r="S558" s="640"/>
      <c r="T558" s="640"/>
      <c r="U558" s="640"/>
      <c r="V558" s="641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69"/>
      <c r="P559" s="644" t="s">
        <v>69</v>
      </c>
      <c r="Q559" s="640"/>
      <c r="R559" s="640"/>
      <c r="S559" s="640"/>
      <c r="T559" s="640"/>
      <c r="U559" s="640"/>
      <c r="V559" s="641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7" t="s">
        <v>861</v>
      </c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8"/>
      <c r="P560" s="648"/>
      <c r="Q560" s="648"/>
      <c r="R560" s="648"/>
      <c r="S560" s="648"/>
      <c r="T560" s="648"/>
      <c r="U560" s="648"/>
      <c r="V560" s="648"/>
      <c r="W560" s="648"/>
      <c r="X560" s="648"/>
      <c r="Y560" s="648"/>
      <c r="Z560" s="648"/>
      <c r="AA560" s="630"/>
      <c r="AB560" s="630"/>
      <c r="AC560" s="630"/>
    </row>
    <row r="561" spans="1:68" ht="14.25" hidden="1" customHeight="1" x14ac:dyDescent="0.25">
      <c r="A561" s="653" t="s">
        <v>155</v>
      </c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8"/>
      <c r="P561" s="648"/>
      <c r="Q561" s="648"/>
      <c r="R561" s="648"/>
      <c r="S561" s="648"/>
      <c r="T561" s="648"/>
      <c r="U561" s="648"/>
      <c r="V561" s="648"/>
      <c r="W561" s="648"/>
      <c r="X561" s="648"/>
      <c r="Y561" s="648"/>
      <c r="Z561" s="648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2">
        <v>4680115889798</v>
      </c>
      <c r="E562" s="643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99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0"/>
      <c r="R562" s="650"/>
      <c r="S562" s="650"/>
      <c r="T562" s="651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6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69"/>
      <c r="P563" s="644" t="s">
        <v>69</v>
      </c>
      <c r="Q563" s="640"/>
      <c r="R563" s="640"/>
      <c r="S563" s="640"/>
      <c r="T563" s="640"/>
      <c r="U563" s="640"/>
      <c r="V563" s="641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69"/>
      <c r="P564" s="644" t="s">
        <v>69</v>
      </c>
      <c r="Q564" s="640"/>
      <c r="R564" s="640"/>
      <c r="S564" s="640"/>
      <c r="T564" s="640"/>
      <c r="U564" s="640"/>
      <c r="V564" s="641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63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48"/>
      <c r="P565" s="751" t="s">
        <v>865</v>
      </c>
      <c r="Q565" s="752"/>
      <c r="R565" s="752"/>
      <c r="S565" s="752"/>
      <c r="T565" s="752"/>
      <c r="U565" s="752"/>
      <c r="V565" s="672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5812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5919.58</v>
      </c>
      <c r="Z565" s="37"/>
      <c r="AA565" s="638"/>
      <c r="AB565" s="638"/>
      <c r="AC565" s="638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48"/>
      <c r="P566" s="751" t="s">
        <v>866</v>
      </c>
      <c r="Q566" s="752"/>
      <c r="R566" s="752"/>
      <c r="S566" s="752"/>
      <c r="T566" s="752"/>
      <c r="U566" s="752"/>
      <c r="V566" s="672"/>
      <c r="W566" s="37" t="s">
        <v>67</v>
      </c>
      <c r="X566" s="637">
        <f>IFERROR(SUM(BM22:BM562),"0")</f>
        <v>6127.6135273314694</v>
      </c>
      <c r="Y566" s="637">
        <f>IFERROR(SUM(BN22:BN562),"0")</f>
        <v>6243.648000000001</v>
      </c>
      <c r="Z566" s="37"/>
      <c r="AA566" s="638"/>
      <c r="AB566" s="638"/>
      <c r="AC566" s="638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48"/>
      <c r="P567" s="751" t="s">
        <v>867</v>
      </c>
      <c r="Q567" s="752"/>
      <c r="R567" s="752"/>
      <c r="S567" s="752"/>
      <c r="T567" s="752"/>
      <c r="U567" s="752"/>
      <c r="V567" s="672"/>
      <c r="W567" s="37" t="s">
        <v>868</v>
      </c>
      <c r="X567" s="38">
        <f>ROUNDUP(SUM(BO22:BO562),0)</f>
        <v>11</v>
      </c>
      <c r="Y567" s="38">
        <f>ROUNDUP(SUM(BP22:BP562),0)</f>
        <v>11</v>
      </c>
      <c r="Z567" s="37"/>
      <c r="AA567" s="638"/>
      <c r="AB567" s="638"/>
      <c r="AC567" s="638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848"/>
      <c r="P568" s="751" t="s">
        <v>869</v>
      </c>
      <c r="Q568" s="752"/>
      <c r="R568" s="752"/>
      <c r="S568" s="752"/>
      <c r="T568" s="752"/>
      <c r="U568" s="752"/>
      <c r="V568" s="672"/>
      <c r="W568" s="37" t="s">
        <v>67</v>
      </c>
      <c r="X568" s="637">
        <f>GrossWeightTotal+PalletQtyTotal*25</f>
        <v>6402.6135273314694</v>
      </c>
      <c r="Y568" s="637">
        <f>GrossWeightTotalR+PalletQtyTotalR*25</f>
        <v>6518.648000000001</v>
      </c>
      <c r="Z568" s="37"/>
      <c r="AA568" s="638"/>
      <c r="AB568" s="638"/>
      <c r="AC568" s="638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848"/>
      <c r="P569" s="751" t="s">
        <v>870</v>
      </c>
      <c r="Q569" s="752"/>
      <c r="R569" s="752"/>
      <c r="S569" s="752"/>
      <c r="T569" s="752"/>
      <c r="U569" s="752"/>
      <c r="V569" s="672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1038.1463071521894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1062</v>
      </c>
      <c r="Z569" s="37"/>
      <c r="AA569" s="638"/>
      <c r="AB569" s="638"/>
      <c r="AC569" s="638"/>
    </row>
    <row r="570" spans="1:68" ht="14.25" hidden="1" customHeight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848"/>
      <c r="P570" s="751" t="s">
        <v>871</v>
      </c>
      <c r="Q570" s="752"/>
      <c r="R570" s="752"/>
      <c r="S570" s="752"/>
      <c r="T570" s="752"/>
      <c r="U570" s="752"/>
      <c r="V570" s="672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12.10192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45" t="s">
        <v>117</v>
      </c>
      <c r="E572" s="665"/>
      <c r="F572" s="665"/>
      <c r="G572" s="665"/>
      <c r="H572" s="665"/>
      <c r="I572" s="665"/>
      <c r="J572" s="666"/>
      <c r="K572" s="645" t="s">
        <v>337</v>
      </c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6"/>
      <c r="X572" s="645" t="s">
        <v>700</v>
      </c>
      <c r="Y572" s="666"/>
      <c r="Z572" s="645" t="s">
        <v>766</v>
      </c>
      <c r="AA572" s="666"/>
      <c r="AB572" s="632" t="s">
        <v>799</v>
      </c>
      <c r="AC572" s="645" t="s">
        <v>843</v>
      </c>
      <c r="AD572" s="666"/>
      <c r="AF572" s="633"/>
    </row>
    <row r="573" spans="1:68" ht="14.25" customHeight="1" thickTop="1" x14ac:dyDescent="0.2">
      <c r="A573" s="802" t="s">
        <v>874</v>
      </c>
      <c r="B573" s="645" t="s">
        <v>61</v>
      </c>
      <c r="C573" s="645" t="s">
        <v>101</v>
      </c>
      <c r="D573" s="645" t="s">
        <v>118</v>
      </c>
      <c r="E573" s="645" t="s">
        <v>134</v>
      </c>
      <c r="F573" s="645" t="s">
        <v>181</v>
      </c>
      <c r="G573" s="645" t="s">
        <v>205</v>
      </c>
      <c r="H573" s="645" t="s">
        <v>248</v>
      </c>
      <c r="I573" s="645" t="s">
        <v>261</v>
      </c>
      <c r="J573" s="645" t="s">
        <v>117</v>
      </c>
      <c r="K573" s="645" t="s">
        <v>338</v>
      </c>
      <c r="L573" s="645" t="s">
        <v>359</v>
      </c>
      <c r="M573" s="645" t="s">
        <v>422</v>
      </c>
      <c r="N573" s="633"/>
      <c r="O573" s="645" t="s">
        <v>491</v>
      </c>
      <c r="P573" s="645" t="s">
        <v>526</v>
      </c>
      <c r="Q573" s="645" t="s">
        <v>548</v>
      </c>
      <c r="R573" s="645" t="s">
        <v>557</v>
      </c>
      <c r="S573" s="645" t="s">
        <v>579</v>
      </c>
      <c r="T573" s="645" t="s">
        <v>586</v>
      </c>
      <c r="U573" s="645" t="s">
        <v>595</v>
      </c>
      <c r="V573" s="645" t="s">
        <v>681</v>
      </c>
      <c r="W573" s="645" t="s">
        <v>690</v>
      </c>
      <c r="X573" s="645" t="s">
        <v>701</v>
      </c>
      <c r="Y573" s="645" t="s">
        <v>750</v>
      </c>
      <c r="Z573" s="645" t="s">
        <v>767</v>
      </c>
      <c r="AA573" s="645" t="s">
        <v>787</v>
      </c>
      <c r="AB573" s="645" t="s">
        <v>799</v>
      </c>
      <c r="AC573" s="645" t="s">
        <v>843</v>
      </c>
      <c r="AD573" s="645" t="s">
        <v>861</v>
      </c>
      <c r="AF573" s="633"/>
    </row>
    <row r="574" spans="1:68" ht="13.5" customHeight="1" thickBot="1" x14ac:dyDescent="0.25">
      <c r="A574" s="803"/>
      <c r="B574" s="646"/>
      <c r="C574" s="646"/>
      <c r="D574" s="646"/>
      <c r="E574" s="646"/>
      <c r="F574" s="646"/>
      <c r="G574" s="646"/>
      <c r="H574" s="646"/>
      <c r="I574" s="646"/>
      <c r="J574" s="646"/>
      <c r="K574" s="646"/>
      <c r="L574" s="646"/>
      <c r="M574" s="646"/>
      <c r="N574" s="633"/>
      <c r="O574" s="646"/>
      <c r="P574" s="646"/>
      <c r="Q574" s="646"/>
      <c r="R574" s="646"/>
      <c r="S574" s="646"/>
      <c r="T574" s="646"/>
      <c r="U574" s="646"/>
      <c r="V574" s="646"/>
      <c r="W574" s="646"/>
      <c r="X574" s="646"/>
      <c r="Y574" s="646"/>
      <c r="Z574" s="646"/>
      <c r="AA574" s="646"/>
      <c r="AB574" s="646"/>
      <c r="AC574" s="646"/>
      <c r="AD574" s="646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5.4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79.5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172.2</v>
      </c>
      <c r="F575" s="46">
        <f>IFERROR(Y89*1,"0")+IFERROR(Y90*1,"0")+IFERROR(Y91*1,"0")+IFERROR(Y92*1,"0")+IFERROR(Y93*1,"0")+IFERROR(Y94*1,"0")+IFERROR(Y98*1,"0")+IFERROR(Y99*1,"0")+IFERROR(Y100*1,"0")+IFERROR(Y101*1,"0")</f>
        <v>0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380.21999999999997</v>
      </c>
      <c r="H575" s="46">
        <f>IFERROR(Y136*1,"0")+IFERROR(Y137*1,"0")+IFERROR(Y141*1,"0")+IFERROR(Y142*1,"0")+IFERROR(Y146*1,"0")+IFERROR(Y147*1,"0")</f>
        <v>114.96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637.96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96.48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905.7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81.599999999999994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54.6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320.99999999999994</v>
      </c>
      <c r="V575" s="46">
        <f>IFERROR(Y424*1,"0")+IFERROR(Y425*1,"0")+IFERROR(Y426*1,"0")</f>
        <v>0</v>
      </c>
      <c r="W575" s="46">
        <f>IFERROR(Y431*1,"0")+IFERROR(Y432*1,"0")+IFERROR(Y433*1,"0")</f>
        <v>25.200000000000003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1905</v>
      </c>
      <c r="Y575" s="46">
        <f>IFERROR(Y468*1,"0")+IFERROR(Y469*1,"0")+IFERROR(Y473*1,"0")+IFERROR(Y477*1,"0")+IFERROR(Y478*1,"0")+IFERROR(Y479*1,"0")</f>
        <v>105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32.400000000000006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946.56000000000006</v>
      </c>
      <c r="AC575" s="46">
        <f>IFERROR(Y540*1,"0")+IFERROR(Y544*1,"0")+IFERROR(Y548*1,"0")+IFERROR(Y552*1,"0")+IFERROR(Y556*1,"0")+IFERROR(Y557*1,"0")</f>
        <v>45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8,15"/>
        <filter val="10,00"/>
        <filter val="10,95"/>
        <filter val="103,00"/>
        <filter val="11"/>
        <filter val="11,00"/>
        <filter val="116,00"/>
        <filter val="13,00"/>
        <filter val="133,00"/>
        <filter val="139,00"/>
        <filter val="14,00"/>
        <filter val="142,00"/>
        <filter val="15,00"/>
        <filter val="17,00"/>
        <filter val="17,27"/>
        <filter val="18,00"/>
        <filter val="18,17"/>
        <filter val="18,21"/>
        <filter val="188,00"/>
        <filter val="19,00"/>
        <filter val="190,00"/>
        <filter val="2,00"/>
        <filter val="2,22"/>
        <filter val="2,38"/>
        <filter val="20,00"/>
        <filter val="20,09"/>
        <filter val="206,00"/>
        <filter val="21,00"/>
        <filter val="22,00"/>
        <filter val="221,00"/>
        <filter val="226,48"/>
        <filter val="227,00"/>
        <filter val="23,00"/>
        <filter val="23,11"/>
        <filter val="232,00"/>
        <filter val="245,00"/>
        <filter val="270,00"/>
        <filter val="275,00"/>
        <filter val="288,00"/>
        <filter val="29,00"/>
        <filter val="3,00"/>
        <filter val="3,67"/>
        <filter val="3,92"/>
        <filter val="31,00"/>
        <filter val="32,00"/>
        <filter val="32,92"/>
        <filter val="325,00"/>
        <filter val="33,00"/>
        <filter val="36,17"/>
        <filter val="369,00"/>
        <filter val="387,00"/>
        <filter val="39,01"/>
        <filter val="390,00"/>
        <filter val="4,00"/>
        <filter val="4,76"/>
        <filter val="42,00"/>
        <filter val="42,48"/>
        <filter val="42,50"/>
        <filter val="45,00"/>
        <filter val="49,00"/>
        <filter val="5 812,00"/>
        <filter val="5,00"/>
        <filter val="5,25"/>
        <filter val="5,56"/>
        <filter val="5,74"/>
        <filter val="520,00"/>
        <filter val="54,00"/>
        <filter val="56,00"/>
        <filter val="6 127,61"/>
        <filter val="6 402,61"/>
        <filter val="6,00"/>
        <filter val="6,28"/>
        <filter val="6,79"/>
        <filter val="61,00"/>
        <filter val="61,55"/>
        <filter val="63,00"/>
        <filter val="63,53"/>
        <filter val="632,00"/>
        <filter val="70,00"/>
        <filter val="73,92"/>
        <filter val="74,00"/>
        <filter val="76,00"/>
        <filter val="79,00"/>
        <filter val="8,00"/>
        <filter val="8,33"/>
        <filter val="8,59"/>
        <filter val="81,00"/>
        <filter val="82,00"/>
        <filter val="84,00"/>
        <filter val="85,00"/>
        <filter val="86,00"/>
        <filter val="9,00"/>
        <filter val="940,00"/>
        <filter val="945,00"/>
        <filter val="953,00"/>
        <filter val="96,30"/>
      </filters>
    </filterColumn>
    <filterColumn colId="29" showButton="0"/>
    <filterColumn colId="30" showButton="0"/>
  </autoFilter>
  <mergeCells count="1009"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