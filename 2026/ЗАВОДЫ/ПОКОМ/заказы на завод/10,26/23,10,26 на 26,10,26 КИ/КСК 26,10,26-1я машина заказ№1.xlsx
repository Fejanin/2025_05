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EC4E7F-EF98-4E80-99E9-62C02974EF9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Z531" i="2" s="1"/>
  <c r="P531" i="2"/>
  <c r="BO530" i="2"/>
  <c r="BM530" i="2"/>
  <c r="Y530" i="2"/>
  <c r="BN530" i="2" s="1"/>
  <c r="P530" i="2"/>
  <c r="BO529" i="2"/>
  <c r="BM529" i="2"/>
  <c r="Z529" i="2"/>
  <c r="Y529" i="2"/>
  <c r="BN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O499" i="2"/>
  <c r="BM499" i="2"/>
  <c r="Y499" i="2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BP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Z486" i="2" s="1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N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N439" i="2" s="1"/>
  <c r="P439" i="2"/>
  <c r="X435" i="2"/>
  <c r="X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BP431" i="2" s="1"/>
  <c r="P431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1" i="2"/>
  <c r="X420" i="2"/>
  <c r="BO419" i="2"/>
  <c r="BM419" i="2"/>
  <c r="Y419" i="2"/>
  <c r="BP419" i="2" s="1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N413" i="2" s="1"/>
  <c r="P413" i="2"/>
  <c r="BO412" i="2"/>
  <c r="BM412" i="2"/>
  <c r="Y412" i="2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Y396" i="2" s="1"/>
  <c r="P391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BN348" i="2" s="1"/>
  <c r="P348" i="2"/>
  <c r="X346" i="2"/>
  <c r="X345" i="2"/>
  <c r="BO344" i="2"/>
  <c r="BM344" i="2"/>
  <c r="Y344" i="2"/>
  <c r="BP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N301" i="2" s="1"/>
  <c r="P301" i="2"/>
  <c r="BO300" i="2"/>
  <c r="BM300" i="2"/>
  <c r="Y300" i="2"/>
  <c r="P300" i="2"/>
  <c r="BO299" i="2"/>
  <c r="BM299" i="2"/>
  <c r="Y299" i="2"/>
  <c r="BP299" i="2" s="1"/>
  <c r="P299" i="2"/>
  <c r="BP298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Z276" i="2" s="1"/>
  <c r="P276" i="2"/>
  <c r="X274" i="2"/>
  <c r="X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BN267" i="2" s="1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BN256" i="2" s="1"/>
  <c r="P256" i="2"/>
  <c r="BP255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Y201" i="2"/>
  <c r="X201" i="2"/>
  <c r="X200" i="2"/>
  <c r="BO199" i="2"/>
  <c r="BM199" i="2"/>
  <c r="Y199" i="2"/>
  <c r="Z199" i="2" s="1"/>
  <c r="Z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P171" i="2"/>
  <c r="X169" i="2"/>
  <c r="X168" i="2"/>
  <c r="BO167" i="2"/>
  <c r="BM167" i="2"/>
  <c r="Y167" i="2"/>
  <c r="Z167" i="2" s="1"/>
  <c r="P167" i="2"/>
  <c r="BO166" i="2"/>
  <c r="BM166" i="2"/>
  <c r="Y166" i="2"/>
  <c r="Z166" i="2" s="1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Y149" i="2" s="1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BN127" i="2" s="1"/>
  <c r="P127" i="2"/>
  <c r="BO126" i="2"/>
  <c r="BM126" i="2"/>
  <c r="Y126" i="2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P94" i="2" s="1"/>
  <c r="P94" i="2"/>
  <c r="BO93" i="2"/>
  <c r="BM93" i="2"/>
  <c r="Y93" i="2"/>
  <c r="BN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N89" i="2" s="1"/>
  <c r="P89" i="2"/>
  <c r="X86" i="2"/>
  <c r="X85" i="2"/>
  <c r="BO84" i="2"/>
  <c r="BM84" i="2"/>
  <c r="Y84" i="2"/>
  <c r="Z84" i="2" s="1"/>
  <c r="P84" i="2"/>
  <c r="BO83" i="2"/>
  <c r="BM83" i="2"/>
  <c r="Y83" i="2"/>
  <c r="BN83" i="2" s="1"/>
  <c r="P83" i="2"/>
  <c r="BO82" i="2"/>
  <c r="BM82" i="2"/>
  <c r="Y82" i="2"/>
  <c r="P82" i="2"/>
  <c r="Y80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Z54" i="2"/>
  <c r="Y54" i="2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P22" i="2"/>
  <c r="H10" i="2"/>
  <c r="A9" i="2"/>
  <c r="D7" i="2"/>
  <c r="Q6" i="2"/>
  <c r="P2" i="2"/>
  <c r="BN324" i="2" l="1"/>
  <c r="BP424" i="2"/>
  <c r="BN432" i="2"/>
  <c r="BN511" i="2"/>
  <c r="BN562" i="2"/>
  <c r="BP29" i="2"/>
  <c r="Z72" i="2"/>
  <c r="Z83" i="2"/>
  <c r="BN94" i="2"/>
  <c r="BN222" i="2"/>
  <c r="Z237" i="2"/>
  <c r="BN237" i="2"/>
  <c r="BN260" i="2"/>
  <c r="Z301" i="2"/>
  <c r="BN317" i="2"/>
  <c r="Z424" i="2"/>
  <c r="BN444" i="2"/>
  <c r="BN490" i="2"/>
  <c r="Y554" i="2"/>
  <c r="Z552" i="2"/>
  <c r="Z553" i="2" s="1"/>
  <c r="BP176" i="2"/>
  <c r="BN223" i="2"/>
  <c r="Y129" i="2"/>
  <c r="Y139" i="2"/>
  <c r="BN531" i="2"/>
  <c r="BP530" i="2"/>
  <c r="BN100" i="2"/>
  <c r="Y103" i="2"/>
  <c r="Z100" i="2"/>
  <c r="BP557" i="2"/>
  <c r="AC575" i="2"/>
  <c r="BP529" i="2"/>
  <c r="Z528" i="2"/>
  <c r="BN524" i="2"/>
  <c r="BN515" i="2"/>
  <c r="AA575" i="2"/>
  <c r="Z494" i="2"/>
  <c r="Z495" i="2" s="1"/>
  <c r="BP494" i="2"/>
  <c r="BN494" i="2"/>
  <c r="Y495" i="2"/>
  <c r="BN486" i="2"/>
  <c r="BN477" i="2"/>
  <c r="Y471" i="2"/>
  <c r="BP443" i="2"/>
  <c r="Z443" i="2"/>
  <c r="Y448" i="2"/>
  <c r="Z439" i="2"/>
  <c r="BP439" i="2"/>
  <c r="BN426" i="2"/>
  <c r="Z426" i="2"/>
  <c r="BN424" i="2"/>
  <c r="BN419" i="2"/>
  <c r="Y421" i="2"/>
  <c r="BP413" i="2"/>
  <c r="Z413" i="2"/>
  <c r="Y414" i="2"/>
  <c r="Z411" i="2"/>
  <c r="Y402" i="2"/>
  <c r="Z399" i="2"/>
  <c r="BP398" i="2"/>
  <c r="Y389" i="2"/>
  <c r="BN377" i="2"/>
  <c r="Y379" i="2"/>
  <c r="BP350" i="2"/>
  <c r="BP348" i="2"/>
  <c r="Z348" i="2"/>
  <c r="BN344" i="2"/>
  <c r="Z335" i="2"/>
  <c r="BP335" i="2"/>
  <c r="BN328" i="2"/>
  <c r="Z317" i="2"/>
  <c r="BP301" i="2"/>
  <c r="BN299" i="2"/>
  <c r="Y293" i="2"/>
  <c r="BN286" i="2"/>
  <c r="BP285" i="2"/>
  <c r="BP278" i="2"/>
  <c r="BN270" i="2"/>
  <c r="Y273" i="2"/>
  <c r="Z270" i="2"/>
  <c r="Z260" i="2"/>
  <c r="BN232" i="2"/>
  <c r="BP229" i="2"/>
  <c r="BP224" i="2"/>
  <c r="Z222" i="2"/>
  <c r="BN220" i="2"/>
  <c r="Z209" i="2"/>
  <c r="BP184" i="2"/>
  <c r="BP179" i="2"/>
  <c r="Y187" i="2"/>
  <c r="Y173" i="2"/>
  <c r="BN167" i="2"/>
  <c r="BP153" i="2"/>
  <c r="Z152" i="2"/>
  <c r="BP136" i="2"/>
  <c r="Z136" i="2"/>
  <c r="BN136" i="2"/>
  <c r="Z125" i="2"/>
  <c r="BP125" i="2"/>
  <c r="Y113" i="2"/>
  <c r="Y102" i="2"/>
  <c r="Z94" i="2"/>
  <c r="Z91" i="2"/>
  <c r="BP83" i="2"/>
  <c r="BP78" i="2"/>
  <c r="Y79" i="2"/>
  <c r="Y75" i="2"/>
  <c r="BP71" i="2"/>
  <c r="Z71" i="2"/>
  <c r="Z61" i="2"/>
  <c r="BP61" i="2"/>
  <c r="BN59" i="2"/>
  <c r="Z44" i="2"/>
  <c r="C575" i="2"/>
  <c r="BN43" i="2"/>
  <c r="BN26" i="2"/>
  <c r="Y161" i="2"/>
  <c r="BP159" i="2"/>
  <c r="Z159" i="2"/>
  <c r="Z160" i="2" s="1"/>
  <c r="Y160" i="2"/>
  <c r="BN159" i="2"/>
  <c r="Y169" i="2"/>
  <c r="BP165" i="2"/>
  <c r="BP231" i="2"/>
  <c r="Z231" i="2"/>
  <c r="BN231" i="2"/>
  <c r="BN292" i="2"/>
  <c r="BP292" i="2"/>
  <c r="X567" i="2"/>
  <c r="Z41" i="2"/>
  <c r="BP43" i="2"/>
  <c r="Z45" i="2"/>
  <c r="Y46" i="2"/>
  <c r="Z51" i="2"/>
  <c r="Z62" i="2"/>
  <c r="BN66" i="2"/>
  <c r="BN72" i="2"/>
  <c r="Y74" i="2"/>
  <c r="Y96" i="2"/>
  <c r="BP90" i="2"/>
  <c r="Z90" i="2"/>
  <c r="BN90" i="2"/>
  <c r="BP210" i="2"/>
  <c r="Z210" i="2"/>
  <c r="BN210" i="2"/>
  <c r="Z255" i="2"/>
  <c r="BN255" i="2"/>
  <c r="BN272" i="2"/>
  <c r="BP272" i="2"/>
  <c r="BP280" i="2"/>
  <c r="Z280" i="2"/>
  <c r="BN280" i="2"/>
  <c r="BP287" i="2"/>
  <c r="Z287" i="2"/>
  <c r="Z26" i="2"/>
  <c r="BP92" i="2"/>
  <c r="Z92" i="2"/>
  <c r="BN92" i="2"/>
  <c r="Z110" i="2"/>
  <c r="BN110" i="2"/>
  <c r="BP126" i="2"/>
  <c r="Z126" i="2"/>
  <c r="BN126" i="2"/>
  <c r="Z283" i="2"/>
  <c r="BN283" i="2"/>
  <c r="BP28" i="2"/>
  <c r="BN62" i="2"/>
  <c r="BP66" i="2"/>
  <c r="Z89" i="2"/>
  <c r="Y95" i="2"/>
  <c r="BP89" i="2"/>
  <c r="BP178" i="2"/>
  <c r="BN178" i="2"/>
  <c r="Y233" i="2"/>
  <c r="BP227" i="2"/>
  <c r="Z227" i="2"/>
  <c r="BN227" i="2"/>
  <c r="Z250" i="2"/>
  <c r="Z251" i="2" s="1"/>
  <c r="BN250" i="2"/>
  <c r="Z101" i="2"/>
  <c r="BP167" i="2"/>
  <c r="Y248" i="2"/>
  <c r="M575" i="2"/>
  <c r="BP286" i="2"/>
  <c r="Y320" i="2"/>
  <c r="Z324" i="2"/>
  <c r="Z328" i="2"/>
  <c r="BN341" i="2"/>
  <c r="Y361" i="2"/>
  <c r="BN365" i="2"/>
  <c r="BP372" i="2"/>
  <c r="BP382" i="2"/>
  <c r="BP399" i="2"/>
  <c r="BN418" i="2"/>
  <c r="BP444" i="2"/>
  <c r="BP477" i="2"/>
  <c r="BN478" i="2"/>
  <c r="BP486" i="2"/>
  <c r="BN489" i="2"/>
  <c r="BP531" i="2"/>
  <c r="BN534" i="2"/>
  <c r="BN99" i="2"/>
  <c r="Z112" i="2"/>
  <c r="BN120" i="2"/>
  <c r="Y128" i="2"/>
  <c r="Z146" i="2"/>
  <c r="Z172" i="2"/>
  <c r="BP172" i="2"/>
  <c r="Z182" i="2"/>
  <c r="BP182" i="2"/>
  <c r="Z185" i="2"/>
  <c r="BP185" i="2"/>
  <c r="Y193" i="2"/>
  <c r="BP199" i="2"/>
  <c r="Z206" i="2"/>
  <c r="BP206" i="2"/>
  <c r="BP211" i="2"/>
  <c r="BP232" i="2"/>
  <c r="Z265" i="2"/>
  <c r="BP265" i="2"/>
  <c r="BN266" i="2"/>
  <c r="BP268" i="2"/>
  <c r="Y274" i="2"/>
  <c r="Z284" i="2"/>
  <c r="BP284" i="2"/>
  <c r="Y294" i="2"/>
  <c r="BN311" i="2"/>
  <c r="Y312" i="2"/>
  <c r="BP327" i="2"/>
  <c r="BP329" i="2"/>
  <c r="Y345" i="2"/>
  <c r="BN359" i="2"/>
  <c r="Y360" i="2"/>
  <c r="BN371" i="2"/>
  <c r="BN373" i="2"/>
  <c r="BP376" i="2"/>
  <c r="BN381" i="2"/>
  <c r="BN383" i="2"/>
  <c r="BP386" i="2"/>
  <c r="BN387" i="2"/>
  <c r="BN391" i="2"/>
  <c r="BN393" i="2"/>
  <c r="BN407" i="2"/>
  <c r="BP425" i="2"/>
  <c r="BN431" i="2"/>
  <c r="BP432" i="2"/>
  <c r="Z442" i="2"/>
  <c r="Y481" i="2"/>
  <c r="BP499" i="2"/>
  <c r="Y501" i="2"/>
  <c r="BP514" i="2"/>
  <c r="Y542" i="2"/>
  <c r="BP548" i="2"/>
  <c r="Y550" i="2"/>
  <c r="BP341" i="2"/>
  <c r="BP355" i="2"/>
  <c r="BP365" i="2"/>
  <c r="BP418" i="2"/>
  <c r="Y427" i="2"/>
  <c r="BP489" i="2"/>
  <c r="BP534" i="2"/>
  <c r="BP93" i="2"/>
  <c r="BP99" i="2"/>
  <c r="BP120" i="2"/>
  <c r="BP127" i="2"/>
  <c r="BN146" i="2"/>
  <c r="BN199" i="2"/>
  <c r="Y200" i="2"/>
  <c r="BP208" i="2"/>
  <c r="BN211" i="2"/>
  <c r="BP221" i="2"/>
  <c r="BP239" i="2"/>
  <c r="BN265" i="2"/>
  <c r="BP267" i="2"/>
  <c r="BN268" i="2"/>
  <c r="BP277" i="2"/>
  <c r="BP303" i="2"/>
  <c r="Z311" i="2"/>
  <c r="Z312" i="2" s="1"/>
  <c r="BP311" i="2"/>
  <c r="BP316" i="2"/>
  <c r="BP318" i="2"/>
  <c r="Y352" i="2"/>
  <c r="Z359" i="2"/>
  <c r="Z360" i="2" s="1"/>
  <c r="Z371" i="2"/>
  <c r="BP371" i="2"/>
  <c r="Z373" i="2"/>
  <c r="BN376" i="2"/>
  <c r="Z381" i="2"/>
  <c r="BP381" i="2"/>
  <c r="Z383" i="2"/>
  <c r="BN386" i="2"/>
  <c r="Z391" i="2"/>
  <c r="BP391" i="2"/>
  <c r="Z393" i="2"/>
  <c r="Y401" i="2"/>
  <c r="Z400" i="2"/>
  <c r="Z407" i="2"/>
  <c r="V575" i="2"/>
  <c r="Z431" i="2"/>
  <c r="Z446" i="2"/>
  <c r="Z469" i="2"/>
  <c r="Z470" i="2" s="1"/>
  <c r="Y480" i="2"/>
  <c r="Y500" i="2"/>
  <c r="BN514" i="2"/>
  <c r="BP524" i="2"/>
  <c r="Z540" i="2"/>
  <c r="Z541" i="2" s="1"/>
  <c r="BN548" i="2"/>
  <c r="Y549" i="2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Z138" i="2" s="1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Z414" i="2" s="1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Z434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Z173" i="2" s="1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BP147" i="2"/>
  <c r="BN147" i="2"/>
  <c r="Z147" i="2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59" i="2"/>
  <c r="BP65" i="2"/>
  <c r="BN65" i="2"/>
  <c r="BN70" i="2"/>
  <c r="Z93" i="2"/>
  <c r="Z98" i="2"/>
  <c r="Z102" i="2" s="1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395" i="2" s="1"/>
  <c r="Z425" i="2"/>
  <c r="Z427" i="2" s="1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Z247" i="2" s="1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Z401" i="2" s="1"/>
  <c r="BN456" i="2"/>
  <c r="Y459" i="2"/>
  <c r="BN479" i="2"/>
  <c r="BN504" i="2"/>
  <c r="BN516" i="2"/>
  <c r="BP540" i="2"/>
  <c r="BP552" i="2"/>
  <c r="Y564" i="2"/>
  <c r="BN398" i="2"/>
  <c r="Y541" i="2"/>
  <c r="Z378" i="2" l="1"/>
  <c r="Z367" i="2"/>
  <c r="Z345" i="2"/>
  <c r="Z319" i="2"/>
  <c r="Z156" i="2"/>
  <c r="Z148" i="2"/>
  <c r="Z113" i="2"/>
  <c r="X568" i="2"/>
  <c r="Z95" i="2"/>
  <c r="Z67" i="2"/>
  <c r="Z46" i="2"/>
  <c r="Z36" i="2"/>
  <c r="Z535" i="2"/>
  <c r="Z447" i="2"/>
  <c r="Z128" i="2"/>
  <c r="Z351" i="2"/>
  <c r="Z192" i="2"/>
  <c r="Z31" i="2"/>
  <c r="Z388" i="2"/>
  <c r="Z288" i="2"/>
  <c r="Z558" i="2"/>
  <c r="Z74" i="2"/>
  <c r="Z408" i="2"/>
  <c r="Z337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<sst xmlns="http://schemas.openxmlformats.org/spreadsheetml/2006/main" count="4253" uniqueCount="898">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</sst>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897</v>
      </c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879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4.1666666666666664E-2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6</v>
      </c>
      <c r="Y28" s="55">
        <f>IFERROR(IF(X28="",0,CEILING((X28/$H28),1)*$H28),"")</f>
        <v>7.2</v>
      </c>
      <c r="Z28" s="41">
        <f>IFERROR(IF(Y28=0,"",ROUNDUP(Y28/H28,0)*0.00651),"")</f>
        <v>2.6040000000000001E-2</v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10.600000000000001</v>
      </c>
      <c r="BN28" s="78">
        <f>IFERROR(Y28*I28/H28,"0")</f>
        <v>12.72</v>
      </c>
      <c r="BO28" s="78">
        <f>IFERROR(1/J28*(X28/H28),"0")</f>
        <v>1.8315018315018316E-2</v>
      </c>
      <c r="BP28" s="78">
        <f>IFERROR(1/J28*(Y28/H28),"0")</f>
        <v>2.197802197802198E-2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3.333333333333333</v>
      </c>
      <c r="Y31" s="43">
        <f>IFERROR(Y26/H26,"0")+IFERROR(Y27/H27,"0")+IFERROR(Y28/H28,"0")+IFERROR(Y29/H29,"0")+IFERROR(Y30/H30,"0")</f>
        <v>4</v>
      </c>
      <c r="Z31" s="43">
        <f>IFERROR(IF(Z26="",0,Z26),"0")+IFERROR(IF(Z27="",0,Z27),"0")+IFERROR(IF(Z28="",0,Z28),"0")+IFERROR(IF(Z29="",0,Z29),"0")+IFERROR(IF(Z30="",0,Z30),"0")</f>
        <v>2.6040000000000001E-2</v>
      </c>
      <c r="AA31" s="67"/>
      <c r="AB31" s="67"/>
      <c r="AC31" s="67"/>
    </row>
    <row r="32" spans="1:68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6</v>
      </c>
      <c r="Y32" s="43">
        <f>IFERROR(SUM(Y26:Y30),"0")</f>
        <v>7.2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280</v>
      </c>
      <c r="Y51" s="55">
        <f>IFERROR(IF(X51="",0,CEILING((X51/$H51),1)*$H51),"")</f>
        <v>280.8</v>
      </c>
      <c r="Z51" s="41">
        <f>IFERROR(IF(Y51=0,"",ROUNDUP(Y51/H51,0)*0.01898),"")</f>
        <v>0.49348000000000003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290.62962962962962</v>
      </c>
      <c r="BN51" s="78">
        <f>IFERROR(Y51*I51/H51,"0")</f>
        <v>291.46000000000004</v>
      </c>
      <c r="BO51" s="78">
        <f>IFERROR(1/J51*(X51/H51),"0")</f>
        <v>0.40509259259259256</v>
      </c>
      <c r="BP51" s="78">
        <f>IFERROR(1/J51*(Y51/H51),"0")</f>
        <v>0.40625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160</v>
      </c>
      <c r="Y53" s="55">
        <f>IFERROR(IF(X53="",0,CEILING((X53/$H53),1)*$H53),"")</f>
        <v>160</v>
      </c>
      <c r="Z53" s="41">
        <f>IFERROR(IF(Y53=0,"",ROUNDUP(Y53/H53,0)*0.00902),"")</f>
        <v>0.36080000000000001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167.60000000000002</v>
      </c>
      <c r="BN53" s="78">
        <f>IFERROR(Y53*I53/H53,"0")</f>
        <v>167.60000000000002</v>
      </c>
      <c r="BO53" s="78">
        <f>IFERROR(1/J53*(X53/H53),"0")</f>
        <v>0.30303030303030304</v>
      </c>
      <c r="BP53" s="78">
        <f>IFERROR(1/J53*(Y53/H53),"0")</f>
        <v>0.30303030303030304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65.925925925925924</v>
      </c>
      <c r="Y55" s="43">
        <f>IFERROR(Y51/H51,"0")+IFERROR(Y52/H52,"0")+IFERROR(Y53/H53,"0")+IFERROR(Y54/H54,"0")</f>
        <v>66</v>
      </c>
      <c r="Z55" s="43">
        <f>IFERROR(IF(Z51="",0,Z51),"0")+IFERROR(IF(Z52="",0,Z52),"0")+IFERROR(IF(Z53="",0,Z53),"0")+IFERROR(IF(Z54="",0,Z54),"0")</f>
        <v>0.85428000000000004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440</v>
      </c>
      <c r="Y56" s="43">
        <f>IFERROR(SUM(Y51:Y54),"0")</f>
        <v>440.8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100</v>
      </c>
      <c r="Y60" s="55">
        <f t="shared" si="0"/>
        <v>108</v>
      </c>
      <c r="Z60" s="41">
        <f>IFERROR(IF(Y60=0,"",ROUNDUP(Y60/H60,0)*0.01898),"")</f>
        <v>0.1898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103.79629629629629</v>
      </c>
      <c r="BN60" s="78">
        <f t="shared" si="2"/>
        <v>112.1</v>
      </c>
      <c r="BO60" s="78">
        <f t="shared" si="3"/>
        <v>0.14467592592592593</v>
      </c>
      <c r="BP60" s="78">
        <f t="shared" si="4"/>
        <v>0.15625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59.25925925925926</v>
      </c>
      <c r="Y67" s="43">
        <f>IFERROR(Y59/H59,"0")+IFERROR(Y60/H60,"0")+IFERROR(Y61/H61,"0")+IFERROR(Y62/H62,"0")+IFERROR(Y63/H63,"0")+IFERROR(Y64/H64,"0")+IFERROR(Y65/H65,"0")+IFERROR(Y66/H66,"0")</f>
        <v>60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0.64080000000000004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325</v>
      </c>
      <c r="Y68" s="43">
        <f>IFERROR(SUM(Y59:Y66),"0")</f>
        <v>333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36.111111111111107</v>
      </c>
      <c r="Y74" s="43">
        <f>IFERROR(Y70/H70,"0")+IFERROR(Y71/H71,"0")+IFERROR(Y72/H72,"0")+IFERROR(Y73/H73,"0")</f>
        <v>37</v>
      </c>
      <c r="Z74" s="43">
        <f>IFERROR(IF(Z70="",0,Z70),"0")+IFERROR(IF(Z71="",0,Z71),"0")+IFERROR(IF(Z72="",0,Z72),"0")+IFERROR(IF(Z73="",0,Z73),"0")</f>
        <v>0.27828000000000003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120</v>
      </c>
      <c r="Y75" s="43">
        <f>IFERROR(SUM(Y70:Y73),"0")</f>
        <v>124.20000000000002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20</v>
      </c>
      <c r="Y82" s="55">
        <f>IFERROR(IF(X82="",0,CEILING((X82/$H82),1)*$H82),"")</f>
        <v>23.4</v>
      </c>
      <c r="Z82" s="41">
        <f>IFERROR(IF(Y82=0,"",ROUNDUP(Y82/H82,0)*0.01898),"")</f>
        <v>5.6940000000000004E-2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21.051282051282055</v>
      </c>
      <c r="BN82" s="78">
        <f>IFERROR(Y82*I82/H82,"0")</f>
        <v>24.630000000000003</v>
      </c>
      <c r="BO82" s="78">
        <f>IFERROR(1/J82*(X82/H82),"0")</f>
        <v>4.0064102564102567E-2</v>
      </c>
      <c r="BP82" s="78">
        <f>IFERROR(1/J82*(Y82/H82),"0")</f>
        <v>4.6875E-2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2.5641025641025643</v>
      </c>
      <c r="Y85" s="43">
        <f>IFERROR(Y82/H82,"0")+IFERROR(Y83/H83,"0")+IFERROR(Y84/H84,"0")</f>
        <v>3</v>
      </c>
      <c r="Z85" s="43">
        <f>IFERROR(IF(Z82="",0,Z82),"0")+IFERROR(IF(Z83="",0,Z83),"0")+IFERROR(IF(Z84="",0,Z84),"0")</f>
        <v>5.6940000000000004E-2</v>
      </c>
      <c r="AA85" s="67"/>
      <c r="AB85" s="67"/>
      <c r="AC85" s="67"/>
    </row>
    <row r="86" spans="1:68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20</v>
      </c>
      <c r="Y86" s="43">
        <f>IFERROR(SUM(Y82:Y84),"0")</f>
        <v>23.4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150</v>
      </c>
      <c r="Y89" s="55">
        <f t="shared" ref="Y89:Y94" si="5">IFERROR(IF(X89="",0,CEILING((X89/$H89),1)*$H89),"")</f>
        <v>151.20000000000002</v>
      </c>
      <c r="Z89" s="41">
        <f>IFERROR(IF(Y89=0,"",ROUNDUP(Y89/H89,0)*0.01898),"")</f>
        <v>0.26572000000000001</v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155.69444444444446</v>
      </c>
      <c r="BN89" s="78">
        <f t="shared" ref="BN89:BN94" si="7">IFERROR(Y89*I89/H89,"0")</f>
        <v>156.94</v>
      </c>
      <c r="BO89" s="78">
        <f t="shared" ref="BO89:BO94" si="8">IFERROR(1/J89*(X89/H89),"0")</f>
        <v>0.21701388888888887</v>
      </c>
      <c r="BP89" s="78">
        <f t="shared" ref="BP89:BP94" si="9">IFERROR(1/J89*(Y89/H89),"0")</f>
        <v>0.21875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180</v>
      </c>
      <c r="Y94" s="55">
        <f t="shared" si="5"/>
        <v>180</v>
      </c>
      <c r="Z94" s="41">
        <f>IFERROR(IF(Y94=0,"",ROUNDUP(Y94/H94,0)*0.00902),"")</f>
        <v>0.36080000000000001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187.60000000000002</v>
      </c>
      <c r="BN94" s="78">
        <f t="shared" si="7"/>
        <v>187.60000000000002</v>
      </c>
      <c r="BO94" s="78">
        <f t="shared" si="8"/>
        <v>0.30303030303030304</v>
      </c>
      <c r="BP94" s="78">
        <f t="shared" si="9"/>
        <v>0.30303030303030304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53.888888888888886</v>
      </c>
      <c r="Y95" s="43">
        <f>IFERROR(Y89/H89,"0")+IFERROR(Y90/H90,"0")+IFERROR(Y91/H91,"0")+IFERROR(Y92/H92,"0")+IFERROR(Y93/H93,"0")+IFERROR(Y94/H94,"0")</f>
        <v>54</v>
      </c>
      <c r="Z95" s="43">
        <f>IFERROR(IF(Z89="",0,Z89),"0")+IFERROR(IF(Z90="",0,Z90),"0")+IFERROR(IF(Z91="",0,Z91),"0")+IFERROR(IF(Z92="",0,Z92),"0")+IFERROR(IF(Z93="",0,Z93),"0")+IFERROR(IF(Z94="",0,Z94),"0")</f>
        <v>0.62651999999999997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330</v>
      </c>
      <c r="Y96" s="43">
        <f>IFERROR(SUM(Y89:Y94),"0")</f>
        <v>331.20000000000005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</v>
      </c>
      <c r="Z98" s="41">
        <f>IFERROR(IF(Y98=0,"",ROUNDUP(Y98/H98,0)*0.01898),"")</f>
        <v>0.58838000000000001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265.24691358024694</v>
      </c>
      <c r="BN98" s="78">
        <f>IFERROR(Y98*I98/H98,"0")</f>
        <v>266.41399999999999</v>
      </c>
      <c r="BO98" s="78">
        <f>IFERROR(1/J98*(X98/H98),"0")</f>
        <v>0.48225308641975312</v>
      </c>
      <c r="BP98" s="78">
        <f>IFERROR(1/J98*(Y98/H98),"0")</f>
        <v>0.484375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360</v>
      </c>
      <c r="Y100" s="55">
        <f>IFERROR(IF(X100="",0,CEILING((X100/$H100),1)*$H100),"")</f>
        <v>361.8</v>
      </c>
      <c r="Z100" s="41">
        <f>IFERROR(IF(Y100=0,"",ROUNDUP(Y100/H100,0)*0.00651),"")</f>
        <v>0.87234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393.59999999999997</v>
      </c>
      <c r="BN100" s="78">
        <f>IFERROR(Y100*I100/H100,"0")</f>
        <v>395.56799999999998</v>
      </c>
      <c r="BO100" s="78">
        <f>IFERROR(1/J100*(X100/H100),"0")</f>
        <v>0.73260073260073255</v>
      </c>
      <c r="BP100" s="78">
        <f>IFERROR(1/J100*(Y100/H100),"0")</f>
        <v>0.73626373626373631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164.19753086419752</v>
      </c>
      <c r="Y102" s="43">
        <f>IFERROR(Y98/H98,"0")+IFERROR(Y99/H99,"0")+IFERROR(Y100/H100,"0")+IFERROR(Y101/H101,"0")</f>
        <v>165</v>
      </c>
      <c r="Z102" s="43">
        <f>IFERROR(IF(Z98="",0,Z98),"0")+IFERROR(IF(Z99="",0,Z99),"0")+IFERROR(IF(Z100="",0,Z100),"0")+IFERROR(IF(Z101="",0,Z101),"0")</f>
        <v>1.46072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610</v>
      </c>
      <c r="Y103" s="43">
        <f>IFERROR(SUM(Y98:Y101),"0")</f>
        <v>612.9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70</v>
      </c>
      <c r="Y106" s="55">
        <f t="shared" ref="Y106:Y112" si="10">IFERROR(IF(X106="",0,CEILING((X106/$H106),1)*$H106),"")</f>
        <v>75.600000000000009</v>
      </c>
      <c r="Z106" s="41">
        <f>IFERROR(IF(Y106=0,"",ROUNDUP(Y106/H106,0)*0.01898),"")</f>
        <v>0.13286000000000001</v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72.657407407407405</v>
      </c>
      <c r="BN106" s="78">
        <f t="shared" ref="BN106:BN112" si="12">IFERROR(Y106*I106/H106,"0")</f>
        <v>78.47</v>
      </c>
      <c r="BO106" s="78">
        <f t="shared" ref="BO106:BO112" si="13">IFERROR(1/J106*(X106/H106),"0")</f>
        <v>0.10127314814814814</v>
      </c>
      <c r="BP106" s="78">
        <f t="shared" ref="BP106:BP112" si="14">IFERROR(1/J106*(Y106/H106),"0")</f>
        <v>0.109375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270</v>
      </c>
      <c r="Y110" s="55">
        <f t="shared" si="10"/>
        <v>270</v>
      </c>
      <c r="Z110" s="41">
        <f>IFERROR(IF(Y110=0,"",ROUNDUP(Y110/H110,0)*0.00902),"")</f>
        <v>0.54120000000000001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281.40000000000003</v>
      </c>
      <c r="BN110" s="78">
        <f t="shared" si="12"/>
        <v>281.40000000000003</v>
      </c>
      <c r="BO110" s="78">
        <f t="shared" si="13"/>
        <v>0.45454545454545459</v>
      </c>
      <c r="BP110" s="78">
        <f t="shared" si="14"/>
        <v>0.45454545454545459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66.481481481481481</v>
      </c>
      <c r="Y113" s="43">
        <f>IFERROR(Y106/H106,"0")+IFERROR(Y107/H107,"0")+IFERROR(Y108/H108,"0")+IFERROR(Y109/H109,"0")+IFERROR(Y110/H110,"0")+IFERROR(Y111/H111,"0")+IFERROR(Y112/H112,"0")</f>
        <v>67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0.67405999999999999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340</v>
      </c>
      <c r="Y114" s="43">
        <f>IFERROR(SUM(Y106:Y112),"0")</f>
        <v>345.6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700</v>
      </c>
      <c r="Y124" s="55">
        <f>IFERROR(IF(X124="",0,CEILING((X124/$H124),1)*$H124),"")</f>
        <v>704.69999999999993</v>
      </c>
      <c r="Z124" s="41">
        <f>IFERROR(IF(Y124=0,"",ROUNDUP(Y124/H124,0)*0.01898),"")</f>
        <v>1.65126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742.17283950617275</v>
      </c>
      <c r="BN124" s="78">
        <f>IFERROR(Y124*I124/H124,"0")</f>
        <v>747.15599999999995</v>
      </c>
      <c r="BO124" s="78">
        <f>IFERROR(1/J124*(X124/H124),"0")</f>
        <v>1.3503086419753088</v>
      </c>
      <c r="BP124" s="78">
        <f>IFERROR(1/J124*(Y124/H124),"0")</f>
        <v>1.359375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675</v>
      </c>
      <c r="Y126" s="55">
        <f>IFERROR(IF(X126="",0,CEILING((X126/$H126),1)*$H126),"")</f>
        <v>675</v>
      </c>
      <c r="Z126" s="41">
        <f>IFERROR(IF(Y126=0,"",ROUNDUP(Y126/H126,0)*0.00651),"")</f>
        <v>1.6274999999999999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737.99999999999989</v>
      </c>
      <c r="BN126" s="78">
        <f>IFERROR(Y126*I126/H126,"0")</f>
        <v>737.99999999999989</v>
      </c>
      <c r="BO126" s="78">
        <f>IFERROR(1/J126*(X126/H126),"0")</f>
        <v>1.3736263736263736</v>
      </c>
      <c r="BP126" s="78">
        <f>IFERROR(1/J126*(Y126/H126),"0")</f>
        <v>1.3736263736263736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30</v>
      </c>
      <c r="Y127" s="55">
        <f>IFERROR(IF(X127="",0,CEILING((X127/$H127),1)*$H127),"")</f>
        <v>30.6</v>
      </c>
      <c r="Z127" s="41">
        <f>IFERROR(IF(Y127=0,"",ROUNDUP(Y127/H127,0)*0.00651),"")</f>
        <v>0.11067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33</v>
      </c>
      <c r="BN127" s="78">
        <f>IFERROR(Y127*I127/H127,"0")</f>
        <v>33.659999999999997</v>
      </c>
      <c r="BO127" s="78">
        <f>IFERROR(1/J127*(X127/H127),"0")</f>
        <v>9.1575091575091583E-2</v>
      </c>
      <c r="BP127" s="78">
        <f>IFERROR(1/J127*(Y127/H127),"0")</f>
        <v>9.3406593406593408E-2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353.08641975308643</v>
      </c>
      <c r="Y128" s="43">
        <f>IFERROR(Y124/H124,"0")+IFERROR(Y125/H125,"0")+IFERROR(Y126/H126,"0")+IFERROR(Y127/H127,"0")</f>
        <v>354</v>
      </c>
      <c r="Z128" s="43">
        <f>IFERROR(IF(Z124="",0,Z124),"0")+IFERROR(IF(Z125="",0,Z125),"0")+IFERROR(IF(Z126="",0,Z126),"0")+IFERROR(IF(Z127="",0,Z127),"0")</f>
        <v>3.3894299999999999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1405</v>
      </c>
      <c r="Y129" s="43">
        <f>IFERROR(SUM(Y124:Y127),"0")</f>
        <v>1410.2999999999997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53</v>
      </c>
      <c r="Y131" s="55">
        <f>IFERROR(IF(X131="",0,CEILING((X131/$H131),1)*$H131),"")</f>
        <v>53.46</v>
      </c>
      <c r="Z131" s="41">
        <f>IFERROR(IF(Y131=0,"",ROUNDUP(Y131/H131,0)*0.00651),"")</f>
        <v>0.17577000000000001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59.906060606060606</v>
      </c>
      <c r="BN131" s="78">
        <f>IFERROR(Y131*I131/H131,"0")</f>
        <v>60.426000000000002</v>
      </c>
      <c r="BO131" s="78">
        <f>IFERROR(1/J131*(X131/H131),"0")</f>
        <v>0.1470751470751471</v>
      </c>
      <c r="BP131" s="78">
        <f>IFERROR(1/J131*(Y131/H131),"0")</f>
        <v>0.14835164835164835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26.767676767676768</v>
      </c>
      <c r="Y132" s="43">
        <f>IFERROR(Y131/H131,"0")</f>
        <v>27</v>
      </c>
      <c r="Z132" s="43">
        <f>IFERROR(IF(Z131="",0,Z131),"0")</f>
        <v>0.17577000000000001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53</v>
      </c>
      <c r="Y133" s="43">
        <f>IFERROR(SUM(Y131:Y131),"0")</f>
        <v>53.46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40</v>
      </c>
      <c r="Y137" s="55">
        <f>IFERROR(IF(X137="",0,CEILING((X137/$H137),1)*$H137),"")</f>
        <v>41.6</v>
      </c>
      <c r="Z137" s="41">
        <f>IFERROR(IF(Y137=0,"",ROUNDUP(Y137/H137,0)*0.00651),"")</f>
        <v>8.4629999999999997E-2</v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42.249999999999993</v>
      </c>
      <c r="BN137" s="78">
        <f>IFERROR(Y137*I137/H137,"0")</f>
        <v>43.94</v>
      </c>
      <c r="BO137" s="78">
        <f>IFERROR(1/J137*(X137/H137),"0")</f>
        <v>6.8681318681318687E-2</v>
      </c>
      <c r="BP137" s="78">
        <f>IFERROR(1/J137*(Y137/H137),"0")</f>
        <v>7.1428571428571438E-2</v>
      </c>
    </row>
    <row r="138" spans="1:68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12.5</v>
      </c>
      <c r="Y138" s="43">
        <f>IFERROR(Y136/H136,"0")+IFERROR(Y137/H137,"0")</f>
        <v>13</v>
      </c>
      <c r="Z138" s="43">
        <f>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40</v>
      </c>
      <c r="Y139" s="43">
        <f>IFERROR(SUM(Y136:Y137),"0")</f>
        <v>41.6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35</v>
      </c>
      <c r="Y141" s="55">
        <f>IFERROR(IF(X141="",0,CEILING((X141/$H141),1)*$H141),"")</f>
        <v>36.4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38.35</v>
      </c>
      <c r="BN141" s="78">
        <f>IFERROR(Y141*I141/H141,"0")</f>
        <v>39.884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35</v>
      </c>
      <c r="Y144" s="43">
        <f>IFERROR(SUM(Y141:Y142),"0")</f>
        <v>36.4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33</v>
      </c>
      <c r="Y146" s="55">
        <f>IFERROR(IF(X146="",0,CEILING((X146/$H146),1)*$H146),"")</f>
        <v>34.32</v>
      </c>
      <c r="Z146" s="41">
        <f>IFERROR(IF(Y146=0,"",ROUNDUP(Y146/H146,0)*0.00651),"")</f>
        <v>8.4629999999999997E-2</v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36.349999999999994</v>
      </c>
      <c r="BN146" s="78">
        <f>IFERROR(Y146*I146/H146,"0")</f>
        <v>37.803999999999995</v>
      </c>
      <c r="BO146" s="78">
        <f>IFERROR(1/J146*(X146/H146),"0")</f>
        <v>6.8681318681318687E-2</v>
      </c>
      <c r="BP146" s="78">
        <f>IFERROR(1/J146*(Y146/H146),"0")</f>
        <v>7.1428571428571438E-2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12.5</v>
      </c>
      <c r="Y148" s="43">
        <f>IFERROR(Y146/H146,"0")+IFERROR(Y147/H147,"0")</f>
        <v>13</v>
      </c>
      <c r="Z148" s="43">
        <f>IFERROR(IF(Z146="",0,Z146),"0")+IFERROR(IF(Z147="",0,Z147),"0")</f>
        <v>8.4629999999999997E-2</v>
      </c>
      <c r="AA148" s="67"/>
      <c r="AB148" s="67"/>
      <c r="AC148" s="67"/>
    </row>
    <row r="149" spans="1:68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33</v>
      </c>
      <c r="Y149" s="43">
        <f>IFERROR(SUM(Y146:Y147),"0")</f>
        <v>34.32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200</v>
      </c>
      <c r="Y176" s="55">
        <f t="shared" ref="Y176:Y186" si="15">IFERROR(IF(X176="",0,CEILING((X176/$H176),1)*$H176),"")</f>
        <v>202.39999999999998</v>
      </c>
      <c r="Z176" s="41">
        <f>IFERROR(IF(Y176=0,"",ROUNDUP(Y176/H176,0)*0.01196),"")</f>
        <v>0.52624000000000004</v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215.21739130434784</v>
      </c>
      <c r="BN176" s="78">
        <f t="shared" ref="BN176:BN186" si="17">IFERROR(Y176*I176/H176,"0")</f>
        <v>217.79999999999998</v>
      </c>
      <c r="BO176" s="78">
        <f t="shared" ref="BO176:BO186" si="18">IFERROR(1/J176*(X176/H176),"0")</f>
        <v>0.41806020066889638</v>
      </c>
      <c r="BP176" s="78">
        <f t="shared" ref="BP176:BP186" si="19">IFERROR(1/J176*(Y176/H176),"0")</f>
        <v>0.42307692307692313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250</v>
      </c>
      <c r="Y177" s="55">
        <f t="shared" si="15"/>
        <v>252</v>
      </c>
      <c r="Z177" s="41">
        <f>IFERROR(IF(Y177=0,"",ROUNDUP(Y177/H177,0)*0.00902),"")</f>
        <v>0.64944000000000002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263.57142857142856</v>
      </c>
      <c r="BN177" s="78">
        <f t="shared" si="17"/>
        <v>265.68</v>
      </c>
      <c r="BO177" s="78">
        <f t="shared" si="18"/>
        <v>0.54112554112554112</v>
      </c>
      <c r="BP177" s="78">
        <f t="shared" si="19"/>
        <v>0.54545454545454541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240</v>
      </c>
      <c r="Y179" s="55">
        <f t="shared" si="15"/>
        <v>241.5</v>
      </c>
      <c r="Z179" s="41">
        <f>IFERROR(IF(Y179=0,"",ROUNDUP(Y179/H179,0)*0.00902),"")</f>
        <v>0.62238000000000004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253.02857142857144</v>
      </c>
      <c r="BN179" s="78">
        <f t="shared" si="17"/>
        <v>254.60999999999999</v>
      </c>
      <c r="BO179" s="78">
        <f t="shared" si="18"/>
        <v>0.51948051948051943</v>
      </c>
      <c r="BP179" s="78">
        <f t="shared" si="19"/>
        <v>0.52272727272727271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100</v>
      </c>
      <c r="Y180" s="55">
        <f t="shared" si="15"/>
        <v>101.5</v>
      </c>
      <c r="Z180" s="41">
        <f>IFERROR(IF(Y180=0,"",ROUNDUP(Y180/H180,0)*0.00902),"")</f>
        <v>0.26158000000000003</v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105.42857142857143</v>
      </c>
      <c r="BN180" s="78">
        <f t="shared" si="17"/>
        <v>107.00999999999999</v>
      </c>
      <c r="BO180" s="78">
        <f t="shared" si="18"/>
        <v>0.21645021645021648</v>
      </c>
      <c r="BP180" s="78">
        <f t="shared" si="19"/>
        <v>0.2196969696969697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11</v>
      </c>
      <c r="Y181" s="55">
        <f t="shared" si="15"/>
        <v>11.700000000000001</v>
      </c>
      <c r="Z181" s="41">
        <f>IFERROR(IF(Y181=0,"",ROUNDUP(Y181/H181,0)*0.00726),"")</f>
        <v>9.4380000000000006E-2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13.566666666666666</v>
      </c>
      <c r="BN181" s="78">
        <f t="shared" si="17"/>
        <v>14.430000000000001</v>
      </c>
      <c r="BO181" s="78">
        <f t="shared" si="18"/>
        <v>6.3657407407407399E-2</v>
      </c>
      <c r="BP181" s="78">
        <f t="shared" si="19"/>
        <v>6.7708333333333329E-2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140</v>
      </c>
      <c r="Y182" s="55">
        <f t="shared" si="15"/>
        <v>141.12</v>
      </c>
      <c r="Z182" s="41">
        <f>IFERROR(IF(Y182=0,"",ROUNDUP(Y182/H182,0)*0.00502),"")</f>
        <v>0.42168</v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148.33333333333334</v>
      </c>
      <c r="BN182" s="78">
        <f t="shared" si="17"/>
        <v>149.52000000000001</v>
      </c>
      <c r="BO182" s="78">
        <f t="shared" si="18"/>
        <v>0.35612535612535623</v>
      </c>
      <c r="BP182" s="78">
        <f t="shared" si="19"/>
        <v>0.35897435897435903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112</v>
      </c>
      <c r="Y184" s="55">
        <f t="shared" si="15"/>
        <v>112.56</v>
      </c>
      <c r="Z184" s="41">
        <f>IFERROR(IF(Y184=0,"",ROUNDUP(Y184/H184,0)*0.00502),"")</f>
        <v>0.33634000000000003</v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118.66666666666669</v>
      </c>
      <c r="BN184" s="78">
        <f t="shared" si="17"/>
        <v>119.26000000000002</v>
      </c>
      <c r="BO184" s="78">
        <f t="shared" si="18"/>
        <v>0.28490028490028496</v>
      </c>
      <c r="BP184" s="78">
        <f t="shared" si="19"/>
        <v>0.28632478632478636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374.27191166321603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378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2.9120399999999997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1053</v>
      </c>
      <c r="Y188" s="43">
        <f>IFERROR(SUM(Y176:Y186),"0")</f>
        <v>1062.78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ref="Y220:Y232" si="26">IFERROR(IF(X220="",0,CEILING((X220/$H220),1)*$H220),"")</f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63.571428571428569</v>
      </c>
      <c r="BN220" s="78">
        <f t="shared" ref="BN220:BN232" si="28">IFERROR(Y220*I220/H220,"0")</f>
        <v>66.75</v>
      </c>
      <c r="BO220" s="78">
        <f t="shared" ref="BO220:BO232" si="29">IFERROR(1/J220*(X220/H220),"0")</f>
        <v>0.10822510822510822</v>
      </c>
      <c r="BP220" s="78">
        <f t="shared" ref="BP220:BP232" si="30">IFERROR(1/J220*(Y220/H220),"0")</f>
        <v>0.11363636363636365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30</v>
      </c>
      <c r="Y221" s="55">
        <f t="shared" si="26"/>
        <v>33.6</v>
      </c>
      <c r="Z221" s="41">
        <f>IFERROR(IF(Y221=0,"",ROUNDUP(Y221/H221,0)*0.00902),"")</f>
        <v>7.2160000000000002E-2</v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31.785714285714285</v>
      </c>
      <c r="BN221" s="78">
        <f t="shared" si="28"/>
        <v>35.6</v>
      </c>
      <c r="BO221" s="78">
        <f t="shared" si="29"/>
        <v>5.4112554112554112E-2</v>
      </c>
      <c r="BP221" s="78">
        <f t="shared" si="30"/>
        <v>6.0606060606060608E-2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10</v>
      </c>
      <c r="Y223" s="55">
        <f t="shared" si="26"/>
        <v>10.4</v>
      </c>
      <c r="Z223" s="41">
        <f>IFERROR(IF(Y223=0,"",ROUNDUP(Y223/H223,0)*0.00556),"")</f>
        <v>7.2279999999999997E-2</v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11.625</v>
      </c>
      <c r="BN223" s="78">
        <f t="shared" si="28"/>
        <v>12.09</v>
      </c>
      <c r="BO223" s="78">
        <f t="shared" si="29"/>
        <v>5.3418803418803423E-2</v>
      </c>
      <c r="BP223" s="78">
        <f t="shared" si="30"/>
        <v>5.5555555555555559E-2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35</v>
      </c>
      <c r="Y224" s="55">
        <f t="shared" si="26"/>
        <v>35.700000000000003</v>
      </c>
      <c r="Z224" s="41">
        <f>IFERROR(IF(Y224=0,"",ROUNDUP(Y224/H224,0)*0.00502),"")</f>
        <v>8.5339999999999999E-2</v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37.166666666666664</v>
      </c>
      <c r="BN224" s="78">
        <f t="shared" si="28"/>
        <v>37.910000000000004</v>
      </c>
      <c r="BO224" s="78">
        <f t="shared" si="29"/>
        <v>7.1225071225071226E-2</v>
      </c>
      <c r="BP224" s="78">
        <f t="shared" si="30"/>
        <v>7.2649572649572655E-2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77</v>
      </c>
      <c r="Y226" s="55">
        <f t="shared" si="26"/>
        <v>77.7</v>
      </c>
      <c r="Z226" s="41">
        <f>IFERROR(IF(Y226=0,"",ROUNDUP(Y226/H226,0)*0.00502),"")</f>
        <v>0.18574000000000002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81.766666666666666</v>
      </c>
      <c r="BN226" s="78">
        <f t="shared" si="28"/>
        <v>82.51</v>
      </c>
      <c r="BO226" s="78">
        <f t="shared" si="29"/>
        <v>0.15669515669515671</v>
      </c>
      <c r="BP226" s="78">
        <f t="shared" si="30"/>
        <v>0.15811965811965814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4</v>
      </c>
      <c r="Y229" s="55">
        <f t="shared" si="26"/>
        <v>4</v>
      </c>
      <c r="Z229" s="41">
        <f>IFERROR(IF(Y229=0,"",ROUNDUP(Y229/H229,0)*0.00417),"")</f>
        <v>2.085E-2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5.05</v>
      </c>
      <c r="BN229" s="78">
        <f t="shared" si="28"/>
        <v>5.05</v>
      </c>
      <c r="BO229" s="78">
        <f t="shared" si="29"/>
        <v>1.6025641025641024E-2</v>
      </c>
      <c r="BP229" s="78">
        <f t="shared" si="30"/>
        <v>1.6025641025641024E-2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105</v>
      </c>
      <c r="Y230" s="55">
        <f t="shared" si="26"/>
        <v>105</v>
      </c>
      <c r="Z230" s="41">
        <f>IFERROR(IF(Y230=0,"",ROUNDUP(Y230/H230,0)*0.00502),"")</f>
        <v>0.251</v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110.00000000000001</v>
      </c>
      <c r="BN230" s="78">
        <f t="shared" si="28"/>
        <v>110.00000000000001</v>
      </c>
      <c r="BO230" s="78">
        <f t="shared" si="29"/>
        <v>0.21367521367521369</v>
      </c>
      <c r="BP230" s="78">
        <f t="shared" si="30"/>
        <v>0.21367521367521369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142.26190476190476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145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0.82267000000000001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321</v>
      </c>
      <c r="Y234" s="43">
        <f>IFERROR(SUM(Y220:Y232),"0")</f>
        <v>329.4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18</v>
      </c>
      <c r="Y238" s="55">
        <f>IFERROR(IF(X238="",0,CEILING((X238/$H238),1)*$H238),"")</f>
        <v>19.440000000000001</v>
      </c>
      <c r="Z238" s="41">
        <f>IFERROR(IF(Y238=0,"",ROUNDUP(Y238/H238,0)*0.00902),"")</f>
        <v>8.1180000000000002E-2</v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20.183333333333334</v>
      </c>
      <c r="BN238" s="78">
        <f>IFERROR(Y238*I238/H238,"0")</f>
        <v>21.798000000000002</v>
      </c>
      <c r="BO238" s="78">
        <f>IFERROR(1/J238*(X238/H238),"0")</f>
        <v>6.3131313131313122E-2</v>
      </c>
      <c r="BP238" s="78">
        <f>IFERROR(1/J238*(Y238/H238),"0")</f>
        <v>6.8181818181818177E-2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18</v>
      </c>
      <c r="Y240" s="55">
        <f>IFERROR(IF(X240="",0,CEILING((X240/$H240),1)*$H240),"")</f>
        <v>19.440000000000001</v>
      </c>
      <c r="Z240" s="41">
        <f>IFERROR(IF(Y240=0,"",ROUNDUP(Y240/H240,0)*0.00902),"")</f>
        <v>8.1180000000000002E-2</v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20.183333333333334</v>
      </c>
      <c r="BN240" s="78">
        <f>IFERROR(Y240*I240/H240,"0")</f>
        <v>21.798000000000002</v>
      </c>
      <c r="BO240" s="78">
        <f>IFERROR(1/J240*(X240/H240),"0")</f>
        <v>6.3131313131313122E-2</v>
      </c>
      <c r="BP240" s="78">
        <f>IFERROR(1/J240*(Y240/H240),"0")</f>
        <v>6.8181818181818177E-2</v>
      </c>
    </row>
    <row r="241" spans="1:68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16.666666666666664</v>
      </c>
      <c r="Y241" s="43">
        <f>IFERROR(Y236/H236,"0")+IFERROR(Y237/H237,"0")+IFERROR(Y238/H238,"0")+IFERROR(Y239/H239,"0")+IFERROR(Y240/H240,"0")</f>
        <v>18</v>
      </c>
      <c r="Z241" s="43">
        <f>IFERROR(IF(Z236="",0,Z236),"0")+IFERROR(IF(Z237="",0,Z237),"0")+IFERROR(IF(Z238="",0,Z238),"0")+IFERROR(IF(Z239="",0,Z239),"0")+IFERROR(IF(Z240="",0,Z240),"0")</f>
        <v>0.16236</v>
      </c>
      <c r="AA241" s="67"/>
      <c r="AB241" s="67"/>
      <c r="AC241" s="67"/>
    </row>
    <row r="242" spans="1:68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36</v>
      </c>
      <c r="Y242" s="43">
        <f>IFERROR(SUM(Y236:Y240),"0")</f>
        <v>38.880000000000003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14</v>
      </c>
      <c r="Y245" s="55">
        <f>IFERROR(IF(X245="",0,CEILING((X245/$H245),1)*$H245),"")</f>
        <v>15.120000000000001</v>
      </c>
      <c r="Z245" s="41">
        <f>IFERROR(IF(Y245=0,"",ROUNDUP(Y245/H245,0)*0.0059),"")</f>
        <v>7.0800000000000002E-2</v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16.111111111111111</v>
      </c>
      <c r="BN245" s="78">
        <f>IFERROR(Y245*I245/H245,"0")</f>
        <v>17.399999999999999</v>
      </c>
      <c r="BO245" s="78">
        <f>IFERROR(1/J245*(X245/H245),"0")</f>
        <v>5.1440329218106991E-2</v>
      </c>
      <c r="BP245" s="78">
        <f>IFERROR(1/J245*(Y245/H245),"0")</f>
        <v>5.5555555555555552E-2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7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2.5720164609053495E-2</v>
      </c>
      <c r="BP246" s="78">
        <f>IFERROR(1/J246*(Y246/H246),"0")</f>
        <v>2.7777777777777776E-2</v>
      </c>
    </row>
    <row r="247" spans="1:68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22.222222222222221</v>
      </c>
      <c r="Y247" s="43">
        <f>IFERROR(Y244/H244,"0")+IFERROR(Y245/H245,"0")+IFERROR(Y246/H246,"0")</f>
        <v>24</v>
      </c>
      <c r="Z247" s="43">
        <f>IFERROR(IF(Z244="",0,Z244),"0")+IFERROR(IF(Z245="",0,Z245),"0")+IFERROR(IF(Z246="",0,Z246),"0")</f>
        <v>0.1416</v>
      </c>
      <c r="AA247" s="67"/>
      <c r="AB247" s="67"/>
      <c r="AC247" s="67"/>
    </row>
    <row r="248" spans="1:68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28</v>
      </c>
      <c r="Y248" s="43">
        <f>IFERROR(SUM(Y244:Y246),"0")</f>
        <v>30.240000000000002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14</v>
      </c>
      <c r="Y250" s="55">
        <f>IFERROR(IF(X250="",0,CEILING((X250/$H250),1)*$H250),"")</f>
        <v>15.120000000000001</v>
      </c>
      <c r="Z250" s="41">
        <f>IFERROR(IF(Y250=0,"",ROUNDUP(Y250/H250,0)*0.0059),"")</f>
        <v>7.0800000000000002E-2</v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16.111111111111111</v>
      </c>
      <c r="BN250" s="78">
        <f>IFERROR(Y250*I250/H250,"0")</f>
        <v>17.399999999999999</v>
      </c>
      <c r="BO250" s="78">
        <f>IFERROR(1/J250*(X250/H250),"0")</f>
        <v>5.1440329218106991E-2</v>
      </c>
      <c r="BP250" s="78">
        <f>IFERROR(1/J250*(Y250/H250),"0")</f>
        <v>5.5555555555555552E-2</v>
      </c>
    </row>
    <row r="251" spans="1:68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11.111111111111111</v>
      </c>
      <c r="Y251" s="43">
        <f>IFERROR(Y250/H250,"0")</f>
        <v>12</v>
      </c>
      <c r="Z251" s="43">
        <f>IFERROR(IF(Z250="",0,Z250),"0")</f>
        <v>7.0800000000000002E-2</v>
      </c>
      <c r="AA251" s="67"/>
      <c r="AB251" s="67"/>
      <c r="AC251" s="67"/>
    </row>
    <row r="252" spans="1:68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14</v>
      </c>
      <c r="Y252" s="43">
        <f>IFERROR(SUM(Y250:Y250),"0")</f>
        <v>15.120000000000001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ref="Y265:Y272" si="31">IFERROR(IF(X265="",0,CEILING((X265/$H265),1)*$H265),"")</f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207.03703703703701</v>
      </c>
      <c r="BN265" s="78">
        <f t="shared" ref="BN265:BN272" si="33">IFERROR(Y265*I265/H265,"0")</f>
        <v>212.42</v>
      </c>
      <c r="BO265" s="78">
        <f t="shared" ref="BO265:BO272" si="34">IFERROR(1/J265*(X265/H265),"0")</f>
        <v>0.28058361391694725</v>
      </c>
      <c r="BP265" s="78">
        <f t="shared" ref="BP265:BP272" si="35">IFERROR(1/J265*(Y265/H265),"0")</f>
        <v>0.2878787878787879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1"/>
        <v>32.400000000000006</v>
      </c>
      <c r="Z266" s="41">
        <f>IFERROR(IF(Y266=0,"",ROUNDUP(Y266/H266,0)*0.00902),"")</f>
        <v>5.4120000000000001E-2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31.05555555555555</v>
      </c>
      <c r="BN266" s="78">
        <f t="shared" si="33"/>
        <v>33.54</v>
      </c>
      <c r="BO266" s="78">
        <f t="shared" si="34"/>
        <v>4.208754208754209E-2</v>
      </c>
      <c r="BP266" s="78">
        <f t="shared" si="35"/>
        <v>4.5454545454545463E-2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260</v>
      </c>
      <c r="Y267" s="55">
        <f t="shared" si="31"/>
        <v>264.60000000000002</v>
      </c>
      <c r="Z267" s="41">
        <f>IFERROR(IF(Y267=0,"",ROUNDUP(Y267/H267,0)*0.00902),"")</f>
        <v>0.44198000000000004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269.1481481481481</v>
      </c>
      <c r="BN267" s="78">
        <f t="shared" si="33"/>
        <v>273.90999999999997</v>
      </c>
      <c r="BO267" s="78">
        <f t="shared" si="34"/>
        <v>0.36475869809203143</v>
      </c>
      <c r="BP267" s="78">
        <f t="shared" si="35"/>
        <v>0.37121212121212122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20</v>
      </c>
      <c r="Y268" s="55">
        <f t="shared" si="31"/>
        <v>21.6</v>
      </c>
      <c r="Z268" s="41">
        <f>IFERROR(IF(Y268=0,"",ROUNDUP(Y268/H268,0)*0.00902),"")</f>
        <v>3.6080000000000001E-2</v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20.703703703703702</v>
      </c>
      <c r="BN268" s="78">
        <f t="shared" si="33"/>
        <v>22.36</v>
      </c>
      <c r="BO268" s="78">
        <f t="shared" si="34"/>
        <v>2.8058361391694722E-2</v>
      </c>
      <c r="BP268" s="78">
        <f t="shared" si="35"/>
        <v>3.0303030303030304E-2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90</v>
      </c>
      <c r="Y269" s="55">
        <f t="shared" si="31"/>
        <v>90</v>
      </c>
      <c r="Z269" s="41">
        <f>IFERROR(IF(Y269=0,"",ROUNDUP(Y269/H269,0)*0.00502),"")</f>
        <v>0.251</v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96.499999999999986</v>
      </c>
      <c r="BN269" s="78">
        <f t="shared" si="33"/>
        <v>96.499999999999986</v>
      </c>
      <c r="BO269" s="78">
        <f t="shared" si="34"/>
        <v>0.21367521367521369</v>
      </c>
      <c r="BP269" s="78">
        <f t="shared" si="35"/>
        <v>0.21367521367521369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48</v>
      </c>
      <c r="Y270" s="55">
        <f t="shared" si="31"/>
        <v>48.6</v>
      </c>
      <c r="Z270" s="41">
        <f>IFERROR(IF(Y270=0,"",ROUNDUP(Y270/H270,0)*0.00502),"")</f>
        <v>0.13553999999999999</v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50.666666666666657</v>
      </c>
      <c r="BN270" s="78">
        <f t="shared" si="33"/>
        <v>51.3</v>
      </c>
      <c r="BO270" s="78">
        <f t="shared" si="34"/>
        <v>0.11396011396011396</v>
      </c>
      <c r="BP270" s="78">
        <f t="shared" si="35"/>
        <v>0.11538461538461539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66</v>
      </c>
      <c r="Y271" s="55">
        <f t="shared" si="31"/>
        <v>66.600000000000009</v>
      </c>
      <c r="Z271" s="41">
        <f>IFERROR(IF(Y271=0,"",ROUNDUP(Y271/H271,0)*0.00502),"")</f>
        <v>0.18574000000000002</v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69.666666666666657</v>
      </c>
      <c r="BN271" s="78">
        <f t="shared" si="33"/>
        <v>70.3</v>
      </c>
      <c r="BO271" s="78">
        <f t="shared" si="34"/>
        <v>0.15669515669515671</v>
      </c>
      <c r="BP271" s="78">
        <f t="shared" si="35"/>
        <v>0.15811965811965817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36</v>
      </c>
      <c r="Y272" s="55">
        <f t="shared" si="31"/>
        <v>36</v>
      </c>
      <c r="Z272" s="41">
        <f>IFERROR(IF(Y272=0,"",ROUNDUP(Y272/H272,0)*0.00502),"")</f>
        <v>0.1004</v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37.999999999999993</v>
      </c>
      <c r="BN272" s="78">
        <f t="shared" si="33"/>
        <v>37.999999999999993</v>
      </c>
      <c r="BO272" s="78">
        <f t="shared" si="34"/>
        <v>8.5470085470085472E-2</v>
      </c>
      <c r="BP272" s="78">
        <f t="shared" si="35"/>
        <v>8.5470085470085472E-2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227.77777777777777</v>
      </c>
      <c r="Y273" s="43">
        <f>IFERROR(Y265/H265,"0")+IFERROR(Y266/H266,"0")+IFERROR(Y267/H267,"0")+IFERROR(Y268/H268,"0")+IFERROR(Y269/H269,"0")+IFERROR(Y270/H270,"0")+IFERROR(Y271/H271,"0")+IFERROR(Y272/H272,"0")</f>
        <v>231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1.54762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750</v>
      </c>
      <c r="Y274" s="43">
        <f>IFERROR(SUM(Y265:Y272),"0")</f>
        <v>765.00000000000011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260</v>
      </c>
      <c r="Y277" s="55">
        <f t="shared" si="36"/>
        <v>267.3</v>
      </c>
      <c r="Z277" s="41">
        <f>IFERROR(IF(Y277=0,"",ROUNDUP(Y277/H277,0)*0.01898),"")</f>
        <v>0.62634000000000001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275.85679012345679</v>
      </c>
      <c r="BN277" s="78">
        <f t="shared" si="38"/>
        <v>283.60199999999998</v>
      </c>
      <c r="BO277" s="78">
        <f t="shared" si="39"/>
        <v>0.50154320987654322</v>
      </c>
      <c r="BP277" s="78">
        <f t="shared" si="40"/>
        <v>0.515625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36"/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105.87654320987654</v>
      </c>
      <c r="BN278" s="78">
        <f t="shared" si="38"/>
        <v>111.48800000000001</v>
      </c>
      <c r="BO278" s="78">
        <f t="shared" si="39"/>
        <v>0.19290123456790123</v>
      </c>
      <c r="BP278" s="78">
        <f t="shared" si="40"/>
        <v>0.203125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36"/>
        <v>52.199999999999996</v>
      </c>
      <c r="Z279" s="41">
        <f>IFERROR(IF(Y279=0,"",ROUNDUP(Y279/H279,0)*0.01898),"")</f>
        <v>0.11388000000000001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52.839080459770123</v>
      </c>
      <c r="BN279" s="78">
        <f t="shared" si="38"/>
        <v>55.164000000000009</v>
      </c>
      <c r="BO279" s="78">
        <f t="shared" si="39"/>
        <v>8.9798850574712652E-2</v>
      </c>
      <c r="BP279" s="78">
        <f t="shared" si="40"/>
        <v>9.375E-2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6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356</v>
      </c>
      <c r="BN280" s="78">
        <f t="shared" si="38"/>
        <v>357.78</v>
      </c>
      <c r="BO280" s="78">
        <f t="shared" si="39"/>
        <v>0.73260073260073266</v>
      </c>
      <c r="BP280" s="78">
        <f t="shared" si="40"/>
        <v>0.73626373626373631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240</v>
      </c>
      <c r="Y282" s="55">
        <f t="shared" si="36"/>
        <v>240</v>
      </c>
      <c r="Z282" s="41">
        <f>IFERROR(IF(Y282=0,"",ROUNDUP(Y282/H282,0)*0.00651),"")</f>
        <v>0.65100000000000002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265.20000000000005</v>
      </c>
      <c r="BN282" s="78">
        <f t="shared" si="38"/>
        <v>265.20000000000005</v>
      </c>
      <c r="BO282" s="78">
        <f t="shared" si="39"/>
        <v>0.5494505494505495</v>
      </c>
      <c r="BP282" s="78">
        <f t="shared" si="40"/>
        <v>0.5494505494505495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36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44.20000000000001</v>
      </c>
      <c r="BN285" s="78">
        <f t="shared" si="38"/>
        <v>45.084000000000003</v>
      </c>
      <c r="BO285" s="78">
        <f t="shared" si="39"/>
        <v>9.1575091575091583E-2</v>
      </c>
      <c r="BP285" s="78">
        <f t="shared" si="40"/>
        <v>9.3406593406593408E-2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80</v>
      </c>
      <c r="Y286" s="55">
        <f t="shared" si="36"/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88.6</v>
      </c>
      <c r="BN286" s="78">
        <f t="shared" si="38"/>
        <v>90.371999999999986</v>
      </c>
      <c r="BO286" s="78">
        <f t="shared" si="39"/>
        <v>0.18315018315018317</v>
      </c>
      <c r="BP286" s="78">
        <f t="shared" si="40"/>
        <v>0.18681318681318682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333.5249042145594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337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2.8423099999999999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1090</v>
      </c>
      <c r="Y289" s="43">
        <f>IFERROR(SUM(Y276:Y287),"0")</f>
        <v>1108.8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60</v>
      </c>
      <c r="Y292" s="55">
        <f>IFERROR(IF(X292="",0,CEILING((X292/$H292),1)*$H292),"")</f>
        <v>60</v>
      </c>
      <c r="Z292" s="41">
        <f>IFERROR(IF(Y292=0,"",ROUNDUP(Y292/H292,0)*0.00651),"")</f>
        <v>0.16275000000000001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66.300000000000011</v>
      </c>
      <c r="BN292" s="78">
        <f>IFERROR(Y292*I292/H292,"0")</f>
        <v>66.300000000000011</v>
      </c>
      <c r="BO292" s="78">
        <f>IFERROR(1/J292*(X292/H292),"0")</f>
        <v>0.13736263736263737</v>
      </c>
      <c r="BP292" s="78">
        <f>IFERROR(1/J292*(Y292/H292),"0")</f>
        <v>0.13736263736263737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25</v>
      </c>
      <c r="Y293" s="43">
        <f>IFERROR(Y291/H291,"0")+IFERROR(Y292/H292,"0")</f>
        <v>25</v>
      </c>
      <c r="Z293" s="43">
        <f>IFERROR(IF(Z291="",0,Z291),"0")+IFERROR(IF(Z292="",0,Z292),"0")</f>
        <v>0.16275000000000001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60</v>
      </c>
      <c r="Y294" s="43">
        <f>IFERROR(SUM(Y291:Y292),"0")</f>
        <v>60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18</v>
      </c>
      <c r="Y311" s="55">
        <f>IFERROR(IF(X311="",0,CEILING((X311/$H311),1)*$H311),"")</f>
        <v>18</v>
      </c>
      <c r="Z311" s="41">
        <f>IFERROR(IF(Y311=0,"",ROUNDUP(Y311/H311,0)*0.0059),"")</f>
        <v>5.8999999999999997E-2</v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19.750000000000004</v>
      </c>
      <c r="BN311" s="78">
        <f>IFERROR(Y311*I311/H311,"0")</f>
        <v>19.750000000000004</v>
      </c>
      <c r="BO311" s="78">
        <f>IFERROR(1/J311*(X311/H311),"0")</f>
        <v>4.6296296296296294E-2</v>
      </c>
      <c r="BP311" s="78">
        <f>IFERROR(1/J311*(Y311/H311),"0")</f>
        <v>4.6296296296296294E-2</v>
      </c>
    </row>
    <row r="312" spans="1:68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10</v>
      </c>
      <c r="Y312" s="43">
        <f>IFERROR(Y311/H311,"0")</f>
        <v>10</v>
      </c>
      <c r="Z312" s="43">
        <f>IFERROR(IF(Z311="",0,Z311),"0")</f>
        <v>5.8999999999999997E-2</v>
      </c>
      <c r="AA312" s="67"/>
      <c r="AB312" s="67"/>
      <c r="AC312" s="67"/>
    </row>
    <row r="313" spans="1:68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18</v>
      </c>
      <c r="Y313" s="43">
        <f>IFERROR(SUM(Y311:Y311),"0")</f>
        <v>18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18</v>
      </c>
      <c r="Y315" s="55">
        <f>IFERROR(IF(X315="",0,CEILING((X315/$H315),1)*$H315),"")</f>
        <v>18</v>
      </c>
      <c r="Z315" s="41">
        <f>IFERROR(IF(Y315=0,"",ROUNDUP(Y315/H315,0)*0.0059),"")</f>
        <v>5.8999999999999997E-2</v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19.750000000000004</v>
      </c>
      <c r="BN315" s="78">
        <f>IFERROR(Y315*I315/H315,"0")</f>
        <v>19.750000000000004</v>
      </c>
      <c r="BO315" s="78">
        <f>IFERROR(1/J315*(X315/H315),"0")</f>
        <v>4.6296296296296294E-2</v>
      </c>
      <c r="BP315" s="78">
        <f>IFERROR(1/J315*(Y315/H315),"0")</f>
        <v>4.6296296296296294E-2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10</v>
      </c>
      <c r="Y319" s="43">
        <f>IFERROR(Y315/H315,"0")+IFERROR(Y316/H316,"0")+IFERROR(Y317/H317,"0")+IFERROR(Y318/H318,"0")</f>
        <v>10</v>
      </c>
      <c r="Z319" s="43">
        <f>IFERROR(IF(Z315="",0,Z315),"0")+IFERROR(IF(Z316="",0,Z316),"0")+IFERROR(IF(Z317="",0,Z317),"0")+IFERROR(IF(Z318="",0,Z318),"0")</f>
        <v>5.8999999999999997E-2</v>
      </c>
      <c r="AA319" s="67"/>
      <c r="AB319" s="67"/>
      <c r="AC319" s="67"/>
    </row>
    <row r="320" spans="1:68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18</v>
      </c>
      <c r="Y320" s="43">
        <f>IFERROR(SUM(Y315:Y318),"0")</f>
        <v>18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100</v>
      </c>
      <c r="Y335" s="55">
        <f>IFERROR(IF(X335="",0,CEILING((X335/$H335),1)*$H335),"")</f>
        <v>100.8</v>
      </c>
      <c r="Z335" s="41">
        <f>IFERROR(IF(Y335=0,"",ROUNDUP(Y335/H335,0)*0.00651),"")</f>
        <v>0.27342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110.5</v>
      </c>
      <c r="BN335" s="78">
        <f>IFERROR(Y335*I335/H335,"0")</f>
        <v>111.384</v>
      </c>
      <c r="BO335" s="78">
        <f>IFERROR(1/J335*(X335/H335),"0")</f>
        <v>0.22893772893772898</v>
      </c>
      <c r="BP335" s="78">
        <f>IFERROR(1/J335*(Y335/H335),"0")</f>
        <v>0.23076923076923078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380</v>
      </c>
      <c r="Y336" s="55">
        <f>IFERROR(IF(X336="",0,CEILING((X336/$H336),1)*$H336),"")</f>
        <v>381.59999999999997</v>
      </c>
      <c r="Z336" s="41">
        <f>IFERROR(IF(Y336=0,"",ROUNDUP(Y336/H336,0)*0.00651),"")</f>
        <v>1.0350900000000001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408.5</v>
      </c>
      <c r="BN336" s="78">
        <f>IFERROR(Y336*I336/H336,"0")</f>
        <v>410.21999999999997</v>
      </c>
      <c r="BO336" s="78">
        <f>IFERROR(1/J336*(X336/H336),"0")</f>
        <v>0.86996336996337009</v>
      </c>
      <c r="BP336" s="78">
        <f>IFERROR(1/J336*(Y336/H336),"0")</f>
        <v>0.87362637362637374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200</v>
      </c>
      <c r="Y337" s="43">
        <f>IFERROR(Y334/H334,"0")+IFERROR(Y335/H335,"0")+IFERROR(Y336/H336,"0")</f>
        <v>201</v>
      </c>
      <c r="Z337" s="43">
        <f>IFERROR(IF(Z334="",0,Z334),"0")+IFERROR(IF(Z335="",0,Z335),"0")+IFERROR(IF(Z336="",0,Z336),"0")</f>
        <v>1.3085100000000001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480</v>
      </c>
      <c r="Y338" s="43">
        <f>IFERROR(SUM(Y334:Y336),"0")</f>
        <v>482.4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320</v>
      </c>
      <c r="Y364" s="55">
        <f>IFERROR(IF(X364="",0,CEILING((X364/$H364),1)*$H364),"")</f>
        <v>327.59999999999997</v>
      </c>
      <c r="Z364" s="41">
        <f>IFERROR(IF(Y364=0,"",ROUNDUP(Y364/H364,0)*0.01898),"")</f>
        <v>0.79715999999999998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336.82051282051287</v>
      </c>
      <c r="BN364" s="78">
        <f>IFERROR(Y364*I364/H364,"0")</f>
        <v>344.82</v>
      </c>
      <c r="BO364" s="78">
        <f>IFERROR(1/J364*(X364/H364),"0")</f>
        <v>0.64102564102564108</v>
      </c>
      <c r="BP364" s="78">
        <f>IFERROR(1/J364*(Y364/H364),"0")</f>
        <v>0.65625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450</v>
      </c>
      <c r="Y365" s="55">
        <f>IFERROR(IF(X365="",0,CEILING((X365/$H365),1)*$H365),"")</f>
        <v>452.4</v>
      </c>
      <c r="Z365" s="41">
        <f>IFERROR(IF(Y365=0,"",ROUNDUP(Y365/H365,0)*0.01898),"")</f>
        <v>1.10084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473.65384615384625</v>
      </c>
      <c r="BN365" s="78">
        <f>IFERROR(Y365*I365/H365,"0")</f>
        <v>476.18</v>
      </c>
      <c r="BO365" s="78">
        <f>IFERROR(1/J365*(X365/H365),"0")</f>
        <v>0.90144230769230771</v>
      </c>
      <c r="BP365" s="78">
        <f>IFERROR(1/J365*(Y365/H365),"0")</f>
        <v>0.90625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160</v>
      </c>
      <c r="Y366" s="55">
        <f>IFERROR(IF(X366="",0,CEILING((X366/$H366),1)*$H366),"")</f>
        <v>163.79999999999998</v>
      </c>
      <c r="Z366" s="41">
        <f>IFERROR(IF(Y366=0,"",ROUNDUP(Y366/H366,0)*0.01898),"")</f>
        <v>0.39857999999999999</v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168.41025641025644</v>
      </c>
      <c r="BN366" s="78">
        <f>IFERROR(Y366*I366/H366,"0")</f>
        <v>172.41</v>
      </c>
      <c r="BO366" s="78">
        <f>IFERROR(1/J366*(X366/H366),"0")</f>
        <v>0.32051282051282054</v>
      </c>
      <c r="BP366" s="78">
        <f>IFERROR(1/J366*(Y366/H366),"0")</f>
        <v>0.328125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119.23076923076924</v>
      </c>
      <c r="Y367" s="43">
        <f>IFERROR(Y364/H364,"0")+IFERROR(Y365/H365,"0")+IFERROR(Y366/H366,"0")</f>
        <v>121</v>
      </c>
      <c r="Z367" s="43">
        <f>IFERROR(IF(Z364="",0,Z364),"0")+IFERROR(IF(Z365="",0,Z365),"0")+IFERROR(IF(Z366="",0,Z366),"0")</f>
        <v>2.2965800000000001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930</v>
      </c>
      <c r="Y368" s="43">
        <f>IFERROR(SUM(Y364:Y366),"0")</f>
        <v>943.8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10</v>
      </c>
      <c r="Y382" s="55">
        <f t="shared" si="56"/>
        <v>12.600000000000001</v>
      </c>
      <c r="Z382" s="41">
        <f>IFERROR(IF(Y382=0,"",ROUNDUP(Y382/H382,0)*0.00902),"")</f>
        <v>2.7060000000000001E-2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10.595238095238095</v>
      </c>
      <c r="BN382" s="78">
        <f t="shared" si="58"/>
        <v>13.350000000000001</v>
      </c>
      <c r="BO382" s="78">
        <f t="shared" si="59"/>
        <v>1.8037518037518036E-2</v>
      </c>
      <c r="BP382" s="78">
        <f t="shared" si="60"/>
        <v>2.2727272727272728E-2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210</v>
      </c>
      <c r="Y385" s="55">
        <f t="shared" si="56"/>
        <v>210</v>
      </c>
      <c r="Z385" s="41">
        <f>IFERROR(IF(Y385=0,"",ROUNDUP(Y385/H385,0)*0.00502),"")</f>
        <v>0.502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220.00000000000003</v>
      </c>
      <c r="BN385" s="78">
        <f t="shared" si="58"/>
        <v>220.00000000000003</v>
      </c>
      <c r="BO385" s="78">
        <f t="shared" si="59"/>
        <v>0.42735042735042739</v>
      </c>
      <c r="BP385" s="78">
        <f t="shared" si="60"/>
        <v>0.42735042735042739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102.38095238095238</v>
      </c>
      <c r="Y388" s="43">
        <f>IFERROR(Y381/H381,"0")+IFERROR(Y382/H382,"0")+IFERROR(Y383/H383,"0")+IFERROR(Y384/H384,"0")+IFERROR(Y385/H385,"0")+IFERROR(Y386/H386,"0")+IFERROR(Y387/H387,"0")</f>
        <v>103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0.52905999999999997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220</v>
      </c>
      <c r="Y389" s="43">
        <f>IFERROR(SUM(Y381:Y387),"0")</f>
        <v>222.6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30</v>
      </c>
      <c r="Y391" s="55">
        <f>IFERROR(IF(X391="",0,CEILING((X391/$H391),1)*$H391),"")</f>
        <v>31.2</v>
      </c>
      <c r="Z391" s="41">
        <f>IFERROR(IF(Y391=0,"",ROUNDUP(Y391/H391,0)*0.01898),"")</f>
        <v>7.5920000000000001E-2</v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31.876923076923081</v>
      </c>
      <c r="BN391" s="78">
        <f>IFERROR(Y391*I391/H391,"0")</f>
        <v>33.152000000000001</v>
      </c>
      <c r="BO391" s="78">
        <f>IFERROR(1/J391*(X391/H391),"0")</f>
        <v>6.0096153846153848E-2</v>
      </c>
      <c r="BP391" s="78">
        <f>IFERROR(1/J391*(Y391/H391),"0")</f>
        <v>6.25E-2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3.8461538461538463</v>
      </c>
      <c r="Y395" s="43">
        <f>IFERROR(Y391/H391,"0")+IFERROR(Y392/H392,"0")+IFERROR(Y393/H393,"0")+IFERROR(Y394/H394,"0")</f>
        <v>4</v>
      </c>
      <c r="Z395" s="43">
        <f>IFERROR(IF(Z391="",0,Z391),"0")+IFERROR(IF(Z392="",0,Z392),"0")+IFERROR(IF(Z393="",0,Z393),"0")+IFERROR(IF(Z394="",0,Z394),"0")</f>
        <v>7.5920000000000001E-2</v>
      </c>
      <c r="AA395" s="67"/>
      <c r="AB395" s="67"/>
      <c r="AC395" s="67"/>
    </row>
    <row r="396" spans="1:68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30</v>
      </c>
      <c r="Y396" s="43">
        <f>IFERROR(SUM(Y391:Y394),"0")</f>
        <v>31.2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200</v>
      </c>
      <c r="Y398" s="55">
        <f>IFERROR(IF(X398="",0,CEILING((X398/$H398),1)*$H398),"")</f>
        <v>201.60000000000002</v>
      </c>
      <c r="Z398" s="41">
        <f>IFERROR(IF(Y398=0,"",ROUNDUP(Y398/H398,0)*0.01898),"")</f>
        <v>0.45552000000000004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211.76190476190476</v>
      </c>
      <c r="BN398" s="78">
        <f>IFERROR(Y398*I398/H398,"0")</f>
        <v>213.45600000000002</v>
      </c>
      <c r="BO398" s="78">
        <f>IFERROR(1/J398*(X398/H398),"0")</f>
        <v>0.37202380952380953</v>
      </c>
      <c r="BP398" s="78">
        <f>IFERROR(1/J398*(Y398/H398),"0")</f>
        <v>0.375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300</v>
      </c>
      <c r="Y399" s="55">
        <f>IFERROR(IF(X399="",0,CEILING((X399/$H399),1)*$H399),"")</f>
        <v>304.2</v>
      </c>
      <c r="Z399" s="41">
        <f>IFERROR(IF(Y399=0,"",ROUNDUP(Y399/H399,0)*0.01898),"")</f>
        <v>0.74021999999999999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319.00000000000006</v>
      </c>
      <c r="BN399" s="78">
        <f>IFERROR(Y399*I399/H399,"0")</f>
        <v>323.46600000000001</v>
      </c>
      <c r="BO399" s="78">
        <f>IFERROR(1/J399*(X399/H399),"0")</f>
        <v>0.60096153846153844</v>
      </c>
      <c r="BP399" s="78">
        <f>IFERROR(1/J399*(Y399/H399),"0")</f>
        <v>0.609375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80</v>
      </c>
      <c r="Y400" s="55">
        <f>IFERROR(IF(X400="",0,CEILING((X400/$H400),1)*$H400),"")</f>
        <v>84</v>
      </c>
      <c r="Z400" s="41">
        <f>IFERROR(IF(Y400=0,"",ROUNDUP(Y400/H400,0)*0.01898),"")</f>
        <v>0.1898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84.704761904761895</v>
      </c>
      <c r="BN400" s="78">
        <f>IFERROR(Y400*I400/H400,"0")</f>
        <v>88.94</v>
      </c>
      <c r="BO400" s="78">
        <f>IFERROR(1/J400*(X400/H400),"0")</f>
        <v>0.14880952380952381</v>
      </c>
      <c r="BP400" s="78">
        <f>IFERROR(1/J400*(Y400/H400),"0")</f>
        <v>0.15625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71.794871794871796</v>
      </c>
      <c r="Y401" s="43">
        <f>IFERROR(Y398/H398,"0")+IFERROR(Y399/H399,"0")+IFERROR(Y400/H400,"0")</f>
        <v>73</v>
      </c>
      <c r="Z401" s="43">
        <f>IFERROR(IF(Z398="",0,Z398),"0")+IFERROR(IF(Z399="",0,Z399),"0")+IFERROR(IF(Z400="",0,Z400),"0")</f>
        <v>1.38554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580</v>
      </c>
      <c r="Y402" s="43">
        <f>IFERROR(SUM(Y398:Y400),"0")</f>
        <v>589.79999999999995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32</v>
      </c>
      <c r="Y418" s="55">
        <f>IFERROR(IF(X418="",0,CEILING((X418/$H418),1)*$H418),"")</f>
        <v>35.1</v>
      </c>
      <c r="Z418" s="41">
        <f>IFERROR(IF(Y418=0,"",ROUNDUP(Y418/H418,0)*0.006),"")</f>
        <v>5.3999999999999999E-2</v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34.215384615384615</v>
      </c>
      <c r="BN418" s="78">
        <f>IFERROR(Y418*I418/H418,"0")</f>
        <v>37.53</v>
      </c>
      <c r="BO418" s="78">
        <f>IFERROR(1/J418*(X418/H418),"0")</f>
        <v>5.6980056980056981E-2</v>
      </c>
      <c r="BP418" s="78">
        <f>IFERROR(1/J418*(Y418/H418),"0")</f>
        <v>6.25E-2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8.2051282051282062</v>
      </c>
      <c r="Y420" s="43">
        <f>IFERROR(Y417/H417,"0")+IFERROR(Y418/H418,"0")+IFERROR(Y419/H419,"0")</f>
        <v>9</v>
      </c>
      <c r="Z420" s="43">
        <f>IFERROR(IF(Z417="",0,Z417),"0")+IFERROR(IF(Z418="",0,Z418),"0")+IFERROR(IF(Z419="",0,Z419),"0")</f>
        <v>5.3999999999999999E-2</v>
      </c>
      <c r="AA420" s="67"/>
      <c r="AB420" s="67"/>
      <c r="AC420" s="67"/>
    </row>
    <row r="421" spans="1:68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32</v>
      </c>
      <c r="Y421" s="43">
        <f>IFERROR(SUM(Y417:Y419),"0")</f>
        <v>35.1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420</v>
      </c>
      <c r="Y433" s="55">
        <f>IFERROR(IF(X433="",0,CEILING((X433/$H433),1)*$H433),"")</f>
        <v>420</v>
      </c>
      <c r="Z433" s="41">
        <f>IFERROR(IF(Y433=0,"",ROUNDUP(Y433/H433,0)*0.00651),"")</f>
        <v>1.302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467.99999999999994</v>
      </c>
      <c r="BN433" s="78">
        <f>IFERROR(Y433*I433/H433,"0")</f>
        <v>467.99999999999994</v>
      </c>
      <c r="BO433" s="78">
        <f>IFERROR(1/J433*(X433/H433),"0")</f>
        <v>1.098901098901099</v>
      </c>
      <c r="BP433" s="78">
        <f>IFERROR(1/J433*(Y433/H433),"0")</f>
        <v>1.098901098901099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200</v>
      </c>
      <c r="Y434" s="43">
        <f>IFERROR(Y431/H431,"0")+IFERROR(Y432/H432,"0")+IFERROR(Y433/H433,"0")</f>
        <v>200</v>
      </c>
      <c r="Z434" s="43">
        <f>IFERROR(IF(Z431="",0,Z431),"0")+IFERROR(IF(Z432="",0,Z432),"0")+IFERROR(IF(Z433="",0,Z433),"0")</f>
        <v>1.302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420</v>
      </c>
      <c r="Y435" s="43">
        <f>IFERROR(SUM(Y431:Y433),"0")</f>
        <v>420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400</v>
      </c>
      <c r="Y439" s="55">
        <f t="shared" ref="Y439:Y446" si="61">IFERROR(IF(X439="",0,CEILING((X439/$H439),1)*$H439),"")</f>
        <v>405</v>
      </c>
      <c r="Z439" s="41">
        <f>IFERROR(IF(Y439=0,"",ROUNDUP(Y439/H439,0)*0.02175),"")</f>
        <v>0.58724999999999994</v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412.53333333333336</v>
      </c>
      <c r="BN439" s="78">
        <f t="shared" ref="BN439:BN446" si="63">IFERROR(Y439*I439/H439,"0")</f>
        <v>417.69</v>
      </c>
      <c r="BO439" s="78">
        <f t="shared" ref="BO439:BO446" si="64">IFERROR(1/J439*(X439/H439),"0")</f>
        <v>0.55555555555555558</v>
      </c>
      <c r="BP439" s="78">
        <f t="shared" ref="BP439:BP446" si="65">IFERROR(1/J439*(Y439/H439),"0")</f>
        <v>0.5625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700</v>
      </c>
      <c r="Y440" s="55">
        <f t="shared" si="61"/>
        <v>705</v>
      </c>
      <c r="Z440" s="41">
        <f>IFERROR(IF(Y440=0,"",ROUNDUP(Y440/H440,0)*0.02175),"")</f>
        <v>1.0222499999999999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721.93333333333328</v>
      </c>
      <c r="BN440" s="78">
        <f t="shared" si="63"/>
        <v>727.09</v>
      </c>
      <c r="BO440" s="78">
        <f t="shared" si="64"/>
        <v>0.9722222222222221</v>
      </c>
      <c r="BP440" s="78">
        <f t="shared" si="65"/>
        <v>0.97916666666666663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10</v>
      </c>
      <c r="Y446" s="55">
        <f t="shared" si="61"/>
        <v>10</v>
      </c>
      <c r="Z446" s="41">
        <f>IFERROR(IF(Y446=0,"",ROUNDUP(Y446/H446,0)*0.00902),"")</f>
        <v>1.804E-2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10.38</v>
      </c>
      <c r="BN446" s="78">
        <f t="shared" si="63"/>
        <v>10.38</v>
      </c>
      <c r="BO446" s="78">
        <f t="shared" si="64"/>
        <v>1.5151515151515152E-2</v>
      </c>
      <c r="BP446" s="78">
        <f t="shared" si="65"/>
        <v>1.5151515151515152E-2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142</v>
      </c>
      <c r="Y447" s="43">
        <f>IFERROR(Y439/H439,"0")+IFERROR(Y440/H440,"0")+IFERROR(Y441/H441,"0")+IFERROR(Y442/H442,"0")+IFERROR(Y443/H443,"0")+IFERROR(Y444/H444,"0")+IFERROR(Y445/H445,"0")+IFERROR(Y446/H446,"0")</f>
        <v>143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3.0847899999999999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2110</v>
      </c>
      <c r="Y448" s="43">
        <f>IFERROR(SUM(Y439:Y446),"0")</f>
        <v>2125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1100</v>
      </c>
      <c r="Y450" s="55">
        <f>IFERROR(IF(X450="",0,CEILING((X450/$H450),1)*$H450),"")</f>
        <v>1110</v>
      </c>
      <c r="Z450" s="41">
        <f>IFERROR(IF(Y450=0,"",ROUNDUP(Y450/H450,0)*0.02175),"")</f>
        <v>1.6094999999999999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1134.4666666666667</v>
      </c>
      <c r="BN450" s="78">
        <f>IFERROR(Y450*I450/H450,"0")</f>
        <v>1144.78</v>
      </c>
      <c r="BO450" s="78">
        <f>IFERROR(1/J450*(X450/H450),"0")</f>
        <v>1.5277777777777777</v>
      </c>
      <c r="BP450" s="78">
        <f>IFERROR(1/J450*(Y450/H450),"0")</f>
        <v>1.5416666666666665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220</v>
      </c>
      <c r="Y451" s="55">
        <f>IFERROR(IF(X451="",0,CEILING((X451/$H451),1)*$H451),"")</f>
        <v>225</v>
      </c>
      <c r="Z451" s="41">
        <f>IFERROR(IF(Y451=0,"",ROUNDUP(Y451/H451,0)*0.02175),"")</f>
        <v>0.32624999999999998</v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226.89333333333335</v>
      </c>
      <c r="BN451" s="78">
        <f>IFERROR(Y451*I451/H451,"0")</f>
        <v>232.05</v>
      </c>
      <c r="BO451" s="78">
        <f>IFERROR(1/J451*(X451/H451),"0")</f>
        <v>0.30555555555555552</v>
      </c>
      <c r="BP451" s="78">
        <f>IFERROR(1/J451*(Y451/H451),"0")</f>
        <v>0.3125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88</v>
      </c>
      <c r="Y453" s="43">
        <f>IFERROR(Y450/H450,"0")+IFERROR(Y451/H451,"0")+IFERROR(Y452/H452,"0")</f>
        <v>89</v>
      </c>
      <c r="Z453" s="43">
        <f>IFERROR(IF(Z450="",0,Z450),"0")+IFERROR(IF(Z451="",0,Z451),"0")+IFERROR(IF(Z452="",0,Z452),"0")</f>
        <v>1.9357499999999999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1320</v>
      </c>
      <c r="Y454" s="43">
        <f>IFERROR(SUM(Y450:Y452),"0")</f>
        <v>1335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30</v>
      </c>
      <c r="Y468" s="55">
        <f>IFERROR(IF(X468="",0,CEILING((X468/$H468),1)*$H468),"")</f>
        <v>36</v>
      </c>
      <c r="Z468" s="41">
        <f>IFERROR(IF(Y468=0,"",ROUNDUP(Y468/H468,0)*0.01898),"")</f>
        <v>5.6940000000000004E-2</v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31.025000000000002</v>
      </c>
      <c r="BN468" s="78">
        <f>IFERROR(Y468*I468/H468,"0")</f>
        <v>37.229999999999997</v>
      </c>
      <c r="BO468" s="78">
        <f>IFERROR(1/J468*(X468/H468),"0")</f>
        <v>3.90625E-2</v>
      </c>
      <c r="BP468" s="78">
        <f>IFERROR(1/J468*(Y468/H468),"0")</f>
        <v>4.6875E-2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2.5</v>
      </c>
      <c r="Y470" s="43">
        <f>IFERROR(Y468/H468,"0")+IFERROR(Y469/H469,"0")</f>
        <v>3</v>
      </c>
      <c r="Z470" s="43">
        <f>IFERROR(IF(Z468="",0,Z468),"0")+IFERROR(IF(Z469="",0,Z469),"0")</f>
        <v>5.6940000000000004E-2</v>
      </c>
      <c r="AA470" s="67"/>
      <c r="AB470" s="67"/>
      <c r="AC470" s="67"/>
    </row>
    <row r="471" spans="1:68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30</v>
      </c>
      <c r="Y471" s="43">
        <f>IFERROR(SUM(Y468:Y469),"0")</f>
        <v>36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100</v>
      </c>
      <c r="Y515" s="55">
        <f t="shared" si="71"/>
        <v>100.32000000000001</v>
      </c>
      <c r="Z515" s="41">
        <f>IFERROR(IF(Y515=0,"",ROUNDUP(Y515/H515,0)*0.01196),"")</f>
        <v>0.22724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106.62878787878788</v>
      </c>
      <c r="BN515" s="78">
        <f t="shared" si="73"/>
        <v>106.97</v>
      </c>
      <c r="BO515" s="78">
        <f t="shared" si="74"/>
        <v>0.18210955710955709</v>
      </c>
      <c r="BP515" s="78">
        <f t="shared" si="75"/>
        <v>0.18269230769230771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120</v>
      </c>
      <c r="Y518" s="55">
        <f t="shared" si="71"/>
        <v>120</v>
      </c>
      <c r="Z518" s="41">
        <f>IFERROR(IF(Y518=0,"",ROUNDUP(Y518/H518,0)*0.00902),"")</f>
        <v>0.22550000000000001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172.75000000000003</v>
      </c>
      <c r="BN518" s="78">
        <f t="shared" si="73"/>
        <v>172.75000000000003</v>
      </c>
      <c r="BO518" s="78">
        <f t="shared" si="74"/>
        <v>0.18939393939393939</v>
      </c>
      <c r="BP518" s="78">
        <f t="shared" si="75"/>
        <v>0.18939393939393939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53.409090909090907</v>
      </c>
      <c r="Y519" s="43">
        <f>IFERROR(Y511/H511,"0")+IFERROR(Y512/H512,"0")+IFERROR(Y513/H513,"0")+IFERROR(Y514/H514,"0")+IFERROR(Y515/H515,"0")+IFERROR(Y516/H516,"0")+IFERROR(Y517/H517,"0")+IFERROR(Y518/H518,"0")</f>
        <v>54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0.57233999999999996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270</v>
      </c>
      <c r="Y520" s="43">
        <f>IFERROR(SUM(Y511:Y518),"0")</f>
        <v>273.12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200</v>
      </c>
      <c r="Y522" s="55">
        <f>IFERROR(IF(X522="",0,CEILING((X522/$H522),1)*$H522),"")</f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213.25757575757575</v>
      </c>
      <c r="BN522" s="78">
        <f>IFERROR(Y522*I522/H522,"0")</f>
        <v>213.94</v>
      </c>
      <c r="BO522" s="78">
        <f>IFERROR(1/J522*(X522/H522),"0")</f>
        <v>0.36421911421911418</v>
      </c>
      <c r="BP522" s="78">
        <f>IFERROR(1/J522*(Y522/H522),"0")</f>
        <v>0.36538461538461542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37.878787878787875</v>
      </c>
      <c r="Y525" s="43">
        <f>IFERROR(Y522/H522,"0")+IFERROR(Y523/H523,"0")+IFERROR(Y524/H524,"0")</f>
        <v>38</v>
      </c>
      <c r="Z525" s="43">
        <f>IFERROR(IF(Z522="",0,Z522),"0")+IFERROR(IF(Z523="",0,Z523),"0")+IFERROR(IF(Z524="",0,Z524),"0")</f>
        <v>0.45448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200</v>
      </c>
      <c r="Y526" s="43">
        <f>IFERROR(SUM(Y522:Y524),"0")</f>
        <v>200.64000000000001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ref="Y528:Y534" si="76">IFERROR(IF(X528="",0,CEILING((X528/$H528),1)*$H528),"")</f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21.325757575757574</v>
      </c>
      <c r="BN528" s="78">
        <f t="shared" ref="BN528:BN534" si="78">IFERROR(Y528*I528/H528,"0")</f>
        <v>22.52</v>
      </c>
      <c r="BO528" s="78">
        <f t="shared" ref="BO528:BO534" si="79">IFERROR(1/J528*(X528/H528),"0")</f>
        <v>3.6421911421911424E-2</v>
      </c>
      <c r="BP528" s="78">
        <f t="shared" ref="BP528:BP534" si="80">IFERROR(1/J528*(Y528/H528),"0")</f>
        <v>3.8461538461538464E-2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30</v>
      </c>
      <c r="Y529" s="55">
        <f t="shared" si="76"/>
        <v>31.68</v>
      </c>
      <c r="Z529" s="41">
        <f>IFERROR(IF(Y529=0,"",ROUNDUP(Y529/H529,0)*0.01196),"")</f>
        <v>7.1760000000000004E-2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31.988636363636363</v>
      </c>
      <c r="BN529" s="78">
        <f t="shared" si="78"/>
        <v>33.779999999999994</v>
      </c>
      <c r="BO529" s="78">
        <f t="shared" si="79"/>
        <v>5.4632867132867136E-2</v>
      </c>
      <c r="BP529" s="78">
        <f t="shared" si="80"/>
        <v>5.7692307692307696E-2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120</v>
      </c>
      <c r="Y530" s="55">
        <f t="shared" si="76"/>
        <v>121.44000000000001</v>
      </c>
      <c r="Z530" s="41">
        <f>IFERROR(IF(Y530=0,"",ROUNDUP(Y530/H530,0)*0.01196),"")</f>
        <v>0.27507999999999999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127.95454545454545</v>
      </c>
      <c r="BN530" s="78">
        <f t="shared" si="78"/>
        <v>129.49</v>
      </c>
      <c r="BO530" s="78">
        <f t="shared" si="79"/>
        <v>0.21853146853146854</v>
      </c>
      <c r="BP530" s="78">
        <f t="shared" si="80"/>
        <v>0.22115384615384617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30</v>
      </c>
      <c r="Y531" s="55">
        <f t="shared" si="76"/>
        <v>33.6</v>
      </c>
      <c r="Z531" s="41">
        <f>IFERROR(IF(Y531=0,"",ROUNDUP(Y531/H531,0)*0.00902),"")</f>
        <v>6.3140000000000002E-2</v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43.187500000000007</v>
      </c>
      <c r="BN531" s="78">
        <f t="shared" si="78"/>
        <v>48.370000000000005</v>
      </c>
      <c r="BO531" s="78">
        <f t="shared" si="79"/>
        <v>4.7348484848484848E-2</v>
      </c>
      <c r="BP531" s="78">
        <f t="shared" si="80"/>
        <v>5.3030303030303039E-2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38.446969696969695</v>
      </c>
      <c r="Y535" s="43">
        <f>IFERROR(Y528/H528,"0")+IFERROR(Y529/H529,"0")+IFERROR(Y530/H530,"0")+IFERROR(Y531/H531,"0")+IFERROR(Y532/H532,"0")+IFERROR(Y533/H533,"0")+IFERROR(Y534/H534,"0")</f>
        <v>40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0.45782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200</v>
      </c>
      <c r="Y536" s="43">
        <f>IFERROR(SUM(Y528:Y534),"0")</f>
        <v>207.84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130</v>
      </c>
      <c r="Y540" s="55">
        <f>IFERROR(IF(X540="",0,CEILING((X540/$H540),1)*$H540),"")</f>
        <v>132</v>
      </c>
      <c r="Z540" s="41">
        <f>IFERROR(IF(Y540=0,"",ROUNDUP(Y540/H540,0)*0.01898),"")</f>
        <v>0.20877999999999999</v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134.44166666666666</v>
      </c>
      <c r="BN540" s="78">
        <f>IFERROR(Y540*I540/H540,"0")</f>
        <v>136.51000000000002</v>
      </c>
      <c r="BO540" s="78">
        <f>IFERROR(1/J540*(X540/H540),"0")</f>
        <v>0.16927083333333334</v>
      </c>
      <c r="BP540" s="78">
        <f>IFERROR(1/J540*(Y540/H540),"0")</f>
        <v>0.171875</v>
      </c>
    </row>
    <row r="541" spans="1:68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10.833333333333334</v>
      </c>
      <c r="Y541" s="43">
        <f>IFERROR(Y540/H540,"0")</f>
        <v>11</v>
      </c>
      <c r="Z541" s="43">
        <f>IFERROR(IF(Z540="",0,Z540),"0")</f>
        <v>0.20877999999999999</v>
      </c>
      <c r="AA541" s="67"/>
      <c r="AB541" s="67"/>
      <c r="AC541" s="67"/>
    </row>
    <row r="542" spans="1:68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130</v>
      </c>
      <c r="Y542" s="43">
        <f>IFERROR(SUM(Y540:Y540),"0")</f>
        <v>132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1250</v>
      </c>
      <c r="Y552" s="55">
        <f>IFERROR(IF(X552="",0,CEILING((X552/$H552),1)*$H552),"")</f>
        <v>1251</v>
      </c>
      <c r="Z552" s="41">
        <f>IFERROR(IF(Y552=0,"",ROUNDUP(Y552/H552,0)*0.01898),"")</f>
        <v>2.63822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1318.6111111111111</v>
      </c>
      <c r="BN552" s="78">
        <f>IFERROR(Y552*I552/H552,"0")</f>
        <v>1319.6660000000002</v>
      </c>
      <c r="BO552" s="78">
        <f>IFERROR(1/J552*(X552/H552),"0")</f>
        <v>2.1701388888888888</v>
      </c>
      <c r="BP552" s="78">
        <f>IFERROR(1/J552*(Y552/H552),"0")</f>
        <v>2.171875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138.88888888888889</v>
      </c>
      <c r="Y553" s="43">
        <f>IFERROR(Y552/H552,"0")</f>
        <v>139</v>
      </c>
      <c r="Z553" s="43">
        <f>IFERROR(IF(Z552="",0,Z552),"0")</f>
        <v>2.63822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1250</v>
      </c>
      <c r="Y554" s="43">
        <f>IFERROR(SUM(Y552:Y552),"0")</f>
        <v>1251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15347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15526.1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16296.235862157677</v>
      </c>
      <c r="Y566" s="43">
        <f>IFERROR(SUM(BN22:BN562),"0")</f>
        <v>16487.572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29</v>
      </c>
      <c r="Y567" s="44">
        <f>ROUNDUP(SUM(BP22:BP562),0)</f>
        <v>29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17021.235862157679</v>
      </c>
      <c r="Y568" s="43">
        <f>GrossWeightTotalR+PalletQtyTotalR*25</f>
        <v>17212.572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3259.3671745314673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3294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33.57761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7.2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440.8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480.59999999999997</v>
      </c>
      <c r="F575" s="52">
        <f>IFERROR(Y89*1,"0")+IFERROR(Y90*1,"0")+IFERROR(Y91*1,"0")+IFERROR(Y92*1,"0")+IFERROR(Y93*1,"0")+IFERROR(Y94*1,"0")+IFERROR(Y98*1,"0")+IFERROR(Y99*1,"0")+IFERROR(Y100*1,"0")+IFERROR(Y101*1,"0")</f>
        <v>944.10000000000014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1809.36</v>
      </c>
      <c r="H575" s="52">
        <f>IFERROR(Y136*1,"0")+IFERROR(Y137*1,"0")+IFERROR(Y141*1,"0")+IFERROR(Y142*1,"0")+IFERROR(Y146*1,"0")+IFERROR(Y147*1,"0")</f>
        <v>112.32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1062.78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413.64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1933.8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36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482.4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943.8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878.69999999999993</v>
      </c>
      <c r="V575" s="52">
        <f>IFERROR(Y424*1,"0")+IFERROR(Y425*1,"0")+IFERROR(Y426*1,"0")</f>
        <v>0</v>
      </c>
      <c r="W575" s="52">
        <f>IFERROR(Y431*1,"0")+IFERROR(Y432*1,"0")+IFERROR(Y433*1,"0")</f>
        <v>420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3460</v>
      </c>
      <c r="Y575" s="52">
        <f>IFERROR(Y468*1,"0")+IFERROR(Y469*1,"0")+IFERROR(Y473*1,"0")+IFERROR(Y477*1,"0")+IFERROR(Y478*1,"0")+IFERROR(Y479*1,"0")</f>
        <v>36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681.6</v>
      </c>
      <c r="AC575" s="52">
        <f>IFERROR(Y540*1,"0")+IFERROR(Y544*1,"0")+IFERROR(Y548*1,"0")+IFERROR(Y552*1,"0")+IFERROR(Y556*1,"0")+IFERROR(Y557*1,"0")</f>
        <v>1383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3,00"/>
        <filter val="1 090,00"/>
        <filter val="1 100,00"/>
        <filter val="1 250,00"/>
        <filter val="1 320,00"/>
        <filter val="1 405,00"/>
        <filter val="10,00"/>
        <filter val="10,83"/>
        <filter val="100,00"/>
        <filter val="102,38"/>
        <filter val="105,00"/>
        <filter val="11,00"/>
        <filter val="11,11"/>
        <filter val="112,00"/>
        <filter val="119,23"/>
        <filter val="12,50"/>
        <filter val="120,00"/>
        <filter val="130,00"/>
        <filter val="138,89"/>
        <filter val="14,00"/>
        <filter val="140,00"/>
        <filter val="142,00"/>
        <filter val="142,26"/>
        <filter val="15 347,00"/>
        <filter val="150,00"/>
        <filter val="16 296,24"/>
        <filter val="16,67"/>
        <filter val="160,00"/>
        <filter val="164,20"/>
        <filter val="17 021,24"/>
        <filter val="18,00"/>
        <filter val="180,00"/>
        <filter val="2 110,00"/>
        <filter val="2,50"/>
        <filter val="2,56"/>
        <filter val="20,00"/>
        <filter val="200,00"/>
        <filter val="210,00"/>
        <filter val="22,22"/>
        <filter val="220,00"/>
        <filter val="225,00"/>
        <filter val="227,78"/>
        <filter val="240,00"/>
        <filter val="25,00"/>
        <filter val="250,00"/>
        <filter val="26,77"/>
        <filter val="260,00"/>
        <filter val="270,00"/>
        <filter val="28,00"/>
        <filter val="280,00"/>
        <filter val="29"/>
        <filter val="3 259,37"/>
        <filter val="3,33"/>
        <filter val="3,85"/>
        <filter val="30,00"/>
        <filter val="300,00"/>
        <filter val="32,00"/>
        <filter val="320,00"/>
        <filter val="321,00"/>
        <filter val="325,00"/>
        <filter val="33,00"/>
        <filter val="330,00"/>
        <filter val="333,52"/>
        <filter val="340,00"/>
        <filter val="35,00"/>
        <filter val="353,09"/>
        <filter val="36,00"/>
        <filter val="36,11"/>
        <filter val="360,00"/>
        <filter val="37,88"/>
        <filter val="374,27"/>
        <filter val="38,45"/>
        <filter val="380,00"/>
        <filter val="4,00"/>
        <filter val="40,00"/>
        <filter val="400,00"/>
        <filter val="420,00"/>
        <filter val="440,00"/>
        <filter val="450,00"/>
        <filter val="48,00"/>
        <filter val="480,00"/>
        <filter val="50,00"/>
        <filter val="53,00"/>
        <filter val="53,41"/>
        <filter val="53,89"/>
        <filter val="580,00"/>
        <filter val="59,26"/>
        <filter val="6,00"/>
        <filter val="60,00"/>
        <filter val="610,00"/>
        <filter val="65,93"/>
        <filter val="66,00"/>
        <filter val="66,48"/>
        <filter val="675,00"/>
        <filter val="7,00"/>
        <filter val="70,00"/>
        <filter val="700,00"/>
        <filter val="71,79"/>
        <filter val="750,00"/>
        <filter val="77,00"/>
        <filter val="8,21"/>
        <filter val="80,00"/>
        <filter val="88,00"/>
        <filter val="90,00"/>
        <filter val="930,00"/>
      </filters>
    </filterColumn>
    <filterColumn colId="29" showButton="0"/>
    <filterColumn colId="30" showButton="0"/>
  </autoFilter>
  <dataConsolidate/>
  <mergeCells count="1009"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