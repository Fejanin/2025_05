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5350973-84A8-4B29-BDCF-D3879E23C58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Z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P391" i="2"/>
  <c r="BO390" i="2"/>
  <c r="BM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X359" i="2"/>
  <c r="X358" i="2"/>
  <c r="BO357" i="2"/>
  <c r="BM357" i="2"/>
  <c r="Y357" i="2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P255" i="2"/>
  <c r="BO254" i="2"/>
  <c r="BM254" i="2"/>
  <c r="Y254" i="2"/>
  <c r="Z254" i="2" s="1"/>
  <c r="P254" i="2"/>
  <c r="X251" i="2"/>
  <c r="X250" i="2"/>
  <c r="BO249" i="2"/>
  <c r="BM249" i="2"/>
  <c r="Y249" i="2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Y147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Z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Z259" i="2" l="1"/>
  <c r="Z180" i="2"/>
  <c r="Z300" i="2"/>
  <c r="BN300" i="2"/>
  <c r="Z323" i="2"/>
  <c r="BN323" i="2"/>
  <c r="Z325" i="2"/>
  <c r="BN325" i="2"/>
  <c r="Z70" i="2"/>
  <c r="Z124" i="2"/>
  <c r="BN124" i="2"/>
  <c r="Z126" i="2"/>
  <c r="BN126" i="2"/>
  <c r="Z193" i="2"/>
  <c r="Z194" i="2" s="1"/>
  <c r="BP266" i="2"/>
  <c r="Z282" i="2"/>
  <c r="Z362" i="2"/>
  <c r="BN362" i="2"/>
  <c r="Z383" i="2"/>
  <c r="BN383" i="2"/>
  <c r="X568" i="2"/>
  <c r="Y24" i="2"/>
  <c r="Y37" i="2"/>
  <c r="Z35" i="2"/>
  <c r="BN35" i="2"/>
  <c r="Y36" i="2"/>
  <c r="Z51" i="2"/>
  <c r="Z94" i="2"/>
  <c r="Y148" i="2"/>
  <c r="Z183" i="2"/>
  <c r="Y199" i="2"/>
  <c r="BP220" i="2"/>
  <c r="Z245" i="2"/>
  <c r="Z269" i="2"/>
  <c r="Z278" i="2"/>
  <c r="Z289" i="2"/>
  <c r="Z333" i="2"/>
  <c r="Z370" i="2"/>
  <c r="Z382" i="2"/>
  <c r="Z390" i="2"/>
  <c r="Z415" i="2"/>
  <c r="BN415" i="2"/>
  <c r="Z442" i="2"/>
  <c r="Z451" i="2"/>
  <c r="Z176" i="2"/>
  <c r="BN29" i="2"/>
  <c r="Y86" i="2"/>
  <c r="Y85" i="2"/>
  <c r="Z82" i="2"/>
  <c r="BN106" i="2"/>
  <c r="Z106" i="2"/>
  <c r="BP140" i="2"/>
  <c r="Y143" i="2"/>
  <c r="BN171" i="2"/>
  <c r="Y173" i="2"/>
  <c r="BN206" i="2"/>
  <c r="BN222" i="2"/>
  <c r="BN236" i="2"/>
  <c r="BN238" i="2"/>
  <c r="Y241" i="2"/>
  <c r="Y246" i="2"/>
  <c r="BP243" i="2"/>
  <c r="BN255" i="2"/>
  <c r="Z255" i="2"/>
  <c r="Z256" i="2" s="1"/>
  <c r="BN265" i="2"/>
  <c r="BP268" i="2"/>
  <c r="Z268" i="2"/>
  <c r="BN276" i="2"/>
  <c r="BP276" i="2"/>
  <c r="BN296" i="2"/>
  <c r="BN327" i="2"/>
  <c r="Y349" i="2"/>
  <c r="BP346" i="2"/>
  <c r="BN346" i="2"/>
  <c r="Z346" i="2"/>
  <c r="Y358" i="2"/>
  <c r="Y359" i="2"/>
  <c r="BP373" i="2"/>
  <c r="BN373" i="2"/>
  <c r="Z373" i="2"/>
  <c r="BN380" i="2"/>
  <c r="Z380" i="2"/>
  <c r="BN384" i="2"/>
  <c r="BN392" i="2"/>
  <c r="Z392" i="2"/>
  <c r="BP392" i="2"/>
  <c r="BP62" i="2"/>
  <c r="BN62" i="2"/>
  <c r="Z62" i="2"/>
  <c r="BP82" i="2"/>
  <c r="BN83" i="2"/>
  <c r="Z83" i="2"/>
  <c r="BP92" i="2"/>
  <c r="BN92" i="2"/>
  <c r="Z92" i="2"/>
  <c r="BP106" i="2"/>
  <c r="BN110" i="2"/>
  <c r="BP110" i="2"/>
  <c r="I574" i="2"/>
  <c r="BN151" i="2"/>
  <c r="BN178" i="2"/>
  <c r="BP178" i="2"/>
  <c r="BP204" i="2"/>
  <c r="Z204" i="2"/>
  <c r="BN228" i="2"/>
  <c r="BP249" i="2"/>
  <c r="Y251" i="2"/>
  <c r="Y250" i="2"/>
  <c r="BN249" i="2"/>
  <c r="BN271" i="2"/>
  <c r="Z271" i="2"/>
  <c r="BN280" i="2"/>
  <c r="BN285" i="2"/>
  <c r="Z285" i="2"/>
  <c r="BP315" i="2"/>
  <c r="Z315" i="2"/>
  <c r="BN372" i="2"/>
  <c r="Z372" i="2"/>
  <c r="BN404" i="2"/>
  <c r="BN416" i="2"/>
  <c r="BP432" i="2"/>
  <c r="BN444" i="2"/>
  <c r="BP455" i="2"/>
  <c r="BP467" i="2"/>
  <c r="BN511" i="2"/>
  <c r="BP34" i="2"/>
  <c r="BP51" i="2"/>
  <c r="BN52" i="2"/>
  <c r="BP70" i="2"/>
  <c r="Y156" i="2"/>
  <c r="BN154" i="2"/>
  <c r="BP183" i="2"/>
  <c r="BN226" i="2"/>
  <c r="BN231" i="2"/>
  <c r="BN254" i="2"/>
  <c r="Y262" i="2"/>
  <c r="BN313" i="2"/>
  <c r="BN347" i="2"/>
  <c r="BN374" i="2"/>
  <c r="BP382" i="2"/>
  <c r="Z398" i="2"/>
  <c r="BP424" i="2"/>
  <c r="Z432" i="2"/>
  <c r="Z439" i="2"/>
  <c r="BP442" i="2"/>
  <c r="BN443" i="2"/>
  <c r="Z455" i="2"/>
  <c r="Z457" i="2"/>
  <c r="BN457" i="2"/>
  <c r="Y458" i="2"/>
  <c r="Z467" i="2"/>
  <c r="Z468" i="2"/>
  <c r="BN468" i="2"/>
  <c r="Y469" i="2"/>
  <c r="Z478" i="2"/>
  <c r="BN478" i="2"/>
  <c r="Z488" i="2"/>
  <c r="BN503" i="2"/>
  <c r="BN515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Z36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261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27" i="2" s="1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BN108" i="2"/>
  <c r="BN118" i="2"/>
  <c r="BN141" i="2"/>
  <c r="Z152" i="2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155" i="2" l="1"/>
  <c r="Z137" i="2"/>
  <c r="Z418" i="2"/>
  <c r="Z365" i="2"/>
  <c r="Z240" i="2"/>
  <c r="Z291" i="2"/>
  <c r="Z302" i="2"/>
  <c r="Z272" i="2"/>
  <c r="Z246" i="2"/>
  <c r="Z190" i="2"/>
  <c r="Z79" i="2"/>
  <c r="Z557" i="2"/>
  <c r="Z452" i="2"/>
  <c r="Z393" i="2"/>
  <c r="Z376" i="2"/>
  <c r="Z172" i="2"/>
  <c r="Z67" i="2"/>
  <c r="Z317" i="2"/>
  <c r="Z74" i="2"/>
  <c r="Z479" i="2"/>
  <c r="Z406" i="2"/>
  <c r="Z328" i="2"/>
  <c r="X567" i="2"/>
  <c r="Z469" i="2"/>
  <c r="Z446" i="2"/>
  <c r="Z399" i="2"/>
  <c r="Z518" i="2"/>
  <c r="Z386" i="2"/>
  <c r="Z85" i="2"/>
  <c r="Z505" i="2"/>
  <c r="Z524" i="2"/>
  <c r="Z335" i="2"/>
  <c r="Z55" i="2"/>
  <c r="Z458" i="2"/>
  <c r="Z433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<sst xmlns="http://schemas.openxmlformats.org/spreadsheetml/2006/main" count="4241" uniqueCount="894">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</sst>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893</v>
      </c>
      <c r="I5" s="647"/>
      <c r="J5" s="647"/>
      <c r="K5" s="647"/>
      <c r="L5" s="647"/>
      <c r="M5" s="647"/>
      <c r="N5" s="72"/>
      <c r="P5" s="27" t="s">
        <v>4</v>
      </c>
      <c r="Q5" s="649">
        <v>46321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875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Понедельник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1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4.1666666666666664E-2</v>
      </c>
      <c r="R8" s="669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0"/>
      <c r="C9" s="670"/>
      <c r="D9" s="671" t="s">
        <v>46</v>
      </c>
      <c r="E9" s="672"/>
      <c r="F9" s="6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0"/>
      <c r="H9" s="673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70"/>
      <c r="P9" s="31" t="s">
        <v>15</v>
      </c>
      <c r="Q9" s="674"/>
      <c r="R9" s="674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0"/>
      <c r="C10" s="670"/>
      <c r="D10" s="671"/>
      <c r="E10" s="672"/>
      <c r="F10" s="6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0"/>
      <c r="H10" s="675" t="str">
        <f>IFERROR(VLOOKUP($D$10,Proxy,2,FALSE),"")</f>
        <v/>
      </c>
      <c r="I10" s="675"/>
      <c r="J10" s="675"/>
      <c r="K10" s="675"/>
      <c r="L10" s="675"/>
      <c r="M10" s="675"/>
      <c r="N10" s="71"/>
      <c r="P10" s="31" t="s">
        <v>32</v>
      </c>
      <c r="Q10" s="676"/>
      <c r="R10" s="676"/>
      <c r="U10" s="29" t="s">
        <v>12</v>
      </c>
      <c r="V10" s="677" t="s">
        <v>71</v>
      </c>
      <c r="W10" s="67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9"/>
      <c r="R11" s="679"/>
      <c r="U11" s="29" t="s">
        <v>28</v>
      </c>
      <c r="V11" s="680" t="s">
        <v>55</v>
      </c>
      <c r="W11" s="68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1" t="s">
        <v>72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76"/>
      <c r="P12" s="27" t="s">
        <v>30</v>
      </c>
      <c r="Q12" s="669"/>
      <c r="R12" s="669"/>
      <c r="S12" s="28"/>
      <c r="T12"/>
      <c r="U12" s="29" t="s">
        <v>46</v>
      </c>
      <c r="V12" s="682"/>
      <c r="W12" s="682"/>
      <c r="X12"/>
      <c r="AB12" s="59"/>
      <c r="AC12" s="59"/>
      <c r="AD12" s="59"/>
      <c r="AE12" s="59"/>
    </row>
    <row r="13" spans="1:32" s="17" customFormat="1" ht="23.25" customHeight="1" x14ac:dyDescent="0.2">
      <c r="A13" s="681" t="s">
        <v>73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76"/>
      <c r="O13" s="31"/>
      <c r="P13" s="31" t="s">
        <v>31</v>
      </c>
      <c r="Q13" s="680"/>
      <c r="R13" s="68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1" t="s">
        <v>74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3" t="s">
        <v>75</v>
      </c>
      <c r="B15" s="683"/>
      <c r="C15" s="683"/>
      <c r="D15" s="683"/>
      <c r="E15" s="683"/>
      <c r="F15" s="683"/>
      <c r="G15" s="683"/>
      <c r="H15" s="683"/>
      <c r="I15" s="683"/>
      <c r="J15" s="683"/>
      <c r="K15" s="683"/>
      <c r="L15" s="683"/>
      <c r="M15" s="683"/>
      <c r="N15" s="77"/>
      <c r="O15"/>
      <c r="P15" s="684" t="s">
        <v>61</v>
      </c>
      <c r="Q15" s="684"/>
      <c r="R15" s="684"/>
      <c r="S15" s="684"/>
      <c r="T15" s="6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5"/>
      <c r="Q16" s="685"/>
      <c r="R16" s="685"/>
      <c r="S16" s="685"/>
      <c r="T16" s="6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8" t="s">
        <v>59</v>
      </c>
      <c r="B17" s="688" t="s">
        <v>49</v>
      </c>
      <c r="C17" s="690" t="s">
        <v>48</v>
      </c>
      <c r="D17" s="692" t="s">
        <v>50</v>
      </c>
      <c r="E17" s="693"/>
      <c r="F17" s="688" t="s">
        <v>21</v>
      </c>
      <c r="G17" s="688" t="s">
        <v>24</v>
      </c>
      <c r="H17" s="688" t="s">
        <v>22</v>
      </c>
      <c r="I17" s="688" t="s">
        <v>23</v>
      </c>
      <c r="J17" s="688" t="s">
        <v>16</v>
      </c>
      <c r="K17" s="688" t="s">
        <v>66</v>
      </c>
      <c r="L17" s="688" t="s">
        <v>64</v>
      </c>
      <c r="M17" s="688" t="s">
        <v>2</v>
      </c>
      <c r="N17" s="688" t="s">
        <v>63</v>
      </c>
      <c r="O17" s="688" t="s">
        <v>25</v>
      </c>
      <c r="P17" s="692" t="s">
        <v>17</v>
      </c>
      <c r="Q17" s="696"/>
      <c r="R17" s="696"/>
      <c r="S17" s="696"/>
      <c r="T17" s="693"/>
      <c r="U17" s="686" t="s">
        <v>56</v>
      </c>
      <c r="V17" s="687"/>
      <c r="W17" s="688" t="s">
        <v>6</v>
      </c>
      <c r="X17" s="688" t="s">
        <v>41</v>
      </c>
      <c r="Y17" s="698" t="s">
        <v>54</v>
      </c>
      <c r="Z17" s="700" t="s">
        <v>18</v>
      </c>
      <c r="AA17" s="702" t="s">
        <v>60</v>
      </c>
      <c r="AB17" s="702" t="s">
        <v>19</v>
      </c>
      <c r="AC17" s="702" t="s">
        <v>65</v>
      </c>
      <c r="AD17" s="704" t="s">
        <v>57</v>
      </c>
      <c r="AE17" s="705"/>
      <c r="AF17" s="706"/>
      <c r="AG17" s="82"/>
      <c r="BD17" s="81" t="s">
        <v>62</v>
      </c>
    </row>
    <row r="18" spans="1:68" ht="14.25" customHeight="1" x14ac:dyDescent="0.2">
      <c r="A18" s="689"/>
      <c r="B18" s="689"/>
      <c r="C18" s="691"/>
      <c r="D18" s="694"/>
      <c r="E18" s="695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694"/>
      <c r="Q18" s="697"/>
      <c r="R18" s="697"/>
      <c r="S18" s="697"/>
      <c r="T18" s="695"/>
      <c r="U18" s="83" t="s">
        <v>44</v>
      </c>
      <c r="V18" s="83" t="s">
        <v>43</v>
      </c>
      <c r="W18" s="689"/>
      <c r="X18" s="689"/>
      <c r="Y18" s="699"/>
      <c r="Z18" s="701"/>
      <c r="AA18" s="703"/>
      <c r="AB18" s="703"/>
      <c r="AC18" s="703"/>
      <c r="AD18" s="707"/>
      <c r="AE18" s="708"/>
      <c r="AF18" s="709"/>
      <c r="AG18" s="82"/>
      <c r="BD18" s="81"/>
    </row>
    <row r="19" spans="1:68" ht="27.75" hidden="1" customHeight="1" x14ac:dyDescent="0.2">
      <c r="A19" s="710" t="s">
        <v>76</v>
      </c>
      <c r="B19" s="710"/>
      <c r="C19" s="710"/>
      <c r="D19" s="710"/>
      <c r="E19" s="710"/>
      <c r="F19" s="710"/>
      <c r="G19" s="710"/>
      <c r="H19" s="710"/>
      <c r="I19" s="710"/>
      <c r="J19" s="710"/>
      <c r="K19" s="710"/>
      <c r="L19" s="710"/>
      <c r="M19" s="710"/>
      <c r="N19" s="710"/>
      <c r="O19" s="710"/>
      <c r="P19" s="710"/>
      <c r="Q19" s="710"/>
      <c r="R19" s="710"/>
      <c r="S19" s="710"/>
      <c r="T19" s="710"/>
      <c r="U19" s="710"/>
      <c r="V19" s="710"/>
      <c r="W19" s="710"/>
      <c r="X19" s="710"/>
      <c r="Y19" s="710"/>
      <c r="Z19" s="710"/>
      <c r="AA19" s="54"/>
      <c r="AB19" s="54"/>
      <c r="AC19" s="54"/>
    </row>
    <row r="20" spans="1:68" ht="16.5" hidden="1" customHeight="1" x14ac:dyDescent="0.25">
      <c r="A20" s="711" t="s">
        <v>76</v>
      </c>
      <c r="B20" s="711"/>
      <c r="C20" s="711"/>
      <c r="D20" s="711"/>
      <c r="E20" s="711"/>
      <c r="F20" s="711"/>
      <c r="G20" s="711"/>
      <c r="H20" s="711"/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1"/>
      <c r="T20" s="711"/>
      <c r="U20" s="711"/>
      <c r="V20" s="711"/>
      <c r="W20" s="711"/>
      <c r="X20" s="711"/>
      <c r="Y20" s="711"/>
      <c r="Z20" s="711"/>
      <c r="AA20" s="65"/>
      <c r="AB20" s="65"/>
      <c r="AC20" s="79"/>
    </row>
    <row r="21" spans="1:68" ht="14.25" hidden="1" customHeight="1" x14ac:dyDescent="0.25">
      <c r="A21" s="712" t="s">
        <v>77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712"/>
      <c r="O21" s="712"/>
      <c r="P21" s="712"/>
      <c r="Q21" s="712"/>
      <c r="R21" s="712"/>
      <c r="S21" s="712"/>
      <c r="T21" s="712"/>
      <c r="U21" s="712"/>
      <c r="V21" s="712"/>
      <c r="W21" s="712"/>
      <c r="X21" s="712"/>
      <c r="Y21" s="712"/>
      <c r="Z21" s="71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3">
        <v>4680115889071</v>
      </c>
      <c r="E22" s="71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5"/>
      <c r="R22" s="715"/>
      <c r="S22" s="715"/>
      <c r="T22" s="7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0"/>
      <c r="B23" s="720"/>
      <c r="C23" s="720"/>
      <c r="D23" s="720"/>
      <c r="E23" s="720"/>
      <c r="F23" s="720"/>
      <c r="G23" s="720"/>
      <c r="H23" s="720"/>
      <c r="I23" s="720"/>
      <c r="J23" s="720"/>
      <c r="K23" s="720"/>
      <c r="L23" s="720"/>
      <c r="M23" s="720"/>
      <c r="N23" s="720"/>
      <c r="O23" s="721"/>
      <c r="P23" s="717" t="s">
        <v>40</v>
      </c>
      <c r="Q23" s="718"/>
      <c r="R23" s="718"/>
      <c r="S23" s="718"/>
      <c r="T23" s="718"/>
      <c r="U23" s="718"/>
      <c r="V23" s="719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0"/>
      <c r="B24" s="720"/>
      <c r="C24" s="720"/>
      <c r="D24" s="720"/>
      <c r="E24" s="720"/>
      <c r="F24" s="720"/>
      <c r="G24" s="720"/>
      <c r="H24" s="720"/>
      <c r="I24" s="720"/>
      <c r="J24" s="720"/>
      <c r="K24" s="720"/>
      <c r="L24" s="720"/>
      <c r="M24" s="720"/>
      <c r="N24" s="720"/>
      <c r="O24" s="721"/>
      <c r="P24" s="717" t="s">
        <v>40</v>
      </c>
      <c r="Q24" s="718"/>
      <c r="R24" s="718"/>
      <c r="S24" s="718"/>
      <c r="T24" s="718"/>
      <c r="U24" s="718"/>
      <c r="V24" s="719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2" t="s">
        <v>83</v>
      </c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2"/>
      <c r="P25" s="712"/>
      <c r="Q25" s="712"/>
      <c r="R25" s="712"/>
      <c r="S25" s="712"/>
      <c r="T25" s="712"/>
      <c r="U25" s="712"/>
      <c r="V25" s="712"/>
      <c r="W25" s="712"/>
      <c r="X25" s="712"/>
      <c r="Y25" s="712"/>
      <c r="Z25" s="71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3">
        <v>4680115885912</v>
      </c>
      <c r="E26" s="71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5"/>
      <c r="R26" s="715"/>
      <c r="S26" s="715"/>
      <c r="T26" s="71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3">
        <v>4607091388237</v>
      </c>
      <c r="E27" s="71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5"/>
      <c r="R27" s="715"/>
      <c r="S27" s="715"/>
      <c r="T27" s="71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3">
        <v>4680115887350</v>
      </c>
      <c r="E28" s="71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5"/>
      <c r="R28" s="715"/>
      <c r="S28" s="715"/>
      <c r="T28" s="71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3">
        <v>4680115885905</v>
      </c>
      <c r="E29" s="7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5"/>
      <c r="R29" s="715"/>
      <c r="S29" s="715"/>
      <c r="T29" s="71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3">
        <v>4680115887619</v>
      </c>
      <c r="E30" s="71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5"/>
      <c r="R30" s="715"/>
      <c r="S30" s="715"/>
      <c r="T30" s="71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0"/>
      <c r="B31" s="720"/>
      <c r="C31" s="720"/>
      <c r="D31" s="720"/>
      <c r="E31" s="720"/>
      <c r="F31" s="720"/>
      <c r="G31" s="720"/>
      <c r="H31" s="720"/>
      <c r="I31" s="720"/>
      <c r="J31" s="720"/>
      <c r="K31" s="720"/>
      <c r="L31" s="720"/>
      <c r="M31" s="720"/>
      <c r="N31" s="720"/>
      <c r="O31" s="721"/>
      <c r="P31" s="717" t="s">
        <v>40</v>
      </c>
      <c r="Q31" s="718"/>
      <c r="R31" s="718"/>
      <c r="S31" s="718"/>
      <c r="T31" s="718"/>
      <c r="U31" s="718"/>
      <c r="V31" s="719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0"/>
      <c r="B32" s="720"/>
      <c r="C32" s="720"/>
      <c r="D32" s="720"/>
      <c r="E32" s="720"/>
      <c r="F32" s="720"/>
      <c r="G32" s="720"/>
      <c r="H32" s="720"/>
      <c r="I32" s="720"/>
      <c r="J32" s="720"/>
      <c r="K32" s="720"/>
      <c r="L32" s="720"/>
      <c r="M32" s="720"/>
      <c r="N32" s="720"/>
      <c r="O32" s="721"/>
      <c r="P32" s="717" t="s">
        <v>40</v>
      </c>
      <c r="Q32" s="718"/>
      <c r="R32" s="718"/>
      <c r="S32" s="718"/>
      <c r="T32" s="718"/>
      <c r="U32" s="718"/>
      <c r="V32" s="719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2" t="s">
        <v>101</v>
      </c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2"/>
      <c r="P33" s="712"/>
      <c r="Q33" s="712"/>
      <c r="R33" s="712"/>
      <c r="S33" s="712"/>
      <c r="T33" s="712"/>
      <c r="U33" s="712"/>
      <c r="V33" s="712"/>
      <c r="W33" s="712"/>
      <c r="X33" s="712"/>
      <c r="Y33" s="712"/>
      <c r="Z33" s="71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3">
        <v>4680115889262</v>
      </c>
      <c r="E34" s="71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5"/>
      <c r="R34" s="715"/>
      <c r="S34" s="715"/>
      <c r="T34" s="71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3">
        <v>4680115889040</v>
      </c>
      <c r="E35" s="71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5"/>
      <c r="R35" s="715"/>
      <c r="S35" s="715"/>
      <c r="T35" s="71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0"/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1"/>
      <c r="P36" s="717" t="s">
        <v>40</v>
      </c>
      <c r="Q36" s="718"/>
      <c r="R36" s="718"/>
      <c r="S36" s="718"/>
      <c r="T36" s="718"/>
      <c r="U36" s="718"/>
      <c r="V36" s="719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0"/>
      <c r="B37" s="720"/>
      <c r="C37" s="720"/>
      <c r="D37" s="720"/>
      <c r="E37" s="720"/>
      <c r="F37" s="720"/>
      <c r="G37" s="720"/>
      <c r="H37" s="720"/>
      <c r="I37" s="720"/>
      <c r="J37" s="720"/>
      <c r="K37" s="720"/>
      <c r="L37" s="720"/>
      <c r="M37" s="720"/>
      <c r="N37" s="720"/>
      <c r="O37" s="721"/>
      <c r="P37" s="717" t="s">
        <v>40</v>
      </c>
      <c r="Q37" s="718"/>
      <c r="R37" s="718"/>
      <c r="S37" s="718"/>
      <c r="T37" s="718"/>
      <c r="U37" s="718"/>
      <c r="V37" s="719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0" t="s">
        <v>45</v>
      </c>
      <c r="B38" s="710"/>
      <c r="C38" s="710"/>
      <c r="D38" s="710"/>
      <c r="E38" s="710"/>
      <c r="F38" s="710"/>
      <c r="G38" s="710"/>
      <c r="H38" s="710"/>
      <c r="I38" s="710"/>
      <c r="J38" s="710"/>
      <c r="K38" s="710"/>
      <c r="L38" s="710"/>
      <c r="M38" s="710"/>
      <c r="N38" s="710"/>
      <c r="O38" s="710"/>
      <c r="P38" s="710"/>
      <c r="Q38" s="710"/>
      <c r="R38" s="710"/>
      <c r="S38" s="710"/>
      <c r="T38" s="710"/>
      <c r="U38" s="710"/>
      <c r="V38" s="710"/>
      <c r="W38" s="710"/>
      <c r="X38" s="710"/>
      <c r="Y38" s="710"/>
      <c r="Z38" s="710"/>
      <c r="AA38" s="54"/>
      <c r="AB38" s="54"/>
      <c r="AC38" s="54"/>
    </row>
    <row r="39" spans="1:68" ht="16.5" hidden="1" customHeight="1" x14ac:dyDescent="0.25">
      <c r="A39" s="711" t="s">
        <v>112</v>
      </c>
      <c r="B39" s="711"/>
      <c r="C39" s="711"/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711"/>
      <c r="O39" s="711"/>
      <c r="P39" s="711"/>
      <c r="Q39" s="711"/>
      <c r="R39" s="711"/>
      <c r="S39" s="711"/>
      <c r="T39" s="711"/>
      <c r="U39" s="711"/>
      <c r="V39" s="711"/>
      <c r="W39" s="711"/>
      <c r="X39" s="711"/>
      <c r="Y39" s="711"/>
      <c r="Z39" s="711"/>
      <c r="AA39" s="65"/>
      <c r="AB39" s="65"/>
      <c r="AC39" s="79"/>
    </row>
    <row r="40" spans="1:68" ht="14.25" hidden="1" customHeight="1" x14ac:dyDescent="0.25">
      <c r="A40" s="712" t="s">
        <v>83</v>
      </c>
      <c r="B40" s="712"/>
      <c r="C40" s="712"/>
      <c r="D40" s="712"/>
      <c r="E40" s="712"/>
      <c r="F40" s="712"/>
      <c r="G40" s="712"/>
      <c r="H40" s="712"/>
      <c r="I40" s="712"/>
      <c r="J40" s="712"/>
      <c r="K40" s="712"/>
      <c r="L40" s="712"/>
      <c r="M40" s="712"/>
      <c r="N40" s="712"/>
      <c r="O40" s="712"/>
      <c r="P40" s="712"/>
      <c r="Q40" s="712"/>
      <c r="R40" s="712"/>
      <c r="S40" s="712"/>
      <c r="T40" s="712"/>
      <c r="U40" s="712"/>
      <c r="V40" s="712"/>
      <c r="W40" s="712"/>
      <c r="X40" s="712"/>
      <c r="Y40" s="712"/>
      <c r="Z40" s="71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3">
        <v>4680115889354</v>
      </c>
      <c r="E41" s="71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5"/>
      <c r="R41" s="715"/>
      <c r="S41" s="715"/>
      <c r="T41" s="71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3">
        <v>4680115888463</v>
      </c>
      <c r="E42" s="71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5"/>
      <c r="R42" s="715"/>
      <c r="S42" s="715"/>
      <c r="T42" s="71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3">
        <v>4680115889590</v>
      </c>
      <c r="E43" s="71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5"/>
      <c r="R43" s="715"/>
      <c r="S43" s="715"/>
      <c r="T43" s="71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3">
        <v>4680115888272</v>
      </c>
      <c r="E44" s="71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5"/>
      <c r="R44" s="715"/>
      <c r="S44" s="715"/>
      <c r="T44" s="71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3">
        <v>4680115888364</v>
      </c>
      <c r="E45" s="71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5"/>
      <c r="R45" s="715"/>
      <c r="S45" s="715"/>
      <c r="T45" s="71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0"/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1"/>
      <c r="P46" s="717" t="s">
        <v>40</v>
      </c>
      <c r="Q46" s="718"/>
      <c r="R46" s="718"/>
      <c r="S46" s="718"/>
      <c r="T46" s="718"/>
      <c r="U46" s="718"/>
      <c r="V46" s="719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0"/>
      <c r="B47" s="720"/>
      <c r="C47" s="720"/>
      <c r="D47" s="720"/>
      <c r="E47" s="720"/>
      <c r="F47" s="720"/>
      <c r="G47" s="720"/>
      <c r="H47" s="720"/>
      <c r="I47" s="720"/>
      <c r="J47" s="720"/>
      <c r="K47" s="720"/>
      <c r="L47" s="720"/>
      <c r="M47" s="720"/>
      <c r="N47" s="720"/>
      <c r="O47" s="721"/>
      <c r="P47" s="717" t="s">
        <v>40</v>
      </c>
      <c r="Q47" s="718"/>
      <c r="R47" s="718"/>
      <c r="S47" s="718"/>
      <c r="T47" s="718"/>
      <c r="U47" s="718"/>
      <c r="V47" s="719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0" t="s">
        <v>128</v>
      </c>
      <c r="B48" s="710"/>
      <c r="C48" s="710"/>
      <c r="D48" s="710"/>
      <c r="E48" s="710"/>
      <c r="F48" s="710"/>
      <c r="G48" s="710"/>
      <c r="H48" s="710"/>
      <c r="I48" s="710"/>
      <c r="J48" s="710"/>
      <c r="K48" s="710"/>
      <c r="L48" s="710"/>
      <c r="M48" s="710"/>
      <c r="N48" s="710"/>
      <c r="O48" s="710"/>
      <c r="P48" s="710"/>
      <c r="Q48" s="710"/>
      <c r="R48" s="710"/>
      <c r="S48" s="710"/>
      <c r="T48" s="710"/>
      <c r="U48" s="710"/>
      <c r="V48" s="710"/>
      <c r="W48" s="710"/>
      <c r="X48" s="710"/>
      <c r="Y48" s="710"/>
      <c r="Z48" s="710"/>
      <c r="AA48" s="54"/>
      <c r="AB48" s="54"/>
      <c r="AC48" s="54"/>
    </row>
    <row r="49" spans="1:68" ht="16.5" hidden="1" customHeight="1" x14ac:dyDescent="0.25">
      <c r="A49" s="711" t="s">
        <v>129</v>
      </c>
      <c r="B49" s="711"/>
      <c r="C49" s="711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1"/>
      <c r="O49" s="711"/>
      <c r="P49" s="711"/>
      <c r="Q49" s="711"/>
      <c r="R49" s="711"/>
      <c r="S49" s="711"/>
      <c r="T49" s="711"/>
      <c r="U49" s="711"/>
      <c r="V49" s="711"/>
      <c r="W49" s="711"/>
      <c r="X49" s="711"/>
      <c r="Y49" s="711"/>
      <c r="Z49" s="711"/>
      <c r="AA49" s="65"/>
      <c r="AB49" s="65"/>
      <c r="AC49" s="79"/>
    </row>
    <row r="50" spans="1:68" ht="14.25" hidden="1" customHeight="1" x14ac:dyDescent="0.25">
      <c r="A50" s="712" t="s">
        <v>130</v>
      </c>
      <c r="B50" s="712"/>
      <c r="C50" s="712"/>
      <c r="D50" s="712"/>
      <c r="E50" s="712"/>
      <c r="F50" s="712"/>
      <c r="G50" s="712"/>
      <c r="H50" s="712"/>
      <c r="I50" s="712"/>
      <c r="J50" s="712"/>
      <c r="K50" s="712"/>
      <c r="L50" s="712"/>
      <c r="M50" s="712"/>
      <c r="N50" s="712"/>
      <c r="O50" s="712"/>
      <c r="P50" s="712"/>
      <c r="Q50" s="712"/>
      <c r="R50" s="712"/>
      <c r="S50" s="712"/>
      <c r="T50" s="712"/>
      <c r="U50" s="712"/>
      <c r="V50" s="712"/>
      <c r="W50" s="712"/>
      <c r="X50" s="712"/>
      <c r="Y50" s="712"/>
      <c r="Z50" s="712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713">
        <v>4607091385670</v>
      </c>
      <c r="E51" s="71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5"/>
      <c r="R51" s="715"/>
      <c r="S51" s="715"/>
      <c r="T51" s="71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3">
        <v>4680115887725</v>
      </c>
      <c r="E52" s="71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5"/>
      <c r="R52" s="715"/>
      <c r="S52" s="715"/>
      <c r="T52" s="71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3">
        <v>4607091385687</v>
      </c>
      <c r="E53" s="71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5"/>
      <c r="R53" s="715"/>
      <c r="S53" s="715"/>
      <c r="T53" s="716"/>
      <c r="U53" s="39" t="s">
        <v>46</v>
      </c>
      <c r="V53" s="39" t="s">
        <v>46</v>
      </c>
      <c r="W53" s="40" t="s">
        <v>0</v>
      </c>
      <c r="X53" s="58">
        <v>12</v>
      </c>
      <c r="Y53" s="55">
        <f>IFERROR(IF(X53="",0,CEILING((X53/$H53),1)*$H53),"")</f>
        <v>12</v>
      </c>
      <c r="Z53" s="41">
        <f>IFERROR(IF(Y53=0,"",ROUNDUP(Y53/H53,0)*0.00902),"")</f>
        <v>2.7060000000000001E-2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12.57</v>
      </c>
      <c r="BN53" s="78">
        <f>IFERROR(Y53*I53/H53,"0")</f>
        <v>12.57</v>
      </c>
      <c r="BO53" s="78">
        <f>IFERROR(1/J53*(X53/H53),"0")</f>
        <v>2.2727272727272728E-2</v>
      </c>
      <c r="BP53" s="78">
        <f>IFERROR(1/J53*(Y53/H53),"0")</f>
        <v>2.2727272727272728E-2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3">
        <v>4680115882539</v>
      </c>
      <c r="E54" s="71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5"/>
      <c r="R54" s="715"/>
      <c r="S54" s="715"/>
      <c r="T54" s="71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0"/>
      <c r="B55" s="720"/>
      <c r="C55" s="720"/>
      <c r="D55" s="720"/>
      <c r="E55" s="720"/>
      <c r="F55" s="720"/>
      <c r="G55" s="720"/>
      <c r="H55" s="720"/>
      <c r="I55" s="720"/>
      <c r="J55" s="720"/>
      <c r="K55" s="720"/>
      <c r="L55" s="720"/>
      <c r="M55" s="720"/>
      <c r="N55" s="720"/>
      <c r="O55" s="721"/>
      <c r="P55" s="717" t="s">
        <v>40</v>
      </c>
      <c r="Q55" s="718"/>
      <c r="R55" s="718"/>
      <c r="S55" s="718"/>
      <c r="T55" s="718"/>
      <c r="U55" s="718"/>
      <c r="V55" s="719"/>
      <c r="W55" s="42" t="s">
        <v>39</v>
      </c>
      <c r="X55" s="43">
        <f>IFERROR(X51/H51,"0")+IFERROR(X52/H52,"0")+IFERROR(X53/H53,"0")+IFERROR(X54/H54,"0")</f>
        <v>3</v>
      </c>
      <c r="Y55" s="43">
        <f>IFERROR(Y51/H51,"0")+IFERROR(Y52/H52,"0")+IFERROR(Y53/H53,"0")+IFERROR(Y54/H54,"0")</f>
        <v>3</v>
      </c>
      <c r="Z55" s="43">
        <f>IFERROR(IF(Z51="",0,Z51),"0")+IFERROR(IF(Z52="",0,Z52),"0")+IFERROR(IF(Z53="",0,Z53),"0")+IFERROR(IF(Z54="",0,Z54),"0")</f>
        <v>2.7060000000000001E-2</v>
      </c>
      <c r="AA55" s="67"/>
      <c r="AB55" s="67"/>
      <c r="AC55" s="67"/>
    </row>
    <row r="56" spans="1:68" x14ac:dyDescent="0.2">
      <c r="A56" s="720"/>
      <c r="B56" s="720"/>
      <c r="C56" s="720"/>
      <c r="D56" s="720"/>
      <c r="E56" s="720"/>
      <c r="F56" s="720"/>
      <c r="G56" s="720"/>
      <c r="H56" s="720"/>
      <c r="I56" s="720"/>
      <c r="J56" s="720"/>
      <c r="K56" s="720"/>
      <c r="L56" s="720"/>
      <c r="M56" s="720"/>
      <c r="N56" s="720"/>
      <c r="O56" s="721"/>
      <c r="P56" s="717" t="s">
        <v>40</v>
      </c>
      <c r="Q56" s="718"/>
      <c r="R56" s="718"/>
      <c r="S56" s="718"/>
      <c r="T56" s="718"/>
      <c r="U56" s="718"/>
      <c r="V56" s="719"/>
      <c r="W56" s="42" t="s">
        <v>0</v>
      </c>
      <c r="X56" s="43">
        <f>IFERROR(SUM(X51:X54),"0")</f>
        <v>12</v>
      </c>
      <c r="Y56" s="43">
        <f>IFERROR(SUM(Y51:Y54),"0")</f>
        <v>12</v>
      </c>
      <c r="Z56" s="42"/>
      <c r="AA56" s="67"/>
      <c r="AB56" s="67"/>
      <c r="AC56" s="67"/>
    </row>
    <row r="57" spans="1:68" ht="16.5" hidden="1" customHeight="1" x14ac:dyDescent="0.25">
      <c r="A57" s="711" t="s">
        <v>145</v>
      </c>
      <c r="B57" s="711"/>
      <c r="C57" s="711"/>
      <c r="D57" s="711"/>
      <c r="E57" s="711"/>
      <c r="F57" s="711"/>
      <c r="G57" s="711"/>
      <c r="H57" s="711"/>
      <c r="I57" s="711"/>
      <c r="J57" s="711"/>
      <c r="K57" s="711"/>
      <c r="L57" s="711"/>
      <c r="M57" s="711"/>
      <c r="N57" s="711"/>
      <c r="O57" s="711"/>
      <c r="P57" s="711"/>
      <c r="Q57" s="711"/>
      <c r="R57" s="711"/>
      <c r="S57" s="711"/>
      <c r="T57" s="711"/>
      <c r="U57" s="711"/>
      <c r="V57" s="711"/>
      <c r="W57" s="711"/>
      <c r="X57" s="711"/>
      <c r="Y57" s="711"/>
      <c r="Z57" s="711"/>
      <c r="AA57" s="65"/>
      <c r="AB57" s="65"/>
      <c r="AC57" s="79"/>
    </row>
    <row r="58" spans="1:68" ht="14.25" hidden="1" customHeight="1" x14ac:dyDescent="0.25">
      <c r="A58" s="712" t="s">
        <v>130</v>
      </c>
      <c r="B58" s="712"/>
      <c r="C58" s="712"/>
      <c r="D58" s="712"/>
      <c r="E58" s="712"/>
      <c r="F58" s="712"/>
      <c r="G58" s="712"/>
      <c r="H58" s="712"/>
      <c r="I58" s="712"/>
      <c r="J58" s="712"/>
      <c r="K58" s="712"/>
      <c r="L58" s="712"/>
      <c r="M58" s="712"/>
      <c r="N58" s="712"/>
      <c r="O58" s="712"/>
      <c r="P58" s="712"/>
      <c r="Q58" s="712"/>
      <c r="R58" s="712"/>
      <c r="S58" s="712"/>
      <c r="T58" s="712"/>
      <c r="U58" s="712"/>
      <c r="V58" s="712"/>
      <c r="W58" s="712"/>
      <c r="X58" s="712"/>
      <c r="Y58" s="712"/>
      <c r="Z58" s="71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3">
        <v>4680115885882</v>
      </c>
      <c r="E59" s="71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5"/>
      <c r="R59" s="715"/>
      <c r="S59" s="715"/>
      <c r="T59" s="71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713">
        <v>4680115881426</v>
      </c>
      <c r="E60" s="71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5"/>
      <c r="R60" s="715"/>
      <c r="S60" s="715"/>
      <c r="T60" s="71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713">
        <v>4680115881426</v>
      </c>
      <c r="E61" s="71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5"/>
      <c r="R61" s="715"/>
      <c r="S61" s="715"/>
      <c r="T61" s="7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3">
        <v>4680115880283</v>
      </c>
      <c r="E62" s="71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5"/>
      <c r="R62" s="715"/>
      <c r="S62" s="715"/>
      <c r="T62" s="7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3">
        <v>4680115881525</v>
      </c>
      <c r="E63" s="71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5"/>
      <c r="R63" s="715"/>
      <c r="S63" s="715"/>
      <c r="T63" s="71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3">
        <v>4680115881525</v>
      </c>
      <c r="E64" s="71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5"/>
      <c r="R64" s="715"/>
      <c r="S64" s="715"/>
      <c r="T64" s="71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3">
        <v>4680115885899</v>
      </c>
      <c r="E65" s="71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5"/>
      <c r="R65" s="715"/>
      <c r="S65" s="715"/>
      <c r="T65" s="71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713">
        <v>4680115881419</v>
      </c>
      <c r="E66" s="71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5"/>
      <c r="R66" s="715"/>
      <c r="S66" s="715"/>
      <c r="T66" s="716"/>
      <c r="U66" s="39" t="s">
        <v>46</v>
      </c>
      <c r="V66" s="39" t="s">
        <v>46</v>
      </c>
      <c r="W66" s="40" t="s">
        <v>0</v>
      </c>
      <c r="X66" s="58">
        <v>13.5</v>
      </c>
      <c r="Y66" s="55">
        <f t="shared" si="0"/>
        <v>13.5</v>
      </c>
      <c r="Z66" s="41">
        <f>IFERROR(IF(Y66=0,"",ROUNDUP(Y66/H66,0)*0.00902),"")</f>
        <v>2.7060000000000001E-2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14.07</v>
      </c>
      <c r="BN66" s="78">
        <f t="shared" si="2"/>
        <v>14.07</v>
      </c>
      <c r="BO66" s="78">
        <f t="shared" si="3"/>
        <v>2.2727272727272728E-2</v>
      </c>
      <c r="BP66" s="78">
        <f t="shared" si="4"/>
        <v>2.2727272727272728E-2</v>
      </c>
    </row>
    <row r="67" spans="1:68" x14ac:dyDescent="0.2">
      <c r="A67" s="720"/>
      <c r="B67" s="720"/>
      <c r="C67" s="720"/>
      <c r="D67" s="720"/>
      <c r="E67" s="720"/>
      <c r="F67" s="720"/>
      <c r="G67" s="720"/>
      <c r="H67" s="720"/>
      <c r="I67" s="720"/>
      <c r="J67" s="720"/>
      <c r="K67" s="720"/>
      <c r="L67" s="720"/>
      <c r="M67" s="720"/>
      <c r="N67" s="720"/>
      <c r="O67" s="721"/>
      <c r="P67" s="717" t="s">
        <v>40</v>
      </c>
      <c r="Q67" s="718"/>
      <c r="R67" s="718"/>
      <c r="S67" s="718"/>
      <c r="T67" s="718"/>
      <c r="U67" s="718"/>
      <c r="V67" s="719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3</v>
      </c>
      <c r="Y67" s="43">
        <f>IFERROR(Y59/H59,"0")+IFERROR(Y60/H60,"0")+IFERROR(Y61/H61,"0")+IFERROR(Y62/H62,"0")+IFERROR(Y63/H63,"0")+IFERROR(Y64/H64,"0")+IFERROR(Y65/H65,"0")+IFERROR(Y66/H66,"0")</f>
        <v>3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2.7060000000000001E-2</v>
      </c>
      <c r="AA67" s="67"/>
      <c r="AB67" s="67"/>
      <c r="AC67" s="67"/>
    </row>
    <row r="68" spans="1:68" x14ac:dyDescent="0.2">
      <c r="A68" s="720"/>
      <c r="B68" s="720"/>
      <c r="C68" s="720"/>
      <c r="D68" s="720"/>
      <c r="E68" s="720"/>
      <c r="F68" s="720"/>
      <c r="G68" s="720"/>
      <c r="H68" s="720"/>
      <c r="I68" s="720"/>
      <c r="J68" s="720"/>
      <c r="K68" s="720"/>
      <c r="L68" s="720"/>
      <c r="M68" s="720"/>
      <c r="N68" s="720"/>
      <c r="O68" s="721"/>
      <c r="P68" s="717" t="s">
        <v>40</v>
      </c>
      <c r="Q68" s="718"/>
      <c r="R68" s="718"/>
      <c r="S68" s="718"/>
      <c r="T68" s="718"/>
      <c r="U68" s="718"/>
      <c r="V68" s="719"/>
      <c r="W68" s="42" t="s">
        <v>0</v>
      </c>
      <c r="X68" s="43">
        <f>IFERROR(SUM(X59:X66),"0")</f>
        <v>13.5</v>
      </c>
      <c r="Y68" s="43">
        <f>IFERROR(SUM(Y59:Y66),"0")</f>
        <v>13.5</v>
      </c>
      <c r="Z68" s="42"/>
      <c r="AA68" s="67"/>
      <c r="AB68" s="67"/>
      <c r="AC68" s="67"/>
    </row>
    <row r="69" spans="1:68" ht="14.25" hidden="1" customHeight="1" x14ac:dyDescent="0.25">
      <c r="A69" s="712" t="s">
        <v>165</v>
      </c>
      <c r="B69" s="712"/>
      <c r="C69" s="712"/>
      <c r="D69" s="712"/>
      <c r="E69" s="712"/>
      <c r="F69" s="712"/>
      <c r="G69" s="712"/>
      <c r="H69" s="712"/>
      <c r="I69" s="712"/>
      <c r="J69" s="712"/>
      <c r="K69" s="712"/>
      <c r="L69" s="712"/>
      <c r="M69" s="712"/>
      <c r="N69" s="712"/>
      <c r="O69" s="712"/>
      <c r="P69" s="712"/>
      <c r="Q69" s="712"/>
      <c r="R69" s="712"/>
      <c r="S69" s="712"/>
      <c r="T69" s="712"/>
      <c r="U69" s="712"/>
      <c r="V69" s="712"/>
      <c r="W69" s="712"/>
      <c r="X69" s="712"/>
      <c r="Y69" s="712"/>
      <c r="Z69" s="71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3">
        <v>4680115881440</v>
      </c>
      <c r="E70" s="71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5"/>
      <c r="R70" s="715"/>
      <c r="S70" s="715"/>
      <c r="T70" s="716"/>
      <c r="U70" s="39" t="s">
        <v>46</v>
      </c>
      <c r="V70" s="39" t="s">
        <v>46</v>
      </c>
      <c r="W70" s="40" t="s">
        <v>0</v>
      </c>
      <c r="X70" s="58">
        <v>30</v>
      </c>
      <c r="Y70" s="55">
        <f>IFERROR(IF(X70="",0,CEILING((X70/$H70),1)*$H70),"")</f>
        <v>32.400000000000006</v>
      </c>
      <c r="Z70" s="41">
        <f>IFERROR(IF(Y70=0,"",ROUNDUP(Y70/H70,0)*0.01898),"")</f>
        <v>5.6940000000000004E-2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31.138888888888889</v>
      </c>
      <c r="BN70" s="78">
        <f>IFERROR(Y70*I70/H70,"0")</f>
        <v>33.630000000000003</v>
      </c>
      <c r="BO70" s="78">
        <f>IFERROR(1/J70*(X70/H70),"0")</f>
        <v>4.3402777777777776E-2</v>
      </c>
      <c r="BP70" s="78">
        <f>IFERROR(1/J70*(Y70/H70),"0")</f>
        <v>4.6875000000000007E-2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3">
        <v>4680115885950</v>
      </c>
      <c r="E71" s="71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5"/>
      <c r="R71" s="715"/>
      <c r="S71" s="715"/>
      <c r="T71" s="71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3">
        <v>4680115887688</v>
      </c>
      <c r="E72" s="71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5"/>
      <c r="R72" s="715"/>
      <c r="S72" s="715"/>
      <c r="T72" s="71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713">
        <v>4680115881433</v>
      </c>
      <c r="E73" s="71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4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5"/>
      <c r="R73" s="715"/>
      <c r="S73" s="715"/>
      <c r="T73" s="716"/>
      <c r="U73" s="39" t="s">
        <v>46</v>
      </c>
      <c r="V73" s="39" t="s">
        <v>46</v>
      </c>
      <c r="W73" s="40" t="s">
        <v>0</v>
      </c>
      <c r="X73" s="58">
        <v>9</v>
      </c>
      <c r="Y73" s="55">
        <f>IFERROR(IF(X73="",0,CEILING((X73/$H73),1)*$H73),"")</f>
        <v>10.8</v>
      </c>
      <c r="Z73" s="41">
        <f>IFERROR(IF(Y73=0,"",ROUNDUP(Y73/H73,0)*0.00651),"")</f>
        <v>2.6040000000000001E-2</v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9.5999999999999979</v>
      </c>
      <c r="BN73" s="78">
        <f>IFERROR(Y73*I73/H73,"0")</f>
        <v>11.52</v>
      </c>
      <c r="BO73" s="78">
        <f>IFERROR(1/J73*(X73/H73),"0")</f>
        <v>1.8315018315018316E-2</v>
      </c>
      <c r="BP73" s="78">
        <f>IFERROR(1/J73*(Y73/H73),"0")</f>
        <v>2.197802197802198E-2</v>
      </c>
    </row>
    <row r="74" spans="1:68" x14ac:dyDescent="0.2">
      <c r="A74" s="720"/>
      <c r="B74" s="720"/>
      <c r="C74" s="720"/>
      <c r="D74" s="720"/>
      <c r="E74" s="720"/>
      <c r="F74" s="720"/>
      <c r="G74" s="720"/>
      <c r="H74" s="720"/>
      <c r="I74" s="720"/>
      <c r="J74" s="720"/>
      <c r="K74" s="720"/>
      <c r="L74" s="720"/>
      <c r="M74" s="720"/>
      <c r="N74" s="720"/>
      <c r="O74" s="721"/>
      <c r="P74" s="717" t="s">
        <v>40</v>
      </c>
      <c r="Q74" s="718"/>
      <c r="R74" s="718"/>
      <c r="S74" s="718"/>
      <c r="T74" s="718"/>
      <c r="U74" s="718"/>
      <c r="V74" s="719"/>
      <c r="W74" s="42" t="s">
        <v>39</v>
      </c>
      <c r="X74" s="43">
        <f>IFERROR(X70/H70,"0")+IFERROR(X71/H71,"0")+IFERROR(X72/H72,"0")+IFERROR(X73/H73,"0")</f>
        <v>6.1111111111111107</v>
      </c>
      <c r="Y74" s="43">
        <f>IFERROR(Y70/H70,"0")+IFERROR(Y71/H71,"0")+IFERROR(Y72/H72,"0")+IFERROR(Y73/H73,"0")</f>
        <v>7</v>
      </c>
      <c r="Z74" s="43">
        <f>IFERROR(IF(Z70="",0,Z70),"0")+IFERROR(IF(Z71="",0,Z71),"0")+IFERROR(IF(Z72="",0,Z72),"0")+IFERROR(IF(Z73="",0,Z73),"0")</f>
        <v>8.2979999999999998E-2</v>
      </c>
      <c r="AA74" s="67"/>
      <c r="AB74" s="67"/>
      <c r="AC74" s="67"/>
    </row>
    <row r="75" spans="1:68" x14ac:dyDescent="0.2">
      <c r="A75" s="720"/>
      <c r="B75" s="720"/>
      <c r="C75" s="720"/>
      <c r="D75" s="720"/>
      <c r="E75" s="720"/>
      <c r="F75" s="720"/>
      <c r="G75" s="720"/>
      <c r="H75" s="720"/>
      <c r="I75" s="720"/>
      <c r="J75" s="720"/>
      <c r="K75" s="720"/>
      <c r="L75" s="720"/>
      <c r="M75" s="720"/>
      <c r="N75" s="720"/>
      <c r="O75" s="721"/>
      <c r="P75" s="717" t="s">
        <v>40</v>
      </c>
      <c r="Q75" s="718"/>
      <c r="R75" s="718"/>
      <c r="S75" s="718"/>
      <c r="T75" s="718"/>
      <c r="U75" s="718"/>
      <c r="V75" s="719"/>
      <c r="W75" s="42" t="s">
        <v>0</v>
      </c>
      <c r="X75" s="43">
        <f>IFERROR(SUM(X70:X73),"0")</f>
        <v>39</v>
      </c>
      <c r="Y75" s="43">
        <f>IFERROR(SUM(Y70:Y73),"0")</f>
        <v>43.2</v>
      </c>
      <c r="Z75" s="42"/>
      <c r="AA75" s="67"/>
      <c r="AB75" s="67"/>
      <c r="AC75" s="67"/>
    </row>
    <row r="76" spans="1:68" ht="14.25" hidden="1" customHeight="1" x14ac:dyDescent="0.25">
      <c r="A76" s="712" t="s">
        <v>83</v>
      </c>
      <c r="B76" s="712"/>
      <c r="C76" s="712"/>
      <c r="D76" s="712"/>
      <c r="E76" s="712"/>
      <c r="F76" s="712"/>
      <c r="G76" s="712"/>
      <c r="H76" s="712"/>
      <c r="I76" s="712"/>
      <c r="J76" s="712"/>
      <c r="K76" s="712"/>
      <c r="L76" s="712"/>
      <c r="M76" s="712"/>
      <c r="N76" s="712"/>
      <c r="O76" s="712"/>
      <c r="P76" s="712"/>
      <c r="Q76" s="712"/>
      <c r="R76" s="712"/>
      <c r="S76" s="712"/>
      <c r="T76" s="712"/>
      <c r="U76" s="712"/>
      <c r="V76" s="712"/>
      <c r="W76" s="712"/>
      <c r="X76" s="712"/>
      <c r="Y76" s="712"/>
      <c r="Z76" s="71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3">
        <v>4680115884311</v>
      </c>
      <c r="E77" s="71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5"/>
      <c r="R77" s="715"/>
      <c r="S77" s="715"/>
      <c r="T77" s="71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3">
        <v>4680115884403</v>
      </c>
      <c r="E78" s="71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5"/>
      <c r="R78" s="715"/>
      <c r="S78" s="715"/>
      <c r="T78" s="71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0"/>
      <c r="B79" s="720"/>
      <c r="C79" s="720"/>
      <c r="D79" s="720"/>
      <c r="E79" s="720"/>
      <c r="F79" s="720"/>
      <c r="G79" s="720"/>
      <c r="H79" s="720"/>
      <c r="I79" s="720"/>
      <c r="J79" s="720"/>
      <c r="K79" s="720"/>
      <c r="L79" s="720"/>
      <c r="M79" s="720"/>
      <c r="N79" s="720"/>
      <c r="O79" s="721"/>
      <c r="P79" s="717" t="s">
        <v>40</v>
      </c>
      <c r="Q79" s="718"/>
      <c r="R79" s="718"/>
      <c r="S79" s="718"/>
      <c r="T79" s="718"/>
      <c r="U79" s="718"/>
      <c r="V79" s="719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0"/>
      <c r="B80" s="720"/>
      <c r="C80" s="720"/>
      <c r="D80" s="720"/>
      <c r="E80" s="720"/>
      <c r="F80" s="720"/>
      <c r="G80" s="720"/>
      <c r="H80" s="720"/>
      <c r="I80" s="720"/>
      <c r="J80" s="720"/>
      <c r="K80" s="720"/>
      <c r="L80" s="720"/>
      <c r="M80" s="720"/>
      <c r="N80" s="720"/>
      <c r="O80" s="721"/>
      <c r="P80" s="717" t="s">
        <v>40</v>
      </c>
      <c r="Q80" s="718"/>
      <c r="R80" s="718"/>
      <c r="S80" s="718"/>
      <c r="T80" s="718"/>
      <c r="U80" s="718"/>
      <c r="V80" s="719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2" t="s">
        <v>183</v>
      </c>
      <c r="B81" s="712"/>
      <c r="C81" s="712"/>
      <c r="D81" s="712"/>
      <c r="E81" s="712"/>
      <c r="F81" s="712"/>
      <c r="G81" s="712"/>
      <c r="H81" s="712"/>
      <c r="I81" s="712"/>
      <c r="J81" s="712"/>
      <c r="K81" s="712"/>
      <c r="L81" s="712"/>
      <c r="M81" s="712"/>
      <c r="N81" s="712"/>
      <c r="O81" s="712"/>
      <c r="P81" s="712"/>
      <c r="Q81" s="712"/>
      <c r="R81" s="712"/>
      <c r="S81" s="712"/>
      <c r="T81" s="712"/>
      <c r="U81" s="712"/>
      <c r="V81" s="712"/>
      <c r="W81" s="712"/>
      <c r="X81" s="712"/>
      <c r="Y81" s="712"/>
      <c r="Z81" s="71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3">
        <v>4680115881532</v>
      </c>
      <c r="E82" s="71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5"/>
      <c r="R82" s="715"/>
      <c r="S82" s="715"/>
      <c r="T82" s="71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3">
        <v>4680115881532</v>
      </c>
      <c r="E83" s="71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5"/>
      <c r="R83" s="715"/>
      <c r="S83" s="715"/>
      <c r="T83" s="71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3">
        <v>4680115881464</v>
      </c>
      <c r="E84" s="71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5"/>
      <c r="R84" s="715"/>
      <c r="S84" s="715"/>
      <c r="T84" s="71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0"/>
      <c r="B85" s="720"/>
      <c r="C85" s="720"/>
      <c r="D85" s="720"/>
      <c r="E85" s="720"/>
      <c r="F85" s="720"/>
      <c r="G85" s="720"/>
      <c r="H85" s="720"/>
      <c r="I85" s="720"/>
      <c r="J85" s="720"/>
      <c r="K85" s="720"/>
      <c r="L85" s="720"/>
      <c r="M85" s="720"/>
      <c r="N85" s="720"/>
      <c r="O85" s="721"/>
      <c r="P85" s="717" t="s">
        <v>40</v>
      </c>
      <c r="Q85" s="718"/>
      <c r="R85" s="718"/>
      <c r="S85" s="718"/>
      <c r="T85" s="718"/>
      <c r="U85" s="718"/>
      <c r="V85" s="719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0"/>
      <c r="B86" s="720"/>
      <c r="C86" s="720"/>
      <c r="D86" s="720"/>
      <c r="E86" s="720"/>
      <c r="F86" s="720"/>
      <c r="G86" s="720"/>
      <c r="H86" s="720"/>
      <c r="I86" s="720"/>
      <c r="J86" s="720"/>
      <c r="K86" s="720"/>
      <c r="L86" s="720"/>
      <c r="M86" s="720"/>
      <c r="N86" s="720"/>
      <c r="O86" s="721"/>
      <c r="P86" s="717" t="s">
        <v>40</v>
      </c>
      <c r="Q86" s="718"/>
      <c r="R86" s="718"/>
      <c r="S86" s="718"/>
      <c r="T86" s="718"/>
      <c r="U86" s="718"/>
      <c r="V86" s="719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1" t="s">
        <v>191</v>
      </c>
      <c r="B87" s="711"/>
      <c r="C87" s="711"/>
      <c r="D87" s="711"/>
      <c r="E87" s="711"/>
      <c r="F87" s="711"/>
      <c r="G87" s="711"/>
      <c r="H87" s="711"/>
      <c r="I87" s="711"/>
      <c r="J87" s="711"/>
      <c r="K87" s="711"/>
      <c r="L87" s="711"/>
      <c r="M87" s="711"/>
      <c r="N87" s="711"/>
      <c r="O87" s="711"/>
      <c r="P87" s="711"/>
      <c r="Q87" s="711"/>
      <c r="R87" s="711"/>
      <c r="S87" s="711"/>
      <c r="T87" s="711"/>
      <c r="U87" s="711"/>
      <c r="V87" s="711"/>
      <c r="W87" s="711"/>
      <c r="X87" s="711"/>
      <c r="Y87" s="711"/>
      <c r="Z87" s="711"/>
      <c r="AA87" s="65"/>
      <c r="AB87" s="65"/>
      <c r="AC87" s="79"/>
    </row>
    <row r="88" spans="1:68" ht="14.25" hidden="1" customHeight="1" x14ac:dyDescent="0.25">
      <c r="A88" s="712" t="s">
        <v>130</v>
      </c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712"/>
      <c r="Y88" s="712"/>
      <c r="Z88" s="712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713">
        <v>4680115881327</v>
      </c>
      <c r="E89" s="71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5"/>
      <c r="R89" s="715"/>
      <c r="S89" s="715"/>
      <c r="T89" s="71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3">
        <v>4680115881327</v>
      </c>
      <c r="E90" s="71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5"/>
      <c r="R90" s="715"/>
      <c r="S90" s="715"/>
      <c r="T90" s="71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3">
        <v>4680115887732</v>
      </c>
      <c r="E91" s="71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5"/>
      <c r="R91" s="715"/>
      <c r="S91" s="715"/>
      <c r="T91" s="71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3">
        <v>4680115881518</v>
      </c>
      <c r="E92" s="71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5"/>
      <c r="R92" s="715"/>
      <c r="S92" s="715"/>
      <c r="T92" s="71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3">
        <v>4680115881518</v>
      </c>
      <c r="E93" s="71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5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5"/>
      <c r="R93" s="715"/>
      <c r="S93" s="715"/>
      <c r="T93" s="71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3">
        <v>4680115881303</v>
      </c>
      <c r="E94" s="71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5"/>
      <c r="R94" s="715"/>
      <c r="S94" s="715"/>
      <c r="T94" s="716"/>
      <c r="U94" s="39" t="s">
        <v>46</v>
      </c>
      <c r="V94" s="39" t="s">
        <v>46</v>
      </c>
      <c r="W94" s="40" t="s">
        <v>0</v>
      </c>
      <c r="X94" s="58">
        <v>27</v>
      </c>
      <c r="Y94" s="55">
        <f t="shared" si="5"/>
        <v>27</v>
      </c>
      <c r="Z94" s="41">
        <f>IFERROR(IF(Y94=0,"",ROUNDUP(Y94/H94,0)*0.00902),"")</f>
        <v>5.4120000000000001E-2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28.14</v>
      </c>
      <c r="BN94" s="78">
        <f t="shared" si="7"/>
        <v>28.14</v>
      </c>
      <c r="BO94" s="78">
        <f t="shared" si="8"/>
        <v>4.5454545454545456E-2</v>
      </c>
      <c r="BP94" s="78">
        <f t="shared" si="9"/>
        <v>4.5454545454545456E-2</v>
      </c>
    </row>
    <row r="95" spans="1:68" x14ac:dyDescent="0.2">
      <c r="A95" s="720"/>
      <c r="B95" s="720"/>
      <c r="C95" s="720"/>
      <c r="D95" s="720"/>
      <c r="E95" s="720"/>
      <c r="F95" s="720"/>
      <c r="G95" s="720"/>
      <c r="H95" s="720"/>
      <c r="I95" s="720"/>
      <c r="J95" s="720"/>
      <c r="K95" s="720"/>
      <c r="L95" s="720"/>
      <c r="M95" s="720"/>
      <c r="N95" s="720"/>
      <c r="O95" s="721"/>
      <c r="P95" s="717" t="s">
        <v>40</v>
      </c>
      <c r="Q95" s="718"/>
      <c r="R95" s="718"/>
      <c r="S95" s="718"/>
      <c r="T95" s="718"/>
      <c r="U95" s="718"/>
      <c r="V95" s="719"/>
      <c r="W95" s="42" t="s">
        <v>39</v>
      </c>
      <c r="X95" s="43">
        <f>IFERROR(X89/H89,"0")+IFERROR(X90/H90,"0")+IFERROR(X91/H91,"0")+IFERROR(X92/H92,"0")+IFERROR(X93/H93,"0")+IFERROR(X94/H94,"0")</f>
        <v>6</v>
      </c>
      <c r="Y95" s="43">
        <f>IFERROR(Y89/H89,"0")+IFERROR(Y90/H90,"0")+IFERROR(Y91/H91,"0")+IFERROR(Y92/H92,"0")+IFERROR(Y93/H93,"0")+IFERROR(Y94/H94,"0")</f>
        <v>6</v>
      </c>
      <c r="Z95" s="43">
        <f>IFERROR(IF(Z89="",0,Z89),"0")+IFERROR(IF(Z90="",0,Z90),"0")+IFERROR(IF(Z91="",0,Z91),"0")+IFERROR(IF(Z92="",0,Z92),"0")+IFERROR(IF(Z93="",0,Z93),"0")+IFERROR(IF(Z94="",0,Z94),"0")</f>
        <v>5.4120000000000001E-2</v>
      </c>
      <c r="AA95" s="67"/>
      <c r="AB95" s="67"/>
      <c r="AC95" s="67"/>
    </row>
    <row r="96" spans="1:68" x14ac:dyDescent="0.2">
      <c r="A96" s="720"/>
      <c r="B96" s="720"/>
      <c r="C96" s="720"/>
      <c r="D96" s="720"/>
      <c r="E96" s="720"/>
      <c r="F96" s="720"/>
      <c r="G96" s="720"/>
      <c r="H96" s="720"/>
      <c r="I96" s="720"/>
      <c r="J96" s="720"/>
      <c r="K96" s="720"/>
      <c r="L96" s="720"/>
      <c r="M96" s="720"/>
      <c r="N96" s="720"/>
      <c r="O96" s="721"/>
      <c r="P96" s="717" t="s">
        <v>40</v>
      </c>
      <c r="Q96" s="718"/>
      <c r="R96" s="718"/>
      <c r="S96" s="718"/>
      <c r="T96" s="718"/>
      <c r="U96" s="718"/>
      <c r="V96" s="719"/>
      <c r="W96" s="42" t="s">
        <v>0</v>
      </c>
      <c r="X96" s="43">
        <f>IFERROR(SUM(X89:X94),"0")</f>
        <v>27</v>
      </c>
      <c r="Y96" s="43">
        <f>IFERROR(SUM(Y89:Y94),"0")</f>
        <v>27</v>
      </c>
      <c r="Z96" s="42"/>
      <c r="AA96" s="67"/>
      <c r="AB96" s="67"/>
      <c r="AC96" s="67"/>
    </row>
    <row r="97" spans="1:68" ht="14.25" hidden="1" customHeight="1" x14ac:dyDescent="0.25">
      <c r="A97" s="712" t="s">
        <v>83</v>
      </c>
      <c r="B97" s="712"/>
      <c r="C97" s="712"/>
      <c r="D97" s="712"/>
      <c r="E97" s="712"/>
      <c r="F97" s="712"/>
      <c r="G97" s="712"/>
      <c r="H97" s="712"/>
      <c r="I97" s="712"/>
      <c r="J97" s="712"/>
      <c r="K97" s="712"/>
      <c r="L97" s="712"/>
      <c r="M97" s="712"/>
      <c r="N97" s="712"/>
      <c r="O97" s="712"/>
      <c r="P97" s="712"/>
      <c r="Q97" s="712"/>
      <c r="R97" s="712"/>
      <c r="S97" s="712"/>
      <c r="T97" s="712"/>
      <c r="U97" s="712"/>
      <c r="V97" s="712"/>
      <c r="W97" s="712"/>
      <c r="X97" s="712"/>
      <c r="Y97" s="712"/>
      <c r="Z97" s="71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713">
        <v>4607091386967</v>
      </c>
      <c r="E98" s="71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5"/>
      <c r="R98" s="715"/>
      <c r="S98" s="715"/>
      <c r="T98" s="716"/>
      <c r="U98" s="39" t="s">
        <v>46</v>
      </c>
      <c r="V98" s="39" t="s">
        <v>46</v>
      </c>
      <c r="W98" s="40" t="s">
        <v>0</v>
      </c>
      <c r="X98" s="58">
        <v>50</v>
      </c>
      <c r="Y98" s="55">
        <f>IFERROR(IF(X98="",0,CEILING((X98/$H98),1)*$H98),"")</f>
        <v>56.699999999999996</v>
      </c>
      <c r="Z98" s="41">
        <f>IFERROR(IF(Y98=0,"",ROUNDUP(Y98/H98,0)*0.01898),"")</f>
        <v>0.13286000000000001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53.049382716049386</v>
      </c>
      <c r="BN98" s="78">
        <f>IFERROR(Y98*I98/H98,"0")</f>
        <v>60.157999999999994</v>
      </c>
      <c r="BO98" s="78">
        <f>IFERROR(1/J98*(X98/H98),"0")</f>
        <v>9.6450617283950615E-2</v>
      </c>
      <c r="BP98" s="78">
        <f>IFERROR(1/J98*(Y98/H98),"0")</f>
        <v>0.109375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3">
        <v>4680115884953</v>
      </c>
      <c r="E99" s="71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5"/>
      <c r="R99" s="715"/>
      <c r="S99" s="715"/>
      <c r="T99" s="71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713">
        <v>4607091385731</v>
      </c>
      <c r="E100" s="71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5"/>
      <c r="R100" s="715"/>
      <c r="S100" s="715"/>
      <c r="T100" s="71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3">
        <v>4680115880894</v>
      </c>
      <c r="E101" s="71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5"/>
      <c r="R101" s="715"/>
      <c r="S101" s="715"/>
      <c r="T101" s="71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0"/>
      <c r="B102" s="720"/>
      <c r="C102" s="720"/>
      <c r="D102" s="720"/>
      <c r="E102" s="720"/>
      <c r="F102" s="720"/>
      <c r="G102" s="720"/>
      <c r="H102" s="720"/>
      <c r="I102" s="720"/>
      <c r="J102" s="720"/>
      <c r="K102" s="720"/>
      <c r="L102" s="720"/>
      <c r="M102" s="720"/>
      <c r="N102" s="720"/>
      <c r="O102" s="721"/>
      <c r="P102" s="717" t="s">
        <v>40</v>
      </c>
      <c r="Q102" s="718"/>
      <c r="R102" s="718"/>
      <c r="S102" s="718"/>
      <c r="T102" s="718"/>
      <c r="U102" s="718"/>
      <c r="V102" s="719"/>
      <c r="W102" s="42" t="s">
        <v>39</v>
      </c>
      <c r="X102" s="43">
        <f>IFERROR(X98/H98,"0")+IFERROR(X99/H99,"0")+IFERROR(X100/H100,"0")+IFERROR(X101/H101,"0")</f>
        <v>6.1728395061728394</v>
      </c>
      <c r="Y102" s="43">
        <f>IFERROR(Y98/H98,"0")+IFERROR(Y99/H99,"0")+IFERROR(Y100/H100,"0")+IFERROR(Y101/H101,"0")</f>
        <v>7</v>
      </c>
      <c r="Z102" s="43">
        <f>IFERROR(IF(Z98="",0,Z98),"0")+IFERROR(IF(Z99="",0,Z99),"0")+IFERROR(IF(Z100="",0,Z100),"0")+IFERROR(IF(Z101="",0,Z101),"0")</f>
        <v>0.13286000000000001</v>
      </c>
      <c r="AA102" s="67"/>
      <c r="AB102" s="67"/>
      <c r="AC102" s="67"/>
    </row>
    <row r="103" spans="1:68" x14ac:dyDescent="0.2">
      <c r="A103" s="720"/>
      <c r="B103" s="720"/>
      <c r="C103" s="720"/>
      <c r="D103" s="720"/>
      <c r="E103" s="720"/>
      <c r="F103" s="720"/>
      <c r="G103" s="720"/>
      <c r="H103" s="720"/>
      <c r="I103" s="720"/>
      <c r="J103" s="720"/>
      <c r="K103" s="720"/>
      <c r="L103" s="720"/>
      <c r="M103" s="720"/>
      <c r="N103" s="720"/>
      <c r="O103" s="721"/>
      <c r="P103" s="717" t="s">
        <v>40</v>
      </c>
      <c r="Q103" s="718"/>
      <c r="R103" s="718"/>
      <c r="S103" s="718"/>
      <c r="T103" s="718"/>
      <c r="U103" s="718"/>
      <c r="V103" s="719"/>
      <c r="W103" s="42" t="s">
        <v>0</v>
      </c>
      <c r="X103" s="43">
        <f>IFERROR(SUM(X98:X101),"0")</f>
        <v>50</v>
      </c>
      <c r="Y103" s="43">
        <f>IFERROR(SUM(Y98:Y101),"0")</f>
        <v>56.699999999999996</v>
      </c>
      <c r="Z103" s="42"/>
      <c r="AA103" s="67"/>
      <c r="AB103" s="67"/>
      <c r="AC103" s="67"/>
    </row>
    <row r="104" spans="1:68" ht="16.5" hidden="1" customHeight="1" x14ac:dyDescent="0.25">
      <c r="A104" s="711" t="s">
        <v>215</v>
      </c>
      <c r="B104" s="711"/>
      <c r="C104" s="711"/>
      <c r="D104" s="711"/>
      <c r="E104" s="711"/>
      <c r="F104" s="711"/>
      <c r="G104" s="711"/>
      <c r="H104" s="711"/>
      <c r="I104" s="711"/>
      <c r="J104" s="711"/>
      <c r="K104" s="711"/>
      <c r="L104" s="711"/>
      <c r="M104" s="711"/>
      <c r="N104" s="711"/>
      <c r="O104" s="711"/>
      <c r="P104" s="711"/>
      <c r="Q104" s="711"/>
      <c r="R104" s="711"/>
      <c r="S104" s="711"/>
      <c r="T104" s="711"/>
      <c r="U104" s="711"/>
      <c r="V104" s="711"/>
      <c r="W104" s="711"/>
      <c r="X104" s="711"/>
      <c r="Y104" s="711"/>
      <c r="Z104" s="711"/>
      <c r="AA104" s="65"/>
      <c r="AB104" s="65"/>
      <c r="AC104" s="79"/>
    </row>
    <row r="105" spans="1:68" ht="14.25" hidden="1" customHeight="1" x14ac:dyDescent="0.25">
      <c r="A105" s="712" t="s">
        <v>130</v>
      </c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712"/>
      <c r="O105" s="712"/>
      <c r="P105" s="712"/>
      <c r="Q105" s="712"/>
      <c r="R105" s="712"/>
      <c r="S105" s="712"/>
      <c r="T105" s="712"/>
      <c r="U105" s="712"/>
      <c r="V105" s="712"/>
      <c r="W105" s="712"/>
      <c r="X105" s="712"/>
      <c r="Y105" s="712"/>
      <c r="Z105" s="71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3">
        <v>4680115882133</v>
      </c>
      <c r="E106" s="71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5"/>
      <c r="R106" s="715"/>
      <c r="S106" s="715"/>
      <c r="T106" s="716"/>
      <c r="U106" s="39" t="s">
        <v>46</v>
      </c>
      <c r="V106" s="39" t="s">
        <v>46</v>
      </c>
      <c r="W106" s="40" t="s">
        <v>0</v>
      </c>
      <c r="X106" s="58">
        <v>20</v>
      </c>
      <c r="Y106" s="55">
        <f t="shared" ref="Y106:Y112" si="10">IFERROR(IF(X106="",0,CEILING((X106/$H106),1)*$H106),"")</f>
        <v>21.6</v>
      </c>
      <c r="Z106" s="41">
        <f>IFERROR(IF(Y106=0,"",ROUNDUP(Y106/H106,0)*0.01898),"")</f>
        <v>3.7960000000000001E-2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20.75925925925926</v>
      </c>
      <c r="BN106" s="78">
        <f t="shared" ref="BN106:BN112" si="12">IFERROR(Y106*I106/H106,"0")</f>
        <v>22.42</v>
      </c>
      <c r="BO106" s="78">
        <f t="shared" ref="BO106:BO112" si="13">IFERROR(1/J106*(X106/H106),"0")</f>
        <v>2.8935185185185182E-2</v>
      </c>
      <c r="BP106" s="78">
        <f t="shared" ref="BP106:BP112" si="14">IFERROR(1/J106*(Y106/H106),"0")</f>
        <v>3.125E-2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3">
        <v>4680115882133</v>
      </c>
      <c r="E107" s="71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5"/>
      <c r="R107" s="715"/>
      <c r="S107" s="715"/>
      <c r="T107" s="71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3">
        <v>4680115887718</v>
      </c>
      <c r="E108" s="71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5"/>
      <c r="R108" s="715"/>
      <c r="S108" s="715"/>
      <c r="T108" s="71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3">
        <v>4680115880269</v>
      </c>
      <c r="E109" s="71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5"/>
      <c r="R109" s="715"/>
      <c r="S109" s="715"/>
      <c r="T109" s="71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713">
        <v>4680115880429</v>
      </c>
      <c r="E110" s="71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69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5"/>
      <c r="R110" s="715"/>
      <c r="S110" s="715"/>
      <c r="T110" s="716"/>
      <c r="U110" s="39" t="s">
        <v>46</v>
      </c>
      <c r="V110" s="39" t="s">
        <v>46</v>
      </c>
      <c r="W110" s="40" t="s">
        <v>0</v>
      </c>
      <c r="X110" s="58">
        <v>13.5</v>
      </c>
      <c r="Y110" s="55">
        <f t="shared" si="10"/>
        <v>13.5</v>
      </c>
      <c r="Z110" s="41">
        <f>IFERROR(IF(Y110=0,"",ROUNDUP(Y110/H110,0)*0.00902),"")</f>
        <v>2.7060000000000001E-2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14.07</v>
      </c>
      <c r="BN110" s="78">
        <f t="shared" si="12"/>
        <v>14.07</v>
      </c>
      <c r="BO110" s="78">
        <f t="shared" si="13"/>
        <v>2.2727272727272728E-2</v>
      </c>
      <c r="BP110" s="78">
        <f t="shared" si="14"/>
        <v>2.2727272727272728E-2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3">
        <v>4680115881457</v>
      </c>
      <c r="E111" s="71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5"/>
      <c r="R111" s="715"/>
      <c r="S111" s="715"/>
      <c r="T111" s="71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3">
        <v>4680115889477</v>
      </c>
      <c r="E112" s="71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5"/>
      <c r="R112" s="715"/>
      <c r="S112" s="715"/>
      <c r="T112" s="71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0"/>
      <c r="B113" s="720"/>
      <c r="C113" s="720"/>
      <c r="D113" s="720"/>
      <c r="E113" s="720"/>
      <c r="F113" s="720"/>
      <c r="G113" s="720"/>
      <c r="H113" s="720"/>
      <c r="I113" s="720"/>
      <c r="J113" s="720"/>
      <c r="K113" s="720"/>
      <c r="L113" s="720"/>
      <c r="M113" s="720"/>
      <c r="N113" s="720"/>
      <c r="O113" s="721"/>
      <c r="P113" s="717" t="s">
        <v>40</v>
      </c>
      <c r="Q113" s="718"/>
      <c r="R113" s="718"/>
      <c r="S113" s="718"/>
      <c r="T113" s="718"/>
      <c r="U113" s="718"/>
      <c r="V113" s="719"/>
      <c r="W113" s="42" t="s">
        <v>39</v>
      </c>
      <c r="X113" s="43">
        <f>IFERROR(X106/H106,"0")+IFERROR(X107/H107,"0")+IFERROR(X108/H108,"0")+IFERROR(X109/H109,"0")+IFERROR(X110/H110,"0")+IFERROR(X111/H111,"0")+IFERROR(X112/H112,"0")</f>
        <v>4.8518518518518512</v>
      </c>
      <c r="Y113" s="43">
        <f>IFERROR(Y106/H106,"0")+IFERROR(Y107/H107,"0")+IFERROR(Y108/H108,"0")+IFERROR(Y109/H109,"0")+IFERROR(Y110/H110,"0")+IFERROR(Y111/H111,"0")+IFERROR(Y112/H112,"0")</f>
        <v>5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6.5019999999999994E-2</v>
      </c>
      <c r="AA113" s="67"/>
      <c r="AB113" s="67"/>
      <c r="AC113" s="67"/>
    </row>
    <row r="114" spans="1:68" x14ac:dyDescent="0.2">
      <c r="A114" s="720"/>
      <c r="B114" s="720"/>
      <c r="C114" s="720"/>
      <c r="D114" s="720"/>
      <c r="E114" s="720"/>
      <c r="F114" s="720"/>
      <c r="G114" s="720"/>
      <c r="H114" s="720"/>
      <c r="I114" s="720"/>
      <c r="J114" s="720"/>
      <c r="K114" s="720"/>
      <c r="L114" s="720"/>
      <c r="M114" s="720"/>
      <c r="N114" s="720"/>
      <c r="O114" s="721"/>
      <c r="P114" s="717" t="s">
        <v>40</v>
      </c>
      <c r="Q114" s="718"/>
      <c r="R114" s="718"/>
      <c r="S114" s="718"/>
      <c r="T114" s="718"/>
      <c r="U114" s="718"/>
      <c r="V114" s="719"/>
      <c r="W114" s="42" t="s">
        <v>0</v>
      </c>
      <c r="X114" s="43">
        <f>IFERROR(SUM(X106:X112),"0")</f>
        <v>33.5</v>
      </c>
      <c r="Y114" s="43">
        <f>IFERROR(SUM(Y106:Y112),"0")</f>
        <v>35.1</v>
      </c>
      <c r="Z114" s="42"/>
      <c r="AA114" s="67"/>
      <c r="AB114" s="67"/>
      <c r="AC114" s="67"/>
    </row>
    <row r="115" spans="1:68" ht="14.25" hidden="1" customHeight="1" x14ac:dyDescent="0.25">
      <c r="A115" s="712" t="s">
        <v>165</v>
      </c>
      <c r="B115" s="712"/>
      <c r="C115" s="712"/>
      <c r="D115" s="712"/>
      <c r="E115" s="712"/>
      <c r="F115" s="712"/>
      <c r="G115" s="712"/>
      <c r="H115" s="712"/>
      <c r="I115" s="712"/>
      <c r="J115" s="712"/>
      <c r="K115" s="712"/>
      <c r="L115" s="712"/>
      <c r="M115" s="712"/>
      <c r="N115" s="712"/>
      <c r="O115" s="712"/>
      <c r="P115" s="712"/>
      <c r="Q115" s="712"/>
      <c r="R115" s="712"/>
      <c r="S115" s="712"/>
      <c r="T115" s="712"/>
      <c r="U115" s="712"/>
      <c r="V115" s="712"/>
      <c r="W115" s="712"/>
      <c r="X115" s="712"/>
      <c r="Y115" s="712"/>
      <c r="Z115" s="71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3">
        <v>4680115881488</v>
      </c>
      <c r="E116" s="71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5"/>
      <c r="R116" s="715"/>
      <c r="S116" s="715"/>
      <c r="T116" s="71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3">
        <v>4680115887664</v>
      </c>
      <c r="E117" s="71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5"/>
      <c r="R117" s="715"/>
      <c r="S117" s="715"/>
      <c r="T117" s="71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3">
        <v>4680115882775</v>
      </c>
      <c r="E118" s="71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5"/>
      <c r="R118" s="715"/>
      <c r="S118" s="715"/>
      <c r="T118" s="71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713">
        <v>4680115880658</v>
      </c>
      <c r="E119" s="71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5"/>
      <c r="R119" s="715"/>
      <c r="S119" s="715"/>
      <c r="T119" s="71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0"/>
      <c r="B120" s="720"/>
      <c r="C120" s="720"/>
      <c r="D120" s="720"/>
      <c r="E120" s="720"/>
      <c r="F120" s="720"/>
      <c r="G120" s="720"/>
      <c r="H120" s="720"/>
      <c r="I120" s="720"/>
      <c r="J120" s="720"/>
      <c r="K120" s="720"/>
      <c r="L120" s="720"/>
      <c r="M120" s="720"/>
      <c r="N120" s="720"/>
      <c r="O120" s="721"/>
      <c r="P120" s="717" t="s">
        <v>40</v>
      </c>
      <c r="Q120" s="718"/>
      <c r="R120" s="718"/>
      <c r="S120" s="718"/>
      <c r="T120" s="718"/>
      <c r="U120" s="718"/>
      <c r="V120" s="719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0"/>
      <c r="B121" s="720"/>
      <c r="C121" s="720"/>
      <c r="D121" s="720"/>
      <c r="E121" s="720"/>
      <c r="F121" s="720"/>
      <c r="G121" s="720"/>
      <c r="H121" s="720"/>
      <c r="I121" s="720"/>
      <c r="J121" s="720"/>
      <c r="K121" s="720"/>
      <c r="L121" s="720"/>
      <c r="M121" s="720"/>
      <c r="N121" s="720"/>
      <c r="O121" s="721"/>
      <c r="P121" s="717" t="s">
        <v>40</v>
      </c>
      <c r="Q121" s="718"/>
      <c r="R121" s="718"/>
      <c r="S121" s="718"/>
      <c r="T121" s="718"/>
      <c r="U121" s="718"/>
      <c r="V121" s="719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2" t="s">
        <v>83</v>
      </c>
      <c r="B122" s="712"/>
      <c r="C122" s="712"/>
      <c r="D122" s="712"/>
      <c r="E122" s="712"/>
      <c r="F122" s="712"/>
      <c r="G122" s="712"/>
      <c r="H122" s="712"/>
      <c r="I122" s="712"/>
      <c r="J122" s="712"/>
      <c r="K122" s="712"/>
      <c r="L122" s="712"/>
      <c r="M122" s="712"/>
      <c r="N122" s="712"/>
      <c r="O122" s="712"/>
      <c r="P122" s="712"/>
      <c r="Q122" s="712"/>
      <c r="R122" s="712"/>
      <c r="S122" s="712"/>
      <c r="T122" s="712"/>
      <c r="U122" s="712"/>
      <c r="V122" s="712"/>
      <c r="W122" s="712"/>
      <c r="X122" s="712"/>
      <c r="Y122" s="712"/>
      <c r="Z122" s="71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713">
        <v>4607091385168</v>
      </c>
      <c r="E123" s="71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5"/>
      <c r="R123" s="715"/>
      <c r="S123" s="715"/>
      <c r="T123" s="716"/>
      <c r="U123" s="39" t="s">
        <v>46</v>
      </c>
      <c r="V123" s="39" t="s">
        <v>46</v>
      </c>
      <c r="W123" s="40" t="s">
        <v>0</v>
      </c>
      <c r="X123" s="58">
        <v>100</v>
      </c>
      <c r="Y123" s="55">
        <f>IFERROR(IF(X123="",0,CEILING((X123/$H123),1)*$H123),"")</f>
        <v>105.3</v>
      </c>
      <c r="Z123" s="41">
        <f>IFERROR(IF(Y123=0,"",ROUNDUP(Y123/H123,0)*0.01898),"")</f>
        <v>0.24674000000000001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106.0246913580247</v>
      </c>
      <c r="BN123" s="78">
        <f>IFERROR(Y123*I123/H123,"0")</f>
        <v>111.64399999999999</v>
      </c>
      <c r="BO123" s="78">
        <f>IFERROR(1/J123*(X123/H123),"0")</f>
        <v>0.19290123456790123</v>
      </c>
      <c r="BP123" s="78">
        <f>IFERROR(1/J123*(Y123/H123),"0")</f>
        <v>0.203125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3">
        <v>4607091383256</v>
      </c>
      <c r="E124" s="71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5"/>
      <c r="R124" s="715"/>
      <c r="S124" s="715"/>
      <c r="T124" s="7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713">
        <v>4607091385748</v>
      </c>
      <c r="E125" s="71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5"/>
      <c r="R125" s="715"/>
      <c r="S125" s="715"/>
      <c r="T125" s="71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713">
        <v>4680115884533</v>
      </c>
      <c r="E126" s="71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7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5"/>
      <c r="R126" s="715"/>
      <c r="S126" s="715"/>
      <c r="T126" s="716"/>
      <c r="U126" s="39" t="s">
        <v>46</v>
      </c>
      <c r="V126" s="39" t="s">
        <v>46</v>
      </c>
      <c r="W126" s="40" t="s">
        <v>0</v>
      </c>
      <c r="X126" s="58">
        <v>9</v>
      </c>
      <c r="Y126" s="55">
        <f>IFERROR(IF(X126="",0,CEILING((X126/$H126),1)*$H126),"")</f>
        <v>9</v>
      </c>
      <c r="Z126" s="41">
        <f>IFERROR(IF(Y126=0,"",ROUNDUP(Y126/H126,0)*0.00651),"")</f>
        <v>3.2550000000000003E-2</v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9.9</v>
      </c>
      <c r="BN126" s="78">
        <f>IFERROR(Y126*I126/H126,"0")</f>
        <v>9.9</v>
      </c>
      <c r="BO126" s="78">
        <f>IFERROR(1/J126*(X126/H126),"0")</f>
        <v>2.7472527472527476E-2</v>
      </c>
      <c r="BP126" s="78">
        <f>IFERROR(1/J126*(Y126/H126),"0")</f>
        <v>2.7472527472527476E-2</v>
      </c>
    </row>
    <row r="127" spans="1:68" x14ac:dyDescent="0.2">
      <c r="A127" s="720"/>
      <c r="B127" s="720"/>
      <c r="C127" s="720"/>
      <c r="D127" s="720"/>
      <c r="E127" s="720"/>
      <c r="F127" s="720"/>
      <c r="G127" s="720"/>
      <c r="H127" s="720"/>
      <c r="I127" s="720"/>
      <c r="J127" s="720"/>
      <c r="K127" s="720"/>
      <c r="L127" s="720"/>
      <c r="M127" s="720"/>
      <c r="N127" s="720"/>
      <c r="O127" s="721"/>
      <c r="P127" s="717" t="s">
        <v>40</v>
      </c>
      <c r="Q127" s="718"/>
      <c r="R127" s="718"/>
      <c r="S127" s="718"/>
      <c r="T127" s="718"/>
      <c r="U127" s="718"/>
      <c r="V127" s="719"/>
      <c r="W127" s="42" t="s">
        <v>39</v>
      </c>
      <c r="X127" s="43">
        <f>IFERROR(X123/H123,"0")+IFERROR(X124/H124,"0")+IFERROR(X125/H125,"0")+IFERROR(X126/H126,"0")</f>
        <v>17.345679012345677</v>
      </c>
      <c r="Y127" s="43">
        <f>IFERROR(Y123/H123,"0")+IFERROR(Y124/H124,"0")+IFERROR(Y125/H125,"0")+IFERROR(Y126/H126,"0")</f>
        <v>18</v>
      </c>
      <c r="Z127" s="43">
        <f>IFERROR(IF(Z123="",0,Z123),"0")+IFERROR(IF(Z124="",0,Z124),"0")+IFERROR(IF(Z125="",0,Z125),"0")+IFERROR(IF(Z126="",0,Z126),"0")</f>
        <v>0.27929000000000004</v>
      </c>
      <c r="AA127" s="67"/>
      <c r="AB127" s="67"/>
      <c r="AC127" s="67"/>
    </row>
    <row r="128" spans="1:68" x14ac:dyDescent="0.2">
      <c r="A128" s="720"/>
      <c r="B128" s="720"/>
      <c r="C128" s="720"/>
      <c r="D128" s="720"/>
      <c r="E128" s="720"/>
      <c r="F128" s="720"/>
      <c r="G128" s="720"/>
      <c r="H128" s="720"/>
      <c r="I128" s="720"/>
      <c r="J128" s="720"/>
      <c r="K128" s="720"/>
      <c r="L128" s="720"/>
      <c r="M128" s="720"/>
      <c r="N128" s="720"/>
      <c r="O128" s="721"/>
      <c r="P128" s="717" t="s">
        <v>40</v>
      </c>
      <c r="Q128" s="718"/>
      <c r="R128" s="718"/>
      <c r="S128" s="718"/>
      <c r="T128" s="718"/>
      <c r="U128" s="718"/>
      <c r="V128" s="719"/>
      <c r="W128" s="42" t="s">
        <v>0</v>
      </c>
      <c r="X128" s="43">
        <f>IFERROR(SUM(X123:X126),"0")</f>
        <v>109</v>
      </c>
      <c r="Y128" s="43">
        <f>IFERROR(SUM(Y123:Y126),"0")</f>
        <v>114.3</v>
      </c>
      <c r="Z128" s="42"/>
      <c r="AA128" s="67"/>
      <c r="AB128" s="67"/>
      <c r="AC128" s="67"/>
    </row>
    <row r="129" spans="1:68" ht="14.25" hidden="1" customHeight="1" x14ac:dyDescent="0.25">
      <c r="A129" s="712" t="s">
        <v>183</v>
      </c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2"/>
      <c r="P129" s="712"/>
      <c r="Q129" s="712"/>
      <c r="R129" s="712"/>
      <c r="S129" s="712"/>
      <c r="T129" s="712"/>
      <c r="U129" s="712"/>
      <c r="V129" s="712"/>
      <c r="W129" s="712"/>
      <c r="X129" s="712"/>
      <c r="Y129" s="712"/>
      <c r="Z129" s="71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713">
        <v>4680115880238</v>
      </c>
      <c r="E130" s="71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5"/>
      <c r="R130" s="715"/>
      <c r="S130" s="715"/>
      <c r="T130" s="71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0"/>
      <c r="B131" s="720"/>
      <c r="C131" s="720"/>
      <c r="D131" s="720"/>
      <c r="E131" s="720"/>
      <c r="F131" s="720"/>
      <c r="G131" s="720"/>
      <c r="H131" s="720"/>
      <c r="I131" s="720"/>
      <c r="J131" s="720"/>
      <c r="K131" s="720"/>
      <c r="L131" s="720"/>
      <c r="M131" s="720"/>
      <c r="N131" s="720"/>
      <c r="O131" s="721"/>
      <c r="P131" s="717" t="s">
        <v>40</v>
      </c>
      <c r="Q131" s="718"/>
      <c r="R131" s="718"/>
      <c r="S131" s="718"/>
      <c r="T131" s="718"/>
      <c r="U131" s="718"/>
      <c r="V131" s="719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0"/>
      <c r="B132" s="720"/>
      <c r="C132" s="720"/>
      <c r="D132" s="720"/>
      <c r="E132" s="720"/>
      <c r="F132" s="720"/>
      <c r="G132" s="720"/>
      <c r="H132" s="720"/>
      <c r="I132" s="720"/>
      <c r="J132" s="720"/>
      <c r="K132" s="720"/>
      <c r="L132" s="720"/>
      <c r="M132" s="720"/>
      <c r="N132" s="720"/>
      <c r="O132" s="721"/>
      <c r="P132" s="717" t="s">
        <v>40</v>
      </c>
      <c r="Q132" s="718"/>
      <c r="R132" s="718"/>
      <c r="S132" s="718"/>
      <c r="T132" s="718"/>
      <c r="U132" s="718"/>
      <c r="V132" s="719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1" t="s">
        <v>257</v>
      </c>
      <c r="B133" s="711"/>
      <c r="C133" s="711"/>
      <c r="D133" s="711"/>
      <c r="E133" s="711"/>
      <c r="F133" s="711"/>
      <c r="G133" s="711"/>
      <c r="H133" s="711"/>
      <c r="I133" s="711"/>
      <c r="J133" s="711"/>
      <c r="K133" s="711"/>
      <c r="L133" s="711"/>
      <c r="M133" s="711"/>
      <c r="N133" s="711"/>
      <c r="O133" s="711"/>
      <c r="P133" s="711"/>
      <c r="Q133" s="711"/>
      <c r="R133" s="711"/>
      <c r="S133" s="711"/>
      <c r="T133" s="711"/>
      <c r="U133" s="711"/>
      <c r="V133" s="711"/>
      <c r="W133" s="711"/>
      <c r="X133" s="711"/>
      <c r="Y133" s="711"/>
      <c r="Z133" s="711"/>
      <c r="AA133" s="65"/>
      <c r="AB133" s="65"/>
      <c r="AC133" s="79"/>
    </row>
    <row r="134" spans="1:68" ht="14.25" hidden="1" customHeight="1" x14ac:dyDescent="0.25">
      <c r="A134" s="712" t="s">
        <v>130</v>
      </c>
      <c r="B134" s="712"/>
      <c r="C134" s="712"/>
      <c r="D134" s="712"/>
      <c r="E134" s="712"/>
      <c r="F134" s="712"/>
      <c r="G134" s="712"/>
      <c r="H134" s="712"/>
      <c r="I134" s="712"/>
      <c r="J134" s="712"/>
      <c r="K134" s="712"/>
      <c r="L134" s="712"/>
      <c r="M134" s="712"/>
      <c r="N134" s="712"/>
      <c r="O134" s="712"/>
      <c r="P134" s="712"/>
      <c r="Q134" s="712"/>
      <c r="R134" s="712"/>
      <c r="S134" s="712"/>
      <c r="T134" s="712"/>
      <c r="U134" s="712"/>
      <c r="V134" s="712"/>
      <c r="W134" s="712"/>
      <c r="X134" s="712"/>
      <c r="Y134" s="712"/>
      <c r="Z134" s="71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713">
        <v>4680115882577</v>
      </c>
      <c r="E135" s="71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5"/>
      <c r="R135" s="715"/>
      <c r="S135" s="715"/>
      <c r="T135" s="7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713">
        <v>4680115882577</v>
      </c>
      <c r="E136" s="71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5"/>
      <c r="R136" s="715"/>
      <c r="S136" s="715"/>
      <c r="T136" s="71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20"/>
      <c r="B137" s="720"/>
      <c r="C137" s="720"/>
      <c r="D137" s="720"/>
      <c r="E137" s="720"/>
      <c r="F137" s="720"/>
      <c r="G137" s="720"/>
      <c r="H137" s="720"/>
      <c r="I137" s="720"/>
      <c r="J137" s="720"/>
      <c r="K137" s="720"/>
      <c r="L137" s="720"/>
      <c r="M137" s="720"/>
      <c r="N137" s="720"/>
      <c r="O137" s="721"/>
      <c r="P137" s="717" t="s">
        <v>40</v>
      </c>
      <c r="Q137" s="718"/>
      <c r="R137" s="718"/>
      <c r="S137" s="718"/>
      <c r="T137" s="718"/>
      <c r="U137" s="718"/>
      <c r="V137" s="719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20"/>
      <c r="B138" s="720"/>
      <c r="C138" s="720"/>
      <c r="D138" s="720"/>
      <c r="E138" s="720"/>
      <c r="F138" s="720"/>
      <c r="G138" s="720"/>
      <c r="H138" s="720"/>
      <c r="I138" s="720"/>
      <c r="J138" s="720"/>
      <c r="K138" s="720"/>
      <c r="L138" s="720"/>
      <c r="M138" s="720"/>
      <c r="N138" s="720"/>
      <c r="O138" s="721"/>
      <c r="P138" s="717" t="s">
        <v>40</v>
      </c>
      <c r="Q138" s="718"/>
      <c r="R138" s="718"/>
      <c r="S138" s="718"/>
      <c r="T138" s="718"/>
      <c r="U138" s="718"/>
      <c r="V138" s="719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12" t="s">
        <v>77</v>
      </c>
      <c r="B139" s="712"/>
      <c r="C139" s="712"/>
      <c r="D139" s="712"/>
      <c r="E139" s="712"/>
      <c r="F139" s="712"/>
      <c r="G139" s="712"/>
      <c r="H139" s="712"/>
      <c r="I139" s="712"/>
      <c r="J139" s="712"/>
      <c r="K139" s="712"/>
      <c r="L139" s="712"/>
      <c r="M139" s="712"/>
      <c r="N139" s="712"/>
      <c r="O139" s="712"/>
      <c r="P139" s="712"/>
      <c r="Q139" s="712"/>
      <c r="R139" s="712"/>
      <c r="S139" s="712"/>
      <c r="T139" s="712"/>
      <c r="U139" s="712"/>
      <c r="V139" s="712"/>
      <c r="W139" s="712"/>
      <c r="X139" s="712"/>
      <c r="Y139" s="712"/>
      <c r="Z139" s="71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713">
        <v>4680115883444</v>
      </c>
      <c r="E140" s="71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5"/>
      <c r="R140" s="715"/>
      <c r="S140" s="715"/>
      <c r="T140" s="71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3">
        <v>4680115883444</v>
      </c>
      <c r="E141" s="71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5"/>
      <c r="R141" s="715"/>
      <c r="S141" s="715"/>
      <c r="T141" s="71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20"/>
      <c r="B142" s="720"/>
      <c r="C142" s="720"/>
      <c r="D142" s="720"/>
      <c r="E142" s="720"/>
      <c r="F142" s="720"/>
      <c r="G142" s="720"/>
      <c r="H142" s="720"/>
      <c r="I142" s="720"/>
      <c r="J142" s="720"/>
      <c r="K142" s="720"/>
      <c r="L142" s="720"/>
      <c r="M142" s="720"/>
      <c r="N142" s="720"/>
      <c r="O142" s="721"/>
      <c r="P142" s="717" t="s">
        <v>40</v>
      </c>
      <c r="Q142" s="718"/>
      <c r="R142" s="718"/>
      <c r="S142" s="718"/>
      <c r="T142" s="718"/>
      <c r="U142" s="718"/>
      <c r="V142" s="71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20"/>
      <c r="B143" s="720"/>
      <c r="C143" s="720"/>
      <c r="D143" s="720"/>
      <c r="E143" s="720"/>
      <c r="F143" s="720"/>
      <c r="G143" s="720"/>
      <c r="H143" s="720"/>
      <c r="I143" s="720"/>
      <c r="J143" s="720"/>
      <c r="K143" s="720"/>
      <c r="L143" s="720"/>
      <c r="M143" s="720"/>
      <c r="N143" s="720"/>
      <c r="O143" s="721"/>
      <c r="P143" s="717" t="s">
        <v>40</v>
      </c>
      <c r="Q143" s="718"/>
      <c r="R143" s="718"/>
      <c r="S143" s="718"/>
      <c r="T143" s="718"/>
      <c r="U143" s="718"/>
      <c r="V143" s="71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12" t="s">
        <v>83</v>
      </c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2"/>
      <c r="P144" s="712"/>
      <c r="Q144" s="712"/>
      <c r="R144" s="712"/>
      <c r="S144" s="712"/>
      <c r="T144" s="712"/>
      <c r="U144" s="712"/>
      <c r="V144" s="712"/>
      <c r="W144" s="712"/>
      <c r="X144" s="712"/>
      <c r="Y144" s="712"/>
      <c r="Z144" s="71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713">
        <v>4680115882584</v>
      </c>
      <c r="E145" s="71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5"/>
      <c r="R145" s="715"/>
      <c r="S145" s="715"/>
      <c r="T145" s="71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3">
        <v>4680115882584</v>
      </c>
      <c r="E146" s="71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5"/>
      <c r="R146" s="715"/>
      <c r="S146" s="715"/>
      <c r="T146" s="71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20"/>
      <c r="B147" s="720"/>
      <c r="C147" s="720"/>
      <c r="D147" s="720"/>
      <c r="E147" s="720"/>
      <c r="F147" s="720"/>
      <c r="G147" s="720"/>
      <c r="H147" s="720"/>
      <c r="I147" s="720"/>
      <c r="J147" s="720"/>
      <c r="K147" s="720"/>
      <c r="L147" s="720"/>
      <c r="M147" s="720"/>
      <c r="N147" s="720"/>
      <c r="O147" s="721"/>
      <c r="P147" s="717" t="s">
        <v>40</v>
      </c>
      <c r="Q147" s="718"/>
      <c r="R147" s="718"/>
      <c r="S147" s="718"/>
      <c r="T147" s="718"/>
      <c r="U147" s="718"/>
      <c r="V147" s="71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20"/>
      <c r="B148" s="720"/>
      <c r="C148" s="720"/>
      <c r="D148" s="720"/>
      <c r="E148" s="720"/>
      <c r="F148" s="720"/>
      <c r="G148" s="720"/>
      <c r="H148" s="720"/>
      <c r="I148" s="720"/>
      <c r="J148" s="720"/>
      <c r="K148" s="720"/>
      <c r="L148" s="720"/>
      <c r="M148" s="720"/>
      <c r="N148" s="720"/>
      <c r="O148" s="721"/>
      <c r="P148" s="717" t="s">
        <v>40</v>
      </c>
      <c r="Q148" s="718"/>
      <c r="R148" s="718"/>
      <c r="S148" s="718"/>
      <c r="T148" s="718"/>
      <c r="U148" s="718"/>
      <c r="V148" s="71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11" t="s">
        <v>270</v>
      </c>
      <c r="B149" s="711"/>
      <c r="C149" s="711"/>
      <c r="D149" s="711"/>
      <c r="E149" s="711"/>
      <c r="F149" s="711"/>
      <c r="G149" s="711"/>
      <c r="H149" s="711"/>
      <c r="I149" s="711"/>
      <c r="J149" s="711"/>
      <c r="K149" s="711"/>
      <c r="L149" s="711"/>
      <c r="M149" s="711"/>
      <c r="N149" s="711"/>
      <c r="O149" s="711"/>
      <c r="P149" s="711"/>
      <c r="Q149" s="711"/>
      <c r="R149" s="711"/>
      <c r="S149" s="711"/>
      <c r="T149" s="711"/>
      <c r="U149" s="711"/>
      <c r="V149" s="711"/>
      <c r="W149" s="711"/>
      <c r="X149" s="711"/>
      <c r="Y149" s="711"/>
      <c r="Z149" s="711"/>
      <c r="AA149" s="65"/>
      <c r="AB149" s="65"/>
      <c r="AC149" s="79"/>
    </row>
    <row r="150" spans="1:68" ht="14.25" hidden="1" customHeight="1" x14ac:dyDescent="0.25">
      <c r="A150" s="712" t="s">
        <v>83</v>
      </c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2"/>
      <c r="P150" s="712"/>
      <c r="Q150" s="712"/>
      <c r="R150" s="712"/>
      <c r="S150" s="712"/>
      <c r="T150" s="712"/>
      <c r="U150" s="712"/>
      <c r="V150" s="712"/>
      <c r="W150" s="712"/>
      <c r="X150" s="712"/>
      <c r="Y150" s="712"/>
      <c r="Z150" s="71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3">
        <v>4680115888203</v>
      </c>
      <c r="E151" s="71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5"/>
      <c r="R151" s="715"/>
      <c r="S151" s="715"/>
      <c r="T151" s="71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3">
        <v>4680115888180</v>
      </c>
      <c r="E152" s="71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5"/>
      <c r="R152" s="715"/>
      <c r="S152" s="715"/>
      <c r="T152" s="71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3">
        <v>4680115888197</v>
      </c>
      <c r="E153" s="71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5"/>
      <c r="R153" s="715"/>
      <c r="S153" s="715"/>
      <c r="T153" s="71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3">
        <v>4680115888210</v>
      </c>
      <c r="E154" s="71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5"/>
      <c r="R154" s="715"/>
      <c r="S154" s="715"/>
      <c r="T154" s="71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0"/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1"/>
      <c r="P155" s="717" t="s">
        <v>40</v>
      </c>
      <c r="Q155" s="718"/>
      <c r="R155" s="718"/>
      <c r="S155" s="718"/>
      <c r="T155" s="718"/>
      <c r="U155" s="718"/>
      <c r="V155" s="719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0"/>
      <c r="B156" s="720"/>
      <c r="C156" s="720"/>
      <c r="D156" s="720"/>
      <c r="E156" s="720"/>
      <c r="F156" s="720"/>
      <c r="G156" s="720"/>
      <c r="H156" s="720"/>
      <c r="I156" s="720"/>
      <c r="J156" s="720"/>
      <c r="K156" s="720"/>
      <c r="L156" s="720"/>
      <c r="M156" s="720"/>
      <c r="N156" s="720"/>
      <c r="O156" s="721"/>
      <c r="P156" s="717" t="s">
        <v>40</v>
      </c>
      <c r="Q156" s="718"/>
      <c r="R156" s="718"/>
      <c r="S156" s="718"/>
      <c r="T156" s="718"/>
      <c r="U156" s="718"/>
      <c r="V156" s="719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2" t="s">
        <v>101</v>
      </c>
      <c r="B157" s="712"/>
      <c r="C157" s="712"/>
      <c r="D157" s="712"/>
      <c r="E157" s="712"/>
      <c r="F157" s="712"/>
      <c r="G157" s="712"/>
      <c r="H157" s="712"/>
      <c r="I157" s="712"/>
      <c r="J157" s="712"/>
      <c r="K157" s="712"/>
      <c r="L157" s="712"/>
      <c r="M157" s="712"/>
      <c r="N157" s="712"/>
      <c r="O157" s="712"/>
      <c r="P157" s="712"/>
      <c r="Q157" s="712"/>
      <c r="R157" s="712"/>
      <c r="S157" s="712"/>
      <c r="T157" s="712"/>
      <c r="U157" s="712"/>
      <c r="V157" s="712"/>
      <c r="W157" s="712"/>
      <c r="X157" s="712"/>
      <c r="Y157" s="712"/>
      <c r="Z157" s="71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3">
        <v>4680115889132</v>
      </c>
      <c r="E158" s="71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5"/>
      <c r="R158" s="715"/>
      <c r="S158" s="715"/>
      <c r="T158" s="71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0"/>
      <c r="B159" s="720"/>
      <c r="C159" s="720"/>
      <c r="D159" s="720"/>
      <c r="E159" s="720"/>
      <c r="F159" s="720"/>
      <c r="G159" s="720"/>
      <c r="H159" s="720"/>
      <c r="I159" s="720"/>
      <c r="J159" s="720"/>
      <c r="K159" s="720"/>
      <c r="L159" s="720"/>
      <c r="M159" s="720"/>
      <c r="N159" s="720"/>
      <c r="O159" s="721"/>
      <c r="P159" s="717" t="s">
        <v>40</v>
      </c>
      <c r="Q159" s="718"/>
      <c r="R159" s="718"/>
      <c r="S159" s="718"/>
      <c r="T159" s="718"/>
      <c r="U159" s="718"/>
      <c r="V159" s="719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0"/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1"/>
      <c r="P160" s="717" t="s">
        <v>40</v>
      </c>
      <c r="Q160" s="718"/>
      <c r="R160" s="718"/>
      <c r="S160" s="718"/>
      <c r="T160" s="718"/>
      <c r="U160" s="718"/>
      <c r="V160" s="719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1" t="s">
        <v>128</v>
      </c>
      <c r="B161" s="711"/>
      <c r="C161" s="711"/>
      <c r="D161" s="711"/>
      <c r="E161" s="711"/>
      <c r="F161" s="711"/>
      <c r="G161" s="711"/>
      <c r="H161" s="711"/>
      <c r="I161" s="711"/>
      <c r="J161" s="711"/>
      <c r="K161" s="711"/>
      <c r="L161" s="711"/>
      <c r="M161" s="711"/>
      <c r="N161" s="711"/>
      <c r="O161" s="711"/>
      <c r="P161" s="711"/>
      <c r="Q161" s="711"/>
      <c r="R161" s="711"/>
      <c r="S161" s="711"/>
      <c r="T161" s="711"/>
      <c r="U161" s="711"/>
      <c r="V161" s="711"/>
      <c r="W161" s="711"/>
      <c r="X161" s="711"/>
      <c r="Y161" s="711"/>
      <c r="Z161" s="711"/>
      <c r="AA161" s="65"/>
      <c r="AB161" s="65"/>
      <c r="AC161" s="79"/>
    </row>
    <row r="162" spans="1:68" ht="14.25" hidden="1" customHeight="1" x14ac:dyDescent="0.25">
      <c r="A162" s="712" t="s">
        <v>130</v>
      </c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2"/>
      <c r="P162" s="712"/>
      <c r="Q162" s="712"/>
      <c r="R162" s="712"/>
      <c r="S162" s="712"/>
      <c r="T162" s="712"/>
      <c r="U162" s="712"/>
      <c r="V162" s="712"/>
      <c r="W162" s="712"/>
      <c r="X162" s="712"/>
      <c r="Y162" s="712"/>
      <c r="Z162" s="71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3">
        <v>4680115887374</v>
      </c>
      <c r="E163" s="71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5"/>
      <c r="R163" s="715"/>
      <c r="S163" s="715"/>
      <c r="T163" s="71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713">
        <v>4607091384604</v>
      </c>
      <c r="E164" s="71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5"/>
      <c r="R164" s="715"/>
      <c r="S164" s="715"/>
      <c r="T164" s="71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3">
        <v>4607091384604</v>
      </c>
      <c r="E165" s="71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5"/>
      <c r="R165" s="715"/>
      <c r="S165" s="715"/>
      <c r="T165" s="71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13">
        <v>4680115888876</v>
      </c>
      <c r="E166" s="71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5"/>
      <c r="R166" s="715"/>
      <c r="S166" s="715"/>
      <c r="T166" s="71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0"/>
      <c r="B167" s="720"/>
      <c r="C167" s="720"/>
      <c r="D167" s="720"/>
      <c r="E167" s="720"/>
      <c r="F167" s="720"/>
      <c r="G167" s="720"/>
      <c r="H167" s="720"/>
      <c r="I167" s="720"/>
      <c r="J167" s="720"/>
      <c r="K167" s="720"/>
      <c r="L167" s="720"/>
      <c r="M167" s="720"/>
      <c r="N167" s="720"/>
      <c r="O167" s="721"/>
      <c r="P167" s="717" t="s">
        <v>40</v>
      </c>
      <c r="Q167" s="718"/>
      <c r="R167" s="718"/>
      <c r="S167" s="718"/>
      <c r="T167" s="718"/>
      <c r="U167" s="718"/>
      <c r="V167" s="719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0"/>
      <c r="B168" s="720"/>
      <c r="C168" s="720"/>
      <c r="D168" s="720"/>
      <c r="E168" s="720"/>
      <c r="F168" s="720"/>
      <c r="G168" s="720"/>
      <c r="H168" s="720"/>
      <c r="I168" s="720"/>
      <c r="J168" s="720"/>
      <c r="K168" s="720"/>
      <c r="L168" s="720"/>
      <c r="M168" s="720"/>
      <c r="N168" s="720"/>
      <c r="O168" s="721"/>
      <c r="P168" s="717" t="s">
        <v>40</v>
      </c>
      <c r="Q168" s="718"/>
      <c r="R168" s="718"/>
      <c r="S168" s="718"/>
      <c r="T168" s="718"/>
      <c r="U168" s="718"/>
      <c r="V168" s="719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2" t="s">
        <v>165</v>
      </c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2"/>
      <c r="P169" s="712"/>
      <c r="Q169" s="712"/>
      <c r="R169" s="712"/>
      <c r="S169" s="712"/>
      <c r="T169" s="712"/>
      <c r="U169" s="712"/>
      <c r="V169" s="712"/>
      <c r="W169" s="712"/>
      <c r="X169" s="712"/>
      <c r="Y169" s="712"/>
      <c r="Z169" s="71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713">
        <v>4680115887695</v>
      </c>
      <c r="E170" s="71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5"/>
      <c r="R170" s="715"/>
      <c r="S170" s="715"/>
      <c r="T170" s="71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3">
        <v>4680115889491</v>
      </c>
      <c r="E171" s="71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5"/>
      <c r="R171" s="715"/>
      <c r="S171" s="715"/>
      <c r="T171" s="71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0"/>
      <c r="B172" s="720"/>
      <c r="C172" s="720"/>
      <c r="D172" s="720"/>
      <c r="E172" s="720"/>
      <c r="F172" s="720"/>
      <c r="G172" s="720"/>
      <c r="H172" s="720"/>
      <c r="I172" s="720"/>
      <c r="J172" s="720"/>
      <c r="K172" s="720"/>
      <c r="L172" s="720"/>
      <c r="M172" s="720"/>
      <c r="N172" s="720"/>
      <c r="O172" s="721"/>
      <c r="P172" s="717" t="s">
        <v>40</v>
      </c>
      <c r="Q172" s="718"/>
      <c r="R172" s="718"/>
      <c r="S172" s="718"/>
      <c r="T172" s="718"/>
      <c r="U172" s="718"/>
      <c r="V172" s="719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0"/>
      <c r="B173" s="720"/>
      <c r="C173" s="720"/>
      <c r="D173" s="720"/>
      <c r="E173" s="720"/>
      <c r="F173" s="720"/>
      <c r="G173" s="720"/>
      <c r="H173" s="720"/>
      <c r="I173" s="720"/>
      <c r="J173" s="720"/>
      <c r="K173" s="720"/>
      <c r="L173" s="720"/>
      <c r="M173" s="720"/>
      <c r="N173" s="720"/>
      <c r="O173" s="721"/>
      <c r="P173" s="717" t="s">
        <v>40</v>
      </c>
      <c r="Q173" s="718"/>
      <c r="R173" s="718"/>
      <c r="S173" s="718"/>
      <c r="T173" s="718"/>
      <c r="U173" s="718"/>
      <c r="V173" s="719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2" t="s">
        <v>77</v>
      </c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2"/>
      <c r="P174" s="712"/>
      <c r="Q174" s="712"/>
      <c r="R174" s="712"/>
      <c r="S174" s="712"/>
      <c r="T174" s="712"/>
      <c r="U174" s="712"/>
      <c r="V174" s="712"/>
      <c r="W174" s="712"/>
      <c r="X174" s="712"/>
      <c r="Y174" s="712"/>
      <c r="Z174" s="71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713">
        <v>4680115887428</v>
      </c>
      <c r="E175" s="71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5"/>
      <c r="R175" s="715"/>
      <c r="S175" s="715"/>
      <c r="T175" s="716"/>
      <c r="U175" s="39" t="s">
        <v>46</v>
      </c>
      <c r="V175" s="39" t="s">
        <v>46</v>
      </c>
      <c r="W175" s="40" t="s">
        <v>0</v>
      </c>
      <c r="X175" s="58">
        <v>30</v>
      </c>
      <c r="Y175" s="55">
        <f t="shared" ref="Y175:Y184" si="15">IFERROR(IF(X175="",0,CEILING((X175/$H175),1)*$H175),"")</f>
        <v>31.5</v>
      </c>
      <c r="Z175" s="41">
        <f>IFERROR(IF(Y175=0,"",ROUNDUP(Y175/H175,0)*0.00902),"")</f>
        <v>8.1180000000000002E-2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31.62857142857143</v>
      </c>
      <c r="BN175" s="78">
        <f t="shared" ref="BN175:BN184" si="17">IFERROR(Y175*I175/H175,"0")</f>
        <v>33.21</v>
      </c>
      <c r="BO175" s="78">
        <f t="shared" ref="BO175:BO184" si="18">IFERROR(1/J175*(X175/H175),"0")</f>
        <v>6.4935064935064929E-2</v>
      </c>
      <c r="BP175" s="78">
        <f t="shared" ref="BP175:BP184" si="19">IFERROR(1/J175*(Y175/H175),"0")</f>
        <v>6.8181818181818177E-2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713">
        <v>4680115889170</v>
      </c>
      <c r="E176" s="71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5"/>
      <c r="R176" s="715"/>
      <c r="S176" s="715"/>
      <c r="T176" s="716"/>
      <c r="U176" s="39" t="s">
        <v>46</v>
      </c>
      <c r="V176" s="39" t="s">
        <v>46</v>
      </c>
      <c r="W176" s="40" t="s">
        <v>0</v>
      </c>
      <c r="X176" s="58">
        <v>30</v>
      </c>
      <c r="Y176" s="55">
        <f t="shared" si="15"/>
        <v>31.5</v>
      </c>
      <c r="Z176" s="41">
        <f>IFERROR(IF(Y176=0,"",ROUNDUP(Y176/H176,0)*0.00902),"")</f>
        <v>8.1180000000000002E-2</v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32.271428571428572</v>
      </c>
      <c r="BN176" s="78">
        <f t="shared" si="17"/>
        <v>33.885000000000005</v>
      </c>
      <c r="BO176" s="78">
        <f t="shared" si="18"/>
        <v>6.4935064935064929E-2</v>
      </c>
      <c r="BP176" s="78">
        <f t="shared" si="19"/>
        <v>6.8181818181818177E-2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713">
        <v>4680115887398</v>
      </c>
      <c r="E177" s="71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5"/>
      <c r="R177" s="715"/>
      <c r="S177" s="715"/>
      <c r="T177" s="716"/>
      <c r="U177" s="39" t="s">
        <v>46</v>
      </c>
      <c r="V177" s="39" t="s">
        <v>46</v>
      </c>
      <c r="W177" s="40" t="s">
        <v>0</v>
      </c>
      <c r="X177" s="58">
        <v>40</v>
      </c>
      <c r="Y177" s="55">
        <f t="shared" si="15"/>
        <v>42</v>
      </c>
      <c r="Z177" s="41">
        <f>IFERROR(IF(Y177=0,"",ROUNDUP(Y177/H177,0)*0.00902),"")</f>
        <v>0.10824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42.171428571428571</v>
      </c>
      <c r="BN177" s="78">
        <f t="shared" si="17"/>
        <v>44.279999999999994</v>
      </c>
      <c r="BO177" s="78">
        <f t="shared" si="18"/>
        <v>8.658008658008659E-2</v>
      </c>
      <c r="BP177" s="78">
        <f t="shared" si="19"/>
        <v>9.0909090909090912E-2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713">
        <v>4680115887336</v>
      </c>
      <c r="E178" s="71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5"/>
      <c r="R178" s="715"/>
      <c r="S178" s="715"/>
      <c r="T178" s="716"/>
      <c r="U178" s="39" t="s">
        <v>46</v>
      </c>
      <c r="V178" s="39" t="s">
        <v>46</v>
      </c>
      <c r="W178" s="40" t="s">
        <v>0</v>
      </c>
      <c r="X178" s="58">
        <v>30</v>
      </c>
      <c r="Y178" s="55">
        <f t="shared" si="15"/>
        <v>31.5</v>
      </c>
      <c r="Z178" s="41">
        <f>IFERROR(IF(Y178=0,"",ROUNDUP(Y178/H178,0)*0.00902),"")</f>
        <v>8.1180000000000002E-2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31.62857142857143</v>
      </c>
      <c r="BN178" s="78">
        <f t="shared" si="17"/>
        <v>33.21</v>
      </c>
      <c r="BO178" s="78">
        <f t="shared" si="18"/>
        <v>6.4935064935064929E-2</v>
      </c>
      <c r="BP178" s="78">
        <f t="shared" si="19"/>
        <v>6.8181818181818177E-2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713">
        <v>4680115887787</v>
      </c>
      <c r="E179" s="71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5"/>
      <c r="R179" s="715"/>
      <c r="S179" s="715"/>
      <c r="T179" s="71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713">
        <v>4680115887503</v>
      </c>
      <c r="E180" s="71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5"/>
      <c r="R180" s="715"/>
      <c r="S180" s="715"/>
      <c r="T180" s="71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713">
        <v>4680115887763</v>
      </c>
      <c r="E181" s="71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5"/>
      <c r="R181" s="715"/>
      <c r="S181" s="715"/>
      <c r="T181" s="71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713">
        <v>4680115887480</v>
      </c>
      <c r="E182" s="71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5"/>
      <c r="R182" s="715"/>
      <c r="S182" s="715"/>
      <c r="T182" s="71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3">
        <v>4680115888067</v>
      </c>
      <c r="E183" s="71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5"/>
      <c r="R183" s="715"/>
      <c r="S183" s="715"/>
      <c r="T183" s="71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713">
        <v>4680115887435</v>
      </c>
      <c r="E184" s="71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5"/>
      <c r="R184" s="715"/>
      <c r="S184" s="715"/>
      <c r="T184" s="71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720"/>
      <c r="B185" s="720"/>
      <c r="C185" s="720"/>
      <c r="D185" s="720"/>
      <c r="E185" s="720"/>
      <c r="F185" s="720"/>
      <c r="G185" s="720"/>
      <c r="H185" s="720"/>
      <c r="I185" s="720"/>
      <c r="J185" s="720"/>
      <c r="K185" s="720"/>
      <c r="L185" s="720"/>
      <c r="M185" s="720"/>
      <c r="N185" s="720"/>
      <c r="O185" s="721"/>
      <c r="P185" s="717" t="s">
        <v>40</v>
      </c>
      <c r="Q185" s="718"/>
      <c r="R185" s="718"/>
      <c r="S185" s="718"/>
      <c r="T185" s="718"/>
      <c r="U185" s="718"/>
      <c r="V185" s="719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37.142857142857139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39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0.35177999999999998</v>
      </c>
      <c r="AA185" s="67"/>
      <c r="AB185" s="67"/>
      <c r="AC185" s="67"/>
    </row>
    <row r="186" spans="1:68" x14ac:dyDescent="0.2">
      <c r="A186" s="720"/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1"/>
      <c r="P186" s="717" t="s">
        <v>40</v>
      </c>
      <c r="Q186" s="718"/>
      <c r="R186" s="718"/>
      <c r="S186" s="718"/>
      <c r="T186" s="718"/>
      <c r="U186" s="718"/>
      <c r="V186" s="719"/>
      <c r="W186" s="42" t="s">
        <v>0</v>
      </c>
      <c r="X186" s="43">
        <f>IFERROR(SUM(X175:X184),"0")</f>
        <v>130</v>
      </c>
      <c r="Y186" s="43">
        <f>IFERROR(SUM(Y175:Y184),"0")</f>
        <v>136.5</v>
      </c>
      <c r="Z186" s="42"/>
      <c r="AA186" s="67"/>
      <c r="AB186" s="67"/>
      <c r="AC186" s="67"/>
    </row>
    <row r="187" spans="1:68" ht="14.25" hidden="1" customHeight="1" x14ac:dyDescent="0.25">
      <c r="A187" s="712" t="s">
        <v>83</v>
      </c>
      <c r="B187" s="712"/>
      <c r="C187" s="712"/>
      <c r="D187" s="712"/>
      <c r="E187" s="712"/>
      <c r="F187" s="712"/>
      <c r="G187" s="712"/>
      <c r="H187" s="712"/>
      <c r="I187" s="712"/>
      <c r="J187" s="712"/>
      <c r="K187" s="712"/>
      <c r="L187" s="712"/>
      <c r="M187" s="712"/>
      <c r="N187" s="712"/>
      <c r="O187" s="712"/>
      <c r="P187" s="712"/>
      <c r="Q187" s="712"/>
      <c r="R187" s="712"/>
      <c r="S187" s="712"/>
      <c r="T187" s="712"/>
      <c r="U187" s="712"/>
      <c r="V187" s="712"/>
      <c r="W187" s="712"/>
      <c r="X187" s="712"/>
      <c r="Y187" s="712"/>
      <c r="Z187" s="71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3">
        <v>4680115888395</v>
      </c>
      <c r="E188" s="71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5"/>
      <c r="R188" s="715"/>
      <c r="S188" s="715"/>
      <c r="T188" s="71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3">
        <v>4680115888371</v>
      </c>
      <c r="E189" s="71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0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5"/>
      <c r="R189" s="715"/>
      <c r="S189" s="715"/>
      <c r="T189" s="71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0"/>
      <c r="B190" s="720"/>
      <c r="C190" s="720"/>
      <c r="D190" s="720"/>
      <c r="E190" s="720"/>
      <c r="F190" s="720"/>
      <c r="G190" s="720"/>
      <c r="H190" s="720"/>
      <c r="I190" s="720"/>
      <c r="J190" s="720"/>
      <c r="K190" s="720"/>
      <c r="L190" s="720"/>
      <c r="M190" s="720"/>
      <c r="N190" s="720"/>
      <c r="O190" s="721"/>
      <c r="P190" s="717" t="s">
        <v>40</v>
      </c>
      <c r="Q190" s="718"/>
      <c r="R190" s="718"/>
      <c r="S190" s="718"/>
      <c r="T190" s="718"/>
      <c r="U190" s="718"/>
      <c r="V190" s="719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0"/>
      <c r="B191" s="720"/>
      <c r="C191" s="720"/>
      <c r="D191" s="720"/>
      <c r="E191" s="720"/>
      <c r="F191" s="720"/>
      <c r="G191" s="720"/>
      <c r="H191" s="720"/>
      <c r="I191" s="720"/>
      <c r="J191" s="720"/>
      <c r="K191" s="720"/>
      <c r="L191" s="720"/>
      <c r="M191" s="720"/>
      <c r="N191" s="720"/>
      <c r="O191" s="721"/>
      <c r="P191" s="717" t="s">
        <v>40</v>
      </c>
      <c r="Q191" s="718"/>
      <c r="R191" s="718"/>
      <c r="S191" s="718"/>
      <c r="T191" s="718"/>
      <c r="U191" s="718"/>
      <c r="V191" s="719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2" t="s">
        <v>101</v>
      </c>
      <c r="B192" s="712"/>
      <c r="C192" s="712"/>
      <c r="D192" s="712"/>
      <c r="E192" s="712"/>
      <c r="F192" s="712"/>
      <c r="G192" s="712"/>
      <c r="H192" s="712"/>
      <c r="I192" s="712"/>
      <c r="J192" s="712"/>
      <c r="K192" s="712"/>
      <c r="L192" s="712"/>
      <c r="M192" s="712"/>
      <c r="N192" s="712"/>
      <c r="O192" s="712"/>
      <c r="P192" s="712"/>
      <c r="Q192" s="712"/>
      <c r="R192" s="712"/>
      <c r="S192" s="712"/>
      <c r="T192" s="712"/>
      <c r="U192" s="712"/>
      <c r="V192" s="712"/>
      <c r="W192" s="712"/>
      <c r="X192" s="712"/>
      <c r="Y192" s="712"/>
      <c r="Z192" s="71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3">
        <v>4680115889026</v>
      </c>
      <c r="E193" s="71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5"/>
      <c r="R193" s="715"/>
      <c r="S193" s="715"/>
      <c r="T193" s="71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0"/>
      <c r="B194" s="720"/>
      <c r="C194" s="720"/>
      <c r="D194" s="720"/>
      <c r="E194" s="720"/>
      <c r="F194" s="720"/>
      <c r="G194" s="720"/>
      <c r="H194" s="720"/>
      <c r="I194" s="720"/>
      <c r="J194" s="720"/>
      <c r="K194" s="720"/>
      <c r="L194" s="720"/>
      <c r="M194" s="720"/>
      <c r="N194" s="720"/>
      <c r="O194" s="721"/>
      <c r="P194" s="717" t="s">
        <v>40</v>
      </c>
      <c r="Q194" s="718"/>
      <c r="R194" s="718"/>
      <c r="S194" s="718"/>
      <c r="T194" s="718"/>
      <c r="U194" s="718"/>
      <c r="V194" s="71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0"/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1"/>
      <c r="P195" s="717" t="s">
        <v>40</v>
      </c>
      <c r="Q195" s="718"/>
      <c r="R195" s="718"/>
      <c r="S195" s="718"/>
      <c r="T195" s="718"/>
      <c r="U195" s="718"/>
      <c r="V195" s="71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2" t="s">
        <v>339</v>
      </c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2"/>
      <c r="P196" s="712"/>
      <c r="Q196" s="712"/>
      <c r="R196" s="712"/>
      <c r="S196" s="712"/>
      <c r="T196" s="712"/>
      <c r="U196" s="712"/>
      <c r="V196" s="712"/>
      <c r="W196" s="712"/>
      <c r="X196" s="712"/>
      <c r="Y196" s="712"/>
      <c r="Z196" s="71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3">
        <v>4680115889033</v>
      </c>
      <c r="E197" s="71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5"/>
      <c r="R197" s="715"/>
      <c r="S197" s="715"/>
      <c r="T197" s="71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0"/>
      <c r="B198" s="720"/>
      <c r="C198" s="720"/>
      <c r="D198" s="720"/>
      <c r="E198" s="720"/>
      <c r="F198" s="720"/>
      <c r="G198" s="720"/>
      <c r="H198" s="720"/>
      <c r="I198" s="720"/>
      <c r="J198" s="720"/>
      <c r="K198" s="720"/>
      <c r="L198" s="720"/>
      <c r="M198" s="720"/>
      <c r="N198" s="720"/>
      <c r="O198" s="721"/>
      <c r="P198" s="717" t="s">
        <v>40</v>
      </c>
      <c r="Q198" s="718"/>
      <c r="R198" s="718"/>
      <c r="S198" s="718"/>
      <c r="T198" s="718"/>
      <c r="U198" s="718"/>
      <c r="V198" s="71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0"/>
      <c r="B199" s="720"/>
      <c r="C199" s="720"/>
      <c r="D199" s="720"/>
      <c r="E199" s="720"/>
      <c r="F199" s="720"/>
      <c r="G199" s="720"/>
      <c r="H199" s="720"/>
      <c r="I199" s="720"/>
      <c r="J199" s="720"/>
      <c r="K199" s="720"/>
      <c r="L199" s="720"/>
      <c r="M199" s="720"/>
      <c r="N199" s="720"/>
      <c r="O199" s="721"/>
      <c r="P199" s="717" t="s">
        <v>40</v>
      </c>
      <c r="Q199" s="718"/>
      <c r="R199" s="718"/>
      <c r="S199" s="718"/>
      <c r="T199" s="718"/>
      <c r="U199" s="718"/>
      <c r="V199" s="71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0" t="s">
        <v>343</v>
      </c>
      <c r="B200" s="710"/>
      <c r="C200" s="710"/>
      <c r="D200" s="710"/>
      <c r="E200" s="710"/>
      <c r="F200" s="710"/>
      <c r="G200" s="710"/>
      <c r="H200" s="710"/>
      <c r="I200" s="710"/>
      <c r="J200" s="710"/>
      <c r="K200" s="710"/>
      <c r="L200" s="710"/>
      <c r="M200" s="710"/>
      <c r="N200" s="710"/>
      <c r="O200" s="710"/>
      <c r="P200" s="710"/>
      <c r="Q200" s="710"/>
      <c r="R200" s="710"/>
      <c r="S200" s="710"/>
      <c r="T200" s="710"/>
      <c r="U200" s="710"/>
      <c r="V200" s="710"/>
      <c r="W200" s="710"/>
      <c r="X200" s="710"/>
      <c r="Y200" s="710"/>
      <c r="Z200" s="710"/>
      <c r="AA200" s="54"/>
      <c r="AB200" s="54"/>
      <c r="AC200" s="54"/>
    </row>
    <row r="201" spans="1:68" ht="16.5" hidden="1" customHeight="1" x14ac:dyDescent="0.25">
      <c r="A201" s="711" t="s">
        <v>344</v>
      </c>
      <c r="B201" s="711"/>
      <c r="C201" s="711"/>
      <c r="D201" s="711"/>
      <c r="E201" s="711"/>
      <c r="F201" s="711"/>
      <c r="G201" s="711"/>
      <c r="H201" s="711"/>
      <c r="I201" s="711"/>
      <c r="J201" s="711"/>
      <c r="K201" s="711"/>
      <c r="L201" s="711"/>
      <c r="M201" s="711"/>
      <c r="N201" s="711"/>
      <c r="O201" s="711"/>
      <c r="P201" s="711"/>
      <c r="Q201" s="711"/>
      <c r="R201" s="711"/>
      <c r="S201" s="711"/>
      <c r="T201" s="711"/>
      <c r="U201" s="711"/>
      <c r="V201" s="711"/>
      <c r="W201" s="711"/>
      <c r="X201" s="711"/>
      <c r="Y201" s="711"/>
      <c r="Z201" s="711"/>
      <c r="AA201" s="65"/>
      <c r="AB201" s="65"/>
      <c r="AC201" s="79"/>
    </row>
    <row r="202" spans="1:68" ht="14.25" hidden="1" customHeight="1" x14ac:dyDescent="0.25">
      <c r="A202" s="712" t="s">
        <v>130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3">
        <v>4607091383423</v>
      </c>
      <c r="E203" s="71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5"/>
      <c r="R203" s="715"/>
      <c r="S203" s="715"/>
      <c r="T203" s="71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3">
        <v>4680115888760</v>
      </c>
      <c r="E204" s="71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5"/>
      <c r="R204" s="715"/>
      <c r="S204" s="715"/>
      <c r="T204" s="71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3">
        <v>4680115888807</v>
      </c>
      <c r="E205" s="71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5"/>
      <c r="R205" s="715"/>
      <c r="S205" s="715"/>
      <c r="T205" s="71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3">
        <v>4680115888852</v>
      </c>
      <c r="E206" s="71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5"/>
      <c r="R206" s="715"/>
      <c r="S206" s="715"/>
      <c r="T206" s="71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3">
        <v>4680115886957</v>
      </c>
      <c r="E207" s="71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5"/>
      <c r="R207" s="715"/>
      <c r="S207" s="715"/>
      <c r="T207" s="71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713">
        <v>4680115885660</v>
      </c>
      <c r="E208" s="71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5"/>
      <c r="R208" s="715"/>
      <c r="S208" s="715"/>
      <c r="T208" s="71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713">
        <v>4680115886773</v>
      </c>
      <c r="E209" s="71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5"/>
      <c r="R209" s="715"/>
      <c r="S209" s="715"/>
      <c r="T209" s="71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720"/>
      <c r="B210" s="720"/>
      <c r="C210" s="720"/>
      <c r="D210" s="720"/>
      <c r="E210" s="720"/>
      <c r="F210" s="720"/>
      <c r="G210" s="720"/>
      <c r="H210" s="720"/>
      <c r="I210" s="720"/>
      <c r="J210" s="720"/>
      <c r="K210" s="720"/>
      <c r="L210" s="720"/>
      <c r="M210" s="720"/>
      <c r="N210" s="720"/>
      <c r="O210" s="721"/>
      <c r="P210" s="717" t="s">
        <v>40</v>
      </c>
      <c r="Q210" s="718"/>
      <c r="R210" s="718"/>
      <c r="S210" s="718"/>
      <c r="T210" s="718"/>
      <c r="U210" s="718"/>
      <c r="V210" s="71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0"/>
      <c r="B211" s="720"/>
      <c r="C211" s="720"/>
      <c r="D211" s="720"/>
      <c r="E211" s="720"/>
      <c r="F211" s="720"/>
      <c r="G211" s="720"/>
      <c r="H211" s="720"/>
      <c r="I211" s="720"/>
      <c r="J211" s="720"/>
      <c r="K211" s="720"/>
      <c r="L211" s="720"/>
      <c r="M211" s="720"/>
      <c r="N211" s="720"/>
      <c r="O211" s="721"/>
      <c r="P211" s="717" t="s">
        <v>40</v>
      </c>
      <c r="Q211" s="718"/>
      <c r="R211" s="718"/>
      <c r="S211" s="718"/>
      <c r="T211" s="718"/>
      <c r="U211" s="718"/>
      <c r="V211" s="71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1" t="s">
        <v>365</v>
      </c>
      <c r="B212" s="711"/>
      <c r="C212" s="711"/>
      <c r="D212" s="711"/>
      <c r="E212" s="711"/>
      <c r="F212" s="711"/>
      <c r="G212" s="711"/>
      <c r="H212" s="711"/>
      <c r="I212" s="711"/>
      <c r="J212" s="711"/>
      <c r="K212" s="711"/>
      <c r="L212" s="711"/>
      <c r="M212" s="711"/>
      <c r="N212" s="711"/>
      <c r="O212" s="711"/>
      <c r="P212" s="711"/>
      <c r="Q212" s="711"/>
      <c r="R212" s="711"/>
      <c r="S212" s="711"/>
      <c r="T212" s="711"/>
      <c r="U212" s="711"/>
      <c r="V212" s="711"/>
      <c r="W212" s="711"/>
      <c r="X212" s="711"/>
      <c r="Y212" s="711"/>
      <c r="Z212" s="711"/>
      <c r="AA212" s="65"/>
      <c r="AB212" s="65"/>
      <c r="AC212" s="79"/>
    </row>
    <row r="213" spans="1:68" ht="14.25" hidden="1" customHeight="1" x14ac:dyDescent="0.25">
      <c r="A213" s="712" t="s">
        <v>165</v>
      </c>
      <c r="B213" s="712"/>
      <c r="C213" s="712"/>
      <c r="D213" s="712"/>
      <c r="E213" s="712"/>
      <c r="F213" s="712"/>
      <c r="G213" s="712"/>
      <c r="H213" s="712"/>
      <c r="I213" s="712"/>
      <c r="J213" s="712"/>
      <c r="K213" s="712"/>
      <c r="L213" s="712"/>
      <c r="M213" s="712"/>
      <c r="N213" s="712"/>
      <c r="O213" s="712"/>
      <c r="P213" s="712"/>
      <c r="Q213" s="712"/>
      <c r="R213" s="712"/>
      <c r="S213" s="712"/>
      <c r="T213" s="712"/>
      <c r="U213" s="712"/>
      <c r="V213" s="712"/>
      <c r="W213" s="712"/>
      <c r="X213" s="712"/>
      <c r="Y213" s="712"/>
      <c r="Z213" s="71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3">
        <v>4680115886223</v>
      </c>
      <c r="E214" s="71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5"/>
      <c r="R214" s="715"/>
      <c r="S214" s="715"/>
      <c r="T214" s="71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0"/>
      <c r="B215" s="720"/>
      <c r="C215" s="720"/>
      <c r="D215" s="720"/>
      <c r="E215" s="720"/>
      <c r="F215" s="720"/>
      <c r="G215" s="720"/>
      <c r="H215" s="720"/>
      <c r="I215" s="720"/>
      <c r="J215" s="720"/>
      <c r="K215" s="720"/>
      <c r="L215" s="720"/>
      <c r="M215" s="720"/>
      <c r="N215" s="720"/>
      <c r="O215" s="721"/>
      <c r="P215" s="717" t="s">
        <v>40</v>
      </c>
      <c r="Q215" s="718"/>
      <c r="R215" s="718"/>
      <c r="S215" s="718"/>
      <c r="T215" s="718"/>
      <c r="U215" s="718"/>
      <c r="V215" s="71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0"/>
      <c r="B216" s="720"/>
      <c r="C216" s="720"/>
      <c r="D216" s="720"/>
      <c r="E216" s="720"/>
      <c r="F216" s="720"/>
      <c r="G216" s="720"/>
      <c r="H216" s="720"/>
      <c r="I216" s="720"/>
      <c r="J216" s="720"/>
      <c r="K216" s="720"/>
      <c r="L216" s="720"/>
      <c r="M216" s="720"/>
      <c r="N216" s="720"/>
      <c r="O216" s="721"/>
      <c r="P216" s="717" t="s">
        <v>40</v>
      </c>
      <c r="Q216" s="718"/>
      <c r="R216" s="718"/>
      <c r="S216" s="718"/>
      <c r="T216" s="718"/>
      <c r="U216" s="718"/>
      <c r="V216" s="71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2" t="s">
        <v>77</v>
      </c>
      <c r="B217" s="712"/>
      <c r="C217" s="712"/>
      <c r="D217" s="712"/>
      <c r="E217" s="712"/>
      <c r="F217" s="712"/>
      <c r="G217" s="712"/>
      <c r="H217" s="712"/>
      <c r="I217" s="712"/>
      <c r="J217" s="712"/>
      <c r="K217" s="712"/>
      <c r="L217" s="712"/>
      <c r="M217" s="712"/>
      <c r="N217" s="712"/>
      <c r="O217" s="712"/>
      <c r="P217" s="712"/>
      <c r="Q217" s="712"/>
      <c r="R217" s="712"/>
      <c r="S217" s="712"/>
      <c r="T217" s="712"/>
      <c r="U217" s="712"/>
      <c r="V217" s="712"/>
      <c r="W217" s="712"/>
      <c r="X217" s="712"/>
      <c r="Y217" s="712"/>
      <c r="Z217" s="71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713">
        <v>4680115880993</v>
      </c>
      <c r="E218" s="71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5"/>
      <c r="R218" s="715"/>
      <c r="S218" s="715"/>
      <c r="T218" s="716"/>
      <c r="U218" s="39" t="s">
        <v>46</v>
      </c>
      <c r="V218" s="39" t="s">
        <v>46</v>
      </c>
      <c r="W218" s="40" t="s">
        <v>0</v>
      </c>
      <c r="X218" s="58">
        <v>20</v>
      </c>
      <c r="Y218" s="55">
        <f t="shared" ref="Y218:Y231" si="26">IFERROR(IF(X218="",0,CEILING((X218/$H218),1)*$H218),"")</f>
        <v>21</v>
      </c>
      <c r="Z218" s="41">
        <f>IFERROR(IF(Y218=0,"",ROUNDUP(Y218/H218,0)*0.00902),"")</f>
        <v>4.5100000000000001E-2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21.19047619047619</v>
      </c>
      <c r="BN218" s="78">
        <f t="shared" ref="BN218:BN231" si="28">IFERROR(Y218*I218/H218,"0")</f>
        <v>22.25</v>
      </c>
      <c r="BO218" s="78">
        <f t="shared" ref="BO218:BO231" si="29">IFERROR(1/J218*(X218/H218),"0")</f>
        <v>3.6075036075036072E-2</v>
      </c>
      <c r="BP218" s="78">
        <f t="shared" ref="BP218:BP231" si="30">IFERROR(1/J218*(Y218/H218),"0")</f>
        <v>3.787878787878788E-2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713">
        <v>4680115881761</v>
      </c>
      <c r="E219" s="71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5"/>
      <c r="R219" s="715"/>
      <c r="S219" s="715"/>
      <c r="T219" s="71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713">
        <v>4680115881563</v>
      </c>
      <c r="E220" s="71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5"/>
      <c r="R220" s="715"/>
      <c r="S220" s="715"/>
      <c r="T220" s="71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3">
        <v>4680115881563</v>
      </c>
      <c r="E221" s="71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5"/>
      <c r="R221" s="715"/>
      <c r="S221" s="715"/>
      <c r="T221" s="7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713">
        <v>4680115887565</v>
      </c>
      <c r="E222" s="71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5"/>
      <c r="R222" s="715"/>
      <c r="S222" s="715"/>
      <c r="T222" s="71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713">
        <v>4680115880986</v>
      </c>
      <c r="E223" s="71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5"/>
      <c r="R223" s="715"/>
      <c r="S223" s="715"/>
      <c r="T223" s="7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713">
        <v>4680115887213</v>
      </c>
      <c r="E224" s="71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5"/>
      <c r="R224" s="715"/>
      <c r="S224" s="715"/>
      <c r="T224" s="71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713">
        <v>4680115881785</v>
      </c>
      <c r="E225" s="71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5"/>
      <c r="R225" s="715"/>
      <c r="S225" s="715"/>
      <c r="T225" s="71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713">
        <v>4680115888432</v>
      </c>
      <c r="E226" s="71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5"/>
      <c r="R226" s="715"/>
      <c r="S226" s="715"/>
      <c r="T226" s="71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customHeight="1" x14ac:dyDescent="0.25">
      <c r="A227" s="63" t="s">
        <v>392</v>
      </c>
      <c r="B227" s="63" t="s">
        <v>393</v>
      </c>
      <c r="C227" s="36">
        <v>4301031503</v>
      </c>
      <c r="D227" s="713">
        <v>4680115886537</v>
      </c>
      <c r="E227" s="71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5"/>
      <c r="R227" s="715"/>
      <c r="S227" s="715"/>
      <c r="T227" s="716"/>
      <c r="U227" s="39" t="s">
        <v>46</v>
      </c>
      <c r="V227" s="39" t="s">
        <v>46</v>
      </c>
      <c r="W227" s="40" t="s">
        <v>0</v>
      </c>
      <c r="X227" s="58">
        <v>9</v>
      </c>
      <c r="Y227" s="55">
        <f t="shared" si="26"/>
        <v>9</v>
      </c>
      <c r="Z227" s="41">
        <f>IFERROR(IF(Y227=0,"",ROUNDUP(Y227/H227,0)*0.00502),"")</f>
        <v>2.5100000000000001E-2</v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9.65</v>
      </c>
      <c r="BN227" s="78">
        <f t="shared" si="28"/>
        <v>9.65</v>
      </c>
      <c r="BO227" s="78">
        <f t="shared" si="29"/>
        <v>2.1367521367521368E-2</v>
      </c>
      <c r="BP227" s="78">
        <f t="shared" si="30"/>
        <v>2.1367521367521368E-2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713">
        <v>4680115887596</v>
      </c>
      <c r="E228" s="71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5"/>
      <c r="R228" s="715"/>
      <c r="S228" s="715"/>
      <c r="T228" s="71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713">
        <v>4680115881679</v>
      </c>
      <c r="E229" s="71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5"/>
      <c r="R229" s="715"/>
      <c r="S229" s="715"/>
      <c r="T229" s="71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3">
        <v>4680115880191</v>
      </c>
      <c r="E230" s="71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5"/>
      <c r="R230" s="715"/>
      <c r="S230" s="715"/>
      <c r="T230" s="71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3">
        <v>4680115883963</v>
      </c>
      <c r="E231" s="71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5"/>
      <c r="R231" s="715"/>
      <c r="S231" s="715"/>
      <c r="T231" s="71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0"/>
      <c r="B232" s="720"/>
      <c r="C232" s="720"/>
      <c r="D232" s="720"/>
      <c r="E232" s="720"/>
      <c r="F232" s="720"/>
      <c r="G232" s="720"/>
      <c r="H232" s="720"/>
      <c r="I232" s="720"/>
      <c r="J232" s="720"/>
      <c r="K232" s="720"/>
      <c r="L232" s="720"/>
      <c r="M232" s="720"/>
      <c r="N232" s="720"/>
      <c r="O232" s="721"/>
      <c r="P232" s="717" t="s">
        <v>40</v>
      </c>
      <c r="Q232" s="718"/>
      <c r="R232" s="718"/>
      <c r="S232" s="718"/>
      <c r="T232" s="718"/>
      <c r="U232" s="718"/>
      <c r="V232" s="719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9.7619047619047628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10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7.0199999999999999E-2</v>
      </c>
      <c r="AA232" s="67"/>
      <c r="AB232" s="67"/>
      <c r="AC232" s="67"/>
    </row>
    <row r="233" spans="1:68" x14ac:dyDescent="0.2">
      <c r="A233" s="720"/>
      <c r="B233" s="720"/>
      <c r="C233" s="720"/>
      <c r="D233" s="720"/>
      <c r="E233" s="720"/>
      <c r="F233" s="720"/>
      <c r="G233" s="720"/>
      <c r="H233" s="720"/>
      <c r="I233" s="720"/>
      <c r="J233" s="720"/>
      <c r="K233" s="720"/>
      <c r="L233" s="720"/>
      <c r="M233" s="720"/>
      <c r="N233" s="720"/>
      <c r="O233" s="721"/>
      <c r="P233" s="717" t="s">
        <v>40</v>
      </c>
      <c r="Q233" s="718"/>
      <c r="R233" s="718"/>
      <c r="S233" s="718"/>
      <c r="T233" s="718"/>
      <c r="U233" s="718"/>
      <c r="V233" s="719"/>
      <c r="W233" s="42" t="s">
        <v>0</v>
      </c>
      <c r="X233" s="43">
        <f>IFERROR(SUM(X218:X231),"0")</f>
        <v>29</v>
      </c>
      <c r="Y233" s="43">
        <f>IFERROR(SUM(Y218:Y231),"0")</f>
        <v>30</v>
      </c>
      <c r="Z233" s="42"/>
      <c r="AA233" s="67"/>
      <c r="AB233" s="67"/>
      <c r="AC233" s="67"/>
    </row>
    <row r="234" spans="1:68" ht="14.25" hidden="1" customHeight="1" x14ac:dyDescent="0.25">
      <c r="A234" s="712" t="s">
        <v>83</v>
      </c>
      <c r="B234" s="712"/>
      <c r="C234" s="712"/>
      <c r="D234" s="712"/>
      <c r="E234" s="712"/>
      <c r="F234" s="712"/>
      <c r="G234" s="712"/>
      <c r="H234" s="712"/>
      <c r="I234" s="712"/>
      <c r="J234" s="712"/>
      <c r="K234" s="712"/>
      <c r="L234" s="712"/>
      <c r="M234" s="712"/>
      <c r="N234" s="712"/>
      <c r="O234" s="712"/>
      <c r="P234" s="712"/>
      <c r="Q234" s="712"/>
      <c r="R234" s="712"/>
      <c r="S234" s="712"/>
      <c r="T234" s="712"/>
      <c r="U234" s="712"/>
      <c r="V234" s="712"/>
      <c r="W234" s="712"/>
      <c r="X234" s="712"/>
      <c r="Y234" s="712"/>
      <c r="Z234" s="71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3">
        <v>4680115888692</v>
      </c>
      <c r="E235" s="71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5"/>
      <c r="R235" s="715"/>
      <c r="S235" s="715"/>
      <c r="T235" s="71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3">
        <v>4680115888722</v>
      </c>
      <c r="E236" s="71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5"/>
      <c r="R236" s="715"/>
      <c r="S236" s="715"/>
      <c r="T236" s="71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713">
        <v>4680115888951</v>
      </c>
      <c r="E237" s="71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5"/>
      <c r="R237" s="715"/>
      <c r="S237" s="715"/>
      <c r="T237" s="71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3">
        <v>4680115888975</v>
      </c>
      <c r="E238" s="71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5"/>
      <c r="R238" s="715"/>
      <c r="S238" s="715"/>
      <c r="T238" s="71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713">
        <v>4680115888982</v>
      </c>
      <c r="E239" s="71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5"/>
      <c r="R239" s="715"/>
      <c r="S239" s="715"/>
      <c r="T239" s="71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0"/>
      <c r="B240" s="720"/>
      <c r="C240" s="720"/>
      <c r="D240" s="720"/>
      <c r="E240" s="720"/>
      <c r="F240" s="720"/>
      <c r="G240" s="720"/>
      <c r="H240" s="720"/>
      <c r="I240" s="720"/>
      <c r="J240" s="720"/>
      <c r="K240" s="720"/>
      <c r="L240" s="720"/>
      <c r="M240" s="720"/>
      <c r="N240" s="720"/>
      <c r="O240" s="721"/>
      <c r="P240" s="717" t="s">
        <v>40</v>
      </c>
      <c r="Q240" s="718"/>
      <c r="R240" s="718"/>
      <c r="S240" s="718"/>
      <c r="T240" s="718"/>
      <c r="U240" s="718"/>
      <c r="V240" s="719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0"/>
      <c r="B241" s="720"/>
      <c r="C241" s="720"/>
      <c r="D241" s="720"/>
      <c r="E241" s="720"/>
      <c r="F241" s="720"/>
      <c r="G241" s="720"/>
      <c r="H241" s="720"/>
      <c r="I241" s="720"/>
      <c r="J241" s="720"/>
      <c r="K241" s="720"/>
      <c r="L241" s="720"/>
      <c r="M241" s="720"/>
      <c r="N241" s="720"/>
      <c r="O241" s="721"/>
      <c r="P241" s="717" t="s">
        <v>40</v>
      </c>
      <c r="Q241" s="718"/>
      <c r="R241" s="718"/>
      <c r="S241" s="718"/>
      <c r="T241" s="718"/>
      <c r="U241" s="718"/>
      <c r="V241" s="719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2" t="s">
        <v>101</v>
      </c>
      <c r="B242" s="712"/>
      <c r="C242" s="712"/>
      <c r="D242" s="712"/>
      <c r="E242" s="712"/>
      <c r="F242" s="712"/>
      <c r="G242" s="712"/>
      <c r="H242" s="712"/>
      <c r="I242" s="712"/>
      <c r="J242" s="712"/>
      <c r="K242" s="712"/>
      <c r="L242" s="712"/>
      <c r="M242" s="712"/>
      <c r="N242" s="712"/>
      <c r="O242" s="712"/>
      <c r="P242" s="712"/>
      <c r="Q242" s="712"/>
      <c r="R242" s="712"/>
      <c r="S242" s="712"/>
      <c r="T242" s="712"/>
      <c r="U242" s="712"/>
      <c r="V242" s="712"/>
      <c r="W242" s="712"/>
      <c r="X242" s="712"/>
      <c r="Y242" s="712"/>
      <c r="Z242" s="71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713">
        <v>4680115886780</v>
      </c>
      <c r="E243" s="71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3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5"/>
      <c r="R243" s="715"/>
      <c r="S243" s="715"/>
      <c r="T243" s="71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713">
        <v>4680115886742</v>
      </c>
      <c r="E244" s="71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5"/>
      <c r="R244" s="715"/>
      <c r="S244" s="715"/>
      <c r="T244" s="71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713">
        <v>4680115886766</v>
      </c>
      <c r="E245" s="71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5"/>
      <c r="R245" s="715"/>
      <c r="S245" s="715"/>
      <c r="T245" s="71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0"/>
      <c r="B246" s="720"/>
      <c r="C246" s="720"/>
      <c r="D246" s="720"/>
      <c r="E246" s="720"/>
      <c r="F246" s="720"/>
      <c r="G246" s="720"/>
      <c r="H246" s="720"/>
      <c r="I246" s="720"/>
      <c r="J246" s="720"/>
      <c r="K246" s="720"/>
      <c r="L246" s="720"/>
      <c r="M246" s="720"/>
      <c r="N246" s="720"/>
      <c r="O246" s="721"/>
      <c r="P246" s="717" t="s">
        <v>40</v>
      </c>
      <c r="Q246" s="718"/>
      <c r="R246" s="718"/>
      <c r="S246" s="718"/>
      <c r="T246" s="718"/>
      <c r="U246" s="718"/>
      <c r="V246" s="719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0"/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1"/>
      <c r="P247" s="717" t="s">
        <v>40</v>
      </c>
      <c r="Q247" s="718"/>
      <c r="R247" s="718"/>
      <c r="S247" s="718"/>
      <c r="T247" s="718"/>
      <c r="U247" s="718"/>
      <c r="V247" s="719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2" t="s">
        <v>426</v>
      </c>
      <c r="B248" s="712"/>
      <c r="C248" s="712"/>
      <c r="D248" s="712"/>
      <c r="E248" s="712"/>
      <c r="F248" s="712"/>
      <c r="G248" s="712"/>
      <c r="H248" s="712"/>
      <c r="I248" s="712"/>
      <c r="J248" s="712"/>
      <c r="K248" s="712"/>
      <c r="L248" s="712"/>
      <c r="M248" s="712"/>
      <c r="N248" s="712"/>
      <c r="O248" s="712"/>
      <c r="P248" s="712"/>
      <c r="Q248" s="712"/>
      <c r="R248" s="712"/>
      <c r="S248" s="712"/>
      <c r="T248" s="712"/>
      <c r="U248" s="712"/>
      <c r="V248" s="712"/>
      <c r="W248" s="712"/>
      <c r="X248" s="712"/>
      <c r="Y248" s="712"/>
      <c r="Z248" s="71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3">
        <v>4680115886797</v>
      </c>
      <c r="E249" s="71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5"/>
      <c r="R249" s="715"/>
      <c r="S249" s="715"/>
      <c r="T249" s="71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0"/>
      <c r="B250" s="720"/>
      <c r="C250" s="720"/>
      <c r="D250" s="720"/>
      <c r="E250" s="720"/>
      <c r="F250" s="720"/>
      <c r="G250" s="720"/>
      <c r="H250" s="720"/>
      <c r="I250" s="720"/>
      <c r="J250" s="720"/>
      <c r="K250" s="720"/>
      <c r="L250" s="720"/>
      <c r="M250" s="720"/>
      <c r="N250" s="720"/>
      <c r="O250" s="721"/>
      <c r="P250" s="717" t="s">
        <v>40</v>
      </c>
      <c r="Q250" s="718"/>
      <c r="R250" s="718"/>
      <c r="S250" s="718"/>
      <c r="T250" s="718"/>
      <c r="U250" s="718"/>
      <c r="V250" s="71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0"/>
      <c r="B251" s="720"/>
      <c r="C251" s="720"/>
      <c r="D251" s="720"/>
      <c r="E251" s="720"/>
      <c r="F251" s="720"/>
      <c r="G251" s="720"/>
      <c r="H251" s="720"/>
      <c r="I251" s="720"/>
      <c r="J251" s="720"/>
      <c r="K251" s="720"/>
      <c r="L251" s="720"/>
      <c r="M251" s="720"/>
      <c r="N251" s="720"/>
      <c r="O251" s="721"/>
      <c r="P251" s="717" t="s">
        <v>40</v>
      </c>
      <c r="Q251" s="718"/>
      <c r="R251" s="718"/>
      <c r="S251" s="718"/>
      <c r="T251" s="718"/>
      <c r="U251" s="718"/>
      <c r="V251" s="71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1" t="s">
        <v>429</v>
      </c>
      <c r="B252" s="711"/>
      <c r="C252" s="711"/>
      <c r="D252" s="711"/>
      <c r="E252" s="711"/>
      <c r="F252" s="711"/>
      <c r="G252" s="711"/>
      <c r="H252" s="711"/>
      <c r="I252" s="711"/>
      <c r="J252" s="711"/>
      <c r="K252" s="711"/>
      <c r="L252" s="711"/>
      <c r="M252" s="711"/>
      <c r="N252" s="711"/>
      <c r="O252" s="711"/>
      <c r="P252" s="711"/>
      <c r="Q252" s="711"/>
      <c r="R252" s="711"/>
      <c r="S252" s="711"/>
      <c r="T252" s="711"/>
      <c r="U252" s="711"/>
      <c r="V252" s="711"/>
      <c r="W252" s="711"/>
      <c r="X252" s="711"/>
      <c r="Y252" s="711"/>
      <c r="Z252" s="711"/>
      <c r="AA252" s="65"/>
      <c r="AB252" s="65"/>
      <c r="AC252" s="79"/>
    </row>
    <row r="253" spans="1:68" ht="14.25" hidden="1" customHeight="1" x14ac:dyDescent="0.25">
      <c r="A253" s="712" t="s">
        <v>130</v>
      </c>
      <c r="B253" s="712"/>
      <c r="C253" s="712"/>
      <c r="D253" s="712"/>
      <c r="E253" s="712"/>
      <c r="F253" s="712"/>
      <c r="G253" s="712"/>
      <c r="H253" s="712"/>
      <c r="I253" s="712"/>
      <c r="J253" s="712"/>
      <c r="K253" s="712"/>
      <c r="L253" s="712"/>
      <c r="M253" s="712"/>
      <c r="N253" s="712"/>
      <c r="O253" s="712"/>
      <c r="P253" s="712"/>
      <c r="Q253" s="712"/>
      <c r="R253" s="712"/>
      <c r="S253" s="712"/>
      <c r="T253" s="712"/>
      <c r="U253" s="712"/>
      <c r="V253" s="712"/>
      <c r="W253" s="712"/>
      <c r="X253" s="712"/>
      <c r="Y253" s="712"/>
      <c r="Z253" s="71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3">
        <v>4680115881402</v>
      </c>
      <c r="E254" s="71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5"/>
      <c r="R254" s="715"/>
      <c r="S254" s="715"/>
      <c r="T254" s="71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3">
        <v>4680115881396</v>
      </c>
      <c r="E255" s="71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5"/>
      <c r="R255" s="715"/>
      <c r="S255" s="715"/>
      <c r="T255" s="71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0"/>
      <c r="B256" s="720"/>
      <c r="C256" s="720"/>
      <c r="D256" s="720"/>
      <c r="E256" s="720"/>
      <c r="F256" s="720"/>
      <c r="G256" s="720"/>
      <c r="H256" s="720"/>
      <c r="I256" s="720"/>
      <c r="J256" s="720"/>
      <c r="K256" s="720"/>
      <c r="L256" s="720"/>
      <c r="M256" s="720"/>
      <c r="N256" s="720"/>
      <c r="O256" s="721"/>
      <c r="P256" s="717" t="s">
        <v>40</v>
      </c>
      <c r="Q256" s="718"/>
      <c r="R256" s="718"/>
      <c r="S256" s="718"/>
      <c r="T256" s="718"/>
      <c r="U256" s="718"/>
      <c r="V256" s="719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0"/>
      <c r="B257" s="720"/>
      <c r="C257" s="720"/>
      <c r="D257" s="720"/>
      <c r="E257" s="720"/>
      <c r="F257" s="720"/>
      <c r="G257" s="720"/>
      <c r="H257" s="720"/>
      <c r="I257" s="720"/>
      <c r="J257" s="720"/>
      <c r="K257" s="720"/>
      <c r="L257" s="720"/>
      <c r="M257" s="720"/>
      <c r="N257" s="720"/>
      <c r="O257" s="721"/>
      <c r="P257" s="717" t="s">
        <v>40</v>
      </c>
      <c r="Q257" s="718"/>
      <c r="R257" s="718"/>
      <c r="S257" s="718"/>
      <c r="T257" s="718"/>
      <c r="U257" s="718"/>
      <c r="V257" s="719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2" t="s">
        <v>165</v>
      </c>
      <c r="B258" s="712"/>
      <c r="C258" s="712"/>
      <c r="D258" s="712"/>
      <c r="E258" s="712"/>
      <c r="F258" s="712"/>
      <c r="G258" s="712"/>
      <c r="H258" s="712"/>
      <c r="I258" s="712"/>
      <c r="J258" s="712"/>
      <c r="K258" s="712"/>
      <c r="L258" s="712"/>
      <c r="M258" s="712"/>
      <c r="N258" s="712"/>
      <c r="O258" s="712"/>
      <c r="P258" s="712"/>
      <c r="Q258" s="712"/>
      <c r="R258" s="712"/>
      <c r="S258" s="712"/>
      <c r="T258" s="712"/>
      <c r="U258" s="712"/>
      <c r="V258" s="712"/>
      <c r="W258" s="712"/>
      <c r="X258" s="712"/>
      <c r="Y258" s="712"/>
      <c r="Z258" s="71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3">
        <v>4680115882935</v>
      </c>
      <c r="E259" s="71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5"/>
      <c r="R259" s="715"/>
      <c r="S259" s="715"/>
      <c r="T259" s="71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3">
        <v>4680115880764</v>
      </c>
      <c r="E260" s="71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5"/>
      <c r="R260" s="715"/>
      <c r="S260" s="715"/>
      <c r="T260" s="71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0"/>
      <c r="B261" s="720"/>
      <c r="C261" s="720"/>
      <c r="D261" s="720"/>
      <c r="E261" s="720"/>
      <c r="F261" s="720"/>
      <c r="G261" s="720"/>
      <c r="H261" s="720"/>
      <c r="I261" s="720"/>
      <c r="J261" s="720"/>
      <c r="K261" s="720"/>
      <c r="L261" s="720"/>
      <c r="M261" s="720"/>
      <c r="N261" s="720"/>
      <c r="O261" s="721"/>
      <c r="P261" s="717" t="s">
        <v>40</v>
      </c>
      <c r="Q261" s="718"/>
      <c r="R261" s="718"/>
      <c r="S261" s="718"/>
      <c r="T261" s="718"/>
      <c r="U261" s="718"/>
      <c r="V261" s="71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0"/>
      <c r="B262" s="720"/>
      <c r="C262" s="720"/>
      <c r="D262" s="720"/>
      <c r="E262" s="720"/>
      <c r="F262" s="720"/>
      <c r="G262" s="720"/>
      <c r="H262" s="720"/>
      <c r="I262" s="720"/>
      <c r="J262" s="720"/>
      <c r="K262" s="720"/>
      <c r="L262" s="720"/>
      <c r="M262" s="720"/>
      <c r="N262" s="720"/>
      <c r="O262" s="721"/>
      <c r="P262" s="717" t="s">
        <v>40</v>
      </c>
      <c r="Q262" s="718"/>
      <c r="R262" s="718"/>
      <c r="S262" s="718"/>
      <c r="T262" s="718"/>
      <c r="U262" s="718"/>
      <c r="V262" s="71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2" t="s">
        <v>77</v>
      </c>
      <c r="B263" s="712"/>
      <c r="C263" s="712"/>
      <c r="D263" s="712"/>
      <c r="E263" s="712"/>
      <c r="F263" s="712"/>
      <c r="G263" s="712"/>
      <c r="H263" s="712"/>
      <c r="I263" s="712"/>
      <c r="J263" s="712"/>
      <c r="K263" s="712"/>
      <c r="L263" s="712"/>
      <c r="M263" s="712"/>
      <c r="N263" s="712"/>
      <c r="O263" s="712"/>
      <c r="P263" s="712"/>
      <c r="Q263" s="712"/>
      <c r="R263" s="712"/>
      <c r="S263" s="712"/>
      <c r="T263" s="712"/>
      <c r="U263" s="712"/>
      <c r="V263" s="712"/>
      <c r="W263" s="712"/>
      <c r="X263" s="712"/>
      <c r="Y263" s="712"/>
      <c r="Z263" s="71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713">
        <v>4680115882683</v>
      </c>
      <c r="E264" s="71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5"/>
      <c r="R264" s="715"/>
      <c r="S264" s="715"/>
      <c r="T264" s="716"/>
      <c r="U264" s="39" t="s">
        <v>46</v>
      </c>
      <c r="V264" s="39" t="s">
        <v>46</v>
      </c>
      <c r="W264" s="40" t="s">
        <v>0</v>
      </c>
      <c r="X264" s="58">
        <v>80</v>
      </c>
      <c r="Y264" s="55">
        <f t="shared" ref="Y264:Y271" si="31">IFERROR(IF(X264="",0,CEILING((X264/$H264),1)*$H264),"")</f>
        <v>81</v>
      </c>
      <c r="Z264" s="41">
        <f>IFERROR(IF(Y264=0,"",ROUNDUP(Y264/H264,0)*0.00902),"")</f>
        <v>0.1353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82.81481481481481</v>
      </c>
      <c r="BN264" s="78">
        <f t="shared" ref="BN264:BN271" si="33">IFERROR(Y264*I264/H264,"0")</f>
        <v>83.85</v>
      </c>
      <c r="BO264" s="78">
        <f t="shared" ref="BO264:BO271" si="34">IFERROR(1/J264*(X264/H264),"0")</f>
        <v>0.11223344556677889</v>
      </c>
      <c r="BP264" s="78">
        <f t="shared" ref="BP264:BP271" si="35">IFERROR(1/J264*(Y264/H264),"0")</f>
        <v>0.11363636363636363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3">
        <v>4680115882690</v>
      </c>
      <c r="E265" s="71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5"/>
      <c r="R265" s="715"/>
      <c r="S265" s="715"/>
      <c r="T265" s="716"/>
      <c r="U265" s="39" t="s">
        <v>46</v>
      </c>
      <c r="V265" s="39" t="s">
        <v>46</v>
      </c>
      <c r="W265" s="40" t="s">
        <v>0</v>
      </c>
      <c r="X265" s="58">
        <v>80</v>
      </c>
      <c r="Y265" s="55">
        <f t="shared" si="31"/>
        <v>81</v>
      </c>
      <c r="Z265" s="41">
        <f>IFERROR(IF(Y265=0,"",ROUNDUP(Y265/H265,0)*0.00902),"")</f>
        <v>0.1353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82.81481481481481</v>
      </c>
      <c r="BN265" s="78">
        <f t="shared" si="33"/>
        <v>83.85</v>
      </c>
      <c r="BO265" s="78">
        <f t="shared" si="34"/>
        <v>0.11223344556677889</v>
      </c>
      <c r="BP265" s="78">
        <f t="shared" si="35"/>
        <v>0.11363636363636363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713">
        <v>4680115882669</v>
      </c>
      <c r="E266" s="71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5"/>
      <c r="R266" s="715"/>
      <c r="S266" s="715"/>
      <c r="T266" s="716"/>
      <c r="U266" s="39" t="s">
        <v>46</v>
      </c>
      <c r="V266" s="39" t="s">
        <v>46</v>
      </c>
      <c r="W266" s="40" t="s">
        <v>0</v>
      </c>
      <c r="X266" s="58">
        <v>80</v>
      </c>
      <c r="Y266" s="55">
        <f t="shared" si="31"/>
        <v>81</v>
      </c>
      <c r="Z266" s="41">
        <f>IFERROR(IF(Y266=0,"",ROUNDUP(Y266/H266,0)*0.00902),"")</f>
        <v>0.1353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82.81481481481481</v>
      </c>
      <c r="BN266" s="78">
        <f t="shared" si="33"/>
        <v>83.85</v>
      </c>
      <c r="BO266" s="78">
        <f t="shared" si="34"/>
        <v>0.11223344556677889</v>
      </c>
      <c r="BP266" s="78">
        <f t="shared" si="35"/>
        <v>0.11363636363636363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3">
        <v>4680115882676</v>
      </c>
      <c r="E267" s="71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5"/>
      <c r="R267" s="715"/>
      <c r="S267" s="715"/>
      <c r="T267" s="716"/>
      <c r="U267" s="39" t="s">
        <v>46</v>
      </c>
      <c r="V267" s="39" t="s">
        <v>46</v>
      </c>
      <c r="W267" s="40" t="s">
        <v>0</v>
      </c>
      <c r="X267" s="58">
        <v>80</v>
      </c>
      <c r="Y267" s="55">
        <f t="shared" si="31"/>
        <v>81</v>
      </c>
      <c r="Z267" s="41">
        <f>IFERROR(IF(Y267=0,"",ROUNDUP(Y267/H267,0)*0.00902),"")</f>
        <v>0.1353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82.81481481481481</v>
      </c>
      <c r="BN267" s="78">
        <f t="shared" si="33"/>
        <v>83.85</v>
      </c>
      <c r="BO267" s="78">
        <f t="shared" si="34"/>
        <v>0.11223344556677889</v>
      </c>
      <c r="BP267" s="78">
        <f t="shared" si="35"/>
        <v>0.11363636363636363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713">
        <v>4680115884014</v>
      </c>
      <c r="E268" s="71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5"/>
      <c r="R268" s="715"/>
      <c r="S268" s="715"/>
      <c r="T268" s="716"/>
      <c r="U268" s="39" t="s">
        <v>46</v>
      </c>
      <c r="V268" s="39" t="s">
        <v>46</v>
      </c>
      <c r="W268" s="40" t="s">
        <v>0</v>
      </c>
      <c r="X268" s="58">
        <v>30</v>
      </c>
      <c r="Y268" s="55">
        <f t="shared" si="31"/>
        <v>30.6</v>
      </c>
      <c r="Z268" s="41">
        <f>IFERROR(IF(Y268=0,"",ROUNDUP(Y268/H268,0)*0.00502),"")</f>
        <v>8.5339999999999999E-2</v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32.166666666666664</v>
      </c>
      <c r="BN268" s="78">
        <f t="shared" si="33"/>
        <v>32.81</v>
      </c>
      <c r="BO268" s="78">
        <f t="shared" si="34"/>
        <v>7.122507122507124E-2</v>
      </c>
      <c r="BP268" s="78">
        <f t="shared" si="35"/>
        <v>7.2649572649572655E-2</v>
      </c>
    </row>
    <row r="269" spans="1:68" ht="27" customHeight="1" x14ac:dyDescent="0.25">
      <c r="A269" s="63" t="s">
        <v>454</v>
      </c>
      <c r="B269" s="63" t="s">
        <v>455</v>
      </c>
      <c r="C269" s="36">
        <v>4301031222</v>
      </c>
      <c r="D269" s="713">
        <v>4680115884007</v>
      </c>
      <c r="E269" s="71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5"/>
      <c r="R269" s="715"/>
      <c r="S269" s="715"/>
      <c r="T269" s="716"/>
      <c r="U269" s="39" t="s">
        <v>46</v>
      </c>
      <c r="V269" s="39" t="s">
        <v>46</v>
      </c>
      <c r="W269" s="40" t="s">
        <v>0</v>
      </c>
      <c r="X269" s="58">
        <v>30</v>
      </c>
      <c r="Y269" s="55">
        <f t="shared" si="31"/>
        <v>30.6</v>
      </c>
      <c r="Z269" s="41">
        <f>IFERROR(IF(Y269=0,"",ROUNDUP(Y269/H269,0)*0.00502),"")</f>
        <v>8.5339999999999999E-2</v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31.666666666666664</v>
      </c>
      <c r="BN269" s="78">
        <f t="shared" si="33"/>
        <v>32.299999999999997</v>
      </c>
      <c r="BO269" s="78">
        <f t="shared" si="34"/>
        <v>7.122507122507124E-2</v>
      </c>
      <c r="BP269" s="78">
        <f t="shared" si="35"/>
        <v>7.2649572649572655E-2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713">
        <v>4680115884038</v>
      </c>
      <c r="E270" s="71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5"/>
      <c r="R270" s="715"/>
      <c r="S270" s="715"/>
      <c r="T270" s="716"/>
      <c r="U270" s="39" t="s">
        <v>46</v>
      </c>
      <c r="V270" s="39" t="s">
        <v>46</v>
      </c>
      <c r="W270" s="40" t="s">
        <v>0</v>
      </c>
      <c r="X270" s="58">
        <v>30</v>
      </c>
      <c r="Y270" s="55">
        <f t="shared" si="31"/>
        <v>30.6</v>
      </c>
      <c r="Z270" s="41">
        <f>IFERROR(IF(Y270=0,"",ROUNDUP(Y270/H270,0)*0.00502),"")</f>
        <v>8.5339999999999999E-2</v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31.666666666666664</v>
      </c>
      <c r="BN270" s="78">
        <f t="shared" si="33"/>
        <v>32.299999999999997</v>
      </c>
      <c r="BO270" s="78">
        <f t="shared" si="34"/>
        <v>7.122507122507124E-2</v>
      </c>
      <c r="BP270" s="78">
        <f t="shared" si="35"/>
        <v>7.2649572649572655E-2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713">
        <v>4680115884021</v>
      </c>
      <c r="E271" s="71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5"/>
      <c r="R271" s="715"/>
      <c r="S271" s="715"/>
      <c r="T271" s="716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31"/>
        <v>30.6</v>
      </c>
      <c r="Z271" s="41">
        <f>IFERROR(IF(Y271=0,"",ROUNDUP(Y271/H271,0)*0.00502),"")</f>
        <v>8.5339999999999999E-2</v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31.666666666666664</v>
      </c>
      <c r="BN271" s="78">
        <f t="shared" si="33"/>
        <v>32.299999999999997</v>
      </c>
      <c r="BO271" s="78">
        <f t="shared" si="34"/>
        <v>7.122507122507124E-2</v>
      </c>
      <c r="BP271" s="78">
        <f t="shared" si="35"/>
        <v>7.2649572649572655E-2</v>
      </c>
    </row>
    <row r="272" spans="1:68" x14ac:dyDescent="0.2">
      <c r="A272" s="720"/>
      <c r="B272" s="720"/>
      <c r="C272" s="720"/>
      <c r="D272" s="720"/>
      <c r="E272" s="720"/>
      <c r="F272" s="720"/>
      <c r="G272" s="720"/>
      <c r="H272" s="720"/>
      <c r="I272" s="720"/>
      <c r="J272" s="720"/>
      <c r="K272" s="720"/>
      <c r="L272" s="720"/>
      <c r="M272" s="720"/>
      <c r="N272" s="720"/>
      <c r="O272" s="721"/>
      <c r="P272" s="717" t="s">
        <v>40</v>
      </c>
      <c r="Q272" s="718"/>
      <c r="R272" s="718"/>
      <c r="S272" s="718"/>
      <c r="T272" s="718"/>
      <c r="U272" s="718"/>
      <c r="V272" s="719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125.92592592592594</v>
      </c>
      <c r="Y272" s="43">
        <f>IFERROR(Y264/H264,"0")+IFERROR(Y265/H265,"0")+IFERROR(Y266/H266,"0")+IFERROR(Y267/H267,"0")+IFERROR(Y268/H268,"0")+IFERROR(Y269/H269,"0")+IFERROR(Y270/H270,"0")+IFERROR(Y271/H271,"0")</f>
        <v>128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0.8825599999999999</v>
      </c>
      <c r="AA272" s="67"/>
      <c r="AB272" s="67"/>
      <c r="AC272" s="67"/>
    </row>
    <row r="273" spans="1:68" x14ac:dyDescent="0.2">
      <c r="A273" s="720"/>
      <c r="B273" s="720"/>
      <c r="C273" s="720"/>
      <c r="D273" s="720"/>
      <c r="E273" s="720"/>
      <c r="F273" s="720"/>
      <c r="G273" s="720"/>
      <c r="H273" s="720"/>
      <c r="I273" s="720"/>
      <c r="J273" s="720"/>
      <c r="K273" s="720"/>
      <c r="L273" s="720"/>
      <c r="M273" s="720"/>
      <c r="N273" s="720"/>
      <c r="O273" s="721"/>
      <c r="P273" s="717" t="s">
        <v>40</v>
      </c>
      <c r="Q273" s="718"/>
      <c r="R273" s="718"/>
      <c r="S273" s="718"/>
      <c r="T273" s="718"/>
      <c r="U273" s="718"/>
      <c r="V273" s="719"/>
      <c r="W273" s="42" t="s">
        <v>0</v>
      </c>
      <c r="X273" s="43">
        <f>IFERROR(SUM(X264:X271),"0")</f>
        <v>440</v>
      </c>
      <c r="Y273" s="43">
        <f>IFERROR(SUM(Y264:Y271),"0")</f>
        <v>446.40000000000009</v>
      </c>
      <c r="Z273" s="42"/>
      <c r="AA273" s="67"/>
      <c r="AB273" s="67"/>
      <c r="AC273" s="67"/>
    </row>
    <row r="274" spans="1:68" ht="14.25" hidden="1" customHeight="1" x14ac:dyDescent="0.25">
      <c r="A274" s="712" t="s">
        <v>83</v>
      </c>
      <c r="B274" s="712"/>
      <c r="C274" s="712"/>
      <c r="D274" s="712"/>
      <c r="E274" s="712"/>
      <c r="F274" s="712"/>
      <c r="G274" s="712"/>
      <c r="H274" s="712"/>
      <c r="I274" s="712"/>
      <c r="J274" s="712"/>
      <c r="K274" s="712"/>
      <c r="L274" s="712"/>
      <c r="M274" s="712"/>
      <c r="N274" s="712"/>
      <c r="O274" s="712"/>
      <c r="P274" s="712"/>
      <c r="Q274" s="712"/>
      <c r="R274" s="712"/>
      <c r="S274" s="712"/>
      <c r="T274" s="712"/>
      <c r="U274" s="712"/>
      <c r="V274" s="712"/>
      <c r="W274" s="712"/>
      <c r="X274" s="712"/>
      <c r="Y274" s="712"/>
      <c r="Z274" s="712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713">
        <v>4680115881594</v>
      </c>
      <c r="E275" s="71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5"/>
      <c r="R275" s="715"/>
      <c r="S275" s="715"/>
      <c r="T275" s="716"/>
      <c r="U275" s="39" t="s">
        <v>46</v>
      </c>
      <c r="V275" s="39" t="s">
        <v>46</v>
      </c>
      <c r="W275" s="40" t="s">
        <v>0</v>
      </c>
      <c r="X275" s="58">
        <v>15</v>
      </c>
      <c r="Y275" s="55">
        <f t="shared" ref="Y275:Y285" si="36">IFERROR(IF(X275="",0,CEILING((X275/$H275),1)*$H275),"")</f>
        <v>16.2</v>
      </c>
      <c r="Z275" s="41">
        <f>IFERROR(IF(Y275=0,"",ROUNDUP(Y275/H275,0)*0.01898),"")</f>
        <v>3.7960000000000001E-2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15.914814814814815</v>
      </c>
      <c r="BN275" s="78">
        <f t="shared" ref="BN275:BN285" si="38">IFERROR(Y275*I275/H275,"0")</f>
        <v>17.187999999999999</v>
      </c>
      <c r="BO275" s="78">
        <f t="shared" ref="BO275:BO285" si="39">IFERROR(1/J275*(X275/H275),"0")</f>
        <v>2.8935185185185185E-2</v>
      </c>
      <c r="BP275" s="78">
        <f t="shared" ref="BP275:BP285" si="40">IFERROR(1/J275*(Y275/H275),"0")</f>
        <v>3.125E-2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713">
        <v>4680115881617</v>
      </c>
      <c r="E276" s="71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5"/>
      <c r="R276" s="715"/>
      <c r="S276" s="715"/>
      <c r="T276" s="71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713">
        <v>4680115880573</v>
      </c>
      <c r="E277" s="71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5"/>
      <c r="R277" s="715"/>
      <c r="S277" s="715"/>
      <c r="T277" s="71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713">
        <v>4680115882195</v>
      </c>
      <c r="E278" s="71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5"/>
      <c r="R278" s="715"/>
      <c r="S278" s="715"/>
      <c r="T278" s="716"/>
      <c r="U278" s="39" t="s">
        <v>46</v>
      </c>
      <c r="V278" s="39" t="s">
        <v>46</v>
      </c>
      <c r="W278" s="40" t="s">
        <v>0</v>
      </c>
      <c r="X278" s="58">
        <v>12</v>
      </c>
      <c r="Y278" s="55">
        <f t="shared" si="36"/>
        <v>12</v>
      </c>
      <c r="Z278" s="41">
        <f>IFERROR(IF(Y278=0,"",ROUNDUP(Y278/H278,0)*0.00651),"")</f>
        <v>3.2550000000000003E-2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13.35</v>
      </c>
      <c r="BN278" s="78">
        <f t="shared" si="38"/>
        <v>13.35</v>
      </c>
      <c r="BO278" s="78">
        <f t="shared" si="39"/>
        <v>2.7472527472527476E-2</v>
      </c>
      <c r="BP278" s="78">
        <f t="shared" si="40"/>
        <v>2.7472527472527476E-2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3">
        <v>4680115882607</v>
      </c>
      <c r="E279" s="71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5"/>
      <c r="R279" s="715"/>
      <c r="S279" s="715"/>
      <c r="T279" s="71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713">
        <v>4680115880092</v>
      </c>
      <c r="E280" s="71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5"/>
      <c r="R280" s="715"/>
      <c r="S280" s="715"/>
      <c r="T280" s="71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3">
        <v>4680115889064</v>
      </c>
      <c r="E281" s="71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5"/>
      <c r="R281" s="715"/>
      <c r="S281" s="715"/>
      <c r="T281" s="71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713">
        <v>4680115880221</v>
      </c>
      <c r="E282" s="71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5"/>
      <c r="R282" s="715"/>
      <c r="S282" s="715"/>
      <c r="T282" s="716"/>
      <c r="U282" s="39" t="s">
        <v>46</v>
      </c>
      <c r="V282" s="39" t="s">
        <v>46</v>
      </c>
      <c r="W282" s="40" t="s">
        <v>0</v>
      </c>
      <c r="X282" s="58">
        <v>8</v>
      </c>
      <c r="Y282" s="55">
        <f t="shared" si="36"/>
        <v>9.6</v>
      </c>
      <c r="Z282" s="41">
        <f>IFERROR(IF(Y282=0,"",ROUNDUP(Y282/H282,0)*0.00651),"")</f>
        <v>2.6040000000000001E-2</v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8.8400000000000016</v>
      </c>
      <c r="BN282" s="78">
        <f t="shared" si="38"/>
        <v>10.608000000000001</v>
      </c>
      <c r="BO282" s="78">
        <f t="shared" si="39"/>
        <v>1.8315018315018316E-2</v>
      </c>
      <c r="BP282" s="78">
        <f t="shared" si="40"/>
        <v>2.197802197802198E-2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713">
        <v>4680115880504</v>
      </c>
      <c r="E283" s="71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5"/>
      <c r="R283" s="715"/>
      <c r="S283" s="715"/>
      <c r="T283" s="716"/>
      <c r="U283" s="39" t="s">
        <v>46</v>
      </c>
      <c r="V283" s="39" t="s">
        <v>46</v>
      </c>
      <c r="W283" s="40" t="s">
        <v>0</v>
      </c>
      <c r="X283" s="58">
        <v>8</v>
      </c>
      <c r="Y283" s="55">
        <f t="shared" si="36"/>
        <v>9.6</v>
      </c>
      <c r="Z283" s="41">
        <f>IFERROR(IF(Y283=0,"",ROUNDUP(Y283/H283,0)*0.00651),"")</f>
        <v>2.6040000000000001E-2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8.8400000000000016</v>
      </c>
      <c r="BN283" s="78">
        <f t="shared" si="38"/>
        <v>10.608000000000001</v>
      </c>
      <c r="BO283" s="78">
        <f t="shared" si="39"/>
        <v>1.8315018315018316E-2</v>
      </c>
      <c r="BP283" s="78">
        <f t="shared" si="40"/>
        <v>2.197802197802198E-2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713">
        <v>4680115882164</v>
      </c>
      <c r="E284" s="71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5"/>
      <c r="R284" s="715"/>
      <c r="S284" s="715"/>
      <c r="T284" s="71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3">
        <v>4680115888340</v>
      </c>
      <c r="E285" s="71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5"/>
      <c r="R285" s="715"/>
      <c r="S285" s="715"/>
      <c r="T285" s="71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0"/>
      <c r="B286" s="720"/>
      <c r="C286" s="720"/>
      <c r="D286" s="720"/>
      <c r="E286" s="720"/>
      <c r="F286" s="720"/>
      <c r="G286" s="720"/>
      <c r="H286" s="720"/>
      <c r="I286" s="720"/>
      <c r="J286" s="720"/>
      <c r="K286" s="720"/>
      <c r="L286" s="720"/>
      <c r="M286" s="720"/>
      <c r="N286" s="720"/>
      <c r="O286" s="721"/>
      <c r="P286" s="717" t="s">
        <v>40</v>
      </c>
      <c r="Q286" s="718"/>
      <c r="R286" s="718"/>
      <c r="S286" s="718"/>
      <c r="T286" s="718"/>
      <c r="U286" s="718"/>
      <c r="V286" s="719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13.518518518518519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15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0.12259</v>
      </c>
      <c r="AA286" s="67"/>
      <c r="AB286" s="67"/>
      <c r="AC286" s="67"/>
    </row>
    <row r="287" spans="1:68" x14ac:dyDescent="0.2">
      <c r="A287" s="720"/>
      <c r="B287" s="720"/>
      <c r="C287" s="720"/>
      <c r="D287" s="720"/>
      <c r="E287" s="720"/>
      <c r="F287" s="720"/>
      <c r="G287" s="720"/>
      <c r="H287" s="720"/>
      <c r="I287" s="720"/>
      <c r="J287" s="720"/>
      <c r="K287" s="720"/>
      <c r="L287" s="720"/>
      <c r="M287" s="720"/>
      <c r="N287" s="720"/>
      <c r="O287" s="721"/>
      <c r="P287" s="717" t="s">
        <v>40</v>
      </c>
      <c r="Q287" s="718"/>
      <c r="R287" s="718"/>
      <c r="S287" s="718"/>
      <c r="T287" s="718"/>
      <c r="U287" s="718"/>
      <c r="V287" s="719"/>
      <c r="W287" s="42" t="s">
        <v>0</v>
      </c>
      <c r="X287" s="43">
        <f>IFERROR(SUM(X275:X285),"0")</f>
        <v>43</v>
      </c>
      <c r="Y287" s="43">
        <f>IFERROR(SUM(Y275:Y285),"0")</f>
        <v>47.4</v>
      </c>
      <c r="Z287" s="42"/>
      <c r="AA287" s="67"/>
      <c r="AB287" s="67"/>
      <c r="AC287" s="67"/>
    </row>
    <row r="288" spans="1:68" ht="14.25" hidden="1" customHeight="1" x14ac:dyDescent="0.25">
      <c r="A288" s="712" t="s">
        <v>183</v>
      </c>
      <c r="B288" s="712"/>
      <c r="C288" s="712"/>
      <c r="D288" s="712"/>
      <c r="E288" s="712"/>
      <c r="F288" s="712"/>
      <c r="G288" s="712"/>
      <c r="H288" s="712"/>
      <c r="I288" s="712"/>
      <c r="J288" s="712"/>
      <c r="K288" s="712"/>
      <c r="L288" s="712"/>
      <c r="M288" s="712"/>
      <c r="N288" s="712"/>
      <c r="O288" s="712"/>
      <c r="P288" s="712"/>
      <c r="Q288" s="712"/>
      <c r="R288" s="712"/>
      <c r="S288" s="712"/>
      <c r="T288" s="712"/>
      <c r="U288" s="712"/>
      <c r="V288" s="712"/>
      <c r="W288" s="712"/>
      <c r="X288" s="712"/>
      <c r="Y288" s="712"/>
      <c r="Z288" s="71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713">
        <v>4680115880818</v>
      </c>
      <c r="E289" s="71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5"/>
      <c r="R289" s="715"/>
      <c r="S289" s="715"/>
      <c r="T289" s="71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713">
        <v>4680115880801</v>
      </c>
      <c r="E290" s="71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5"/>
      <c r="R290" s="715"/>
      <c r="S290" s="715"/>
      <c r="T290" s="71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0"/>
      <c r="B291" s="720"/>
      <c r="C291" s="720"/>
      <c r="D291" s="720"/>
      <c r="E291" s="720"/>
      <c r="F291" s="720"/>
      <c r="G291" s="720"/>
      <c r="H291" s="720"/>
      <c r="I291" s="720"/>
      <c r="J291" s="720"/>
      <c r="K291" s="720"/>
      <c r="L291" s="720"/>
      <c r="M291" s="720"/>
      <c r="N291" s="720"/>
      <c r="O291" s="721"/>
      <c r="P291" s="717" t="s">
        <v>40</v>
      </c>
      <c r="Q291" s="718"/>
      <c r="R291" s="718"/>
      <c r="S291" s="718"/>
      <c r="T291" s="718"/>
      <c r="U291" s="718"/>
      <c r="V291" s="719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0"/>
      <c r="B292" s="720"/>
      <c r="C292" s="720"/>
      <c r="D292" s="720"/>
      <c r="E292" s="720"/>
      <c r="F292" s="720"/>
      <c r="G292" s="720"/>
      <c r="H292" s="720"/>
      <c r="I292" s="720"/>
      <c r="J292" s="720"/>
      <c r="K292" s="720"/>
      <c r="L292" s="720"/>
      <c r="M292" s="720"/>
      <c r="N292" s="720"/>
      <c r="O292" s="721"/>
      <c r="P292" s="717" t="s">
        <v>40</v>
      </c>
      <c r="Q292" s="718"/>
      <c r="R292" s="718"/>
      <c r="S292" s="718"/>
      <c r="T292" s="718"/>
      <c r="U292" s="718"/>
      <c r="V292" s="719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1" t="s">
        <v>495</v>
      </c>
      <c r="B293" s="711"/>
      <c r="C293" s="711"/>
      <c r="D293" s="711"/>
      <c r="E293" s="711"/>
      <c r="F293" s="711"/>
      <c r="G293" s="711"/>
      <c r="H293" s="711"/>
      <c r="I293" s="711"/>
      <c r="J293" s="711"/>
      <c r="K293" s="711"/>
      <c r="L293" s="711"/>
      <c r="M293" s="711"/>
      <c r="N293" s="711"/>
      <c r="O293" s="711"/>
      <c r="P293" s="711"/>
      <c r="Q293" s="711"/>
      <c r="R293" s="711"/>
      <c r="S293" s="711"/>
      <c r="T293" s="711"/>
      <c r="U293" s="711"/>
      <c r="V293" s="711"/>
      <c r="W293" s="711"/>
      <c r="X293" s="711"/>
      <c r="Y293" s="711"/>
      <c r="Z293" s="711"/>
      <c r="AA293" s="65"/>
      <c r="AB293" s="65"/>
      <c r="AC293" s="79"/>
    </row>
    <row r="294" spans="1:68" ht="14.25" hidden="1" customHeight="1" x14ac:dyDescent="0.25">
      <c r="A294" s="712" t="s">
        <v>130</v>
      </c>
      <c r="B294" s="712"/>
      <c r="C294" s="712"/>
      <c r="D294" s="712"/>
      <c r="E294" s="712"/>
      <c r="F294" s="712"/>
      <c r="G294" s="712"/>
      <c r="H294" s="712"/>
      <c r="I294" s="712"/>
      <c r="J294" s="712"/>
      <c r="K294" s="712"/>
      <c r="L294" s="712"/>
      <c r="M294" s="712"/>
      <c r="N294" s="712"/>
      <c r="O294" s="712"/>
      <c r="P294" s="712"/>
      <c r="Q294" s="712"/>
      <c r="R294" s="712"/>
      <c r="S294" s="712"/>
      <c r="T294" s="712"/>
      <c r="U294" s="712"/>
      <c r="V294" s="712"/>
      <c r="W294" s="712"/>
      <c r="X294" s="712"/>
      <c r="Y294" s="712"/>
      <c r="Z294" s="71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3">
        <v>4680115884137</v>
      </c>
      <c r="E295" s="71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5"/>
      <c r="R295" s="715"/>
      <c r="S295" s="715"/>
      <c r="T295" s="71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3">
        <v>4680115884236</v>
      </c>
      <c r="E296" s="71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5"/>
      <c r="R296" s="715"/>
      <c r="S296" s="715"/>
      <c r="T296" s="71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3">
        <v>4680115884175</v>
      </c>
      <c r="E297" s="71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5"/>
      <c r="R297" s="715"/>
      <c r="S297" s="715"/>
      <c r="T297" s="71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713">
        <v>4680115884144</v>
      </c>
      <c r="E298" s="71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5"/>
      <c r="R298" s="715"/>
      <c r="S298" s="715"/>
      <c r="T298" s="71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3">
        <v>4680115886551</v>
      </c>
      <c r="E299" s="71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5"/>
      <c r="R299" s="715"/>
      <c r="S299" s="715"/>
      <c r="T299" s="71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3">
        <v>4680115887282</v>
      </c>
      <c r="E300" s="71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5"/>
      <c r="R300" s="715"/>
      <c r="S300" s="715"/>
      <c r="T300" s="71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713">
        <v>4680115884205</v>
      </c>
      <c r="E301" s="71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5"/>
      <c r="R301" s="715"/>
      <c r="S301" s="715"/>
      <c r="T301" s="71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0"/>
      <c r="B302" s="720"/>
      <c r="C302" s="720"/>
      <c r="D302" s="720"/>
      <c r="E302" s="720"/>
      <c r="F302" s="720"/>
      <c r="G302" s="720"/>
      <c r="H302" s="720"/>
      <c r="I302" s="720"/>
      <c r="J302" s="720"/>
      <c r="K302" s="720"/>
      <c r="L302" s="720"/>
      <c r="M302" s="720"/>
      <c r="N302" s="720"/>
      <c r="O302" s="721"/>
      <c r="P302" s="717" t="s">
        <v>40</v>
      </c>
      <c r="Q302" s="718"/>
      <c r="R302" s="718"/>
      <c r="S302" s="718"/>
      <c r="T302" s="718"/>
      <c r="U302" s="718"/>
      <c r="V302" s="719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0"/>
      <c r="B303" s="720"/>
      <c r="C303" s="720"/>
      <c r="D303" s="720"/>
      <c r="E303" s="720"/>
      <c r="F303" s="720"/>
      <c r="G303" s="720"/>
      <c r="H303" s="720"/>
      <c r="I303" s="720"/>
      <c r="J303" s="720"/>
      <c r="K303" s="720"/>
      <c r="L303" s="720"/>
      <c r="M303" s="720"/>
      <c r="N303" s="720"/>
      <c r="O303" s="721"/>
      <c r="P303" s="717" t="s">
        <v>40</v>
      </c>
      <c r="Q303" s="718"/>
      <c r="R303" s="718"/>
      <c r="S303" s="718"/>
      <c r="T303" s="718"/>
      <c r="U303" s="718"/>
      <c r="V303" s="719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2" t="s">
        <v>165</v>
      </c>
      <c r="B304" s="712"/>
      <c r="C304" s="712"/>
      <c r="D304" s="712"/>
      <c r="E304" s="712"/>
      <c r="F304" s="712"/>
      <c r="G304" s="712"/>
      <c r="H304" s="712"/>
      <c r="I304" s="712"/>
      <c r="J304" s="712"/>
      <c r="K304" s="712"/>
      <c r="L304" s="712"/>
      <c r="M304" s="712"/>
      <c r="N304" s="712"/>
      <c r="O304" s="712"/>
      <c r="P304" s="712"/>
      <c r="Q304" s="712"/>
      <c r="R304" s="712"/>
      <c r="S304" s="712"/>
      <c r="T304" s="712"/>
      <c r="U304" s="712"/>
      <c r="V304" s="712"/>
      <c r="W304" s="712"/>
      <c r="X304" s="712"/>
      <c r="Y304" s="712"/>
      <c r="Z304" s="71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713">
        <v>4680115885981</v>
      </c>
      <c r="E305" s="71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5"/>
      <c r="R305" s="715"/>
      <c r="S305" s="715"/>
      <c r="T305" s="71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0"/>
      <c r="B306" s="720"/>
      <c r="C306" s="720"/>
      <c r="D306" s="720"/>
      <c r="E306" s="720"/>
      <c r="F306" s="720"/>
      <c r="G306" s="720"/>
      <c r="H306" s="720"/>
      <c r="I306" s="720"/>
      <c r="J306" s="720"/>
      <c r="K306" s="720"/>
      <c r="L306" s="720"/>
      <c r="M306" s="720"/>
      <c r="N306" s="720"/>
      <c r="O306" s="721"/>
      <c r="P306" s="717" t="s">
        <v>40</v>
      </c>
      <c r="Q306" s="718"/>
      <c r="R306" s="718"/>
      <c r="S306" s="718"/>
      <c r="T306" s="718"/>
      <c r="U306" s="718"/>
      <c r="V306" s="719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0"/>
      <c r="B307" s="720"/>
      <c r="C307" s="720"/>
      <c r="D307" s="720"/>
      <c r="E307" s="720"/>
      <c r="F307" s="720"/>
      <c r="G307" s="720"/>
      <c r="H307" s="720"/>
      <c r="I307" s="720"/>
      <c r="J307" s="720"/>
      <c r="K307" s="720"/>
      <c r="L307" s="720"/>
      <c r="M307" s="720"/>
      <c r="N307" s="720"/>
      <c r="O307" s="721"/>
      <c r="P307" s="717" t="s">
        <v>40</v>
      </c>
      <c r="Q307" s="718"/>
      <c r="R307" s="718"/>
      <c r="S307" s="718"/>
      <c r="T307" s="718"/>
      <c r="U307" s="718"/>
      <c r="V307" s="719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2" t="s">
        <v>517</v>
      </c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2"/>
      <c r="P308" s="712"/>
      <c r="Q308" s="712"/>
      <c r="R308" s="712"/>
      <c r="S308" s="712"/>
      <c r="T308" s="712"/>
      <c r="U308" s="712"/>
      <c r="V308" s="712"/>
      <c r="W308" s="712"/>
      <c r="X308" s="712"/>
      <c r="Y308" s="712"/>
      <c r="Z308" s="71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713">
        <v>4680115886803</v>
      </c>
      <c r="E309" s="71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5"/>
      <c r="R309" s="715"/>
      <c r="S309" s="715"/>
      <c r="T309" s="71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0"/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1"/>
      <c r="P310" s="717" t="s">
        <v>40</v>
      </c>
      <c r="Q310" s="718"/>
      <c r="R310" s="718"/>
      <c r="S310" s="718"/>
      <c r="T310" s="718"/>
      <c r="U310" s="718"/>
      <c r="V310" s="719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0"/>
      <c r="B311" s="720"/>
      <c r="C311" s="720"/>
      <c r="D311" s="720"/>
      <c r="E311" s="720"/>
      <c r="F311" s="720"/>
      <c r="G311" s="720"/>
      <c r="H311" s="720"/>
      <c r="I311" s="720"/>
      <c r="J311" s="720"/>
      <c r="K311" s="720"/>
      <c r="L311" s="720"/>
      <c r="M311" s="720"/>
      <c r="N311" s="720"/>
      <c r="O311" s="721"/>
      <c r="P311" s="717" t="s">
        <v>40</v>
      </c>
      <c r="Q311" s="718"/>
      <c r="R311" s="718"/>
      <c r="S311" s="718"/>
      <c r="T311" s="718"/>
      <c r="U311" s="718"/>
      <c r="V311" s="719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2" t="s">
        <v>339</v>
      </c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2"/>
      <c r="P312" s="712"/>
      <c r="Q312" s="712"/>
      <c r="R312" s="712"/>
      <c r="S312" s="712"/>
      <c r="T312" s="712"/>
      <c r="U312" s="712"/>
      <c r="V312" s="712"/>
      <c r="W312" s="712"/>
      <c r="X312" s="712"/>
      <c r="Y312" s="712"/>
      <c r="Z312" s="71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713">
        <v>4680115886681</v>
      </c>
      <c r="E313" s="71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5"/>
      <c r="R313" s="715"/>
      <c r="S313" s="715"/>
      <c r="T313" s="7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3">
        <v>4680115886735</v>
      </c>
      <c r="E314" s="71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5"/>
      <c r="R314" s="715"/>
      <c r="S314" s="715"/>
      <c r="T314" s="71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3">
        <v>4680115886728</v>
      </c>
      <c r="E315" s="71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7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5"/>
      <c r="R315" s="715"/>
      <c r="S315" s="715"/>
      <c r="T315" s="71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3">
        <v>4680115886711</v>
      </c>
      <c r="E316" s="71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5"/>
      <c r="R316" s="715"/>
      <c r="S316" s="715"/>
      <c r="T316" s="71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0"/>
      <c r="B317" s="720"/>
      <c r="C317" s="720"/>
      <c r="D317" s="720"/>
      <c r="E317" s="720"/>
      <c r="F317" s="720"/>
      <c r="G317" s="720"/>
      <c r="H317" s="720"/>
      <c r="I317" s="720"/>
      <c r="J317" s="720"/>
      <c r="K317" s="720"/>
      <c r="L317" s="720"/>
      <c r="M317" s="720"/>
      <c r="N317" s="720"/>
      <c r="O317" s="721"/>
      <c r="P317" s="717" t="s">
        <v>40</v>
      </c>
      <c r="Q317" s="718"/>
      <c r="R317" s="718"/>
      <c r="S317" s="718"/>
      <c r="T317" s="718"/>
      <c r="U317" s="718"/>
      <c r="V317" s="719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0"/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1"/>
      <c r="P318" s="717" t="s">
        <v>40</v>
      </c>
      <c r="Q318" s="718"/>
      <c r="R318" s="718"/>
      <c r="S318" s="718"/>
      <c r="T318" s="718"/>
      <c r="U318" s="718"/>
      <c r="V318" s="719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1" t="s">
        <v>530</v>
      </c>
      <c r="B319" s="711"/>
      <c r="C319" s="711"/>
      <c r="D319" s="711"/>
      <c r="E319" s="711"/>
      <c r="F319" s="711"/>
      <c r="G319" s="711"/>
      <c r="H319" s="711"/>
      <c r="I319" s="711"/>
      <c r="J319" s="711"/>
      <c r="K319" s="711"/>
      <c r="L319" s="711"/>
      <c r="M319" s="711"/>
      <c r="N319" s="711"/>
      <c r="O319" s="711"/>
      <c r="P319" s="711"/>
      <c r="Q319" s="711"/>
      <c r="R319" s="711"/>
      <c r="S319" s="711"/>
      <c r="T319" s="711"/>
      <c r="U319" s="711"/>
      <c r="V319" s="711"/>
      <c r="W319" s="711"/>
      <c r="X319" s="711"/>
      <c r="Y319" s="711"/>
      <c r="Z319" s="711"/>
      <c r="AA319" s="65"/>
      <c r="AB319" s="65"/>
      <c r="AC319" s="79"/>
    </row>
    <row r="320" spans="1:68" ht="14.25" hidden="1" customHeight="1" x14ac:dyDescent="0.25">
      <c r="A320" s="712" t="s">
        <v>130</v>
      </c>
      <c r="B320" s="712"/>
      <c r="C320" s="712"/>
      <c r="D320" s="712"/>
      <c r="E320" s="712"/>
      <c r="F320" s="712"/>
      <c r="G320" s="712"/>
      <c r="H320" s="712"/>
      <c r="I320" s="712"/>
      <c r="J320" s="712"/>
      <c r="K320" s="712"/>
      <c r="L320" s="712"/>
      <c r="M320" s="712"/>
      <c r="N320" s="712"/>
      <c r="O320" s="712"/>
      <c r="P320" s="712"/>
      <c r="Q320" s="712"/>
      <c r="R320" s="712"/>
      <c r="S320" s="712"/>
      <c r="T320" s="712"/>
      <c r="U320" s="712"/>
      <c r="V320" s="712"/>
      <c r="W320" s="712"/>
      <c r="X320" s="712"/>
      <c r="Y320" s="712"/>
      <c r="Z320" s="71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713">
        <v>4680115885837</v>
      </c>
      <c r="E321" s="71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5"/>
      <c r="R321" s="715"/>
      <c r="S321" s="715"/>
      <c r="T321" s="71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3">
        <v>4680115887077</v>
      </c>
      <c r="E322" s="71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2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5"/>
      <c r="R322" s="715"/>
      <c r="S322" s="715"/>
      <c r="T322" s="71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713">
        <v>4680115889637</v>
      </c>
      <c r="E323" s="71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5"/>
      <c r="R323" s="715"/>
      <c r="S323" s="715"/>
      <c r="T323" s="71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713">
        <v>4680115887237</v>
      </c>
      <c r="E324" s="71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5"/>
      <c r="R324" s="715"/>
      <c r="S324" s="715"/>
      <c r="T324" s="71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713">
        <v>4680115885806</v>
      </c>
      <c r="E325" s="71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5"/>
      <c r="R325" s="715"/>
      <c r="S325" s="715"/>
      <c r="T325" s="71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713">
        <v>4680115885844</v>
      </c>
      <c r="E326" s="71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5"/>
      <c r="R326" s="715"/>
      <c r="S326" s="715"/>
      <c r="T326" s="71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713">
        <v>4680115885820</v>
      </c>
      <c r="E327" s="71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5"/>
      <c r="R327" s="715"/>
      <c r="S327" s="715"/>
      <c r="T327" s="71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720"/>
      <c r="B328" s="720"/>
      <c r="C328" s="720"/>
      <c r="D328" s="720"/>
      <c r="E328" s="720"/>
      <c r="F328" s="720"/>
      <c r="G328" s="720"/>
      <c r="H328" s="720"/>
      <c r="I328" s="720"/>
      <c r="J328" s="720"/>
      <c r="K328" s="720"/>
      <c r="L328" s="720"/>
      <c r="M328" s="720"/>
      <c r="N328" s="720"/>
      <c r="O328" s="721"/>
      <c r="P328" s="717" t="s">
        <v>40</v>
      </c>
      <c r="Q328" s="718"/>
      <c r="R328" s="718"/>
      <c r="S328" s="718"/>
      <c r="T328" s="718"/>
      <c r="U328" s="718"/>
      <c r="V328" s="719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20"/>
      <c r="B329" s="720"/>
      <c r="C329" s="720"/>
      <c r="D329" s="720"/>
      <c r="E329" s="720"/>
      <c r="F329" s="720"/>
      <c r="G329" s="720"/>
      <c r="H329" s="720"/>
      <c r="I329" s="720"/>
      <c r="J329" s="720"/>
      <c r="K329" s="720"/>
      <c r="L329" s="720"/>
      <c r="M329" s="720"/>
      <c r="N329" s="720"/>
      <c r="O329" s="721"/>
      <c r="P329" s="717" t="s">
        <v>40</v>
      </c>
      <c r="Q329" s="718"/>
      <c r="R329" s="718"/>
      <c r="S329" s="718"/>
      <c r="T329" s="718"/>
      <c r="U329" s="718"/>
      <c r="V329" s="719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711" t="s">
        <v>552</v>
      </c>
      <c r="B330" s="711"/>
      <c r="C330" s="711"/>
      <c r="D330" s="711"/>
      <c r="E330" s="711"/>
      <c r="F330" s="711"/>
      <c r="G330" s="711"/>
      <c r="H330" s="711"/>
      <c r="I330" s="711"/>
      <c r="J330" s="711"/>
      <c r="K330" s="711"/>
      <c r="L330" s="711"/>
      <c r="M330" s="711"/>
      <c r="N330" s="711"/>
      <c r="O330" s="711"/>
      <c r="P330" s="711"/>
      <c r="Q330" s="711"/>
      <c r="R330" s="711"/>
      <c r="S330" s="711"/>
      <c r="T330" s="711"/>
      <c r="U330" s="711"/>
      <c r="V330" s="711"/>
      <c r="W330" s="711"/>
      <c r="X330" s="711"/>
      <c r="Y330" s="711"/>
      <c r="Z330" s="711"/>
      <c r="AA330" s="65"/>
      <c r="AB330" s="65"/>
      <c r="AC330" s="79"/>
    </row>
    <row r="331" spans="1:68" ht="14.25" hidden="1" customHeight="1" x14ac:dyDescent="0.25">
      <c r="A331" s="712" t="s">
        <v>83</v>
      </c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2"/>
      <c r="P331" s="712"/>
      <c r="Q331" s="712"/>
      <c r="R331" s="712"/>
      <c r="S331" s="712"/>
      <c r="T331" s="712"/>
      <c r="U331" s="712"/>
      <c r="V331" s="712"/>
      <c r="W331" s="712"/>
      <c r="X331" s="712"/>
      <c r="Y331" s="712"/>
      <c r="Z331" s="71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3">
        <v>4680115886186</v>
      </c>
      <c r="E332" s="71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5"/>
      <c r="R332" s="715"/>
      <c r="S332" s="715"/>
      <c r="T332" s="71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713">
        <v>4680115881228</v>
      </c>
      <c r="E333" s="71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5"/>
      <c r="R333" s="715"/>
      <c r="S333" s="715"/>
      <c r="T333" s="71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713">
        <v>4680115881211</v>
      </c>
      <c r="E334" s="71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5"/>
      <c r="R334" s="715"/>
      <c r="S334" s="715"/>
      <c r="T334" s="716"/>
      <c r="U334" s="39" t="s">
        <v>46</v>
      </c>
      <c r="V334" s="39" t="s">
        <v>46</v>
      </c>
      <c r="W334" s="40" t="s">
        <v>0</v>
      </c>
      <c r="X334" s="58">
        <v>8</v>
      </c>
      <c r="Y334" s="55">
        <f>IFERROR(IF(X334="",0,CEILING((X334/$H334),1)*$H334),"")</f>
        <v>9.6</v>
      </c>
      <c r="Z334" s="41">
        <f>IFERROR(IF(Y334=0,"",ROUNDUP(Y334/H334,0)*0.00651),"")</f>
        <v>2.6040000000000001E-2</v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8.6000000000000014</v>
      </c>
      <c r="BN334" s="78">
        <f>IFERROR(Y334*I334/H334,"0")</f>
        <v>10.32</v>
      </c>
      <c r="BO334" s="78">
        <f>IFERROR(1/J334*(X334/H334),"0")</f>
        <v>1.8315018315018316E-2</v>
      </c>
      <c r="BP334" s="78">
        <f>IFERROR(1/J334*(Y334/H334),"0")</f>
        <v>2.197802197802198E-2</v>
      </c>
    </row>
    <row r="335" spans="1:68" x14ac:dyDescent="0.2">
      <c r="A335" s="720"/>
      <c r="B335" s="720"/>
      <c r="C335" s="720"/>
      <c r="D335" s="720"/>
      <c r="E335" s="720"/>
      <c r="F335" s="720"/>
      <c r="G335" s="720"/>
      <c r="H335" s="720"/>
      <c r="I335" s="720"/>
      <c r="J335" s="720"/>
      <c r="K335" s="720"/>
      <c r="L335" s="720"/>
      <c r="M335" s="720"/>
      <c r="N335" s="720"/>
      <c r="O335" s="721"/>
      <c r="P335" s="717" t="s">
        <v>40</v>
      </c>
      <c r="Q335" s="718"/>
      <c r="R335" s="718"/>
      <c r="S335" s="718"/>
      <c r="T335" s="718"/>
      <c r="U335" s="718"/>
      <c r="V335" s="719"/>
      <c r="W335" s="42" t="s">
        <v>39</v>
      </c>
      <c r="X335" s="43">
        <f>IFERROR(X332/H332,"0")+IFERROR(X333/H333,"0")+IFERROR(X334/H334,"0")</f>
        <v>3.3333333333333335</v>
      </c>
      <c r="Y335" s="43">
        <f>IFERROR(Y332/H332,"0")+IFERROR(Y333/H333,"0")+IFERROR(Y334/H334,"0")</f>
        <v>4</v>
      </c>
      <c r="Z335" s="43">
        <f>IFERROR(IF(Z332="",0,Z332),"0")+IFERROR(IF(Z333="",0,Z333),"0")+IFERROR(IF(Z334="",0,Z334),"0")</f>
        <v>2.6040000000000001E-2</v>
      </c>
      <c r="AA335" s="67"/>
      <c r="AB335" s="67"/>
      <c r="AC335" s="67"/>
    </row>
    <row r="336" spans="1:68" x14ac:dyDescent="0.2">
      <c r="A336" s="720"/>
      <c r="B336" s="720"/>
      <c r="C336" s="720"/>
      <c r="D336" s="720"/>
      <c r="E336" s="720"/>
      <c r="F336" s="720"/>
      <c r="G336" s="720"/>
      <c r="H336" s="720"/>
      <c r="I336" s="720"/>
      <c r="J336" s="720"/>
      <c r="K336" s="720"/>
      <c r="L336" s="720"/>
      <c r="M336" s="720"/>
      <c r="N336" s="720"/>
      <c r="O336" s="721"/>
      <c r="P336" s="717" t="s">
        <v>40</v>
      </c>
      <c r="Q336" s="718"/>
      <c r="R336" s="718"/>
      <c r="S336" s="718"/>
      <c r="T336" s="718"/>
      <c r="U336" s="718"/>
      <c r="V336" s="719"/>
      <c r="W336" s="42" t="s">
        <v>0</v>
      </c>
      <c r="X336" s="43">
        <f>IFERROR(SUM(X332:X334),"0")</f>
        <v>8</v>
      </c>
      <c r="Y336" s="43">
        <f>IFERROR(SUM(Y332:Y334),"0")</f>
        <v>9.6</v>
      </c>
      <c r="Z336" s="42"/>
      <c r="AA336" s="67"/>
      <c r="AB336" s="67"/>
      <c r="AC336" s="67"/>
    </row>
    <row r="337" spans="1:68" ht="16.5" hidden="1" customHeight="1" x14ac:dyDescent="0.25">
      <c r="A337" s="711" t="s">
        <v>561</v>
      </c>
      <c r="B337" s="711"/>
      <c r="C337" s="711"/>
      <c r="D337" s="711"/>
      <c r="E337" s="711"/>
      <c r="F337" s="711"/>
      <c r="G337" s="711"/>
      <c r="H337" s="711"/>
      <c r="I337" s="711"/>
      <c r="J337" s="711"/>
      <c r="K337" s="711"/>
      <c r="L337" s="711"/>
      <c r="M337" s="711"/>
      <c r="N337" s="711"/>
      <c r="O337" s="711"/>
      <c r="P337" s="711"/>
      <c r="Q337" s="711"/>
      <c r="R337" s="711"/>
      <c r="S337" s="711"/>
      <c r="T337" s="711"/>
      <c r="U337" s="711"/>
      <c r="V337" s="711"/>
      <c r="W337" s="711"/>
      <c r="X337" s="711"/>
      <c r="Y337" s="711"/>
      <c r="Z337" s="711"/>
      <c r="AA337" s="65"/>
      <c r="AB337" s="65"/>
      <c r="AC337" s="79"/>
    </row>
    <row r="338" spans="1:68" ht="14.25" hidden="1" customHeight="1" x14ac:dyDescent="0.25">
      <c r="A338" s="712" t="s">
        <v>77</v>
      </c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2"/>
      <c r="P338" s="712"/>
      <c r="Q338" s="712"/>
      <c r="R338" s="712"/>
      <c r="S338" s="712"/>
      <c r="T338" s="712"/>
      <c r="U338" s="712"/>
      <c r="V338" s="712"/>
      <c r="W338" s="712"/>
      <c r="X338" s="712"/>
      <c r="Y338" s="712"/>
      <c r="Z338" s="71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713">
        <v>4680115888319</v>
      </c>
      <c r="E339" s="71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5"/>
      <c r="R339" s="715"/>
      <c r="S339" s="715"/>
      <c r="T339" s="71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713">
        <v>4680115884700</v>
      </c>
      <c r="E340" s="71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5"/>
      <c r="R340" s="715"/>
      <c r="S340" s="715"/>
      <c r="T340" s="71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713">
        <v>4680115880344</v>
      </c>
      <c r="E341" s="71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5"/>
      <c r="R341" s="715"/>
      <c r="S341" s="715"/>
      <c r="T341" s="71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3">
        <v>4680115886919</v>
      </c>
      <c r="E342" s="71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5"/>
      <c r="R342" s="715"/>
      <c r="S342" s="715"/>
      <c r="T342" s="7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0"/>
      <c r="B343" s="720"/>
      <c r="C343" s="720"/>
      <c r="D343" s="720"/>
      <c r="E343" s="720"/>
      <c r="F343" s="720"/>
      <c r="G343" s="720"/>
      <c r="H343" s="720"/>
      <c r="I343" s="720"/>
      <c r="J343" s="720"/>
      <c r="K343" s="720"/>
      <c r="L343" s="720"/>
      <c r="M343" s="720"/>
      <c r="N343" s="720"/>
      <c r="O343" s="721"/>
      <c r="P343" s="717" t="s">
        <v>40</v>
      </c>
      <c r="Q343" s="718"/>
      <c r="R343" s="718"/>
      <c r="S343" s="718"/>
      <c r="T343" s="718"/>
      <c r="U343" s="718"/>
      <c r="V343" s="719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0"/>
      <c r="B344" s="720"/>
      <c r="C344" s="720"/>
      <c r="D344" s="720"/>
      <c r="E344" s="720"/>
      <c r="F344" s="720"/>
      <c r="G344" s="720"/>
      <c r="H344" s="720"/>
      <c r="I344" s="720"/>
      <c r="J344" s="720"/>
      <c r="K344" s="720"/>
      <c r="L344" s="720"/>
      <c r="M344" s="720"/>
      <c r="N344" s="720"/>
      <c r="O344" s="721"/>
      <c r="P344" s="717" t="s">
        <v>40</v>
      </c>
      <c r="Q344" s="718"/>
      <c r="R344" s="718"/>
      <c r="S344" s="718"/>
      <c r="T344" s="718"/>
      <c r="U344" s="718"/>
      <c r="V344" s="719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2" t="s">
        <v>83</v>
      </c>
      <c r="B345" s="712"/>
      <c r="C345" s="712"/>
      <c r="D345" s="712"/>
      <c r="E345" s="712"/>
      <c r="F345" s="712"/>
      <c r="G345" s="712"/>
      <c r="H345" s="712"/>
      <c r="I345" s="712"/>
      <c r="J345" s="712"/>
      <c r="K345" s="712"/>
      <c r="L345" s="712"/>
      <c r="M345" s="712"/>
      <c r="N345" s="712"/>
      <c r="O345" s="712"/>
      <c r="P345" s="712"/>
      <c r="Q345" s="712"/>
      <c r="R345" s="712"/>
      <c r="S345" s="712"/>
      <c r="T345" s="712"/>
      <c r="U345" s="712"/>
      <c r="V345" s="712"/>
      <c r="W345" s="712"/>
      <c r="X345" s="712"/>
      <c r="Y345" s="712"/>
      <c r="Z345" s="71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3">
        <v>4680115884618</v>
      </c>
      <c r="E346" s="71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5"/>
      <c r="R346" s="715"/>
      <c r="S346" s="715"/>
      <c r="T346" s="71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3">
        <v>4680115887114</v>
      </c>
      <c r="E347" s="71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5"/>
      <c r="R347" s="715"/>
      <c r="S347" s="715"/>
      <c r="T347" s="71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3">
        <v>4680115887466</v>
      </c>
      <c r="E348" s="71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5"/>
      <c r="R348" s="715"/>
      <c r="S348" s="715"/>
      <c r="T348" s="71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0"/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1"/>
      <c r="P349" s="717" t="s">
        <v>40</v>
      </c>
      <c r="Q349" s="718"/>
      <c r="R349" s="718"/>
      <c r="S349" s="718"/>
      <c r="T349" s="718"/>
      <c r="U349" s="718"/>
      <c r="V349" s="719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0"/>
      <c r="B350" s="720"/>
      <c r="C350" s="720"/>
      <c r="D350" s="720"/>
      <c r="E350" s="720"/>
      <c r="F350" s="720"/>
      <c r="G350" s="720"/>
      <c r="H350" s="720"/>
      <c r="I350" s="720"/>
      <c r="J350" s="720"/>
      <c r="K350" s="720"/>
      <c r="L350" s="720"/>
      <c r="M350" s="720"/>
      <c r="N350" s="720"/>
      <c r="O350" s="721"/>
      <c r="P350" s="717" t="s">
        <v>40</v>
      </c>
      <c r="Q350" s="718"/>
      <c r="R350" s="718"/>
      <c r="S350" s="718"/>
      <c r="T350" s="718"/>
      <c r="U350" s="718"/>
      <c r="V350" s="719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1" t="s">
        <v>583</v>
      </c>
      <c r="B351" s="711"/>
      <c r="C351" s="711"/>
      <c r="D351" s="711"/>
      <c r="E351" s="711"/>
      <c r="F351" s="711"/>
      <c r="G351" s="711"/>
      <c r="H351" s="711"/>
      <c r="I351" s="711"/>
      <c r="J351" s="711"/>
      <c r="K351" s="711"/>
      <c r="L351" s="711"/>
      <c r="M351" s="711"/>
      <c r="N351" s="711"/>
      <c r="O351" s="711"/>
      <c r="P351" s="711"/>
      <c r="Q351" s="711"/>
      <c r="R351" s="711"/>
      <c r="S351" s="711"/>
      <c r="T351" s="711"/>
      <c r="U351" s="711"/>
      <c r="V351" s="711"/>
      <c r="W351" s="711"/>
      <c r="X351" s="711"/>
      <c r="Y351" s="711"/>
      <c r="Z351" s="711"/>
      <c r="AA351" s="65"/>
      <c r="AB351" s="65"/>
      <c r="AC351" s="79"/>
    </row>
    <row r="352" spans="1:68" ht="14.25" hidden="1" customHeight="1" x14ac:dyDescent="0.25">
      <c r="A352" s="712" t="s">
        <v>77</v>
      </c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2"/>
      <c r="P352" s="712"/>
      <c r="Q352" s="712"/>
      <c r="R352" s="712"/>
      <c r="S352" s="712"/>
      <c r="T352" s="712"/>
      <c r="U352" s="712"/>
      <c r="V352" s="712"/>
      <c r="W352" s="712"/>
      <c r="X352" s="712"/>
      <c r="Y352" s="712"/>
      <c r="Z352" s="71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713">
        <v>4680115886001</v>
      </c>
      <c r="E353" s="71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8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5"/>
      <c r="R353" s="715"/>
      <c r="S353" s="715"/>
      <c r="T353" s="71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0"/>
      <c r="B354" s="720"/>
      <c r="C354" s="720"/>
      <c r="D354" s="720"/>
      <c r="E354" s="720"/>
      <c r="F354" s="720"/>
      <c r="G354" s="720"/>
      <c r="H354" s="720"/>
      <c r="I354" s="720"/>
      <c r="J354" s="720"/>
      <c r="K354" s="720"/>
      <c r="L354" s="720"/>
      <c r="M354" s="720"/>
      <c r="N354" s="720"/>
      <c r="O354" s="721"/>
      <c r="P354" s="717" t="s">
        <v>40</v>
      </c>
      <c r="Q354" s="718"/>
      <c r="R354" s="718"/>
      <c r="S354" s="718"/>
      <c r="T354" s="718"/>
      <c r="U354" s="718"/>
      <c r="V354" s="719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0"/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1"/>
      <c r="P355" s="717" t="s">
        <v>40</v>
      </c>
      <c r="Q355" s="718"/>
      <c r="R355" s="718"/>
      <c r="S355" s="718"/>
      <c r="T355" s="718"/>
      <c r="U355" s="718"/>
      <c r="V355" s="719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2" t="s">
        <v>83</v>
      </c>
      <c r="B356" s="712"/>
      <c r="C356" s="712"/>
      <c r="D356" s="712"/>
      <c r="E356" s="712"/>
      <c r="F356" s="712"/>
      <c r="G356" s="712"/>
      <c r="H356" s="712"/>
      <c r="I356" s="712"/>
      <c r="J356" s="712"/>
      <c r="K356" s="712"/>
      <c r="L356" s="712"/>
      <c r="M356" s="712"/>
      <c r="N356" s="712"/>
      <c r="O356" s="712"/>
      <c r="P356" s="712"/>
      <c r="Q356" s="712"/>
      <c r="R356" s="712"/>
      <c r="S356" s="712"/>
      <c r="T356" s="712"/>
      <c r="U356" s="712"/>
      <c r="V356" s="712"/>
      <c r="W356" s="712"/>
      <c r="X356" s="712"/>
      <c r="Y356" s="712"/>
      <c r="Z356" s="71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3">
        <v>4680115886087</v>
      </c>
      <c r="E357" s="71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89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5"/>
      <c r="R357" s="715"/>
      <c r="S357" s="715"/>
      <c r="T357" s="71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0"/>
      <c r="B358" s="720"/>
      <c r="C358" s="720"/>
      <c r="D358" s="720"/>
      <c r="E358" s="720"/>
      <c r="F358" s="720"/>
      <c r="G358" s="720"/>
      <c r="H358" s="720"/>
      <c r="I358" s="720"/>
      <c r="J358" s="720"/>
      <c r="K358" s="720"/>
      <c r="L358" s="720"/>
      <c r="M358" s="720"/>
      <c r="N358" s="720"/>
      <c r="O358" s="721"/>
      <c r="P358" s="717" t="s">
        <v>40</v>
      </c>
      <c r="Q358" s="718"/>
      <c r="R358" s="718"/>
      <c r="S358" s="718"/>
      <c r="T358" s="718"/>
      <c r="U358" s="718"/>
      <c r="V358" s="719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0"/>
      <c r="B359" s="720"/>
      <c r="C359" s="720"/>
      <c r="D359" s="720"/>
      <c r="E359" s="720"/>
      <c r="F359" s="720"/>
      <c r="G359" s="720"/>
      <c r="H359" s="720"/>
      <c r="I359" s="720"/>
      <c r="J359" s="720"/>
      <c r="K359" s="720"/>
      <c r="L359" s="720"/>
      <c r="M359" s="720"/>
      <c r="N359" s="720"/>
      <c r="O359" s="721"/>
      <c r="P359" s="717" t="s">
        <v>40</v>
      </c>
      <c r="Q359" s="718"/>
      <c r="R359" s="718"/>
      <c r="S359" s="718"/>
      <c r="T359" s="718"/>
      <c r="U359" s="718"/>
      <c r="V359" s="719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1" t="s">
        <v>590</v>
      </c>
      <c r="B360" s="711"/>
      <c r="C360" s="711"/>
      <c r="D360" s="711"/>
      <c r="E360" s="711"/>
      <c r="F360" s="711"/>
      <c r="G360" s="711"/>
      <c r="H360" s="711"/>
      <c r="I360" s="711"/>
      <c r="J360" s="711"/>
      <c r="K360" s="711"/>
      <c r="L360" s="711"/>
      <c r="M360" s="711"/>
      <c r="N360" s="711"/>
      <c r="O360" s="711"/>
      <c r="P360" s="711"/>
      <c r="Q360" s="711"/>
      <c r="R360" s="711"/>
      <c r="S360" s="711"/>
      <c r="T360" s="711"/>
      <c r="U360" s="711"/>
      <c r="V360" s="711"/>
      <c r="W360" s="711"/>
      <c r="X360" s="711"/>
      <c r="Y360" s="711"/>
      <c r="Z360" s="711"/>
      <c r="AA360" s="65"/>
      <c r="AB360" s="65"/>
      <c r="AC360" s="79"/>
    </row>
    <row r="361" spans="1:68" ht="14.25" hidden="1" customHeight="1" x14ac:dyDescent="0.25">
      <c r="A361" s="712" t="s">
        <v>130</v>
      </c>
      <c r="B361" s="712"/>
      <c r="C361" s="712"/>
      <c r="D361" s="712"/>
      <c r="E361" s="712"/>
      <c r="F361" s="712"/>
      <c r="G361" s="712"/>
      <c r="H361" s="712"/>
      <c r="I361" s="712"/>
      <c r="J361" s="712"/>
      <c r="K361" s="712"/>
      <c r="L361" s="712"/>
      <c r="M361" s="712"/>
      <c r="N361" s="712"/>
      <c r="O361" s="712"/>
      <c r="P361" s="712"/>
      <c r="Q361" s="712"/>
      <c r="R361" s="712"/>
      <c r="S361" s="712"/>
      <c r="T361" s="712"/>
      <c r="U361" s="712"/>
      <c r="V361" s="712"/>
      <c r="W361" s="712"/>
      <c r="X361" s="712"/>
      <c r="Y361" s="712"/>
      <c r="Z361" s="712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713">
        <v>4680115887947</v>
      </c>
      <c r="E362" s="71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5"/>
      <c r="R362" s="715"/>
      <c r="S362" s="715"/>
      <c r="T362" s="716"/>
      <c r="U362" s="39" t="s">
        <v>46</v>
      </c>
      <c r="V362" s="39" t="s">
        <v>46</v>
      </c>
      <c r="W362" s="40" t="s">
        <v>0</v>
      </c>
      <c r="X362" s="58">
        <v>30</v>
      </c>
      <c r="Y362" s="55">
        <f>IFERROR(IF(X362="",0,CEILING((X362/$H362),1)*$H362),"")</f>
        <v>31.2</v>
      </c>
      <c r="Z362" s="41">
        <f>IFERROR(IF(Y362=0,"",ROUNDUP(Y362/H362,0)*0.01898),"")</f>
        <v>7.5920000000000001E-2</v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31.57692307692308</v>
      </c>
      <c r="BN362" s="78">
        <f>IFERROR(Y362*I362/H362,"0")</f>
        <v>32.840000000000003</v>
      </c>
      <c r="BO362" s="78">
        <f>IFERROR(1/J362*(X362/H362),"0")</f>
        <v>6.0096153846153848E-2</v>
      </c>
      <c r="BP362" s="78">
        <f>IFERROR(1/J362*(Y362/H362),"0")</f>
        <v>6.25E-2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713">
        <v>4680115887978</v>
      </c>
      <c r="E363" s="71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5"/>
      <c r="R363" s="715"/>
      <c r="S363" s="715"/>
      <c r="T363" s="716"/>
      <c r="U363" s="39" t="s">
        <v>46</v>
      </c>
      <c r="V363" s="39" t="s">
        <v>46</v>
      </c>
      <c r="W363" s="40" t="s">
        <v>0</v>
      </c>
      <c r="X363" s="58">
        <v>30</v>
      </c>
      <c r="Y363" s="55">
        <f>IFERROR(IF(X363="",0,CEILING((X363/$H363),1)*$H363),"")</f>
        <v>31.2</v>
      </c>
      <c r="Z363" s="41">
        <f>IFERROR(IF(Y363=0,"",ROUNDUP(Y363/H363,0)*0.01898),"")</f>
        <v>7.5920000000000001E-2</v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31.57692307692308</v>
      </c>
      <c r="BN363" s="78">
        <f>IFERROR(Y363*I363/H363,"0")</f>
        <v>32.840000000000003</v>
      </c>
      <c r="BO363" s="78">
        <f>IFERROR(1/J363*(X363/H363),"0")</f>
        <v>6.0096153846153848E-2</v>
      </c>
      <c r="BP363" s="78">
        <f>IFERROR(1/J363*(Y363/H363),"0")</f>
        <v>6.25E-2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713">
        <v>4680115887992</v>
      </c>
      <c r="E364" s="71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5"/>
      <c r="R364" s="715"/>
      <c r="S364" s="715"/>
      <c r="T364" s="716"/>
      <c r="U364" s="39" t="s">
        <v>46</v>
      </c>
      <c r="V364" s="39" t="s">
        <v>46</v>
      </c>
      <c r="W364" s="40" t="s">
        <v>0</v>
      </c>
      <c r="X364" s="58">
        <v>30</v>
      </c>
      <c r="Y364" s="55">
        <f>IFERROR(IF(X364="",0,CEILING((X364/$H364),1)*$H364),"")</f>
        <v>31.2</v>
      </c>
      <c r="Z364" s="41">
        <f>IFERROR(IF(Y364=0,"",ROUNDUP(Y364/H364,0)*0.01898),"")</f>
        <v>7.5920000000000001E-2</v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31.57692307692308</v>
      </c>
      <c r="BN364" s="78">
        <f>IFERROR(Y364*I364/H364,"0")</f>
        <v>32.840000000000003</v>
      </c>
      <c r="BO364" s="78">
        <f>IFERROR(1/J364*(X364/H364),"0")</f>
        <v>6.0096153846153848E-2</v>
      </c>
      <c r="BP364" s="78">
        <f>IFERROR(1/J364*(Y364/H364),"0")</f>
        <v>6.25E-2</v>
      </c>
    </row>
    <row r="365" spans="1:68" x14ac:dyDescent="0.2">
      <c r="A365" s="720"/>
      <c r="B365" s="720"/>
      <c r="C365" s="720"/>
      <c r="D365" s="720"/>
      <c r="E365" s="720"/>
      <c r="F365" s="720"/>
      <c r="G365" s="720"/>
      <c r="H365" s="720"/>
      <c r="I365" s="720"/>
      <c r="J365" s="720"/>
      <c r="K365" s="720"/>
      <c r="L365" s="720"/>
      <c r="M365" s="720"/>
      <c r="N365" s="720"/>
      <c r="O365" s="721"/>
      <c r="P365" s="717" t="s">
        <v>40</v>
      </c>
      <c r="Q365" s="718"/>
      <c r="R365" s="718"/>
      <c r="S365" s="718"/>
      <c r="T365" s="718"/>
      <c r="U365" s="718"/>
      <c r="V365" s="719"/>
      <c r="W365" s="42" t="s">
        <v>39</v>
      </c>
      <c r="X365" s="43">
        <f>IFERROR(X362/H362,"0")+IFERROR(X363/H363,"0")+IFERROR(X364/H364,"0")</f>
        <v>11.538461538461538</v>
      </c>
      <c r="Y365" s="43">
        <f>IFERROR(Y362/H362,"0")+IFERROR(Y363/H363,"0")+IFERROR(Y364/H364,"0")</f>
        <v>12</v>
      </c>
      <c r="Z365" s="43">
        <f>IFERROR(IF(Z362="",0,Z362),"0")+IFERROR(IF(Z363="",0,Z363),"0")+IFERROR(IF(Z364="",0,Z364),"0")</f>
        <v>0.22776000000000002</v>
      </c>
      <c r="AA365" s="67"/>
      <c r="AB365" s="67"/>
      <c r="AC365" s="67"/>
    </row>
    <row r="366" spans="1:68" x14ac:dyDescent="0.2">
      <c r="A366" s="720"/>
      <c r="B366" s="720"/>
      <c r="C366" s="720"/>
      <c r="D366" s="720"/>
      <c r="E366" s="720"/>
      <c r="F366" s="720"/>
      <c r="G366" s="720"/>
      <c r="H366" s="720"/>
      <c r="I366" s="720"/>
      <c r="J366" s="720"/>
      <c r="K366" s="720"/>
      <c r="L366" s="720"/>
      <c r="M366" s="720"/>
      <c r="N366" s="720"/>
      <c r="O366" s="721"/>
      <c r="P366" s="717" t="s">
        <v>40</v>
      </c>
      <c r="Q366" s="718"/>
      <c r="R366" s="718"/>
      <c r="S366" s="718"/>
      <c r="T366" s="718"/>
      <c r="U366" s="718"/>
      <c r="V366" s="719"/>
      <c r="W366" s="42" t="s">
        <v>0</v>
      </c>
      <c r="X366" s="43">
        <f>IFERROR(SUM(X362:X364),"0")</f>
        <v>90</v>
      </c>
      <c r="Y366" s="43">
        <f>IFERROR(SUM(Y362:Y364),"0")</f>
        <v>93.6</v>
      </c>
      <c r="Z366" s="42"/>
      <c r="AA366" s="67"/>
      <c r="AB366" s="67"/>
      <c r="AC366" s="67"/>
    </row>
    <row r="367" spans="1:68" ht="16.5" hidden="1" customHeight="1" x14ac:dyDescent="0.25">
      <c r="A367" s="711" t="s">
        <v>599</v>
      </c>
      <c r="B367" s="711"/>
      <c r="C367" s="711"/>
      <c r="D367" s="711"/>
      <c r="E367" s="711"/>
      <c r="F367" s="711"/>
      <c r="G367" s="711"/>
      <c r="H367" s="711"/>
      <c r="I367" s="711"/>
      <c r="J367" s="711"/>
      <c r="K367" s="711"/>
      <c r="L367" s="711"/>
      <c r="M367" s="711"/>
      <c r="N367" s="711"/>
      <c r="O367" s="711"/>
      <c r="P367" s="711"/>
      <c r="Q367" s="711"/>
      <c r="R367" s="711"/>
      <c r="S367" s="711"/>
      <c r="T367" s="711"/>
      <c r="U367" s="711"/>
      <c r="V367" s="711"/>
      <c r="W367" s="711"/>
      <c r="X367" s="711"/>
      <c r="Y367" s="711"/>
      <c r="Z367" s="711"/>
      <c r="AA367" s="65"/>
      <c r="AB367" s="65"/>
      <c r="AC367" s="79"/>
    </row>
    <row r="368" spans="1:68" ht="14.25" hidden="1" customHeight="1" x14ac:dyDescent="0.25">
      <c r="A368" s="712" t="s">
        <v>130</v>
      </c>
      <c r="B368" s="712"/>
      <c r="C368" s="712"/>
      <c r="D368" s="712"/>
      <c r="E368" s="712"/>
      <c r="F368" s="712"/>
      <c r="G368" s="712"/>
      <c r="H368" s="712"/>
      <c r="I368" s="712"/>
      <c r="J368" s="712"/>
      <c r="K368" s="712"/>
      <c r="L368" s="712"/>
      <c r="M368" s="712"/>
      <c r="N368" s="712"/>
      <c r="O368" s="712"/>
      <c r="P368" s="712"/>
      <c r="Q368" s="712"/>
      <c r="R368" s="712"/>
      <c r="S368" s="712"/>
      <c r="T368" s="712"/>
      <c r="U368" s="712"/>
      <c r="V368" s="712"/>
      <c r="W368" s="712"/>
      <c r="X368" s="712"/>
      <c r="Y368" s="712"/>
      <c r="Z368" s="71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713">
        <v>4680115889293</v>
      </c>
      <c r="E369" s="71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5"/>
      <c r="R369" s="715"/>
      <c r="S369" s="715"/>
      <c r="T369" s="71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713">
        <v>4680115887190</v>
      </c>
      <c r="E370" s="71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5"/>
      <c r="R370" s="715"/>
      <c r="S370" s="715"/>
      <c r="T370" s="71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713">
        <v>4680115889880</v>
      </c>
      <c r="E371" s="71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5"/>
      <c r="R371" s="715"/>
      <c r="S371" s="715"/>
      <c r="T371" s="71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713">
        <v>4680115887138</v>
      </c>
      <c r="E372" s="71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5"/>
      <c r="R372" s="715"/>
      <c r="S372" s="715"/>
      <c r="T372" s="71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713">
        <v>4680115885554</v>
      </c>
      <c r="E373" s="71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5"/>
      <c r="R373" s="715"/>
      <c r="S373" s="715"/>
      <c r="T373" s="71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713">
        <v>4680115887220</v>
      </c>
      <c r="E374" s="71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5"/>
      <c r="R374" s="715"/>
      <c r="S374" s="715"/>
      <c r="T374" s="71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713">
        <v>4680115885608</v>
      </c>
      <c r="E375" s="71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5"/>
      <c r="R375" s="715"/>
      <c r="S375" s="715"/>
      <c r="T375" s="71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720"/>
      <c r="B376" s="720"/>
      <c r="C376" s="720"/>
      <c r="D376" s="720"/>
      <c r="E376" s="720"/>
      <c r="F376" s="720"/>
      <c r="G376" s="720"/>
      <c r="H376" s="720"/>
      <c r="I376" s="720"/>
      <c r="J376" s="720"/>
      <c r="K376" s="720"/>
      <c r="L376" s="720"/>
      <c r="M376" s="720"/>
      <c r="N376" s="720"/>
      <c r="O376" s="721"/>
      <c r="P376" s="717" t="s">
        <v>40</v>
      </c>
      <c r="Q376" s="718"/>
      <c r="R376" s="718"/>
      <c r="S376" s="718"/>
      <c r="T376" s="718"/>
      <c r="U376" s="718"/>
      <c r="V376" s="719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0"/>
      <c r="B377" s="720"/>
      <c r="C377" s="720"/>
      <c r="D377" s="720"/>
      <c r="E377" s="720"/>
      <c r="F377" s="720"/>
      <c r="G377" s="720"/>
      <c r="H377" s="720"/>
      <c r="I377" s="720"/>
      <c r="J377" s="720"/>
      <c r="K377" s="720"/>
      <c r="L377" s="720"/>
      <c r="M377" s="720"/>
      <c r="N377" s="720"/>
      <c r="O377" s="721"/>
      <c r="P377" s="717" t="s">
        <v>40</v>
      </c>
      <c r="Q377" s="718"/>
      <c r="R377" s="718"/>
      <c r="S377" s="718"/>
      <c r="T377" s="718"/>
      <c r="U377" s="718"/>
      <c r="V377" s="719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2" t="s">
        <v>77</v>
      </c>
      <c r="B378" s="712"/>
      <c r="C378" s="712"/>
      <c r="D378" s="712"/>
      <c r="E378" s="712"/>
      <c r="F378" s="712"/>
      <c r="G378" s="712"/>
      <c r="H378" s="712"/>
      <c r="I378" s="712"/>
      <c r="J378" s="712"/>
      <c r="K378" s="712"/>
      <c r="L378" s="712"/>
      <c r="M378" s="712"/>
      <c r="N378" s="712"/>
      <c r="O378" s="712"/>
      <c r="P378" s="712"/>
      <c r="Q378" s="712"/>
      <c r="R378" s="712"/>
      <c r="S378" s="712"/>
      <c r="T378" s="712"/>
      <c r="U378" s="712"/>
      <c r="V378" s="712"/>
      <c r="W378" s="712"/>
      <c r="X378" s="712"/>
      <c r="Y378" s="712"/>
      <c r="Z378" s="71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713">
        <v>4607091387193</v>
      </c>
      <c r="E379" s="71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5"/>
      <c r="R379" s="715"/>
      <c r="S379" s="715"/>
      <c r="T379" s="71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713">
        <v>4607091387230</v>
      </c>
      <c r="E380" s="71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5"/>
      <c r="R380" s="715"/>
      <c r="S380" s="715"/>
      <c r="T380" s="716"/>
      <c r="U380" s="39" t="s">
        <v>46</v>
      </c>
      <c r="V380" s="39" t="s">
        <v>46</v>
      </c>
      <c r="W380" s="40" t="s">
        <v>0</v>
      </c>
      <c r="X380" s="58">
        <v>15</v>
      </c>
      <c r="Y380" s="55">
        <f t="shared" si="56"/>
        <v>16.8</v>
      </c>
      <c r="Z380" s="41">
        <f>IFERROR(IF(Y380=0,"",ROUNDUP(Y380/H380,0)*0.00902),"")</f>
        <v>3.6080000000000001E-2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15.892857142857142</v>
      </c>
      <c r="BN380" s="78">
        <f t="shared" si="58"/>
        <v>17.8</v>
      </c>
      <c r="BO380" s="78">
        <f t="shared" si="59"/>
        <v>2.7056277056277056E-2</v>
      </c>
      <c r="BP380" s="78">
        <f t="shared" si="60"/>
        <v>3.0303030303030304E-2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713">
        <v>4607091387292</v>
      </c>
      <c r="E381" s="71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5"/>
      <c r="R381" s="715"/>
      <c r="S381" s="715"/>
      <c r="T381" s="71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713">
        <v>4607091387285</v>
      </c>
      <c r="E382" s="71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5"/>
      <c r="R382" s="715"/>
      <c r="S382" s="715"/>
      <c r="T382" s="716"/>
      <c r="U382" s="39" t="s">
        <v>46</v>
      </c>
      <c r="V382" s="39" t="s">
        <v>46</v>
      </c>
      <c r="W382" s="40" t="s">
        <v>0</v>
      </c>
      <c r="X382" s="58">
        <v>21</v>
      </c>
      <c r="Y382" s="55">
        <f t="shared" si="56"/>
        <v>21</v>
      </c>
      <c r="Z382" s="41">
        <f>IFERROR(IF(Y382=0,"",ROUNDUP(Y382/H382,0)*0.00502),"")</f>
        <v>5.0200000000000002E-2</v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22.299999999999997</v>
      </c>
      <c r="BN382" s="78">
        <f t="shared" si="58"/>
        <v>22.299999999999997</v>
      </c>
      <c r="BO382" s="78">
        <f t="shared" si="59"/>
        <v>4.2735042735042736E-2</v>
      </c>
      <c r="BP382" s="78">
        <f t="shared" si="60"/>
        <v>4.2735042735042736E-2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713">
        <v>4607091389845</v>
      </c>
      <c r="E383" s="71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5"/>
      <c r="R383" s="715"/>
      <c r="S383" s="715"/>
      <c r="T383" s="71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3">
        <v>4680115887442</v>
      </c>
      <c r="E384" s="71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5"/>
      <c r="R384" s="715"/>
      <c r="S384" s="715"/>
      <c r="T384" s="71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635</v>
      </c>
      <c r="B385" s="63" t="s">
        <v>636</v>
      </c>
      <c r="C385" s="36">
        <v>4301031066</v>
      </c>
      <c r="D385" s="713">
        <v>4607091383836</v>
      </c>
      <c r="E385" s="71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5"/>
      <c r="R385" s="715"/>
      <c r="S385" s="715"/>
      <c r="T385" s="716"/>
      <c r="U385" s="39" t="s">
        <v>46</v>
      </c>
      <c r="V385" s="39" t="s">
        <v>46</v>
      </c>
      <c r="W385" s="40" t="s">
        <v>0</v>
      </c>
      <c r="X385" s="58">
        <v>6</v>
      </c>
      <c r="Y385" s="55">
        <f t="shared" si="56"/>
        <v>7.2</v>
      </c>
      <c r="Z385" s="41">
        <f>IFERROR(IF(Y385=0,"",ROUNDUP(Y385/H385,0)*0.00651),"")</f>
        <v>2.6040000000000001E-2</v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6.76</v>
      </c>
      <c r="BN385" s="78">
        <f t="shared" si="58"/>
        <v>8.1120000000000001</v>
      </c>
      <c r="BO385" s="78">
        <f t="shared" si="59"/>
        <v>1.8315018315018316E-2</v>
      </c>
      <c r="BP385" s="78">
        <f t="shared" si="60"/>
        <v>2.197802197802198E-2</v>
      </c>
    </row>
    <row r="386" spans="1:68" x14ac:dyDescent="0.2">
      <c r="A386" s="720"/>
      <c r="B386" s="720"/>
      <c r="C386" s="720"/>
      <c r="D386" s="720"/>
      <c r="E386" s="720"/>
      <c r="F386" s="720"/>
      <c r="G386" s="720"/>
      <c r="H386" s="720"/>
      <c r="I386" s="720"/>
      <c r="J386" s="720"/>
      <c r="K386" s="720"/>
      <c r="L386" s="720"/>
      <c r="M386" s="720"/>
      <c r="N386" s="720"/>
      <c r="O386" s="721"/>
      <c r="P386" s="717" t="s">
        <v>40</v>
      </c>
      <c r="Q386" s="718"/>
      <c r="R386" s="718"/>
      <c r="S386" s="718"/>
      <c r="T386" s="718"/>
      <c r="U386" s="718"/>
      <c r="V386" s="719"/>
      <c r="W386" s="42" t="s">
        <v>39</v>
      </c>
      <c r="X386" s="43">
        <f>IFERROR(X379/H379,"0")+IFERROR(X380/H380,"0")+IFERROR(X381/H381,"0")+IFERROR(X382/H382,"0")+IFERROR(X383/H383,"0")+IFERROR(X384/H384,"0")+IFERROR(X385/H385,"0")</f>
        <v>16.904761904761905</v>
      </c>
      <c r="Y386" s="43">
        <f>IFERROR(Y379/H379,"0")+IFERROR(Y380/H380,"0")+IFERROR(Y381/H381,"0")+IFERROR(Y382/H382,"0")+IFERROR(Y383/H383,"0")+IFERROR(Y384/H384,"0")+IFERROR(Y385/H385,"0")</f>
        <v>18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0.11232</v>
      </c>
      <c r="AA386" s="67"/>
      <c r="AB386" s="67"/>
      <c r="AC386" s="67"/>
    </row>
    <row r="387" spans="1:68" x14ac:dyDescent="0.2">
      <c r="A387" s="720"/>
      <c r="B387" s="720"/>
      <c r="C387" s="720"/>
      <c r="D387" s="720"/>
      <c r="E387" s="720"/>
      <c r="F387" s="720"/>
      <c r="G387" s="720"/>
      <c r="H387" s="720"/>
      <c r="I387" s="720"/>
      <c r="J387" s="720"/>
      <c r="K387" s="720"/>
      <c r="L387" s="720"/>
      <c r="M387" s="720"/>
      <c r="N387" s="720"/>
      <c r="O387" s="721"/>
      <c r="P387" s="717" t="s">
        <v>40</v>
      </c>
      <c r="Q387" s="718"/>
      <c r="R387" s="718"/>
      <c r="S387" s="718"/>
      <c r="T387" s="718"/>
      <c r="U387" s="718"/>
      <c r="V387" s="719"/>
      <c r="W387" s="42" t="s">
        <v>0</v>
      </c>
      <c r="X387" s="43">
        <f>IFERROR(SUM(X379:X385),"0")</f>
        <v>42</v>
      </c>
      <c r="Y387" s="43">
        <f>IFERROR(SUM(Y379:Y385),"0")</f>
        <v>45</v>
      </c>
      <c r="Z387" s="42"/>
      <c r="AA387" s="67"/>
      <c r="AB387" s="67"/>
      <c r="AC387" s="67"/>
    </row>
    <row r="388" spans="1:68" ht="14.25" hidden="1" customHeight="1" x14ac:dyDescent="0.25">
      <c r="A388" s="712" t="s">
        <v>83</v>
      </c>
      <c r="B388" s="712"/>
      <c r="C388" s="712"/>
      <c r="D388" s="712"/>
      <c r="E388" s="712"/>
      <c r="F388" s="712"/>
      <c r="G388" s="712"/>
      <c r="H388" s="712"/>
      <c r="I388" s="712"/>
      <c r="J388" s="712"/>
      <c r="K388" s="712"/>
      <c r="L388" s="712"/>
      <c r="M388" s="712"/>
      <c r="N388" s="712"/>
      <c r="O388" s="712"/>
      <c r="P388" s="712"/>
      <c r="Q388" s="712"/>
      <c r="R388" s="712"/>
      <c r="S388" s="712"/>
      <c r="T388" s="712"/>
      <c r="U388" s="712"/>
      <c r="V388" s="712"/>
      <c r="W388" s="712"/>
      <c r="X388" s="712"/>
      <c r="Y388" s="712"/>
      <c r="Z388" s="71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713">
        <v>4607091387766</v>
      </c>
      <c r="E389" s="71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5"/>
      <c r="R389" s="715"/>
      <c r="S389" s="715"/>
      <c r="T389" s="71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713">
        <v>4607091387957</v>
      </c>
      <c r="E390" s="71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5"/>
      <c r="R390" s="715"/>
      <c r="S390" s="715"/>
      <c r="T390" s="71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713">
        <v>4607091387964</v>
      </c>
      <c r="E391" s="71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5"/>
      <c r="R391" s="715"/>
      <c r="S391" s="715"/>
      <c r="T391" s="71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3">
        <v>4680115884588</v>
      </c>
      <c r="E392" s="71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5"/>
      <c r="R392" s="715"/>
      <c r="S392" s="715"/>
      <c r="T392" s="71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20"/>
      <c r="B393" s="720"/>
      <c r="C393" s="720"/>
      <c r="D393" s="720"/>
      <c r="E393" s="720"/>
      <c r="F393" s="720"/>
      <c r="G393" s="720"/>
      <c r="H393" s="720"/>
      <c r="I393" s="720"/>
      <c r="J393" s="720"/>
      <c r="K393" s="720"/>
      <c r="L393" s="720"/>
      <c r="M393" s="720"/>
      <c r="N393" s="720"/>
      <c r="O393" s="721"/>
      <c r="P393" s="717" t="s">
        <v>40</v>
      </c>
      <c r="Q393" s="718"/>
      <c r="R393" s="718"/>
      <c r="S393" s="718"/>
      <c r="T393" s="718"/>
      <c r="U393" s="718"/>
      <c r="V393" s="719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20"/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1"/>
      <c r="P394" s="717" t="s">
        <v>40</v>
      </c>
      <c r="Q394" s="718"/>
      <c r="R394" s="718"/>
      <c r="S394" s="718"/>
      <c r="T394" s="718"/>
      <c r="U394" s="718"/>
      <c r="V394" s="719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12" t="s">
        <v>183</v>
      </c>
      <c r="B395" s="712"/>
      <c r="C395" s="712"/>
      <c r="D395" s="712"/>
      <c r="E395" s="712"/>
      <c r="F395" s="712"/>
      <c r="G395" s="712"/>
      <c r="H395" s="712"/>
      <c r="I395" s="712"/>
      <c r="J395" s="712"/>
      <c r="K395" s="712"/>
      <c r="L395" s="712"/>
      <c r="M395" s="712"/>
      <c r="N395" s="712"/>
      <c r="O395" s="712"/>
      <c r="P395" s="712"/>
      <c r="Q395" s="712"/>
      <c r="R395" s="712"/>
      <c r="S395" s="712"/>
      <c r="T395" s="712"/>
      <c r="U395" s="712"/>
      <c r="V395" s="712"/>
      <c r="W395" s="712"/>
      <c r="X395" s="712"/>
      <c r="Y395" s="712"/>
      <c r="Z395" s="71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713">
        <v>4607091380880</v>
      </c>
      <c r="E396" s="71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5"/>
      <c r="R396" s="715"/>
      <c r="S396" s="715"/>
      <c r="T396" s="71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713">
        <v>4607091384482</v>
      </c>
      <c r="E397" s="71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5"/>
      <c r="R397" s="715"/>
      <c r="S397" s="715"/>
      <c r="T397" s="716"/>
      <c r="U397" s="39" t="s">
        <v>46</v>
      </c>
      <c r="V397" s="39" t="s">
        <v>46</v>
      </c>
      <c r="W397" s="40" t="s">
        <v>0</v>
      </c>
      <c r="X397" s="58">
        <v>40</v>
      </c>
      <c r="Y397" s="55">
        <f>IFERROR(IF(X397="",0,CEILING((X397/$H397),1)*$H397),"")</f>
        <v>46.8</v>
      </c>
      <c r="Z397" s="41">
        <f>IFERROR(IF(Y397=0,"",ROUNDUP(Y397/H397,0)*0.01898),"")</f>
        <v>0.11388000000000001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42.533333333333331</v>
      </c>
      <c r="BN397" s="78">
        <f>IFERROR(Y397*I397/H397,"0")</f>
        <v>49.764000000000003</v>
      </c>
      <c r="BO397" s="78">
        <f>IFERROR(1/J397*(X397/H397),"0")</f>
        <v>8.0128205128205135E-2</v>
      </c>
      <c r="BP397" s="78">
        <f>IFERROR(1/J397*(Y397/H397),"0")</f>
        <v>9.375E-2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713">
        <v>4607091380897</v>
      </c>
      <c r="E398" s="71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5"/>
      <c r="R398" s="715"/>
      <c r="S398" s="715"/>
      <c r="T398" s="71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20"/>
      <c r="B399" s="720"/>
      <c r="C399" s="720"/>
      <c r="D399" s="720"/>
      <c r="E399" s="720"/>
      <c r="F399" s="720"/>
      <c r="G399" s="720"/>
      <c r="H399" s="720"/>
      <c r="I399" s="720"/>
      <c r="J399" s="720"/>
      <c r="K399" s="720"/>
      <c r="L399" s="720"/>
      <c r="M399" s="720"/>
      <c r="N399" s="720"/>
      <c r="O399" s="721"/>
      <c r="P399" s="717" t="s">
        <v>40</v>
      </c>
      <c r="Q399" s="718"/>
      <c r="R399" s="718"/>
      <c r="S399" s="718"/>
      <c r="T399" s="718"/>
      <c r="U399" s="718"/>
      <c r="V399" s="719"/>
      <c r="W399" s="42" t="s">
        <v>39</v>
      </c>
      <c r="X399" s="43">
        <f>IFERROR(X396/H396,"0")+IFERROR(X397/H397,"0")+IFERROR(X398/H398,"0")</f>
        <v>5.1282051282051286</v>
      </c>
      <c r="Y399" s="43">
        <f>IFERROR(Y396/H396,"0")+IFERROR(Y397/H397,"0")+IFERROR(Y398/H398,"0")</f>
        <v>6</v>
      </c>
      <c r="Z399" s="43">
        <f>IFERROR(IF(Z396="",0,Z396),"0")+IFERROR(IF(Z397="",0,Z397),"0")+IFERROR(IF(Z398="",0,Z398),"0")</f>
        <v>0.11388000000000001</v>
      </c>
      <c r="AA399" s="67"/>
      <c r="AB399" s="67"/>
      <c r="AC399" s="67"/>
    </row>
    <row r="400" spans="1:68" x14ac:dyDescent="0.2">
      <c r="A400" s="720"/>
      <c r="B400" s="720"/>
      <c r="C400" s="720"/>
      <c r="D400" s="720"/>
      <c r="E400" s="720"/>
      <c r="F400" s="720"/>
      <c r="G400" s="720"/>
      <c r="H400" s="720"/>
      <c r="I400" s="720"/>
      <c r="J400" s="720"/>
      <c r="K400" s="720"/>
      <c r="L400" s="720"/>
      <c r="M400" s="720"/>
      <c r="N400" s="720"/>
      <c r="O400" s="721"/>
      <c r="P400" s="717" t="s">
        <v>40</v>
      </c>
      <c r="Q400" s="718"/>
      <c r="R400" s="718"/>
      <c r="S400" s="718"/>
      <c r="T400" s="718"/>
      <c r="U400" s="718"/>
      <c r="V400" s="719"/>
      <c r="W400" s="42" t="s">
        <v>0</v>
      </c>
      <c r="X400" s="43">
        <f>IFERROR(SUM(X396:X398),"0")</f>
        <v>40</v>
      </c>
      <c r="Y400" s="43">
        <f>IFERROR(SUM(Y396:Y398),"0")</f>
        <v>46.8</v>
      </c>
      <c r="Z400" s="42"/>
      <c r="AA400" s="67"/>
      <c r="AB400" s="67"/>
      <c r="AC400" s="67"/>
    </row>
    <row r="401" spans="1:68" ht="14.25" hidden="1" customHeight="1" x14ac:dyDescent="0.25">
      <c r="A401" s="712" t="s">
        <v>101</v>
      </c>
      <c r="B401" s="712"/>
      <c r="C401" s="712"/>
      <c r="D401" s="712"/>
      <c r="E401" s="712"/>
      <c r="F401" s="712"/>
      <c r="G401" s="712"/>
      <c r="H401" s="712"/>
      <c r="I401" s="712"/>
      <c r="J401" s="712"/>
      <c r="K401" s="712"/>
      <c r="L401" s="712"/>
      <c r="M401" s="712"/>
      <c r="N401" s="712"/>
      <c r="O401" s="712"/>
      <c r="P401" s="712"/>
      <c r="Q401" s="712"/>
      <c r="R401" s="712"/>
      <c r="S401" s="712"/>
      <c r="T401" s="712"/>
      <c r="U401" s="712"/>
      <c r="V401" s="712"/>
      <c r="W401" s="712"/>
      <c r="X401" s="712"/>
      <c r="Y401" s="712"/>
      <c r="Z401" s="71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3">
        <v>4607091388381</v>
      </c>
      <c r="E402" s="71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5"/>
      <c r="R402" s="715"/>
      <c r="S402" s="715"/>
      <c r="T402" s="71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713">
        <v>4607091388374</v>
      </c>
      <c r="E403" s="71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5"/>
      <c r="R403" s="715"/>
      <c r="S403" s="715"/>
      <c r="T403" s="71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713">
        <v>4607091383102</v>
      </c>
      <c r="E404" s="71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5"/>
      <c r="R404" s="715"/>
      <c r="S404" s="715"/>
      <c r="T404" s="71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713">
        <v>4607091388404</v>
      </c>
      <c r="E405" s="71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5"/>
      <c r="R405" s="715"/>
      <c r="S405" s="715"/>
      <c r="T405" s="71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20"/>
      <c r="B406" s="720"/>
      <c r="C406" s="720"/>
      <c r="D406" s="720"/>
      <c r="E406" s="720"/>
      <c r="F406" s="720"/>
      <c r="G406" s="720"/>
      <c r="H406" s="720"/>
      <c r="I406" s="720"/>
      <c r="J406" s="720"/>
      <c r="K406" s="720"/>
      <c r="L406" s="720"/>
      <c r="M406" s="720"/>
      <c r="N406" s="720"/>
      <c r="O406" s="721"/>
      <c r="P406" s="717" t="s">
        <v>40</v>
      </c>
      <c r="Q406" s="718"/>
      <c r="R406" s="718"/>
      <c r="S406" s="718"/>
      <c r="T406" s="718"/>
      <c r="U406" s="718"/>
      <c r="V406" s="719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20"/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1"/>
      <c r="P407" s="717" t="s">
        <v>40</v>
      </c>
      <c r="Q407" s="718"/>
      <c r="R407" s="718"/>
      <c r="S407" s="718"/>
      <c r="T407" s="718"/>
      <c r="U407" s="718"/>
      <c r="V407" s="719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12" t="s">
        <v>667</v>
      </c>
      <c r="B408" s="712"/>
      <c r="C408" s="712"/>
      <c r="D408" s="712"/>
      <c r="E408" s="712"/>
      <c r="F408" s="712"/>
      <c r="G408" s="712"/>
      <c r="H408" s="712"/>
      <c r="I408" s="712"/>
      <c r="J408" s="712"/>
      <c r="K408" s="712"/>
      <c r="L408" s="712"/>
      <c r="M408" s="712"/>
      <c r="N408" s="712"/>
      <c r="O408" s="712"/>
      <c r="P408" s="712"/>
      <c r="Q408" s="712"/>
      <c r="R408" s="712"/>
      <c r="S408" s="712"/>
      <c r="T408" s="712"/>
      <c r="U408" s="712"/>
      <c r="V408" s="712"/>
      <c r="W408" s="712"/>
      <c r="X408" s="712"/>
      <c r="Y408" s="712"/>
      <c r="Z408" s="71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3">
        <v>4680115881808</v>
      </c>
      <c r="E409" s="71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5"/>
      <c r="R409" s="715"/>
      <c r="S409" s="715"/>
      <c r="T409" s="71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3">
        <v>4680115881822</v>
      </c>
      <c r="E410" s="71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5"/>
      <c r="R410" s="715"/>
      <c r="S410" s="715"/>
      <c r="T410" s="71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3">
        <v>4680115880016</v>
      </c>
      <c r="E411" s="71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5"/>
      <c r="R411" s="715"/>
      <c r="S411" s="715"/>
      <c r="T411" s="71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0"/>
      <c r="B412" s="720"/>
      <c r="C412" s="720"/>
      <c r="D412" s="720"/>
      <c r="E412" s="720"/>
      <c r="F412" s="720"/>
      <c r="G412" s="720"/>
      <c r="H412" s="720"/>
      <c r="I412" s="720"/>
      <c r="J412" s="720"/>
      <c r="K412" s="720"/>
      <c r="L412" s="720"/>
      <c r="M412" s="720"/>
      <c r="N412" s="720"/>
      <c r="O412" s="721"/>
      <c r="P412" s="717" t="s">
        <v>40</v>
      </c>
      <c r="Q412" s="718"/>
      <c r="R412" s="718"/>
      <c r="S412" s="718"/>
      <c r="T412" s="718"/>
      <c r="U412" s="718"/>
      <c r="V412" s="719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0"/>
      <c r="B413" s="720"/>
      <c r="C413" s="720"/>
      <c r="D413" s="720"/>
      <c r="E413" s="720"/>
      <c r="F413" s="720"/>
      <c r="G413" s="720"/>
      <c r="H413" s="720"/>
      <c r="I413" s="720"/>
      <c r="J413" s="720"/>
      <c r="K413" s="720"/>
      <c r="L413" s="720"/>
      <c r="M413" s="720"/>
      <c r="N413" s="720"/>
      <c r="O413" s="721"/>
      <c r="P413" s="717" t="s">
        <v>40</v>
      </c>
      <c r="Q413" s="718"/>
      <c r="R413" s="718"/>
      <c r="S413" s="718"/>
      <c r="T413" s="718"/>
      <c r="U413" s="718"/>
      <c r="V413" s="719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2" t="s">
        <v>676</v>
      </c>
      <c r="B414" s="712"/>
      <c r="C414" s="712"/>
      <c r="D414" s="712"/>
      <c r="E414" s="712"/>
      <c r="F414" s="712"/>
      <c r="G414" s="712"/>
      <c r="H414" s="712"/>
      <c r="I414" s="712"/>
      <c r="J414" s="712"/>
      <c r="K414" s="712"/>
      <c r="L414" s="712"/>
      <c r="M414" s="712"/>
      <c r="N414" s="712"/>
      <c r="O414" s="712"/>
      <c r="P414" s="712"/>
      <c r="Q414" s="712"/>
      <c r="R414" s="712"/>
      <c r="S414" s="712"/>
      <c r="T414" s="712"/>
      <c r="U414" s="712"/>
      <c r="V414" s="712"/>
      <c r="W414" s="712"/>
      <c r="X414" s="712"/>
      <c r="Y414" s="712"/>
      <c r="Z414" s="71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3">
        <v>4680115888678</v>
      </c>
      <c r="E415" s="71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5"/>
      <c r="R415" s="715"/>
      <c r="S415" s="715"/>
      <c r="T415" s="71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3">
        <v>4680115888654</v>
      </c>
      <c r="E416" s="71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5"/>
      <c r="R416" s="715"/>
      <c r="S416" s="715"/>
      <c r="T416" s="71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3">
        <v>4680115888753</v>
      </c>
      <c r="E417" s="71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5"/>
      <c r="R417" s="715"/>
      <c r="S417" s="715"/>
      <c r="T417" s="71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0"/>
      <c r="B418" s="720"/>
      <c r="C418" s="720"/>
      <c r="D418" s="720"/>
      <c r="E418" s="720"/>
      <c r="F418" s="720"/>
      <c r="G418" s="720"/>
      <c r="H418" s="720"/>
      <c r="I418" s="720"/>
      <c r="J418" s="720"/>
      <c r="K418" s="720"/>
      <c r="L418" s="720"/>
      <c r="M418" s="720"/>
      <c r="N418" s="720"/>
      <c r="O418" s="721"/>
      <c r="P418" s="717" t="s">
        <v>40</v>
      </c>
      <c r="Q418" s="718"/>
      <c r="R418" s="718"/>
      <c r="S418" s="718"/>
      <c r="T418" s="718"/>
      <c r="U418" s="718"/>
      <c r="V418" s="719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0"/>
      <c r="B419" s="720"/>
      <c r="C419" s="720"/>
      <c r="D419" s="720"/>
      <c r="E419" s="720"/>
      <c r="F419" s="720"/>
      <c r="G419" s="720"/>
      <c r="H419" s="720"/>
      <c r="I419" s="720"/>
      <c r="J419" s="720"/>
      <c r="K419" s="720"/>
      <c r="L419" s="720"/>
      <c r="M419" s="720"/>
      <c r="N419" s="720"/>
      <c r="O419" s="721"/>
      <c r="P419" s="717" t="s">
        <v>40</v>
      </c>
      <c r="Q419" s="718"/>
      <c r="R419" s="718"/>
      <c r="S419" s="718"/>
      <c r="T419" s="718"/>
      <c r="U419" s="718"/>
      <c r="V419" s="719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1" t="s">
        <v>685</v>
      </c>
      <c r="B420" s="711"/>
      <c r="C420" s="711"/>
      <c r="D420" s="711"/>
      <c r="E420" s="711"/>
      <c r="F420" s="711"/>
      <c r="G420" s="711"/>
      <c r="H420" s="711"/>
      <c r="I420" s="711"/>
      <c r="J420" s="711"/>
      <c r="K420" s="711"/>
      <c r="L420" s="711"/>
      <c r="M420" s="711"/>
      <c r="N420" s="711"/>
      <c r="O420" s="711"/>
      <c r="P420" s="711"/>
      <c r="Q420" s="711"/>
      <c r="R420" s="711"/>
      <c r="S420" s="711"/>
      <c r="T420" s="711"/>
      <c r="U420" s="711"/>
      <c r="V420" s="711"/>
      <c r="W420" s="711"/>
      <c r="X420" s="711"/>
      <c r="Y420" s="711"/>
      <c r="Z420" s="711"/>
      <c r="AA420" s="65"/>
      <c r="AB420" s="65"/>
      <c r="AC420" s="79"/>
    </row>
    <row r="421" spans="1:68" ht="14.25" hidden="1" customHeight="1" x14ac:dyDescent="0.25">
      <c r="A421" s="712" t="s">
        <v>83</v>
      </c>
      <c r="B421" s="712"/>
      <c r="C421" s="712"/>
      <c r="D421" s="712"/>
      <c r="E421" s="712"/>
      <c r="F421" s="712"/>
      <c r="G421" s="712"/>
      <c r="H421" s="712"/>
      <c r="I421" s="712"/>
      <c r="J421" s="712"/>
      <c r="K421" s="712"/>
      <c r="L421" s="712"/>
      <c r="M421" s="712"/>
      <c r="N421" s="712"/>
      <c r="O421" s="712"/>
      <c r="P421" s="712"/>
      <c r="Q421" s="712"/>
      <c r="R421" s="712"/>
      <c r="S421" s="712"/>
      <c r="T421" s="712"/>
      <c r="U421" s="712"/>
      <c r="V421" s="712"/>
      <c r="W421" s="712"/>
      <c r="X421" s="712"/>
      <c r="Y421" s="712"/>
      <c r="Z421" s="71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713">
        <v>4680115889415</v>
      </c>
      <c r="E422" s="71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5"/>
      <c r="R422" s="715"/>
      <c r="S422" s="715"/>
      <c r="T422" s="71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3">
        <v>4660663720026</v>
      </c>
      <c r="E423" s="71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5" t="s">
        <v>690</v>
      </c>
      <c r="Q423" s="715"/>
      <c r="R423" s="715"/>
      <c r="S423" s="715"/>
      <c r="T423" s="71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3">
        <v>4680115889422</v>
      </c>
      <c r="E424" s="71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5"/>
      <c r="R424" s="715"/>
      <c r="S424" s="715"/>
      <c r="T424" s="71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3">
        <v>4680115889972</v>
      </c>
      <c r="E425" s="71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5"/>
      <c r="R425" s="715"/>
      <c r="S425" s="715"/>
      <c r="T425" s="71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0"/>
      <c r="B426" s="720"/>
      <c r="C426" s="720"/>
      <c r="D426" s="720"/>
      <c r="E426" s="720"/>
      <c r="F426" s="720"/>
      <c r="G426" s="720"/>
      <c r="H426" s="720"/>
      <c r="I426" s="720"/>
      <c r="J426" s="720"/>
      <c r="K426" s="720"/>
      <c r="L426" s="720"/>
      <c r="M426" s="720"/>
      <c r="N426" s="720"/>
      <c r="O426" s="721"/>
      <c r="P426" s="717" t="s">
        <v>40</v>
      </c>
      <c r="Q426" s="718"/>
      <c r="R426" s="718"/>
      <c r="S426" s="718"/>
      <c r="T426" s="718"/>
      <c r="U426" s="718"/>
      <c r="V426" s="719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0"/>
      <c r="B427" s="720"/>
      <c r="C427" s="720"/>
      <c r="D427" s="720"/>
      <c r="E427" s="720"/>
      <c r="F427" s="720"/>
      <c r="G427" s="720"/>
      <c r="H427" s="720"/>
      <c r="I427" s="720"/>
      <c r="J427" s="720"/>
      <c r="K427" s="720"/>
      <c r="L427" s="720"/>
      <c r="M427" s="720"/>
      <c r="N427" s="720"/>
      <c r="O427" s="721"/>
      <c r="P427" s="717" t="s">
        <v>40</v>
      </c>
      <c r="Q427" s="718"/>
      <c r="R427" s="718"/>
      <c r="S427" s="718"/>
      <c r="T427" s="718"/>
      <c r="U427" s="718"/>
      <c r="V427" s="719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1" t="s">
        <v>697</v>
      </c>
      <c r="B428" s="711"/>
      <c r="C428" s="711"/>
      <c r="D428" s="711"/>
      <c r="E428" s="711"/>
      <c r="F428" s="711"/>
      <c r="G428" s="711"/>
      <c r="H428" s="711"/>
      <c r="I428" s="711"/>
      <c r="J428" s="711"/>
      <c r="K428" s="711"/>
      <c r="L428" s="711"/>
      <c r="M428" s="711"/>
      <c r="N428" s="711"/>
      <c r="O428" s="711"/>
      <c r="P428" s="711"/>
      <c r="Q428" s="711"/>
      <c r="R428" s="711"/>
      <c r="S428" s="711"/>
      <c r="T428" s="711"/>
      <c r="U428" s="711"/>
      <c r="V428" s="711"/>
      <c r="W428" s="711"/>
      <c r="X428" s="711"/>
      <c r="Y428" s="711"/>
      <c r="Z428" s="711"/>
      <c r="AA428" s="65"/>
      <c r="AB428" s="65"/>
      <c r="AC428" s="79"/>
    </row>
    <row r="429" spans="1:68" ht="14.25" hidden="1" customHeight="1" x14ac:dyDescent="0.25">
      <c r="A429" s="712" t="s">
        <v>83</v>
      </c>
      <c r="B429" s="712"/>
      <c r="C429" s="712"/>
      <c r="D429" s="712"/>
      <c r="E429" s="712"/>
      <c r="F429" s="712"/>
      <c r="G429" s="712"/>
      <c r="H429" s="712"/>
      <c r="I429" s="712"/>
      <c r="J429" s="712"/>
      <c r="K429" s="712"/>
      <c r="L429" s="712"/>
      <c r="M429" s="712"/>
      <c r="N429" s="712"/>
      <c r="O429" s="712"/>
      <c r="P429" s="712"/>
      <c r="Q429" s="712"/>
      <c r="R429" s="712"/>
      <c r="S429" s="712"/>
      <c r="T429" s="712"/>
      <c r="U429" s="712"/>
      <c r="V429" s="712"/>
      <c r="W429" s="712"/>
      <c r="X429" s="712"/>
      <c r="Y429" s="712"/>
      <c r="Z429" s="712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713">
        <v>4607091387919</v>
      </c>
      <c r="E430" s="71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5"/>
      <c r="R430" s="715"/>
      <c r="S430" s="715"/>
      <c r="T430" s="716"/>
      <c r="U430" s="39" t="s">
        <v>46</v>
      </c>
      <c r="V430" s="39" t="s">
        <v>46</v>
      </c>
      <c r="W430" s="40" t="s">
        <v>0</v>
      </c>
      <c r="X430" s="58">
        <v>30</v>
      </c>
      <c r="Y430" s="55">
        <f>IFERROR(IF(X430="",0,CEILING((X430/$H430),1)*$H430),"")</f>
        <v>32.4</v>
      </c>
      <c r="Z430" s="41">
        <f>IFERROR(IF(Y430=0,"",ROUNDUP(Y430/H430,0)*0.01898),"")</f>
        <v>7.5920000000000001E-2</v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31.829629629629629</v>
      </c>
      <c r="BN430" s="78">
        <f>IFERROR(Y430*I430/H430,"0")</f>
        <v>34.375999999999998</v>
      </c>
      <c r="BO430" s="78">
        <f>IFERROR(1/J430*(X430/H430),"0")</f>
        <v>5.7870370370370371E-2</v>
      </c>
      <c r="BP430" s="78">
        <f>IFERROR(1/J430*(Y430/H430),"0")</f>
        <v>6.25E-2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713">
        <v>4680115883604</v>
      </c>
      <c r="E431" s="71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5"/>
      <c r="R431" s="715"/>
      <c r="S431" s="715"/>
      <c r="T431" s="716"/>
      <c r="U431" s="39" t="s">
        <v>46</v>
      </c>
      <c r="V431" s="39" t="s">
        <v>46</v>
      </c>
      <c r="W431" s="40" t="s">
        <v>0</v>
      </c>
      <c r="X431" s="58">
        <v>52.5</v>
      </c>
      <c r="Y431" s="55">
        <f>IFERROR(IF(X431="",0,CEILING((X431/$H431),1)*$H431),"")</f>
        <v>52.5</v>
      </c>
      <c r="Z431" s="41">
        <f>IFERROR(IF(Y431=0,"",ROUNDUP(Y431/H431,0)*0.00651),"")</f>
        <v>0.16275000000000001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58.79999999999999</v>
      </c>
      <c r="BN431" s="78">
        <f>IFERROR(Y431*I431/H431,"0")</f>
        <v>58.79999999999999</v>
      </c>
      <c r="BO431" s="78">
        <f>IFERROR(1/J431*(X431/H431),"0")</f>
        <v>0.13736263736263737</v>
      </c>
      <c r="BP431" s="78">
        <f>IFERROR(1/J431*(Y431/H431),"0")</f>
        <v>0.13736263736263737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713">
        <v>4680115883567</v>
      </c>
      <c r="E432" s="71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5"/>
      <c r="R432" s="715"/>
      <c r="S432" s="715"/>
      <c r="T432" s="716"/>
      <c r="U432" s="39" t="s">
        <v>46</v>
      </c>
      <c r="V432" s="39" t="s">
        <v>46</v>
      </c>
      <c r="W432" s="40" t="s">
        <v>0</v>
      </c>
      <c r="X432" s="58">
        <v>52.5</v>
      </c>
      <c r="Y432" s="55">
        <f>IFERROR(IF(X432="",0,CEILING((X432/$H432),1)*$H432),"")</f>
        <v>52.5</v>
      </c>
      <c r="Z432" s="41">
        <f>IFERROR(IF(Y432=0,"",ROUNDUP(Y432/H432,0)*0.00651),"")</f>
        <v>0.16275000000000001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58.499999999999993</v>
      </c>
      <c r="BN432" s="78">
        <f>IFERROR(Y432*I432/H432,"0")</f>
        <v>58.499999999999993</v>
      </c>
      <c r="BO432" s="78">
        <f>IFERROR(1/J432*(X432/H432),"0")</f>
        <v>0.13736263736263737</v>
      </c>
      <c r="BP432" s="78">
        <f>IFERROR(1/J432*(Y432/H432),"0")</f>
        <v>0.13736263736263737</v>
      </c>
    </row>
    <row r="433" spans="1:68" x14ac:dyDescent="0.2">
      <c r="A433" s="720"/>
      <c r="B433" s="720"/>
      <c r="C433" s="720"/>
      <c r="D433" s="720"/>
      <c r="E433" s="720"/>
      <c r="F433" s="720"/>
      <c r="G433" s="720"/>
      <c r="H433" s="720"/>
      <c r="I433" s="720"/>
      <c r="J433" s="720"/>
      <c r="K433" s="720"/>
      <c r="L433" s="720"/>
      <c r="M433" s="720"/>
      <c r="N433" s="720"/>
      <c r="O433" s="721"/>
      <c r="P433" s="717" t="s">
        <v>40</v>
      </c>
      <c r="Q433" s="718"/>
      <c r="R433" s="718"/>
      <c r="S433" s="718"/>
      <c r="T433" s="718"/>
      <c r="U433" s="718"/>
      <c r="V433" s="719"/>
      <c r="W433" s="42" t="s">
        <v>39</v>
      </c>
      <c r="X433" s="43">
        <f>IFERROR(X430/H430,"0")+IFERROR(X431/H431,"0")+IFERROR(X432/H432,"0")</f>
        <v>53.703703703703702</v>
      </c>
      <c r="Y433" s="43">
        <f>IFERROR(Y430/H430,"0")+IFERROR(Y431/H431,"0")+IFERROR(Y432/H432,"0")</f>
        <v>54</v>
      </c>
      <c r="Z433" s="43">
        <f>IFERROR(IF(Z430="",0,Z430),"0")+IFERROR(IF(Z431="",0,Z431),"0")+IFERROR(IF(Z432="",0,Z432),"0")</f>
        <v>0.40142</v>
      </c>
      <c r="AA433" s="67"/>
      <c r="AB433" s="67"/>
      <c r="AC433" s="67"/>
    </row>
    <row r="434" spans="1:68" x14ac:dyDescent="0.2">
      <c r="A434" s="720"/>
      <c r="B434" s="720"/>
      <c r="C434" s="720"/>
      <c r="D434" s="720"/>
      <c r="E434" s="720"/>
      <c r="F434" s="720"/>
      <c r="G434" s="720"/>
      <c r="H434" s="720"/>
      <c r="I434" s="720"/>
      <c r="J434" s="720"/>
      <c r="K434" s="720"/>
      <c r="L434" s="720"/>
      <c r="M434" s="720"/>
      <c r="N434" s="720"/>
      <c r="O434" s="721"/>
      <c r="P434" s="717" t="s">
        <v>40</v>
      </c>
      <c r="Q434" s="718"/>
      <c r="R434" s="718"/>
      <c r="S434" s="718"/>
      <c r="T434" s="718"/>
      <c r="U434" s="718"/>
      <c r="V434" s="719"/>
      <c r="W434" s="42" t="s">
        <v>0</v>
      </c>
      <c r="X434" s="43">
        <f>IFERROR(SUM(X430:X432),"0")</f>
        <v>135</v>
      </c>
      <c r="Y434" s="43">
        <f>IFERROR(SUM(Y430:Y432),"0")</f>
        <v>137.4</v>
      </c>
      <c r="Z434" s="42"/>
      <c r="AA434" s="67"/>
      <c r="AB434" s="67"/>
      <c r="AC434" s="67"/>
    </row>
    <row r="435" spans="1:68" ht="27.75" hidden="1" customHeight="1" x14ac:dyDescent="0.2">
      <c r="A435" s="710" t="s">
        <v>707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54"/>
      <c r="AB435" s="54"/>
      <c r="AC435" s="54"/>
    </row>
    <row r="436" spans="1:68" ht="16.5" hidden="1" customHeight="1" x14ac:dyDescent="0.25">
      <c r="A436" s="711" t="s">
        <v>708</v>
      </c>
      <c r="B436" s="711"/>
      <c r="C436" s="711"/>
      <c r="D436" s="711"/>
      <c r="E436" s="711"/>
      <c r="F436" s="711"/>
      <c r="G436" s="711"/>
      <c r="H436" s="711"/>
      <c r="I436" s="711"/>
      <c r="J436" s="711"/>
      <c r="K436" s="711"/>
      <c r="L436" s="711"/>
      <c r="M436" s="711"/>
      <c r="N436" s="711"/>
      <c r="O436" s="711"/>
      <c r="P436" s="711"/>
      <c r="Q436" s="711"/>
      <c r="R436" s="711"/>
      <c r="S436" s="711"/>
      <c r="T436" s="711"/>
      <c r="U436" s="711"/>
      <c r="V436" s="711"/>
      <c r="W436" s="711"/>
      <c r="X436" s="711"/>
      <c r="Y436" s="711"/>
      <c r="Z436" s="711"/>
      <c r="AA436" s="65"/>
      <c r="AB436" s="65"/>
      <c r="AC436" s="79"/>
    </row>
    <row r="437" spans="1:68" ht="14.25" hidden="1" customHeight="1" x14ac:dyDescent="0.25">
      <c r="A437" s="712" t="s">
        <v>130</v>
      </c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2"/>
      <c r="P437" s="712"/>
      <c r="Q437" s="712"/>
      <c r="R437" s="712"/>
      <c r="S437" s="712"/>
      <c r="T437" s="712"/>
      <c r="U437" s="712"/>
      <c r="V437" s="712"/>
      <c r="W437" s="712"/>
      <c r="X437" s="712"/>
      <c r="Y437" s="712"/>
      <c r="Z437" s="712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713">
        <v>4680115888401</v>
      </c>
      <c r="E438" s="71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5"/>
      <c r="R438" s="715"/>
      <c r="S438" s="715"/>
      <c r="T438" s="716"/>
      <c r="U438" s="39" t="s">
        <v>46</v>
      </c>
      <c r="V438" s="39" t="s">
        <v>46</v>
      </c>
      <c r="W438" s="40" t="s">
        <v>0</v>
      </c>
      <c r="X438" s="58">
        <v>50</v>
      </c>
      <c r="Y438" s="55">
        <f t="shared" ref="Y438:Y445" si="61">IFERROR(IF(X438="",0,CEILING((X438/$H438),1)*$H438),"")</f>
        <v>60</v>
      </c>
      <c r="Z438" s="41">
        <f>IFERROR(IF(Y438=0,"",ROUNDUP(Y438/H438,0)*0.02175),"")</f>
        <v>8.6999999999999994E-2</v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51.56666666666667</v>
      </c>
      <c r="BN438" s="78">
        <f t="shared" ref="BN438:BN445" si="63">IFERROR(Y438*I438/H438,"0")</f>
        <v>61.88</v>
      </c>
      <c r="BO438" s="78">
        <f t="shared" ref="BO438:BO445" si="64">IFERROR(1/J438*(X438/H438),"0")</f>
        <v>6.9444444444444448E-2</v>
      </c>
      <c r="BP438" s="78">
        <f t="shared" ref="BP438:BP445" si="65">IFERROR(1/J438*(Y438/H438),"0")</f>
        <v>8.3333333333333329E-2</v>
      </c>
    </row>
    <row r="439" spans="1:68" ht="37.5" hidden="1" customHeight="1" x14ac:dyDescent="0.25">
      <c r="A439" s="63" t="s">
        <v>712</v>
      </c>
      <c r="B439" s="63" t="s">
        <v>713</v>
      </c>
      <c r="C439" s="36">
        <v>4301011869</v>
      </c>
      <c r="D439" s="713">
        <v>4680115884847</v>
      </c>
      <c r="E439" s="71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5"/>
      <c r="R439" s="715"/>
      <c r="S439" s="715"/>
      <c r="T439" s="71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1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0</v>
      </c>
      <c r="BN439" s="78">
        <f t="shared" si="63"/>
        <v>0</v>
      </c>
      <c r="BO439" s="78">
        <f t="shared" si="64"/>
        <v>0</v>
      </c>
      <c r="BP439" s="78">
        <f t="shared" si="65"/>
        <v>0</v>
      </c>
    </row>
    <row r="440" spans="1:68" ht="27" hidden="1" customHeight="1" x14ac:dyDescent="0.25">
      <c r="A440" s="63" t="s">
        <v>715</v>
      </c>
      <c r="B440" s="63" t="s">
        <v>716</v>
      </c>
      <c r="C440" s="36">
        <v>4301012083</v>
      </c>
      <c r="D440" s="713">
        <v>4680115884854</v>
      </c>
      <c r="E440" s="71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5"/>
      <c r="R440" s="715"/>
      <c r="S440" s="715"/>
      <c r="T440" s="71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4301011867</v>
      </c>
      <c r="D441" s="713">
        <v>4680115884830</v>
      </c>
      <c r="E441" s="71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5"/>
      <c r="R441" s="715"/>
      <c r="S441" s="715"/>
      <c r="T441" s="71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713">
        <v>4680115889231</v>
      </c>
      <c r="E442" s="71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5"/>
      <c r="R442" s="715"/>
      <c r="S442" s="715"/>
      <c r="T442" s="71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3">
        <v>4680115882638</v>
      </c>
      <c r="E443" s="71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5"/>
      <c r="R443" s="715"/>
      <c r="S443" s="715"/>
      <c r="T443" s="71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713">
        <v>4680115884922</v>
      </c>
      <c r="E444" s="71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5"/>
      <c r="R444" s="715"/>
      <c r="S444" s="715"/>
      <c r="T444" s="71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3">
        <v>4680115884861</v>
      </c>
      <c r="E445" s="71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5"/>
      <c r="R445" s="715"/>
      <c r="S445" s="715"/>
      <c r="T445" s="71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0"/>
      <c r="B446" s="720"/>
      <c r="C446" s="720"/>
      <c r="D446" s="720"/>
      <c r="E446" s="720"/>
      <c r="F446" s="720"/>
      <c r="G446" s="720"/>
      <c r="H446" s="720"/>
      <c r="I446" s="720"/>
      <c r="J446" s="720"/>
      <c r="K446" s="720"/>
      <c r="L446" s="720"/>
      <c r="M446" s="720"/>
      <c r="N446" s="720"/>
      <c r="O446" s="721"/>
      <c r="P446" s="717" t="s">
        <v>40</v>
      </c>
      <c r="Q446" s="718"/>
      <c r="R446" s="718"/>
      <c r="S446" s="718"/>
      <c r="T446" s="718"/>
      <c r="U446" s="718"/>
      <c r="V446" s="719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3.3333333333333335</v>
      </c>
      <c r="Y446" s="43">
        <f>IFERROR(Y438/H438,"0")+IFERROR(Y439/H439,"0")+IFERROR(Y440/H440,"0")+IFERROR(Y441/H441,"0")+IFERROR(Y442/H442,"0")+IFERROR(Y443/H443,"0")+IFERROR(Y444/H444,"0")+IFERROR(Y445/H445,"0")</f>
        <v>4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8.6999999999999994E-2</v>
      </c>
      <c r="AA446" s="67"/>
      <c r="AB446" s="67"/>
      <c r="AC446" s="67"/>
    </row>
    <row r="447" spans="1:68" x14ac:dyDescent="0.2">
      <c r="A447" s="720"/>
      <c r="B447" s="720"/>
      <c r="C447" s="720"/>
      <c r="D447" s="720"/>
      <c r="E447" s="720"/>
      <c r="F447" s="720"/>
      <c r="G447" s="720"/>
      <c r="H447" s="720"/>
      <c r="I447" s="720"/>
      <c r="J447" s="720"/>
      <c r="K447" s="720"/>
      <c r="L447" s="720"/>
      <c r="M447" s="720"/>
      <c r="N447" s="720"/>
      <c r="O447" s="721"/>
      <c r="P447" s="717" t="s">
        <v>40</v>
      </c>
      <c r="Q447" s="718"/>
      <c r="R447" s="718"/>
      <c r="S447" s="718"/>
      <c r="T447" s="718"/>
      <c r="U447" s="718"/>
      <c r="V447" s="719"/>
      <c r="W447" s="42" t="s">
        <v>0</v>
      </c>
      <c r="X447" s="43">
        <f>IFERROR(SUM(X438:X445),"0")</f>
        <v>50</v>
      </c>
      <c r="Y447" s="43">
        <f>IFERROR(SUM(Y438:Y445),"0")</f>
        <v>60</v>
      </c>
      <c r="Z447" s="42"/>
      <c r="AA447" s="67"/>
      <c r="AB447" s="67"/>
      <c r="AC447" s="67"/>
    </row>
    <row r="448" spans="1:68" ht="14.25" hidden="1" customHeight="1" x14ac:dyDescent="0.25">
      <c r="A448" s="712" t="s">
        <v>165</v>
      </c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2"/>
      <c r="P448" s="712"/>
      <c r="Q448" s="712"/>
      <c r="R448" s="712"/>
      <c r="S448" s="712"/>
      <c r="T448" s="712"/>
      <c r="U448" s="712"/>
      <c r="V448" s="712"/>
      <c r="W448" s="712"/>
      <c r="X448" s="712"/>
      <c r="Y448" s="712"/>
      <c r="Z448" s="712"/>
      <c r="AA448" s="66"/>
      <c r="AB448" s="66"/>
      <c r="AC448" s="80"/>
    </row>
    <row r="449" spans="1:68" ht="27" hidden="1" customHeight="1" x14ac:dyDescent="0.25">
      <c r="A449" s="63" t="s">
        <v>733</v>
      </c>
      <c r="B449" s="63" t="s">
        <v>734</v>
      </c>
      <c r="C449" s="36">
        <v>4301020178</v>
      </c>
      <c r="D449" s="713">
        <v>4607091383980</v>
      </c>
      <c r="E449" s="71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4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5"/>
      <c r="R449" s="715"/>
      <c r="S449" s="715"/>
      <c r="T449" s="71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IFERROR(IF(Y449=0,"",ROUNDUP(Y449/H449,0)*0.02175),"")</f>
        <v/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713">
        <v>4680115888425</v>
      </c>
      <c r="E450" s="71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5"/>
      <c r="R450" s="715"/>
      <c r="S450" s="715"/>
      <c r="T450" s="716"/>
      <c r="U450" s="39" t="s">
        <v>46</v>
      </c>
      <c r="V450" s="39" t="s">
        <v>46</v>
      </c>
      <c r="W450" s="40" t="s">
        <v>0</v>
      </c>
      <c r="X450" s="58">
        <v>50</v>
      </c>
      <c r="Y450" s="55">
        <f>IFERROR(IF(X450="",0,CEILING((X450/$H450),1)*$H450),"")</f>
        <v>60</v>
      </c>
      <c r="Z450" s="41">
        <f>IFERROR(IF(Y450=0,"",ROUNDUP(Y450/H450,0)*0.02175),"")</f>
        <v>8.6999999999999994E-2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51.56666666666667</v>
      </c>
      <c r="BN450" s="78">
        <f>IFERROR(Y450*I450/H450,"0")</f>
        <v>61.88</v>
      </c>
      <c r="BO450" s="78">
        <f>IFERROR(1/J450*(X450/H450),"0")</f>
        <v>6.9444444444444448E-2</v>
      </c>
      <c r="BP450" s="78">
        <f>IFERROR(1/J450*(Y450/H450),"0")</f>
        <v>8.3333333333333329E-2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713">
        <v>4607091384178</v>
      </c>
      <c r="E451" s="71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5"/>
      <c r="R451" s="715"/>
      <c r="S451" s="715"/>
      <c r="T451" s="71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0"/>
      <c r="B452" s="720"/>
      <c r="C452" s="720"/>
      <c r="D452" s="720"/>
      <c r="E452" s="720"/>
      <c r="F452" s="720"/>
      <c r="G452" s="720"/>
      <c r="H452" s="720"/>
      <c r="I452" s="720"/>
      <c r="J452" s="720"/>
      <c r="K452" s="720"/>
      <c r="L452" s="720"/>
      <c r="M452" s="720"/>
      <c r="N452" s="720"/>
      <c r="O452" s="721"/>
      <c r="P452" s="717" t="s">
        <v>40</v>
      </c>
      <c r="Q452" s="718"/>
      <c r="R452" s="718"/>
      <c r="S452" s="718"/>
      <c r="T452" s="718"/>
      <c r="U452" s="718"/>
      <c r="V452" s="719"/>
      <c r="W452" s="42" t="s">
        <v>39</v>
      </c>
      <c r="X452" s="43">
        <f>IFERROR(X449/H449,"0")+IFERROR(X450/H450,"0")+IFERROR(X451/H451,"0")</f>
        <v>3.3333333333333335</v>
      </c>
      <c r="Y452" s="43">
        <f>IFERROR(Y449/H449,"0")+IFERROR(Y450/H450,"0")+IFERROR(Y451/H451,"0")</f>
        <v>4</v>
      </c>
      <c r="Z452" s="43">
        <f>IFERROR(IF(Z449="",0,Z449),"0")+IFERROR(IF(Z450="",0,Z450),"0")+IFERROR(IF(Z451="",0,Z451),"0")</f>
        <v>8.6999999999999994E-2</v>
      </c>
      <c r="AA452" s="67"/>
      <c r="AB452" s="67"/>
      <c r="AC452" s="67"/>
    </row>
    <row r="453" spans="1:68" x14ac:dyDescent="0.2">
      <c r="A453" s="720"/>
      <c r="B453" s="720"/>
      <c r="C453" s="720"/>
      <c r="D453" s="720"/>
      <c r="E453" s="720"/>
      <c r="F453" s="720"/>
      <c r="G453" s="720"/>
      <c r="H453" s="720"/>
      <c r="I453" s="720"/>
      <c r="J453" s="720"/>
      <c r="K453" s="720"/>
      <c r="L453" s="720"/>
      <c r="M453" s="720"/>
      <c r="N453" s="720"/>
      <c r="O453" s="721"/>
      <c r="P453" s="717" t="s">
        <v>40</v>
      </c>
      <c r="Q453" s="718"/>
      <c r="R453" s="718"/>
      <c r="S453" s="718"/>
      <c r="T453" s="718"/>
      <c r="U453" s="718"/>
      <c r="V453" s="719"/>
      <c r="W453" s="42" t="s">
        <v>0</v>
      </c>
      <c r="X453" s="43">
        <f>IFERROR(SUM(X449:X451),"0")</f>
        <v>50</v>
      </c>
      <c r="Y453" s="43">
        <f>IFERROR(SUM(Y449:Y451),"0")</f>
        <v>60</v>
      </c>
      <c r="Z453" s="42"/>
      <c r="AA453" s="67"/>
      <c r="AB453" s="67"/>
      <c r="AC453" s="67"/>
    </row>
    <row r="454" spans="1:68" ht="14.25" hidden="1" customHeight="1" x14ac:dyDescent="0.25">
      <c r="A454" s="712" t="s">
        <v>83</v>
      </c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2"/>
      <c r="P454" s="712"/>
      <c r="Q454" s="712"/>
      <c r="R454" s="712"/>
      <c r="S454" s="712"/>
      <c r="T454" s="712"/>
      <c r="U454" s="712"/>
      <c r="V454" s="712"/>
      <c r="W454" s="712"/>
      <c r="X454" s="712"/>
      <c r="Y454" s="712"/>
      <c r="Z454" s="71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713">
        <v>4607091383928</v>
      </c>
      <c r="E455" s="71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5"/>
      <c r="R455" s="715"/>
      <c r="S455" s="715"/>
      <c r="T455" s="71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713">
        <v>4607091384260</v>
      </c>
      <c r="E456" s="71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5"/>
      <c r="R456" s="715"/>
      <c r="S456" s="715"/>
      <c r="T456" s="7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713">
        <v>4680115889538</v>
      </c>
      <c r="E457" s="71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5"/>
      <c r="R457" s="715"/>
      <c r="S457" s="715"/>
      <c r="T457" s="71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0"/>
      <c r="B458" s="720"/>
      <c r="C458" s="720"/>
      <c r="D458" s="720"/>
      <c r="E458" s="720"/>
      <c r="F458" s="720"/>
      <c r="G458" s="720"/>
      <c r="H458" s="720"/>
      <c r="I458" s="720"/>
      <c r="J458" s="720"/>
      <c r="K458" s="720"/>
      <c r="L458" s="720"/>
      <c r="M458" s="720"/>
      <c r="N458" s="720"/>
      <c r="O458" s="721"/>
      <c r="P458" s="717" t="s">
        <v>40</v>
      </c>
      <c r="Q458" s="718"/>
      <c r="R458" s="718"/>
      <c r="S458" s="718"/>
      <c r="T458" s="718"/>
      <c r="U458" s="718"/>
      <c r="V458" s="719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720"/>
      <c r="B459" s="720"/>
      <c r="C459" s="720"/>
      <c r="D459" s="720"/>
      <c r="E459" s="720"/>
      <c r="F459" s="720"/>
      <c r="G459" s="720"/>
      <c r="H459" s="720"/>
      <c r="I459" s="720"/>
      <c r="J459" s="720"/>
      <c r="K459" s="720"/>
      <c r="L459" s="720"/>
      <c r="M459" s="720"/>
      <c r="N459" s="720"/>
      <c r="O459" s="721"/>
      <c r="P459" s="717" t="s">
        <v>40</v>
      </c>
      <c r="Q459" s="718"/>
      <c r="R459" s="718"/>
      <c r="S459" s="718"/>
      <c r="T459" s="718"/>
      <c r="U459" s="718"/>
      <c r="V459" s="719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2" t="s">
        <v>183</v>
      </c>
      <c r="B460" s="712"/>
      <c r="C460" s="712"/>
      <c r="D460" s="712"/>
      <c r="E460" s="712"/>
      <c r="F460" s="712"/>
      <c r="G460" s="712"/>
      <c r="H460" s="712"/>
      <c r="I460" s="712"/>
      <c r="J460" s="712"/>
      <c r="K460" s="712"/>
      <c r="L460" s="712"/>
      <c r="M460" s="712"/>
      <c r="N460" s="712"/>
      <c r="O460" s="712"/>
      <c r="P460" s="712"/>
      <c r="Q460" s="712"/>
      <c r="R460" s="712"/>
      <c r="S460" s="712"/>
      <c r="T460" s="712"/>
      <c r="U460" s="712"/>
      <c r="V460" s="712"/>
      <c r="W460" s="712"/>
      <c r="X460" s="712"/>
      <c r="Y460" s="712"/>
      <c r="Z460" s="71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713">
        <v>4680115889545</v>
      </c>
      <c r="E461" s="71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5"/>
      <c r="R461" s="715"/>
      <c r="S461" s="715"/>
      <c r="T461" s="71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713">
        <v>4607091384673</v>
      </c>
      <c r="E462" s="71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5"/>
      <c r="R462" s="715"/>
      <c r="S462" s="715"/>
      <c r="T462" s="71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0"/>
      <c r="B463" s="720"/>
      <c r="C463" s="720"/>
      <c r="D463" s="720"/>
      <c r="E463" s="720"/>
      <c r="F463" s="720"/>
      <c r="G463" s="720"/>
      <c r="H463" s="720"/>
      <c r="I463" s="720"/>
      <c r="J463" s="720"/>
      <c r="K463" s="720"/>
      <c r="L463" s="720"/>
      <c r="M463" s="720"/>
      <c r="N463" s="720"/>
      <c r="O463" s="721"/>
      <c r="P463" s="717" t="s">
        <v>40</v>
      </c>
      <c r="Q463" s="718"/>
      <c r="R463" s="718"/>
      <c r="S463" s="718"/>
      <c r="T463" s="718"/>
      <c r="U463" s="718"/>
      <c r="V463" s="719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0"/>
      <c r="B464" s="720"/>
      <c r="C464" s="720"/>
      <c r="D464" s="720"/>
      <c r="E464" s="720"/>
      <c r="F464" s="720"/>
      <c r="G464" s="720"/>
      <c r="H464" s="720"/>
      <c r="I464" s="720"/>
      <c r="J464" s="720"/>
      <c r="K464" s="720"/>
      <c r="L464" s="720"/>
      <c r="M464" s="720"/>
      <c r="N464" s="720"/>
      <c r="O464" s="721"/>
      <c r="P464" s="717" t="s">
        <v>40</v>
      </c>
      <c r="Q464" s="718"/>
      <c r="R464" s="718"/>
      <c r="S464" s="718"/>
      <c r="T464" s="718"/>
      <c r="U464" s="718"/>
      <c r="V464" s="719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1" t="s">
        <v>757</v>
      </c>
      <c r="B465" s="711"/>
      <c r="C465" s="711"/>
      <c r="D465" s="711"/>
      <c r="E465" s="711"/>
      <c r="F465" s="711"/>
      <c r="G465" s="711"/>
      <c r="H465" s="711"/>
      <c r="I465" s="711"/>
      <c r="J465" s="711"/>
      <c r="K465" s="711"/>
      <c r="L465" s="711"/>
      <c r="M465" s="711"/>
      <c r="N465" s="711"/>
      <c r="O465" s="711"/>
      <c r="P465" s="711"/>
      <c r="Q465" s="711"/>
      <c r="R465" s="711"/>
      <c r="S465" s="711"/>
      <c r="T465" s="711"/>
      <c r="U465" s="711"/>
      <c r="V465" s="711"/>
      <c r="W465" s="711"/>
      <c r="X465" s="711"/>
      <c r="Y465" s="711"/>
      <c r="Z465" s="711"/>
      <c r="AA465" s="65"/>
      <c r="AB465" s="65"/>
      <c r="AC465" s="79"/>
    </row>
    <row r="466" spans="1:68" ht="14.25" hidden="1" customHeight="1" x14ac:dyDescent="0.25">
      <c r="A466" s="712" t="s">
        <v>130</v>
      </c>
      <c r="B466" s="712"/>
      <c r="C466" s="712"/>
      <c r="D466" s="712"/>
      <c r="E466" s="712"/>
      <c r="F466" s="712"/>
      <c r="G466" s="712"/>
      <c r="H466" s="712"/>
      <c r="I466" s="712"/>
      <c r="J466" s="712"/>
      <c r="K466" s="712"/>
      <c r="L466" s="712"/>
      <c r="M466" s="712"/>
      <c r="N466" s="712"/>
      <c r="O466" s="712"/>
      <c r="P466" s="712"/>
      <c r="Q466" s="712"/>
      <c r="R466" s="712"/>
      <c r="S466" s="712"/>
      <c r="T466" s="712"/>
      <c r="U466" s="712"/>
      <c r="V466" s="712"/>
      <c r="W466" s="712"/>
      <c r="X466" s="712"/>
      <c r="Y466" s="712"/>
      <c r="Z466" s="712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713">
        <v>4680115884885</v>
      </c>
      <c r="E467" s="71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5"/>
      <c r="R467" s="715"/>
      <c r="S467" s="715"/>
      <c r="T467" s="716"/>
      <c r="U467" s="39" t="s">
        <v>46</v>
      </c>
      <c r="V467" s="39" t="s">
        <v>46</v>
      </c>
      <c r="W467" s="40" t="s">
        <v>0</v>
      </c>
      <c r="X467" s="58">
        <v>30</v>
      </c>
      <c r="Y467" s="55">
        <f>IFERROR(IF(X467="",0,CEILING((X467/$H467),1)*$H467),"")</f>
        <v>36</v>
      </c>
      <c r="Z467" s="41">
        <f>IFERROR(IF(Y467=0,"",ROUNDUP(Y467/H467,0)*0.01898),"")</f>
        <v>5.6940000000000004E-2</v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31.025000000000002</v>
      </c>
      <c r="BN467" s="78">
        <f>IFERROR(Y467*I467/H467,"0")</f>
        <v>37.229999999999997</v>
      </c>
      <c r="BO467" s="78">
        <f>IFERROR(1/J467*(X467/H467),"0")</f>
        <v>3.90625E-2</v>
      </c>
      <c r="BP467" s="78">
        <f>IFERROR(1/J467*(Y467/H467),"0")</f>
        <v>4.6875E-2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713">
        <v>4680115884908</v>
      </c>
      <c r="E468" s="71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5"/>
      <c r="R468" s="715"/>
      <c r="S468" s="715"/>
      <c r="T468" s="71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720"/>
      <c r="B469" s="720"/>
      <c r="C469" s="720"/>
      <c r="D469" s="720"/>
      <c r="E469" s="720"/>
      <c r="F469" s="720"/>
      <c r="G469" s="720"/>
      <c r="H469" s="720"/>
      <c r="I469" s="720"/>
      <c r="J469" s="720"/>
      <c r="K469" s="720"/>
      <c r="L469" s="720"/>
      <c r="M469" s="720"/>
      <c r="N469" s="720"/>
      <c r="O469" s="721"/>
      <c r="P469" s="717" t="s">
        <v>40</v>
      </c>
      <c r="Q469" s="718"/>
      <c r="R469" s="718"/>
      <c r="S469" s="718"/>
      <c r="T469" s="718"/>
      <c r="U469" s="718"/>
      <c r="V469" s="719"/>
      <c r="W469" s="42" t="s">
        <v>39</v>
      </c>
      <c r="X469" s="43">
        <f>IFERROR(X467/H467,"0")+IFERROR(X468/H468,"0")</f>
        <v>2.5</v>
      </c>
      <c r="Y469" s="43">
        <f>IFERROR(Y467/H467,"0")+IFERROR(Y468/H468,"0")</f>
        <v>3</v>
      </c>
      <c r="Z469" s="43">
        <f>IFERROR(IF(Z467="",0,Z467),"0")+IFERROR(IF(Z468="",0,Z468),"0")</f>
        <v>5.6940000000000004E-2</v>
      </c>
      <c r="AA469" s="67"/>
      <c r="AB469" s="67"/>
      <c r="AC469" s="67"/>
    </row>
    <row r="470" spans="1:68" x14ac:dyDescent="0.2">
      <c r="A470" s="720"/>
      <c r="B470" s="720"/>
      <c r="C470" s="720"/>
      <c r="D470" s="720"/>
      <c r="E470" s="720"/>
      <c r="F470" s="720"/>
      <c r="G470" s="720"/>
      <c r="H470" s="720"/>
      <c r="I470" s="720"/>
      <c r="J470" s="720"/>
      <c r="K470" s="720"/>
      <c r="L470" s="720"/>
      <c r="M470" s="720"/>
      <c r="N470" s="720"/>
      <c r="O470" s="721"/>
      <c r="P470" s="717" t="s">
        <v>40</v>
      </c>
      <c r="Q470" s="718"/>
      <c r="R470" s="718"/>
      <c r="S470" s="718"/>
      <c r="T470" s="718"/>
      <c r="U470" s="718"/>
      <c r="V470" s="719"/>
      <c r="W470" s="42" t="s">
        <v>0</v>
      </c>
      <c r="X470" s="43">
        <f>IFERROR(SUM(X467:X468),"0")</f>
        <v>30</v>
      </c>
      <c r="Y470" s="43">
        <f>IFERROR(SUM(Y467:Y468),"0")</f>
        <v>36</v>
      </c>
      <c r="Z470" s="42"/>
      <c r="AA470" s="67"/>
      <c r="AB470" s="67"/>
      <c r="AC470" s="67"/>
    </row>
    <row r="471" spans="1:68" ht="14.25" hidden="1" customHeight="1" x14ac:dyDescent="0.25">
      <c r="A471" s="712" t="s">
        <v>77</v>
      </c>
      <c r="B471" s="712"/>
      <c r="C471" s="712"/>
      <c r="D471" s="712"/>
      <c r="E471" s="712"/>
      <c r="F471" s="712"/>
      <c r="G471" s="712"/>
      <c r="H471" s="712"/>
      <c r="I471" s="712"/>
      <c r="J471" s="712"/>
      <c r="K471" s="712"/>
      <c r="L471" s="712"/>
      <c r="M471" s="712"/>
      <c r="N471" s="712"/>
      <c r="O471" s="712"/>
      <c r="P471" s="712"/>
      <c r="Q471" s="712"/>
      <c r="R471" s="712"/>
      <c r="S471" s="712"/>
      <c r="T471" s="712"/>
      <c r="U471" s="712"/>
      <c r="V471" s="712"/>
      <c r="W471" s="712"/>
      <c r="X471" s="712"/>
      <c r="Y471" s="712"/>
      <c r="Z471" s="71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713">
        <v>4607091384802</v>
      </c>
      <c r="E472" s="71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5"/>
      <c r="R472" s="715"/>
      <c r="S472" s="715"/>
      <c r="T472" s="71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0"/>
      <c r="B473" s="720"/>
      <c r="C473" s="720"/>
      <c r="D473" s="720"/>
      <c r="E473" s="720"/>
      <c r="F473" s="720"/>
      <c r="G473" s="720"/>
      <c r="H473" s="720"/>
      <c r="I473" s="720"/>
      <c r="J473" s="720"/>
      <c r="K473" s="720"/>
      <c r="L473" s="720"/>
      <c r="M473" s="720"/>
      <c r="N473" s="720"/>
      <c r="O473" s="721"/>
      <c r="P473" s="717" t="s">
        <v>40</v>
      </c>
      <c r="Q473" s="718"/>
      <c r="R473" s="718"/>
      <c r="S473" s="718"/>
      <c r="T473" s="718"/>
      <c r="U473" s="718"/>
      <c r="V473" s="719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0"/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1"/>
      <c r="P474" s="717" t="s">
        <v>40</v>
      </c>
      <c r="Q474" s="718"/>
      <c r="R474" s="718"/>
      <c r="S474" s="718"/>
      <c r="T474" s="718"/>
      <c r="U474" s="718"/>
      <c r="V474" s="719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2" t="s">
        <v>83</v>
      </c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2"/>
      <c r="P475" s="712"/>
      <c r="Q475" s="712"/>
      <c r="R475" s="712"/>
      <c r="S475" s="712"/>
      <c r="T475" s="712"/>
      <c r="U475" s="712"/>
      <c r="V475" s="712"/>
      <c r="W475" s="712"/>
      <c r="X475" s="712"/>
      <c r="Y475" s="712"/>
      <c r="Z475" s="712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713">
        <v>4607091384246</v>
      </c>
      <c r="E476" s="71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5"/>
      <c r="R476" s="715"/>
      <c r="S476" s="715"/>
      <c r="T476" s="71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3">
        <v>4607091384253</v>
      </c>
      <c r="E477" s="71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5"/>
      <c r="R477" s="715"/>
      <c r="S477" s="715"/>
      <c r="T477" s="71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3">
        <v>4607091384253</v>
      </c>
      <c r="E478" s="71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5"/>
      <c r="R478" s="715"/>
      <c r="S478" s="715"/>
      <c r="T478" s="71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20"/>
      <c r="B479" s="720"/>
      <c r="C479" s="720"/>
      <c r="D479" s="720"/>
      <c r="E479" s="720"/>
      <c r="F479" s="720"/>
      <c r="G479" s="720"/>
      <c r="H479" s="720"/>
      <c r="I479" s="720"/>
      <c r="J479" s="720"/>
      <c r="K479" s="720"/>
      <c r="L479" s="720"/>
      <c r="M479" s="720"/>
      <c r="N479" s="720"/>
      <c r="O479" s="721"/>
      <c r="P479" s="717" t="s">
        <v>40</v>
      </c>
      <c r="Q479" s="718"/>
      <c r="R479" s="718"/>
      <c r="S479" s="718"/>
      <c r="T479" s="718"/>
      <c r="U479" s="718"/>
      <c r="V479" s="719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0"/>
      <c r="B480" s="720"/>
      <c r="C480" s="720"/>
      <c r="D480" s="720"/>
      <c r="E480" s="720"/>
      <c r="F480" s="720"/>
      <c r="G480" s="720"/>
      <c r="H480" s="720"/>
      <c r="I480" s="720"/>
      <c r="J480" s="720"/>
      <c r="K480" s="720"/>
      <c r="L480" s="720"/>
      <c r="M480" s="720"/>
      <c r="N480" s="720"/>
      <c r="O480" s="721"/>
      <c r="P480" s="717" t="s">
        <v>40</v>
      </c>
      <c r="Q480" s="718"/>
      <c r="R480" s="718"/>
      <c r="S480" s="718"/>
      <c r="T480" s="718"/>
      <c r="U480" s="718"/>
      <c r="V480" s="719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710" t="s">
        <v>773</v>
      </c>
      <c r="B481" s="710"/>
      <c r="C481" s="710"/>
      <c r="D481" s="710"/>
      <c r="E481" s="710"/>
      <c r="F481" s="710"/>
      <c r="G481" s="710"/>
      <c r="H481" s="710"/>
      <c r="I481" s="710"/>
      <c r="J481" s="710"/>
      <c r="K481" s="710"/>
      <c r="L481" s="710"/>
      <c r="M481" s="710"/>
      <c r="N481" s="710"/>
      <c r="O481" s="710"/>
      <c r="P481" s="710"/>
      <c r="Q481" s="710"/>
      <c r="R481" s="710"/>
      <c r="S481" s="710"/>
      <c r="T481" s="710"/>
      <c r="U481" s="710"/>
      <c r="V481" s="710"/>
      <c r="W481" s="710"/>
      <c r="X481" s="710"/>
      <c r="Y481" s="710"/>
      <c r="Z481" s="710"/>
      <c r="AA481" s="54"/>
      <c r="AB481" s="54"/>
      <c r="AC481" s="54"/>
    </row>
    <row r="482" spans="1:68" ht="16.5" hidden="1" customHeight="1" x14ac:dyDescent="0.25">
      <c r="A482" s="711" t="s">
        <v>774</v>
      </c>
      <c r="B482" s="711"/>
      <c r="C482" s="711"/>
      <c r="D482" s="711"/>
      <c r="E482" s="711"/>
      <c r="F482" s="711"/>
      <c r="G482" s="711"/>
      <c r="H482" s="711"/>
      <c r="I482" s="711"/>
      <c r="J482" s="711"/>
      <c r="K482" s="711"/>
      <c r="L482" s="711"/>
      <c r="M482" s="711"/>
      <c r="N482" s="711"/>
      <c r="O482" s="711"/>
      <c r="P482" s="711"/>
      <c r="Q482" s="711"/>
      <c r="R482" s="711"/>
      <c r="S482" s="711"/>
      <c r="T482" s="711"/>
      <c r="U482" s="711"/>
      <c r="V482" s="711"/>
      <c r="W482" s="711"/>
      <c r="X482" s="711"/>
      <c r="Y482" s="711"/>
      <c r="Z482" s="711"/>
      <c r="AA482" s="65"/>
      <c r="AB482" s="65"/>
      <c r="AC482" s="79"/>
    </row>
    <row r="483" spans="1:68" ht="14.25" hidden="1" customHeight="1" x14ac:dyDescent="0.25">
      <c r="A483" s="712" t="s">
        <v>77</v>
      </c>
      <c r="B483" s="712"/>
      <c r="C483" s="712"/>
      <c r="D483" s="712"/>
      <c r="E483" s="712"/>
      <c r="F483" s="712"/>
      <c r="G483" s="712"/>
      <c r="H483" s="712"/>
      <c r="I483" s="712"/>
      <c r="J483" s="712"/>
      <c r="K483" s="712"/>
      <c r="L483" s="712"/>
      <c r="M483" s="712"/>
      <c r="N483" s="712"/>
      <c r="O483" s="712"/>
      <c r="P483" s="712"/>
      <c r="Q483" s="712"/>
      <c r="R483" s="712"/>
      <c r="S483" s="712"/>
      <c r="T483" s="712"/>
      <c r="U483" s="712"/>
      <c r="V483" s="712"/>
      <c r="W483" s="712"/>
      <c r="X483" s="712"/>
      <c r="Y483" s="712"/>
      <c r="Z483" s="712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713">
        <v>4680115886100</v>
      </c>
      <c r="E484" s="71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5"/>
      <c r="R484" s="715"/>
      <c r="S484" s="715"/>
      <c r="T484" s="716"/>
      <c r="U484" s="39" t="s">
        <v>46</v>
      </c>
      <c r="V484" s="39" t="s">
        <v>46</v>
      </c>
      <c r="W484" s="40" t="s">
        <v>0</v>
      </c>
      <c r="X484" s="58">
        <v>30</v>
      </c>
      <c r="Y484" s="55">
        <f t="shared" ref="Y484:Y489" si="66">IFERROR(IF(X484="",0,CEILING((X484/$H484),1)*$H484),"")</f>
        <v>32.400000000000006</v>
      </c>
      <c r="Z484" s="41">
        <f>IFERROR(IF(Y484=0,"",ROUNDUP(Y484/H484,0)*0.00902),"")</f>
        <v>5.4120000000000001E-2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31.05555555555555</v>
      </c>
      <c r="BN484" s="78">
        <f t="shared" ref="BN484:BN489" si="68">IFERROR(Y484*I484/H484,"0")</f>
        <v>33.54</v>
      </c>
      <c r="BO484" s="78">
        <f t="shared" ref="BO484:BO489" si="69">IFERROR(1/J484*(X484/H484),"0")</f>
        <v>4.208754208754209E-2</v>
      </c>
      <c r="BP484" s="78">
        <f t="shared" ref="BP484:BP489" si="70">IFERROR(1/J484*(Y484/H484),"0")</f>
        <v>4.5454545454545463E-2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713">
        <v>4680115886124</v>
      </c>
      <c r="E485" s="71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5"/>
      <c r="R485" s="715"/>
      <c r="S485" s="715"/>
      <c r="T485" s="716"/>
      <c r="U485" s="39" t="s">
        <v>46</v>
      </c>
      <c r="V485" s="39" t="s">
        <v>46</v>
      </c>
      <c r="W485" s="40" t="s">
        <v>0</v>
      </c>
      <c r="X485" s="58">
        <v>20</v>
      </c>
      <c r="Y485" s="55">
        <f t="shared" si="66"/>
        <v>21.6</v>
      </c>
      <c r="Z485" s="41">
        <f>IFERROR(IF(Y485=0,"",ROUNDUP(Y485/H485,0)*0.00902),"")</f>
        <v>3.6080000000000001E-2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20.703703703703702</v>
      </c>
      <c r="BN485" s="78">
        <f t="shared" si="68"/>
        <v>22.36</v>
      </c>
      <c r="BO485" s="78">
        <f t="shared" si="69"/>
        <v>2.8058361391694722E-2</v>
      </c>
      <c r="BP485" s="78">
        <f t="shared" si="70"/>
        <v>3.0303030303030304E-2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713">
        <v>4607091384338</v>
      </c>
      <c r="E486" s="71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5"/>
      <c r="R486" s="715"/>
      <c r="S486" s="715"/>
      <c r="T486" s="71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3">
        <v>4680115883161</v>
      </c>
      <c r="E487" s="71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5"/>
      <c r="R487" s="715"/>
      <c r="S487" s="715"/>
      <c r="T487" s="71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713">
        <v>4607091389531</v>
      </c>
      <c r="E488" s="71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5"/>
      <c r="R488" s="715"/>
      <c r="S488" s="715"/>
      <c r="T488" s="71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713">
        <v>4607091384345</v>
      </c>
      <c r="E489" s="71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5"/>
      <c r="R489" s="715"/>
      <c r="S489" s="715"/>
      <c r="T489" s="716"/>
      <c r="U489" s="39" t="s">
        <v>46</v>
      </c>
      <c r="V489" s="39" t="s">
        <v>46</v>
      </c>
      <c r="W489" s="40" t="s">
        <v>0</v>
      </c>
      <c r="X489" s="58">
        <v>14</v>
      </c>
      <c r="Y489" s="55">
        <f t="shared" si="66"/>
        <v>14.700000000000001</v>
      </c>
      <c r="Z489" s="41">
        <f>IFERROR(IF(Y489=0,"",ROUNDUP(Y489/H489,0)*0.00502),"")</f>
        <v>3.5140000000000005E-2</v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14.866666666666665</v>
      </c>
      <c r="BN489" s="78">
        <f t="shared" si="68"/>
        <v>15.61</v>
      </c>
      <c r="BO489" s="78">
        <f t="shared" si="69"/>
        <v>2.8490028490028491E-2</v>
      </c>
      <c r="BP489" s="78">
        <f t="shared" si="70"/>
        <v>2.9914529914529919E-2</v>
      </c>
    </row>
    <row r="490" spans="1:68" x14ac:dyDescent="0.2">
      <c r="A490" s="720"/>
      <c r="B490" s="720"/>
      <c r="C490" s="720"/>
      <c r="D490" s="720"/>
      <c r="E490" s="720"/>
      <c r="F490" s="720"/>
      <c r="G490" s="720"/>
      <c r="H490" s="720"/>
      <c r="I490" s="720"/>
      <c r="J490" s="720"/>
      <c r="K490" s="720"/>
      <c r="L490" s="720"/>
      <c r="M490" s="720"/>
      <c r="N490" s="720"/>
      <c r="O490" s="721"/>
      <c r="P490" s="717" t="s">
        <v>40</v>
      </c>
      <c r="Q490" s="718"/>
      <c r="R490" s="718"/>
      <c r="S490" s="718"/>
      <c r="T490" s="718"/>
      <c r="U490" s="718"/>
      <c r="V490" s="719"/>
      <c r="W490" s="42" t="s">
        <v>39</v>
      </c>
      <c r="X490" s="43">
        <f>IFERROR(X484/H484,"0")+IFERROR(X485/H485,"0")+IFERROR(X486/H486,"0")+IFERROR(X487/H487,"0")+IFERROR(X488/H488,"0")+IFERROR(X489/H489,"0")</f>
        <v>15.925925925925926</v>
      </c>
      <c r="Y490" s="43">
        <f>IFERROR(Y484/H484,"0")+IFERROR(Y485/H485,"0")+IFERROR(Y486/H486,"0")+IFERROR(Y487/H487,"0")+IFERROR(Y488/H488,"0")+IFERROR(Y489/H489,"0")</f>
        <v>17</v>
      </c>
      <c r="Z490" s="43">
        <f>IFERROR(IF(Z484="",0,Z484),"0")+IFERROR(IF(Z485="",0,Z485),"0")+IFERROR(IF(Z486="",0,Z486),"0")+IFERROR(IF(Z487="",0,Z487),"0")+IFERROR(IF(Z488="",0,Z488),"0")+IFERROR(IF(Z489="",0,Z489),"0")</f>
        <v>0.12534000000000001</v>
      </c>
      <c r="AA490" s="67"/>
      <c r="AB490" s="67"/>
      <c r="AC490" s="67"/>
    </row>
    <row r="491" spans="1:68" x14ac:dyDescent="0.2">
      <c r="A491" s="720"/>
      <c r="B491" s="720"/>
      <c r="C491" s="720"/>
      <c r="D491" s="720"/>
      <c r="E491" s="720"/>
      <c r="F491" s="720"/>
      <c r="G491" s="720"/>
      <c r="H491" s="720"/>
      <c r="I491" s="720"/>
      <c r="J491" s="720"/>
      <c r="K491" s="720"/>
      <c r="L491" s="720"/>
      <c r="M491" s="720"/>
      <c r="N491" s="720"/>
      <c r="O491" s="721"/>
      <c r="P491" s="717" t="s">
        <v>40</v>
      </c>
      <c r="Q491" s="718"/>
      <c r="R491" s="718"/>
      <c r="S491" s="718"/>
      <c r="T491" s="718"/>
      <c r="U491" s="718"/>
      <c r="V491" s="719"/>
      <c r="W491" s="42" t="s">
        <v>0</v>
      </c>
      <c r="X491" s="43">
        <f>IFERROR(SUM(X484:X489),"0")</f>
        <v>64</v>
      </c>
      <c r="Y491" s="43">
        <f>IFERROR(SUM(Y484:Y489),"0")</f>
        <v>68.7</v>
      </c>
      <c r="Z491" s="42"/>
      <c r="AA491" s="67"/>
      <c r="AB491" s="67"/>
      <c r="AC491" s="67"/>
    </row>
    <row r="492" spans="1:68" ht="14.25" hidden="1" customHeight="1" x14ac:dyDescent="0.25">
      <c r="A492" s="712" t="s">
        <v>83</v>
      </c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2"/>
      <c r="P492" s="712"/>
      <c r="Q492" s="712"/>
      <c r="R492" s="712"/>
      <c r="S492" s="712"/>
      <c r="T492" s="712"/>
      <c r="U492" s="712"/>
      <c r="V492" s="712"/>
      <c r="W492" s="712"/>
      <c r="X492" s="712"/>
      <c r="Y492" s="712"/>
      <c r="Z492" s="71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3">
        <v>4607091384352</v>
      </c>
      <c r="E493" s="71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6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5"/>
      <c r="R493" s="715"/>
      <c r="S493" s="715"/>
      <c r="T493" s="71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0"/>
      <c r="B494" s="720"/>
      <c r="C494" s="720"/>
      <c r="D494" s="720"/>
      <c r="E494" s="720"/>
      <c r="F494" s="720"/>
      <c r="G494" s="720"/>
      <c r="H494" s="720"/>
      <c r="I494" s="720"/>
      <c r="J494" s="720"/>
      <c r="K494" s="720"/>
      <c r="L494" s="720"/>
      <c r="M494" s="720"/>
      <c r="N494" s="720"/>
      <c r="O494" s="721"/>
      <c r="P494" s="717" t="s">
        <v>40</v>
      </c>
      <c r="Q494" s="718"/>
      <c r="R494" s="718"/>
      <c r="S494" s="718"/>
      <c r="T494" s="718"/>
      <c r="U494" s="718"/>
      <c r="V494" s="719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0"/>
      <c r="B495" s="720"/>
      <c r="C495" s="720"/>
      <c r="D495" s="720"/>
      <c r="E495" s="720"/>
      <c r="F495" s="720"/>
      <c r="G495" s="720"/>
      <c r="H495" s="720"/>
      <c r="I495" s="720"/>
      <c r="J495" s="720"/>
      <c r="K495" s="720"/>
      <c r="L495" s="720"/>
      <c r="M495" s="720"/>
      <c r="N495" s="720"/>
      <c r="O495" s="721"/>
      <c r="P495" s="717" t="s">
        <v>40</v>
      </c>
      <c r="Q495" s="718"/>
      <c r="R495" s="718"/>
      <c r="S495" s="718"/>
      <c r="T495" s="718"/>
      <c r="U495" s="718"/>
      <c r="V495" s="719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1" t="s">
        <v>794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65"/>
      <c r="AB496" s="65"/>
      <c r="AC496" s="79"/>
    </row>
    <row r="497" spans="1:68" ht="14.25" hidden="1" customHeight="1" x14ac:dyDescent="0.25">
      <c r="A497" s="712" t="s">
        <v>165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3">
        <v>4680115885240</v>
      </c>
      <c r="E498" s="71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5"/>
      <c r="R498" s="715"/>
      <c r="S498" s="715"/>
      <c r="T498" s="71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0"/>
      <c r="B499" s="720"/>
      <c r="C499" s="720"/>
      <c r="D499" s="720"/>
      <c r="E499" s="720"/>
      <c r="F499" s="720"/>
      <c r="G499" s="720"/>
      <c r="H499" s="720"/>
      <c r="I499" s="720"/>
      <c r="J499" s="720"/>
      <c r="K499" s="720"/>
      <c r="L499" s="720"/>
      <c r="M499" s="720"/>
      <c r="N499" s="720"/>
      <c r="O499" s="721"/>
      <c r="P499" s="717" t="s">
        <v>40</v>
      </c>
      <c r="Q499" s="718"/>
      <c r="R499" s="718"/>
      <c r="S499" s="718"/>
      <c r="T499" s="718"/>
      <c r="U499" s="718"/>
      <c r="V499" s="719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0"/>
      <c r="B500" s="720"/>
      <c r="C500" s="720"/>
      <c r="D500" s="720"/>
      <c r="E500" s="720"/>
      <c r="F500" s="720"/>
      <c r="G500" s="720"/>
      <c r="H500" s="720"/>
      <c r="I500" s="720"/>
      <c r="J500" s="720"/>
      <c r="K500" s="720"/>
      <c r="L500" s="720"/>
      <c r="M500" s="720"/>
      <c r="N500" s="720"/>
      <c r="O500" s="721"/>
      <c r="P500" s="717" t="s">
        <v>40</v>
      </c>
      <c r="Q500" s="718"/>
      <c r="R500" s="718"/>
      <c r="S500" s="718"/>
      <c r="T500" s="718"/>
      <c r="U500" s="718"/>
      <c r="V500" s="719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2" t="s">
        <v>77</v>
      </c>
      <c r="B501" s="712"/>
      <c r="C501" s="712"/>
      <c r="D501" s="712"/>
      <c r="E501" s="712"/>
      <c r="F501" s="712"/>
      <c r="G501" s="712"/>
      <c r="H501" s="712"/>
      <c r="I501" s="712"/>
      <c r="J501" s="712"/>
      <c r="K501" s="712"/>
      <c r="L501" s="712"/>
      <c r="M501" s="712"/>
      <c r="N501" s="712"/>
      <c r="O501" s="712"/>
      <c r="P501" s="712"/>
      <c r="Q501" s="712"/>
      <c r="R501" s="712"/>
      <c r="S501" s="712"/>
      <c r="T501" s="712"/>
      <c r="U501" s="712"/>
      <c r="V501" s="712"/>
      <c r="W501" s="712"/>
      <c r="X501" s="712"/>
      <c r="Y501" s="712"/>
      <c r="Z501" s="712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713">
        <v>4680115886094</v>
      </c>
      <c r="E502" s="71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5"/>
      <c r="R502" s="715"/>
      <c r="S502" s="715"/>
      <c r="T502" s="716"/>
      <c r="U502" s="39" t="s">
        <v>46</v>
      </c>
      <c r="V502" s="39" t="s">
        <v>46</v>
      </c>
      <c r="W502" s="40" t="s">
        <v>0</v>
      </c>
      <c r="X502" s="58">
        <v>30</v>
      </c>
      <c r="Y502" s="55">
        <f>IFERROR(IF(X502="",0,CEILING((X502/$H502),1)*$H502),"")</f>
        <v>32.400000000000006</v>
      </c>
      <c r="Z502" s="41">
        <f>IFERROR(IF(Y502=0,"",ROUNDUP(Y502/H502,0)*0.00902),"")</f>
        <v>5.4120000000000001E-2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31.05555555555555</v>
      </c>
      <c r="BN502" s="78">
        <f>IFERROR(Y502*I502/H502,"0")</f>
        <v>33.54</v>
      </c>
      <c r="BO502" s="78">
        <f>IFERROR(1/J502*(X502/H502),"0")</f>
        <v>4.208754208754209E-2</v>
      </c>
      <c r="BP502" s="78">
        <f>IFERROR(1/J502*(Y502/H502),"0")</f>
        <v>4.5454545454545463E-2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3">
        <v>4680115880771</v>
      </c>
      <c r="E503" s="71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5"/>
      <c r="R503" s="715"/>
      <c r="S503" s="715"/>
      <c r="T503" s="71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3">
        <v>4607091389500</v>
      </c>
      <c r="E504" s="71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5"/>
      <c r="R504" s="715"/>
      <c r="S504" s="715"/>
      <c r="T504" s="71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720"/>
      <c r="B505" s="720"/>
      <c r="C505" s="720"/>
      <c r="D505" s="720"/>
      <c r="E505" s="720"/>
      <c r="F505" s="720"/>
      <c r="G505" s="720"/>
      <c r="H505" s="720"/>
      <c r="I505" s="720"/>
      <c r="J505" s="720"/>
      <c r="K505" s="720"/>
      <c r="L505" s="720"/>
      <c r="M505" s="720"/>
      <c r="N505" s="720"/>
      <c r="O505" s="721"/>
      <c r="P505" s="717" t="s">
        <v>40</v>
      </c>
      <c r="Q505" s="718"/>
      <c r="R505" s="718"/>
      <c r="S505" s="718"/>
      <c r="T505" s="718"/>
      <c r="U505" s="718"/>
      <c r="V505" s="719"/>
      <c r="W505" s="42" t="s">
        <v>39</v>
      </c>
      <c r="X505" s="43">
        <f>IFERROR(X502/H502,"0")+IFERROR(X503/H503,"0")+IFERROR(X504/H504,"0")</f>
        <v>5.5555555555555554</v>
      </c>
      <c r="Y505" s="43">
        <f>IFERROR(Y502/H502,"0")+IFERROR(Y503/H503,"0")+IFERROR(Y504/H504,"0")</f>
        <v>6.0000000000000009</v>
      </c>
      <c r="Z505" s="43">
        <f>IFERROR(IF(Z502="",0,Z502),"0")+IFERROR(IF(Z503="",0,Z503),"0")+IFERROR(IF(Z504="",0,Z504),"0")</f>
        <v>5.4120000000000001E-2</v>
      </c>
      <c r="AA505" s="67"/>
      <c r="AB505" s="67"/>
      <c r="AC505" s="67"/>
    </row>
    <row r="506" spans="1:68" x14ac:dyDescent="0.2">
      <c r="A506" s="720"/>
      <c r="B506" s="720"/>
      <c r="C506" s="720"/>
      <c r="D506" s="720"/>
      <c r="E506" s="720"/>
      <c r="F506" s="720"/>
      <c r="G506" s="720"/>
      <c r="H506" s="720"/>
      <c r="I506" s="720"/>
      <c r="J506" s="720"/>
      <c r="K506" s="720"/>
      <c r="L506" s="720"/>
      <c r="M506" s="720"/>
      <c r="N506" s="720"/>
      <c r="O506" s="721"/>
      <c r="P506" s="717" t="s">
        <v>40</v>
      </c>
      <c r="Q506" s="718"/>
      <c r="R506" s="718"/>
      <c r="S506" s="718"/>
      <c r="T506" s="718"/>
      <c r="U506" s="718"/>
      <c r="V506" s="719"/>
      <c r="W506" s="42" t="s">
        <v>0</v>
      </c>
      <c r="X506" s="43">
        <f>IFERROR(SUM(X502:X504),"0")</f>
        <v>30</v>
      </c>
      <c r="Y506" s="43">
        <f>IFERROR(SUM(Y502:Y504),"0")</f>
        <v>32.400000000000006</v>
      </c>
      <c r="Z506" s="42"/>
      <c r="AA506" s="67"/>
      <c r="AB506" s="67"/>
      <c r="AC506" s="67"/>
    </row>
    <row r="507" spans="1:68" ht="27.75" hidden="1" customHeight="1" x14ac:dyDescent="0.2">
      <c r="A507" s="710" t="s">
        <v>806</v>
      </c>
      <c r="B507" s="710"/>
      <c r="C507" s="710"/>
      <c r="D507" s="710"/>
      <c r="E507" s="710"/>
      <c r="F507" s="710"/>
      <c r="G507" s="710"/>
      <c r="H507" s="710"/>
      <c r="I507" s="710"/>
      <c r="J507" s="710"/>
      <c r="K507" s="710"/>
      <c r="L507" s="710"/>
      <c r="M507" s="710"/>
      <c r="N507" s="710"/>
      <c r="O507" s="710"/>
      <c r="P507" s="710"/>
      <c r="Q507" s="710"/>
      <c r="R507" s="710"/>
      <c r="S507" s="710"/>
      <c r="T507" s="710"/>
      <c r="U507" s="710"/>
      <c r="V507" s="710"/>
      <c r="W507" s="710"/>
      <c r="X507" s="710"/>
      <c r="Y507" s="710"/>
      <c r="Z507" s="710"/>
      <c r="AA507" s="54"/>
      <c r="AB507" s="54"/>
      <c r="AC507" s="54"/>
    </row>
    <row r="508" spans="1:68" ht="16.5" hidden="1" customHeight="1" x14ac:dyDescent="0.25">
      <c r="A508" s="711" t="s">
        <v>806</v>
      </c>
      <c r="B508" s="711"/>
      <c r="C508" s="711"/>
      <c r="D508" s="711"/>
      <c r="E508" s="711"/>
      <c r="F508" s="711"/>
      <c r="G508" s="711"/>
      <c r="H508" s="711"/>
      <c r="I508" s="711"/>
      <c r="J508" s="711"/>
      <c r="K508" s="711"/>
      <c r="L508" s="711"/>
      <c r="M508" s="711"/>
      <c r="N508" s="711"/>
      <c r="O508" s="711"/>
      <c r="P508" s="711"/>
      <c r="Q508" s="711"/>
      <c r="R508" s="711"/>
      <c r="S508" s="711"/>
      <c r="T508" s="711"/>
      <c r="U508" s="711"/>
      <c r="V508" s="711"/>
      <c r="W508" s="711"/>
      <c r="X508" s="711"/>
      <c r="Y508" s="711"/>
      <c r="Z508" s="711"/>
      <c r="AA508" s="65"/>
      <c r="AB508" s="65"/>
      <c r="AC508" s="79"/>
    </row>
    <row r="509" spans="1:68" ht="14.25" hidden="1" customHeight="1" x14ac:dyDescent="0.25">
      <c r="A509" s="712" t="s">
        <v>130</v>
      </c>
      <c r="B509" s="712"/>
      <c r="C509" s="712"/>
      <c r="D509" s="712"/>
      <c r="E509" s="712"/>
      <c r="F509" s="712"/>
      <c r="G509" s="712"/>
      <c r="H509" s="712"/>
      <c r="I509" s="712"/>
      <c r="J509" s="712"/>
      <c r="K509" s="712"/>
      <c r="L509" s="712"/>
      <c r="M509" s="712"/>
      <c r="N509" s="712"/>
      <c r="O509" s="712"/>
      <c r="P509" s="712"/>
      <c r="Q509" s="712"/>
      <c r="R509" s="712"/>
      <c r="S509" s="712"/>
      <c r="T509" s="712"/>
      <c r="U509" s="712"/>
      <c r="V509" s="712"/>
      <c r="W509" s="712"/>
      <c r="X509" s="712"/>
      <c r="Y509" s="712"/>
      <c r="Z509" s="71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713">
        <v>4607091389067</v>
      </c>
      <c r="E510" s="71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5"/>
      <c r="R510" s="715"/>
      <c r="S510" s="715"/>
      <c r="T510" s="71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713">
        <v>4680115889576</v>
      </c>
      <c r="E511" s="71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5"/>
      <c r="R511" s="715"/>
      <c r="S511" s="715"/>
      <c r="T511" s="71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customHeight="1" x14ac:dyDescent="0.25">
      <c r="A512" s="63" t="s">
        <v>812</v>
      </c>
      <c r="B512" s="63" t="s">
        <v>813</v>
      </c>
      <c r="C512" s="36">
        <v>4301011961</v>
      </c>
      <c r="D512" s="713">
        <v>4680115885271</v>
      </c>
      <c r="E512" s="71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5"/>
      <c r="R512" s="715"/>
      <c r="S512" s="715"/>
      <c r="T512" s="716"/>
      <c r="U512" s="39" t="s">
        <v>46</v>
      </c>
      <c r="V512" s="39" t="s">
        <v>46</v>
      </c>
      <c r="W512" s="40" t="s">
        <v>0</v>
      </c>
      <c r="X512" s="58">
        <v>20</v>
      </c>
      <c r="Y512" s="55">
        <f t="shared" si="71"/>
        <v>21.12</v>
      </c>
      <c r="Z512" s="41">
        <f>IFERROR(IF(Y512=0,"",ROUNDUP(Y512/H512,0)*0.01196),"")</f>
        <v>4.7840000000000001E-2</v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21.325757575757574</v>
      </c>
      <c r="BN512" s="78">
        <f t="shared" si="73"/>
        <v>22.52</v>
      </c>
      <c r="BO512" s="78">
        <f t="shared" si="74"/>
        <v>3.6421911421911424E-2</v>
      </c>
      <c r="BP512" s="78">
        <f t="shared" si="75"/>
        <v>3.8461538461538464E-2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4301011369</v>
      </c>
      <c r="D513" s="713">
        <v>4680115885226</v>
      </c>
      <c r="E513" s="71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5"/>
      <c r="R513" s="715"/>
      <c r="S513" s="715"/>
      <c r="T513" s="71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3">
        <v>4607091389104</v>
      </c>
      <c r="E514" s="71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5"/>
      <c r="R514" s="715"/>
      <c r="S514" s="715"/>
      <c r="T514" s="716"/>
      <c r="U514" s="39" t="s">
        <v>46</v>
      </c>
      <c r="V514" s="39" t="s">
        <v>46</v>
      </c>
      <c r="W514" s="40" t="s">
        <v>0</v>
      </c>
      <c r="X514" s="58">
        <v>100</v>
      </c>
      <c r="Y514" s="55">
        <f t="shared" si="71"/>
        <v>100.32000000000001</v>
      </c>
      <c r="Z514" s="41">
        <f>IFERROR(IF(Y514=0,"",ROUNDUP(Y514/H514,0)*0.01196),"")</f>
        <v>0.22724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106.62878787878788</v>
      </c>
      <c r="BN514" s="78">
        <f t="shared" si="73"/>
        <v>106.97</v>
      </c>
      <c r="BO514" s="78">
        <f t="shared" si="74"/>
        <v>0.18210955710955709</v>
      </c>
      <c r="BP514" s="78">
        <f t="shared" si="75"/>
        <v>0.18269230769230771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3">
        <v>4680115886391</v>
      </c>
      <c r="E515" s="71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5"/>
      <c r="R515" s="715"/>
      <c r="S515" s="715"/>
      <c r="T515" s="71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713">
        <v>4680115880603</v>
      </c>
      <c r="E516" s="71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5"/>
      <c r="R516" s="715"/>
      <c r="S516" s="715"/>
      <c r="T516" s="71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713">
        <v>4607091389982</v>
      </c>
      <c r="E517" s="71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5"/>
      <c r="R517" s="715"/>
      <c r="S517" s="715"/>
      <c r="T517" s="71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720"/>
      <c r="B518" s="720"/>
      <c r="C518" s="720"/>
      <c r="D518" s="720"/>
      <c r="E518" s="720"/>
      <c r="F518" s="720"/>
      <c r="G518" s="720"/>
      <c r="H518" s="720"/>
      <c r="I518" s="720"/>
      <c r="J518" s="720"/>
      <c r="K518" s="720"/>
      <c r="L518" s="720"/>
      <c r="M518" s="720"/>
      <c r="N518" s="720"/>
      <c r="O518" s="721"/>
      <c r="P518" s="717" t="s">
        <v>40</v>
      </c>
      <c r="Q518" s="718"/>
      <c r="R518" s="718"/>
      <c r="S518" s="718"/>
      <c r="T518" s="718"/>
      <c r="U518" s="718"/>
      <c r="V518" s="719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22.727272727272727</v>
      </c>
      <c r="Y518" s="43">
        <f>IFERROR(Y510/H510,"0")+IFERROR(Y511/H511,"0")+IFERROR(Y512/H512,"0")+IFERROR(Y513/H513,"0")+IFERROR(Y514/H514,"0")+IFERROR(Y515/H515,"0")+IFERROR(Y516/H516,"0")+IFERROR(Y517/H517,"0")</f>
        <v>23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0.27507999999999999</v>
      </c>
      <c r="AA518" s="67"/>
      <c r="AB518" s="67"/>
      <c r="AC518" s="67"/>
    </row>
    <row r="519" spans="1:68" x14ac:dyDescent="0.2">
      <c r="A519" s="720"/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1"/>
      <c r="P519" s="717" t="s">
        <v>40</v>
      </c>
      <c r="Q519" s="718"/>
      <c r="R519" s="718"/>
      <c r="S519" s="718"/>
      <c r="T519" s="718"/>
      <c r="U519" s="718"/>
      <c r="V519" s="719"/>
      <c r="W519" s="42" t="s">
        <v>0</v>
      </c>
      <c r="X519" s="43">
        <f>IFERROR(SUM(X510:X517),"0")</f>
        <v>120</v>
      </c>
      <c r="Y519" s="43">
        <f>IFERROR(SUM(Y510:Y517),"0")</f>
        <v>121.44000000000001</v>
      </c>
      <c r="Z519" s="42"/>
      <c r="AA519" s="67"/>
      <c r="AB519" s="67"/>
      <c r="AC519" s="67"/>
    </row>
    <row r="520" spans="1:68" ht="14.25" hidden="1" customHeight="1" x14ac:dyDescent="0.25">
      <c r="A520" s="712" t="s">
        <v>165</v>
      </c>
      <c r="B520" s="712"/>
      <c r="C520" s="712"/>
      <c r="D520" s="712"/>
      <c r="E520" s="712"/>
      <c r="F520" s="712"/>
      <c r="G520" s="712"/>
      <c r="H520" s="712"/>
      <c r="I520" s="712"/>
      <c r="J520" s="712"/>
      <c r="K520" s="712"/>
      <c r="L520" s="712"/>
      <c r="M520" s="712"/>
      <c r="N520" s="712"/>
      <c r="O520" s="712"/>
      <c r="P520" s="712"/>
      <c r="Q520" s="712"/>
      <c r="R520" s="712"/>
      <c r="S520" s="712"/>
      <c r="T520" s="712"/>
      <c r="U520" s="712"/>
      <c r="V520" s="712"/>
      <c r="W520" s="712"/>
      <c r="X520" s="712"/>
      <c r="Y520" s="712"/>
      <c r="Z520" s="71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713">
        <v>4607091388930</v>
      </c>
      <c r="E521" s="71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5"/>
      <c r="R521" s="715"/>
      <c r="S521" s="715"/>
      <c r="T521" s="71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3">
        <v>4680115886407</v>
      </c>
      <c r="E522" s="71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5"/>
      <c r="R522" s="715"/>
      <c r="S522" s="715"/>
      <c r="T522" s="71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713">
        <v>4680115880054</v>
      </c>
      <c r="E523" s="71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5"/>
      <c r="R523" s="715"/>
      <c r="S523" s="715"/>
      <c r="T523" s="71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20"/>
      <c r="B524" s="720"/>
      <c r="C524" s="720"/>
      <c r="D524" s="720"/>
      <c r="E524" s="720"/>
      <c r="F524" s="720"/>
      <c r="G524" s="720"/>
      <c r="H524" s="720"/>
      <c r="I524" s="720"/>
      <c r="J524" s="720"/>
      <c r="K524" s="720"/>
      <c r="L524" s="720"/>
      <c r="M524" s="720"/>
      <c r="N524" s="720"/>
      <c r="O524" s="721"/>
      <c r="P524" s="717" t="s">
        <v>40</v>
      </c>
      <c r="Q524" s="718"/>
      <c r="R524" s="718"/>
      <c r="S524" s="718"/>
      <c r="T524" s="718"/>
      <c r="U524" s="718"/>
      <c r="V524" s="719"/>
      <c r="W524" s="42" t="s">
        <v>39</v>
      </c>
      <c r="X524" s="43">
        <f>IFERROR(X521/H521,"0")+IFERROR(X522/H522,"0")+IFERROR(X523/H523,"0")</f>
        <v>18.939393939393938</v>
      </c>
      <c r="Y524" s="43">
        <f>IFERROR(Y521/H521,"0")+IFERROR(Y522/H522,"0")+IFERROR(Y523/H523,"0")</f>
        <v>19</v>
      </c>
      <c r="Z524" s="43">
        <f>IFERROR(IF(Z521="",0,Z521),"0")+IFERROR(IF(Z522="",0,Z522),"0")+IFERROR(IF(Z523="",0,Z523),"0")</f>
        <v>0.22724</v>
      </c>
      <c r="AA524" s="67"/>
      <c r="AB524" s="67"/>
      <c r="AC524" s="67"/>
    </row>
    <row r="525" spans="1:68" x14ac:dyDescent="0.2">
      <c r="A525" s="720"/>
      <c r="B525" s="720"/>
      <c r="C525" s="720"/>
      <c r="D525" s="720"/>
      <c r="E525" s="720"/>
      <c r="F525" s="720"/>
      <c r="G525" s="720"/>
      <c r="H525" s="720"/>
      <c r="I525" s="720"/>
      <c r="J525" s="720"/>
      <c r="K525" s="720"/>
      <c r="L525" s="720"/>
      <c r="M525" s="720"/>
      <c r="N525" s="720"/>
      <c r="O525" s="721"/>
      <c r="P525" s="717" t="s">
        <v>40</v>
      </c>
      <c r="Q525" s="718"/>
      <c r="R525" s="718"/>
      <c r="S525" s="718"/>
      <c r="T525" s="718"/>
      <c r="U525" s="718"/>
      <c r="V525" s="719"/>
      <c r="W525" s="42" t="s">
        <v>0</v>
      </c>
      <c r="X525" s="43">
        <f>IFERROR(SUM(X521:X523),"0")</f>
        <v>100</v>
      </c>
      <c r="Y525" s="43">
        <f>IFERROR(SUM(Y521:Y523),"0")</f>
        <v>100.32000000000001</v>
      </c>
      <c r="Z525" s="42"/>
      <c r="AA525" s="67"/>
      <c r="AB525" s="67"/>
      <c r="AC525" s="67"/>
    </row>
    <row r="526" spans="1:68" ht="14.25" hidden="1" customHeight="1" x14ac:dyDescent="0.25">
      <c r="A526" s="712" t="s">
        <v>77</v>
      </c>
      <c r="B526" s="712"/>
      <c r="C526" s="712"/>
      <c r="D526" s="712"/>
      <c r="E526" s="712"/>
      <c r="F526" s="712"/>
      <c r="G526" s="712"/>
      <c r="H526" s="712"/>
      <c r="I526" s="712"/>
      <c r="J526" s="712"/>
      <c r="K526" s="712"/>
      <c r="L526" s="712"/>
      <c r="M526" s="712"/>
      <c r="N526" s="712"/>
      <c r="O526" s="712"/>
      <c r="P526" s="712"/>
      <c r="Q526" s="712"/>
      <c r="R526" s="712"/>
      <c r="S526" s="712"/>
      <c r="T526" s="712"/>
      <c r="U526" s="712"/>
      <c r="V526" s="712"/>
      <c r="W526" s="712"/>
      <c r="X526" s="712"/>
      <c r="Y526" s="712"/>
      <c r="Z526" s="712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713">
        <v>4680115883116</v>
      </c>
      <c r="E527" s="71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5"/>
      <c r="R527" s="715"/>
      <c r="S527" s="715"/>
      <c r="T527" s="71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713">
        <v>4680115883093</v>
      </c>
      <c r="E528" s="71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5"/>
      <c r="R528" s="715"/>
      <c r="S528" s="715"/>
      <c r="T528" s="716"/>
      <c r="U528" s="39" t="s">
        <v>46</v>
      </c>
      <c r="V528" s="39" t="s">
        <v>46</v>
      </c>
      <c r="W528" s="40" t="s">
        <v>0</v>
      </c>
      <c r="X528" s="58">
        <v>30</v>
      </c>
      <c r="Y528" s="55">
        <f t="shared" si="76"/>
        <v>31.68</v>
      </c>
      <c r="Z528" s="41">
        <f>IFERROR(IF(Y528=0,"",ROUNDUP(Y528/H528,0)*0.01196),"")</f>
        <v>7.1760000000000004E-2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31.988636363636363</v>
      </c>
      <c r="BN528" s="78">
        <f t="shared" si="78"/>
        <v>33.779999999999994</v>
      </c>
      <c r="BO528" s="78">
        <f t="shared" si="79"/>
        <v>5.4632867132867136E-2</v>
      </c>
      <c r="BP528" s="78">
        <f t="shared" si="80"/>
        <v>5.7692307692307696E-2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713">
        <v>4680115883109</v>
      </c>
      <c r="E529" s="71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5"/>
      <c r="R529" s="715"/>
      <c r="S529" s="715"/>
      <c r="T529" s="716"/>
      <c r="U529" s="39" t="s">
        <v>46</v>
      </c>
      <c r="V529" s="39" t="s">
        <v>46</v>
      </c>
      <c r="W529" s="40" t="s">
        <v>0</v>
      </c>
      <c r="X529" s="58">
        <v>60</v>
      </c>
      <c r="Y529" s="55">
        <f t="shared" si="76"/>
        <v>63.36</v>
      </c>
      <c r="Z529" s="41">
        <f>IFERROR(IF(Y529=0,"",ROUNDUP(Y529/H529,0)*0.01196),"")</f>
        <v>0.14352000000000001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63.977272727272727</v>
      </c>
      <c r="BN529" s="78">
        <f t="shared" si="78"/>
        <v>67.559999999999988</v>
      </c>
      <c r="BO529" s="78">
        <f t="shared" si="79"/>
        <v>0.10926573426573427</v>
      </c>
      <c r="BP529" s="78">
        <f t="shared" si="80"/>
        <v>0.11538461538461539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713">
        <v>4680115882072</v>
      </c>
      <c r="E530" s="71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5"/>
      <c r="R530" s="715"/>
      <c r="S530" s="715"/>
      <c r="T530" s="71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713">
        <v>4680115882102</v>
      </c>
      <c r="E531" s="71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5"/>
      <c r="R531" s="715"/>
      <c r="S531" s="715"/>
      <c r="T531" s="71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713">
        <v>4680115882102</v>
      </c>
      <c r="E532" s="71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5"/>
      <c r="R532" s="715"/>
      <c r="S532" s="715"/>
      <c r="T532" s="71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713">
        <v>4680115882096</v>
      </c>
      <c r="E533" s="71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5"/>
      <c r="R533" s="715"/>
      <c r="S533" s="715"/>
      <c r="T533" s="71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720"/>
      <c r="B534" s="720"/>
      <c r="C534" s="720"/>
      <c r="D534" s="720"/>
      <c r="E534" s="720"/>
      <c r="F534" s="720"/>
      <c r="G534" s="720"/>
      <c r="H534" s="720"/>
      <c r="I534" s="720"/>
      <c r="J534" s="720"/>
      <c r="K534" s="720"/>
      <c r="L534" s="720"/>
      <c r="M534" s="720"/>
      <c r="N534" s="720"/>
      <c r="O534" s="721"/>
      <c r="P534" s="717" t="s">
        <v>40</v>
      </c>
      <c r="Q534" s="718"/>
      <c r="R534" s="718"/>
      <c r="S534" s="718"/>
      <c r="T534" s="718"/>
      <c r="U534" s="718"/>
      <c r="V534" s="719"/>
      <c r="W534" s="42" t="s">
        <v>39</v>
      </c>
      <c r="X534" s="43">
        <f>IFERROR(X527/H527,"0")+IFERROR(X528/H528,"0")+IFERROR(X529/H529,"0")+IFERROR(X530/H530,"0")+IFERROR(X531/H531,"0")+IFERROR(X532/H532,"0")+IFERROR(X533/H533,"0")</f>
        <v>17.045454545454547</v>
      </c>
      <c r="Y534" s="43">
        <f>IFERROR(Y527/H527,"0")+IFERROR(Y528/H528,"0")+IFERROR(Y529/H529,"0")+IFERROR(Y530/H530,"0")+IFERROR(Y531/H531,"0")+IFERROR(Y532/H532,"0")+IFERROR(Y533/H533,"0")</f>
        <v>18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0.21528000000000003</v>
      </c>
      <c r="AA534" s="67"/>
      <c r="AB534" s="67"/>
      <c r="AC534" s="67"/>
    </row>
    <row r="535" spans="1:68" x14ac:dyDescent="0.2">
      <c r="A535" s="720"/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1"/>
      <c r="P535" s="717" t="s">
        <v>40</v>
      </c>
      <c r="Q535" s="718"/>
      <c r="R535" s="718"/>
      <c r="S535" s="718"/>
      <c r="T535" s="718"/>
      <c r="U535" s="718"/>
      <c r="V535" s="719"/>
      <c r="W535" s="42" t="s">
        <v>0</v>
      </c>
      <c r="X535" s="43">
        <f>IFERROR(SUM(X527:X533),"0")</f>
        <v>90</v>
      </c>
      <c r="Y535" s="43">
        <f>IFERROR(SUM(Y527:Y533),"0")</f>
        <v>95.039999999999992</v>
      </c>
      <c r="Z535" s="42"/>
      <c r="AA535" s="67"/>
      <c r="AB535" s="67"/>
      <c r="AC535" s="67"/>
    </row>
    <row r="536" spans="1:68" ht="27.75" hidden="1" customHeight="1" x14ac:dyDescent="0.2">
      <c r="A536" s="710" t="s">
        <v>850</v>
      </c>
      <c r="B536" s="710"/>
      <c r="C536" s="710"/>
      <c r="D536" s="710"/>
      <c r="E536" s="710"/>
      <c r="F536" s="710"/>
      <c r="G536" s="710"/>
      <c r="H536" s="710"/>
      <c r="I536" s="710"/>
      <c r="J536" s="710"/>
      <c r="K536" s="710"/>
      <c r="L536" s="710"/>
      <c r="M536" s="710"/>
      <c r="N536" s="710"/>
      <c r="O536" s="710"/>
      <c r="P536" s="710"/>
      <c r="Q536" s="710"/>
      <c r="R536" s="710"/>
      <c r="S536" s="710"/>
      <c r="T536" s="710"/>
      <c r="U536" s="710"/>
      <c r="V536" s="710"/>
      <c r="W536" s="710"/>
      <c r="X536" s="710"/>
      <c r="Y536" s="710"/>
      <c r="Z536" s="710"/>
      <c r="AA536" s="54"/>
      <c r="AB536" s="54"/>
      <c r="AC536" s="54"/>
    </row>
    <row r="537" spans="1:68" ht="16.5" hidden="1" customHeight="1" x14ac:dyDescent="0.25">
      <c r="A537" s="711" t="s">
        <v>850</v>
      </c>
      <c r="B537" s="711"/>
      <c r="C537" s="711"/>
      <c r="D537" s="711"/>
      <c r="E537" s="711"/>
      <c r="F537" s="711"/>
      <c r="G537" s="711"/>
      <c r="H537" s="711"/>
      <c r="I537" s="711"/>
      <c r="J537" s="711"/>
      <c r="K537" s="711"/>
      <c r="L537" s="711"/>
      <c r="M537" s="711"/>
      <c r="N537" s="711"/>
      <c r="O537" s="711"/>
      <c r="P537" s="711"/>
      <c r="Q537" s="711"/>
      <c r="R537" s="711"/>
      <c r="S537" s="711"/>
      <c r="T537" s="711"/>
      <c r="U537" s="711"/>
      <c r="V537" s="711"/>
      <c r="W537" s="711"/>
      <c r="X537" s="711"/>
      <c r="Y537" s="711"/>
      <c r="Z537" s="711"/>
      <c r="AA537" s="65"/>
      <c r="AB537" s="65"/>
      <c r="AC537" s="79"/>
    </row>
    <row r="538" spans="1:68" ht="14.25" hidden="1" customHeight="1" x14ac:dyDescent="0.25">
      <c r="A538" s="712" t="s">
        <v>130</v>
      </c>
      <c r="B538" s="712"/>
      <c r="C538" s="712"/>
      <c r="D538" s="712"/>
      <c r="E538" s="712"/>
      <c r="F538" s="712"/>
      <c r="G538" s="712"/>
      <c r="H538" s="712"/>
      <c r="I538" s="712"/>
      <c r="J538" s="712"/>
      <c r="K538" s="712"/>
      <c r="L538" s="712"/>
      <c r="M538" s="712"/>
      <c r="N538" s="712"/>
      <c r="O538" s="712"/>
      <c r="P538" s="712"/>
      <c r="Q538" s="712"/>
      <c r="R538" s="712"/>
      <c r="S538" s="712"/>
      <c r="T538" s="712"/>
      <c r="U538" s="712"/>
      <c r="V538" s="712"/>
      <c r="W538" s="712"/>
      <c r="X538" s="712"/>
      <c r="Y538" s="712"/>
      <c r="Z538" s="71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713">
        <v>4680115889736</v>
      </c>
      <c r="E539" s="71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5"/>
      <c r="R539" s="715"/>
      <c r="S539" s="715"/>
      <c r="T539" s="71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0"/>
      <c r="B540" s="720"/>
      <c r="C540" s="720"/>
      <c r="D540" s="720"/>
      <c r="E540" s="720"/>
      <c r="F540" s="720"/>
      <c r="G540" s="720"/>
      <c r="H540" s="720"/>
      <c r="I540" s="720"/>
      <c r="J540" s="720"/>
      <c r="K540" s="720"/>
      <c r="L540" s="720"/>
      <c r="M540" s="720"/>
      <c r="N540" s="720"/>
      <c r="O540" s="721"/>
      <c r="P540" s="717" t="s">
        <v>40</v>
      </c>
      <c r="Q540" s="718"/>
      <c r="R540" s="718"/>
      <c r="S540" s="718"/>
      <c r="T540" s="718"/>
      <c r="U540" s="718"/>
      <c r="V540" s="719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0"/>
      <c r="B541" s="720"/>
      <c r="C541" s="720"/>
      <c r="D541" s="720"/>
      <c r="E541" s="720"/>
      <c r="F541" s="720"/>
      <c r="G541" s="720"/>
      <c r="H541" s="720"/>
      <c r="I541" s="720"/>
      <c r="J541" s="720"/>
      <c r="K541" s="720"/>
      <c r="L541" s="720"/>
      <c r="M541" s="720"/>
      <c r="N541" s="720"/>
      <c r="O541" s="721"/>
      <c r="P541" s="717" t="s">
        <v>40</v>
      </c>
      <c r="Q541" s="718"/>
      <c r="R541" s="718"/>
      <c r="S541" s="718"/>
      <c r="T541" s="718"/>
      <c r="U541" s="718"/>
      <c r="V541" s="719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2" t="s">
        <v>165</v>
      </c>
      <c r="B542" s="712"/>
      <c r="C542" s="712"/>
      <c r="D542" s="712"/>
      <c r="E542" s="712"/>
      <c r="F542" s="712"/>
      <c r="G542" s="712"/>
      <c r="H542" s="712"/>
      <c r="I542" s="712"/>
      <c r="J542" s="712"/>
      <c r="K542" s="712"/>
      <c r="L542" s="712"/>
      <c r="M542" s="712"/>
      <c r="N542" s="712"/>
      <c r="O542" s="712"/>
      <c r="P542" s="712"/>
      <c r="Q542" s="712"/>
      <c r="R542" s="712"/>
      <c r="S542" s="712"/>
      <c r="T542" s="712"/>
      <c r="U542" s="712"/>
      <c r="V542" s="712"/>
      <c r="W542" s="712"/>
      <c r="X542" s="712"/>
      <c r="Y542" s="712"/>
      <c r="Z542" s="71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3">
        <v>4680115889781</v>
      </c>
      <c r="E543" s="71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5"/>
      <c r="R543" s="715"/>
      <c r="S543" s="715"/>
      <c r="T543" s="71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0"/>
      <c r="B544" s="720"/>
      <c r="C544" s="720"/>
      <c r="D544" s="720"/>
      <c r="E544" s="720"/>
      <c r="F544" s="720"/>
      <c r="G544" s="720"/>
      <c r="H544" s="720"/>
      <c r="I544" s="720"/>
      <c r="J544" s="720"/>
      <c r="K544" s="720"/>
      <c r="L544" s="720"/>
      <c r="M544" s="720"/>
      <c r="N544" s="720"/>
      <c r="O544" s="721"/>
      <c r="P544" s="717" t="s">
        <v>40</v>
      </c>
      <c r="Q544" s="718"/>
      <c r="R544" s="718"/>
      <c r="S544" s="718"/>
      <c r="T544" s="718"/>
      <c r="U544" s="718"/>
      <c r="V544" s="719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0"/>
      <c r="B545" s="720"/>
      <c r="C545" s="720"/>
      <c r="D545" s="720"/>
      <c r="E545" s="720"/>
      <c r="F545" s="720"/>
      <c r="G545" s="720"/>
      <c r="H545" s="720"/>
      <c r="I545" s="720"/>
      <c r="J545" s="720"/>
      <c r="K545" s="720"/>
      <c r="L545" s="720"/>
      <c r="M545" s="720"/>
      <c r="N545" s="720"/>
      <c r="O545" s="721"/>
      <c r="P545" s="717" t="s">
        <v>40</v>
      </c>
      <c r="Q545" s="718"/>
      <c r="R545" s="718"/>
      <c r="S545" s="718"/>
      <c r="T545" s="718"/>
      <c r="U545" s="718"/>
      <c r="V545" s="719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2" t="s">
        <v>77</v>
      </c>
      <c r="B546" s="712"/>
      <c r="C546" s="712"/>
      <c r="D546" s="712"/>
      <c r="E546" s="712"/>
      <c r="F546" s="712"/>
      <c r="G546" s="712"/>
      <c r="H546" s="712"/>
      <c r="I546" s="712"/>
      <c r="J546" s="712"/>
      <c r="K546" s="712"/>
      <c r="L546" s="712"/>
      <c r="M546" s="712"/>
      <c r="N546" s="712"/>
      <c r="O546" s="712"/>
      <c r="P546" s="712"/>
      <c r="Q546" s="712"/>
      <c r="R546" s="712"/>
      <c r="S546" s="712"/>
      <c r="T546" s="712"/>
      <c r="U546" s="712"/>
      <c r="V546" s="712"/>
      <c r="W546" s="712"/>
      <c r="X546" s="712"/>
      <c r="Y546" s="712"/>
      <c r="Z546" s="71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713">
        <v>4680115889774</v>
      </c>
      <c r="E547" s="71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5"/>
      <c r="R547" s="715"/>
      <c r="S547" s="715"/>
      <c r="T547" s="716"/>
      <c r="U547" s="39" t="s">
        <v>46</v>
      </c>
      <c r="V547" s="39" t="s">
        <v>46</v>
      </c>
      <c r="W547" s="40" t="s">
        <v>0</v>
      </c>
      <c r="X547" s="58">
        <v>30</v>
      </c>
      <c r="Y547" s="55">
        <f>IFERROR(IF(X547="",0,CEILING((X547/$H547),1)*$H547),"")</f>
        <v>33.6</v>
      </c>
      <c r="Z547" s="41">
        <f>IFERROR(IF(Y547=0,"",ROUNDUP(Y547/H547,0)*0.00902),"")</f>
        <v>7.2160000000000002E-2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31.785714285714285</v>
      </c>
      <c r="BN547" s="78">
        <f>IFERROR(Y547*I547/H547,"0")</f>
        <v>35.6</v>
      </c>
      <c r="BO547" s="78">
        <f>IFERROR(1/J547*(X547/H547),"0")</f>
        <v>5.4112554112554112E-2</v>
      </c>
      <c r="BP547" s="78">
        <f>IFERROR(1/J547*(Y547/H547),"0")</f>
        <v>6.0606060606060608E-2</v>
      </c>
    </row>
    <row r="548" spans="1:68" x14ac:dyDescent="0.2">
      <c r="A548" s="720"/>
      <c r="B548" s="720"/>
      <c r="C548" s="720"/>
      <c r="D548" s="720"/>
      <c r="E548" s="720"/>
      <c r="F548" s="720"/>
      <c r="G548" s="720"/>
      <c r="H548" s="720"/>
      <c r="I548" s="720"/>
      <c r="J548" s="720"/>
      <c r="K548" s="720"/>
      <c r="L548" s="720"/>
      <c r="M548" s="720"/>
      <c r="N548" s="720"/>
      <c r="O548" s="721"/>
      <c r="P548" s="717" t="s">
        <v>40</v>
      </c>
      <c r="Q548" s="718"/>
      <c r="R548" s="718"/>
      <c r="S548" s="718"/>
      <c r="T548" s="718"/>
      <c r="U548" s="718"/>
      <c r="V548" s="719"/>
      <c r="W548" s="42" t="s">
        <v>39</v>
      </c>
      <c r="X548" s="43">
        <f>IFERROR(X547/H547,"0")</f>
        <v>7.1428571428571423</v>
      </c>
      <c r="Y548" s="43">
        <f>IFERROR(Y547/H547,"0")</f>
        <v>8</v>
      </c>
      <c r="Z548" s="43">
        <f>IFERROR(IF(Z547="",0,Z547),"0")</f>
        <v>7.2160000000000002E-2</v>
      </c>
      <c r="AA548" s="67"/>
      <c r="AB548" s="67"/>
      <c r="AC548" s="67"/>
    </row>
    <row r="549" spans="1:68" x14ac:dyDescent="0.2">
      <c r="A549" s="720"/>
      <c r="B549" s="720"/>
      <c r="C549" s="720"/>
      <c r="D549" s="720"/>
      <c r="E549" s="720"/>
      <c r="F549" s="720"/>
      <c r="G549" s="720"/>
      <c r="H549" s="720"/>
      <c r="I549" s="720"/>
      <c r="J549" s="720"/>
      <c r="K549" s="720"/>
      <c r="L549" s="720"/>
      <c r="M549" s="720"/>
      <c r="N549" s="720"/>
      <c r="O549" s="721"/>
      <c r="P549" s="717" t="s">
        <v>40</v>
      </c>
      <c r="Q549" s="718"/>
      <c r="R549" s="718"/>
      <c r="S549" s="718"/>
      <c r="T549" s="718"/>
      <c r="U549" s="718"/>
      <c r="V549" s="719"/>
      <c r="W549" s="42" t="s">
        <v>0</v>
      </c>
      <c r="X549" s="43">
        <f>IFERROR(SUM(X547:X547),"0")</f>
        <v>30</v>
      </c>
      <c r="Y549" s="43">
        <f>IFERROR(SUM(Y547:Y547),"0")</f>
        <v>33.6</v>
      </c>
      <c r="Z549" s="42"/>
      <c r="AA549" s="67"/>
      <c r="AB549" s="67"/>
      <c r="AC549" s="67"/>
    </row>
    <row r="550" spans="1:68" ht="14.25" hidden="1" customHeight="1" x14ac:dyDescent="0.25">
      <c r="A550" s="712" t="s">
        <v>83</v>
      </c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2"/>
      <c r="P550" s="712"/>
      <c r="Q550" s="712"/>
      <c r="R550" s="712"/>
      <c r="S550" s="712"/>
      <c r="T550" s="712"/>
      <c r="U550" s="712"/>
      <c r="V550" s="712"/>
      <c r="W550" s="712"/>
      <c r="X550" s="712"/>
      <c r="Y550" s="712"/>
      <c r="Z550" s="71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713">
        <v>4680115889811</v>
      </c>
      <c r="E551" s="71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5"/>
      <c r="R551" s="715"/>
      <c r="S551" s="715"/>
      <c r="T551" s="716"/>
      <c r="U551" s="39" t="s">
        <v>46</v>
      </c>
      <c r="V551" s="39" t="s">
        <v>46</v>
      </c>
      <c r="W551" s="40" t="s">
        <v>0</v>
      </c>
      <c r="X551" s="58">
        <v>450</v>
      </c>
      <c r="Y551" s="55">
        <f>IFERROR(IF(X551="",0,CEILING((X551/$H551),1)*$H551),"")</f>
        <v>450</v>
      </c>
      <c r="Z551" s="41">
        <f>IFERROR(IF(Y551=0,"",ROUNDUP(Y551/H551,0)*0.01898),"")</f>
        <v>0.94900000000000007</v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474.70000000000005</v>
      </c>
      <c r="BN551" s="78">
        <f>IFERROR(Y551*I551/H551,"0")</f>
        <v>474.70000000000005</v>
      </c>
      <c r="BO551" s="78">
        <f>IFERROR(1/J551*(X551/H551),"0")</f>
        <v>0.78125</v>
      </c>
      <c r="BP551" s="78">
        <f>IFERROR(1/J551*(Y551/H551),"0")</f>
        <v>0.78125</v>
      </c>
    </row>
    <row r="552" spans="1:68" x14ac:dyDescent="0.2">
      <c r="A552" s="720"/>
      <c r="B552" s="720"/>
      <c r="C552" s="720"/>
      <c r="D552" s="720"/>
      <c r="E552" s="720"/>
      <c r="F552" s="720"/>
      <c r="G552" s="720"/>
      <c r="H552" s="720"/>
      <c r="I552" s="720"/>
      <c r="J552" s="720"/>
      <c r="K552" s="720"/>
      <c r="L552" s="720"/>
      <c r="M552" s="720"/>
      <c r="N552" s="720"/>
      <c r="O552" s="721"/>
      <c r="P552" s="717" t="s">
        <v>40</v>
      </c>
      <c r="Q552" s="718"/>
      <c r="R552" s="718"/>
      <c r="S552" s="718"/>
      <c r="T552" s="718"/>
      <c r="U552" s="718"/>
      <c r="V552" s="719"/>
      <c r="W552" s="42" t="s">
        <v>39</v>
      </c>
      <c r="X552" s="43">
        <f>IFERROR(X551/H551,"0")</f>
        <v>50</v>
      </c>
      <c r="Y552" s="43">
        <f>IFERROR(Y551/H551,"0")</f>
        <v>50</v>
      </c>
      <c r="Z552" s="43">
        <f>IFERROR(IF(Z551="",0,Z551),"0")</f>
        <v>0.94900000000000007</v>
      </c>
      <c r="AA552" s="67"/>
      <c r="AB552" s="67"/>
      <c r="AC552" s="67"/>
    </row>
    <row r="553" spans="1:68" x14ac:dyDescent="0.2">
      <c r="A553" s="720"/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1"/>
      <c r="P553" s="717" t="s">
        <v>40</v>
      </c>
      <c r="Q553" s="718"/>
      <c r="R553" s="718"/>
      <c r="S553" s="718"/>
      <c r="T553" s="718"/>
      <c r="U553" s="718"/>
      <c r="V553" s="719"/>
      <c r="W553" s="42" t="s">
        <v>0</v>
      </c>
      <c r="X553" s="43">
        <f>IFERROR(SUM(X551:X551),"0")</f>
        <v>450</v>
      </c>
      <c r="Y553" s="43">
        <f>IFERROR(SUM(Y551:Y551),"0")</f>
        <v>450</v>
      </c>
      <c r="Z553" s="42"/>
      <c r="AA553" s="67"/>
      <c r="AB553" s="67"/>
      <c r="AC553" s="67"/>
    </row>
    <row r="554" spans="1:68" ht="14.25" hidden="1" customHeight="1" x14ac:dyDescent="0.25">
      <c r="A554" s="712" t="s">
        <v>183</v>
      </c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712"/>
      <c r="P554" s="712"/>
      <c r="Q554" s="712"/>
      <c r="R554" s="712"/>
      <c r="S554" s="712"/>
      <c r="T554" s="712"/>
      <c r="U554" s="712"/>
      <c r="V554" s="712"/>
      <c r="W554" s="712"/>
      <c r="X554" s="712"/>
      <c r="Y554" s="712"/>
      <c r="Z554" s="71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3">
        <v>4680115889804</v>
      </c>
      <c r="E555" s="71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5"/>
      <c r="R555" s="715"/>
      <c r="S555" s="715"/>
      <c r="T555" s="71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3">
        <v>4680115889828</v>
      </c>
      <c r="E556" s="71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5"/>
      <c r="R556" s="715"/>
      <c r="S556" s="715"/>
      <c r="T556" s="71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0"/>
      <c r="B557" s="720"/>
      <c r="C557" s="720"/>
      <c r="D557" s="720"/>
      <c r="E557" s="720"/>
      <c r="F557" s="720"/>
      <c r="G557" s="720"/>
      <c r="H557" s="720"/>
      <c r="I557" s="720"/>
      <c r="J557" s="720"/>
      <c r="K557" s="720"/>
      <c r="L557" s="720"/>
      <c r="M557" s="720"/>
      <c r="N557" s="720"/>
      <c r="O557" s="721"/>
      <c r="P557" s="717" t="s">
        <v>40</v>
      </c>
      <c r="Q557" s="718"/>
      <c r="R557" s="718"/>
      <c r="S557" s="718"/>
      <c r="T557" s="718"/>
      <c r="U557" s="718"/>
      <c r="V557" s="719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0"/>
      <c r="B558" s="720"/>
      <c r="C558" s="720"/>
      <c r="D558" s="720"/>
      <c r="E558" s="720"/>
      <c r="F558" s="720"/>
      <c r="G558" s="720"/>
      <c r="H558" s="720"/>
      <c r="I558" s="720"/>
      <c r="J558" s="720"/>
      <c r="K558" s="720"/>
      <c r="L558" s="720"/>
      <c r="M558" s="720"/>
      <c r="N558" s="720"/>
      <c r="O558" s="721"/>
      <c r="P558" s="717" t="s">
        <v>40</v>
      </c>
      <c r="Q558" s="718"/>
      <c r="R558" s="718"/>
      <c r="S558" s="718"/>
      <c r="T558" s="718"/>
      <c r="U558" s="718"/>
      <c r="V558" s="719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1" t="s">
        <v>868</v>
      </c>
      <c r="B559" s="711"/>
      <c r="C559" s="711"/>
      <c r="D559" s="711"/>
      <c r="E559" s="711"/>
      <c r="F559" s="711"/>
      <c r="G559" s="711"/>
      <c r="H559" s="711"/>
      <c r="I559" s="711"/>
      <c r="J559" s="711"/>
      <c r="K559" s="711"/>
      <c r="L559" s="711"/>
      <c r="M559" s="711"/>
      <c r="N559" s="711"/>
      <c r="O559" s="711"/>
      <c r="P559" s="711"/>
      <c r="Q559" s="711"/>
      <c r="R559" s="711"/>
      <c r="S559" s="711"/>
      <c r="T559" s="711"/>
      <c r="U559" s="711"/>
      <c r="V559" s="711"/>
      <c r="W559" s="711"/>
      <c r="X559" s="711"/>
      <c r="Y559" s="711"/>
      <c r="Z559" s="711"/>
      <c r="AA559" s="65"/>
      <c r="AB559" s="65"/>
      <c r="AC559" s="79"/>
    </row>
    <row r="560" spans="1:68" ht="14.25" hidden="1" customHeight="1" x14ac:dyDescent="0.25">
      <c r="A560" s="712" t="s">
        <v>165</v>
      </c>
      <c r="B560" s="712"/>
      <c r="C560" s="712"/>
      <c r="D560" s="712"/>
      <c r="E560" s="712"/>
      <c r="F560" s="712"/>
      <c r="G560" s="712"/>
      <c r="H560" s="712"/>
      <c r="I560" s="712"/>
      <c r="J560" s="712"/>
      <c r="K560" s="712"/>
      <c r="L560" s="712"/>
      <c r="M560" s="712"/>
      <c r="N560" s="712"/>
      <c r="O560" s="712"/>
      <c r="P560" s="712"/>
      <c r="Q560" s="712"/>
      <c r="R560" s="712"/>
      <c r="S560" s="712"/>
      <c r="T560" s="712"/>
      <c r="U560" s="712"/>
      <c r="V560" s="712"/>
      <c r="W560" s="712"/>
      <c r="X560" s="712"/>
      <c r="Y560" s="712"/>
      <c r="Z560" s="71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3">
        <v>4680115889798</v>
      </c>
      <c r="E561" s="71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99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5"/>
      <c r="R561" s="715"/>
      <c r="S561" s="715"/>
      <c r="T561" s="71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0"/>
      <c r="B562" s="720"/>
      <c r="C562" s="720"/>
      <c r="D562" s="720"/>
      <c r="E562" s="720"/>
      <c r="F562" s="720"/>
      <c r="G562" s="720"/>
      <c r="H562" s="720"/>
      <c r="I562" s="720"/>
      <c r="J562" s="720"/>
      <c r="K562" s="720"/>
      <c r="L562" s="720"/>
      <c r="M562" s="720"/>
      <c r="N562" s="720"/>
      <c r="O562" s="721"/>
      <c r="P562" s="717" t="s">
        <v>40</v>
      </c>
      <c r="Q562" s="718"/>
      <c r="R562" s="718"/>
      <c r="S562" s="718"/>
      <c r="T562" s="718"/>
      <c r="U562" s="718"/>
      <c r="V562" s="719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0"/>
      <c r="B563" s="720"/>
      <c r="C563" s="720"/>
      <c r="D563" s="720"/>
      <c r="E563" s="720"/>
      <c r="F563" s="720"/>
      <c r="G563" s="720"/>
      <c r="H563" s="720"/>
      <c r="I563" s="720"/>
      <c r="J563" s="720"/>
      <c r="K563" s="720"/>
      <c r="L563" s="720"/>
      <c r="M563" s="720"/>
      <c r="N563" s="720"/>
      <c r="O563" s="721"/>
      <c r="P563" s="717" t="s">
        <v>40</v>
      </c>
      <c r="Q563" s="718"/>
      <c r="R563" s="718"/>
      <c r="S563" s="718"/>
      <c r="T563" s="718"/>
      <c r="U563" s="718"/>
      <c r="V563" s="719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0"/>
      <c r="B564" s="720"/>
      <c r="C564" s="720"/>
      <c r="D564" s="720"/>
      <c r="E564" s="720"/>
      <c r="F564" s="720"/>
      <c r="G564" s="720"/>
      <c r="H564" s="720"/>
      <c r="I564" s="720"/>
      <c r="J564" s="720"/>
      <c r="K564" s="720"/>
      <c r="L564" s="720"/>
      <c r="M564" s="720"/>
      <c r="N564" s="720"/>
      <c r="O564" s="1003"/>
      <c r="P564" s="1000" t="s">
        <v>33</v>
      </c>
      <c r="Q564" s="1001"/>
      <c r="R564" s="1001"/>
      <c r="S564" s="1001"/>
      <c r="T564" s="1001"/>
      <c r="U564" s="1001"/>
      <c r="V564" s="1002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2255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2352</v>
      </c>
      <c r="Z564" s="42"/>
      <c r="AA564" s="67"/>
      <c r="AB564" s="67"/>
      <c r="AC564" s="67"/>
    </row>
    <row r="565" spans="1:68" x14ac:dyDescent="0.2">
      <c r="A565" s="720"/>
      <c r="B565" s="720"/>
      <c r="C565" s="720"/>
      <c r="D565" s="720"/>
      <c r="E565" s="720"/>
      <c r="F565" s="720"/>
      <c r="G565" s="720"/>
      <c r="H565" s="720"/>
      <c r="I565" s="720"/>
      <c r="J565" s="720"/>
      <c r="K565" s="720"/>
      <c r="L565" s="720"/>
      <c r="M565" s="720"/>
      <c r="N565" s="720"/>
      <c r="O565" s="1003"/>
      <c r="P565" s="1000" t="s">
        <v>34</v>
      </c>
      <c r="Q565" s="1001"/>
      <c r="R565" s="1001"/>
      <c r="S565" s="1001"/>
      <c r="T565" s="1001"/>
      <c r="U565" s="1001"/>
      <c r="V565" s="1002"/>
      <c r="W565" s="42" t="s">
        <v>0</v>
      </c>
      <c r="X565" s="43">
        <f>IFERROR(SUM(BM22:BM561),"0")</f>
        <v>2382.0548000147992</v>
      </c>
      <c r="Y565" s="43">
        <f>IFERROR(SUM(BN22:BN561),"0")</f>
        <v>2484.1029999999992</v>
      </c>
      <c r="Z565" s="42"/>
      <c r="AA565" s="67"/>
      <c r="AB565" s="67"/>
      <c r="AC565" s="67"/>
    </row>
    <row r="566" spans="1:68" x14ac:dyDescent="0.2">
      <c r="A566" s="720"/>
      <c r="B566" s="720"/>
      <c r="C566" s="720"/>
      <c r="D566" s="720"/>
      <c r="E566" s="720"/>
      <c r="F566" s="720"/>
      <c r="G566" s="720"/>
      <c r="H566" s="720"/>
      <c r="I566" s="720"/>
      <c r="J566" s="720"/>
      <c r="K566" s="720"/>
      <c r="L566" s="720"/>
      <c r="M566" s="720"/>
      <c r="N566" s="720"/>
      <c r="O566" s="1003"/>
      <c r="P566" s="1000" t="s">
        <v>35</v>
      </c>
      <c r="Q566" s="1001"/>
      <c r="R566" s="1001"/>
      <c r="S566" s="1001"/>
      <c r="T566" s="1001"/>
      <c r="U566" s="1001"/>
      <c r="V566" s="1002"/>
      <c r="W566" s="42" t="s">
        <v>20</v>
      </c>
      <c r="X566" s="44">
        <f>ROUNDUP(SUM(BO22:BO561),0)</f>
        <v>5</v>
      </c>
      <c r="Y566" s="44">
        <f>ROUNDUP(SUM(BP22:BP561),0)</f>
        <v>5</v>
      </c>
      <c r="Z566" s="42"/>
      <c r="AA566" s="67"/>
      <c r="AB566" s="67"/>
      <c r="AC566" s="67"/>
    </row>
    <row r="567" spans="1:68" x14ac:dyDescent="0.2">
      <c r="A567" s="720"/>
      <c r="B567" s="720"/>
      <c r="C567" s="720"/>
      <c r="D567" s="720"/>
      <c r="E567" s="720"/>
      <c r="F567" s="720"/>
      <c r="G567" s="720"/>
      <c r="H567" s="720"/>
      <c r="I567" s="720"/>
      <c r="J567" s="720"/>
      <c r="K567" s="720"/>
      <c r="L567" s="720"/>
      <c r="M567" s="720"/>
      <c r="N567" s="720"/>
      <c r="O567" s="1003"/>
      <c r="P567" s="1000" t="s">
        <v>36</v>
      </c>
      <c r="Q567" s="1001"/>
      <c r="R567" s="1001"/>
      <c r="S567" s="1001"/>
      <c r="T567" s="1001"/>
      <c r="U567" s="1001"/>
      <c r="V567" s="1002"/>
      <c r="W567" s="42" t="s">
        <v>0</v>
      </c>
      <c r="X567" s="43">
        <f>GrossWeightTotal+PalletQtyTotal*25</f>
        <v>2507.0548000147992</v>
      </c>
      <c r="Y567" s="43">
        <f>GrossWeightTotalR+PalletQtyTotalR*25</f>
        <v>2609.1029999999992</v>
      </c>
      <c r="Z567" s="42"/>
      <c r="AA567" s="67"/>
      <c r="AB567" s="67"/>
      <c r="AC567" s="67"/>
    </row>
    <row r="568" spans="1:68" x14ac:dyDescent="0.2">
      <c r="A568" s="720"/>
      <c r="B568" s="720"/>
      <c r="C568" s="720"/>
      <c r="D568" s="720"/>
      <c r="E568" s="720"/>
      <c r="F568" s="720"/>
      <c r="G568" s="720"/>
      <c r="H568" s="720"/>
      <c r="I568" s="720"/>
      <c r="J568" s="720"/>
      <c r="K568" s="720"/>
      <c r="L568" s="720"/>
      <c r="M568" s="720"/>
      <c r="N568" s="720"/>
      <c r="O568" s="1003"/>
      <c r="P568" s="1000" t="s">
        <v>37</v>
      </c>
      <c r="Q568" s="1001"/>
      <c r="R568" s="1001"/>
      <c r="S568" s="1001"/>
      <c r="T568" s="1001"/>
      <c r="U568" s="1001"/>
      <c r="V568" s="1002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469.94227994227998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487</v>
      </c>
      <c r="Z568" s="42"/>
      <c r="AA568" s="67"/>
      <c r="AB568" s="67"/>
      <c r="AC568" s="67"/>
    </row>
    <row r="569" spans="1:68" ht="14.25" hidden="1" x14ac:dyDescent="0.2">
      <c r="A569" s="720"/>
      <c r="B569" s="720"/>
      <c r="C569" s="720"/>
      <c r="D569" s="720"/>
      <c r="E569" s="720"/>
      <c r="F569" s="720"/>
      <c r="G569" s="720"/>
      <c r="H569" s="720"/>
      <c r="I569" s="720"/>
      <c r="J569" s="720"/>
      <c r="K569" s="720"/>
      <c r="L569" s="720"/>
      <c r="M569" s="720"/>
      <c r="N569" s="720"/>
      <c r="O569" s="1003"/>
      <c r="P569" s="1000" t="s">
        <v>38</v>
      </c>
      <c r="Q569" s="1001"/>
      <c r="R569" s="1001"/>
      <c r="S569" s="1001"/>
      <c r="T569" s="1001"/>
      <c r="U569" s="1001"/>
      <c r="V569" s="1002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5.126100000000001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8" t="s">
        <v>128</v>
      </c>
      <c r="E571" s="998" t="s">
        <v>128</v>
      </c>
      <c r="F571" s="998" t="s">
        <v>128</v>
      </c>
      <c r="G571" s="998" t="s">
        <v>128</v>
      </c>
      <c r="H571" s="998" t="s">
        <v>128</v>
      </c>
      <c r="I571" s="998" t="s">
        <v>128</v>
      </c>
      <c r="J571" s="998" t="s">
        <v>128</v>
      </c>
      <c r="K571" s="998" t="s">
        <v>343</v>
      </c>
      <c r="L571" s="998" t="s">
        <v>343</v>
      </c>
      <c r="M571" s="998" t="s">
        <v>343</v>
      </c>
      <c r="N571" s="1004"/>
      <c r="O571" s="998" t="s">
        <v>343</v>
      </c>
      <c r="P571" s="998" t="s">
        <v>343</v>
      </c>
      <c r="Q571" s="998" t="s">
        <v>343</v>
      </c>
      <c r="R571" s="998" t="s">
        <v>343</v>
      </c>
      <c r="S571" s="998" t="s">
        <v>343</v>
      </c>
      <c r="T571" s="998" t="s">
        <v>343</v>
      </c>
      <c r="U571" s="998" t="s">
        <v>343</v>
      </c>
      <c r="V571" s="998" t="s">
        <v>343</v>
      </c>
      <c r="W571" s="998" t="s">
        <v>343</v>
      </c>
      <c r="X571" s="998" t="s">
        <v>707</v>
      </c>
      <c r="Y571" s="998" t="s">
        <v>707</v>
      </c>
      <c r="Z571" s="998" t="s">
        <v>773</v>
      </c>
      <c r="AA571" s="998" t="s">
        <v>773</v>
      </c>
      <c r="AB571" s="85" t="s">
        <v>806</v>
      </c>
      <c r="AC571" s="998" t="s">
        <v>850</v>
      </c>
      <c r="AD571" s="998" t="s">
        <v>850</v>
      </c>
      <c r="AF571" s="1"/>
    </row>
    <row r="572" spans="1:68" ht="14.25" customHeight="1" thickTop="1" x14ac:dyDescent="0.2">
      <c r="A572" s="1005" t="s">
        <v>10</v>
      </c>
      <c r="B572" s="998" t="s">
        <v>76</v>
      </c>
      <c r="C572" s="998" t="s">
        <v>112</v>
      </c>
      <c r="D572" s="998" t="s">
        <v>129</v>
      </c>
      <c r="E572" s="998" t="s">
        <v>145</v>
      </c>
      <c r="F572" s="998" t="s">
        <v>191</v>
      </c>
      <c r="G572" s="998" t="s">
        <v>215</v>
      </c>
      <c r="H572" s="998" t="s">
        <v>257</v>
      </c>
      <c r="I572" s="998" t="s">
        <v>270</v>
      </c>
      <c r="J572" s="998" t="s">
        <v>128</v>
      </c>
      <c r="K572" s="998" t="s">
        <v>344</v>
      </c>
      <c r="L572" s="998" t="s">
        <v>365</v>
      </c>
      <c r="M572" s="998" t="s">
        <v>429</v>
      </c>
      <c r="N572" s="1"/>
      <c r="O572" s="998" t="s">
        <v>495</v>
      </c>
      <c r="P572" s="998" t="s">
        <v>530</v>
      </c>
      <c r="Q572" s="998" t="s">
        <v>552</v>
      </c>
      <c r="R572" s="998" t="s">
        <v>561</v>
      </c>
      <c r="S572" s="998" t="s">
        <v>583</v>
      </c>
      <c r="T572" s="998" t="s">
        <v>590</v>
      </c>
      <c r="U572" s="998" t="s">
        <v>599</v>
      </c>
      <c r="V572" s="998" t="s">
        <v>685</v>
      </c>
      <c r="W572" s="998" t="s">
        <v>697</v>
      </c>
      <c r="X572" s="998" t="s">
        <v>708</v>
      </c>
      <c r="Y572" s="998" t="s">
        <v>757</v>
      </c>
      <c r="Z572" s="998" t="s">
        <v>774</v>
      </c>
      <c r="AA572" s="998" t="s">
        <v>794</v>
      </c>
      <c r="AB572" s="998" t="s">
        <v>806</v>
      </c>
      <c r="AC572" s="998" t="s">
        <v>850</v>
      </c>
      <c r="AD572" s="998" t="s">
        <v>868</v>
      </c>
      <c r="AF572" s="1"/>
    </row>
    <row r="573" spans="1:68" ht="13.5" thickBot="1" x14ac:dyDescent="0.25">
      <c r="A573" s="1006"/>
      <c r="B573" s="998"/>
      <c r="C573" s="998"/>
      <c r="D573" s="998"/>
      <c r="E573" s="998"/>
      <c r="F573" s="998"/>
      <c r="G573" s="998"/>
      <c r="H573" s="998"/>
      <c r="I573" s="998"/>
      <c r="J573" s="998"/>
      <c r="K573" s="998"/>
      <c r="L573" s="998"/>
      <c r="M573" s="998"/>
      <c r="N573" s="1"/>
      <c r="O573" s="998"/>
      <c r="P573" s="998"/>
      <c r="Q573" s="998"/>
      <c r="R573" s="998"/>
      <c r="S573" s="998"/>
      <c r="T573" s="998"/>
      <c r="U573" s="998"/>
      <c r="V573" s="998"/>
      <c r="W573" s="998"/>
      <c r="X573" s="998"/>
      <c r="Y573" s="998"/>
      <c r="Z573" s="998"/>
      <c r="AA573" s="998"/>
      <c r="AB573" s="998"/>
      <c r="AC573" s="998"/>
      <c r="AD573" s="998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12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56.7</v>
      </c>
      <c r="F574" s="52">
        <f>IFERROR(Y89*1,"0")+IFERROR(Y90*1,"0")+IFERROR(Y91*1,"0")+IFERROR(Y92*1,"0")+IFERROR(Y93*1,"0")+IFERROR(Y94*1,"0")+IFERROR(Y98*1,"0")+IFERROR(Y99*1,"0")+IFERROR(Y100*1,"0")+IFERROR(Y101*1,"0")</f>
        <v>83.699999999999989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149.4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136.5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30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493.80000000000013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9.6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93.6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91.8</v>
      </c>
      <c r="V574" s="52">
        <f>IFERROR(Y422*1,"0")+IFERROR(Y423*1,"0")+IFERROR(Y424*1,"0")+IFERROR(Y425*1,"0")</f>
        <v>0</v>
      </c>
      <c r="W574" s="52">
        <f>IFERROR(Y430*1,"0")+IFERROR(Y431*1,"0")+IFERROR(Y432*1,"0")</f>
        <v>137.4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120</v>
      </c>
      <c r="Y574" s="52">
        <f>IFERROR(Y467*1,"0")+IFERROR(Y468*1,"0")+IFERROR(Y472*1,"0")+IFERROR(Y476*1,"0")+IFERROR(Y477*1,"0")+IFERROR(Y478*1,"0")</f>
        <v>36</v>
      </c>
      <c r="Z574" s="52">
        <f>IFERROR(Y484*1,"0")+IFERROR(Y485*1,"0")+IFERROR(Y486*1,"0")+IFERROR(Y487*1,"0")+IFERROR(Y488*1,"0")+IFERROR(Y489*1,"0")+IFERROR(Y493*1,"0")</f>
        <v>68.7</v>
      </c>
      <c r="AA574" s="52">
        <f>IFERROR(Y498*1,"0")+IFERROR(Y502*1,"0")+IFERROR(Y503*1,"0")+IFERROR(Y504*1,"0")</f>
        <v>32.400000000000006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316.8</v>
      </c>
      <c r="AC574" s="52">
        <f>IFERROR(Y539*1,"0")+IFERROR(Y543*1,"0")+IFERROR(Y547*1,"0")+IFERROR(Y551*1,"0")+IFERROR(Y555*1,"0")+IFERROR(Y556*1,"0")</f>
        <v>483.6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09,00"/>
        <filter val="11,54"/>
        <filter val="12,00"/>
        <filter val="120,00"/>
        <filter val="125,93"/>
        <filter val="13,50"/>
        <filter val="13,52"/>
        <filter val="130,00"/>
        <filter val="135,00"/>
        <filter val="14,00"/>
        <filter val="15,00"/>
        <filter val="15,93"/>
        <filter val="16,90"/>
        <filter val="17,05"/>
        <filter val="17,35"/>
        <filter val="18,94"/>
        <filter val="2 255,00"/>
        <filter val="2 382,05"/>
        <filter val="2 507,05"/>
        <filter val="2,50"/>
        <filter val="20,00"/>
        <filter val="21,00"/>
        <filter val="22,73"/>
        <filter val="27,00"/>
        <filter val="29,00"/>
        <filter val="3,00"/>
        <filter val="3,33"/>
        <filter val="30,00"/>
        <filter val="33,50"/>
        <filter val="37,14"/>
        <filter val="39,00"/>
        <filter val="4,85"/>
        <filter val="40,00"/>
        <filter val="42,00"/>
        <filter val="43,00"/>
        <filter val="440,00"/>
        <filter val="450,00"/>
        <filter val="469,94"/>
        <filter val="5"/>
        <filter val="5,13"/>
        <filter val="5,56"/>
        <filter val="50,00"/>
        <filter val="52,50"/>
        <filter val="53,70"/>
        <filter val="6,00"/>
        <filter val="6,11"/>
        <filter val="6,17"/>
        <filter val="60,00"/>
        <filter val="64,00"/>
        <filter val="7,14"/>
        <filter val="8,00"/>
        <filter val="80,00"/>
        <filter val="9,00"/>
        <filter val="9,76"/>
        <filter val="90,00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2026-10-23T12:52:14Z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