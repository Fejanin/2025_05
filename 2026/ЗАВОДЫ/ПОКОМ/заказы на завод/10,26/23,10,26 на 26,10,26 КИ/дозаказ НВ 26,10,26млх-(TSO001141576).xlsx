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DDD833-E83E-44B3-BF7A-9D184D01300C}" xr6:coauthVersionLast="47" xr6:coauthVersionMax="47" xr10:uidLastSave="{00000000-0000-0000-0000-000000000000}"/>
  <bookViews>
    <workbookView xWindow="60" yWindow="0" windowWidth="2874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Y500" i="2" s="1"/>
  <c r="P499" i="2"/>
  <c r="X496" i="2"/>
  <c r="X495" i="2"/>
  <c r="BO494" i="2"/>
  <c r="BM494" i="2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O316" i="2"/>
  <c r="BM316" i="2"/>
  <c r="Y316" i="2"/>
  <c r="BN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M165" i="2"/>
  <c r="Z165" i="2"/>
  <c r="Y165" i="2"/>
  <c r="BN165" i="2" s="1"/>
  <c r="P165" i="2"/>
  <c r="BO164" i="2"/>
  <c r="BN164" i="2"/>
  <c r="BM164" i="2"/>
  <c r="Y164" i="2"/>
  <c r="Z164" i="2" s="1"/>
  <c r="P164" i="2"/>
  <c r="X161" i="2"/>
  <c r="X160" i="2"/>
  <c r="BP159" i="2"/>
  <c r="BO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N41" i="2" s="1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41" i="2" l="1"/>
  <c r="BP41" i="2"/>
  <c r="Y133" i="2"/>
  <c r="Z190" i="2"/>
  <c r="Z311" i="2"/>
  <c r="Z312" i="2" s="1"/>
  <c r="BP311" i="2"/>
  <c r="BN315" i="2"/>
  <c r="Z316" i="2"/>
  <c r="BP316" i="2"/>
  <c r="Z350" i="2"/>
  <c r="BP350" i="2"/>
  <c r="Z494" i="2"/>
  <c r="Z495" i="2" s="1"/>
  <c r="BP494" i="2"/>
  <c r="BN499" i="2"/>
  <c r="Z513" i="2"/>
  <c r="BP513" i="2"/>
  <c r="Z557" i="2"/>
  <c r="BP120" i="2"/>
  <c r="BN159" i="2"/>
  <c r="Y160" i="2"/>
  <c r="Z229" i="2"/>
  <c r="BN230" i="2"/>
  <c r="BP77" i="2"/>
  <c r="BN311" i="2"/>
  <c r="Y312" i="2"/>
  <c r="Z315" i="2"/>
  <c r="BP439" i="2"/>
  <c r="BN494" i="2"/>
  <c r="Y495" i="2"/>
  <c r="Z499" i="2"/>
  <c r="Z500" i="2" s="1"/>
  <c r="BN557" i="2"/>
  <c r="BN229" i="2"/>
  <c r="Z230" i="2"/>
  <c r="Z268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46" i="2" s="1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Z34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53" i="2" l="1"/>
  <c r="Z535" i="2"/>
  <c r="Z168" i="2"/>
  <c r="Z401" i="2"/>
  <c r="Z95" i="2"/>
  <c r="X568" i="2"/>
  <c r="Z491" i="2"/>
  <c r="Z434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<sst xmlns="http://schemas.openxmlformats.org/spreadsheetml/2006/main" count="4285" uniqueCount="915">
  <si>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</si>
  <si>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</si>
  <si>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</si>
  <si>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</si>
  <si>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</si>
  <si>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</si>
  <si>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</si>
  <si>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</si>
  <si>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</si>
  <si>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</si>
  <si>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</si>
  <si>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</si>
  <si>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</si>
  <si>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</si>
  <si>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</si>
  <si>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</si>
  <si>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</si>
  <si>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</si>
  <si>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</si>
  <si>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</si>
  <si>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</si>
  <si>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</si>
  <si>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</si>
  <si>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</si>
  <si>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</si>
  <si>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</si>
  <si>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</si>
  <si>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</si>
  <si>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</si>
  <si>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</si>
  <si>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</si>
  <si>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</si>
  <si>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</si>
  <si>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</si>
  <si>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</si>
  <si>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</si>
  <si>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</si>
  <si>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</si>
  <si>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</si>
  <si>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</si>
  <si>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</si>
  <si>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</si>
  <si>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</si>
  <si>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</si>
  <si>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</si>
  <si>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</si>
  <si>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</si>
  <si>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</si>
  <si>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</si>
  <si>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</si>
  <si>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</si>
  <si>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</si>
  <si>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</si>
  <si>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</si>
  <si>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</si>
  <si>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</si>
  <si>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</si>
  <si>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</si>
  <si>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</si>
  <si>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</si>
  <si>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</si>
  <si>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</si>
  <si>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</si>
  <si>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</si>
  <si>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</si>
  <si>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</si>
  <si>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</si>
  <si>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</si>
  <si>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</si>
  <si>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</si>
  <si>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</si>
  <si>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</si>
  <si>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</si>
  <si>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</si>
  <si>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</si>
  <si>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</si>
  <si>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</si>
  <si>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</si>
  <si>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</si>
  <si>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</si>
  <si>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</si>
  <si>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</si>
  <si>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</si>
  <si>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</si>
  <si>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</si>
  <si>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</si>
  <si>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</si>
  <si>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</si>
  <si>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</si>
  <si>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</si>
  <si>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</si>
  <si>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</si>
  <si>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</si>
  <si>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</si>
  <si>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</si>
  <si>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</si>
  <si>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</si>
  <si>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</si>
  <si>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</si>
  <si>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</si>
  <si>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</si>
  <si>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</si>
  <si>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</si>
  <si>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</si>
  <si>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</si>
  <si>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</si>
  <si>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</si>
  <si>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</si>
  <si>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</si>
  <si>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</si>
  <si>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</si>
  <si>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</si>
  <si>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</si>
  <si>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</si>
  <si>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</si>
  <si>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</si>
  <si>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</si>
  <si>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</si>
  <si>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</si>
  <si>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</si>
  <si>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</si>
  <si>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</si>
  <si>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</si>
  <si>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</si>
  <si>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</si>
  <si>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</si>
  <si>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</si>
  <si>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</si>
  <si>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</si>
  <si>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</si>
  <si>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</si>
  <si>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</si>
  <si>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</si>
  <si>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</si>
  <si>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</si>
  <si>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</si>
  <si>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</si>
  <si>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</si>
  <si>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</si>
  <si>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</si>
  <si>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</si>
  <si>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</si>
  <si>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</si>
  <si>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</si>
  <si>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</si>
  <si>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</si>
  <si>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</si>
  <si>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</si>
  <si>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</si>
  <si>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</si>
  <si>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</si>
  <si>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</si>
  <si>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</si>
  <si>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</si>
  <si>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</si>
  <si>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</si>
  <si>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</si>
  <si>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</si>
  <si>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</si>
  <si>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</si>
  <si>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</si>
  <si>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</si>
  <si>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</si>
  <si>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</si>
  <si>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</si>
  <si>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</si>
  <si>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</si>
  <si>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</si>
  <si>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</si>
  <si>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</si>
  <si>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</si>
  <si>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</si>
  <si>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</si>
  <si>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</si>
  <si>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</si>
  <si>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</si>
  <si>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</si>
  <si>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</si>
  <si>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</si>
  <si>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</si>
  <si>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</si>
  <si>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</si>
  <si>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</si>
  <si>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</si>
  <si>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</si>
  <si>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</si>
  <si>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</si>
  <si>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</si>
  <si>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</si>
  <si>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</si>
  <si>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</si>
  <si>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</si>
  <si>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</si>
  <si>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</si>
  <si>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</si>
  <si>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</si>
  <si>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</si>
  <si>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</si>
  <si>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</si>
  <si>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</si>
  <si>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</si>
  <si>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</si>
  <si>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</si>
  <si>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</si>
  <si>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</si>
  <si>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</si>
  <si>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</si>
  <si>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</si>
  <si>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</si>
  <si>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</si>
  <si>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</si>
  <si>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</si>
  <si>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</si>
  <si>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</si>
  <si>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</si>
  <si>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</si>
  <si>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</si>
  <si>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</si>
  <si>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</si>
  <si>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</si>
  <si>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</si>
  <si>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</si>
  <si>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</si>
  <si>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</si>
  <si>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</si>
  <si>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</si>
  <si>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</si>
  <si>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</si>
  <si>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</si>
  <si>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</si>
  <si>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</si>
  <si>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</si>
  <si>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</si>
  <si>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</si>
  <si>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</si>
  <si>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</si>
  <si>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</si>
  <si>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</si>
  <si>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</si>
  <si>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</si>
  <si>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</si>
  <si>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</si>
  <si>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</si>
  <si>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</si>
  <si>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</si>
  <si>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</si>
  <si>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</si>
  <si>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</si>
  <si>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</si>
  <si>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</si>
  <si>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</si>
  <si>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</si>
  <si>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</si>
  <si>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</si>
  <si>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</si>
  <si>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</si>
  <si>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</si>
  <si>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</si>
  <si>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</si>
  <si>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</si>
  <si>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</si>
  <si>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</si>
  <si>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</si>
  <si>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</si>
  <si>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</si>
  <si>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</si>
  <si>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</si>
  <si>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</si>
  <si>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</si>
  <si>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</si>
  <si>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</si>
  <si>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</si>
  <si>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</si>
  <si>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</si>
  <si>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</si>
  <si>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</si>
  <si>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</si>
  <si>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</si>
  <si>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</si>
  <si>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</si>
  <si>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</si>
  <si>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</si>
  <si>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</si>
  <si>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</si>
  <si>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</si>
  <si>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</si>
  <si>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</si>
  <si>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</si>
  <si>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</si>
  <si>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</si>
  <si>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</si>
  <si>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</si>
  <si>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</si>
  <si>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</si>
  <si>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</si>
  <si>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</si>
  <si>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</si>
  <si>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</si>
  <si>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</si>
  <si>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</si>
  <si>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</si>
  <si>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</si>
  <si>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</si>
  <si>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</si>
  <si>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</si>
  <si>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</si>
  <si>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</si>
  <si>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</si>
  <si>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</si>
  <si>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</si>
  <si>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</si>
  <si>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</si>
  <si>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</si>
  <si>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</si>
  <si>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</si>
  <si>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</si>
  <si>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</si>
  <si>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</si>
  <si>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</si>
  <si>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</si>
  <si>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</si>
  <si>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</si>
  <si>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</si>
  <si>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</si>
  <si>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</si>
  <si>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</si>
  <si>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</si>
  <si>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</si>
  <si>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</si>
  <si>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</si>
  <si>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</si>
  <si>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</si>
  <si>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</si>
  <si>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</si>
  <si>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</si>
  <si>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</si>
  <si>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</si>
  <si>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</si>
  <si>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</si>
  <si>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</si>
  <si>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</si>
  <si>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</si>
  <si>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</si>
  <si>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</si>
  <si>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</si>
  <si>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</si>
  <si>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</si>
  <si>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</si>
  <si>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</si>
  <si>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</si>
  <si>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</si>
  <si>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</si>
  <si>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</si>
  <si>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</si>
  <si>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</si>
  <si>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</si>
  <si>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</si>
  <si>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</si>
  <si>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</si>
  <si>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</si>
  <si>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</si>
  <si>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</si>
  <si>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</si>
  <si>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</si>
  <si>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</si>
  <si>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</si>
  <si>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</si>
  <si>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</si>
  <si>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</si>
  <si>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</si>
  <si>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</si>
  <si>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</si>
  <si>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</si>
  <si>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</si>
  <si>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</si>
  <si>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</si>
  <si>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</si>
  <si>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</si>
  <si>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</si>
  <si>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</si>
  <si>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</si>
  <si>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</si>
  <si>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</si>
  <si>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</si>
  <si>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</si>
  <si>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</si>
  <si>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</si>
  <si>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</si>
  <si>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</si>
  <si>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</si>
  <si>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</si>
  <si>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</si>
  <si>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</si>
  <si>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</si>
  <si>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</si>
  <si>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</si>
  <si>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</si>
  <si>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</si>
  <si>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</si>
  <si>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</si>
  <si>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</si>
  <si>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</si>
  <si>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</si>
  <si>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</si>
  <si>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</si>
  <si>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</si>
  <si>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</si>
  <si>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</si>
  <si>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</si>
  <si>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</si>
  <si>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</si>
  <si>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</si>
  <si>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</si>
  <si>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</si>
  <si>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</si>
  <si>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</si>
  <si>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</si>
  <si>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</si>
  <si>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</si>
  <si>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</si>
  <si>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</si>
  <si>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</si>
  <si>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</si>
  <si>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</si>
  <si>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</si>
  <si>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</si>
  <si>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</si>
  <si>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</si>
  <si>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</si>
  <si>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</si>
  <si>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</si>
  <si>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</si>
  <si>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</si>
  <si>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</si>
  <si>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</si>
  <si>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</si>
  <si>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</si>
  <si>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</si>
  <si>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</si>
  <si>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</si>
  <si>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</si>
  <si>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</si>
  <si>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</si>
  <si>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</si>
  <si>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</si>
  <si>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</si>
  <si>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</si>
  <si>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</si>
  <si>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</si>
  <si>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</si>
  <si>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</si>
  <si>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</si>
  <si>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</si>
  <si>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</si>
  <si>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</si>
  <si>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</si>
  <si>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</si>
  <si>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</si>
  <si>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</si>
  <si>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</si>
  <si>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</si>
  <si>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</si>
  <si>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</si>
  <si>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</si>
  <si>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</si>
  <si>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</si>
  <si>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</si>
  <si>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</si>
  <si>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</si>
  <si>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</si>
  <si>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</si>
  <si>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</si>
  <si>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</si>
  <si>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</si>
  <si>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</si>
  <si>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</si>
  <si>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</si>
  <si>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</si>
  <si>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</si>
  <si>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</si>
  <si>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</si>
  <si>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</si>
  <si>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</si>
  <si>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</si>
  <si>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</si>
  <si>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</si>
  <si>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</si>
  <si>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</si>
  <si>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</si>
  <si>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</si>
  <si>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</si>
  <si>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</si>
  <si>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</si>
  <si>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</si>
  <si>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</si>
  <si>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</si>
  <si>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</si>
  <si>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</si>
  <si>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</si>
  <si>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</si>
  <si>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</si>
  <si>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</si>
  <si>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</si>
  <si>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</si>
  <si>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</si>
  <si>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</si>
  <si>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</si>
  <si>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</si>
  <si>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</si>
  <si>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</si>
  <si>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</si>
  <si>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</si>
  <si>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</si>
  <si>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</si>
  <si>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</si>
  <si>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</si>
  <si>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</si>
  <si>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</si>
  <si>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</si>
  <si>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</si>
  <si>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</si>
  <si>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</si>
  <si>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</si>
  <si>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</si>
  <si>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</si>
  <si>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</si>
  <si>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</si>
  <si>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</si>
  <si>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</si>
  <si>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</si>
  <si>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</si>
  <si>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</si>
  <si>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</si>
  <si>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</si>
  <si>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</si>
  <si>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</si>
  <si>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</si>
  <si>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</si>
  <si>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</si>
  <si>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</si>
  <si>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</si>
  <si>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</si>
  <si>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</si>
  <si>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</si>
  <si>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</si>
  <si>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</si>
  <si>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</si>
  <si>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</si>
  <si>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</si>
  <si>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</si>
  <si>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</si>
  <si>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</si>
  <si>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</si>
  <si>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</si>
  <si>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</si>
  <si>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</si>
  <si>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</si>
  <si>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</si>
  <si>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</si>
  <si>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</si>
  <si>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</si>
  <si>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</si>
  <si>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</si>
  <si>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</si>
  <si>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</si>
  <si>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</si>
  <si>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</si>
  <si>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</si>
  <si>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</si>
  <si>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</si>
  <si>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</si>
  <si>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</si>
  <si>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</si>
  <si>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</si>
  <si>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</si>
  <si>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</si>
  <si>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</si>
  <si>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</si>
  <si>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</si>
  <si>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</si>
  <si>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</si>
  <si>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</si>
  <si>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</si>
  <si>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</si>
  <si>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</si>
  <si>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</si>
  <si>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</si>
  <si>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</si>
  <si>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</si>
  <si>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</si>
  <si>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</si>
  <si>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</si>
  <si>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</si>
  <si>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</si>
  <si>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</si>
  <si>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</si>
  <si>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</si>
  <si>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</si>
  <si>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</si>
  <si>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</si>
  <si>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</si>
  <si>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</si>
  <si>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</si>
  <si>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</si>
  <si>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</si>
  <si>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</si>
  <si>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</si>
  <si>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</si>
  <si>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</si>
  <si>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</si>
  <si>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</si>
  <si>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</si>
  <si>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</si>
  <si>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</si>
  <si>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</si>
  <si>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</si>
  <si>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</si>
  <si>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</si>
  <si>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</si>
  <si>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</si>
  <si>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</si>
  <si>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</si>
  <si>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</si>
  <si>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</si>
  <si>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</si>
  <si>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</si>
  <si>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</si>
  <si>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</si>
  <si>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</si>
  <si>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</si>
  <si>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</si>
  <si>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</si>
  <si>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</si>
  <si>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</si>
  <si>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</si>
  <si>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</si>
  <si>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</si>
  <si>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</si>
  <si>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</si>
  <si>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</si>
  <si>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</si>
  <si>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</si>
  <si>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</si>
  <si>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</si>
  <si>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</si>
  <si>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</si>
  <si>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</si>
  <si>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</si>
  <si>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</si>
  <si>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</si>
  <si>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</si>
  <si>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</si>
  <si>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</si>
  <si>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</si>
  <si>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</si>
  <si>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</si>
  <si>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</si>
  <si>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</si>
  <si>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</si>
  <si>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</si>
  <si>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</si>
  <si>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</si>
  <si>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</si>
  <si>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</si>
  <si>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</si>
  <si>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</si>
  <si>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</si>
  <si>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</si>
  <si>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</si>
  <si>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</si>
  <si>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</si>
  <si>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</si>
  <si>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</si>
  <si>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</si>
  <si>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</si>
  <si>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</si>
  <si>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</si>
  <si>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</si>
  <si>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</si>
  <si>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</si>
  <si>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</si>
  <si>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</si>
  <si>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</si>
  <si>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</si>
  <si>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</si>
  <si>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</si>
  <si>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</si>
  <si>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</si>
  <si>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</si>
  <si>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</si>
  <si>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</si>
  <si>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</si>
  <si>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</si>
  <si>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</si>
  <si>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</si>
  <si>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</si>
  <si>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</si>
  <si>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</si>
  <si>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</si>
  <si>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</si>
  <si>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</si>
  <si>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</si>
  <si>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</si>
  <si>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</si>
  <si>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</si>
  <si>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</si>
  <si>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</si>
  <si>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</si>
  <si>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</si>
  <si>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</si>
  <si>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</si>
  <si>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</si>
  <si>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</si>
  <si>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</si>
  <si>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</si>
  <si>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</si>
  <si>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</si>
  <si>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</si>
  <si>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</si>
  <si>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</si>
  <si>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</si>
  <si>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</si>
  <si>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</si>
  <si>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</si>
  <si>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</si>
  <si>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</si>
  <si>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</si>
  <si>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</si>
  <si>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</si>
  <si>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</si>
  <si>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</si>
  <si>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</si>
  <si>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</si>
  <si>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</si>
  <si>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</si>
  <si>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</si>
  <si>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</si>
  <si>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</si>
  <si>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</si>
  <si>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</si>
  <si>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</si>
  <si>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</si>
  <si>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</si>
  <si>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</si>
  <si>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</si>
  <si>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</si>
  <si>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</si>
  <si>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</si>
  <si>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</si>
  <si>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</si>
  <si>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</si>
  <si>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</si>
  <si>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</si>
  <si>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</si>
  <si>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</si>
  <si>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</si>
  <si>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</si>
  <si>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</si>
  <si>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</si>
  <si>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</si>
  <si>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</si>
  <si>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</si>
  <si>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</si>
  <si>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</si>
  <si>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</si>
  <si>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</si>
  <si>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</si>
  <si>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</si>
  <si>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</si>
  <si>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</si>
  <si>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</si>
  <si>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</si>
  <si>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</si>
  <si>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</si>
  <si>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</si>
  <si>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</si>
  <si>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</si>
  <si>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</si>
  <si>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</si>
  <si>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</si>
  <si>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</si>
  <si>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</si>
  <si>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</si>
  <si>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</si>
  <si>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</si>
  <si>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</si>
  <si>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</si>
  <si>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</si>
  <si>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</si>
  <si>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</si>
  <si>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</si>
  <si>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</si>
  <si>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</si>
  <si>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</si>
  <si>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</si>
  <si>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</si>
  <si>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</si>
  <si>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</si>
  <si>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</si>
  <si>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</si>
  <si>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</si>
  <si>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</si>
  <si>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</si>
  <si>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</si>
  <si>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</si>
  <si>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</si>
  <si>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</si>
  <si>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</si>
  <si>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</si>
  <si>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</si>
  <si>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</si>
  <si>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</si>
  <si>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</si>
  <si>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</si>
  <si>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</si>
  <si>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</si>
  <si>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</si>
  <si>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</si>
  <si>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</si>
  <si>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</si>
  <si>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</si>
  <si>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</si>
  <si>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</si>
  <si>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</si>
  <si>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</si>
  <si>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</si>
  <si>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</si>
  <si>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</si>
  <si>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</si>
  <si>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</si>
  <si>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</si>
  <si>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</si>
  <si>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</si>
  <si>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</si>
  <si>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</si>
  <si>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</si>
  <si>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</si>
  <si>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</si>
  <si>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</si>
  <si>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</si>
  <si>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</si>
  <si>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</si>
  <si>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</si>
  <si>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</si>
  <si>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</si>
  <si>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</si>
  <si>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</si>
  <si>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</si>
  <si>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</si>
  <si>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</si>
  <si>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</si>
  <si>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</si>
  <si>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</si>
  <si>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</si>
  <si>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</si>
  <si>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</si>
  <si>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</si>
  <si>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</si>
  <si>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</si>
  <si>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</si>
  <si>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</si>
  <si>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</si>
  <si>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</si>
  <si>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</si>
  <si>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</si>
  <si>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</si>
  <si>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</si>
  <si>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</si>
  <si>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</si>
  <si>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</si>
  <si>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</si>
  <si>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</si>
  <si>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</si>
  <si>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</si>
  <si>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</si>
  <si>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</si>
  <si>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</si>
  <si>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</si>
  <si>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</si>
  <si>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</si>
  <si>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</si>
  <si>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</si>
  <si>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</si>
  <si>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</si>
  <si>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</si>
  <si>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</si>
  <si>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</si>
  <si>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</si>
  <si>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</si>
  <si>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</si>
  <si>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</si>
  <si>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</si>
  <si>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</si>
  <si>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</si>
  <si>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</si>
  <si>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</si>
  <si>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</si>
  <si>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</si>
  <si>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</si>
  <si>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</si>
  <si>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</si>
  <si>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</si>
  <si>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</si>
  <si>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</si>
  <si>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</si>
  <si>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</si>
  <si>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</si>
  <si>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</si>
  <si>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</si>
  <si>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</si>
  <si>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</si>
  <si>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</si>
  <si>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</si>
  <si>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TSO001141576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</si>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</sst>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66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67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913</v>
      </c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877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890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69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5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57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0.625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70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914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71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72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73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74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60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58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65</v>
      </c>
      <c r="L17" s="690" t="s">
        <v>63</v>
      </c>
      <c r="M17" s="690" t="s">
        <v>2</v>
      </c>
      <c r="N17" s="690" t="s">
        <v>62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55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59</v>
      </c>
      <c r="AB17" s="704" t="s">
        <v>19</v>
      </c>
      <c r="AC17" s="704" t="s">
        <v>64</v>
      </c>
      <c r="AD17" s="706" t="s">
        <v>56</v>
      </c>
      <c r="AE17" s="707"/>
      <c r="AF17" s="708"/>
      <c r="AG17" s="82"/>
      <c r="BD17" s="81" t="s">
        <v>61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75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75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76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82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100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111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82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127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128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129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3" t="s">
        <v>144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129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148</v>
      </c>
      <c r="B61" s="63" t="s">
        <v>151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165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133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4" t="s">
        <v>82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183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191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129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82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215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129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165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239</v>
      </c>
      <c r="L117" s="37" t="s">
        <v>46</v>
      </c>
      <c r="M117" s="38" t="s">
        <v>80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240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239</v>
      </c>
      <c r="L118" s="37" t="s">
        <v>46</v>
      </c>
      <c r="M118" s="38" t="s">
        <v>80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238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81</v>
      </c>
      <c r="L119" s="37" t="s">
        <v>46</v>
      </c>
      <c r="M119" s="38" t="s">
        <v>133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243</v>
      </c>
      <c r="B120" s="63" t="s">
        <v>244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87</v>
      </c>
      <c r="L120" s="37" t="s">
        <v>46</v>
      </c>
      <c r="M120" s="38" t="s">
        <v>133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235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82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245</v>
      </c>
      <c r="B124" s="63" t="s">
        <v>246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134</v>
      </c>
      <c r="L124" s="37" t="s">
        <v>46</v>
      </c>
      <c r="M124" s="38" t="s">
        <v>86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250</v>
      </c>
      <c r="B126" s="63" t="s">
        <v>251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252</v>
      </c>
      <c r="B127" s="63" t="s">
        <v>253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87</v>
      </c>
      <c r="L127" s="37" t="s">
        <v>46</v>
      </c>
      <c r="M127" s="38" t="s">
        <v>86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254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183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255</v>
      </c>
      <c r="B131" s="63" t="s">
        <v>256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87</v>
      </c>
      <c r="L131" s="37" t="s">
        <v>46</v>
      </c>
      <c r="M131" s="38" t="s">
        <v>86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257</v>
      </c>
      <c r="AG131" s="78"/>
      <c r="AJ131" s="84" t="s">
        <v>46</v>
      </c>
      <c r="AK131" s="84">
        <v>0</v>
      </c>
      <c r="BB131" s="207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258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129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259</v>
      </c>
      <c r="B136" s="63" t="s">
        <v>260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262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261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259</v>
      </c>
      <c r="B137" s="63" t="s">
        <v>263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87</v>
      </c>
      <c r="L137" s="37" t="s">
        <v>46</v>
      </c>
      <c r="M137" s="38" t="s">
        <v>262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261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76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262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87</v>
      </c>
      <c r="L142" s="37" t="s">
        <v>46</v>
      </c>
      <c r="M142" s="38" t="s">
        <v>262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82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262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261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268</v>
      </c>
      <c r="B147" s="63" t="s">
        <v>270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87</v>
      </c>
      <c r="L147" s="37" t="s">
        <v>46</v>
      </c>
      <c r="M147" s="38" t="s">
        <v>262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261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271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82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272</v>
      </c>
      <c r="B152" s="63" t="s">
        <v>273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281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87</v>
      </c>
      <c r="L155" s="37" t="s">
        <v>46</v>
      </c>
      <c r="M155" s="38" t="s">
        <v>93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283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100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107</v>
      </c>
      <c r="L159" s="37" t="s">
        <v>46</v>
      </c>
      <c r="M159" s="38" t="s">
        <v>106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286</v>
      </c>
      <c r="AG159" s="78"/>
      <c r="AJ159" s="84" t="s">
        <v>46</v>
      </c>
      <c r="AK159" s="84">
        <v>0</v>
      </c>
      <c r="BB159" s="229" t="s">
        <v>104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127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129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287</v>
      </c>
      <c r="B164" s="63" t="s">
        <v>288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134</v>
      </c>
      <c r="L164" s="37" t="s">
        <v>46</v>
      </c>
      <c r="M164" s="38" t="s">
        <v>133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290</v>
      </c>
      <c r="B165" s="63" t="s">
        <v>291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290</v>
      </c>
      <c r="B166" s="63" t="s">
        <v>293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141</v>
      </c>
      <c r="L166" s="37" t="s">
        <v>46</v>
      </c>
      <c r="M166" s="38" t="s">
        <v>133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292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87</v>
      </c>
      <c r="L167" s="37" t="s">
        <v>46</v>
      </c>
      <c r="M167" s="38" t="s">
        <v>86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165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297</v>
      </c>
      <c r="B171" s="63" t="s">
        <v>298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300</v>
      </c>
      <c r="B172" s="63" t="s">
        <v>301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133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76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303</v>
      </c>
      <c r="B176" s="63" t="s">
        <v>304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134</v>
      </c>
      <c r="L176" s="37" t="s">
        <v>46</v>
      </c>
      <c r="M176" s="38" t="s">
        <v>80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105</v>
      </c>
      <c r="AC176" s="242" t="s">
        <v>305</v>
      </c>
      <c r="AG176" s="78"/>
      <c r="AJ176" s="84" t="s">
        <v>46</v>
      </c>
      <c r="AK176" s="84">
        <v>0</v>
      </c>
      <c r="BB176" s="243" t="s">
        <v>66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308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311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312</v>
      </c>
      <c r="B179" s="63" t="s">
        <v>313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141</v>
      </c>
      <c r="L179" s="37" t="s">
        <v>46</v>
      </c>
      <c r="M179" s="38" t="s">
        <v>80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315</v>
      </c>
      <c r="B180" s="63" t="s">
        <v>316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141</v>
      </c>
      <c r="L180" s="37" t="s">
        <v>46</v>
      </c>
      <c r="M180" s="38" t="s">
        <v>80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318</v>
      </c>
      <c r="B181" s="63" t="s">
        <v>319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308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314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138</v>
      </c>
      <c r="L185" s="37" t="s">
        <v>46</v>
      </c>
      <c r="M185" s="38" t="s">
        <v>80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330</v>
      </c>
      <c r="AG185" s="78"/>
      <c r="AJ185" s="84" t="s">
        <v>46</v>
      </c>
      <c r="AK185" s="84">
        <v>0</v>
      </c>
      <c r="BB185" s="261" t="s">
        <v>66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331</v>
      </c>
      <c r="B186" s="63" t="s">
        <v>332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317</v>
      </c>
      <c r="AG186" s="78"/>
      <c r="AJ186" s="84" t="s">
        <v>46</v>
      </c>
      <c r="AK186" s="84">
        <v>0</v>
      </c>
      <c r="BB186" s="263" t="s">
        <v>66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82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333</v>
      </c>
      <c r="B190" s="63" t="s">
        <v>334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87</v>
      </c>
      <c r="L190" s="37" t="s">
        <v>46</v>
      </c>
      <c r="M190" s="38" t="s">
        <v>93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335</v>
      </c>
      <c r="AG190" s="78"/>
      <c r="AJ190" s="84" t="s">
        <v>46</v>
      </c>
      <c r="AK190" s="84">
        <v>0</v>
      </c>
      <c r="BB190" s="26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336</v>
      </c>
      <c r="B191" s="63" t="s">
        <v>337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87</v>
      </c>
      <c r="L191" s="37" t="s">
        <v>46</v>
      </c>
      <c r="M191" s="38" t="s">
        <v>93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338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100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339</v>
      </c>
      <c r="B195" s="63" t="s">
        <v>340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342</v>
      </c>
      <c r="L195" s="37" t="s">
        <v>46</v>
      </c>
      <c r="M195" s="38" t="s">
        <v>106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341</v>
      </c>
      <c r="AG195" s="78"/>
      <c r="AJ195" s="84" t="s">
        <v>46</v>
      </c>
      <c r="AK195" s="84">
        <v>0</v>
      </c>
      <c r="BB195" s="269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343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344</v>
      </c>
      <c r="B199" s="63" t="s">
        <v>345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342</v>
      </c>
      <c r="L199" s="37" t="s">
        <v>46</v>
      </c>
      <c r="M199" s="38" t="s">
        <v>106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346</v>
      </c>
      <c r="AG199" s="78"/>
      <c r="AJ199" s="84" t="s">
        <v>46</v>
      </c>
      <c r="AK199" s="84">
        <v>0</v>
      </c>
      <c r="BB199" s="271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347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348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129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132</v>
      </c>
      <c r="AG205" s="78"/>
      <c r="AJ205" s="84" t="s">
        <v>46</v>
      </c>
      <c r="AK205" s="84">
        <v>0</v>
      </c>
      <c r="BB205" s="273" t="s">
        <v>66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351</v>
      </c>
      <c r="B206" s="63" t="s">
        <v>352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353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356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357</v>
      </c>
      <c r="B208" s="63" t="s">
        <v>358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359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360</v>
      </c>
      <c r="B209" s="63" t="s">
        <v>361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362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134</v>
      </c>
      <c r="L210" s="37" t="s">
        <v>46</v>
      </c>
      <c r="M210" s="38" t="s">
        <v>86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365</v>
      </c>
      <c r="AG210" s="78"/>
      <c r="AJ210" s="84" t="s">
        <v>46</v>
      </c>
      <c r="AK210" s="84">
        <v>0</v>
      </c>
      <c r="BB210" s="283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366</v>
      </c>
      <c r="B211" s="63" t="s">
        <v>367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134</v>
      </c>
      <c r="L211" s="37" t="s">
        <v>46</v>
      </c>
      <c r="M211" s="38" t="s">
        <v>86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368</v>
      </c>
      <c r="AG211" s="78"/>
      <c r="AJ211" s="84" t="s">
        <v>46</v>
      </c>
      <c r="AK211" s="84">
        <v>0</v>
      </c>
      <c r="BB211" s="285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369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165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370</v>
      </c>
      <c r="B216" s="63" t="s">
        <v>371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76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373</v>
      </c>
      <c r="B220" s="63" t="s">
        <v>374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375</v>
      </c>
      <c r="AG220" s="78"/>
      <c r="AJ220" s="84" t="s">
        <v>46</v>
      </c>
      <c r="AK220" s="84">
        <v>0</v>
      </c>
      <c r="BB220" s="289" t="s">
        <v>66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378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379</v>
      </c>
      <c r="B222" s="63" t="s">
        <v>380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141</v>
      </c>
      <c r="L222" s="37" t="s">
        <v>46</v>
      </c>
      <c r="M222" s="38" t="s">
        <v>80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382</v>
      </c>
      <c r="B223" s="63" t="s">
        <v>383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384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385</v>
      </c>
      <c r="B224" s="63" t="s">
        <v>386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389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390</v>
      </c>
      <c r="B226" s="63" t="s">
        <v>391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378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138</v>
      </c>
      <c r="L229" s="37" t="s">
        <v>46</v>
      </c>
      <c r="M229" s="38" t="s">
        <v>80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401</v>
      </c>
      <c r="B230" s="63" t="s">
        <v>402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381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403</v>
      </c>
      <c r="B231" s="63" t="s">
        <v>404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46</v>
      </c>
      <c r="M231" s="38" t="s">
        <v>80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381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4" t="s">
        <v>82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408</v>
      </c>
      <c r="B236" s="63" t="s">
        <v>409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134</v>
      </c>
      <c r="L237" s="37" t="s">
        <v>46</v>
      </c>
      <c r="M237" s="38" t="s">
        <v>93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413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410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141</v>
      </c>
      <c r="L240" s="37" t="s">
        <v>46</v>
      </c>
      <c r="M240" s="38" t="s">
        <v>93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100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342</v>
      </c>
      <c r="L244" s="37" t="s">
        <v>46</v>
      </c>
      <c r="M244" s="38" t="s">
        <v>106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106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426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106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426</v>
      </c>
      <c r="AG246" s="78"/>
      <c r="AJ246" s="84" t="s">
        <v>46</v>
      </c>
      <c r="AK246" s="84">
        <v>0</v>
      </c>
      <c r="BB246" s="32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429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342</v>
      </c>
      <c r="L250" s="37" t="s">
        <v>46</v>
      </c>
      <c r="M250" s="38" t="s">
        <v>106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426</v>
      </c>
      <c r="AG250" s="78"/>
      <c r="AJ250" s="84" t="s">
        <v>46</v>
      </c>
      <c r="AK250" s="84">
        <v>0</v>
      </c>
      <c r="BB250" s="33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432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129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433</v>
      </c>
      <c r="B255" s="63" t="s">
        <v>434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134</v>
      </c>
      <c r="L255" s="37" t="s">
        <v>46</v>
      </c>
      <c r="M255" s="38" t="s">
        <v>133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436</v>
      </c>
      <c r="B256" s="63" t="s">
        <v>437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87</v>
      </c>
      <c r="L256" s="37" t="s">
        <v>46</v>
      </c>
      <c r="M256" s="38" t="s">
        <v>133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435</v>
      </c>
      <c r="AG256" s="78"/>
      <c r="AJ256" s="84" t="s">
        <v>46</v>
      </c>
      <c r="AK256" s="84">
        <v>0</v>
      </c>
      <c r="BB256" s="33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165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438</v>
      </c>
      <c r="B260" s="63" t="s">
        <v>439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134</v>
      </c>
      <c r="L260" s="37" t="s">
        <v>46</v>
      </c>
      <c r="M260" s="38" t="s">
        <v>133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441</v>
      </c>
      <c r="B261" s="63" t="s">
        <v>442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87</v>
      </c>
      <c r="L261" s="37" t="s">
        <v>46</v>
      </c>
      <c r="M261" s="38" t="s">
        <v>133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440</v>
      </c>
      <c r="AG261" s="78"/>
      <c r="AJ261" s="84" t="s">
        <v>46</v>
      </c>
      <c r="AK261" s="84">
        <v>0</v>
      </c>
      <c r="BB261" s="33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76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443</v>
      </c>
      <c r="B265" s="63" t="s">
        <v>444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66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141</v>
      </c>
      <c r="L268" s="37" t="s">
        <v>46</v>
      </c>
      <c r="M268" s="38" t="s">
        <v>80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66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82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464</v>
      </c>
      <c r="B276" s="63" t="s">
        <v>465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134</v>
      </c>
      <c r="L276" s="37" t="s">
        <v>46</v>
      </c>
      <c r="M276" s="38" t="s">
        <v>86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463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105</v>
      </c>
      <c r="AC276" s="356" t="s">
        <v>466</v>
      </c>
      <c r="AG276" s="78"/>
      <c r="AJ276" s="84" t="s">
        <v>46</v>
      </c>
      <c r="AK276" s="84">
        <v>0</v>
      </c>
      <c r="BB276" s="357" t="s">
        <v>66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134</v>
      </c>
      <c r="L278" s="37" t="s">
        <v>46</v>
      </c>
      <c r="M278" s="38" t="s">
        <v>86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134</v>
      </c>
      <c r="L279" s="37" t="s">
        <v>46</v>
      </c>
      <c r="M279" s="38" t="s">
        <v>86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466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469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477</v>
      </c>
      <c r="B281" s="63" t="s">
        <v>478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87</v>
      </c>
      <c r="L281" s="37" t="s">
        <v>46</v>
      </c>
      <c r="M281" s="38" t="s">
        <v>93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466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481</v>
      </c>
      <c r="B283" s="63" t="s">
        <v>482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134</v>
      </c>
      <c r="L283" s="37" t="s">
        <v>46</v>
      </c>
      <c r="M283" s="38" t="s">
        <v>86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483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484</v>
      </c>
      <c r="B284" s="63" t="s">
        <v>485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466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93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87</v>
      </c>
      <c r="L286" s="37" t="s">
        <v>46</v>
      </c>
      <c r="M286" s="38" t="s">
        <v>86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492</v>
      </c>
      <c r="B287" s="63" t="s">
        <v>493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87</v>
      </c>
      <c r="L287" s="37" t="s">
        <v>46</v>
      </c>
      <c r="M287" s="38" t="s">
        <v>86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494</v>
      </c>
      <c r="AG287" s="78"/>
      <c r="AJ287" s="84" t="s">
        <v>46</v>
      </c>
      <c r="AK287" s="84">
        <v>0</v>
      </c>
      <c r="BB287" s="379" t="s">
        <v>66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183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87</v>
      </c>
      <c r="L291" s="37" t="s">
        <v>46</v>
      </c>
      <c r="M291" s="38" t="s">
        <v>93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497</v>
      </c>
      <c r="AG291" s="78"/>
      <c r="AJ291" s="84" t="s">
        <v>46</v>
      </c>
      <c r="AK291" s="84">
        <v>0</v>
      </c>
      <c r="BB291" s="38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87</v>
      </c>
      <c r="L292" s="37" t="s">
        <v>46</v>
      </c>
      <c r="M292" s="38" t="s">
        <v>86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500</v>
      </c>
      <c r="AG292" s="78"/>
      <c r="AJ292" s="84" t="s">
        <v>46</v>
      </c>
      <c r="AK292" s="84">
        <v>0</v>
      </c>
      <c r="BB292" s="38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501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129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66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505</v>
      </c>
      <c r="B298" s="63" t="s">
        <v>506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134</v>
      </c>
      <c r="L298" s="37" t="s">
        <v>46</v>
      </c>
      <c r="M298" s="38" t="s">
        <v>133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508</v>
      </c>
      <c r="B299" s="63" t="s">
        <v>509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134</v>
      </c>
      <c r="L299" s="37" t="s">
        <v>46</v>
      </c>
      <c r="M299" s="38" t="s">
        <v>133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365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510</v>
      </c>
      <c r="B300" s="63" t="s">
        <v>511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141</v>
      </c>
      <c r="L300" s="37" t="s">
        <v>46</v>
      </c>
      <c r="M300" s="38" t="s">
        <v>133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504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515</v>
      </c>
      <c r="B302" s="63" t="s">
        <v>516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87</v>
      </c>
      <c r="L302" s="37" t="s">
        <v>46</v>
      </c>
      <c r="M302" s="38" t="s">
        <v>133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66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518</v>
      </c>
      <c r="B303" s="63" t="s">
        <v>519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141</v>
      </c>
      <c r="L303" s="37" t="s">
        <v>46</v>
      </c>
      <c r="M303" s="38" t="s">
        <v>133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365</v>
      </c>
      <c r="AG303" s="78"/>
      <c r="AJ303" s="84" t="s">
        <v>46</v>
      </c>
      <c r="AK303" s="84">
        <v>0</v>
      </c>
      <c r="BB303" s="397" t="s">
        <v>66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165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520</v>
      </c>
      <c r="B307" s="63" t="s">
        <v>521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86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522</v>
      </c>
      <c r="AG307" s="78"/>
      <c r="AJ307" s="84" t="s">
        <v>46</v>
      </c>
      <c r="AK307" s="84">
        <v>0</v>
      </c>
      <c r="BB307" s="399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523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524</v>
      </c>
      <c r="B311" s="63" t="s">
        <v>525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342</v>
      </c>
      <c r="L311" s="37" t="s">
        <v>46</v>
      </c>
      <c r="M311" s="38" t="s">
        <v>106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526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343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527</v>
      </c>
      <c r="B315" s="63" t="s">
        <v>528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342</v>
      </c>
      <c r="L315" s="37" t="s">
        <v>46</v>
      </c>
      <c r="M315" s="38" t="s">
        <v>106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529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530</v>
      </c>
      <c r="B316" s="63" t="s">
        <v>531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342</v>
      </c>
      <c r="L316" s="37" t="s">
        <v>46</v>
      </c>
      <c r="M316" s="38" t="s">
        <v>106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529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532</v>
      </c>
      <c r="B317" s="63" t="s">
        <v>533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342</v>
      </c>
      <c r="L317" s="37" t="s">
        <v>46</v>
      </c>
      <c r="M317" s="38" t="s">
        <v>106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529</v>
      </c>
      <c r="AG317" s="78"/>
      <c r="AJ317" s="84" t="s">
        <v>46</v>
      </c>
      <c r="AK317" s="84">
        <v>0</v>
      </c>
      <c r="BB317" s="40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342</v>
      </c>
      <c r="L318" s="37" t="s">
        <v>46</v>
      </c>
      <c r="M318" s="38" t="s">
        <v>106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529</v>
      </c>
      <c r="AG318" s="78"/>
      <c r="AJ318" s="84" t="s">
        <v>46</v>
      </c>
      <c r="AK318" s="84">
        <v>0</v>
      </c>
      <c r="BB318" s="40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536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129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537</v>
      </c>
      <c r="B323" s="63" t="s">
        <v>538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66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540</v>
      </c>
      <c r="B324" s="63" t="s">
        <v>541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546</v>
      </c>
      <c r="B326" s="63" t="s">
        <v>547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134</v>
      </c>
      <c r="L326" s="37" t="s">
        <v>46</v>
      </c>
      <c r="M326" s="38" t="s">
        <v>133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134</v>
      </c>
      <c r="L327" s="37" t="s">
        <v>46</v>
      </c>
      <c r="M327" s="38" t="s">
        <v>133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552</v>
      </c>
      <c r="B328" s="63" t="s">
        <v>553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141</v>
      </c>
      <c r="L328" s="37" t="s">
        <v>46</v>
      </c>
      <c r="M328" s="38" t="s">
        <v>133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554</v>
      </c>
      <c r="AG328" s="78"/>
      <c r="AJ328" s="84" t="s">
        <v>46</v>
      </c>
      <c r="AK328" s="84">
        <v>0</v>
      </c>
      <c r="BB328" s="421" t="s">
        <v>66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555</v>
      </c>
      <c r="B329" s="63" t="s">
        <v>556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141</v>
      </c>
      <c r="L329" s="37" t="s">
        <v>46</v>
      </c>
      <c r="M329" s="38" t="s">
        <v>133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557</v>
      </c>
      <c r="AG329" s="78"/>
      <c r="AJ329" s="84" t="s">
        <v>46</v>
      </c>
      <c r="AK329" s="84">
        <v>0</v>
      </c>
      <c r="BB329" s="423" t="s">
        <v>66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558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82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559</v>
      </c>
      <c r="B334" s="63" t="s">
        <v>560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87</v>
      </c>
      <c r="L335" s="37" t="s">
        <v>46</v>
      </c>
      <c r="M335" s="38" t="s">
        <v>93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564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87</v>
      </c>
      <c r="L336" s="37" t="s">
        <v>46</v>
      </c>
      <c r="M336" s="38" t="s">
        <v>86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561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567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76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568</v>
      </c>
      <c r="B341" s="63" t="s">
        <v>569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574</v>
      </c>
      <c r="B343" s="63" t="s">
        <v>575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576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577</v>
      </c>
      <c r="B344" s="63" t="s">
        <v>578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87</v>
      </c>
      <c r="L344" s="37" t="s">
        <v>46</v>
      </c>
      <c r="M344" s="38" t="s">
        <v>80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579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82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580</v>
      </c>
      <c r="B348" s="63" t="s">
        <v>581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141</v>
      </c>
      <c r="L348" s="37" t="s">
        <v>46</v>
      </c>
      <c r="M348" s="38" t="s">
        <v>86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141</v>
      </c>
      <c r="L349" s="37" t="s">
        <v>46</v>
      </c>
      <c r="M349" s="38" t="s">
        <v>86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585</v>
      </c>
      <c r="AG349" s="78"/>
      <c r="AJ349" s="84" t="s">
        <v>46</v>
      </c>
      <c r="AK349" s="84">
        <v>0</v>
      </c>
      <c r="BB349" s="441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586</v>
      </c>
      <c r="B350" s="63" t="s">
        <v>587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134</v>
      </c>
      <c r="L350" s="37" t="s">
        <v>46</v>
      </c>
      <c r="M350" s="38" t="s">
        <v>86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588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589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590</v>
      </c>
      <c r="B355" s="63" t="s">
        <v>591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141</v>
      </c>
      <c r="L355" s="37" t="s">
        <v>46</v>
      </c>
      <c r="M355" s="38" t="s">
        <v>80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592</v>
      </c>
      <c r="AG355" s="78"/>
      <c r="AJ355" s="84" t="s">
        <v>46</v>
      </c>
      <c r="AK355" s="84">
        <v>0</v>
      </c>
      <c r="BB355" s="445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82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134</v>
      </c>
      <c r="L359" s="37" t="s">
        <v>46</v>
      </c>
      <c r="M359" s="38" t="s">
        <v>86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595</v>
      </c>
      <c r="AG359" s="78"/>
      <c r="AJ359" s="84" t="s">
        <v>46</v>
      </c>
      <c r="AK359" s="84">
        <v>0</v>
      </c>
      <c r="BB359" s="447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596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129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597</v>
      </c>
      <c r="B364" s="63" t="s">
        <v>598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356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599</v>
      </c>
      <c r="B365" s="63" t="s">
        <v>600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134</v>
      </c>
      <c r="L365" s="37" t="s">
        <v>46</v>
      </c>
      <c r="M365" s="38" t="s">
        <v>86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601</v>
      </c>
      <c r="AG365" s="78"/>
      <c r="AJ365" s="84" t="s">
        <v>46</v>
      </c>
      <c r="AK365" s="84">
        <v>0</v>
      </c>
      <c r="BB365" s="45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602</v>
      </c>
      <c r="B366" s="63" t="s">
        <v>603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134</v>
      </c>
      <c r="L366" s="37" t="s">
        <v>46</v>
      </c>
      <c r="M366" s="38" t="s">
        <v>86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604</v>
      </c>
      <c r="AG366" s="78"/>
      <c r="AJ366" s="84" t="s">
        <v>46</v>
      </c>
      <c r="AK366" s="84">
        <v>0</v>
      </c>
      <c r="BB366" s="45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605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129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606</v>
      </c>
      <c r="B371" s="63" t="s">
        <v>607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608</v>
      </c>
      <c r="AG371" s="78"/>
      <c r="AJ371" s="84" t="s">
        <v>46</v>
      </c>
      <c r="AK371" s="84">
        <v>0</v>
      </c>
      <c r="BB371" s="455" t="s">
        <v>66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609</v>
      </c>
      <c r="B372" s="63" t="s">
        <v>610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612</v>
      </c>
      <c r="B373" s="63" t="s">
        <v>613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133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514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614</v>
      </c>
      <c r="B374" s="63" t="s">
        <v>615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134</v>
      </c>
      <c r="L374" s="37" t="s">
        <v>46</v>
      </c>
      <c r="M374" s="38" t="s">
        <v>133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616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134</v>
      </c>
      <c r="L375" s="37" t="s">
        <v>46</v>
      </c>
      <c r="M375" s="38" t="s">
        <v>86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619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141</v>
      </c>
      <c r="L376" s="37" t="s">
        <v>46</v>
      </c>
      <c r="M376" s="38" t="s">
        <v>133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611</v>
      </c>
      <c r="AG376" s="78"/>
      <c r="AJ376" s="84" t="s">
        <v>46</v>
      </c>
      <c r="AK376" s="84">
        <v>0</v>
      </c>
      <c r="BB376" s="465" t="s">
        <v>66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141</v>
      </c>
      <c r="L377" s="37" t="s">
        <v>46</v>
      </c>
      <c r="M377" s="38" t="s">
        <v>133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624</v>
      </c>
      <c r="AG377" s="78"/>
      <c r="AJ377" s="84" t="s">
        <v>46</v>
      </c>
      <c r="AK377" s="84">
        <v>0</v>
      </c>
      <c r="BB377" s="467" t="s">
        <v>66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76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625</v>
      </c>
      <c r="B381" s="63" t="s">
        <v>626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66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141</v>
      </c>
      <c r="L382" s="37" t="s">
        <v>46</v>
      </c>
      <c r="M382" s="38" t="s">
        <v>80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630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631</v>
      </c>
      <c r="B383" s="63" t="s">
        <v>632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141</v>
      </c>
      <c r="L383" s="37" t="s">
        <v>46</v>
      </c>
      <c r="M383" s="38" t="s">
        <v>80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633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634</v>
      </c>
      <c r="B384" s="63" t="s">
        <v>635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81</v>
      </c>
      <c r="L384" s="37" t="s">
        <v>46</v>
      </c>
      <c r="M384" s="38" t="s">
        <v>80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630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81</v>
      </c>
      <c r="L385" s="37" t="s">
        <v>46</v>
      </c>
      <c r="M385" s="38" t="s">
        <v>80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638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141</v>
      </c>
      <c r="L386" s="37" t="s">
        <v>46</v>
      </c>
      <c r="M386" s="38" t="s">
        <v>80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633</v>
      </c>
      <c r="AG386" s="78"/>
      <c r="AJ386" s="84" t="s">
        <v>46</v>
      </c>
      <c r="AK386" s="84">
        <v>0</v>
      </c>
      <c r="BB386" s="479" t="s">
        <v>66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641</v>
      </c>
      <c r="B387" s="63" t="s">
        <v>642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87</v>
      </c>
      <c r="L387" s="37" t="s">
        <v>46</v>
      </c>
      <c r="M387" s="38" t="s">
        <v>80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643</v>
      </c>
      <c r="AG387" s="78"/>
      <c r="AJ387" s="84" t="s">
        <v>46</v>
      </c>
      <c r="AK387" s="84">
        <v>0</v>
      </c>
      <c r="BB387" s="481" t="s">
        <v>66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4" t="s">
        <v>82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644</v>
      </c>
      <c r="B391" s="63" t="s">
        <v>645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134</v>
      </c>
      <c r="L392" s="37" t="s">
        <v>46</v>
      </c>
      <c r="M392" s="38" t="s">
        <v>86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649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134</v>
      </c>
      <c r="L393" s="37" t="s">
        <v>46</v>
      </c>
      <c r="M393" s="38" t="s">
        <v>86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652</v>
      </c>
      <c r="AG393" s="78"/>
      <c r="AJ393" s="84" t="s">
        <v>46</v>
      </c>
      <c r="AK393" s="84">
        <v>0</v>
      </c>
      <c r="BB393" s="487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87</v>
      </c>
      <c r="L394" s="37" t="s">
        <v>46</v>
      </c>
      <c r="M394" s="38" t="s">
        <v>86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646</v>
      </c>
      <c r="AG394" s="78"/>
      <c r="AJ394" s="84" t="s">
        <v>46</v>
      </c>
      <c r="AK394" s="84">
        <v>0</v>
      </c>
      <c r="BB394" s="48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183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655</v>
      </c>
      <c r="B398" s="63" t="s">
        <v>656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86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658</v>
      </c>
      <c r="B399" s="63" t="s">
        <v>659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134</v>
      </c>
      <c r="L399" s="37" t="s">
        <v>46</v>
      </c>
      <c r="M399" s="38" t="s">
        <v>86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660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134</v>
      </c>
      <c r="L400" s="37" t="s">
        <v>46</v>
      </c>
      <c r="M400" s="38" t="s">
        <v>93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663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100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664</v>
      </c>
      <c r="B404" s="63" t="s">
        <v>665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141</v>
      </c>
      <c r="L404" s="37" t="s">
        <v>46</v>
      </c>
      <c r="M404" s="38" t="s">
        <v>262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666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141</v>
      </c>
      <c r="L405" s="37" t="s">
        <v>46</v>
      </c>
      <c r="M405" s="38" t="s">
        <v>262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666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669</v>
      </c>
      <c r="B406" s="63" t="s">
        <v>670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87</v>
      </c>
      <c r="L406" s="37" t="s">
        <v>46</v>
      </c>
      <c r="M406" s="38" t="s">
        <v>262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666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87</v>
      </c>
      <c r="L407" s="37" t="s">
        <v>46</v>
      </c>
      <c r="M407" s="38" t="s">
        <v>262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666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673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674</v>
      </c>
      <c r="B411" s="63" t="s">
        <v>675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677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676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87</v>
      </c>
      <c r="L412" s="37" t="s">
        <v>46</v>
      </c>
      <c r="M412" s="38" t="s">
        <v>677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676</v>
      </c>
      <c r="AG412" s="78"/>
      <c r="AJ412" s="84" t="s">
        <v>46</v>
      </c>
      <c r="AK412" s="84">
        <v>0</v>
      </c>
      <c r="BB412" s="50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680</v>
      </c>
      <c r="B413" s="63" t="s">
        <v>681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87</v>
      </c>
      <c r="L413" s="37" t="s">
        <v>46</v>
      </c>
      <c r="M413" s="38" t="s">
        <v>677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676</v>
      </c>
      <c r="AG413" s="78"/>
      <c r="AJ413" s="84" t="s">
        <v>46</v>
      </c>
      <c r="AK413" s="84">
        <v>0</v>
      </c>
      <c r="BB413" s="509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682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683</v>
      </c>
      <c r="B417" s="63" t="s">
        <v>684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677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685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686</v>
      </c>
      <c r="B418" s="63" t="s">
        <v>687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141</v>
      </c>
      <c r="L418" s="37" t="s">
        <v>46</v>
      </c>
      <c r="M418" s="38" t="s">
        <v>677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688</v>
      </c>
      <c r="AG418" s="78"/>
      <c r="AJ418" s="84" t="s">
        <v>46</v>
      </c>
      <c r="AK418" s="84">
        <v>0</v>
      </c>
      <c r="BB418" s="51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689</v>
      </c>
      <c r="B419" s="63" t="s">
        <v>690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87</v>
      </c>
      <c r="L419" s="37" t="s">
        <v>46</v>
      </c>
      <c r="M419" s="38" t="s">
        <v>677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685</v>
      </c>
      <c r="AG419" s="78"/>
      <c r="AJ419" s="84" t="s">
        <v>46</v>
      </c>
      <c r="AK419" s="84">
        <v>0</v>
      </c>
      <c r="BB419" s="51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691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82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692</v>
      </c>
      <c r="B424" s="63" t="s">
        <v>693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695</v>
      </c>
      <c r="B425" s="63" t="s">
        <v>696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697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695</v>
      </c>
      <c r="B426" s="63" t="s">
        <v>698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134</v>
      </c>
      <c r="L426" s="37" t="s">
        <v>46</v>
      </c>
      <c r="M426" s="38" t="s">
        <v>86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699</v>
      </c>
      <c r="AG426" s="78"/>
      <c r="AJ426" s="84" t="s">
        <v>46</v>
      </c>
      <c r="AK426" s="84">
        <v>0</v>
      </c>
      <c r="BB426" s="521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700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82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701</v>
      </c>
      <c r="B431" s="63" t="s">
        <v>702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134</v>
      </c>
      <c r="L431" s="37" t="s">
        <v>46</v>
      </c>
      <c r="M431" s="38" t="s">
        <v>93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87</v>
      </c>
      <c r="L432" s="37" t="s">
        <v>46</v>
      </c>
      <c r="M432" s="38" t="s">
        <v>86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707</v>
      </c>
      <c r="B433" s="63" t="s">
        <v>708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87</v>
      </c>
      <c r="L433" s="37" t="s">
        <v>46</v>
      </c>
      <c r="M433" s="38" t="s">
        <v>93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709</v>
      </c>
      <c r="AG433" s="78"/>
      <c r="AJ433" s="84" t="s">
        <v>46</v>
      </c>
      <c r="AK433" s="84">
        <v>0</v>
      </c>
      <c r="BB433" s="527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710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711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129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712</v>
      </c>
      <c r="B439" s="63" t="s">
        <v>713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93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66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715</v>
      </c>
      <c r="B440" s="63" t="s">
        <v>716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80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810</v>
      </c>
      <c r="Y440" s="55">
        <f t="shared" si="61"/>
        <v>810</v>
      </c>
      <c r="Z440" s="41">
        <f>IFERROR(IF(Y440=0,"",ROUNDUP(Y440/H440,0)*0.02175),"")</f>
        <v>1.1744999999999999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835.38</v>
      </c>
      <c r="BN440" s="78">
        <f t="shared" si="63"/>
        <v>835.38</v>
      </c>
      <c r="BO440" s="78">
        <f t="shared" si="64"/>
        <v>1.125</v>
      </c>
      <c r="BP440" s="78">
        <f t="shared" si="65"/>
        <v>1.125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133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80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600</v>
      </c>
      <c r="Y442" s="55">
        <f t="shared" si="61"/>
        <v>600</v>
      </c>
      <c r="Z442" s="41">
        <f>IFERROR(IF(Y442=0,"",ROUNDUP(Y442/H442,0)*0.02175),"")</f>
        <v>0.86999999999999988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618.79999999999995</v>
      </c>
      <c r="BN442" s="78">
        <f t="shared" si="63"/>
        <v>618.79999999999995</v>
      </c>
      <c r="BO442" s="78">
        <f t="shared" si="64"/>
        <v>0.83333333333333326</v>
      </c>
      <c r="BP442" s="78">
        <f t="shared" si="65"/>
        <v>0.83333333333333326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134</v>
      </c>
      <c r="L443" s="37" t="s">
        <v>46</v>
      </c>
      <c r="M443" s="38" t="s">
        <v>93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141</v>
      </c>
      <c r="L444" s="37" t="s">
        <v>46</v>
      </c>
      <c r="M444" s="38" t="s">
        <v>133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730</v>
      </c>
      <c r="B445" s="63" t="s">
        <v>731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733</v>
      </c>
      <c r="B446" s="63" t="s">
        <v>734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141</v>
      </c>
      <c r="L446" s="37" t="s">
        <v>46</v>
      </c>
      <c r="M446" s="38" t="s">
        <v>80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735</v>
      </c>
      <c r="AG446" s="78"/>
      <c r="AJ446" s="84" t="s">
        <v>46</v>
      </c>
      <c r="AK446" s="84">
        <v>0</v>
      </c>
      <c r="BB446" s="543" t="s">
        <v>66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94</v>
      </c>
      <c r="Y447" s="43">
        <f>IFERROR(Y439/H439,"0")+IFERROR(Y440/H440,"0")+IFERROR(Y441/H441,"0")+IFERROR(Y442/H442,"0")+IFERROR(Y443/H443,"0")+IFERROR(Y444/H444,"0")+IFERROR(Y445/H445,"0")+IFERROR(Y446/H446,"0")</f>
        <v>94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2.0444999999999998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1410</v>
      </c>
      <c r="Y448" s="43">
        <f>IFERROR(SUM(Y439:Y446),"0")</f>
        <v>1410</v>
      </c>
      <c r="Z448" s="42"/>
      <c r="AA448" s="67"/>
      <c r="AB448" s="67"/>
      <c r="AC448" s="67"/>
    </row>
    <row r="449" spans="1:68" ht="14.25" hidden="1" customHeight="1" x14ac:dyDescent="0.25">
      <c r="A449" s="714" t="s">
        <v>165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736</v>
      </c>
      <c r="B450" s="63" t="s">
        <v>737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510</v>
      </c>
      <c r="Y450" s="55">
        <f>IFERROR(IF(X450="",0,CEILING((X450/$H450),1)*$H450),"")</f>
        <v>510</v>
      </c>
      <c r="Z450" s="41">
        <f>IFERROR(IF(Y450=0,"",ROUNDUP(Y450/H450,0)*0.02175),"")</f>
        <v>0.73949999999999994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525.98</v>
      </c>
      <c r="BN450" s="78">
        <f>IFERROR(Y450*I450/H450,"0")</f>
        <v>525.98</v>
      </c>
      <c r="BO450" s="78">
        <f>IFERROR(1/J450*(X450/H450),"0")</f>
        <v>0.70833333333333326</v>
      </c>
      <c r="BP450" s="78">
        <f>IFERROR(1/J450*(Y450/H450),"0")</f>
        <v>0.70833333333333326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134</v>
      </c>
      <c r="L451" s="37" t="s">
        <v>46</v>
      </c>
      <c r="M451" s="38" t="s">
        <v>133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742</v>
      </c>
      <c r="B452" s="63" t="s">
        <v>743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141</v>
      </c>
      <c r="L452" s="37" t="s">
        <v>46</v>
      </c>
      <c r="M452" s="38" t="s">
        <v>133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744</v>
      </c>
      <c r="AG452" s="78"/>
      <c r="AJ452" s="84" t="s">
        <v>46</v>
      </c>
      <c r="AK452" s="84">
        <v>0</v>
      </c>
      <c r="BB452" s="549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34</v>
      </c>
      <c r="Y453" s="43">
        <f>IFERROR(Y450/H450,"0")+IFERROR(Y451/H451,"0")+IFERROR(Y452/H452,"0")</f>
        <v>34</v>
      </c>
      <c r="Z453" s="43">
        <f>IFERROR(IF(Z450="",0,Z450),"0")+IFERROR(IF(Z451="",0,Z451),"0")+IFERROR(IF(Z452="",0,Z452),"0")</f>
        <v>0.73949999999999994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510</v>
      </c>
      <c r="Y454" s="43">
        <f>IFERROR(SUM(Y450:Y452),"0")</f>
        <v>510</v>
      </c>
      <c r="Z454" s="42"/>
      <c r="AA454" s="67"/>
      <c r="AB454" s="67"/>
      <c r="AC454" s="67"/>
    </row>
    <row r="455" spans="1:68" ht="14.25" hidden="1" customHeight="1" x14ac:dyDescent="0.25">
      <c r="A455" s="714" t="s">
        <v>82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745</v>
      </c>
      <c r="B456" s="63" t="s">
        <v>746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134</v>
      </c>
      <c r="L457" s="37" t="s">
        <v>46</v>
      </c>
      <c r="M457" s="38" t="s">
        <v>86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751</v>
      </c>
      <c r="B458" s="63" t="s">
        <v>752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134</v>
      </c>
      <c r="L458" s="37" t="s">
        <v>46</v>
      </c>
      <c r="M458" s="38" t="s">
        <v>86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753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183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134</v>
      </c>
      <c r="L462" s="37" t="s">
        <v>46</v>
      </c>
      <c r="M462" s="38" t="s">
        <v>86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757</v>
      </c>
      <c r="B463" s="63" t="s">
        <v>758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134</v>
      </c>
      <c r="L463" s="37" t="s">
        <v>46</v>
      </c>
      <c r="M463" s="38" t="s">
        <v>86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759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129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134</v>
      </c>
      <c r="L468" s="37" t="s">
        <v>46</v>
      </c>
      <c r="M468" s="38" t="s">
        <v>80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764</v>
      </c>
      <c r="B469" s="63" t="s">
        <v>765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141</v>
      </c>
      <c r="L469" s="37" t="s">
        <v>46</v>
      </c>
      <c r="M469" s="38" t="s">
        <v>80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763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76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766</v>
      </c>
      <c r="B473" s="63" t="s">
        <v>767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141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768</v>
      </c>
      <c r="AG473" s="78"/>
      <c r="AJ473" s="84" t="s">
        <v>46</v>
      </c>
      <c r="AK473" s="84">
        <v>0</v>
      </c>
      <c r="BB473" s="565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82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769</v>
      </c>
      <c r="B477" s="63" t="s">
        <v>770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134</v>
      </c>
      <c r="L477" s="37" t="s">
        <v>46</v>
      </c>
      <c r="M477" s="38" t="s">
        <v>86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771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772</v>
      </c>
      <c r="B478" s="63" t="s">
        <v>773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772</v>
      </c>
      <c r="B479" s="63" t="s">
        <v>774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87</v>
      </c>
      <c r="L479" s="37" t="s">
        <v>46</v>
      </c>
      <c r="M479" s="38" t="s">
        <v>86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775</v>
      </c>
      <c r="AG479" s="78"/>
      <c r="AJ479" s="84" t="s">
        <v>46</v>
      </c>
      <c r="AK479" s="84">
        <v>0</v>
      </c>
      <c r="BB479" s="571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776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76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66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141</v>
      </c>
      <c r="L486" s="37" t="s">
        <v>46</v>
      </c>
      <c r="M486" s="38" t="s">
        <v>80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784</v>
      </c>
      <c r="B487" s="63" t="s">
        <v>785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780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789</v>
      </c>
      <c r="B489" s="63" t="s">
        <v>790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791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792</v>
      </c>
      <c r="B490" s="63" t="s">
        <v>793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788</v>
      </c>
      <c r="AG490" s="78"/>
      <c r="AJ490" s="84" t="s">
        <v>46</v>
      </c>
      <c r="AK490" s="84">
        <v>0</v>
      </c>
      <c r="BB490" s="583" t="s">
        <v>66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82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141</v>
      </c>
      <c r="L494" s="37" t="s">
        <v>46</v>
      </c>
      <c r="M494" s="38" t="s">
        <v>86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796</v>
      </c>
      <c r="AG494" s="78"/>
      <c r="AJ494" s="84" t="s">
        <v>46</v>
      </c>
      <c r="AK494" s="84">
        <v>0</v>
      </c>
      <c r="BB494" s="585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797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165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798</v>
      </c>
      <c r="B499" s="63" t="s">
        <v>799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87</v>
      </c>
      <c r="L499" s="37" t="s">
        <v>46</v>
      </c>
      <c r="M499" s="38" t="s">
        <v>80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800</v>
      </c>
      <c r="AG499" s="78"/>
      <c r="AJ499" s="84" t="s">
        <v>46</v>
      </c>
      <c r="AK499" s="84">
        <v>0</v>
      </c>
      <c r="BB499" s="587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76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801</v>
      </c>
      <c r="B503" s="63" t="s">
        <v>802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141</v>
      </c>
      <c r="L503" s="37" t="s">
        <v>46</v>
      </c>
      <c r="M503" s="38" t="s">
        <v>80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806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807</v>
      </c>
      <c r="B505" s="63" t="s">
        <v>808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81</v>
      </c>
      <c r="L505" s="37" t="s">
        <v>46</v>
      </c>
      <c r="M505" s="38" t="s">
        <v>80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806</v>
      </c>
      <c r="AG505" s="78"/>
      <c r="AJ505" s="84" t="s">
        <v>46</v>
      </c>
      <c r="AK505" s="84">
        <v>0</v>
      </c>
      <c r="BB505" s="593" t="s">
        <v>66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809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809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129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810</v>
      </c>
      <c r="B511" s="63" t="s">
        <v>811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86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132</v>
      </c>
      <c r="AG511" s="78"/>
      <c r="AJ511" s="84" t="s">
        <v>46</v>
      </c>
      <c r="AK511" s="84">
        <v>0</v>
      </c>
      <c r="BB511" s="595" t="s">
        <v>66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812</v>
      </c>
      <c r="B512" s="63" t="s">
        <v>813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134</v>
      </c>
      <c r="L515" s="37" t="s">
        <v>46</v>
      </c>
      <c r="M515" s="38" t="s">
        <v>133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823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824</v>
      </c>
      <c r="B516" s="63" t="s">
        <v>825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87</v>
      </c>
      <c r="L516" s="37" t="s">
        <v>46</v>
      </c>
      <c r="M516" s="38" t="s">
        <v>86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826</v>
      </c>
      <c r="B517" s="63" t="s">
        <v>827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86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132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828</v>
      </c>
      <c r="B518" s="63" t="s">
        <v>829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141</v>
      </c>
      <c r="L518" s="37" t="s">
        <v>46</v>
      </c>
      <c r="M518" s="38" t="s">
        <v>133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823</v>
      </c>
      <c r="AG518" s="78"/>
      <c r="AJ518" s="84" t="s">
        <v>46</v>
      </c>
      <c r="AK518" s="84">
        <v>0</v>
      </c>
      <c r="BB518" s="609" t="s">
        <v>66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14" t="s">
        <v>165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830</v>
      </c>
      <c r="B522" s="63" t="s">
        <v>831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134</v>
      </c>
      <c r="L522" s="37" t="s">
        <v>46</v>
      </c>
      <c r="M522" s="38" t="s">
        <v>86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832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833</v>
      </c>
      <c r="B523" s="63" t="s">
        <v>834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87</v>
      </c>
      <c r="L523" s="37" t="s">
        <v>46</v>
      </c>
      <c r="M523" s="38" t="s">
        <v>133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835</v>
      </c>
      <c r="B524" s="63" t="s">
        <v>836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141</v>
      </c>
      <c r="L524" s="37" t="s">
        <v>46</v>
      </c>
      <c r="M524" s="38" t="s">
        <v>133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832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76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837</v>
      </c>
      <c r="B528" s="63" t="s">
        <v>838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133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66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134</v>
      </c>
      <c r="L530" s="37" t="s">
        <v>46</v>
      </c>
      <c r="M530" s="38" t="s">
        <v>80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846</v>
      </c>
      <c r="B531" s="63" t="s">
        <v>847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141</v>
      </c>
      <c r="L531" s="37" t="s">
        <v>46</v>
      </c>
      <c r="M531" s="38" t="s">
        <v>133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848</v>
      </c>
      <c r="B532" s="63" t="s">
        <v>849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842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850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851</v>
      </c>
      <c r="B534" s="63" t="s">
        <v>852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141</v>
      </c>
      <c r="L534" s="37" t="s">
        <v>46</v>
      </c>
      <c r="M534" s="38" t="s">
        <v>80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845</v>
      </c>
      <c r="AG534" s="78"/>
      <c r="AJ534" s="84" t="s">
        <v>46</v>
      </c>
      <c r="AK534" s="84">
        <v>0</v>
      </c>
      <c r="BB534" s="629" t="s">
        <v>66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853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853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129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134</v>
      </c>
      <c r="L540" s="37" t="s">
        <v>46</v>
      </c>
      <c r="M540" s="38" t="s">
        <v>133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856</v>
      </c>
      <c r="AG540" s="78"/>
      <c r="AJ540" s="84" t="s">
        <v>46</v>
      </c>
      <c r="AK540" s="84">
        <v>0</v>
      </c>
      <c r="BB540" s="631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165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134</v>
      </c>
      <c r="L544" s="37" t="s">
        <v>46</v>
      </c>
      <c r="M544" s="38" t="s">
        <v>86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738</v>
      </c>
      <c r="AG544" s="78"/>
      <c r="AJ544" s="84" t="s">
        <v>46</v>
      </c>
      <c r="AK544" s="84">
        <v>0</v>
      </c>
      <c r="BB544" s="633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76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141</v>
      </c>
      <c r="L548" s="37" t="s">
        <v>46</v>
      </c>
      <c r="M548" s="38" t="s">
        <v>80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861</v>
      </c>
      <c r="AG548" s="78"/>
      <c r="AJ548" s="84" t="s">
        <v>46</v>
      </c>
      <c r="AK548" s="84">
        <v>0</v>
      </c>
      <c r="BB548" s="635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82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862</v>
      </c>
      <c r="B552" s="63" t="s">
        <v>863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134</v>
      </c>
      <c r="L552" s="37" t="s">
        <v>46</v>
      </c>
      <c r="M552" s="38" t="s">
        <v>86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864</v>
      </c>
      <c r="AG552" s="78"/>
      <c r="AJ552" s="84" t="s">
        <v>46</v>
      </c>
      <c r="AK552" s="84">
        <v>0</v>
      </c>
      <c r="BB552" s="637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183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865</v>
      </c>
      <c r="B556" s="63" t="s">
        <v>866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868</v>
      </c>
      <c r="B557" s="63" t="s">
        <v>869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134</v>
      </c>
      <c r="L557" s="37" t="s">
        <v>46</v>
      </c>
      <c r="M557" s="38" t="s">
        <v>86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870</v>
      </c>
      <c r="AG557" s="78"/>
      <c r="AJ557" s="84" t="s">
        <v>46</v>
      </c>
      <c r="AK557" s="84">
        <v>0</v>
      </c>
      <c r="BB557" s="641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871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165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872</v>
      </c>
      <c r="B562" s="63" t="s">
        <v>873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134</v>
      </c>
      <c r="L562" s="37" t="s">
        <v>46</v>
      </c>
      <c r="M562" s="38" t="s">
        <v>133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874</v>
      </c>
      <c r="AG562" s="78"/>
      <c r="AJ562" s="84" t="s">
        <v>46</v>
      </c>
      <c r="AK562" s="84">
        <v>0</v>
      </c>
      <c r="BB562" s="643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1920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1920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1980.1599999999999</v>
      </c>
      <c r="Y566" s="43">
        <f>IFERROR(SUM(BN22:BN562),"0")</f>
        <v>1980.1599999999999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3</v>
      </c>
      <c r="Y567" s="44">
        <f>ROUNDUP(SUM(BP22:BP562),0)</f>
        <v>3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2055.16</v>
      </c>
      <c r="Y568" s="43">
        <f>GrossWeightTotalR+PalletQtyTotalR*25</f>
        <v>2055.16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128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128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2.7839999999999998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75</v>
      </c>
      <c r="C572" s="85" t="s">
        <v>45</v>
      </c>
      <c r="D572" s="998" t="s">
        <v>127</v>
      </c>
      <c r="E572" s="998" t="s">
        <v>127</v>
      </c>
      <c r="F572" s="998" t="s">
        <v>127</v>
      </c>
      <c r="G572" s="998" t="s">
        <v>127</v>
      </c>
      <c r="H572" s="998" t="s">
        <v>127</v>
      </c>
      <c r="I572" s="998" t="s">
        <v>127</v>
      </c>
      <c r="J572" s="998" t="s">
        <v>127</v>
      </c>
      <c r="K572" s="998" t="s">
        <v>347</v>
      </c>
      <c r="L572" s="998" t="s">
        <v>347</v>
      </c>
      <c r="M572" s="998" t="s">
        <v>347</v>
      </c>
      <c r="N572" s="1007"/>
      <c r="O572" s="998" t="s">
        <v>347</v>
      </c>
      <c r="P572" s="998" t="s">
        <v>347</v>
      </c>
      <c r="Q572" s="998" t="s">
        <v>347</v>
      </c>
      <c r="R572" s="998" t="s">
        <v>347</v>
      </c>
      <c r="S572" s="998" t="s">
        <v>347</v>
      </c>
      <c r="T572" s="998" t="s">
        <v>347</v>
      </c>
      <c r="U572" s="998" t="s">
        <v>347</v>
      </c>
      <c r="V572" s="998" t="s">
        <v>347</v>
      </c>
      <c r="W572" s="998" t="s">
        <v>347</v>
      </c>
      <c r="X572" s="998" t="s">
        <v>710</v>
      </c>
      <c r="Y572" s="998" t="s">
        <v>710</v>
      </c>
      <c r="Z572" s="998" t="s">
        <v>776</v>
      </c>
      <c r="AA572" s="998" t="s">
        <v>776</v>
      </c>
      <c r="AB572" s="85" t="s">
        <v>809</v>
      </c>
      <c r="AC572" s="998" t="s">
        <v>853</v>
      </c>
      <c r="AD572" s="998" t="s">
        <v>853</v>
      </c>
      <c r="AF572" s="1"/>
    </row>
    <row r="573" spans="1:68" ht="14.25" customHeight="1" thickTop="1" x14ac:dyDescent="0.2">
      <c r="A573" s="1008" t="s">
        <v>10</v>
      </c>
      <c r="B573" s="998" t="s">
        <v>75</v>
      </c>
      <c r="C573" s="998" t="s">
        <v>111</v>
      </c>
      <c r="D573" s="998" t="s">
        <v>128</v>
      </c>
      <c r="E573" s="998" t="s">
        <v>144</v>
      </c>
      <c r="F573" s="998" t="s">
        <v>191</v>
      </c>
      <c r="G573" s="998" t="s">
        <v>215</v>
      </c>
      <c r="H573" s="998" t="s">
        <v>258</v>
      </c>
      <c r="I573" s="998" t="s">
        <v>271</v>
      </c>
      <c r="J573" s="998" t="s">
        <v>127</v>
      </c>
      <c r="K573" s="998" t="s">
        <v>348</v>
      </c>
      <c r="L573" s="998" t="s">
        <v>369</v>
      </c>
      <c r="M573" s="998" t="s">
        <v>432</v>
      </c>
      <c r="N573" s="1"/>
      <c r="O573" s="998" t="s">
        <v>501</v>
      </c>
      <c r="P573" s="998" t="s">
        <v>536</v>
      </c>
      <c r="Q573" s="998" t="s">
        <v>558</v>
      </c>
      <c r="R573" s="998" t="s">
        <v>567</v>
      </c>
      <c r="S573" s="998" t="s">
        <v>589</v>
      </c>
      <c r="T573" s="998" t="s">
        <v>596</v>
      </c>
      <c r="U573" s="998" t="s">
        <v>605</v>
      </c>
      <c r="V573" s="998" t="s">
        <v>691</v>
      </c>
      <c r="W573" s="998" t="s">
        <v>700</v>
      </c>
      <c r="X573" s="998" t="s">
        <v>711</v>
      </c>
      <c r="Y573" s="998" t="s">
        <v>760</v>
      </c>
      <c r="Z573" s="998" t="s">
        <v>777</v>
      </c>
      <c r="AA573" s="998" t="s">
        <v>797</v>
      </c>
      <c r="AB573" s="998" t="s">
        <v>809</v>
      </c>
      <c r="AC573" s="998" t="s">
        <v>853</v>
      </c>
      <c r="AD573" s="998" t="s">
        <v>871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1920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0,00"/>
        <filter val="1 920,00"/>
        <filter val="1 980,16"/>
        <filter val="128,00"/>
        <filter val="2 055,16"/>
        <filter val="3"/>
        <filter val="34,00"/>
        <filter val="510,00"/>
        <filter val="600,00"/>
        <filter val="810,00"/>
        <filter val="94,00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3" spans="2:8" x14ac:dyDescent="0.2">
      <c r="B13" s="53" t="s">
        <v>896</v>
      </c>
      <c r="C13" s="53" t="s">
        <v>879</v>
      </c>
      <c r="D13" s="53" t="s">
        <v>46</v>
      </c>
      <c r="E13" s="53" t="s">
        <v>46</v>
      </c>
    </row>
    <row r="15" spans="2:8" x14ac:dyDescent="0.2">
      <c r="B15" s="53" t="s">
        <v>897</v>
      </c>
      <c r="C15" s="53" t="s">
        <v>882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885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888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891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894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2026-10-26T11:10:11Z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