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5517566-C2E4-464A-964E-FC9AA6DF370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N556" i="1"/>
  <c r="BM556" i="1"/>
  <c r="Y556" i="1"/>
  <c r="BP556" i="1" s="1"/>
  <c r="P556" i="1"/>
  <c r="X554" i="1"/>
  <c r="X553" i="1"/>
  <c r="BO552" i="1"/>
  <c r="BM552" i="1"/>
  <c r="Y552" i="1"/>
  <c r="Y554" i="1" s="1"/>
  <c r="P552" i="1"/>
  <c r="X550" i="1"/>
  <c r="Y549" i="1"/>
  <c r="X549" i="1"/>
  <c r="BO548" i="1"/>
  <c r="BN548" i="1"/>
  <c r="BM548" i="1"/>
  <c r="Y548" i="1"/>
  <c r="Y550" i="1" s="1"/>
  <c r="P548" i="1"/>
  <c r="X546" i="1"/>
  <c r="X545" i="1"/>
  <c r="BO544" i="1"/>
  <c r="BM544" i="1"/>
  <c r="Y544" i="1"/>
  <c r="Y546" i="1" s="1"/>
  <c r="P544" i="1"/>
  <c r="X542" i="1"/>
  <c r="Y541" i="1"/>
  <c r="X541" i="1"/>
  <c r="BO540" i="1"/>
  <c r="BN540" i="1"/>
  <c r="BM540" i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O532" i="1"/>
  <c r="BN532" i="1"/>
  <c r="BM532" i="1"/>
  <c r="Y532" i="1"/>
  <c r="BP532" i="1" s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O528" i="1"/>
  <c r="BN528" i="1"/>
  <c r="BM528" i="1"/>
  <c r="Y528" i="1"/>
  <c r="BP528" i="1" s="1"/>
  <c r="P528" i="1"/>
  <c r="X526" i="1"/>
  <c r="X525" i="1"/>
  <c r="BO524" i="1"/>
  <c r="BM524" i="1"/>
  <c r="Y524" i="1"/>
  <c r="BN524" i="1" s="1"/>
  <c r="P524" i="1"/>
  <c r="BO523" i="1"/>
  <c r="BM523" i="1"/>
  <c r="Y523" i="1"/>
  <c r="P523" i="1"/>
  <c r="BO522" i="1"/>
  <c r="BM522" i="1"/>
  <c r="Y522" i="1"/>
  <c r="Y525" i="1" s="1"/>
  <c r="P522" i="1"/>
  <c r="X520" i="1"/>
  <c r="X519" i="1"/>
  <c r="BP518" i="1"/>
  <c r="BO518" i="1"/>
  <c r="BM518" i="1"/>
  <c r="Z518" i="1"/>
  <c r="Y518" i="1"/>
  <c r="BN518" i="1" s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BN514" i="1" s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O487" i="1"/>
  <c r="BN487" i="1"/>
  <c r="BM487" i="1"/>
  <c r="Y487" i="1"/>
  <c r="BP487" i="1" s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O477" i="1"/>
  <c r="BN477" i="1"/>
  <c r="BM477" i="1"/>
  <c r="Y477" i="1"/>
  <c r="BP477" i="1" s="1"/>
  <c r="P477" i="1"/>
  <c r="X475" i="1"/>
  <c r="X474" i="1"/>
  <c r="BP473" i="1"/>
  <c r="BO473" i="1"/>
  <c r="BM473" i="1"/>
  <c r="Z473" i="1"/>
  <c r="Z474" i="1" s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BN462" i="1" s="1"/>
  <c r="P462" i="1"/>
  <c r="X460" i="1"/>
  <c r="Y459" i="1"/>
  <c r="X459" i="1"/>
  <c r="BO458" i="1"/>
  <c r="BN458" i="1"/>
  <c r="BM458" i="1"/>
  <c r="Y458" i="1"/>
  <c r="BP458" i="1" s="1"/>
  <c r="P458" i="1"/>
  <c r="BO457" i="1"/>
  <c r="BM457" i="1"/>
  <c r="Y457" i="1"/>
  <c r="P457" i="1"/>
  <c r="BO456" i="1"/>
  <c r="BM456" i="1"/>
  <c r="Y456" i="1"/>
  <c r="P456" i="1"/>
  <c r="X454" i="1"/>
  <c r="X453" i="1"/>
  <c r="BO452" i="1"/>
  <c r="BN452" i="1"/>
  <c r="BM452" i="1"/>
  <c r="Y452" i="1"/>
  <c r="BP452" i="1" s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BN446" i="1" s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N442" i="1"/>
  <c r="BM442" i="1"/>
  <c r="Y442" i="1"/>
  <c r="BP442" i="1" s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BN432" i="1" s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Z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BO411" i="1"/>
  <c r="BN411" i="1"/>
  <c r="BM411" i="1"/>
  <c r="Y411" i="1"/>
  <c r="BP411" i="1" s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N405" i="1"/>
  <c r="BM405" i="1"/>
  <c r="Y405" i="1"/>
  <c r="BP405" i="1" s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Y402" i="1" s="1"/>
  <c r="P398" i="1"/>
  <c r="X396" i="1"/>
  <c r="X395" i="1"/>
  <c r="BO394" i="1"/>
  <c r="BM394" i="1"/>
  <c r="Y394" i="1"/>
  <c r="P394" i="1"/>
  <c r="BO393" i="1"/>
  <c r="BN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N387" i="1"/>
  <c r="BM387" i="1"/>
  <c r="Y387" i="1"/>
  <c r="BP387" i="1" s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N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N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X368" i="1"/>
  <c r="X367" i="1"/>
  <c r="BO366" i="1"/>
  <c r="BN366" i="1"/>
  <c r="BM366" i="1"/>
  <c r="Y366" i="1"/>
  <c r="BP366" i="1" s="1"/>
  <c r="P366" i="1"/>
  <c r="BO365" i="1"/>
  <c r="BM365" i="1"/>
  <c r="Y365" i="1"/>
  <c r="P365" i="1"/>
  <c r="BO364" i="1"/>
  <c r="BM364" i="1"/>
  <c r="Y364" i="1"/>
  <c r="P364" i="1"/>
  <c r="X361" i="1"/>
  <c r="X360" i="1"/>
  <c r="BO359" i="1"/>
  <c r="BM359" i="1"/>
  <c r="Y359" i="1"/>
  <c r="P359" i="1"/>
  <c r="X357" i="1"/>
  <c r="X356" i="1"/>
  <c r="BO355" i="1"/>
  <c r="BM355" i="1"/>
  <c r="Y355" i="1"/>
  <c r="S575" i="1" s="1"/>
  <c r="P355" i="1"/>
  <c r="X352" i="1"/>
  <c r="X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BN348" i="1" s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P342" i="1"/>
  <c r="BO342" i="1"/>
  <c r="BM342" i="1"/>
  <c r="Z342" i="1"/>
  <c r="Y342" i="1"/>
  <c r="BN342" i="1" s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BP335" i="1" s="1"/>
  <c r="P335" i="1"/>
  <c r="BO334" i="1"/>
  <c r="BM334" i="1"/>
  <c r="Y334" i="1"/>
  <c r="Y338" i="1" s="1"/>
  <c r="P334" i="1"/>
  <c r="X331" i="1"/>
  <c r="X330" i="1"/>
  <c r="BO329" i="1"/>
  <c r="BM329" i="1"/>
  <c r="Y329" i="1"/>
  <c r="P329" i="1"/>
  <c r="BO328" i="1"/>
  <c r="BM328" i="1"/>
  <c r="Y328" i="1"/>
  <c r="BN328" i="1" s="1"/>
  <c r="P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BO324" i="1"/>
  <c r="BN324" i="1"/>
  <c r="BM324" i="1"/>
  <c r="Y324" i="1"/>
  <c r="BP324" i="1" s="1"/>
  <c r="P324" i="1"/>
  <c r="BO323" i="1"/>
  <c r="BM323" i="1"/>
  <c r="Y323" i="1"/>
  <c r="P323" i="1"/>
  <c r="X320" i="1"/>
  <c r="X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BN315" i="1" s="1"/>
  <c r="P315" i="1"/>
  <c r="X313" i="1"/>
  <c r="Y312" i="1"/>
  <c r="X312" i="1"/>
  <c r="BO311" i="1"/>
  <c r="BN311" i="1"/>
  <c r="BM311" i="1"/>
  <c r="Y311" i="1"/>
  <c r="Y313" i="1" s="1"/>
  <c r="P311" i="1"/>
  <c r="X309" i="1"/>
  <c r="X308" i="1"/>
  <c r="BO307" i="1"/>
  <c r="BM307" i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N297" i="1" s="1"/>
  <c r="P297" i="1"/>
  <c r="X294" i="1"/>
  <c r="X293" i="1"/>
  <c r="BO292" i="1"/>
  <c r="BM292" i="1"/>
  <c r="Y292" i="1"/>
  <c r="BP292" i="1" s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N286" i="1"/>
  <c r="BM286" i="1"/>
  <c r="Y286" i="1"/>
  <c r="BP286" i="1" s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N282" i="1"/>
  <c r="BM282" i="1"/>
  <c r="Z282" i="1"/>
  <c r="Y282" i="1"/>
  <c r="BP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P278" i="1"/>
  <c r="BO278" i="1"/>
  <c r="BM278" i="1"/>
  <c r="Z278" i="1"/>
  <c r="Y278" i="1"/>
  <c r="BN278" i="1" s="1"/>
  <c r="P278" i="1"/>
  <c r="BO277" i="1"/>
  <c r="BM277" i="1"/>
  <c r="Y277" i="1"/>
  <c r="P277" i="1"/>
  <c r="BO276" i="1"/>
  <c r="BM276" i="1"/>
  <c r="Y276" i="1"/>
  <c r="P276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M268" i="1"/>
  <c r="Z268" i="1"/>
  <c r="Y268" i="1"/>
  <c r="BN268" i="1" s="1"/>
  <c r="P268" i="1"/>
  <c r="BO267" i="1"/>
  <c r="BM267" i="1"/>
  <c r="Y267" i="1"/>
  <c r="Z267" i="1" s="1"/>
  <c r="P267" i="1"/>
  <c r="BO266" i="1"/>
  <c r="BM266" i="1"/>
  <c r="Y266" i="1"/>
  <c r="P266" i="1"/>
  <c r="BO265" i="1"/>
  <c r="BM265" i="1"/>
  <c r="Y265" i="1"/>
  <c r="BN265" i="1" s="1"/>
  <c r="P265" i="1"/>
  <c r="X263" i="1"/>
  <c r="X262" i="1"/>
  <c r="BO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O255" i="1"/>
  <c r="BN255" i="1"/>
  <c r="BM255" i="1"/>
  <c r="Y255" i="1"/>
  <c r="BP255" i="1" s="1"/>
  <c r="P255" i="1"/>
  <c r="X252" i="1"/>
  <c r="X251" i="1"/>
  <c r="BP250" i="1"/>
  <c r="BO250" i="1"/>
  <c r="BM250" i="1"/>
  <c r="Z250" i="1"/>
  <c r="Z251" i="1" s="1"/>
  <c r="Y250" i="1"/>
  <c r="Y252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BO244" i="1"/>
  <c r="BM244" i="1"/>
  <c r="Y244" i="1"/>
  <c r="Y248" i="1" s="1"/>
  <c r="P244" i="1"/>
  <c r="X242" i="1"/>
  <c r="X241" i="1"/>
  <c r="BO240" i="1"/>
  <c r="BN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P231" i="1"/>
  <c r="BO230" i="1"/>
  <c r="BN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BP222" i="1"/>
  <c r="BO222" i="1"/>
  <c r="BM222" i="1"/>
  <c r="Z222" i="1"/>
  <c r="Y222" i="1"/>
  <c r="BN222" i="1" s="1"/>
  <c r="P222" i="1"/>
  <c r="BO221" i="1"/>
  <c r="BM221" i="1"/>
  <c r="Y221" i="1"/>
  <c r="P221" i="1"/>
  <c r="BO220" i="1"/>
  <c r="BM220" i="1"/>
  <c r="Y220" i="1"/>
  <c r="P220" i="1"/>
  <c r="X218" i="1"/>
  <c r="X217" i="1"/>
  <c r="BO216" i="1"/>
  <c r="BM216" i="1"/>
  <c r="Y216" i="1"/>
  <c r="P216" i="1"/>
  <c r="X213" i="1"/>
  <c r="X212" i="1"/>
  <c r="BO211" i="1"/>
  <c r="BM211" i="1"/>
  <c r="Y211" i="1"/>
  <c r="BN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N207" i="1"/>
  <c r="BM207" i="1"/>
  <c r="Y207" i="1"/>
  <c r="BP207" i="1" s="1"/>
  <c r="P207" i="1"/>
  <c r="BO206" i="1"/>
  <c r="BM206" i="1"/>
  <c r="Y206" i="1"/>
  <c r="P206" i="1"/>
  <c r="BO205" i="1"/>
  <c r="BM205" i="1"/>
  <c r="Y205" i="1"/>
  <c r="P205" i="1"/>
  <c r="X201" i="1"/>
  <c r="X200" i="1"/>
  <c r="BO199" i="1"/>
  <c r="BM199" i="1"/>
  <c r="Y199" i="1"/>
  <c r="P199" i="1"/>
  <c r="X197" i="1"/>
  <c r="X196" i="1"/>
  <c r="BP195" i="1"/>
  <c r="BO195" i="1"/>
  <c r="BN195" i="1"/>
  <c r="BM195" i="1"/>
  <c r="Z195" i="1"/>
  <c r="Z196" i="1" s="1"/>
  <c r="Y195" i="1"/>
  <c r="P195" i="1"/>
  <c r="X193" i="1"/>
  <c r="X192" i="1"/>
  <c r="BO191" i="1"/>
  <c r="BM191" i="1"/>
  <c r="Y191" i="1"/>
  <c r="BN191" i="1" s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P183" i="1"/>
  <c r="BO183" i="1"/>
  <c r="BM183" i="1"/>
  <c r="Z183" i="1"/>
  <c r="Y183" i="1"/>
  <c r="BN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N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Y188" i="1" s="1"/>
  <c r="P176" i="1"/>
  <c r="X174" i="1"/>
  <c r="X173" i="1"/>
  <c r="BO172" i="1"/>
  <c r="BM172" i="1"/>
  <c r="Y172" i="1"/>
  <c r="P172" i="1"/>
  <c r="BP171" i="1"/>
  <c r="BO171" i="1"/>
  <c r="BM171" i="1"/>
  <c r="Z171" i="1"/>
  <c r="Y171" i="1"/>
  <c r="BN171" i="1" s="1"/>
  <c r="P171" i="1"/>
  <c r="X169" i="1"/>
  <c r="X168" i="1"/>
  <c r="BO167" i="1"/>
  <c r="BM167" i="1"/>
  <c r="Y167" i="1"/>
  <c r="BP167" i="1" s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O154" i="1"/>
  <c r="BM154" i="1"/>
  <c r="Y154" i="1"/>
  <c r="BP154" i="1" s="1"/>
  <c r="P154" i="1"/>
  <c r="BO153" i="1"/>
  <c r="BM153" i="1"/>
  <c r="Y153" i="1"/>
  <c r="P153" i="1"/>
  <c r="BP152" i="1"/>
  <c r="BO152" i="1"/>
  <c r="BM152" i="1"/>
  <c r="Z152" i="1"/>
  <c r="Y152" i="1"/>
  <c r="BN152" i="1" s="1"/>
  <c r="P152" i="1"/>
  <c r="X149" i="1"/>
  <c r="X148" i="1"/>
  <c r="BO147" i="1"/>
  <c r="BM147" i="1"/>
  <c r="Y147" i="1"/>
  <c r="BP147" i="1" s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O141" i="1"/>
  <c r="BM141" i="1"/>
  <c r="Y141" i="1"/>
  <c r="BN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BP136" i="1" s="1"/>
  <c r="P136" i="1"/>
  <c r="X133" i="1"/>
  <c r="X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P125" i="1"/>
  <c r="BO124" i="1"/>
  <c r="BM124" i="1"/>
  <c r="Y124" i="1"/>
  <c r="Y128" i="1" s="1"/>
  <c r="P124" i="1"/>
  <c r="X122" i="1"/>
  <c r="X121" i="1"/>
  <c r="BO120" i="1"/>
  <c r="BN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Y121" i="1" s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N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N99" i="1"/>
  <c r="BM99" i="1"/>
  <c r="Y99" i="1"/>
  <c r="BP99" i="1" s="1"/>
  <c r="P99" i="1"/>
  <c r="BO98" i="1"/>
  <c r="BM98" i="1"/>
  <c r="Y98" i="1"/>
  <c r="P98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N91" i="1"/>
  <c r="BM91" i="1"/>
  <c r="Y91" i="1"/>
  <c r="BP91" i="1" s="1"/>
  <c r="P91" i="1"/>
  <c r="BO90" i="1"/>
  <c r="BM90" i="1"/>
  <c r="Y90" i="1"/>
  <c r="P90" i="1"/>
  <c r="BO89" i="1"/>
  <c r="BM89" i="1"/>
  <c r="Y89" i="1"/>
  <c r="BP89" i="1" s="1"/>
  <c r="P89" i="1"/>
  <c r="X86" i="1"/>
  <c r="X85" i="1"/>
  <c r="BO84" i="1"/>
  <c r="BM84" i="1"/>
  <c r="Y84" i="1"/>
  <c r="BN84" i="1" s="1"/>
  <c r="P84" i="1"/>
  <c r="BO83" i="1"/>
  <c r="BM83" i="1"/>
  <c r="Y83" i="1"/>
  <c r="P83" i="1"/>
  <c r="BO82" i="1"/>
  <c r="BM82" i="1"/>
  <c r="Y82" i="1"/>
  <c r="Y86" i="1" s="1"/>
  <c r="P82" i="1"/>
  <c r="X80" i="1"/>
  <c r="X79" i="1"/>
  <c r="BP78" i="1"/>
  <c r="BO78" i="1"/>
  <c r="BM78" i="1"/>
  <c r="Z78" i="1"/>
  <c r="Y78" i="1"/>
  <c r="BN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5" i="1" s="1"/>
  <c r="P71" i="1"/>
  <c r="BO70" i="1"/>
  <c r="BN70" i="1"/>
  <c r="BM70" i="1"/>
  <c r="Y70" i="1"/>
  <c r="BP70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N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6" i="1" s="1"/>
  <c r="P52" i="1"/>
  <c r="BO51" i="1"/>
  <c r="BN51" i="1"/>
  <c r="BM51" i="1"/>
  <c r="Y51" i="1"/>
  <c r="BP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P42" i="1"/>
  <c r="BO41" i="1"/>
  <c r="BM41" i="1"/>
  <c r="Y41" i="1"/>
  <c r="BP41" i="1" s="1"/>
  <c r="P41" i="1"/>
  <c r="X37" i="1"/>
  <c r="X36" i="1"/>
  <c r="BP35" i="1"/>
  <c r="BO35" i="1"/>
  <c r="BM35" i="1"/>
  <c r="Z35" i="1"/>
  <c r="Y35" i="1"/>
  <c r="BN35" i="1" s="1"/>
  <c r="P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BO22" i="1"/>
  <c r="BM22" i="1"/>
  <c r="Y22" i="1"/>
  <c r="B575" i="1" s="1"/>
  <c r="P22" i="1"/>
  <c r="H10" i="1"/>
  <c r="A9" i="1"/>
  <c r="A10" i="1" s="1"/>
  <c r="D7" i="1"/>
  <c r="Q6" i="1"/>
  <c r="P2" i="1"/>
  <c r="X566" i="1" l="1"/>
  <c r="Z43" i="1"/>
  <c r="BP84" i="1"/>
  <c r="Z141" i="1"/>
  <c r="BP141" i="1"/>
  <c r="Z179" i="1"/>
  <c r="BP179" i="1"/>
  <c r="Z191" i="1"/>
  <c r="BP191" i="1"/>
  <c r="Z211" i="1"/>
  <c r="BP211" i="1"/>
  <c r="Z265" i="1"/>
  <c r="BP265" i="1"/>
  <c r="Z297" i="1"/>
  <c r="BP297" i="1"/>
  <c r="Z307" i="1"/>
  <c r="Z308" i="1" s="1"/>
  <c r="BP307" i="1"/>
  <c r="Z315" i="1"/>
  <c r="BP315" i="1"/>
  <c r="Z328" i="1"/>
  <c r="BP328" i="1"/>
  <c r="Z348" i="1"/>
  <c r="BP348" i="1"/>
  <c r="Z432" i="1"/>
  <c r="BP432" i="1"/>
  <c r="Z446" i="1"/>
  <c r="BP446" i="1"/>
  <c r="Z462" i="1"/>
  <c r="BP462" i="1"/>
  <c r="Y575" i="1"/>
  <c r="Z514" i="1"/>
  <c r="BP514" i="1"/>
  <c r="Z524" i="1"/>
  <c r="BP524" i="1"/>
  <c r="Z544" i="1"/>
  <c r="Z545" i="1" s="1"/>
  <c r="BP544" i="1"/>
  <c r="Z552" i="1"/>
  <c r="Z553" i="1" s="1"/>
  <c r="BP552" i="1"/>
  <c r="BP43" i="1"/>
  <c r="Z84" i="1"/>
  <c r="X567" i="1"/>
  <c r="Z51" i="1"/>
  <c r="Z64" i="1"/>
  <c r="Z91" i="1"/>
  <c r="Y113" i="1"/>
  <c r="Z207" i="1"/>
  <c r="Z230" i="1"/>
  <c r="Z240" i="1"/>
  <c r="BN250" i="1"/>
  <c r="Y251" i="1"/>
  <c r="Z255" i="1"/>
  <c r="Z286" i="1"/>
  <c r="Z324" i="1"/>
  <c r="Z366" i="1"/>
  <c r="Z377" i="1"/>
  <c r="Z387" i="1"/>
  <c r="Z405" i="1"/>
  <c r="Z442" i="1"/>
  <c r="Z452" i="1"/>
  <c r="BN473" i="1"/>
  <c r="Y474" i="1"/>
  <c r="Z477" i="1"/>
  <c r="Z532" i="1"/>
  <c r="X569" i="1"/>
  <c r="Z70" i="1"/>
  <c r="Z99" i="1"/>
  <c r="Z110" i="1"/>
  <c r="Z120" i="1"/>
  <c r="Y288" i="1"/>
  <c r="BN307" i="1"/>
  <c r="Y308" i="1"/>
  <c r="Z311" i="1"/>
  <c r="Z312" i="1" s="1"/>
  <c r="BP311" i="1"/>
  <c r="Y320" i="1"/>
  <c r="Z383" i="1"/>
  <c r="Z393" i="1"/>
  <c r="Z411" i="1"/>
  <c r="Z458" i="1"/>
  <c r="Z487" i="1"/>
  <c r="Z528" i="1"/>
  <c r="Z540" i="1"/>
  <c r="Z541" i="1" s="1"/>
  <c r="BP540" i="1"/>
  <c r="BN544" i="1"/>
  <c r="Y545" i="1"/>
  <c r="Z548" i="1"/>
  <c r="Z549" i="1" s="1"/>
  <c r="BP548" i="1"/>
  <c r="BN552" i="1"/>
  <c r="Y553" i="1"/>
  <c r="Z556" i="1"/>
  <c r="Y32" i="1"/>
  <c r="Z29" i="1"/>
  <c r="BN29" i="1"/>
  <c r="Z41" i="1"/>
  <c r="BN41" i="1"/>
  <c r="Y46" i="1"/>
  <c r="Z45" i="1"/>
  <c r="BN45" i="1"/>
  <c r="Z53" i="1"/>
  <c r="BN53" i="1"/>
  <c r="E575" i="1"/>
  <c r="Z62" i="1"/>
  <c r="BN62" i="1"/>
  <c r="Z66" i="1"/>
  <c r="BN66" i="1"/>
  <c r="Y74" i="1"/>
  <c r="Z72" i="1"/>
  <c r="BN72" i="1"/>
  <c r="Z82" i="1"/>
  <c r="BN82" i="1"/>
  <c r="BP82" i="1"/>
  <c r="Y85" i="1"/>
  <c r="Z89" i="1"/>
  <c r="BN89" i="1"/>
  <c r="Y96" i="1"/>
  <c r="Z93" i="1"/>
  <c r="BN93" i="1"/>
  <c r="Y102" i="1"/>
  <c r="Z101" i="1"/>
  <c r="BN101" i="1"/>
  <c r="Z108" i="1"/>
  <c r="BN108" i="1"/>
  <c r="Z112" i="1"/>
  <c r="BN112" i="1"/>
  <c r="Y122" i="1"/>
  <c r="Z118" i="1"/>
  <c r="BN118" i="1"/>
  <c r="Z124" i="1"/>
  <c r="BN124" i="1"/>
  <c r="BP124" i="1"/>
  <c r="Y129" i="1"/>
  <c r="Z137" i="1"/>
  <c r="BN137" i="1"/>
  <c r="Z147" i="1"/>
  <c r="BN147" i="1"/>
  <c r="Z154" i="1"/>
  <c r="BN154" i="1"/>
  <c r="Z167" i="1"/>
  <c r="BN167" i="1"/>
  <c r="Z177" i="1"/>
  <c r="BN177" i="1"/>
  <c r="Z181" i="1"/>
  <c r="BN181" i="1"/>
  <c r="Z185" i="1"/>
  <c r="BN185" i="1"/>
  <c r="Y197" i="1"/>
  <c r="Y196" i="1"/>
  <c r="BP209" i="1"/>
  <c r="BN209" i="1"/>
  <c r="Z209" i="1"/>
  <c r="BP224" i="1"/>
  <c r="BN224" i="1"/>
  <c r="Z224" i="1"/>
  <c r="Y201" i="1"/>
  <c r="Y200" i="1"/>
  <c r="BP199" i="1"/>
  <c r="BN199" i="1"/>
  <c r="Z199" i="1"/>
  <c r="Z200" i="1" s="1"/>
  <c r="BP205" i="1"/>
  <c r="BN205" i="1"/>
  <c r="Z205" i="1"/>
  <c r="Y217" i="1"/>
  <c r="BP216" i="1"/>
  <c r="BN216" i="1"/>
  <c r="Z216" i="1"/>
  <c r="Z217" i="1" s="1"/>
  <c r="Y234" i="1"/>
  <c r="BP220" i="1"/>
  <c r="BN220" i="1"/>
  <c r="Z220" i="1"/>
  <c r="Y212" i="1"/>
  <c r="Z228" i="1"/>
  <c r="BN228" i="1"/>
  <c r="Z232" i="1"/>
  <c r="BN232" i="1"/>
  <c r="Y242" i="1"/>
  <c r="Z238" i="1"/>
  <c r="BN238" i="1"/>
  <c r="Z244" i="1"/>
  <c r="BN244" i="1"/>
  <c r="BP244" i="1"/>
  <c r="Z261" i="1"/>
  <c r="BN261" i="1"/>
  <c r="Z270" i="1"/>
  <c r="BN270" i="1"/>
  <c r="Z276" i="1"/>
  <c r="BN276" i="1"/>
  <c r="BP276" i="1"/>
  <c r="Z280" i="1"/>
  <c r="BN280" i="1"/>
  <c r="Z284" i="1"/>
  <c r="BN284" i="1"/>
  <c r="Z292" i="1"/>
  <c r="BN292" i="1"/>
  <c r="Z299" i="1"/>
  <c r="BN299" i="1"/>
  <c r="Z303" i="1"/>
  <c r="BN303" i="1"/>
  <c r="Z317" i="1"/>
  <c r="BN317" i="1"/>
  <c r="Z326" i="1"/>
  <c r="BN326" i="1"/>
  <c r="Z335" i="1"/>
  <c r="BN335" i="1"/>
  <c r="Z344" i="1"/>
  <c r="BN344" i="1"/>
  <c r="Y352" i="1"/>
  <c r="Z350" i="1"/>
  <c r="BN350" i="1"/>
  <c r="Y351" i="1"/>
  <c r="Z355" i="1"/>
  <c r="Z356" i="1" s="1"/>
  <c r="BN355" i="1"/>
  <c r="BP355" i="1"/>
  <c r="Y356" i="1"/>
  <c r="U575" i="1"/>
  <c r="BP371" i="1"/>
  <c r="BN371" i="1"/>
  <c r="Z371" i="1"/>
  <c r="BP381" i="1"/>
  <c r="BN381" i="1"/>
  <c r="Z381" i="1"/>
  <c r="Y395" i="1"/>
  <c r="BP391" i="1"/>
  <c r="BN391" i="1"/>
  <c r="Z391" i="1"/>
  <c r="BP407" i="1"/>
  <c r="BN407" i="1"/>
  <c r="Z407" i="1"/>
  <c r="BP425" i="1"/>
  <c r="BN425" i="1"/>
  <c r="Z425" i="1"/>
  <c r="BP444" i="1"/>
  <c r="BN444" i="1"/>
  <c r="Z444" i="1"/>
  <c r="Y460" i="1"/>
  <c r="BP456" i="1"/>
  <c r="BN456" i="1"/>
  <c r="Z456" i="1"/>
  <c r="BP479" i="1"/>
  <c r="BN479" i="1"/>
  <c r="Z479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Y247" i="1"/>
  <c r="Y361" i="1"/>
  <c r="Y360" i="1"/>
  <c r="BP359" i="1"/>
  <c r="BN359" i="1"/>
  <c r="Z359" i="1"/>
  <c r="Z360" i="1" s="1"/>
  <c r="BP364" i="1"/>
  <c r="BN364" i="1"/>
  <c r="Z364" i="1"/>
  <c r="BP375" i="1"/>
  <c r="BN375" i="1"/>
  <c r="Z375" i="1"/>
  <c r="BP385" i="1"/>
  <c r="BN385" i="1"/>
  <c r="Z385" i="1"/>
  <c r="BP399" i="1"/>
  <c r="BN399" i="1"/>
  <c r="Z399" i="1"/>
  <c r="BP413" i="1"/>
  <c r="BN413" i="1"/>
  <c r="Z413" i="1"/>
  <c r="BP417" i="1"/>
  <c r="BN417" i="1"/>
  <c r="Z417" i="1"/>
  <c r="BP440" i="1"/>
  <c r="BN440" i="1"/>
  <c r="Z440" i="1"/>
  <c r="BP450" i="1"/>
  <c r="BN450" i="1"/>
  <c r="Z450" i="1"/>
  <c r="BP469" i="1"/>
  <c r="BN469" i="1"/>
  <c r="Z469" i="1"/>
  <c r="BP489" i="1"/>
  <c r="BN489" i="1"/>
  <c r="Z489" i="1"/>
  <c r="BP516" i="1"/>
  <c r="BN516" i="1"/>
  <c r="Z516" i="1"/>
  <c r="BP530" i="1"/>
  <c r="BN530" i="1"/>
  <c r="Z530" i="1"/>
  <c r="Y367" i="1"/>
  <c r="Y388" i="1"/>
  <c r="Y415" i="1"/>
  <c r="Y414" i="1"/>
  <c r="Y421" i="1"/>
  <c r="Y481" i="1"/>
  <c r="Y480" i="1"/>
  <c r="Y558" i="1"/>
  <c r="AC575" i="1"/>
  <c r="F9" i="1"/>
  <c r="J9" i="1"/>
  <c r="F10" i="1"/>
  <c r="Z22" i="1"/>
  <c r="Z23" i="1" s="1"/>
  <c r="BN22" i="1"/>
  <c r="BP22" i="1"/>
  <c r="Y23" i="1"/>
  <c r="X565" i="1"/>
  <c r="Z26" i="1"/>
  <c r="BN26" i="1"/>
  <c r="BP26" i="1"/>
  <c r="Z28" i="1"/>
  <c r="BN28" i="1"/>
  <c r="Z30" i="1"/>
  <c r="BN30" i="1"/>
  <c r="Y31" i="1"/>
  <c r="Z34" i="1"/>
  <c r="Z36" i="1" s="1"/>
  <c r="BN34" i="1"/>
  <c r="BP34" i="1"/>
  <c r="Y37" i="1"/>
  <c r="C575" i="1"/>
  <c r="Z42" i="1"/>
  <c r="Z46" i="1" s="1"/>
  <c r="BN42" i="1"/>
  <c r="BP42" i="1"/>
  <c r="Z44" i="1"/>
  <c r="BN44" i="1"/>
  <c r="Y47" i="1"/>
  <c r="D575" i="1"/>
  <c r="Z52" i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BP71" i="1"/>
  <c r="Z73" i="1"/>
  <c r="BN73" i="1"/>
  <c r="Z77" i="1"/>
  <c r="Z79" i="1" s="1"/>
  <c r="BN77" i="1"/>
  <c r="BP77" i="1"/>
  <c r="Y80" i="1"/>
  <c r="Z83" i="1"/>
  <c r="Z85" i="1" s="1"/>
  <c r="BN83" i="1"/>
  <c r="BP83" i="1"/>
  <c r="F575" i="1"/>
  <c r="Z90" i="1"/>
  <c r="Z95" i="1" s="1"/>
  <c r="BN90" i="1"/>
  <c r="BP90" i="1"/>
  <c r="Z92" i="1"/>
  <c r="BN92" i="1"/>
  <c r="Z94" i="1"/>
  <c r="BN94" i="1"/>
  <c r="Y95" i="1"/>
  <c r="Z98" i="1"/>
  <c r="Z102" i="1" s="1"/>
  <c r="BN98" i="1"/>
  <c r="BP98" i="1"/>
  <c r="Z100" i="1"/>
  <c r="BN100" i="1"/>
  <c r="Y103" i="1"/>
  <c r="G575" i="1"/>
  <c r="Z107" i="1"/>
  <c r="BN107" i="1"/>
  <c r="BP107" i="1"/>
  <c r="Z109" i="1"/>
  <c r="BN109" i="1"/>
  <c r="Z111" i="1"/>
  <c r="BN111" i="1"/>
  <c r="Y114" i="1"/>
  <c r="Z117" i="1"/>
  <c r="BN117" i="1"/>
  <c r="BP117" i="1"/>
  <c r="Z119" i="1"/>
  <c r="BN119" i="1"/>
  <c r="Z125" i="1"/>
  <c r="Z128" i="1" s="1"/>
  <c r="BN125" i="1"/>
  <c r="BP125" i="1"/>
  <c r="Z127" i="1"/>
  <c r="BN127" i="1"/>
  <c r="Z131" i="1"/>
  <c r="Z132" i="1" s="1"/>
  <c r="BN131" i="1"/>
  <c r="BP131" i="1"/>
  <c r="Y132" i="1"/>
  <c r="Z136" i="1"/>
  <c r="Z138" i="1" s="1"/>
  <c r="BN136" i="1"/>
  <c r="Y143" i="1"/>
  <c r="BP153" i="1"/>
  <c r="BN153" i="1"/>
  <c r="Z153" i="1"/>
  <c r="BP166" i="1"/>
  <c r="BN166" i="1"/>
  <c r="Z166" i="1"/>
  <c r="Y173" i="1"/>
  <c r="BP178" i="1"/>
  <c r="BN178" i="1"/>
  <c r="Z178" i="1"/>
  <c r="BP182" i="1"/>
  <c r="BN182" i="1"/>
  <c r="Z182" i="1"/>
  <c r="BP186" i="1"/>
  <c r="BN186" i="1"/>
  <c r="Z186" i="1"/>
  <c r="Y193" i="1"/>
  <c r="BP190" i="1"/>
  <c r="BN190" i="1"/>
  <c r="Z190" i="1"/>
  <c r="Z192" i="1" s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BP245" i="1"/>
  <c r="BN245" i="1"/>
  <c r="Z245" i="1"/>
  <c r="Z247" i="1" s="1"/>
  <c r="BP266" i="1"/>
  <c r="BN266" i="1"/>
  <c r="Z266" i="1"/>
  <c r="H9" i="1"/>
  <c r="Y24" i="1"/>
  <c r="Y67" i="1"/>
  <c r="H575" i="1"/>
  <c r="Y139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Z168" i="1" s="1"/>
  <c r="Y168" i="1"/>
  <c r="BP172" i="1"/>
  <c r="BN172" i="1"/>
  <c r="Z172" i="1"/>
  <c r="Z173" i="1" s="1"/>
  <c r="Y174" i="1"/>
  <c r="Y187" i="1"/>
  <c r="BP176" i="1"/>
  <c r="BN176" i="1"/>
  <c r="Z176" i="1"/>
  <c r="BP180" i="1"/>
  <c r="BN180" i="1"/>
  <c r="Z180" i="1"/>
  <c r="BP184" i="1"/>
  <c r="BN184" i="1"/>
  <c r="Z184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Z241" i="1" s="1"/>
  <c r="BP256" i="1"/>
  <c r="BN256" i="1"/>
  <c r="Z256" i="1"/>
  <c r="Z257" i="1" s="1"/>
  <c r="Y258" i="1"/>
  <c r="Y263" i="1"/>
  <c r="BP260" i="1"/>
  <c r="BN260" i="1"/>
  <c r="Z260" i="1"/>
  <c r="Z262" i="1" s="1"/>
  <c r="BP271" i="1"/>
  <c r="BN271" i="1"/>
  <c r="Z271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Y345" i="1"/>
  <c r="BP349" i="1"/>
  <c r="BN349" i="1"/>
  <c r="Z349" i="1"/>
  <c r="Z351" i="1" s="1"/>
  <c r="BP372" i="1"/>
  <c r="BN372" i="1"/>
  <c r="Z372" i="1"/>
  <c r="BP376" i="1"/>
  <c r="BN376" i="1"/>
  <c r="Z376" i="1"/>
  <c r="Y389" i="1"/>
  <c r="BP384" i="1"/>
  <c r="BN384" i="1"/>
  <c r="Z384" i="1"/>
  <c r="BP392" i="1"/>
  <c r="BN392" i="1"/>
  <c r="Z392" i="1"/>
  <c r="BP400" i="1"/>
  <c r="BN400" i="1"/>
  <c r="Z400" i="1"/>
  <c r="Y409" i="1"/>
  <c r="BP404" i="1"/>
  <c r="BN404" i="1"/>
  <c r="Z404" i="1"/>
  <c r="Y408" i="1"/>
  <c r="Z414" i="1"/>
  <c r="BP412" i="1"/>
  <c r="BN412" i="1"/>
  <c r="Z412" i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BP300" i="1"/>
  <c r="BN300" i="1"/>
  <c r="Z300" i="1"/>
  <c r="Y304" i="1"/>
  <c r="BP316" i="1"/>
  <c r="BN316" i="1"/>
  <c r="Z316" i="1"/>
  <c r="BP325" i="1"/>
  <c r="BN325" i="1"/>
  <c r="Z325" i="1"/>
  <c r="BP329" i="1"/>
  <c r="BN329" i="1"/>
  <c r="Z329" i="1"/>
  <c r="Y331" i="1"/>
  <c r="Y337" i="1"/>
  <c r="BP334" i="1"/>
  <c r="BN334" i="1"/>
  <c r="Z334" i="1"/>
  <c r="BP343" i="1"/>
  <c r="BN343" i="1"/>
  <c r="Z343" i="1"/>
  <c r="BP365" i="1"/>
  <c r="BN365" i="1"/>
  <c r="Z365" i="1"/>
  <c r="Z367" i="1" s="1"/>
  <c r="BP374" i="1"/>
  <c r="BN374" i="1"/>
  <c r="Z374" i="1"/>
  <c r="Z378" i="1" s="1"/>
  <c r="Y378" i="1"/>
  <c r="BP382" i="1"/>
  <c r="BN382" i="1"/>
  <c r="Z382" i="1"/>
  <c r="BP386" i="1"/>
  <c r="BN386" i="1"/>
  <c r="Z386" i="1"/>
  <c r="BP394" i="1"/>
  <c r="BN394" i="1"/>
  <c r="Z394" i="1"/>
  <c r="Y396" i="1"/>
  <c r="Y401" i="1"/>
  <c r="BP398" i="1"/>
  <c r="BN398" i="1"/>
  <c r="Z398" i="1"/>
  <c r="BP406" i="1"/>
  <c r="BN406" i="1"/>
  <c r="Z406" i="1"/>
  <c r="BP418" i="1"/>
  <c r="BN418" i="1"/>
  <c r="Z418" i="1"/>
  <c r="Z420" i="1" s="1"/>
  <c r="BP463" i="1"/>
  <c r="BN463" i="1"/>
  <c r="Z463" i="1"/>
  <c r="Z464" i="1" s="1"/>
  <c r="Y465" i="1"/>
  <c r="Y471" i="1"/>
  <c r="BP468" i="1"/>
  <c r="BN468" i="1"/>
  <c r="Z468" i="1"/>
  <c r="Z470" i="1" s="1"/>
  <c r="Y470" i="1"/>
  <c r="Q575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BP478" i="1"/>
  <c r="BN478" i="1"/>
  <c r="Z478" i="1"/>
  <c r="Z480" i="1" s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212" i="1" l="1"/>
  <c r="Z319" i="1"/>
  <c r="Z121" i="1"/>
  <c r="Z74" i="1"/>
  <c r="Z401" i="1"/>
  <c r="Z388" i="1"/>
  <c r="Z337" i="1"/>
  <c r="X568" i="1"/>
  <c r="Z491" i="1"/>
  <c r="Z345" i="1"/>
  <c r="Z304" i="1"/>
  <c r="Z233" i="1"/>
  <c r="Z113" i="1"/>
  <c r="Z55" i="1"/>
  <c r="Z535" i="1"/>
  <c r="Z408" i="1"/>
  <c r="Z273" i="1"/>
  <c r="Z156" i="1"/>
  <c r="Z447" i="1"/>
  <c r="Z427" i="1"/>
  <c r="Y565" i="1"/>
  <c r="Y567" i="1"/>
  <c r="Z519" i="1"/>
  <c r="Z434" i="1"/>
  <c r="Z506" i="1"/>
  <c r="Z395" i="1"/>
  <c r="Z330" i="1"/>
  <c r="Z288" i="1"/>
  <c r="Z187" i="1"/>
  <c r="Z67" i="1"/>
  <c r="Z570" i="1" s="1"/>
  <c r="Z31" i="1"/>
  <c r="Y569" i="1"/>
  <c r="Y566" i="1"/>
  <c r="Y568" i="1" s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<sst xmlns="http://schemas.openxmlformats.org/spreadsheetml/2006/main" count="2537" uniqueCount="914">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</sst>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0" t="s">
        <v>0</v>
      </c>
      <c r="E1" s="672"/>
      <c r="F1" s="672"/>
      <c r="G1" s="12" t="s">
        <v>1</v>
      </c>
      <c r="H1" s="720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7"/>
      <c r="Q3" s="647"/>
      <c r="R3" s="647"/>
      <c r="S3" s="647"/>
      <c r="T3" s="647"/>
      <c r="U3" s="647"/>
      <c r="V3" s="647"/>
      <c r="W3" s="647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24" t="s">
        <v>8</v>
      </c>
      <c r="B5" s="690"/>
      <c r="C5" s="691"/>
      <c r="D5" s="726"/>
      <c r="E5" s="727"/>
      <c r="F5" s="971" t="s">
        <v>9</v>
      </c>
      <c r="G5" s="691"/>
      <c r="H5" s="726" t="s">
        <v>913</v>
      </c>
      <c r="I5" s="911"/>
      <c r="J5" s="911"/>
      <c r="K5" s="911"/>
      <c r="L5" s="911"/>
      <c r="M5" s="727"/>
      <c r="N5" s="58"/>
      <c r="P5" s="24" t="s">
        <v>10</v>
      </c>
      <c r="Q5" s="978">
        <v>46321</v>
      </c>
      <c r="R5" s="763"/>
      <c r="T5" s="822" t="s">
        <v>11</v>
      </c>
      <c r="U5" s="805"/>
      <c r="V5" s="823" t="s">
        <v>12</v>
      </c>
      <c r="W5" s="763"/>
      <c r="AB5" s="51"/>
      <c r="AC5" s="51"/>
      <c r="AD5" s="51"/>
      <c r="AE5" s="51"/>
    </row>
    <row r="6" spans="1:32" s="629" customFormat="1" ht="24" customHeight="1" x14ac:dyDescent="0.2">
      <c r="A6" s="724" t="s">
        <v>13</v>
      </c>
      <c r="B6" s="690"/>
      <c r="C6" s="691"/>
      <c r="D6" s="914" t="s">
        <v>878</v>
      </c>
      <c r="E6" s="915"/>
      <c r="F6" s="915"/>
      <c r="G6" s="915"/>
      <c r="H6" s="915"/>
      <c r="I6" s="915"/>
      <c r="J6" s="915"/>
      <c r="K6" s="915"/>
      <c r="L6" s="915"/>
      <c r="M6" s="763"/>
      <c r="N6" s="59"/>
      <c r="P6" s="24" t="s">
        <v>14</v>
      </c>
      <c r="Q6" s="988" t="str">
        <f>IF(Q5=0," ",CHOOSE(WEEKDAY(Q5,2),"Понедельник","Вторник","Среда","Четверг","Пятница","Суббота","Воскресенье"))</f>
        <v>Понедельник</v>
      </c>
      <c r="R6" s="642"/>
      <c r="T6" s="828" t="s">
        <v>15</v>
      </c>
      <c r="U6" s="805"/>
      <c r="V6" s="894" t="s">
        <v>16</v>
      </c>
      <c r="W6" s="655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5" t="str">
        <f>IFERROR(VLOOKUP(DeliveryAddress,Table,3,0),1)</f>
        <v>1</v>
      </c>
      <c r="E7" s="696"/>
      <c r="F7" s="696"/>
      <c r="G7" s="696"/>
      <c r="H7" s="696"/>
      <c r="I7" s="696"/>
      <c r="J7" s="696"/>
      <c r="K7" s="696"/>
      <c r="L7" s="696"/>
      <c r="M7" s="697"/>
      <c r="N7" s="60"/>
      <c r="P7" s="24"/>
      <c r="Q7" s="42"/>
      <c r="R7" s="42"/>
      <c r="T7" s="647"/>
      <c r="U7" s="805"/>
      <c r="V7" s="895"/>
      <c r="W7" s="896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44"/>
      <c r="C8" s="645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73">
        <v>0.41666666666666669</v>
      </c>
      <c r="R8" s="697"/>
      <c r="T8" s="647"/>
      <c r="U8" s="805"/>
      <c r="V8" s="895"/>
      <c r="W8" s="896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7"/>
      <c r="C9" s="647"/>
      <c r="D9" s="793"/>
      <c r="E9" s="640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7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627"/>
      <c r="P9" s="26" t="s">
        <v>19</v>
      </c>
      <c r="Q9" s="759"/>
      <c r="R9" s="760"/>
      <c r="T9" s="647"/>
      <c r="U9" s="805"/>
      <c r="V9" s="897"/>
      <c r="W9" s="898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7"/>
      <c r="C10" s="647"/>
      <c r="D10" s="793"/>
      <c r="E10" s="640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7"/>
      <c r="H10" s="881" t="str">
        <f>IFERROR(VLOOKUP($D$10,Proxy,2,FALSE),"")</f>
        <v/>
      </c>
      <c r="I10" s="647"/>
      <c r="J10" s="647"/>
      <c r="K10" s="647"/>
      <c r="L10" s="647"/>
      <c r="M10" s="647"/>
      <c r="N10" s="628"/>
      <c r="P10" s="26" t="s">
        <v>20</v>
      </c>
      <c r="Q10" s="829"/>
      <c r="R10" s="830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2"/>
      <c r="R11" s="763"/>
      <c r="U11" s="24" t="s">
        <v>25</v>
      </c>
      <c r="V11" s="892" t="s">
        <v>26</v>
      </c>
      <c r="W11" s="760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9" t="s">
        <v>27</v>
      </c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1"/>
      <c r="N12" s="62"/>
      <c r="P12" s="24" t="s">
        <v>28</v>
      </c>
      <c r="Q12" s="773"/>
      <c r="R12" s="697"/>
      <c r="S12" s="23"/>
      <c r="U12" s="24"/>
      <c r="V12" s="672"/>
      <c r="W12" s="647"/>
      <c r="AB12" s="51"/>
      <c r="AC12" s="51"/>
      <c r="AD12" s="51"/>
      <c r="AE12" s="51"/>
    </row>
    <row r="13" spans="1:32" s="629" customFormat="1" ht="23.25" customHeight="1" x14ac:dyDescent="0.2">
      <c r="A13" s="819" t="s">
        <v>29</v>
      </c>
      <c r="B13" s="690"/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1"/>
      <c r="N13" s="62"/>
      <c r="O13" s="26"/>
      <c r="P13" s="26" t="s">
        <v>30</v>
      </c>
      <c r="Q13" s="892"/>
      <c r="R13" s="7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9" t="s">
        <v>31</v>
      </c>
      <c r="B14" s="690"/>
      <c r="C14" s="690"/>
      <c r="D14" s="690"/>
      <c r="E14" s="690"/>
      <c r="F14" s="690"/>
      <c r="G14" s="690"/>
      <c r="H14" s="690"/>
      <c r="I14" s="690"/>
      <c r="J14" s="690"/>
      <c r="K14" s="690"/>
      <c r="L14" s="690"/>
      <c r="M14" s="69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7" t="s">
        <v>32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1"/>
      <c r="N15" s="63"/>
      <c r="P15" s="779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9" t="s">
        <v>34</v>
      </c>
      <c r="B17" s="659" t="s">
        <v>35</v>
      </c>
      <c r="C17" s="789" t="s">
        <v>36</v>
      </c>
      <c r="D17" s="659" t="s">
        <v>37</v>
      </c>
      <c r="E17" s="742"/>
      <c r="F17" s="659" t="s">
        <v>38</v>
      </c>
      <c r="G17" s="659" t="s">
        <v>39</v>
      </c>
      <c r="H17" s="659" t="s">
        <v>40</v>
      </c>
      <c r="I17" s="659" t="s">
        <v>41</v>
      </c>
      <c r="J17" s="659" t="s">
        <v>42</v>
      </c>
      <c r="K17" s="659" t="s">
        <v>43</v>
      </c>
      <c r="L17" s="659" t="s">
        <v>44</v>
      </c>
      <c r="M17" s="659" t="s">
        <v>45</v>
      </c>
      <c r="N17" s="659" t="s">
        <v>46</v>
      </c>
      <c r="O17" s="659" t="s">
        <v>47</v>
      </c>
      <c r="P17" s="659" t="s">
        <v>48</v>
      </c>
      <c r="Q17" s="741"/>
      <c r="R17" s="741"/>
      <c r="S17" s="741"/>
      <c r="T17" s="742"/>
      <c r="U17" s="994" t="s">
        <v>49</v>
      </c>
      <c r="V17" s="691"/>
      <c r="W17" s="659" t="s">
        <v>50</v>
      </c>
      <c r="X17" s="659" t="s">
        <v>51</v>
      </c>
      <c r="Y17" s="995" t="s">
        <v>52</v>
      </c>
      <c r="Z17" s="903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66"/>
      <c r="AF17" s="967"/>
      <c r="AG17" s="66"/>
      <c r="BD17" s="65" t="s">
        <v>58</v>
      </c>
    </row>
    <row r="18" spans="1:68" ht="14.25" customHeight="1" x14ac:dyDescent="0.2">
      <c r="A18" s="660"/>
      <c r="B18" s="660"/>
      <c r="C18" s="660"/>
      <c r="D18" s="743"/>
      <c r="E18" s="745"/>
      <c r="F18" s="660"/>
      <c r="G18" s="660"/>
      <c r="H18" s="660"/>
      <c r="I18" s="660"/>
      <c r="J18" s="660"/>
      <c r="K18" s="660"/>
      <c r="L18" s="660"/>
      <c r="M18" s="660"/>
      <c r="N18" s="660"/>
      <c r="O18" s="660"/>
      <c r="P18" s="743"/>
      <c r="Q18" s="744"/>
      <c r="R18" s="744"/>
      <c r="S18" s="744"/>
      <c r="T18" s="745"/>
      <c r="U18" s="67" t="s">
        <v>59</v>
      </c>
      <c r="V18" s="67" t="s">
        <v>60</v>
      </c>
      <c r="W18" s="660"/>
      <c r="X18" s="660"/>
      <c r="Y18" s="996"/>
      <c r="Z18" s="904"/>
      <c r="AA18" s="880"/>
      <c r="AB18" s="880"/>
      <c r="AC18" s="880"/>
      <c r="AD18" s="968"/>
      <c r="AE18" s="969"/>
      <c r="AF18" s="970"/>
      <c r="AG18" s="66"/>
      <c r="BD18" s="65"/>
    </row>
    <row r="19" spans="1:68" ht="27.75" hidden="1" customHeight="1" x14ac:dyDescent="0.2">
      <c r="A19" s="682" t="s">
        <v>61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hidden="1" customHeight="1" x14ac:dyDescent="0.25">
      <c r="A20" s="646" t="s">
        <v>61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30"/>
      <c r="AB20" s="630"/>
      <c r="AC20" s="630"/>
    </row>
    <row r="21" spans="1:68" ht="14.25" hidden="1" customHeight="1" x14ac:dyDescent="0.25">
      <c r="A21" s="648" t="s">
        <v>62</v>
      </c>
      <c r="B21" s="647"/>
      <c r="C21" s="647"/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  <c r="O21" s="647"/>
      <c r="P21" s="647"/>
      <c r="Q21" s="647"/>
      <c r="R21" s="647"/>
      <c r="S21" s="647"/>
      <c r="T21" s="647"/>
      <c r="U21" s="647"/>
      <c r="V21" s="647"/>
      <c r="W21" s="647"/>
      <c r="X21" s="647"/>
      <c r="Y21" s="647"/>
      <c r="Z21" s="647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1">
        <v>4680115889071</v>
      </c>
      <c r="E22" s="642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2"/>
      <c r="R22" s="652"/>
      <c r="S22" s="652"/>
      <c r="T22" s="653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9"/>
      <c r="B23" s="647"/>
      <c r="C23" s="647"/>
      <c r="D23" s="647"/>
      <c r="E23" s="647"/>
      <c r="F23" s="647"/>
      <c r="G23" s="647"/>
      <c r="H23" s="647"/>
      <c r="I23" s="647"/>
      <c r="J23" s="647"/>
      <c r="K23" s="647"/>
      <c r="L23" s="647"/>
      <c r="M23" s="647"/>
      <c r="N23" s="647"/>
      <c r="O23" s="650"/>
      <c r="P23" s="643" t="s">
        <v>69</v>
      </c>
      <c r="Q23" s="644"/>
      <c r="R23" s="644"/>
      <c r="S23" s="644"/>
      <c r="T23" s="644"/>
      <c r="U23" s="644"/>
      <c r="V23" s="645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50"/>
      <c r="P24" s="643" t="s">
        <v>69</v>
      </c>
      <c r="Q24" s="644"/>
      <c r="R24" s="644"/>
      <c r="S24" s="644"/>
      <c r="T24" s="644"/>
      <c r="U24" s="644"/>
      <c r="V24" s="645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8" t="s">
        <v>71</v>
      </c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7"/>
      <c r="P25" s="647"/>
      <c r="Q25" s="647"/>
      <c r="R25" s="647"/>
      <c r="S25" s="647"/>
      <c r="T25" s="647"/>
      <c r="U25" s="647"/>
      <c r="V25" s="647"/>
      <c r="W25" s="647"/>
      <c r="X25" s="647"/>
      <c r="Y25" s="647"/>
      <c r="Z25" s="647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1">
        <v>4680115885912</v>
      </c>
      <c r="E26" s="642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7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2"/>
      <c r="R26" s="652"/>
      <c r="S26" s="652"/>
      <c r="T26" s="653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1">
        <v>4607091388237</v>
      </c>
      <c r="E27" s="642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2"/>
      <c r="R27" s="652"/>
      <c r="S27" s="652"/>
      <c r="T27" s="653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41">
        <v>4680115887350</v>
      </c>
      <c r="E28" s="642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2"/>
      <c r="R28" s="652"/>
      <c r="S28" s="652"/>
      <c r="T28" s="653"/>
      <c r="U28" s="34"/>
      <c r="V28" s="34"/>
      <c r="W28" s="35" t="s">
        <v>67</v>
      </c>
      <c r="X28" s="635">
        <v>5</v>
      </c>
      <c r="Y28" s="636">
        <f>IFERROR(IF(X28="",0,CEILING((X28/$H28),1)*$H28),"")</f>
        <v>5.4</v>
      </c>
      <c r="Z28" s="36">
        <f>IFERROR(IF(Y28=0,"",ROUNDUP(Y28/H28,0)*0.00651),"")</f>
        <v>1.9529999999999999E-2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8.8333333333333339</v>
      </c>
      <c r="BN28" s="64">
        <f>IFERROR(Y28*I28/H28,"0")</f>
        <v>9.5400000000000009</v>
      </c>
      <c r="BO28" s="64">
        <f>IFERROR(1/J28*(X28/H28),"0")</f>
        <v>1.5262515262515264E-2</v>
      </c>
      <c r="BP28" s="64">
        <f>IFERROR(1/J28*(Y28/H28),"0")</f>
        <v>1.6483516483516484E-2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41">
        <v>4680115885905</v>
      </c>
      <c r="E29" s="642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2"/>
      <c r="R29" s="652"/>
      <c r="S29" s="652"/>
      <c r="T29" s="653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1">
        <v>4680115887619</v>
      </c>
      <c r="E30" s="642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2"/>
      <c r="R30" s="652"/>
      <c r="S30" s="652"/>
      <c r="T30" s="653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49"/>
      <c r="B31" s="647"/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  <c r="O31" s="650"/>
      <c r="P31" s="643" t="s">
        <v>69</v>
      </c>
      <c r="Q31" s="644"/>
      <c r="R31" s="644"/>
      <c r="S31" s="644"/>
      <c r="T31" s="644"/>
      <c r="U31" s="644"/>
      <c r="V31" s="645"/>
      <c r="W31" s="37" t="s">
        <v>70</v>
      </c>
      <c r="X31" s="637">
        <f>IFERROR(X26/H26,"0")+IFERROR(X27/H27,"0")+IFERROR(X28/H28,"0")+IFERROR(X29/H29,"0")+IFERROR(X30/H30,"0")</f>
        <v>2.7777777777777777</v>
      </c>
      <c r="Y31" s="637">
        <f>IFERROR(Y26/H26,"0")+IFERROR(Y27/H27,"0")+IFERROR(Y28/H28,"0")+IFERROR(Y29/H29,"0")+IFERROR(Y30/H30,"0")</f>
        <v>3</v>
      </c>
      <c r="Z31" s="637">
        <f>IFERROR(IF(Z26="",0,Z26),"0")+IFERROR(IF(Z27="",0,Z27),"0")+IFERROR(IF(Z28="",0,Z28),"0")+IFERROR(IF(Z29="",0,Z29),"0")+IFERROR(IF(Z30="",0,Z30),"0")</f>
        <v>1.9529999999999999E-2</v>
      </c>
      <c r="AA31" s="638"/>
      <c r="AB31" s="638"/>
      <c r="AC31" s="638"/>
    </row>
    <row r="32" spans="1:68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50"/>
      <c r="P32" s="643" t="s">
        <v>69</v>
      </c>
      <c r="Q32" s="644"/>
      <c r="R32" s="644"/>
      <c r="S32" s="644"/>
      <c r="T32" s="644"/>
      <c r="U32" s="644"/>
      <c r="V32" s="645"/>
      <c r="W32" s="37" t="s">
        <v>67</v>
      </c>
      <c r="X32" s="637">
        <f>IFERROR(SUM(X26:X30),"0")</f>
        <v>5</v>
      </c>
      <c r="Y32" s="637">
        <f>IFERROR(SUM(Y26:Y30),"0")</f>
        <v>5.4</v>
      </c>
      <c r="Z32" s="37"/>
      <c r="AA32" s="638"/>
      <c r="AB32" s="638"/>
      <c r="AC32" s="638"/>
    </row>
    <row r="33" spans="1:68" ht="14.25" hidden="1" customHeight="1" x14ac:dyDescent="0.25">
      <c r="A33" s="648" t="s">
        <v>89</v>
      </c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  <c r="Y33" s="647"/>
      <c r="Z33" s="647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1">
        <v>4680115889262</v>
      </c>
      <c r="E34" s="642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7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2"/>
      <c r="R34" s="652"/>
      <c r="S34" s="652"/>
      <c r="T34" s="653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1">
        <v>4680115889040</v>
      </c>
      <c r="E35" s="642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2"/>
      <c r="R35" s="652"/>
      <c r="S35" s="652"/>
      <c r="T35" s="653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9"/>
      <c r="B36" s="647"/>
      <c r="C36" s="647"/>
      <c r="D36" s="647"/>
      <c r="E36" s="647"/>
      <c r="F36" s="647"/>
      <c r="G36" s="647"/>
      <c r="H36" s="647"/>
      <c r="I36" s="647"/>
      <c r="J36" s="647"/>
      <c r="K36" s="647"/>
      <c r="L36" s="647"/>
      <c r="M36" s="647"/>
      <c r="N36" s="647"/>
      <c r="O36" s="650"/>
      <c r="P36" s="643" t="s">
        <v>69</v>
      </c>
      <c r="Q36" s="644"/>
      <c r="R36" s="644"/>
      <c r="S36" s="644"/>
      <c r="T36" s="644"/>
      <c r="U36" s="644"/>
      <c r="V36" s="645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7"/>
      <c r="B37" s="647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50"/>
      <c r="P37" s="643" t="s">
        <v>69</v>
      </c>
      <c r="Q37" s="644"/>
      <c r="R37" s="644"/>
      <c r="S37" s="644"/>
      <c r="T37" s="644"/>
      <c r="U37" s="644"/>
      <c r="V37" s="645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82" t="s">
        <v>100</v>
      </c>
      <c r="B38" s="683"/>
      <c r="C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P38" s="683"/>
      <c r="Q38" s="683"/>
      <c r="R38" s="683"/>
      <c r="S38" s="683"/>
      <c r="T38" s="683"/>
      <c r="U38" s="683"/>
      <c r="V38" s="683"/>
      <c r="W38" s="683"/>
      <c r="X38" s="683"/>
      <c r="Y38" s="683"/>
      <c r="Z38" s="683"/>
      <c r="AA38" s="48"/>
      <c r="AB38" s="48"/>
      <c r="AC38" s="48"/>
    </row>
    <row r="39" spans="1:68" ht="16.5" hidden="1" customHeight="1" x14ac:dyDescent="0.25">
      <c r="A39" s="646" t="s">
        <v>101</v>
      </c>
      <c r="B39" s="647"/>
      <c r="C39" s="647"/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  <c r="Y39" s="647"/>
      <c r="Z39" s="647"/>
      <c r="AA39" s="630"/>
      <c r="AB39" s="630"/>
      <c r="AC39" s="630"/>
    </row>
    <row r="40" spans="1:68" ht="14.25" hidden="1" customHeight="1" x14ac:dyDescent="0.25">
      <c r="A40" s="648" t="s">
        <v>71</v>
      </c>
      <c r="B40" s="647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1">
        <v>4680115889354</v>
      </c>
      <c r="E41" s="642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7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2"/>
      <c r="R41" s="652"/>
      <c r="S41" s="652"/>
      <c r="T41" s="653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1">
        <v>4680115888463</v>
      </c>
      <c r="E42" s="642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2"/>
      <c r="R42" s="652"/>
      <c r="S42" s="652"/>
      <c r="T42" s="653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1">
        <v>4680115889590</v>
      </c>
      <c r="E43" s="642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2"/>
      <c r="R43" s="652"/>
      <c r="S43" s="652"/>
      <c r="T43" s="653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1">
        <v>4680115888272</v>
      </c>
      <c r="E44" s="642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2"/>
      <c r="R44" s="652"/>
      <c r="S44" s="652"/>
      <c r="T44" s="653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1">
        <v>4680115888364</v>
      </c>
      <c r="E45" s="642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2"/>
      <c r="R45" s="652"/>
      <c r="S45" s="652"/>
      <c r="T45" s="653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9"/>
      <c r="B46" s="647"/>
      <c r="C46" s="647"/>
      <c r="D46" s="647"/>
      <c r="E46" s="647"/>
      <c r="F46" s="647"/>
      <c r="G46" s="647"/>
      <c r="H46" s="647"/>
      <c r="I46" s="647"/>
      <c r="J46" s="647"/>
      <c r="K46" s="647"/>
      <c r="L46" s="647"/>
      <c r="M46" s="647"/>
      <c r="N46" s="647"/>
      <c r="O46" s="650"/>
      <c r="P46" s="643" t="s">
        <v>69</v>
      </c>
      <c r="Q46" s="644"/>
      <c r="R46" s="644"/>
      <c r="S46" s="644"/>
      <c r="T46" s="644"/>
      <c r="U46" s="644"/>
      <c r="V46" s="645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7"/>
      <c r="B47" s="647"/>
      <c r="C47" s="647"/>
      <c r="D47" s="647"/>
      <c r="E47" s="647"/>
      <c r="F47" s="647"/>
      <c r="G47" s="647"/>
      <c r="H47" s="647"/>
      <c r="I47" s="647"/>
      <c r="J47" s="647"/>
      <c r="K47" s="647"/>
      <c r="L47" s="647"/>
      <c r="M47" s="647"/>
      <c r="N47" s="647"/>
      <c r="O47" s="650"/>
      <c r="P47" s="643" t="s">
        <v>69</v>
      </c>
      <c r="Q47" s="644"/>
      <c r="R47" s="644"/>
      <c r="S47" s="644"/>
      <c r="T47" s="644"/>
      <c r="U47" s="644"/>
      <c r="V47" s="645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82" t="s">
        <v>117</v>
      </c>
      <c r="B48" s="683"/>
      <c r="C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P48" s="683"/>
      <c r="Q48" s="683"/>
      <c r="R48" s="683"/>
      <c r="S48" s="683"/>
      <c r="T48" s="683"/>
      <c r="U48" s="683"/>
      <c r="V48" s="683"/>
      <c r="W48" s="683"/>
      <c r="X48" s="683"/>
      <c r="Y48" s="683"/>
      <c r="Z48" s="683"/>
      <c r="AA48" s="48"/>
      <c r="AB48" s="48"/>
      <c r="AC48" s="48"/>
    </row>
    <row r="49" spans="1:68" ht="16.5" hidden="1" customHeight="1" x14ac:dyDescent="0.25">
      <c r="A49" s="646" t="s">
        <v>118</v>
      </c>
      <c r="B49" s="647"/>
      <c r="C49" s="647"/>
      <c r="D49" s="647"/>
      <c r="E49" s="647"/>
      <c r="F49" s="647"/>
      <c r="G49" s="647"/>
      <c r="H49" s="647"/>
      <c r="I49" s="647"/>
      <c r="J49" s="647"/>
      <c r="K49" s="647"/>
      <c r="L49" s="647"/>
      <c r="M49" s="647"/>
      <c r="N49" s="647"/>
      <c r="O49" s="647"/>
      <c r="P49" s="647"/>
      <c r="Q49" s="647"/>
      <c r="R49" s="647"/>
      <c r="S49" s="647"/>
      <c r="T49" s="647"/>
      <c r="U49" s="647"/>
      <c r="V49" s="647"/>
      <c r="W49" s="647"/>
      <c r="X49" s="647"/>
      <c r="Y49" s="647"/>
      <c r="Z49" s="647"/>
      <c r="AA49" s="630"/>
      <c r="AB49" s="630"/>
      <c r="AC49" s="630"/>
    </row>
    <row r="50" spans="1:68" ht="14.25" hidden="1" customHeight="1" x14ac:dyDescent="0.25">
      <c r="A50" s="648" t="s">
        <v>119</v>
      </c>
      <c r="B50" s="647"/>
      <c r="C50" s="647"/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7"/>
      <c r="V50" s="647"/>
      <c r="W50" s="647"/>
      <c r="X50" s="647"/>
      <c r="Y50" s="647"/>
      <c r="Z50" s="647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41">
        <v>4607091385670</v>
      </c>
      <c r="E51" s="642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78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2"/>
      <c r="R51" s="652"/>
      <c r="S51" s="652"/>
      <c r="T51" s="653"/>
      <c r="U51" s="34"/>
      <c r="V51" s="34"/>
      <c r="W51" s="35" t="s">
        <v>67</v>
      </c>
      <c r="X51" s="635">
        <v>106</v>
      </c>
      <c r="Y51" s="636">
        <f>IFERROR(IF(X51="",0,CEILING((X51/$H51),1)*$H51),"")</f>
        <v>108</v>
      </c>
      <c r="Z51" s="36">
        <f>IFERROR(IF(Y51=0,"",ROUNDUP(Y51/H51,0)*0.01898),"")</f>
        <v>0.1898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110.02407407407406</v>
      </c>
      <c r="BN51" s="64">
        <f>IFERROR(Y51*I51/H51,"0")</f>
        <v>112.1</v>
      </c>
      <c r="BO51" s="64">
        <f>IFERROR(1/J51*(X51/H51),"0")</f>
        <v>0.15335648148148148</v>
      </c>
      <c r="BP51" s="64">
        <f>IFERROR(1/J51*(Y51/H51),"0")</f>
        <v>0.15625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1">
        <v>4680115887725</v>
      </c>
      <c r="E52" s="642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2"/>
      <c r="R52" s="652"/>
      <c r="S52" s="652"/>
      <c r="T52" s="653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41">
        <v>4607091385687</v>
      </c>
      <c r="E53" s="642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2"/>
      <c r="R53" s="652"/>
      <c r="S53" s="652"/>
      <c r="T53" s="653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41">
        <v>4680115882539</v>
      </c>
      <c r="E54" s="642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2"/>
      <c r="R54" s="652"/>
      <c r="S54" s="652"/>
      <c r="T54" s="653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9"/>
      <c r="B55" s="647"/>
      <c r="C55" s="647"/>
      <c r="D55" s="647"/>
      <c r="E55" s="647"/>
      <c r="F55" s="647"/>
      <c r="G55" s="647"/>
      <c r="H55" s="647"/>
      <c r="I55" s="647"/>
      <c r="J55" s="647"/>
      <c r="K55" s="647"/>
      <c r="L55" s="647"/>
      <c r="M55" s="647"/>
      <c r="N55" s="647"/>
      <c r="O55" s="650"/>
      <c r="P55" s="643" t="s">
        <v>69</v>
      </c>
      <c r="Q55" s="644"/>
      <c r="R55" s="644"/>
      <c r="S55" s="644"/>
      <c r="T55" s="644"/>
      <c r="U55" s="644"/>
      <c r="V55" s="645"/>
      <c r="W55" s="37" t="s">
        <v>70</v>
      </c>
      <c r="X55" s="637">
        <f>IFERROR(X51/H51,"0")+IFERROR(X52/H52,"0")+IFERROR(X53/H53,"0")+IFERROR(X54/H54,"0")</f>
        <v>9.8148148148148149</v>
      </c>
      <c r="Y55" s="637">
        <f>IFERROR(Y51/H51,"0")+IFERROR(Y52/H52,"0")+IFERROR(Y53/H53,"0")+IFERROR(Y54/H54,"0")</f>
        <v>10</v>
      </c>
      <c r="Z55" s="637">
        <f>IFERROR(IF(Z51="",0,Z51),"0")+IFERROR(IF(Z52="",0,Z52),"0")+IFERROR(IF(Z53="",0,Z53),"0")+IFERROR(IF(Z54="",0,Z54),"0")</f>
        <v>0.1898</v>
      </c>
      <c r="AA55" s="638"/>
      <c r="AB55" s="638"/>
      <c r="AC55" s="638"/>
    </row>
    <row r="56" spans="1:68" x14ac:dyDescent="0.2">
      <c r="A56" s="647"/>
      <c r="B56" s="647"/>
      <c r="C56" s="647"/>
      <c r="D56" s="647"/>
      <c r="E56" s="647"/>
      <c r="F56" s="647"/>
      <c r="G56" s="647"/>
      <c r="H56" s="647"/>
      <c r="I56" s="647"/>
      <c r="J56" s="647"/>
      <c r="K56" s="647"/>
      <c r="L56" s="647"/>
      <c r="M56" s="647"/>
      <c r="N56" s="647"/>
      <c r="O56" s="650"/>
      <c r="P56" s="643" t="s">
        <v>69</v>
      </c>
      <c r="Q56" s="644"/>
      <c r="R56" s="644"/>
      <c r="S56" s="644"/>
      <c r="T56" s="644"/>
      <c r="U56" s="644"/>
      <c r="V56" s="645"/>
      <c r="W56" s="37" t="s">
        <v>67</v>
      </c>
      <c r="X56" s="637">
        <f>IFERROR(SUM(X51:X54),"0")</f>
        <v>106</v>
      </c>
      <c r="Y56" s="637">
        <f>IFERROR(SUM(Y51:Y54),"0")</f>
        <v>108</v>
      </c>
      <c r="Z56" s="37"/>
      <c r="AA56" s="638"/>
      <c r="AB56" s="638"/>
      <c r="AC56" s="638"/>
    </row>
    <row r="57" spans="1:68" ht="16.5" hidden="1" customHeight="1" x14ac:dyDescent="0.25">
      <c r="A57" s="646" t="s">
        <v>134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7"/>
      <c r="Q57" s="647"/>
      <c r="R57" s="647"/>
      <c r="S57" s="647"/>
      <c r="T57" s="647"/>
      <c r="U57" s="647"/>
      <c r="V57" s="647"/>
      <c r="W57" s="647"/>
      <c r="X57" s="647"/>
      <c r="Y57" s="647"/>
      <c r="Z57" s="647"/>
      <c r="AA57" s="630"/>
      <c r="AB57" s="630"/>
      <c r="AC57" s="630"/>
    </row>
    <row r="58" spans="1:68" ht="14.25" hidden="1" customHeight="1" x14ac:dyDescent="0.25">
      <c r="A58" s="648" t="s">
        <v>119</v>
      </c>
      <c r="B58" s="647"/>
      <c r="C58" s="647"/>
      <c r="D58" s="647"/>
      <c r="E58" s="647"/>
      <c r="F58" s="647"/>
      <c r="G58" s="647"/>
      <c r="H58" s="647"/>
      <c r="I58" s="647"/>
      <c r="J58" s="647"/>
      <c r="K58" s="647"/>
      <c r="L58" s="647"/>
      <c r="M58" s="647"/>
      <c r="N58" s="647"/>
      <c r="O58" s="647"/>
      <c r="P58" s="647"/>
      <c r="Q58" s="647"/>
      <c r="R58" s="647"/>
      <c r="S58" s="647"/>
      <c r="T58" s="647"/>
      <c r="U58" s="647"/>
      <c r="V58" s="647"/>
      <c r="W58" s="647"/>
      <c r="X58" s="647"/>
      <c r="Y58" s="647"/>
      <c r="Z58" s="647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41">
        <v>4680115885882</v>
      </c>
      <c r="E59" s="642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2"/>
      <c r="R59" s="652"/>
      <c r="S59" s="652"/>
      <c r="T59" s="653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41">
        <v>4680115881426</v>
      </c>
      <c r="E60" s="642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2"/>
      <c r="R60" s="652"/>
      <c r="S60" s="652"/>
      <c r="T60" s="653"/>
      <c r="U60" s="34"/>
      <c r="V60" s="34"/>
      <c r="W60" s="35" t="s">
        <v>67</v>
      </c>
      <c r="X60" s="635">
        <v>37</v>
      </c>
      <c r="Y60" s="636">
        <f t="shared" si="0"/>
        <v>43.2</v>
      </c>
      <c r="Z60" s="36">
        <f>IFERROR(IF(Y60=0,"",ROUNDUP(Y60/H60,0)*0.01898),"")</f>
        <v>7.5920000000000001E-2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38.404629629629632</v>
      </c>
      <c r="BN60" s="64">
        <f t="shared" si="2"/>
        <v>44.84</v>
      </c>
      <c r="BO60" s="64">
        <f t="shared" si="3"/>
        <v>5.3530092592592587E-2</v>
      </c>
      <c r="BP60" s="64">
        <f t="shared" si="4"/>
        <v>6.25E-2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1">
        <v>4680115881426</v>
      </c>
      <c r="E61" s="642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2"/>
      <c r="R61" s="652"/>
      <c r="S61" s="652"/>
      <c r="T61" s="653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1">
        <v>4680115880283</v>
      </c>
      <c r="E62" s="642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2"/>
      <c r="R62" s="652"/>
      <c r="S62" s="652"/>
      <c r="T62" s="653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41">
        <v>4680115881525</v>
      </c>
      <c r="E63" s="642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2"/>
      <c r="R63" s="652"/>
      <c r="S63" s="652"/>
      <c r="T63" s="653"/>
      <c r="U63" s="34"/>
      <c r="V63" s="34"/>
      <c r="W63" s="35" t="s">
        <v>67</v>
      </c>
      <c r="X63" s="635">
        <v>2</v>
      </c>
      <c r="Y63" s="636">
        <f t="shared" si="0"/>
        <v>4</v>
      </c>
      <c r="Z63" s="36">
        <f>IFERROR(IF(Y63=0,"",ROUNDUP(Y63/H63,0)*0.00902),"")</f>
        <v>9.0200000000000002E-3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2.0950000000000002</v>
      </c>
      <c r="BN63" s="64">
        <f t="shared" si="2"/>
        <v>4.1900000000000004</v>
      </c>
      <c r="BO63" s="64">
        <f t="shared" si="3"/>
        <v>3.787878787878788E-3</v>
      </c>
      <c r="BP63" s="64">
        <f t="shared" si="4"/>
        <v>7.575757575757576E-3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1">
        <v>4680115881525</v>
      </c>
      <c r="E64" s="642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2"/>
      <c r="R64" s="652"/>
      <c r="S64" s="652"/>
      <c r="T64" s="653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1">
        <v>4680115885899</v>
      </c>
      <c r="E65" s="642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2"/>
      <c r="R65" s="652"/>
      <c r="S65" s="652"/>
      <c r="T65" s="653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153</v>
      </c>
      <c r="B66" s="54" t="s">
        <v>154</v>
      </c>
      <c r="C66" s="31">
        <v>4301012158</v>
      </c>
      <c r="D66" s="641">
        <v>4680115881419</v>
      </c>
      <c r="E66" s="642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2"/>
      <c r="R66" s="652"/>
      <c r="S66" s="652"/>
      <c r="T66" s="653"/>
      <c r="U66" s="34"/>
      <c r="V66" s="34"/>
      <c r="W66" s="35" t="s">
        <v>67</v>
      </c>
      <c r="X66" s="635">
        <v>0</v>
      </c>
      <c r="Y66" s="63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49"/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50"/>
      <c r="P67" s="643" t="s">
        <v>69</v>
      </c>
      <c r="Q67" s="644"/>
      <c r="R67" s="644"/>
      <c r="S67" s="644"/>
      <c r="T67" s="644"/>
      <c r="U67" s="644"/>
      <c r="V67" s="645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3.9259259259259256</v>
      </c>
      <c r="Y67" s="637">
        <f>IFERROR(Y59/H59,"0")+IFERROR(Y60/H60,"0")+IFERROR(Y61/H61,"0")+IFERROR(Y62/H62,"0")+IFERROR(Y63/H63,"0")+IFERROR(Y64/H64,"0")+IFERROR(Y65/H65,"0")+IFERROR(Y66/H66,"0")</f>
        <v>5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8.4940000000000002E-2</v>
      </c>
      <c r="AA67" s="638"/>
      <c r="AB67" s="638"/>
      <c r="AC67" s="638"/>
    </row>
    <row r="68" spans="1:68" x14ac:dyDescent="0.2">
      <c r="A68" s="647"/>
      <c r="B68" s="647"/>
      <c r="C68" s="647"/>
      <c r="D68" s="647"/>
      <c r="E68" s="647"/>
      <c r="F68" s="647"/>
      <c r="G68" s="647"/>
      <c r="H68" s="647"/>
      <c r="I68" s="647"/>
      <c r="J68" s="647"/>
      <c r="K68" s="647"/>
      <c r="L68" s="647"/>
      <c r="M68" s="647"/>
      <c r="N68" s="647"/>
      <c r="O68" s="650"/>
      <c r="P68" s="643" t="s">
        <v>69</v>
      </c>
      <c r="Q68" s="644"/>
      <c r="R68" s="644"/>
      <c r="S68" s="644"/>
      <c r="T68" s="644"/>
      <c r="U68" s="644"/>
      <c r="V68" s="645"/>
      <c r="W68" s="37" t="s">
        <v>67</v>
      </c>
      <c r="X68" s="637">
        <f>IFERROR(SUM(X59:X66),"0")</f>
        <v>39</v>
      </c>
      <c r="Y68" s="637">
        <f>IFERROR(SUM(Y59:Y66),"0")</f>
        <v>47.2</v>
      </c>
      <c r="Z68" s="37"/>
      <c r="AA68" s="638"/>
      <c r="AB68" s="638"/>
      <c r="AC68" s="638"/>
    </row>
    <row r="69" spans="1:68" ht="14.25" hidden="1" customHeight="1" x14ac:dyDescent="0.25">
      <c r="A69" s="648" t="s">
        <v>155</v>
      </c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  <c r="Y69" s="647"/>
      <c r="Z69" s="647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41">
        <v>4680115881440</v>
      </c>
      <c r="E70" s="642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2"/>
      <c r="R70" s="652"/>
      <c r="S70" s="652"/>
      <c r="T70" s="653"/>
      <c r="U70" s="34"/>
      <c r="V70" s="34"/>
      <c r="W70" s="35" t="s">
        <v>67</v>
      </c>
      <c r="X70" s="635">
        <v>27</v>
      </c>
      <c r="Y70" s="636">
        <f>IFERROR(IF(X70="",0,CEILING((X70/$H70),1)*$H70),"")</f>
        <v>32.400000000000006</v>
      </c>
      <c r="Z70" s="36">
        <f>IFERROR(IF(Y70=0,"",ROUNDUP(Y70/H70,0)*0.01898),"")</f>
        <v>5.6940000000000004E-2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28.024999999999999</v>
      </c>
      <c r="BN70" s="64">
        <f>IFERROR(Y70*I70/H70,"0")</f>
        <v>33.630000000000003</v>
      </c>
      <c r="BO70" s="64">
        <f>IFERROR(1/J70*(X70/H70),"0")</f>
        <v>3.90625E-2</v>
      </c>
      <c r="BP70" s="64">
        <f>IFERROR(1/J70*(Y70/H70),"0")</f>
        <v>4.6875000000000007E-2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1">
        <v>4680115885950</v>
      </c>
      <c r="E71" s="642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2"/>
      <c r="R71" s="652"/>
      <c r="S71" s="652"/>
      <c r="T71" s="653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1">
        <v>4680115887688</v>
      </c>
      <c r="E72" s="642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100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2"/>
      <c r="R72" s="652"/>
      <c r="S72" s="652"/>
      <c r="T72" s="653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1">
        <v>4680115881433</v>
      </c>
      <c r="E73" s="642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75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2"/>
      <c r="R73" s="652"/>
      <c r="S73" s="652"/>
      <c r="T73" s="653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9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50"/>
      <c r="P74" s="643" t="s">
        <v>69</v>
      </c>
      <c r="Q74" s="644"/>
      <c r="R74" s="644"/>
      <c r="S74" s="644"/>
      <c r="T74" s="644"/>
      <c r="U74" s="644"/>
      <c r="V74" s="645"/>
      <c r="W74" s="37" t="s">
        <v>70</v>
      </c>
      <c r="X74" s="637">
        <f>IFERROR(X70/H70,"0")+IFERROR(X71/H71,"0")+IFERROR(X72/H72,"0")+IFERROR(X73/H73,"0")</f>
        <v>2.5</v>
      </c>
      <c r="Y74" s="637">
        <f>IFERROR(Y70/H70,"0")+IFERROR(Y71/H71,"0")+IFERROR(Y72/H72,"0")+IFERROR(Y73/H73,"0")</f>
        <v>3.0000000000000004</v>
      </c>
      <c r="Z74" s="637">
        <f>IFERROR(IF(Z70="",0,Z70),"0")+IFERROR(IF(Z71="",0,Z71),"0")+IFERROR(IF(Z72="",0,Z72),"0")+IFERROR(IF(Z73="",0,Z73),"0")</f>
        <v>5.6940000000000004E-2</v>
      </c>
      <c r="AA74" s="638"/>
      <c r="AB74" s="638"/>
      <c r="AC74" s="638"/>
    </row>
    <row r="75" spans="1:68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50"/>
      <c r="P75" s="643" t="s">
        <v>69</v>
      </c>
      <c r="Q75" s="644"/>
      <c r="R75" s="644"/>
      <c r="S75" s="644"/>
      <c r="T75" s="644"/>
      <c r="U75" s="644"/>
      <c r="V75" s="645"/>
      <c r="W75" s="37" t="s">
        <v>67</v>
      </c>
      <c r="X75" s="637">
        <f>IFERROR(SUM(X70:X73),"0")</f>
        <v>27</v>
      </c>
      <c r="Y75" s="637">
        <f>IFERROR(SUM(Y70:Y73),"0")</f>
        <v>32.400000000000006</v>
      </c>
      <c r="Z75" s="37"/>
      <c r="AA75" s="638"/>
      <c r="AB75" s="638"/>
      <c r="AC75" s="638"/>
    </row>
    <row r="76" spans="1:68" ht="14.25" hidden="1" customHeight="1" x14ac:dyDescent="0.25">
      <c r="A76" s="648" t="s">
        <v>71</v>
      </c>
      <c r="B76" s="647"/>
      <c r="C76" s="647"/>
      <c r="D76" s="647"/>
      <c r="E76" s="647"/>
      <c r="F76" s="647"/>
      <c r="G76" s="647"/>
      <c r="H76" s="647"/>
      <c r="I76" s="647"/>
      <c r="J76" s="647"/>
      <c r="K76" s="647"/>
      <c r="L76" s="647"/>
      <c r="M76" s="647"/>
      <c r="N76" s="647"/>
      <c r="O76" s="647"/>
      <c r="P76" s="647"/>
      <c r="Q76" s="647"/>
      <c r="R76" s="647"/>
      <c r="S76" s="647"/>
      <c r="T76" s="647"/>
      <c r="U76" s="647"/>
      <c r="V76" s="647"/>
      <c r="W76" s="647"/>
      <c r="X76" s="647"/>
      <c r="Y76" s="647"/>
      <c r="Z76" s="647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41">
        <v>4680115884311</v>
      </c>
      <c r="E77" s="642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2"/>
      <c r="R77" s="652"/>
      <c r="S77" s="652"/>
      <c r="T77" s="653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1">
        <v>4680115884403</v>
      </c>
      <c r="E78" s="642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2"/>
      <c r="R78" s="652"/>
      <c r="S78" s="652"/>
      <c r="T78" s="653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9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50"/>
      <c r="P79" s="643" t="s">
        <v>69</v>
      </c>
      <c r="Q79" s="644"/>
      <c r="R79" s="644"/>
      <c r="S79" s="644"/>
      <c r="T79" s="644"/>
      <c r="U79" s="644"/>
      <c r="V79" s="645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50"/>
      <c r="P80" s="643" t="s">
        <v>69</v>
      </c>
      <c r="Q80" s="644"/>
      <c r="R80" s="644"/>
      <c r="S80" s="644"/>
      <c r="T80" s="644"/>
      <c r="U80" s="644"/>
      <c r="V80" s="645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8" t="s">
        <v>173</v>
      </c>
      <c r="B81" s="647"/>
      <c r="C81" s="647"/>
      <c r="D81" s="647"/>
      <c r="E81" s="647"/>
      <c r="F81" s="647"/>
      <c r="G81" s="647"/>
      <c r="H81" s="647"/>
      <c r="I81" s="647"/>
      <c r="J81" s="647"/>
      <c r="K81" s="64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  <c r="Y81" s="647"/>
      <c r="Z81" s="647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41">
        <v>4680115881532</v>
      </c>
      <c r="E82" s="642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2"/>
      <c r="R82" s="652"/>
      <c r="S82" s="652"/>
      <c r="T82" s="653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1">
        <v>4680115881532</v>
      </c>
      <c r="E83" s="642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2"/>
      <c r="R83" s="652"/>
      <c r="S83" s="652"/>
      <c r="T83" s="653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1">
        <v>4680115881464</v>
      </c>
      <c r="E84" s="642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2"/>
      <c r="R84" s="652"/>
      <c r="S84" s="652"/>
      <c r="T84" s="653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9"/>
      <c r="B85" s="647"/>
      <c r="C85" s="647"/>
      <c r="D85" s="647"/>
      <c r="E85" s="647"/>
      <c r="F85" s="647"/>
      <c r="G85" s="647"/>
      <c r="H85" s="647"/>
      <c r="I85" s="647"/>
      <c r="J85" s="647"/>
      <c r="K85" s="647"/>
      <c r="L85" s="647"/>
      <c r="M85" s="647"/>
      <c r="N85" s="647"/>
      <c r="O85" s="650"/>
      <c r="P85" s="643" t="s">
        <v>69</v>
      </c>
      <c r="Q85" s="644"/>
      <c r="R85" s="644"/>
      <c r="S85" s="644"/>
      <c r="T85" s="644"/>
      <c r="U85" s="644"/>
      <c r="V85" s="645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7"/>
      <c r="B86" s="647"/>
      <c r="C86" s="647"/>
      <c r="D86" s="647"/>
      <c r="E86" s="647"/>
      <c r="F86" s="647"/>
      <c r="G86" s="647"/>
      <c r="H86" s="647"/>
      <c r="I86" s="647"/>
      <c r="J86" s="647"/>
      <c r="K86" s="647"/>
      <c r="L86" s="647"/>
      <c r="M86" s="647"/>
      <c r="N86" s="647"/>
      <c r="O86" s="650"/>
      <c r="P86" s="643" t="s">
        <v>69</v>
      </c>
      <c r="Q86" s="644"/>
      <c r="R86" s="644"/>
      <c r="S86" s="644"/>
      <c r="T86" s="644"/>
      <c r="U86" s="644"/>
      <c r="V86" s="645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46" t="s">
        <v>181</v>
      </c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7"/>
      <c r="P87" s="647"/>
      <c r="Q87" s="647"/>
      <c r="R87" s="647"/>
      <c r="S87" s="647"/>
      <c r="T87" s="647"/>
      <c r="U87" s="647"/>
      <c r="V87" s="647"/>
      <c r="W87" s="647"/>
      <c r="X87" s="647"/>
      <c r="Y87" s="647"/>
      <c r="Z87" s="647"/>
      <c r="AA87" s="630"/>
      <c r="AB87" s="630"/>
      <c r="AC87" s="630"/>
    </row>
    <row r="88" spans="1:68" ht="14.25" hidden="1" customHeight="1" x14ac:dyDescent="0.25">
      <c r="A88" s="648" t="s">
        <v>119</v>
      </c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647"/>
      <c r="Y88" s="647"/>
      <c r="Z88" s="647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41">
        <v>4680115881327</v>
      </c>
      <c r="E89" s="642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2"/>
      <c r="R89" s="652"/>
      <c r="S89" s="652"/>
      <c r="T89" s="653"/>
      <c r="U89" s="34"/>
      <c r="V89" s="34"/>
      <c r="W89" s="35" t="s">
        <v>67</v>
      </c>
      <c r="X89" s="635">
        <v>55</v>
      </c>
      <c r="Y89" s="636">
        <f t="shared" ref="Y89:Y94" si="5">IFERROR(IF(X89="",0,CEILING((X89/$H89),1)*$H89),"")</f>
        <v>64.800000000000011</v>
      </c>
      <c r="Z89" s="36">
        <f>IFERROR(IF(Y89=0,"",ROUNDUP(Y89/H89,0)*0.01898),"")</f>
        <v>0.11388000000000001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57.087962962962969</v>
      </c>
      <c r="BN89" s="64">
        <f t="shared" ref="BN89:BN94" si="7">IFERROR(Y89*I89/H89,"0")</f>
        <v>67.260000000000005</v>
      </c>
      <c r="BO89" s="64">
        <f t="shared" ref="BO89:BO94" si="8">IFERROR(1/J89*(X89/H89),"0")</f>
        <v>7.9571759259259259E-2</v>
      </c>
      <c r="BP89" s="64">
        <f t="shared" ref="BP89:BP94" si="9">IFERROR(1/J89*(Y89/H89),"0")</f>
        <v>9.3750000000000014E-2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1">
        <v>4680115881327</v>
      </c>
      <c r="E90" s="642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0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2"/>
      <c r="R90" s="652"/>
      <c r="S90" s="652"/>
      <c r="T90" s="653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41">
        <v>4680115887732</v>
      </c>
      <c r="E91" s="642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2"/>
      <c r="R91" s="652"/>
      <c r="S91" s="652"/>
      <c r="T91" s="653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1">
        <v>4680115881518</v>
      </c>
      <c r="E92" s="642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6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2"/>
      <c r="R92" s="652"/>
      <c r="S92" s="652"/>
      <c r="T92" s="653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1">
        <v>4680115881518</v>
      </c>
      <c r="E93" s="642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2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2"/>
      <c r="R93" s="652"/>
      <c r="S93" s="652"/>
      <c r="T93" s="653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41">
        <v>4680115881303</v>
      </c>
      <c r="E94" s="642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2"/>
      <c r="R94" s="652"/>
      <c r="S94" s="652"/>
      <c r="T94" s="653"/>
      <c r="U94" s="34"/>
      <c r="V94" s="34"/>
      <c r="W94" s="35" t="s">
        <v>67</v>
      </c>
      <c r="X94" s="635">
        <v>3</v>
      </c>
      <c r="Y94" s="636">
        <f t="shared" si="5"/>
        <v>4.5</v>
      </c>
      <c r="Z94" s="36">
        <f>IFERROR(IF(Y94=0,"",ROUNDUP(Y94/H94,0)*0.00902),"")</f>
        <v>9.0200000000000002E-3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3.1266666666666669</v>
      </c>
      <c r="BN94" s="64">
        <f t="shared" si="7"/>
        <v>4.6900000000000004</v>
      </c>
      <c r="BO94" s="64">
        <f t="shared" si="8"/>
        <v>5.0505050505050501E-3</v>
      </c>
      <c r="BP94" s="64">
        <f t="shared" si="9"/>
        <v>7.575757575757576E-3</v>
      </c>
    </row>
    <row r="95" spans="1:68" x14ac:dyDescent="0.2">
      <c r="A95" s="649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50"/>
      <c r="P95" s="643" t="s">
        <v>69</v>
      </c>
      <c r="Q95" s="644"/>
      <c r="R95" s="644"/>
      <c r="S95" s="644"/>
      <c r="T95" s="644"/>
      <c r="U95" s="644"/>
      <c r="V95" s="645"/>
      <c r="W95" s="37" t="s">
        <v>70</v>
      </c>
      <c r="X95" s="637">
        <f>IFERROR(X89/H89,"0")+IFERROR(X90/H90,"0")+IFERROR(X91/H91,"0")+IFERROR(X92/H92,"0")+IFERROR(X93/H93,"0")+IFERROR(X94/H94,"0")</f>
        <v>5.7592592592592595</v>
      </c>
      <c r="Y95" s="637">
        <f>IFERROR(Y89/H89,"0")+IFERROR(Y90/H90,"0")+IFERROR(Y91/H91,"0")+IFERROR(Y92/H92,"0")+IFERROR(Y93/H93,"0")+IFERROR(Y94/H94,"0")</f>
        <v>7.0000000000000009</v>
      </c>
      <c r="Z95" s="637">
        <f>IFERROR(IF(Z89="",0,Z89),"0")+IFERROR(IF(Z90="",0,Z90),"0")+IFERROR(IF(Z91="",0,Z91),"0")+IFERROR(IF(Z92="",0,Z92),"0")+IFERROR(IF(Z93="",0,Z93),"0")+IFERROR(IF(Z94="",0,Z94),"0")</f>
        <v>0.12290000000000001</v>
      </c>
      <c r="AA95" s="638"/>
      <c r="AB95" s="638"/>
      <c r="AC95" s="638"/>
    </row>
    <row r="96" spans="1:68" x14ac:dyDescent="0.2">
      <c r="A96" s="647"/>
      <c r="B96" s="647"/>
      <c r="C96" s="647"/>
      <c r="D96" s="647"/>
      <c r="E96" s="647"/>
      <c r="F96" s="647"/>
      <c r="G96" s="647"/>
      <c r="H96" s="647"/>
      <c r="I96" s="647"/>
      <c r="J96" s="647"/>
      <c r="K96" s="647"/>
      <c r="L96" s="647"/>
      <c r="M96" s="647"/>
      <c r="N96" s="647"/>
      <c r="O96" s="650"/>
      <c r="P96" s="643" t="s">
        <v>69</v>
      </c>
      <c r="Q96" s="644"/>
      <c r="R96" s="644"/>
      <c r="S96" s="644"/>
      <c r="T96" s="644"/>
      <c r="U96" s="644"/>
      <c r="V96" s="645"/>
      <c r="W96" s="37" t="s">
        <v>67</v>
      </c>
      <c r="X96" s="637">
        <f>IFERROR(SUM(X89:X94),"0")</f>
        <v>58</v>
      </c>
      <c r="Y96" s="637">
        <f>IFERROR(SUM(Y89:Y94),"0")</f>
        <v>69.300000000000011</v>
      </c>
      <c r="Z96" s="37"/>
      <c r="AA96" s="638"/>
      <c r="AB96" s="638"/>
      <c r="AC96" s="638"/>
    </row>
    <row r="97" spans="1:68" ht="14.25" hidden="1" customHeight="1" x14ac:dyDescent="0.25">
      <c r="A97" s="648" t="s">
        <v>71</v>
      </c>
      <c r="B97" s="647"/>
      <c r="C97" s="647"/>
      <c r="D97" s="647"/>
      <c r="E97" s="647"/>
      <c r="F97" s="647"/>
      <c r="G97" s="647"/>
      <c r="H97" s="647"/>
      <c r="I97" s="647"/>
      <c r="J97" s="647"/>
      <c r="K97" s="64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  <c r="Y97" s="647"/>
      <c r="Z97" s="647"/>
      <c r="AA97" s="631"/>
      <c r="AB97" s="631"/>
      <c r="AC97" s="631"/>
    </row>
    <row r="98" spans="1:68" ht="27" hidden="1" customHeight="1" x14ac:dyDescent="0.25">
      <c r="A98" s="54" t="s">
        <v>194</v>
      </c>
      <c r="B98" s="54" t="s">
        <v>195</v>
      </c>
      <c r="C98" s="31">
        <v>4301052101</v>
      </c>
      <c r="D98" s="641">
        <v>4607091386967</v>
      </c>
      <c r="E98" s="642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2"/>
      <c r="R98" s="652"/>
      <c r="S98" s="652"/>
      <c r="T98" s="653"/>
      <c r="U98" s="34"/>
      <c r="V98" s="34"/>
      <c r="W98" s="35" t="s">
        <v>67</v>
      </c>
      <c r="X98" s="635">
        <v>0</v>
      </c>
      <c r="Y98" s="636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1">
        <v>4680115884953</v>
      </c>
      <c r="E99" s="642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5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2"/>
      <c r="R99" s="652"/>
      <c r="S99" s="652"/>
      <c r="T99" s="653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41">
        <v>4607091385731</v>
      </c>
      <c r="E100" s="642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2"/>
      <c r="R100" s="652"/>
      <c r="S100" s="652"/>
      <c r="T100" s="653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1">
        <v>4680115880894</v>
      </c>
      <c r="E101" s="642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8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2"/>
      <c r="R101" s="652"/>
      <c r="S101" s="652"/>
      <c r="T101" s="653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49"/>
      <c r="B102" s="647"/>
      <c r="C102" s="647"/>
      <c r="D102" s="647"/>
      <c r="E102" s="647"/>
      <c r="F102" s="647"/>
      <c r="G102" s="647"/>
      <c r="H102" s="647"/>
      <c r="I102" s="647"/>
      <c r="J102" s="647"/>
      <c r="K102" s="647"/>
      <c r="L102" s="647"/>
      <c r="M102" s="647"/>
      <c r="N102" s="647"/>
      <c r="O102" s="650"/>
      <c r="P102" s="643" t="s">
        <v>69</v>
      </c>
      <c r="Q102" s="644"/>
      <c r="R102" s="644"/>
      <c r="S102" s="644"/>
      <c r="T102" s="644"/>
      <c r="U102" s="644"/>
      <c r="V102" s="645"/>
      <c r="W102" s="37" t="s">
        <v>70</v>
      </c>
      <c r="X102" s="637">
        <f>IFERROR(X98/H98,"0")+IFERROR(X99/H99,"0")+IFERROR(X100/H100,"0")+IFERROR(X101/H101,"0")</f>
        <v>0</v>
      </c>
      <c r="Y102" s="637">
        <f>IFERROR(Y98/H98,"0")+IFERROR(Y99/H99,"0")+IFERROR(Y100/H100,"0")+IFERROR(Y101/H101,"0")</f>
        <v>0</v>
      </c>
      <c r="Z102" s="637">
        <f>IFERROR(IF(Z98="",0,Z98),"0")+IFERROR(IF(Z99="",0,Z99),"0")+IFERROR(IF(Z100="",0,Z100),"0")+IFERROR(IF(Z101="",0,Z101),"0")</f>
        <v>0</v>
      </c>
      <c r="AA102" s="638"/>
      <c r="AB102" s="638"/>
      <c r="AC102" s="638"/>
    </row>
    <row r="103" spans="1:68" hidden="1" x14ac:dyDescent="0.2">
      <c r="A103" s="647"/>
      <c r="B103" s="647"/>
      <c r="C103" s="647"/>
      <c r="D103" s="647"/>
      <c r="E103" s="647"/>
      <c r="F103" s="647"/>
      <c r="G103" s="647"/>
      <c r="H103" s="647"/>
      <c r="I103" s="647"/>
      <c r="J103" s="647"/>
      <c r="K103" s="647"/>
      <c r="L103" s="647"/>
      <c r="M103" s="647"/>
      <c r="N103" s="647"/>
      <c r="O103" s="650"/>
      <c r="P103" s="643" t="s">
        <v>69</v>
      </c>
      <c r="Q103" s="644"/>
      <c r="R103" s="644"/>
      <c r="S103" s="644"/>
      <c r="T103" s="644"/>
      <c r="U103" s="644"/>
      <c r="V103" s="645"/>
      <c r="W103" s="37" t="s">
        <v>67</v>
      </c>
      <c r="X103" s="637">
        <f>IFERROR(SUM(X98:X101),"0")</f>
        <v>0</v>
      </c>
      <c r="Y103" s="637">
        <f>IFERROR(SUM(Y98:Y101),"0")</f>
        <v>0</v>
      </c>
      <c r="Z103" s="37"/>
      <c r="AA103" s="638"/>
      <c r="AB103" s="638"/>
      <c r="AC103" s="638"/>
    </row>
    <row r="104" spans="1:68" ht="16.5" hidden="1" customHeight="1" x14ac:dyDescent="0.25">
      <c r="A104" s="646" t="s">
        <v>205</v>
      </c>
      <c r="B104" s="647"/>
      <c r="C104" s="647"/>
      <c r="D104" s="647"/>
      <c r="E104" s="647"/>
      <c r="F104" s="647"/>
      <c r="G104" s="647"/>
      <c r="H104" s="647"/>
      <c r="I104" s="647"/>
      <c r="J104" s="647"/>
      <c r="K104" s="647"/>
      <c r="L104" s="647"/>
      <c r="M104" s="647"/>
      <c r="N104" s="647"/>
      <c r="O104" s="647"/>
      <c r="P104" s="647"/>
      <c r="Q104" s="647"/>
      <c r="R104" s="647"/>
      <c r="S104" s="647"/>
      <c r="T104" s="647"/>
      <c r="U104" s="647"/>
      <c r="V104" s="647"/>
      <c r="W104" s="647"/>
      <c r="X104" s="647"/>
      <c r="Y104" s="647"/>
      <c r="Z104" s="647"/>
      <c r="AA104" s="630"/>
      <c r="AB104" s="630"/>
      <c r="AC104" s="630"/>
    </row>
    <row r="105" spans="1:68" ht="14.25" hidden="1" customHeight="1" x14ac:dyDescent="0.25">
      <c r="A105" s="648" t="s">
        <v>119</v>
      </c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  <c r="Y105" s="647"/>
      <c r="Z105" s="647"/>
      <c r="AA105" s="631"/>
      <c r="AB105" s="631"/>
      <c r="AC105" s="631"/>
    </row>
    <row r="106" spans="1:68" ht="37.5" hidden="1" customHeight="1" x14ac:dyDescent="0.25">
      <c r="A106" s="54" t="s">
        <v>206</v>
      </c>
      <c r="B106" s="54" t="s">
        <v>207</v>
      </c>
      <c r="C106" s="31">
        <v>4301011514</v>
      </c>
      <c r="D106" s="641">
        <v>4680115882133</v>
      </c>
      <c r="E106" s="642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2"/>
      <c r="R106" s="652"/>
      <c r="S106" s="652"/>
      <c r="T106" s="653"/>
      <c r="U106" s="34"/>
      <c r="V106" s="34"/>
      <c r="W106" s="35" t="s">
        <v>67</v>
      </c>
      <c r="X106" s="635">
        <v>0</v>
      </c>
      <c r="Y106" s="636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1">
        <v>4680115882133</v>
      </c>
      <c r="E107" s="642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5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2"/>
      <c r="R107" s="652"/>
      <c r="S107" s="652"/>
      <c r="T107" s="653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1">
        <v>4680115887718</v>
      </c>
      <c r="E108" s="642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2"/>
      <c r="R108" s="652"/>
      <c r="S108" s="652"/>
      <c r="T108" s="653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1">
        <v>4680115880269</v>
      </c>
      <c r="E109" s="642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2"/>
      <c r="R109" s="652"/>
      <c r="S109" s="652"/>
      <c r="T109" s="653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41">
        <v>4680115880429</v>
      </c>
      <c r="E110" s="642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4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2"/>
      <c r="R110" s="652"/>
      <c r="S110" s="652"/>
      <c r="T110" s="653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1">
        <v>4680115881457</v>
      </c>
      <c r="E111" s="642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2"/>
      <c r="R111" s="652"/>
      <c r="S111" s="652"/>
      <c r="T111" s="653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1">
        <v>4680115889477</v>
      </c>
      <c r="E112" s="642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2"/>
      <c r="R112" s="652"/>
      <c r="S112" s="652"/>
      <c r="T112" s="653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49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50"/>
      <c r="P113" s="643" t="s">
        <v>69</v>
      </c>
      <c r="Q113" s="644"/>
      <c r="R113" s="644"/>
      <c r="S113" s="644"/>
      <c r="T113" s="644"/>
      <c r="U113" s="644"/>
      <c r="V113" s="645"/>
      <c r="W113" s="37" t="s">
        <v>70</v>
      </c>
      <c r="X113" s="637">
        <f>IFERROR(X106/H106,"0")+IFERROR(X107/H107,"0")+IFERROR(X108/H108,"0")+IFERROR(X109/H109,"0")+IFERROR(X110/H110,"0")+IFERROR(X111/H111,"0")+IFERROR(X112/H112,"0")</f>
        <v>0</v>
      </c>
      <c r="Y113" s="637">
        <f>IFERROR(Y106/H106,"0")+IFERROR(Y107/H107,"0")+IFERROR(Y108/H108,"0")+IFERROR(Y109/H109,"0")+IFERROR(Y110/H110,"0")+IFERROR(Y111/H111,"0")+IFERROR(Y112/H112,"0")</f>
        <v>0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8"/>
      <c r="AB113" s="638"/>
      <c r="AC113" s="638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50"/>
      <c r="P114" s="643" t="s">
        <v>69</v>
      </c>
      <c r="Q114" s="644"/>
      <c r="R114" s="644"/>
      <c r="S114" s="644"/>
      <c r="T114" s="644"/>
      <c r="U114" s="644"/>
      <c r="V114" s="645"/>
      <c r="W114" s="37" t="s">
        <v>67</v>
      </c>
      <c r="X114" s="637">
        <f>IFERROR(SUM(X106:X112),"0")</f>
        <v>0</v>
      </c>
      <c r="Y114" s="637">
        <f>IFERROR(SUM(Y106:Y112),"0")</f>
        <v>0</v>
      </c>
      <c r="Z114" s="37"/>
      <c r="AA114" s="638"/>
      <c r="AB114" s="638"/>
      <c r="AC114" s="638"/>
    </row>
    <row r="115" spans="1:68" ht="14.25" hidden="1" customHeight="1" x14ac:dyDescent="0.25">
      <c r="A115" s="648" t="s">
        <v>155</v>
      </c>
      <c r="B115" s="647"/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  <c r="Y115" s="647"/>
      <c r="Z115" s="647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41">
        <v>4680115881488</v>
      </c>
      <c r="E116" s="642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2"/>
      <c r="R116" s="652"/>
      <c r="S116" s="652"/>
      <c r="T116" s="653"/>
      <c r="U116" s="34"/>
      <c r="V116" s="34"/>
      <c r="W116" s="35" t="s">
        <v>67</v>
      </c>
      <c r="X116" s="635">
        <v>4</v>
      </c>
      <c r="Y116" s="636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4.1518518518518519</v>
      </c>
      <c r="BN116" s="64">
        <f>IFERROR(Y116*I116/H116,"0")</f>
        <v>11.21</v>
      </c>
      <c r="BO116" s="64">
        <f>IFERROR(1/J116*(X116/H116),"0")</f>
        <v>5.7870370370370367E-3</v>
      </c>
      <c r="BP116" s="64">
        <f>IFERROR(1/J116*(Y116/H116),"0")</f>
        <v>1.5625E-2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1">
        <v>4680115887664</v>
      </c>
      <c r="E117" s="642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2"/>
      <c r="R117" s="652"/>
      <c r="S117" s="652"/>
      <c r="T117" s="653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1">
        <v>4680115887664</v>
      </c>
      <c r="E118" s="642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2"/>
      <c r="R118" s="652"/>
      <c r="S118" s="652"/>
      <c r="T118" s="653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1">
        <v>4680115882775</v>
      </c>
      <c r="E119" s="642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2"/>
      <c r="R119" s="652"/>
      <c r="S119" s="652"/>
      <c r="T119" s="653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233</v>
      </c>
      <c r="B120" s="54" t="s">
        <v>234</v>
      </c>
      <c r="C120" s="31">
        <v>4301020392</v>
      </c>
      <c r="D120" s="641">
        <v>4680115880658</v>
      </c>
      <c r="E120" s="642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2"/>
      <c r="R120" s="652"/>
      <c r="S120" s="652"/>
      <c r="T120" s="653"/>
      <c r="U120" s="34"/>
      <c r="V120" s="34"/>
      <c r="W120" s="35" t="s">
        <v>67</v>
      </c>
      <c r="X120" s="635">
        <v>14</v>
      </c>
      <c r="Y120" s="636">
        <f>IFERROR(IF(X120="",0,CEILING((X120/$H120),1)*$H120),"")</f>
        <v>14.399999999999999</v>
      </c>
      <c r="Z120" s="36">
        <f>IFERROR(IF(Y120=0,"",ROUNDUP(Y120/H120,0)*0.00651),"")</f>
        <v>3.9059999999999997E-2</v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15.050000000000002</v>
      </c>
      <c r="BN120" s="64">
        <f>IFERROR(Y120*I120/H120,"0")</f>
        <v>15.479999999999999</v>
      </c>
      <c r="BO120" s="64">
        <f>IFERROR(1/J120*(X120/H120),"0")</f>
        <v>3.2051282051282055E-2</v>
      </c>
      <c r="BP120" s="64">
        <f>IFERROR(1/J120*(Y120/H120),"0")</f>
        <v>3.2967032967032968E-2</v>
      </c>
    </row>
    <row r="121" spans="1:68" x14ac:dyDescent="0.2">
      <c r="A121" s="649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50"/>
      <c r="P121" s="643" t="s">
        <v>69</v>
      </c>
      <c r="Q121" s="644"/>
      <c r="R121" s="644"/>
      <c r="S121" s="644"/>
      <c r="T121" s="644"/>
      <c r="U121" s="644"/>
      <c r="V121" s="645"/>
      <c r="W121" s="37" t="s">
        <v>70</v>
      </c>
      <c r="X121" s="637">
        <f>IFERROR(X116/H116,"0")+IFERROR(X117/H117,"0")+IFERROR(X118/H118,"0")+IFERROR(X119/H119,"0")+IFERROR(X120/H120,"0")</f>
        <v>6.2037037037037042</v>
      </c>
      <c r="Y121" s="637">
        <f>IFERROR(Y116/H116,"0")+IFERROR(Y117/H117,"0")+IFERROR(Y118/H118,"0")+IFERROR(Y119/H119,"0")+IFERROR(Y120/H120,"0")</f>
        <v>7</v>
      </c>
      <c r="Z121" s="637">
        <f>IFERROR(IF(Z116="",0,Z116),"0")+IFERROR(IF(Z117="",0,Z117),"0")+IFERROR(IF(Z118="",0,Z118),"0")+IFERROR(IF(Z119="",0,Z119),"0")+IFERROR(IF(Z120="",0,Z120),"0")</f>
        <v>5.8039999999999994E-2</v>
      </c>
      <c r="AA121" s="638"/>
      <c r="AB121" s="638"/>
      <c r="AC121" s="638"/>
    </row>
    <row r="122" spans="1:68" x14ac:dyDescent="0.2">
      <c r="A122" s="647"/>
      <c r="B122" s="647"/>
      <c r="C122" s="647"/>
      <c r="D122" s="647"/>
      <c r="E122" s="647"/>
      <c r="F122" s="647"/>
      <c r="G122" s="647"/>
      <c r="H122" s="647"/>
      <c r="I122" s="647"/>
      <c r="J122" s="647"/>
      <c r="K122" s="647"/>
      <c r="L122" s="647"/>
      <c r="M122" s="647"/>
      <c r="N122" s="647"/>
      <c r="O122" s="650"/>
      <c r="P122" s="643" t="s">
        <v>69</v>
      </c>
      <c r="Q122" s="644"/>
      <c r="R122" s="644"/>
      <c r="S122" s="644"/>
      <c r="T122" s="644"/>
      <c r="U122" s="644"/>
      <c r="V122" s="645"/>
      <c r="W122" s="37" t="s">
        <v>67</v>
      </c>
      <c r="X122" s="637">
        <f>IFERROR(SUM(X116:X120),"0")</f>
        <v>18</v>
      </c>
      <c r="Y122" s="637">
        <f>IFERROR(SUM(Y116:Y120),"0")</f>
        <v>25.2</v>
      </c>
      <c r="Z122" s="37"/>
      <c r="AA122" s="638"/>
      <c r="AB122" s="638"/>
      <c r="AC122" s="638"/>
    </row>
    <row r="123" spans="1:68" ht="14.25" hidden="1" customHeight="1" x14ac:dyDescent="0.25">
      <c r="A123" s="648" t="s">
        <v>71</v>
      </c>
      <c r="B123" s="647"/>
      <c r="C123" s="647"/>
      <c r="D123" s="647"/>
      <c r="E123" s="647"/>
      <c r="F123" s="647"/>
      <c r="G123" s="647"/>
      <c r="H123" s="647"/>
      <c r="I123" s="647"/>
      <c r="J123" s="647"/>
      <c r="K123" s="647"/>
      <c r="L123" s="647"/>
      <c r="M123" s="647"/>
      <c r="N123" s="647"/>
      <c r="O123" s="647"/>
      <c r="P123" s="647"/>
      <c r="Q123" s="647"/>
      <c r="R123" s="647"/>
      <c r="S123" s="647"/>
      <c r="T123" s="647"/>
      <c r="U123" s="647"/>
      <c r="V123" s="647"/>
      <c r="W123" s="647"/>
      <c r="X123" s="647"/>
      <c r="Y123" s="647"/>
      <c r="Z123" s="647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41">
        <v>4607091385168</v>
      </c>
      <c r="E124" s="642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9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2"/>
      <c r="R124" s="652"/>
      <c r="S124" s="652"/>
      <c r="T124" s="653"/>
      <c r="U124" s="34"/>
      <c r="V124" s="34"/>
      <c r="W124" s="35" t="s">
        <v>67</v>
      </c>
      <c r="X124" s="635">
        <v>38</v>
      </c>
      <c r="Y124" s="636">
        <f>IFERROR(IF(X124="",0,CEILING((X124/$H124),1)*$H124),"")</f>
        <v>40.5</v>
      </c>
      <c r="Z124" s="36">
        <f>IFERROR(IF(Y124=0,"",ROUNDUP(Y124/H124,0)*0.01898),"")</f>
        <v>9.4899999999999998E-2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40.289382716049381</v>
      </c>
      <c r="BN124" s="64">
        <f>IFERROR(Y124*I124/H124,"0")</f>
        <v>42.94</v>
      </c>
      <c r="BO124" s="64">
        <f>IFERROR(1/J124*(X124/H124),"0")</f>
        <v>7.3302469135802475E-2</v>
      </c>
      <c r="BP124" s="64">
        <f>IFERROR(1/J124*(Y124/H124),"0")</f>
        <v>7.8125E-2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1">
        <v>4607091383256</v>
      </c>
      <c r="E125" s="642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0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2"/>
      <c r="R125" s="652"/>
      <c r="S125" s="652"/>
      <c r="T125" s="653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41">
        <v>4607091385748</v>
      </c>
      <c r="E126" s="642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2"/>
      <c r="R126" s="652"/>
      <c r="S126" s="652"/>
      <c r="T126" s="653"/>
      <c r="U126" s="34"/>
      <c r="V126" s="34"/>
      <c r="W126" s="35" t="s">
        <v>67</v>
      </c>
      <c r="X126" s="635">
        <v>9</v>
      </c>
      <c r="Y126" s="636">
        <f>IFERROR(IF(X126="",0,CEILING((X126/$H126),1)*$H126),"")</f>
        <v>10.8</v>
      </c>
      <c r="Z126" s="36">
        <f>IFERROR(IF(Y126=0,"",ROUNDUP(Y126/H126,0)*0.00651),"")</f>
        <v>2.6040000000000001E-2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9.8399999999999981</v>
      </c>
      <c r="BN126" s="64">
        <f>IFERROR(Y126*I126/H126,"0")</f>
        <v>11.808</v>
      </c>
      <c r="BO126" s="64">
        <f>IFERROR(1/J126*(X126/H126),"0")</f>
        <v>1.8315018315018316E-2</v>
      </c>
      <c r="BP126" s="64">
        <f>IFERROR(1/J126*(Y126/H126),"0")</f>
        <v>2.197802197802198E-2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1">
        <v>4680115884533</v>
      </c>
      <c r="E127" s="642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2"/>
      <c r="R127" s="652"/>
      <c r="S127" s="652"/>
      <c r="T127" s="653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49"/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50"/>
      <c r="P128" s="643" t="s">
        <v>69</v>
      </c>
      <c r="Q128" s="644"/>
      <c r="R128" s="644"/>
      <c r="S128" s="644"/>
      <c r="T128" s="644"/>
      <c r="U128" s="644"/>
      <c r="V128" s="645"/>
      <c r="W128" s="37" t="s">
        <v>70</v>
      </c>
      <c r="X128" s="637">
        <f>IFERROR(X124/H124,"0")+IFERROR(X125/H125,"0")+IFERROR(X126/H126,"0")+IFERROR(X127/H127,"0")</f>
        <v>8.0246913580246915</v>
      </c>
      <c r="Y128" s="637">
        <f>IFERROR(Y124/H124,"0")+IFERROR(Y125/H125,"0")+IFERROR(Y126/H126,"0")+IFERROR(Y127/H127,"0")</f>
        <v>9</v>
      </c>
      <c r="Z128" s="637">
        <f>IFERROR(IF(Z124="",0,Z124),"0")+IFERROR(IF(Z125="",0,Z125),"0")+IFERROR(IF(Z126="",0,Z126),"0")+IFERROR(IF(Z127="",0,Z127),"0")</f>
        <v>0.12093999999999999</v>
      </c>
      <c r="AA128" s="638"/>
      <c r="AB128" s="638"/>
      <c r="AC128" s="638"/>
    </row>
    <row r="129" spans="1:68" x14ac:dyDescent="0.2">
      <c r="A129" s="647"/>
      <c r="B129" s="647"/>
      <c r="C129" s="647"/>
      <c r="D129" s="647"/>
      <c r="E129" s="647"/>
      <c r="F129" s="647"/>
      <c r="G129" s="647"/>
      <c r="H129" s="647"/>
      <c r="I129" s="647"/>
      <c r="J129" s="647"/>
      <c r="K129" s="647"/>
      <c r="L129" s="647"/>
      <c r="M129" s="647"/>
      <c r="N129" s="647"/>
      <c r="O129" s="650"/>
      <c r="P129" s="643" t="s">
        <v>69</v>
      </c>
      <c r="Q129" s="644"/>
      <c r="R129" s="644"/>
      <c r="S129" s="644"/>
      <c r="T129" s="644"/>
      <c r="U129" s="644"/>
      <c r="V129" s="645"/>
      <c r="W129" s="37" t="s">
        <v>67</v>
      </c>
      <c r="X129" s="637">
        <f>IFERROR(SUM(X124:X127),"0")</f>
        <v>47</v>
      </c>
      <c r="Y129" s="637">
        <f>IFERROR(SUM(Y124:Y127),"0")</f>
        <v>51.3</v>
      </c>
      <c r="Z129" s="37"/>
      <c r="AA129" s="638"/>
      <c r="AB129" s="638"/>
      <c r="AC129" s="638"/>
    </row>
    <row r="130" spans="1:68" ht="14.25" hidden="1" customHeight="1" x14ac:dyDescent="0.25">
      <c r="A130" s="648" t="s">
        <v>173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41">
        <v>4680115880238</v>
      </c>
      <c r="E131" s="642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2"/>
      <c r="R131" s="652"/>
      <c r="S131" s="652"/>
      <c r="T131" s="653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49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50"/>
      <c r="P132" s="643" t="s">
        <v>69</v>
      </c>
      <c r="Q132" s="644"/>
      <c r="R132" s="644"/>
      <c r="S132" s="644"/>
      <c r="T132" s="644"/>
      <c r="U132" s="644"/>
      <c r="V132" s="645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7"/>
      <c r="B133" s="647"/>
      <c r="C133" s="647"/>
      <c r="D133" s="647"/>
      <c r="E133" s="647"/>
      <c r="F133" s="647"/>
      <c r="G133" s="647"/>
      <c r="H133" s="647"/>
      <c r="I133" s="647"/>
      <c r="J133" s="647"/>
      <c r="K133" s="647"/>
      <c r="L133" s="647"/>
      <c r="M133" s="647"/>
      <c r="N133" s="647"/>
      <c r="O133" s="650"/>
      <c r="P133" s="643" t="s">
        <v>69</v>
      </c>
      <c r="Q133" s="644"/>
      <c r="R133" s="644"/>
      <c r="S133" s="644"/>
      <c r="T133" s="644"/>
      <c r="U133" s="644"/>
      <c r="V133" s="645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46" t="s">
        <v>248</v>
      </c>
      <c r="B134" s="647"/>
      <c r="C134" s="647"/>
      <c r="D134" s="647"/>
      <c r="E134" s="647"/>
      <c r="F134" s="647"/>
      <c r="G134" s="647"/>
      <c r="H134" s="647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  <c r="T134" s="647"/>
      <c r="U134" s="647"/>
      <c r="V134" s="647"/>
      <c r="W134" s="647"/>
      <c r="X134" s="647"/>
      <c r="Y134" s="647"/>
      <c r="Z134" s="647"/>
      <c r="AA134" s="630"/>
      <c r="AB134" s="630"/>
      <c r="AC134" s="630"/>
    </row>
    <row r="135" spans="1:68" ht="14.25" hidden="1" customHeight="1" x14ac:dyDescent="0.25">
      <c r="A135" s="648" t="s">
        <v>119</v>
      </c>
      <c r="B135" s="647"/>
      <c r="C135" s="647"/>
      <c r="D135" s="647"/>
      <c r="E135" s="647"/>
      <c r="F135" s="647"/>
      <c r="G135" s="647"/>
      <c r="H135" s="647"/>
      <c r="I135" s="647"/>
      <c r="J135" s="647"/>
      <c r="K135" s="647"/>
      <c r="L135" s="647"/>
      <c r="M135" s="647"/>
      <c r="N135" s="647"/>
      <c r="O135" s="647"/>
      <c r="P135" s="647"/>
      <c r="Q135" s="647"/>
      <c r="R135" s="647"/>
      <c r="S135" s="647"/>
      <c r="T135" s="647"/>
      <c r="U135" s="647"/>
      <c r="V135" s="647"/>
      <c r="W135" s="647"/>
      <c r="X135" s="647"/>
      <c r="Y135" s="647"/>
      <c r="Z135" s="647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41">
        <v>4680115882577</v>
      </c>
      <c r="E136" s="642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2"/>
      <c r="R136" s="652"/>
      <c r="S136" s="652"/>
      <c r="T136" s="653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1">
        <v>4680115882577</v>
      </c>
      <c r="E137" s="642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2"/>
      <c r="R137" s="652"/>
      <c r="S137" s="652"/>
      <c r="T137" s="653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9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50"/>
      <c r="P138" s="643" t="s">
        <v>69</v>
      </c>
      <c r="Q138" s="644"/>
      <c r="R138" s="644"/>
      <c r="S138" s="644"/>
      <c r="T138" s="644"/>
      <c r="U138" s="644"/>
      <c r="V138" s="645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50"/>
      <c r="P139" s="643" t="s">
        <v>69</v>
      </c>
      <c r="Q139" s="644"/>
      <c r="R139" s="644"/>
      <c r="S139" s="644"/>
      <c r="T139" s="644"/>
      <c r="U139" s="644"/>
      <c r="V139" s="645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8" t="s">
        <v>62</v>
      </c>
      <c r="B140" s="647"/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7"/>
      <c r="N140" s="647"/>
      <c r="O140" s="647"/>
      <c r="P140" s="647"/>
      <c r="Q140" s="647"/>
      <c r="R140" s="647"/>
      <c r="S140" s="647"/>
      <c r="T140" s="647"/>
      <c r="U140" s="647"/>
      <c r="V140" s="647"/>
      <c r="W140" s="647"/>
      <c r="X140" s="647"/>
      <c r="Y140" s="647"/>
      <c r="Z140" s="647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41">
        <v>4680115883444</v>
      </c>
      <c r="E141" s="642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2"/>
      <c r="R141" s="652"/>
      <c r="S141" s="652"/>
      <c r="T141" s="653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1">
        <v>4680115883444</v>
      </c>
      <c r="E142" s="642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2"/>
      <c r="R142" s="652"/>
      <c r="S142" s="652"/>
      <c r="T142" s="653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49"/>
      <c r="B143" s="647"/>
      <c r="C143" s="647"/>
      <c r="D143" s="647"/>
      <c r="E143" s="647"/>
      <c r="F143" s="647"/>
      <c r="G143" s="647"/>
      <c r="H143" s="647"/>
      <c r="I143" s="647"/>
      <c r="J143" s="647"/>
      <c r="K143" s="647"/>
      <c r="L143" s="647"/>
      <c r="M143" s="647"/>
      <c r="N143" s="647"/>
      <c r="O143" s="650"/>
      <c r="P143" s="643" t="s">
        <v>69</v>
      </c>
      <c r="Q143" s="644"/>
      <c r="R143" s="644"/>
      <c r="S143" s="644"/>
      <c r="T143" s="644"/>
      <c r="U143" s="644"/>
      <c r="V143" s="645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50"/>
      <c r="P144" s="643" t="s">
        <v>69</v>
      </c>
      <c r="Q144" s="644"/>
      <c r="R144" s="644"/>
      <c r="S144" s="644"/>
      <c r="T144" s="644"/>
      <c r="U144" s="644"/>
      <c r="V144" s="645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48" t="s">
        <v>71</v>
      </c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7"/>
      <c r="P145" s="647"/>
      <c r="Q145" s="647"/>
      <c r="R145" s="647"/>
      <c r="S145" s="647"/>
      <c r="T145" s="647"/>
      <c r="U145" s="647"/>
      <c r="V145" s="647"/>
      <c r="W145" s="647"/>
      <c r="X145" s="647"/>
      <c r="Y145" s="647"/>
      <c r="Z145" s="647"/>
      <c r="AA145" s="631"/>
      <c r="AB145" s="631"/>
      <c r="AC145" s="631"/>
    </row>
    <row r="146" spans="1:68" ht="16.5" customHeight="1" x14ac:dyDescent="0.25">
      <c r="A146" s="54" t="s">
        <v>258</v>
      </c>
      <c r="B146" s="54" t="s">
        <v>259</v>
      </c>
      <c r="C146" s="31">
        <v>4301051476</v>
      </c>
      <c r="D146" s="641">
        <v>4680115882584</v>
      </c>
      <c r="E146" s="642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2"/>
      <c r="R146" s="652"/>
      <c r="S146" s="652"/>
      <c r="T146" s="653"/>
      <c r="U146" s="34"/>
      <c r="V146" s="34"/>
      <c r="W146" s="35" t="s">
        <v>67</v>
      </c>
      <c r="X146" s="635">
        <v>77</v>
      </c>
      <c r="Y146" s="636">
        <f>IFERROR(IF(X146="",0,CEILING((X146/$H146),1)*$H146),"")</f>
        <v>79.2</v>
      </c>
      <c r="Z146" s="36">
        <f>IFERROR(IF(Y146=0,"",ROUNDUP(Y146/H146,0)*0.00651),"")</f>
        <v>0.1953</v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84.816666666666663</v>
      </c>
      <c r="BN146" s="64">
        <f>IFERROR(Y146*I146/H146,"0")</f>
        <v>87.24</v>
      </c>
      <c r="BO146" s="64">
        <f>IFERROR(1/J146*(X146/H146),"0")</f>
        <v>0.16025641025641024</v>
      </c>
      <c r="BP146" s="64">
        <f>IFERROR(1/J146*(Y146/H146),"0")</f>
        <v>0.16483516483516486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1">
        <v>4680115882584</v>
      </c>
      <c r="E147" s="642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2"/>
      <c r="R147" s="652"/>
      <c r="S147" s="652"/>
      <c r="T147" s="653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49"/>
      <c r="B148" s="647"/>
      <c r="C148" s="647"/>
      <c r="D148" s="647"/>
      <c r="E148" s="647"/>
      <c r="F148" s="647"/>
      <c r="G148" s="647"/>
      <c r="H148" s="647"/>
      <c r="I148" s="647"/>
      <c r="J148" s="647"/>
      <c r="K148" s="647"/>
      <c r="L148" s="647"/>
      <c r="M148" s="647"/>
      <c r="N148" s="647"/>
      <c r="O148" s="650"/>
      <c r="P148" s="643" t="s">
        <v>69</v>
      </c>
      <c r="Q148" s="644"/>
      <c r="R148" s="644"/>
      <c r="S148" s="644"/>
      <c r="T148" s="644"/>
      <c r="U148" s="644"/>
      <c r="V148" s="645"/>
      <c r="W148" s="37" t="s">
        <v>70</v>
      </c>
      <c r="X148" s="637">
        <f>IFERROR(X146/H146,"0")+IFERROR(X147/H147,"0")</f>
        <v>29.166666666666664</v>
      </c>
      <c r="Y148" s="637">
        <f>IFERROR(Y146/H146,"0")+IFERROR(Y147/H147,"0")</f>
        <v>30</v>
      </c>
      <c r="Z148" s="637">
        <f>IFERROR(IF(Z146="",0,Z146),"0")+IFERROR(IF(Z147="",0,Z147),"0")</f>
        <v>0.1953</v>
      </c>
      <c r="AA148" s="638"/>
      <c r="AB148" s="638"/>
      <c r="AC148" s="638"/>
    </row>
    <row r="149" spans="1:68" x14ac:dyDescent="0.2">
      <c r="A149" s="647"/>
      <c r="B149" s="647"/>
      <c r="C149" s="647"/>
      <c r="D149" s="647"/>
      <c r="E149" s="647"/>
      <c r="F149" s="647"/>
      <c r="G149" s="647"/>
      <c r="H149" s="647"/>
      <c r="I149" s="647"/>
      <c r="J149" s="647"/>
      <c r="K149" s="647"/>
      <c r="L149" s="647"/>
      <c r="M149" s="647"/>
      <c r="N149" s="647"/>
      <c r="O149" s="650"/>
      <c r="P149" s="643" t="s">
        <v>69</v>
      </c>
      <c r="Q149" s="644"/>
      <c r="R149" s="644"/>
      <c r="S149" s="644"/>
      <c r="T149" s="644"/>
      <c r="U149" s="644"/>
      <c r="V149" s="645"/>
      <c r="W149" s="37" t="s">
        <v>67</v>
      </c>
      <c r="X149" s="637">
        <f>IFERROR(SUM(X146:X147),"0")</f>
        <v>77</v>
      </c>
      <c r="Y149" s="637">
        <f>IFERROR(SUM(Y146:Y147),"0")</f>
        <v>79.2</v>
      </c>
      <c r="Z149" s="37"/>
      <c r="AA149" s="638"/>
      <c r="AB149" s="638"/>
      <c r="AC149" s="638"/>
    </row>
    <row r="150" spans="1:68" ht="16.5" hidden="1" customHeight="1" x14ac:dyDescent="0.25">
      <c r="A150" s="646" t="s">
        <v>261</v>
      </c>
      <c r="B150" s="647"/>
      <c r="C150" s="647"/>
      <c r="D150" s="647"/>
      <c r="E150" s="647"/>
      <c r="F150" s="647"/>
      <c r="G150" s="647"/>
      <c r="H150" s="647"/>
      <c r="I150" s="647"/>
      <c r="J150" s="647"/>
      <c r="K150" s="647"/>
      <c r="L150" s="647"/>
      <c r="M150" s="647"/>
      <c r="N150" s="647"/>
      <c r="O150" s="647"/>
      <c r="P150" s="647"/>
      <c r="Q150" s="647"/>
      <c r="R150" s="647"/>
      <c r="S150" s="647"/>
      <c r="T150" s="647"/>
      <c r="U150" s="647"/>
      <c r="V150" s="647"/>
      <c r="W150" s="647"/>
      <c r="X150" s="647"/>
      <c r="Y150" s="647"/>
      <c r="Z150" s="647"/>
      <c r="AA150" s="630"/>
      <c r="AB150" s="630"/>
      <c r="AC150" s="630"/>
    </row>
    <row r="151" spans="1:68" ht="14.25" hidden="1" customHeight="1" x14ac:dyDescent="0.25">
      <c r="A151" s="648" t="s">
        <v>71</v>
      </c>
      <c r="B151" s="647"/>
      <c r="C151" s="647"/>
      <c r="D151" s="647"/>
      <c r="E151" s="647"/>
      <c r="F151" s="647"/>
      <c r="G151" s="647"/>
      <c r="H151" s="647"/>
      <c r="I151" s="647"/>
      <c r="J151" s="647"/>
      <c r="K151" s="647"/>
      <c r="L151" s="647"/>
      <c r="M151" s="647"/>
      <c r="N151" s="647"/>
      <c r="O151" s="647"/>
      <c r="P151" s="647"/>
      <c r="Q151" s="647"/>
      <c r="R151" s="647"/>
      <c r="S151" s="647"/>
      <c r="T151" s="647"/>
      <c r="U151" s="647"/>
      <c r="V151" s="647"/>
      <c r="W151" s="647"/>
      <c r="X151" s="647"/>
      <c r="Y151" s="647"/>
      <c r="Z151" s="647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1">
        <v>4680115888203</v>
      </c>
      <c r="E152" s="642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2"/>
      <c r="R152" s="652"/>
      <c r="S152" s="652"/>
      <c r="T152" s="653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1">
        <v>4680115888180</v>
      </c>
      <c r="E153" s="642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2"/>
      <c r="R153" s="652"/>
      <c r="S153" s="652"/>
      <c r="T153" s="653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1">
        <v>4680115888197</v>
      </c>
      <c r="E154" s="642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2"/>
      <c r="R154" s="652"/>
      <c r="S154" s="652"/>
      <c r="T154" s="653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1">
        <v>4680115888210</v>
      </c>
      <c r="E155" s="642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2"/>
      <c r="R155" s="652"/>
      <c r="S155" s="652"/>
      <c r="T155" s="653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49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50"/>
      <c r="P156" s="643" t="s">
        <v>69</v>
      </c>
      <c r="Q156" s="644"/>
      <c r="R156" s="644"/>
      <c r="S156" s="644"/>
      <c r="T156" s="644"/>
      <c r="U156" s="644"/>
      <c r="V156" s="645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7"/>
      <c r="B157" s="647"/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7"/>
      <c r="O157" s="650"/>
      <c r="P157" s="643" t="s">
        <v>69</v>
      </c>
      <c r="Q157" s="644"/>
      <c r="R157" s="644"/>
      <c r="S157" s="644"/>
      <c r="T157" s="644"/>
      <c r="U157" s="644"/>
      <c r="V157" s="645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8" t="s">
        <v>89</v>
      </c>
      <c r="B158" s="647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  <c r="Y158" s="647"/>
      <c r="Z158" s="647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1">
        <v>4680115889132</v>
      </c>
      <c r="E159" s="642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2"/>
      <c r="R159" s="652"/>
      <c r="S159" s="652"/>
      <c r="T159" s="653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49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50"/>
      <c r="P160" s="643" t="s">
        <v>69</v>
      </c>
      <c r="Q160" s="644"/>
      <c r="R160" s="644"/>
      <c r="S160" s="644"/>
      <c r="T160" s="644"/>
      <c r="U160" s="644"/>
      <c r="V160" s="645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7"/>
      <c r="B161" s="647"/>
      <c r="C161" s="647"/>
      <c r="D161" s="647"/>
      <c r="E161" s="647"/>
      <c r="F161" s="647"/>
      <c r="G161" s="647"/>
      <c r="H161" s="647"/>
      <c r="I161" s="647"/>
      <c r="J161" s="647"/>
      <c r="K161" s="647"/>
      <c r="L161" s="647"/>
      <c r="M161" s="647"/>
      <c r="N161" s="647"/>
      <c r="O161" s="650"/>
      <c r="P161" s="643" t="s">
        <v>69</v>
      </c>
      <c r="Q161" s="644"/>
      <c r="R161" s="644"/>
      <c r="S161" s="644"/>
      <c r="T161" s="644"/>
      <c r="U161" s="644"/>
      <c r="V161" s="645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6" t="s">
        <v>117</v>
      </c>
      <c r="B162" s="647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7"/>
      <c r="O162" s="647"/>
      <c r="P162" s="647"/>
      <c r="Q162" s="647"/>
      <c r="R162" s="647"/>
      <c r="S162" s="647"/>
      <c r="T162" s="647"/>
      <c r="U162" s="647"/>
      <c r="V162" s="647"/>
      <c r="W162" s="647"/>
      <c r="X162" s="647"/>
      <c r="Y162" s="647"/>
      <c r="Z162" s="647"/>
      <c r="AA162" s="630"/>
      <c r="AB162" s="630"/>
      <c r="AC162" s="630"/>
    </row>
    <row r="163" spans="1:68" ht="14.25" hidden="1" customHeight="1" x14ac:dyDescent="0.25">
      <c r="A163" s="648" t="s">
        <v>119</v>
      </c>
      <c r="B163" s="647"/>
      <c r="C163" s="647"/>
      <c r="D163" s="647"/>
      <c r="E163" s="647"/>
      <c r="F163" s="647"/>
      <c r="G163" s="647"/>
      <c r="H163" s="647"/>
      <c r="I163" s="647"/>
      <c r="J163" s="647"/>
      <c r="K163" s="647"/>
      <c r="L163" s="647"/>
      <c r="M163" s="647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  <c r="Y163" s="647"/>
      <c r="Z163" s="647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1">
        <v>4680115887374</v>
      </c>
      <c r="E164" s="642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2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2"/>
      <c r="R164" s="652"/>
      <c r="S164" s="652"/>
      <c r="T164" s="653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1">
        <v>4607091384604</v>
      </c>
      <c r="E165" s="642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2"/>
      <c r="R165" s="652"/>
      <c r="S165" s="652"/>
      <c r="T165" s="653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1">
        <v>4607091384604</v>
      </c>
      <c r="E166" s="642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2"/>
      <c r="R166" s="652"/>
      <c r="S166" s="652"/>
      <c r="T166" s="653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1">
        <v>4680115888876</v>
      </c>
      <c r="E167" s="642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6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2"/>
      <c r="R167" s="652"/>
      <c r="S167" s="652"/>
      <c r="T167" s="653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49"/>
      <c r="B168" s="647"/>
      <c r="C168" s="647"/>
      <c r="D168" s="647"/>
      <c r="E168" s="647"/>
      <c r="F168" s="647"/>
      <c r="G168" s="647"/>
      <c r="H168" s="647"/>
      <c r="I168" s="647"/>
      <c r="J168" s="647"/>
      <c r="K168" s="647"/>
      <c r="L168" s="647"/>
      <c r="M168" s="647"/>
      <c r="N168" s="647"/>
      <c r="O168" s="650"/>
      <c r="P168" s="643" t="s">
        <v>69</v>
      </c>
      <c r="Q168" s="644"/>
      <c r="R168" s="644"/>
      <c r="S168" s="644"/>
      <c r="T168" s="644"/>
      <c r="U168" s="644"/>
      <c r="V168" s="645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7"/>
      <c r="B169" s="647"/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7"/>
      <c r="O169" s="650"/>
      <c r="P169" s="643" t="s">
        <v>69</v>
      </c>
      <c r="Q169" s="644"/>
      <c r="R169" s="644"/>
      <c r="S169" s="644"/>
      <c r="T169" s="644"/>
      <c r="U169" s="644"/>
      <c r="V169" s="645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8" t="s">
        <v>155</v>
      </c>
      <c r="B170" s="647"/>
      <c r="C170" s="647"/>
      <c r="D170" s="647"/>
      <c r="E170" s="647"/>
      <c r="F170" s="647"/>
      <c r="G170" s="647"/>
      <c r="H170" s="647"/>
      <c r="I170" s="647"/>
      <c r="J170" s="647"/>
      <c r="K170" s="647"/>
      <c r="L170" s="647"/>
      <c r="M170" s="647"/>
      <c r="N170" s="647"/>
      <c r="O170" s="647"/>
      <c r="P170" s="647"/>
      <c r="Q170" s="647"/>
      <c r="R170" s="647"/>
      <c r="S170" s="647"/>
      <c r="T170" s="647"/>
      <c r="U170" s="647"/>
      <c r="V170" s="647"/>
      <c r="W170" s="647"/>
      <c r="X170" s="647"/>
      <c r="Y170" s="647"/>
      <c r="Z170" s="647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1">
        <v>4680115887695</v>
      </c>
      <c r="E171" s="642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2"/>
      <c r="R171" s="652"/>
      <c r="S171" s="652"/>
      <c r="T171" s="653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1">
        <v>4680115889491</v>
      </c>
      <c r="E172" s="642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2"/>
      <c r="R172" s="652"/>
      <c r="S172" s="652"/>
      <c r="T172" s="653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49"/>
      <c r="B173" s="647"/>
      <c r="C173" s="647"/>
      <c r="D173" s="647"/>
      <c r="E173" s="647"/>
      <c r="F173" s="647"/>
      <c r="G173" s="647"/>
      <c r="H173" s="647"/>
      <c r="I173" s="647"/>
      <c r="J173" s="647"/>
      <c r="K173" s="647"/>
      <c r="L173" s="647"/>
      <c r="M173" s="647"/>
      <c r="N173" s="647"/>
      <c r="O173" s="650"/>
      <c r="P173" s="643" t="s">
        <v>69</v>
      </c>
      <c r="Q173" s="644"/>
      <c r="R173" s="644"/>
      <c r="S173" s="644"/>
      <c r="T173" s="644"/>
      <c r="U173" s="644"/>
      <c r="V173" s="645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7"/>
      <c r="B174" s="647"/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/>
      <c r="O174" s="650"/>
      <c r="P174" s="643" t="s">
        <v>69</v>
      </c>
      <c r="Q174" s="644"/>
      <c r="R174" s="644"/>
      <c r="S174" s="644"/>
      <c r="T174" s="644"/>
      <c r="U174" s="644"/>
      <c r="V174" s="645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8" t="s">
        <v>62</v>
      </c>
      <c r="B175" s="647"/>
      <c r="C175" s="647"/>
      <c r="D175" s="647"/>
      <c r="E175" s="647"/>
      <c r="F175" s="647"/>
      <c r="G175" s="647"/>
      <c r="H175" s="647"/>
      <c r="I175" s="647"/>
      <c r="J175" s="647"/>
      <c r="K175" s="647"/>
      <c r="L175" s="647"/>
      <c r="M175" s="647"/>
      <c r="N175" s="647"/>
      <c r="O175" s="647"/>
      <c r="P175" s="647"/>
      <c r="Q175" s="647"/>
      <c r="R175" s="647"/>
      <c r="S175" s="647"/>
      <c r="T175" s="647"/>
      <c r="U175" s="647"/>
      <c r="V175" s="647"/>
      <c r="W175" s="647"/>
      <c r="X175" s="647"/>
      <c r="Y175" s="647"/>
      <c r="Z175" s="647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41">
        <v>4680115889613</v>
      </c>
      <c r="E176" s="642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89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2"/>
      <c r="R176" s="652"/>
      <c r="S176" s="652"/>
      <c r="T176" s="653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41">
        <v>4680115887428</v>
      </c>
      <c r="E177" s="642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2"/>
      <c r="R177" s="652"/>
      <c r="S177" s="652"/>
      <c r="T177" s="653"/>
      <c r="U177" s="34"/>
      <c r="V177" s="34"/>
      <c r="W177" s="35" t="s">
        <v>67</v>
      </c>
      <c r="X177" s="635">
        <v>39</v>
      </c>
      <c r="Y177" s="636">
        <f t="shared" si="15"/>
        <v>42</v>
      </c>
      <c r="Z177" s="36">
        <f>IFERROR(IF(Y177=0,"",ROUNDUP(Y177/H177,0)*0.00902),"")</f>
        <v>0.10824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41.117142857142859</v>
      </c>
      <c r="BN177" s="64">
        <f t="shared" si="17"/>
        <v>44.279999999999994</v>
      </c>
      <c r="BO177" s="64">
        <f t="shared" si="18"/>
        <v>8.4415584415584416E-2</v>
      </c>
      <c r="BP177" s="64">
        <f t="shared" si="19"/>
        <v>9.0909090909090912E-2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1">
        <v>4680115889170</v>
      </c>
      <c r="E178" s="642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2"/>
      <c r="R178" s="652"/>
      <c r="S178" s="652"/>
      <c r="T178" s="653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41">
        <v>4680115887398</v>
      </c>
      <c r="E179" s="642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2"/>
      <c r="R179" s="652"/>
      <c r="S179" s="652"/>
      <c r="T179" s="653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41">
        <v>4680115887336</v>
      </c>
      <c r="E180" s="642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2"/>
      <c r="R180" s="652"/>
      <c r="S180" s="652"/>
      <c r="T180" s="653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41">
        <v>4680115887787</v>
      </c>
      <c r="E181" s="642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2"/>
      <c r="R181" s="652"/>
      <c r="S181" s="652"/>
      <c r="T181" s="653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4301031448</v>
      </c>
      <c r="D182" s="641">
        <v>4680115887503</v>
      </c>
      <c r="E182" s="642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9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2"/>
      <c r="R182" s="652"/>
      <c r="S182" s="652"/>
      <c r="T182" s="653"/>
      <c r="U182" s="34"/>
      <c r="V182" s="34"/>
      <c r="W182" s="35" t="s">
        <v>67</v>
      </c>
      <c r="X182" s="635">
        <v>81</v>
      </c>
      <c r="Y182" s="636">
        <f t="shared" si="15"/>
        <v>82.32</v>
      </c>
      <c r="Z182" s="36">
        <f>IFERROR(IF(Y182=0,"",ROUNDUP(Y182/H182,0)*0.00502),"")</f>
        <v>0.24598</v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85.821428571428584</v>
      </c>
      <c r="BN182" s="64">
        <f t="shared" si="17"/>
        <v>87.22</v>
      </c>
      <c r="BO182" s="64">
        <f t="shared" si="18"/>
        <v>0.20604395604395606</v>
      </c>
      <c r="BP182" s="64">
        <f t="shared" si="19"/>
        <v>0.20940170940170943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41">
        <v>4680115887763</v>
      </c>
      <c r="E183" s="642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2"/>
      <c r="R183" s="652"/>
      <c r="S183" s="652"/>
      <c r="T183" s="653"/>
      <c r="U183" s="34"/>
      <c r="V183" s="34"/>
      <c r="W183" s="35" t="s">
        <v>67</v>
      </c>
      <c r="X183" s="635">
        <v>6</v>
      </c>
      <c r="Y183" s="636">
        <f t="shared" si="15"/>
        <v>6.3</v>
      </c>
      <c r="Z183" s="36">
        <f>IFERROR(IF(Y183=0,"",ROUNDUP(Y183/H183,0)*0.00417),"")</f>
        <v>2.9190000000000001E-2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7.4</v>
      </c>
      <c r="BN183" s="64">
        <f t="shared" si="17"/>
        <v>7.7700000000000005</v>
      </c>
      <c r="BO183" s="64">
        <f t="shared" si="18"/>
        <v>2.1367521367521364E-2</v>
      </c>
      <c r="BP183" s="64">
        <f t="shared" si="19"/>
        <v>2.2435897435897436E-2</v>
      </c>
    </row>
    <row r="184" spans="1:68" ht="27" customHeight="1" x14ac:dyDescent="0.25">
      <c r="A184" s="54" t="s">
        <v>316</v>
      </c>
      <c r="B184" s="54" t="s">
        <v>317</v>
      </c>
      <c r="C184" s="31">
        <v>4301031521</v>
      </c>
      <c r="D184" s="641">
        <v>4680115887480</v>
      </c>
      <c r="E184" s="642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2"/>
      <c r="R184" s="652"/>
      <c r="S184" s="652"/>
      <c r="T184" s="653"/>
      <c r="U184" s="34"/>
      <c r="V184" s="34"/>
      <c r="W184" s="35" t="s">
        <v>67</v>
      </c>
      <c r="X184" s="635">
        <v>62</v>
      </c>
      <c r="Y184" s="636">
        <f t="shared" si="15"/>
        <v>62.16</v>
      </c>
      <c r="Z184" s="36">
        <f>IFERROR(IF(Y184=0,"",ROUNDUP(Y184/H184,0)*0.00502),"")</f>
        <v>0.18574000000000002</v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65.69047619047619</v>
      </c>
      <c r="BN184" s="64">
        <f t="shared" si="17"/>
        <v>65.86</v>
      </c>
      <c r="BO184" s="64">
        <f t="shared" si="18"/>
        <v>0.15771265771265772</v>
      </c>
      <c r="BP184" s="64">
        <f t="shared" si="19"/>
        <v>0.15811965811965814</v>
      </c>
    </row>
    <row r="185" spans="1:68" ht="27" customHeight="1" x14ac:dyDescent="0.25">
      <c r="A185" s="54" t="s">
        <v>318</v>
      </c>
      <c r="B185" s="54" t="s">
        <v>319</v>
      </c>
      <c r="C185" s="31">
        <v>4301031434</v>
      </c>
      <c r="D185" s="641">
        <v>4680115888067</v>
      </c>
      <c r="E185" s="642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2"/>
      <c r="R185" s="652"/>
      <c r="S185" s="652"/>
      <c r="T185" s="653"/>
      <c r="U185" s="34"/>
      <c r="V185" s="34"/>
      <c r="W185" s="35" t="s">
        <v>67</v>
      </c>
      <c r="X185" s="635">
        <v>4</v>
      </c>
      <c r="Y185" s="636">
        <f t="shared" si="15"/>
        <v>4.5</v>
      </c>
      <c r="Z185" s="36">
        <f>IFERROR(IF(Y185=0,"",ROUNDUP(Y185/H185,0)*0.00417),"")</f>
        <v>2.085E-2</v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4.4444444444444446</v>
      </c>
      <c r="BN185" s="64">
        <f t="shared" si="17"/>
        <v>5</v>
      </c>
      <c r="BO185" s="64">
        <f t="shared" si="18"/>
        <v>1.4245014245014245E-2</v>
      </c>
      <c r="BP185" s="64">
        <f t="shared" si="19"/>
        <v>1.6025641025641024E-2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41">
        <v>4680115887435</v>
      </c>
      <c r="E186" s="642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2"/>
      <c r="R186" s="652"/>
      <c r="S186" s="652"/>
      <c r="T186" s="653"/>
      <c r="U186" s="34"/>
      <c r="V186" s="34"/>
      <c r="W186" s="35" t="s">
        <v>67</v>
      </c>
      <c r="X186" s="635">
        <v>104</v>
      </c>
      <c r="Y186" s="636">
        <f t="shared" si="15"/>
        <v>104.16</v>
      </c>
      <c r="Z186" s="36">
        <f>IFERROR(IF(Y186=0,"",ROUNDUP(Y186/H186,0)*0.00502),"")</f>
        <v>0.31124000000000002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110.1904761904762</v>
      </c>
      <c r="BN186" s="64">
        <f t="shared" si="17"/>
        <v>110.36</v>
      </c>
      <c r="BO186" s="64">
        <f t="shared" si="18"/>
        <v>0.26455026455026459</v>
      </c>
      <c r="BP186" s="64">
        <f t="shared" si="19"/>
        <v>0.26495726495726496</v>
      </c>
    </row>
    <row r="187" spans="1:68" x14ac:dyDescent="0.2">
      <c r="A187" s="649"/>
      <c r="B187" s="647"/>
      <c r="C187" s="647"/>
      <c r="D187" s="647"/>
      <c r="E187" s="647"/>
      <c r="F187" s="647"/>
      <c r="G187" s="647"/>
      <c r="H187" s="647"/>
      <c r="I187" s="647"/>
      <c r="J187" s="647"/>
      <c r="K187" s="647"/>
      <c r="L187" s="647"/>
      <c r="M187" s="647"/>
      <c r="N187" s="647"/>
      <c r="O187" s="650"/>
      <c r="P187" s="643" t="s">
        <v>69</v>
      </c>
      <c r="Q187" s="644"/>
      <c r="R187" s="644"/>
      <c r="S187" s="644"/>
      <c r="T187" s="644"/>
      <c r="U187" s="644"/>
      <c r="V187" s="645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169.2777777777778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172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0.90124000000000004</v>
      </c>
      <c r="AA187" s="638"/>
      <c r="AB187" s="638"/>
      <c r="AC187" s="638"/>
    </row>
    <row r="188" spans="1:68" x14ac:dyDescent="0.2">
      <c r="A188" s="647"/>
      <c r="B188" s="647"/>
      <c r="C188" s="647"/>
      <c r="D188" s="647"/>
      <c r="E188" s="647"/>
      <c r="F188" s="647"/>
      <c r="G188" s="647"/>
      <c r="H188" s="647"/>
      <c r="I188" s="647"/>
      <c r="J188" s="647"/>
      <c r="K188" s="647"/>
      <c r="L188" s="647"/>
      <c r="M188" s="647"/>
      <c r="N188" s="647"/>
      <c r="O188" s="650"/>
      <c r="P188" s="643" t="s">
        <v>69</v>
      </c>
      <c r="Q188" s="644"/>
      <c r="R188" s="644"/>
      <c r="S188" s="644"/>
      <c r="T188" s="644"/>
      <c r="U188" s="644"/>
      <c r="V188" s="645"/>
      <c r="W188" s="37" t="s">
        <v>67</v>
      </c>
      <c r="X188" s="637">
        <f>IFERROR(SUM(X176:X186),"0")</f>
        <v>296</v>
      </c>
      <c r="Y188" s="637">
        <f>IFERROR(SUM(Y176:Y186),"0")</f>
        <v>301.44</v>
      </c>
      <c r="Z188" s="37"/>
      <c r="AA188" s="638"/>
      <c r="AB188" s="638"/>
      <c r="AC188" s="638"/>
    </row>
    <row r="189" spans="1:68" ht="14.25" hidden="1" customHeight="1" x14ac:dyDescent="0.25">
      <c r="A189" s="648" t="s">
        <v>71</v>
      </c>
      <c r="B189" s="647"/>
      <c r="C189" s="647"/>
      <c r="D189" s="647"/>
      <c r="E189" s="647"/>
      <c r="F189" s="647"/>
      <c r="G189" s="647"/>
      <c r="H189" s="647"/>
      <c r="I189" s="647"/>
      <c r="J189" s="647"/>
      <c r="K189" s="647"/>
      <c r="L189" s="647"/>
      <c r="M189" s="647"/>
      <c r="N189" s="647"/>
      <c r="O189" s="647"/>
      <c r="P189" s="647"/>
      <c r="Q189" s="647"/>
      <c r="R189" s="647"/>
      <c r="S189" s="647"/>
      <c r="T189" s="647"/>
      <c r="U189" s="647"/>
      <c r="V189" s="647"/>
      <c r="W189" s="647"/>
      <c r="X189" s="647"/>
      <c r="Y189" s="647"/>
      <c r="Z189" s="647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1">
        <v>4680115888395</v>
      </c>
      <c r="E190" s="642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2"/>
      <c r="R190" s="652"/>
      <c r="S190" s="652"/>
      <c r="T190" s="653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1">
        <v>4680115888371</v>
      </c>
      <c r="E191" s="642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2"/>
      <c r="R191" s="652"/>
      <c r="S191" s="652"/>
      <c r="T191" s="653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49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50"/>
      <c r="P192" s="643" t="s">
        <v>69</v>
      </c>
      <c r="Q192" s="644"/>
      <c r="R192" s="644"/>
      <c r="S192" s="644"/>
      <c r="T192" s="644"/>
      <c r="U192" s="644"/>
      <c r="V192" s="645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7"/>
      <c r="B193" s="647"/>
      <c r="C193" s="647"/>
      <c r="D193" s="647"/>
      <c r="E193" s="647"/>
      <c r="F193" s="647"/>
      <c r="G193" s="647"/>
      <c r="H193" s="647"/>
      <c r="I193" s="647"/>
      <c r="J193" s="647"/>
      <c r="K193" s="647"/>
      <c r="L193" s="647"/>
      <c r="M193" s="647"/>
      <c r="N193" s="647"/>
      <c r="O193" s="650"/>
      <c r="P193" s="643" t="s">
        <v>69</v>
      </c>
      <c r="Q193" s="644"/>
      <c r="R193" s="644"/>
      <c r="S193" s="644"/>
      <c r="T193" s="644"/>
      <c r="U193" s="644"/>
      <c r="V193" s="645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8" t="s">
        <v>89</v>
      </c>
      <c r="B194" s="647"/>
      <c r="C194" s="647"/>
      <c r="D194" s="647"/>
      <c r="E194" s="647"/>
      <c r="F194" s="647"/>
      <c r="G194" s="647"/>
      <c r="H194" s="647"/>
      <c r="I194" s="647"/>
      <c r="J194" s="647"/>
      <c r="K194" s="647"/>
      <c r="L194" s="647"/>
      <c r="M194" s="647"/>
      <c r="N194" s="647"/>
      <c r="O194" s="647"/>
      <c r="P194" s="647"/>
      <c r="Q194" s="647"/>
      <c r="R194" s="647"/>
      <c r="S194" s="647"/>
      <c r="T194" s="647"/>
      <c r="U194" s="647"/>
      <c r="V194" s="647"/>
      <c r="W194" s="647"/>
      <c r="X194" s="647"/>
      <c r="Y194" s="647"/>
      <c r="Z194" s="647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1">
        <v>4680115889026</v>
      </c>
      <c r="E195" s="642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2"/>
      <c r="R195" s="652"/>
      <c r="S195" s="652"/>
      <c r="T195" s="653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49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50"/>
      <c r="P196" s="643" t="s">
        <v>69</v>
      </c>
      <c r="Q196" s="644"/>
      <c r="R196" s="644"/>
      <c r="S196" s="644"/>
      <c r="T196" s="644"/>
      <c r="U196" s="644"/>
      <c r="V196" s="645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7"/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50"/>
      <c r="P197" s="643" t="s">
        <v>69</v>
      </c>
      <c r="Q197" s="644"/>
      <c r="R197" s="644"/>
      <c r="S197" s="644"/>
      <c r="T197" s="644"/>
      <c r="U197" s="644"/>
      <c r="V197" s="645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8" t="s">
        <v>333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1">
        <v>4680115889033</v>
      </c>
      <c r="E199" s="642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7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2"/>
      <c r="R199" s="652"/>
      <c r="S199" s="652"/>
      <c r="T199" s="653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49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50"/>
      <c r="P200" s="643" t="s">
        <v>69</v>
      </c>
      <c r="Q200" s="644"/>
      <c r="R200" s="644"/>
      <c r="S200" s="644"/>
      <c r="T200" s="644"/>
      <c r="U200" s="644"/>
      <c r="V200" s="645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7"/>
      <c r="B201" s="647"/>
      <c r="C201" s="647"/>
      <c r="D201" s="647"/>
      <c r="E201" s="647"/>
      <c r="F201" s="647"/>
      <c r="G201" s="647"/>
      <c r="H201" s="647"/>
      <c r="I201" s="647"/>
      <c r="J201" s="647"/>
      <c r="K201" s="647"/>
      <c r="L201" s="647"/>
      <c r="M201" s="647"/>
      <c r="N201" s="647"/>
      <c r="O201" s="650"/>
      <c r="P201" s="643" t="s">
        <v>69</v>
      </c>
      <c r="Q201" s="644"/>
      <c r="R201" s="644"/>
      <c r="S201" s="644"/>
      <c r="T201" s="644"/>
      <c r="U201" s="644"/>
      <c r="V201" s="645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82" t="s">
        <v>337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48"/>
      <c r="AB202" s="48"/>
      <c r="AC202" s="48"/>
    </row>
    <row r="203" spans="1:68" ht="16.5" hidden="1" customHeight="1" x14ac:dyDescent="0.25">
      <c r="A203" s="646" t="s">
        <v>338</v>
      </c>
      <c r="B203" s="647"/>
      <c r="C203" s="647"/>
      <c r="D203" s="647"/>
      <c r="E203" s="647"/>
      <c r="F203" s="647"/>
      <c r="G203" s="647"/>
      <c r="H203" s="647"/>
      <c r="I203" s="647"/>
      <c r="J203" s="647"/>
      <c r="K203" s="647"/>
      <c r="L203" s="647"/>
      <c r="M203" s="647"/>
      <c r="N203" s="647"/>
      <c r="O203" s="647"/>
      <c r="P203" s="647"/>
      <c r="Q203" s="647"/>
      <c r="R203" s="647"/>
      <c r="S203" s="647"/>
      <c r="T203" s="647"/>
      <c r="U203" s="647"/>
      <c r="V203" s="647"/>
      <c r="W203" s="647"/>
      <c r="X203" s="647"/>
      <c r="Y203" s="647"/>
      <c r="Z203" s="647"/>
      <c r="AA203" s="630"/>
      <c r="AB203" s="630"/>
      <c r="AC203" s="630"/>
    </row>
    <row r="204" spans="1:68" ht="14.25" hidden="1" customHeight="1" x14ac:dyDescent="0.25">
      <c r="A204" s="648" t="s">
        <v>119</v>
      </c>
      <c r="B204" s="647"/>
      <c r="C204" s="647"/>
      <c r="D204" s="647"/>
      <c r="E204" s="647"/>
      <c r="F204" s="647"/>
      <c r="G204" s="647"/>
      <c r="H204" s="647"/>
      <c r="I204" s="647"/>
      <c r="J204" s="647"/>
      <c r="K204" s="647"/>
      <c r="L204" s="647"/>
      <c r="M204" s="647"/>
      <c r="N204" s="647"/>
      <c r="O204" s="647"/>
      <c r="P204" s="647"/>
      <c r="Q204" s="647"/>
      <c r="R204" s="647"/>
      <c r="S204" s="647"/>
      <c r="T204" s="647"/>
      <c r="U204" s="647"/>
      <c r="V204" s="647"/>
      <c r="W204" s="647"/>
      <c r="X204" s="647"/>
      <c r="Y204" s="647"/>
      <c r="Z204" s="647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1">
        <v>4607091383423</v>
      </c>
      <c r="E205" s="642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2"/>
      <c r="R205" s="652"/>
      <c r="S205" s="652"/>
      <c r="T205" s="653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1">
        <v>4680115888760</v>
      </c>
      <c r="E206" s="642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2"/>
      <c r="R206" s="652"/>
      <c r="S206" s="652"/>
      <c r="T206" s="653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1">
        <v>4680115888807</v>
      </c>
      <c r="E207" s="642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2"/>
      <c r="R207" s="652"/>
      <c r="S207" s="652"/>
      <c r="T207" s="653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1">
        <v>4680115888852</v>
      </c>
      <c r="E208" s="642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2"/>
      <c r="R208" s="652"/>
      <c r="S208" s="652"/>
      <c r="T208" s="653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1">
        <v>4680115886957</v>
      </c>
      <c r="E209" s="642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2"/>
      <c r="R209" s="652"/>
      <c r="S209" s="652"/>
      <c r="T209" s="653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1">
        <v>4680115885660</v>
      </c>
      <c r="E210" s="642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2"/>
      <c r="R210" s="652"/>
      <c r="S210" s="652"/>
      <c r="T210" s="653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1">
        <v>4680115886773</v>
      </c>
      <c r="E211" s="642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2"/>
      <c r="R211" s="652"/>
      <c r="S211" s="652"/>
      <c r="T211" s="653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49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50"/>
      <c r="P212" s="643" t="s">
        <v>69</v>
      </c>
      <c r="Q212" s="644"/>
      <c r="R212" s="644"/>
      <c r="S212" s="644"/>
      <c r="T212" s="644"/>
      <c r="U212" s="644"/>
      <c r="V212" s="645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7"/>
      <c r="B213" s="647"/>
      <c r="C213" s="647"/>
      <c r="D213" s="647"/>
      <c r="E213" s="647"/>
      <c r="F213" s="647"/>
      <c r="G213" s="647"/>
      <c r="H213" s="647"/>
      <c r="I213" s="647"/>
      <c r="J213" s="647"/>
      <c r="K213" s="647"/>
      <c r="L213" s="647"/>
      <c r="M213" s="647"/>
      <c r="N213" s="647"/>
      <c r="O213" s="650"/>
      <c r="P213" s="643" t="s">
        <v>69</v>
      </c>
      <c r="Q213" s="644"/>
      <c r="R213" s="644"/>
      <c r="S213" s="644"/>
      <c r="T213" s="644"/>
      <c r="U213" s="644"/>
      <c r="V213" s="645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6" t="s">
        <v>359</v>
      </c>
      <c r="B214" s="647"/>
      <c r="C214" s="647"/>
      <c r="D214" s="647"/>
      <c r="E214" s="647"/>
      <c r="F214" s="647"/>
      <c r="G214" s="647"/>
      <c r="H214" s="647"/>
      <c r="I214" s="647"/>
      <c r="J214" s="647"/>
      <c r="K214" s="647"/>
      <c r="L214" s="647"/>
      <c r="M214" s="647"/>
      <c r="N214" s="647"/>
      <c r="O214" s="647"/>
      <c r="P214" s="647"/>
      <c r="Q214" s="647"/>
      <c r="R214" s="647"/>
      <c r="S214" s="647"/>
      <c r="T214" s="647"/>
      <c r="U214" s="647"/>
      <c r="V214" s="647"/>
      <c r="W214" s="647"/>
      <c r="X214" s="647"/>
      <c r="Y214" s="647"/>
      <c r="Z214" s="647"/>
      <c r="AA214" s="630"/>
      <c r="AB214" s="630"/>
      <c r="AC214" s="630"/>
    </row>
    <row r="215" spans="1:68" ht="14.25" hidden="1" customHeight="1" x14ac:dyDescent="0.25">
      <c r="A215" s="648" t="s">
        <v>155</v>
      </c>
      <c r="B215" s="647"/>
      <c r="C215" s="647"/>
      <c r="D215" s="647"/>
      <c r="E215" s="647"/>
      <c r="F215" s="647"/>
      <c r="G215" s="647"/>
      <c r="H215" s="647"/>
      <c r="I215" s="647"/>
      <c r="J215" s="647"/>
      <c r="K215" s="647"/>
      <c r="L215" s="647"/>
      <c r="M215" s="647"/>
      <c r="N215" s="647"/>
      <c r="O215" s="647"/>
      <c r="P215" s="647"/>
      <c r="Q215" s="647"/>
      <c r="R215" s="647"/>
      <c r="S215" s="647"/>
      <c r="T215" s="647"/>
      <c r="U215" s="647"/>
      <c r="V215" s="647"/>
      <c r="W215" s="647"/>
      <c r="X215" s="647"/>
      <c r="Y215" s="647"/>
      <c r="Z215" s="647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1">
        <v>4680115886223</v>
      </c>
      <c r="E216" s="642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2"/>
      <c r="R216" s="652"/>
      <c r="S216" s="652"/>
      <c r="T216" s="653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49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50"/>
      <c r="P217" s="643" t="s">
        <v>69</v>
      </c>
      <c r="Q217" s="644"/>
      <c r="R217" s="644"/>
      <c r="S217" s="644"/>
      <c r="T217" s="644"/>
      <c r="U217" s="644"/>
      <c r="V217" s="645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7"/>
      <c r="B218" s="647"/>
      <c r="C218" s="647"/>
      <c r="D218" s="647"/>
      <c r="E218" s="647"/>
      <c r="F218" s="647"/>
      <c r="G218" s="647"/>
      <c r="H218" s="647"/>
      <c r="I218" s="647"/>
      <c r="J218" s="647"/>
      <c r="K218" s="647"/>
      <c r="L218" s="647"/>
      <c r="M218" s="647"/>
      <c r="N218" s="647"/>
      <c r="O218" s="650"/>
      <c r="P218" s="643" t="s">
        <v>69</v>
      </c>
      <c r="Q218" s="644"/>
      <c r="R218" s="644"/>
      <c r="S218" s="644"/>
      <c r="T218" s="644"/>
      <c r="U218" s="644"/>
      <c r="V218" s="645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8" t="s">
        <v>62</v>
      </c>
      <c r="B219" s="647"/>
      <c r="C219" s="647"/>
      <c r="D219" s="647"/>
      <c r="E219" s="647"/>
      <c r="F219" s="647"/>
      <c r="G219" s="647"/>
      <c r="H219" s="647"/>
      <c r="I219" s="647"/>
      <c r="J219" s="647"/>
      <c r="K219" s="647"/>
      <c r="L219" s="647"/>
      <c r="M219" s="647"/>
      <c r="N219" s="647"/>
      <c r="O219" s="647"/>
      <c r="P219" s="647"/>
      <c r="Q219" s="647"/>
      <c r="R219" s="647"/>
      <c r="S219" s="647"/>
      <c r="T219" s="647"/>
      <c r="U219" s="647"/>
      <c r="V219" s="647"/>
      <c r="W219" s="647"/>
      <c r="X219" s="647"/>
      <c r="Y219" s="647"/>
      <c r="Z219" s="647"/>
      <c r="AA219" s="631"/>
      <c r="AB219" s="631"/>
      <c r="AC219" s="631"/>
    </row>
    <row r="220" spans="1:68" ht="27" customHeight="1" x14ac:dyDescent="0.25">
      <c r="A220" s="54" t="s">
        <v>363</v>
      </c>
      <c r="B220" s="54" t="s">
        <v>364</v>
      </c>
      <c r="C220" s="31">
        <v>4301031191</v>
      </c>
      <c r="D220" s="641">
        <v>4680115880993</v>
      </c>
      <c r="E220" s="642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2"/>
      <c r="R220" s="652"/>
      <c r="S220" s="652"/>
      <c r="T220" s="653"/>
      <c r="U220" s="34"/>
      <c r="V220" s="34"/>
      <c r="W220" s="35" t="s">
        <v>67</v>
      </c>
      <c r="X220" s="635">
        <v>140</v>
      </c>
      <c r="Y220" s="636">
        <f t="shared" ref="Y220:Y232" si="26">IFERROR(IF(X220="",0,CEILING((X220/$H220),1)*$H220),"")</f>
        <v>142.80000000000001</v>
      </c>
      <c r="Z220" s="36">
        <f>IFERROR(IF(Y220=0,"",ROUNDUP(Y220/H220,0)*0.00902),"")</f>
        <v>0.30668000000000001</v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148.33333333333331</v>
      </c>
      <c r="BN220" s="64">
        <f t="shared" ref="BN220:BN232" si="28">IFERROR(Y220*I220/H220,"0")</f>
        <v>151.30000000000001</v>
      </c>
      <c r="BO220" s="64">
        <f t="shared" ref="BO220:BO232" si="29">IFERROR(1/J220*(X220/H220),"0")</f>
        <v>0.25252525252525249</v>
      </c>
      <c r="BP220" s="64">
        <f t="shared" ref="BP220:BP232" si="30">IFERROR(1/J220*(Y220/H220),"0")</f>
        <v>0.25757575757575757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1">
        <v>4680115881761</v>
      </c>
      <c r="E221" s="642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2"/>
      <c r="R221" s="652"/>
      <c r="S221" s="652"/>
      <c r="T221" s="653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369</v>
      </c>
      <c r="B222" s="54" t="s">
        <v>370</v>
      </c>
      <c r="C222" s="31">
        <v>4301031532</v>
      </c>
      <c r="D222" s="641">
        <v>4680115881563</v>
      </c>
      <c r="E222" s="642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901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2"/>
      <c r="R222" s="652"/>
      <c r="S222" s="652"/>
      <c r="T222" s="653"/>
      <c r="U222" s="34"/>
      <c r="V222" s="34"/>
      <c r="W222" s="35" t="s">
        <v>67</v>
      </c>
      <c r="X222" s="635">
        <v>58</v>
      </c>
      <c r="Y222" s="636">
        <f t="shared" si="26"/>
        <v>58.800000000000004</v>
      </c>
      <c r="Z222" s="36">
        <f>IFERROR(IF(Y222=0,"",ROUNDUP(Y222/H222,0)*0.00902),"")</f>
        <v>0.12628</v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60.623809523809513</v>
      </c>
      <c r="BN222" s="64">
        <f t="shared" si="28"/>
        <v>61.46</v>
      </c>
      <c r="BO222" s="64">
        <f t="shared" si="29"/>
        <v>0.10461760461760461</v>
      </c>
      <c r="BP222" s="64">
        <f t="shared" si="30"/>
        <v>0.10606060606060606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41">
        <v>4680115887565</v>
      </c>
      <c r="E223" s="642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2"/>
      <c r="R223" s="652"/>
      <c r="S223" s="652"/>
      <c r="T223" s="653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customHeight="1" x14ac:dyDescent="0.25">
      <c r="A224" s="54" t="s">
        <v>375</v>
      </c>
      <c r="B224" s="54" t="s">
        <v>376</v>
      </c>
      <c r="C224" s="31">
        <v>4301031199</v>
      </c>
      <c r="D224" s="641">
        <v>4680115880986</v>
      </c>
      <c r="E224" s="642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2"/>
      <c r="R224" s="652"/>
      <c r="S224" s="652"/>
      <c r="T224" s="653"/>
      <c r="U224" s="34"/>
      <c r="V224" s="34"/>
      <c r="W224" s="35" t="s">
        <v>67</v>
      </c>
      <c r="X224" s="635">
        <v>54</v>
      </c>
      <c r="Y224" s="636">
        <f t="shared" si="26"/>
        <v>54.6</v>
      </c>
      <c r="Z224" s="36">
        <f>IFERROR(IF(Y224=0,"",ROUNDUP(Y224/H224,0)*0.00502),"")</f>
        <v>0.13052</v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57.342857142857142</v>
      </c>
      <c r="BN224" s="64">
        <f t="shared" si="28"/>
        <v>57.98</v>
      </c>
      <c r="BO224" s="64">
        <f t="shared" si="29"/>
        <v>0.10989010989010989</v>
      </c>
      <c r="BP224" s="64">
        <f t="shared" si="30"/>
        <v>0.11111111111111112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1">
        <v>4680115887213</v>
      </c>
      <c r="E225" s="642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2"/>
      <c r="R225" s="652"/>
      <c r="S225" s="652"/>
      <c r="T225" s="653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1">
        <v>4680115881785</v>
      </c>
      <c r="E226" s="642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2"/>
      <c r="R226" s="652"/>
      <c r="S226" s="652"/>
      <c r="T226" s="653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1">
        <v>4680115888432</v>
      </c>
      <c r="E227" s="642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2"/>
      <c r="R227" s="652"/>
      <c r="S227" s="652"/>
      <c r="T227" s="653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385</v>
      </c>
      <c r="B228" s="54" t="s">
        <v>386</v>
      </c>
      <c r="C228" s="31">
        <v>4301031503</v>
      </c>
      <c r="D228" s="641">
        <v>4680115886537</v>
      </c>
      <c r="E228" s="642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2"/>
      <c r="R228" s="652"/>
      <c r="S228" s="652"/>
      <c r="T228" s="653"/>
      <c r="U228" s="34"/>
      <c r="V228" s="34"/>
      <c r="W228" s="35" t="s">
        <v>67</v>
      </c>
      <c r="X228" s="635">
        <v>40</v>
      </c>
      <c r="Y228" s="636">
        <f t="shared" si="26"/>
        <v>41.4</v>
      </c>
      <c r="Z228" s="36">
        <f>IFERROR(IF(Y228=0,"",ROUNDUP(Y228/H228,0)*0.00502),"")</f>
        <v>0.11546000000000001</v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42.888888888888893</v>
      </c>
      <c r="BN228" s="64">
        <f t="shared" si="28"/>
        <v>44.39</v>
      </c>
      <c r="BO228" s="64">
        <f t="shared" si="29"/>
        <v>9.4966761633428307E-2</v>
      </c>
      <c r="BP228" s="64">
        <f t="shared" si="30"/>
        <v>9.8290598290598302E-2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41">
        <v>4680115887596</v>
      </c>
      <c r="E229" s="642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2"/>
      <c r="R229" s="652"/>
      <c r="S229" s="652"/>
      <c r="T229" s="653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41">
        <v>4680115881679</v>
      </c>
      <c r="E230" s="642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2"/>
      <c r="R230" s="652"/>
      <c r="S230" s="652"/>
      <c r="T230" s="653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1">
        <v>4680115880191</v>
      </c>
      <c r="E231" s="642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9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2"/>
      <c r="R231" s="652"/>
      <c r="S231" s="652"/>
      <c r="T231" s="653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1">
        <v>4680115883963</v>
      </c>
      <c r="E232" s="642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2"/>
      <c r="R232" s="652"/>
      <c r="S232" s="652"/>
      <c r="T232" s="653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49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50"/>
      <c r="P233" s="643" t="s">
        <v>69</v>
      </c>
      <c r="Q233" s="644"/>
      <c r="R233" s="644"/>
      <c r="S233" s="644"/>
      <c r="T233" s="644"/>
      <c r="U233" s="644"/>
      <c r="V233" s="645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95.079365079365061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97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0.67893999999999999</v>
      </c>
      <c r="AA233" s="638"/>
      <c r="AB233" s="638"/>
      <c r="AC233" s="638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50"/>
      <c r="P234" s="643" t="s">
        <v>69</v>
      </c>
      <c r="Q234" s="644"/>
      <c r="R234" s="644"/>
      <c r="S234" s="644"/>
      <c r="T234" s="644"/>
      <c r="U234" s="644"/>
      <c r="V234" s="645"/>
      <c r="W234" s="37" t="s">
        <v>67</v>
      </c>
      <c r="X234" s="637">
        <f>IFERROR(SUM(X220:X232),"0")</f>
        <v>292</v>
      </c>
      <c r="Y234" s="637">
        <f>IFERROR(SUM(Y220:Y232),"0")</f>
        <v>297.60000000000002</v>
      </c>
      <c r="Z234" s="37"/>
      <c r="AA234" s="638"/>
      <c r="AB234" s="638"/>
      <c r="AC234" s="638"/>
    </row>
    <row r="235" spans="1:68" ht="14.25" hidden="1" customHeight="1" x14ac:dyDescent="0.25">
      <c r="A235" s="648" t="s">
        <v>71</v>
      </c>
      <c r="B235" s="647"/>
      <c r="C235" s="647"/>
      <c r="D235" s="647"/>
      <c r="E235" s="647"/>
      <c r="F235" s="647"/>
      <c r="G235" s="647"/>
      <c r="H235" s="647"/>
      <c r="I235" s="647"/>
      <c r="J235" s="647"/>
      <c r="K235" s="647"/>
      <c r="L235" s="647"/>
      <c r="M235" s="647"/>
      <c r="N235" s="647"/>
      <c r="O235" s="647"/>
      <c r="P235" s="647"/>
      <c r="Q235" s="647"/>
      <c r="R235" s="647"/>
      <c r="S235" s="647"/>
      <c r="T235" s="647"/>
      <c r="U235" s="647"/>
      <c r="V235" s="647"/>
      <c r="W235" s="647"/>
      <c r="X235" s="647"/>
      <c r="Y235" s="647"/>
      <c r="Z235" s="647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1">
        <v>4680115888692</v>
      </c>
      <c r="E236" s="642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6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2"/>
      <c r="R236" s="652"/>
      <c r="S236" s="652"/>
      <c r="T236" s="653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1">
        <v>4680115888722</v>
      </c>
      <c r="E237" s="642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2"/>
      <c r="R237" s="652"/>
      <c r="S237" s="652"/>
      <c r="T237" s="653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1">
        <v>4680115888951</v>
      </c>
      <c r="E238" s="642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2"/>
      <c r="R238" s="652"/>
      <c r="S238" s="652"/>
      <c r="T238" s="653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1">
        <v>4680115888975</v>
      </c>
      <c r="E239" s="642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7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2"/>
      <c r="R239" s="652"/>
      <c r="S239" s="652"/>
      <c r="T239" s="653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1">
        <v>4680115888982</v>
      </c>
      <c r="E240" s="642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2"/>
      <c r="R240" s="652"/>
      <c r="S240" s="652"/>
      <c r="T240" s="653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9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50"/>
      <c r="P241" s="643" t="s">
        <v>69</v>
      </c>
      <c r="Q241" s="644"/>
      <c r="R241" s="644"/>
      <c r="S241" s="644"/>
      <c r="T241" s="644"/>
      <c r="U241" s="644"/>
      <c r="V241" s="645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50"/>
      <c r="P242" s="643" t="s">
        <v>69</v>
      </c>
      <c r="Q242" s="644"/>
      <c r="R242" s="644"/>
      <c r="S242" s="644"/>
      <c r="T242" s="644"/>
      <c r="U242" s="644"/>
      <c r="V242" s="645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8" t="s">
        <v>89</v>
      </c>
      <c r="B243" s="647"/>
      <c r="C243" s="647"/>
      <c r="D243" s="647"/>
      <c r="E243" s="647"/>
      <c r="F243" s="647"/>
      <c r="G243" s="647"/>
      <c r="H243" s="647"/>
      <c r="I243" s="647"/>
      <c r="J243" s="647"/>
      <c r="K243" s="647"/>
      <c r="L243" s="647"/>
      <c r="M243" s="647"/>
      <c r="N243" s="647"/>
      <c r="O243" s="647"/>
      <c r="P243" s="647"/>
      <c r="Q243" s="647"/>
      <c r="R243" s="647"/>
      <c r="S243" s="647"/>
      <c r="T243" s="647"/>
      <c r="U243" s="647"/>
      <c r="V243" s="647"/>
      <c r="W243" s="647"/>
      <c r="X243" s="647"/>
      <c r="Y243" s="647"/>
      <c r="Z243" s="647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1">
        <v>4680115886780</v>
      </c>
      <c r="E244" s="642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75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2"/>
      <c r="R244" s="652"/>
      <c r="S244" s="652"/>
      <c r="T244" s="653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41">
        <v>4680115886742</v>
      </c>
      <c r="E245" s="642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2"/>
      <c r="R245" s="652"/>
      <c r="S245" s="652"/>
      <c r="T245" s="653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41">
        <v>4680115886766</v>
      </c>
      <c r="E246" s="642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2"/>
      <c r="R246" s="652"/>
      <c r="S246" s="652"/>
      <c r="T246" s="653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9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50"/>
      <c r="P247" s="643" t="s">
        <v>69</v>
      </c>
      <c r="Q247" s="644"/>
      <c r="R247" s="644"/>
      <c r="S247" s="644"/>
      <c r="T247" s="644"/>
      <c r="U247" s="644"/>
      <c r="V247" s="645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50"/>
      <c r="P248" s="643" t="s">
        <v>69</v>
      </c>
      <c r="Q248" s="644"/>
      <c r="R248" s="644"/>
      <c r="S248" s="644"/>
      <c r="T248" s="644"/>
      <c r="U248" s="644"/>
      <c r="V248" s="645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8" t="s">
        <v>419</v>
      </c>
      <c r="B249" s="647"/>
      <c r="C249" s="647"/>
      <c r="D249" s="647"/>
      <c r="E249" s="647"/>
      <c r="F249" s="647"/>
      <c r="G249" s="647"/>
      <c r="H249" s="647"/>
      <c r="I249" s="647"/>
      <c r="J249" s="647"/>
      <c r="K249" s="647"/>
      <c r="L249" s="647"/>
      <c r="M249" s="647"/>
      <c r="N249" s="647"/>
      <c r="O249" s="647"/>
      <c r="P249" s="647"/>
      <c r="Q249" s="647"/>
      <c r="R249" s="647"/>
      <c r="S249" s="647"/>
      <c r="T249" s="647"/>
      <c r="U249" s="647"/>
      <c r="V249" s="647"/>
      <c r="W249" s="647"/>
      <c r="X249" s="647"/>
      <c r="Y249" s="647"/>
      <c r="Z249" s="647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41">
        <v>4680115886797</v>
      </c>
      <c r="E250" s="642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2"/>
      <c r="R250" s="652"/>
      <c r="S250" s="652"/>
      <c r="T250" s="653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9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50"/>
      <c r="P251" s="643" t="s">
        <v>69</v>
      </c>
      <c r="Q251" s="644"/>
      <c r="R251" s="644"/>
      <c r="S251" s="644"/>
      <c r="T251" s="644"/>
      <c r="U251" s="644"/>
      <c r="V251" s="645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50"/>
      <c r="P252" s="643" t="s">
        <v>69</v>
      </c>
      <c r="Q252" s="644"/>
      <c r="R252" s="644"/>
      <c r="S252" s="644"/>
      <c r="T252" s="644"/>
      <c r="U252" s="644"/>
      <c r="V252" s="645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46" t="s">
        <v>422</v>
      </c>
      <c r="B253" s="647"/>
      <c r="C253" s="647"/>
      <c r="D253" s="647"/>
      <c r="E253" s="647"/>
      <c r="F253" s="647"/>
      <c r="G253" s="647"/>
      <c r="H253" s="647"/>
      <c r="I253" s="647"/>
      <c r="J253" s="647"/>
      <c r="K253" s="647"/>
      <c r="L253" s="647"/>
      <c r="M253" s="647"/>
      <c r="N253" s="647"/>
      <c r="O253" s="647"/>
      <c r="P253" s="647"/>
      <c r="Q253" s="647"/>
      <c r="R253" s="647"/>
      <c r="S253" s="647"/>
      <c r="T253" s="647"/>
      <c r="U253" s="647"/>
      <c r="V253" s="647"/>
      <c r="W253" s="647"/>
      <c r="X253" s="647"/>
      <c r="Y253" s="647"/>
      <c r="Z253" s="647"/>
      <c r="AA253" s="630"/>
      <c r="AB253" s="630"/>
      <c r="AC253" s="630"/>
    </row>
    <row r="254" spans="1:68" ht="14.25" hidden="1" customHeight="1" x14ac:dyDescent="0.25">
      <c r="A254" s="648" t="s">
        <v>119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1">
        <v>4680115881402</v>
      </c>
      <c r="E255" s="642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2"/>
      <c r="R255" s="652"/>
      <c r="S255" s="652"/>
      <c r="T255" s="653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1">
        <v>4680115881396</v>
      </c>
      <c r="E256" s="642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2"/>
      <c r="R256" s="652"/>
      <c r="S256" s="652"/>
      <c r="T256" s="653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9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50"/>
      <c r="P257" s="643" t="s">
        <v>69</v>
      </c>
      <c r="Q257" s="644"/>
      <c r="R257" s="644"/>
      <c r="S257" s="644"/>
      <c r="T257" s="644"/>
      <c r="U257" s="644"/>
      <c r="V257" s="645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50"/>
      <c r="P258" s="643" t="s">
        <v>69</v>
      </c>
      <c r="Q258" s="644"/>
      <c r="R258" s="644"/>
      <c r="S258" s="644"/>
      <c r="T258" s="644"/>
      <c r="U258" s="644"/>
      <c r="V258" s="64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8" t="s">
        <v>155</v>
      </c>
      <c r="B259" s="647"/>
      <c r="C259" s="647"/>
      <c r="D259" s="647"/>
      <c r="E259" s="647"/>
      <c r="F259" s="647"/>
      <c r="G259" s="647"/>
      <c r="H259" s="647"/>
      <c r="I259" s="647"/>
      <c r="J259" s="647"/>
      <c r="K259" s="647"/>
      <c r="L259" s="647"/>
      <c r="M259" s="647"/>
      <c r="N259" s="647"/>
      <c r="O259" s="647"/>
      <c r="P259" s="647"/>
      <c r="Q259" s="647"/>
      <c r="R259" s="647"/>
      <c r="S259" s="647"/>
      <c r="T259" s="647"/>
      <c r="U259" s="647"/>
      <c r="V259" s="647"/>
      <c r="W259" s="647"/>
      <c r="X259" s="647"/>
      <c r="Y259" s="647"/>
      <c r="Z259" s="647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1">
        <v>4680115882935</v>
      </c>
      <c r="E260" s="642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2"/>
      <c r="R260" s="652"/>
      <c r="S260" s="652"/>
      <c r="T260" s="653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1">
        <v>4680115880764</v>
      </c>
      <c r="E261" s="642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0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2"/>
      <c r="R261" s="652"/>
      <c r="S261" s="652"/>
      <c r="T261" s="653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9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50"/>
      <c r="P262" s="643" t="s">
        <v>69</v>
      </c>
      <c r="Q262" s="644"/>
      <c r="R262" s="644"/>
      <c r="S262" s="644"/>
      <c r="T262" s="644"/>
      <c r="U262" s="644"/>
      <c r="V262" s="645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50"/>
      <c r="P263" s="643" t="s">
        <v>69</v>
      </c>
      <c r="Q263" s="644"/>
      <c r="R263" s="644"/>
      <c r="S263" s="644"/>
      <c r="T263" s="644"/>
      <c r="U263" s="644"/>
      <c r="V263" s="645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8" t="s">
        <v>62</v>
      </c>
      <c r="B264" s="647"/>
      <c r="C264" s="647"/>
      <c r="D264" s="647"/>
      <c r="E264" s="647"/>
      <c r="F264" s="647"/>
      <c r="G264" s="647"/>
      <c r="H264" s="647"/>
      <c r="I264" s="647"/>
      <c r="J264" s="647"/>
      <c r="K264" s="647"/>
      <c r="L264" s="647"/>
      <c r="M264" s="647"/>
      <c r="N264" s="647"/>
      <c r="O264" s="647"/>
      <c r="P264" s="647"/>
      <c r="Q264" s="647"/>
      <c r="R264" s="647"/>
      <c r="S264" s="647"/>
      <c r="T264" s="647"/>
      <c r="U264" s="647"/>
      <c r="V264" s="647"/>
      <c r="W264" s="647"/>
      <c r="X264" s="647"/>
      <c r="Y264" s="647"/>
      <c r="Z264" s="647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41">
        <v>4680115882683</v>
      </c>
      <c r="E265" s="642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2"/>
      <c r="R265" s="652"/>
      <c r="S265" s="652"/>
      <c r="T265" s="653"/>
      <c r="U265" s="34"/>
      <c r="V265" s="34"/>
      <c r="W265" s="35" t="s">
        <v>67</v>
      </c>
      <c r="X265" s="635">
        <v>254</v>
      </c>
      <c r="Y265" s="636">
        <f t="shared" ref="Y265:Y272" si="31">IFERROR(IF(X265="",0,CEILING((X265/$H265),1)*$H265),"")</f>
        <v>259.20000000000005</v>
      </c>
      <c r="Z265" s="36">
        <f>IFERROR(IF(Y265=0,"",ROUNDUP(Y265/H265,0)*0.00902),"")</f>
        <v>0.43296000000000001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262.93703703703699</v>
      </c>
      <c r="BN265" s="64">
        <f t="shared" ref="BN265:BN272" si="33">IFERROR(Y265*I265/H265,"0")</f>
        <v>268.32</v>
      </c>
      <c r="BO265" s="64">
        <f t="shared" ref="BO265:BO272" si="34">IFERROR(1/J265*(X265/H265),"0")</f>
        <v>0.356341189674523</v>
      </c>
      <c r="BP265" s="64">
        <f t="shared" ref="BP265:BP272" si="35">IFERROR(1/J265*(Y265/H265),"0")</f>
        <v>0.3636363636363637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41">
        <v>4680115882690</v>
      </c>
      <c r="E266" s="642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2"/>
      <c r="R266" s="652"/>
      <c r="S266" s="652"/>
      <c r="T266" s="653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41">
        <v>4680115882669</v>
      </c>
      <c r="E267" s="642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2"/>
      <c r="R267" s="652"/>
      <c r="S267" s="652"/>
      <c r="T267" s="653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customHeight="1" x14ac:dyDescent="0.25">
      <c r="A268" s="54" t="s">
        <v>442</v>
      </c>
      <c r="B268" s="54" t="s">
        <v>443</v>
      </c>
      <c r="C268" s="31">
        <v>4301031221</v>
      </c>
      <c r="D268" s="641">
        <v>4680115882676</v>
      </c>
      <c r="E268" s="642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2"/>
      <c r="R268" s="652"/>
      <c r="S268" s="652"/>
      <c r="T268" s="653"/>
      <c r="U268" s="34"/>
      <c r="V268" s="34"/>
      <c r="W268" s="35" t="s">
        <v>67</v>
      </c>
      <c r="X268" s="635">
        <v>39</v>
      </c>
      <c r="Y268" s="636">
        <f t="shared" si="31"/>
        <v>43.2</v>
      </c>
      <c r="Z268" s="36">
        <f>IFERROR(IF(Y268=0,"",ROUNDUP(Y268/H268,0)*0.00902),"")</f>
        <v>7.2160000000000002E-2</v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40.37222222222222</v>
      </c>
      <c r="BN268" s="64">
        <f t="shared" si="33"/>
        <v>44.72</v>
      </c>
      <c r="BO268" s="64">
        <f t="shared" si="34"/>
        <v>5.4713804713804708E-2</v>
      </c>
      <c r="BP268" s="64">
        <f t="shared" si="35"/>
        <v>6.0606060606060608E-2</v>
      </c>
    </row>
    <row r="269" spans="1:68" ht="27" customHeight="1" x14ac:dyDescent="0.25">
      <c r="A269" s="54" t="s">
        <v>445</v>
      </c>
      <c r="B269" s="54" t="s">
        <v>446</v>
      </c>
      <c r="C269" s="31">
        <v>4301031223</v>
      </c>
      <c r="D269" s="641">
        <v>4680115884014</v>
      </c>
      <c r="E269" s="642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2"/>
      <c r="R269" s="652"/>
      <c r="S269" s="652"/>
      <c r="T269" s="653"/>
      <c r="U269" s="34"/>
      <c r="V269" s="34"/>
      <c r="W269" s="35" t="s">
        <v>67</v>
      </c>
      <c r="X269" s="635">
        <v>14</v>
      </c>
      <c r="Y269" s="636">
        <f t="shared" si="31"/>
        <v>14.4</v>
      </c>
      <c r="Z269" s="36">
        <f>IFERROR(IF(Y269=0,"",ROUNDUP(Y269/H269,0)*0.00502),"")</f>
        <v>4.0160000000000001E-2</v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15.011111111111111</v>
      </c>
      <c r="BN269" s="64">
        <f t="shared" si="33"/>
        <v>15.439999999999998</v>
      </c>
      <c r="BO269" s="64">
        <f t="shared" si="34"/>
        <v>3.3238366571699908E-2</v>
      </c>
      <c r="BP269" s="64">
        <f t="shared" si="35"/>
        <v>3.4188034188034191E-2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41">
        <v>4680115884007</v>
      </c>
      <c r="E270" s="642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2"/>
      <c r="R270" s="652"/>
      <c r="S270" s="652"/>
      <c r="T270" s="653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1">
        <v>4680115884038</v>
      </c>
      <c r="E271" s="642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2"/>
      <c r="R271" s="652"/>
      <c r="S271" s="652"/>
      <c r="T271" s="653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4301031225</v>
      </c>
      <c r="D272" s="641">
        <v>4680115884021</v>
      </c>
      <c r="E272" s="642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2"/>
      <c r="R272" s="652"/>
      <c r="S272" s="652"/>
      <c r="T272" s="653"/>
      <c r="U272" s="34"/>
      <c r="V272" s="34"/>
      <c r="W272" s="35" t="s">
        <v>67</v>
      </c>
      <c r="X272" s="635">
        <v>24</v>
      </c>
      <c r="Y272" s="636">
        <f t="shared" si="31"/>
        <v>25.2</v>
      </c>
      <c r="Z272" s="36">
        <f>IFERROR(IF(Y272=0,"",ROUNDUP(Y272/H272,0)*0.00502),"")</f>
        <v>7.0280000000000009E-2</v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25.333333333333329</v>
      </c>
      <c r="BN272" s="64">
        <f t="shared" si="33"/>
        <v>26.599999999999998</v>
      </c>
      <c r="BO272" s="64">
        <f t="shared" si="34"/>
        <v>5.6980056980056981E-2</v>
      </c>
      <c r="BP272" s="64">
        <f t="shared" si="35"/>
        <v>5.9829059829059839E-2</v>
      </c>
    </row>
    <row r="273" spans="1:68" x14ac:dyDescent="0.2">
      <c r="A273" s="649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50"/>
      <c r="P273" s="643" t="s">
        <v>69</v>
      </c>
      <c r="Q273" s="644"/>
      <c r="R273" s="644"/>
      <c r="S273" s="644"/>
      <c r="T273" s="644"/>
      <c r="U273" s="644"/>
      <c r="V273" s="645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75.370370370370367</v>
      </c>
      <c r="Y273" s="637">
        <f>IFERROR(Y265/H265,"0")+IFERROR(Y266/H266,"0")+IFERROR(Y267/H267,"0")+IFERROR(Y268/H268,"0")+IFERROR(Y269/H269,"0")+IFERROR(Y270/H270,"0")+IFERROR(Y271/H271,"0")+IFERROR(Y272/H272,"0")</f>
        <v>78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0.61556</v>
      </c>
      <c r="AA273" s="638"/>
      <c r="AB273" s="638"/>
      <c r="AC273" s="638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50"/>
      <c r="P274" s="643" t="s">
        <v>69</v>
      </c>
      <c r="Q274" s="644"/>
      <c r="R274" s="644"/>
      <c r="S274" s="644"/>
      <c r="T274" s="644"/>
      <c r="U274" s="644"/>
      <c r="V274" s="645"/>
      <c r="W274" s="37" t="s">
        <v>67</v>
      </c>
      <c r="X274" s="637">
        <f>IFERROR(SUM(X265:X272),"0")</f>
        <v>331</v>
      </c>
      <c r="Y274" s="637">
        <f>IFERROR(SUM(Y265:Y272),"0")</f>
        <v>342</v>
      </c>
      <c r="Z274" s="37"/>
      <c r="AA274" s="638"/>
      <c r="AB274" s="638"/>
      <c r="AC274" s="638"/>
    </row>
    <row r="275" spans="1:68" ht="14.25" hidden="1" customHeight="1" x14ac:dyDescent="0.25">
      <c r="A275" s="648" t="s">
        <v>71</v>
      </c>
      <c r="B275" s="647"/>
      <c r="C275" s="647"/>
      <c r="D275" s="647"/>
      <c r="E275" s="647"/>
      <c r="F275" s="647"/>
      <c r="G275" s="647"/>
      <c r="H275" s="647"/>
      <c r="I275" s="647"/>
      <c r="J275" s="647"/>
      <c r="K275" s="647"/>
      <c r="L275" s="647"/>
      <c r="M275" s="647"/>
      <c r="N275" s="647"/>
      <c r="O275" s="647"/>
      <c r="P275" s="647"/>
      <c r="Q275" s="647"/>
      <c r="R275" s="647"/>
      <c r="S275" s="647"/>
      <c r="T275" s="647"/>
      <c r="U275" s="647"/>
      <c r="V275" s="647"/>
      <c r="W275" s="647"/>
      <c r="X275" s="647"/>
      <c r="Y275" s="647"/>
      <c r="Z275" s="647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1">
        <v>4680115889873</v>
      </c>
      <c r="E276" s="642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77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2"/>
      <c r="R276" s="652"/>
      <c r="S276" s="652"/>
      <c r="T276" s="653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41">
        <v>4680115881594</v>
      </c>
      <c r="E277" s="642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2"/>
      <c r="R277" s="652"/>
      <c r="S277" s="652"/>
      <c r="T277" s="653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41">
        <v>4680115881617</v>
      </c>
      <c r="E278" s="642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2"/>
      <c r="R278" s="652"/>
      <c r="S278" s="652"/>
      <c r="T278" s="653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463</v>
      </c>
      <c r="B279" s="54" t="s">
        <v>464</v>
      </c>
      <c r="C279" s="31">
        <v>4301051656</v>
      </c>
      <c r="D279" s="641">
        <v>4680115880573</v>
      </c>
      <c r="E279" s="642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2"/>
      <c r="R279" s="652"/>
      <c r="S279" s="652"/>
      <c r="T279" s="653"/>
      <c r="U279" s="34"/>
      <c r="V279" s="34"/>
      <c r="W279" s="35" t="s">
        <v>67</v>
      </c>
      <c r="X279" s="635">
        <v>76</v>
      </c>
      <c r="Y279" s="636">
        <f t="shared" si="36"/>
        <v>78.3</v>
      </c>
      <c r="Z279" s="36">
        <f>IFERROR(IF(Y279=0,"",ROUNDUP(Y279/H279,0)*0.01898),"")</f>
        <v>0.17082</v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80.315402298850586</v>
      </c>
      <c r="BN279" s="64">
        <f t="shared" si="38"/>
        <v>82.746000000000009</v>
      </c>
      <c r="BO279" s="64">
        <f t="shared" si="39"/>
        <v>0.13649425287356323</v>
      </c>
      <c r="BP279" s="64">
        <f t="shared" si="40"/>
        <v>0.140625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41">
        <v>4680115882195</v>
      </c>
      <c r="E280" s="642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2"/>
      <c r="R280" s="652"/>
      <c r="S280" s="652"/>
      <c r="T280" s="653"/>
      <c r="U280" s="34"/>
      <c r="V280" s="34"/>
      <c r="W280" s="35" t="s">
        <v>67</v>
      </c>
      <c r="X280" s="635">
        <v>114</v>
      </c>
      <c r="Y280" s="636">
        <f t="shared" si="36"/>
        <v>115.19999999999999</v>
      </c>
      <c r="Z280" s="36">
        <f>IFERROR(IF(Y280=0,"",ROUNDUP(Y280/H280,0)*0.00651),"")</f>
        <v>0.31247999999999998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126.825</v>
      </c>
      <c r="BN280" s="64">
        <f t="shared" si="38"/>
        <v>128.15999999999997</v>
      </c>
      <c r="BO280" s="64">
        <f t="shared" si="39"/>
        <v>0.26098901098901101</v>
      </c>
      <c r="BP280" s="64">
        <f t="shared" si="40"/>
        <v>0.26373626373626374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1">
        <v>4680115882607</v>
      </c>
      <c r="E281" s="642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2"/>
      <c r="R281" s="652"/>
      <c r="S281" s="652"/>
      <c r="T281" s="653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41">
        <v>4680115880092</v>
      </c>
      <c r="E282" s="642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2"/>
      <c r="R282" s="652"/>
      <c r="S282" s="652"/>
      <c r="T282" s="653"/>
      <c r="U282" s="34"/>
      <c r="V282" s="34"/>
      <c r="W282" s="35" t="s">
        <v>67</v>
      </c>
      <c r="X282" s="635">
        <v>449</v>
      </c>
      <c r="Y282" s="636">
        <f t="shared" si="36"/>
        <v>451.2</v>
      </c>
      <c r="Z282" s="36">
        <f>IFERROR(IF(Y282=0,"",ROUNDUP(Y282/H282,0)*0.00651),"")</f>
        <v>1.2238800000000001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496.14500000000004</v>
      </c>
      <c r="BN282" s="64">
        <f t="shared" si="38"/>
        <v>498.57600000000002</v>
      </c>
      <c r="BO282" s="64">
        <f t="shared" si="39"/>
        <v>1.0279304029304031</v>
      </c>
      <c r="BP282" s="64">
        <f t="shared" si="40"/>
        <v>1.0329670329670331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1">
        <v>4680115889064</v>
      </c>
      <c r="E283" s="642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2"/>
      <c r="R283" s="652"/>
      <c r="S283" s="652"/>
      <c r="T283" s="653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41">
        <v>4680115880221</v>
      </c>
      <c r="E284" s="642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2"/>
      <c r="R284" s="652"/>
      <c r="S284" s="652"/>
      <c r="T284" s="653"/>
      <c r="U284" s="34"/>
      <c r="V284" s="34"/>
      <c r="W284" s="35" t="s">
        <v>67</v>
      </c>
      <c r="X284" s="635">
        <v>173</v>
      </c>
      <c r="Y284" s="636">
        <f t="shared" si="36"/>
        <v>175.2</v>
      </c>
      <c r="Z284" s="36">
        <f>IFERROR(IF(Y284=0,"",ROUNDUP(Y284/H284,0)*0.00651),"")</f>
        <v>0.47522999999999999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191.16500000000002</v>
      </c>
      <c r="BN284" s="64">
        <f t="shared" si="38"/>
        <v>193.596</v>
      </c>
      <c r="BO284" s="64">
        <f t="shared" si="39"/>
        <v>0.39606227106227115</v>
      </c>
      <c r="BP284" s="64">
        <f t="shared" si="40"/>
        <v>0.40109890109890112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41">
        <v>4680115880504</v>
      </c>
      <c r="E285" s="642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2"/>
      <c r="R285" s="652"/>
      <c r="S285" s="652"/>
      <c r="T285" s="653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41">
        <v>4680115882164</v>
      </c>
      <c r="E286" s="642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2"/>
      <c r="R286" s="652"/>
      <c r="S286" s="652"/>
      <c r="T286" s="653"/>
      <c r="U286" s="34"/>
      <c r="V286" s="34"/>
      <c r="W286" s="35" t="s">
        <v>67</v>
      </c>
      <c r="X286" s="635">
        <v>114</v>
      </c>
      <c r="Y286" s="636">
        <f t="shared" si="36"/>
        <v>115.19999999999999</v>
      </c>
      <c r="Z286" s="36">
        <f>IFERROR(IF(Y286=0,"",ROUNDUP(Y286/H286,0)*0.00651),"")</f>
        <v>0.31247999999999998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126.25500000000001</v>
      </c>
      <c r="BN286" s="64">
        <f t="shared" si="38"/>
        <v>127.584</v>
      </c>
      <c r="BO286" s="64">
        <f t="shared" si="39"/>
        <v>0.26098901098901101</v>
      </c>
      <c r="BP286" s="64">
        <f t="shared" si="40"/>
        <v>0.26373626373626374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1">
        <v>4680115888340</v>
      </c>
      <c r="E287" s="642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4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2"/>
      <c r="R287" s="652"/>
      <c r="S287" s="652"/>
      <c r="T287" s="653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49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50"/>
      <c r="P288" s="643" t="s">
        <v>69</v>
      </c>
      <c r="Q288" s="644"/>
      <c r="R288" s="644"/>
      <c r="S288" s="644"/>
      <c r="T288" s="644"/>
      <c r="U288" s="644"/>
      <c r="V288" s="645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362.90229885057477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366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2.4948899999999998</v>
      </c>
      <c r="AA288" s="638"/>
      <c r="AB288" s="638"/>
      <c r="AC288" s="638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50"/>
      <c r="P289" s="643" t="s">
        <v>69</v>
      </c>
      <c r="Q289" s="644"/>
      <c r="R289" s="644"/>
      <c r="S289" s="644"/>
      <c r="T289" s="644"/>
      <c r="U289" s="644"/>
      <c r="V289" s="645"/>
      <c r="W289" s="37" t="s">
        <v>67</v>
      </c>
      <c r="X289" s="637">
        <f>IFERROR(SUM(X276:X287),"0")</f>
        <v>926</v>
      </c>
      <c r="Y289" s="637">
        <f>IFERROR(SUM(Y276:Y287),"0")</f>
        <v>935.10000000000014</v>
      </c>
      <c r="Z289" s="37"/>
      <c r="AA289" s="638"/>
      <c r="AB289" s="638"/>
      <c r="AC289" s="638"/>
    </row>
    <row r="290" spans="1:68" ht="14.25" hidden="1" customHeight="1" x14ac:dyDescent="0.25">
      <c r="A290" s="648" t="s">
        <v>173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41">
        <v>4680115880818</v>
      </c>
      <c r="E291" s="642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2"/>
      <c r="R291" s="652"/>
      <c r="S291" s="652"/>
      <c r="T291" s="653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41">
        <v>4680115880801</v>
      </c>
      <c r="E292" s="642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2"/>
      <c r="R292" s="652"/>
      <c r="S292" s="652"/>
      <c r="T292" s="653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9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50"/>
      <c r="P293" s="643" t="s">
        <v>69</v>
      </c>
      <c r="Q293" s="644"/>
      <c r="R293" s="644"/>
      <c r="S293" s="644"/>
      <c r="T293" s="644"/>
      <c r="U293" s="644"/>
      <c r="V293" s="645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50"/>
      <c r="P294" s="643" t="s">
        <v>69</v>
      </c>
      <c r="Q294" s="644"/>
      <c r="R294" s="644"/>
      <c r="S294" s="644"/>
      <c r="T294" s="644"/>
      <c r="U294" s="644"/>
      <c r="V294" s="645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46" t="s">
        <v>491</v>
      </c>
      <c r="B295" s="647"/>
      <c r="C295" s="647"/>
      <c r="D295" s="647"/>
      <c r="E295" s="647"/>
      <c r="F295" s="647"/>
      <c r="G295" s="647"/>
      <c r="H295" s="647"/>
      <c r="I295" s="647"/>
      <c r="J295" s="647"/>
      <c r="K295" s="647"/>
      <c r="L295" s="647"/>
      <c r="M295" s="647"/>
      <c r="N295" s="647"/>
      <c r="O295" s="647"/>
      <c r="P295" s="647"/>
      <c r="Q295" s="647"/>
      <c r="R295" s="647"/>
      <c r="S295" s="647"/>
      <c r="T295" s="647"/>
      <c r="U295" s="647"/>
      <c r="V295" s="647"/>
      <c r="W295" s="647"/>
      <c r="X295" s="647"/>
      <c r="Y295" s="647"/>
      <c r="Z295" s="647"/>
      <c r="AA295" s="630"/>
      <c r="AB295" s="630"/>
      <c r="AC295" s="630"/>
    </row>
    <row r="296" spans="1:68" ht="14.25" hidden="1" customHeight="1" x14ac:dyDescent="0.25">
      <c r="A296" s="648" t="s">
        <v>119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41">
        <v>4680115884137</v>
      </c>
      <c r="E297" s="642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2"/>
      <c r="R297" s="652"/>
      <c r="S297" s="652"/>
      <c r="T297" s="653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1">
        <v>4680115884236</v>
      </c>
      <c r="E298" s="642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2"/>
      <c r="R298" s="652"/>
      <c r="S298" s="652"/>
      <c r="T298" s="653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1">
        <v>4680115884175</v>
      </c>
      <c r="E299" s="642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2"/>
      <c r="R299" s="652"/>
      <c r="S299" s="652"/>
      <c r="T299" s="653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1">
        <v>4680115884144</v>
      </c>
      <c r="E300" s="642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2"/>
      <c r="R300" s="652"/>
      <c r="S300" s="652"/>
      <c r="T300" s="653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1">
        <v>4680115886551</v>
      </c>
      <c r="E301" s="642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2"/>
      <c r="R301" s="652"/>
      <c r="S301" s="652"/>
      <c r="T301" s="653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1">
        <v>4680115887282</v>
      </c>
      <c r="E302" s="642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9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2"/>
      <c r="R302" s="652"/>
      <c r="S302" s="652"/>
      <c r="T302" s="653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41">
        <v>4680115884205</v>
      </c>
      <c r="E303" s="642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2"/>
      <c r="R303" s="652"/>
      <c r="S303" s="652"/>
      <c r="T303" s="653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49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50"/>
      <c r="P304" s="643" t="s">
        <v>69</v>
      </c>
      <c r="Q304" s="644"/>
      <c r="R304" s="644"/>
      <c r="S304" s="644"/>
      <c r="T304" s="644"/>
      <c r="U304" s="644"/>
      <c r="V304" s="645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50"/>
      <c r="P305" s="643" t="s">
        <v>69</v>
      </c>
      <c r="Q305" s="644"/>
      <c r="R305" s="644"/>
      <c r="S305" s="644"/>
      <c r="T305" s="644"/>
      <c r="U305" s="644"/>
      <c r="V305" s="645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8" t="s">
        <v>155</v>
      </c>
      <c r="B306" s="647"/>
      <c r="C306" s="647"/>
      <c r="D306" s="647"/>
      <c r="E306" s="647"/>
      <c r="F306" s="647"/>
      <c r="G306" s="647"/>
      <c r="H306" s="647"/>
      <c r="I306" s="647"/>
      <c r="J306" s="647"/>
      <c r="K306" s="647"/>
      <c r="L306" s="647"/>
      <c r="M306" s="647"/>
      <c r="N306" s="647"/>
      <c r="O306" s="647"/>
      <c r="P306" s="647"/>
      <c r="Q306" s="647"/>
      <c r="R306" s="647"/>
      <c r="S306" s="647"/>
      <c r="T306" s="647"/>
      <c r="U306" s="647"/>
      <c r="V306" s="647"/>
      <c r="W306" s="647"/>
      <c r="X306" s="647"/>
      <c r="Y306" s="647"/>
      <c r="Z306" s="647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1">
        <v>4680115885981</v>
      </c>
      <c r="E307" s="642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2"/>
      <c r="R307" s="652"/>
      <c r="S307" s="652"/>
      <c r="T307" s="653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9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50"/>
      <c r="P308" s="643" t="s">
        <v>69</v>
      </c>
      <c r="Q308" s="644"/>
      <c r="R308" s="644"/>
      <c r="S308" s="644"/>
      <c r="T308" s="644"/>
      <c r="U308" s="644"/>
      <c r="V308" s="645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50"/>
      <c r="P309" s="643" t="s">
        <v>69</v>
      </c>
      <c r="Q309" s="644"/>
      <c r="R309" s="644"/>
      <c r="S309" s="644"/>
      <c r="T309" s="644"/>
      <c r="U309" s="644"/>
      <c r="V309" s="645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8" t="s">
        <v>513</v>
      </c>
      <c r="B310" s="647"/>
      <c r="C310" s="647"/>
      <c r="D310" s="647"/>
      <c r="E310" s="647"/>
      <c r="F310" s="647"/>
      <c r="G310" s="647"/>
      <c r="H310" s="647"/>
      <c r="I310" s="647"/>
      <c r="J310" s="647"/>
      <c r="K310" s="647"/>
      <c r="L310" s="647"/>
      <c r="M310" s="647"/>
      <c r="N310" s="647"/>
      <c r="O310" s="647"/>
      <c r="P310" s="647"/>
      <c r="Q310" s="647"/>
      <c r="R310" s="647"/>
      <c r="S310" s="647"/>
      <c r="T310" s="647"/>
      <c r="U310" s="647"/>
      <c r="V310" s="647"/>
      <c r="W310" s="647"/>
      <c r="X310" s="647"/>
      <c r="Y310" s="647"/>
      <c r="Z310" s="647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41">
        <v>4680115886803</v>
      </c>
      <c r="E311" s="642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2"/>
      <c r="R311" s="652"/>
      <c r="S311" s="652"/>
      <c r="T311" s="653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9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50"/>
      <c r="P312" s="643" t="s">
        <v>69</v>
      </c>
      <c r="Q312" s="644"/>
      <c r="R312" s="644"/>
      <c r="S312" s="644"/>
      <c r="T312" s="644"/>
      <c r="U312" s="644"/>
      <c r="V312" s="645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50"/>
      <c r="P313" s="643" t="s">
        <v>69</v>
      </c>
      <c r="Q313" s="644"/>
      <c r="R313" s="644"/>
      <c r="S313" s="644"/>
      <c r="T313" s="644"/>
      <c r="U313" s="644"/>
      <c r="V313" s="645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8" t="s">
        <v>333</v>
      </c>
      <c r="B314" s="647"/>
      <c r="C314" s="647"/>
      <c r="D314" s="647"/>
      <c r="E314" s="647"/>
      <c r="F314" s="647"/>
      <c r="G314" s="647"/>
      <c r="H314" s="647"/>
      <c r="I314" s="647"/>
      <c r="J314" s="647"/>
      <c r="K314" s="647"/>
      <c r="L314" s="647"/>
      <c r="M314" s="647"/>
      <c r="N314" s="647"/>
      <c r="O314" s="647"/>
      <c r="P314" s="647"/>
      <c r="Q314" s="647"/>
      <c r="R314" s="647"/>
      <c r="S314" s="647"/>
      <c r="T314" s="647"/>
      <c r="U314" s="647"/>
      <c r="V314" s="647"/>
      <c r="W314" s="647"/>
      <c r="X314" s="647"/>
      <c r="Y314" s="647"/>
      <c r="Z314" s="647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1">
        <v>4680115886681</v>
      </c>
      <c r="E315" s="642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2"/>
      <c r="R315" s="652"/>
      <c r="S315" s="652"/>
      <c r="T315" s="653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1">
        <v>4680115886735</v>
      </c>
      <c r="E316" s="642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2"/>
      <c r="R316" s="652"/>
      <c r="S316" s="652"/>
      <c r="T316" s="653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1">
        <v>4680115886728</v>
      </c>
      <c r="E317" s="642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2"/>
      <c r="R317" s="652"/>
      <c r="S317" s="652"/>
      <c r="T317" s="653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1">
        <v>4680115886711</v>
      </c>
      <c r="E318" s="642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2"/>
      <c r="R318" s="652"/>
      <c r="S318" s="652"/>
      <c r="T318" s="653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49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50"/>
      <c r="P319" s="643" t="s">
        <v>69</v>
      </c>
      <c r="Q319" s="644"/>
      <c r="R319" s="644"/>
      <c r="S319" s="644"/>
      <c r="T319" s="644"/>
      <c r="U319" s="644"/>
      <c r="V319" s="645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7"/>
      <c r="B320" s="647"/>
      <c r="C320" s="647"/>
      <c r="D320" s="647"/>
      <c r="E320" s="647"/>
      <c r="F320" s="647"/>
      <c r="G320" s="647"/>
      <c r="H320" s="647"/>
      <c r="I320" s="647"/>
      <c r="J320" s="647"/>
      <c r="K320" s="647"/>
      <c r="L320" s="647"/>
      <c r="M320" s="647"/>
      <c r="N320" s="647"/>
      <c r="O320" s="650"/>
      <c r="P320" s="643" t="s">
        <v>69</v>
      </c>
      <c r="Q320" s="644"/>
      <c r="R320" s="644"/>
      <c r="S320" s="644"/>
      <c r="T320" s="644"/>
      <c r="U320" s="644"/>
      <c r="V320" s="645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6" t="s">
        <v>526</v>
      </c>
      <c r="B321" s="647"/>
      <c r="C321" s="647"/>
      <c r="D321" s="647"/>
      <c r="E321" s="647"/>
      <c r="F321" s="647"/>
      <c r="G321" s="647"/>
      <c r="H321" s="647"/>
      <c r="I321" s="647"/>
      <c r="J321" s="647"/>
      <c r="K321" s="647"/>
      <c r="L321" s="647"/>
      <c r="M321" s="647"/>
      <c r="N321" s="647"/>
      <c r="O321" s="647"/>
      <c r="P321" s="647"/>
      <c r="Q321" s="647"/>
      <c r="R321" s="647"/>
      <c r="S321" s="647"/>
      <c r="T321" s="647"/>
      <c r="U321" s="647"/>
      <c r="V321" s="647"/>
      <c r="W321" s="647"/>
      <c r="X321" s="647"/>
      <c r="Y321" s="647"/>
      <c r="Z321" s="647"/>
      <c r="AA321" s="630"/>
      <c r="AB321" s="630"/>
      <c r="AC321" s="630"/>
    </row>
    <row r="322" spans="1:68" ht="14.25" hidden="1" customHeight="1" x14ac:dyDescent="0.25">
      <c r="A322" s="648" t="s">
        <v>119</v>
      </c>
      <c r="B322" s="647"/>
      <c r="C322" s="647"/>
      <c r="D322" s="647"/>
      <c r="E322" s="647"/>
      <c r="F322" s="647"/>
      <c r="G322" s="647"/>
      <c r="H322" s="647"/>
      <c r="I322" s="647"/>
      <c r="J322" s="647"/>
      <c r="K322" s="647"/>
      <c r="L322" s="647"/>
      <c r="M322" s="647"/>
      <c r="N322" s="647"/>
      <c r="O322" s="647"/>
      <c r="P322" s="647"/>
      <c r="Q322" s="647"/>
      <c r="R322" s="647"/>
      <c r="S322" s="647"/>
      <c r="T322" s="647"/>
      <c r="U322" s="647"/>
      <c r="V322" s="647"/>
      <c r="W322" s="647"/>
      <c r="X322" s="647"/>
      <c r="Y322" s="647"/>
      <c r="Z322" s="647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1">
        <v>4680115885837</v>
      </c>
      <c r="E323" s="642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1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2"/>
      <c r="R323" s="652"/>
      <c r="S323" s="652"/>
      <c r="T323" s="653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1">
        <v>4680115887077</v>
      </c>
      <c r="E324" s="642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2"/>
      <c r="R324" s="652"/>
      <c r="S324" s="652"/>
      <c r="T324" s="653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1">
        <v>4680115889637</v>
      </c>
      <c r="E325" s="642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2"/>
      <c r="R325" s="652"/>
      <c r="S325" s="652"/>
      <c r="T325" s="653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1">
        <v>4680115887237</v>
      </c>
      <c r="E326" s="642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2"/>
      <c r="R326" s="652"/>
      <c r="S326" s="652"/>
      <c r="T326" s="653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1">
        <v>4680115885806</v>
      </c>
      <c r="E327" s="642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2"/>
      <c r="R327" s="652"/>
      <c r="S327" s="652"/>
      <c r="T327" s="653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1">
        <v>4680115885844</v>
      </c>
      <c r="E328" s="642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2"/>
      <c r="R328" s="652"/>
      <c r="S328" s="652"/>
      <c r="T328" s="653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1">
        <v>4680115885820</v>
      </c>
      <c r="E329" s="642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2"/>
      <c r="R329" s="652"/>
      <c r="S329" s="652"/>
      <c r="T329" s="653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49"/>
      <c r="B330" s="647"/>
      <c r="C330" s="647"/>
      <c r="D330" s="647"/>
      <c r="E330" s="647"/>
      <c r="F330" s="647"/>
      <c r="G330" s="647"/>
      <c r="H330" s="647"/>
      <c r="I330" s="647"/>
      <c r="J330" s="647"/>
      <c r="K330" s="647"/>
      <c r="L330" s="647"/>
      <c r="M330" s="647"/>
      <c r="N330" s="647"/>
      <c r="O330" s="650"/>
      <c r="P330" s="643" t="s">
        <v>69</v>
      </c>
      <c r="Q330" s="644"/>
      <c r="R330" s="644"/>
      <c r="S330" s="644"/>
      <c r="T330" s="644"/>
      <c r="U330" s="644"/>
      <c r="V330" s="645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7"/>
      <c r="B331" s="647"/>
      <c r="C331" s="647"/>
      <c r="D331" s="647"/>
      <c r="E331" s="647"/>
      <c r="F331" s="647"/>
      <c r="G331" s="647"/>
      <c r="H331" s="647"/>
      <c r="I331" s="647"/>
      <c r="J331" s="647"/>
      <c r="K331" s="647"/>
      <c r="L331" s="647"/>
      <c r="M331" s="647"/>
      <c r="N331" s="647"/>
      <c r="O331" s="650"/>
      <c r="P331" s="643" t="s">
        <v>69</v>
      </c>
      <c r="Q331" s="644"/>
      <c r="R331" s="644"/>
      <c r="S331" s="644"/>
      <c r="T331" s="644"/>
      <c r="U331" s="644"/>
      <c r="V331" s="645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6" t="s">
        <v>548</v>
      </c>
      <c r="B332" s="647"/>
      <c r="C332" s="647"/>
      <c r="D332" s="647"/>
      <c r="E332" s="647"/>
      <c r="F332" s="647"/>
      <c r="G332" s="647"/>
      <c r="H332" s="647"/>
      <c r="I332" s="647"/>
      <c r="J332" s="647"/>
      <c r="K332" s="647"/>
      <c r="L332" s="647"/>
      <c r="M332" s="647"/>
      <c r="N332" s="647"/>
      <c r="O332" s="647"/>
      <c r="P332" s="647"/>
      <c r="Q332" s="647"/>
      <c r="R332" s="647"/>
      <c r="S332" s="647"/>
      <c r="T332" s="647"/>
      <c r="U332" s="647"/>
      <c r="V332" s="647"/>
      <c r="W332" s="647"/>
      <c r="X332" s="647"/>
      <c r="Y332" s="647"/>
      <c r="Z332" s="647"/>
      <c r="AA332" s="630"/>
      <c r="AB332" s="630"/>
      <c r="AC332" s="630"/>
    </row>
    <row r="333" spans="1:68" ht="14.25" hidden="1" customHeight="1" x14ac:dyDescent="0.25">
      <c r="A333" s="648" t="s">
        <v>71</v>
      </c>
      <c r="B333" s="647"/>
      <c r="C333" s="647"/>
      <c r="D333" s="647"/>
      <c r="E333" s="647"/>
      <c r="F333" s="647"/>
      <c r="G333" s="647"/>
      <c r="H333" s="647"/>
      <c r="I333" s="647"/>
      <c r="J333" s="647"/>
      <c r="K333" s="647"/>
      <c r="L333" s="647"/>
      <c r="M333" s="647"/>
      <c r="N333" s="647"/>
      <c r="O333" s="647"/>
      <c r="P333" s="647"/>
      <c r="Q333" s="647"/>
      <c r="R333" s="647"/>
      <c r="S333" s="647"/>
      <c r="T333" s="647"/>
      <c r="U333" s="647"/>
      <c r="V333" s="647"/>
      <c r="W333" s="647"/>
      <c r="X333" s="647"/>
      <c r="Y333" s="647"/>
      <c r="Z333" s="647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1">
        <v>4680115886186</v>
      </c>
      <c r="E334" s="642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2"/>
      <c r="R334" s="652"/>
      <c r="S334" s="652"/>
      <c r="T334" s="653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41">
        <v>4680115881228</v>
      </c>
      <c r="E335" s="642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2"/>
      <c r="R335" s="652"/>
      <c r="S335" s="652"/>
      <c r="T335" s="653"/>
      <c r="U335" s="34"/>
      <c r="V335" s="34"/>
      <c r="W335" s="35" t="s">
        <v>67</v>
      </c>
      <c r="X335" s="635">
        <v>43</v>
      </c>
      <c r="Y335" s="636">
        <f>IFERROR(IF(X335="",0,CEILING((X335/$H335),1)*$H335),"")</f>
        <v>43.199999999999996</v>
      </c>
      <c r="Z335" s="36">
        <f>IFERROR(IF(Y335=0,"",ROUNDUP(Y335/H335,0)*0.00651),"")</f>
        <v>0.11718000000000001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47.515000000000001</v>
      </c>
      <c r="BN335" s="64">
        <f>IFERROR(Y335*I335/H335,"0")</f>
        <v>47.736000000000004</v>
      </c>
      <c r="BO335" s="64">
        <f>IFERROR(1/J335*(X335/H335),"0")</f>
        <v>9.8443223443223454E-2</v>
      </c>
      <c r="BP335" s="64">
        <f>IFERROR(1/J335*(Y335/H335),"0")</f>
        <v>9.8901098901098911E-2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41">
        <v>4680115881211</v>
      </c>
      <c r="E336" s="642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2"/>
      <c r="R336" s="652"/>
      <c r="S336" s="652"/>
      <c r="T336" s="653"/>
      <c r="U336" s="34"/>
      <c r="V336" s="34"/>
      <c r="W336" s="35" t="s">
        <v>67</v>
      </c>
      <c r="X336" s="635">
        <v>86</v>
      </c>
      <c r="Y336" s="636">
        <f>IFERROR(IF(X336="",0,CEILING((X336/$H336),1)*$H336),"")</f>
        <v>86.399999999999991</v>
      </c>
      <c r="Z336" s="36">
        <f>IFERROR(IF(Y336=0,"",ROUNDUP(Y336/H336,0)*0.00651),"")</f>
        <v>0.23436000000000001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92.45</v>
      </c>
      <c r="BN336" s="64">
        <f>IFERROR(Y336*I336/H336,"0")</f>
        <v>92.88</v>
      </c>
      <c r="BO336" s="64">
        <f>IFERROR(1/J336*(X336/H336),"0")</f>
        <v>0.19688644688644691</v>
      </c>
      <c r="BP336" s="64">
        <f>IFERROR(1/J336*(Y336/H336),"0")</f>
        <v>0.19780219780219782</v>
      </c>
    </row>
    <row r="337" spans="1:68" x14ac:dyDescent="0.2">
      <c r="A337" s="649"/>
      <c r="B337" s="647"/>
      <c r="C337" s="647"/>
      <c r="D337" s="647"/>
      <c r="E337" s="647"/>
      <c r="F337" s="647"/>
      <c r="G337" s="647"/>
      <c r="H337" s="647"/>
      <c r="I337" s="647"/>
      <c r="J337" s="647"/>
      <c r="K337" s="647"/>
      <c r="L337" s="647"/>
      <c r="M337" s="647"/>
      <c r="N337" s="647"/>
      <c r="O337" s="650"/>
      <c r="P337" s="643" t="s">
        <v>69</v>
      </c>
      <c r="Q337" s="644"/>
      <c r="R337" s="644"/>
      <c r="S337" s="644"/>
      <c r="T337" s="644"/>
      <c r="U337" s="644"/>
      <c r="V337" s="645"/>
      <c r="W337" s="37" t="s">
        <v>70</v>
      </c>
      <c r="X337" s="637">
        <f>IFERROR(X334/H334,"0")+IFERROR(X335/H335,"0")+IFERROR(X336/H336,"0")</f>
        <v>53.75</v>
      </c>
      <c r="Y337" s="637">
        <f>IFERROR(Y334/H334,"0")+IFERROR(Y335/H335,"0")+IFERROR(Y336/H336,"0")</f>
        <v>54</v>
      </c>
      <c r="Z337" s="637">
        <f>IFERROR(IF(Z334="",0,Z334),"0")+IFERROR(IF(Z335="",0,Z335),"0")+IFERROR(IF(Z336="",0,Z336),"0")</f>
        <v>0.35154000000000002</v>
      </c>
      <c r="AA337" s="638"/>
      <c r="AB337" s="638"/>
      <c r="AC337" s="638"/>
    </row>
    <row r="338" spans="1:68" x14ac:dyDescent="0.2">
      <c r="A338" s="647"/>
      <c r="B338" s="647"/>
      <c r="C338" s="647"/>
      <c r="D338" s="647"/>
      <c r="E338" s="647"/>
      <c r="F338" s="647"/>
      <c r="G338" s="647"/>
      <c r="H338" s="647"/>
      <c r="I338" s="647"/>
      <c r="J338" s="647"/>
      <c r="K338" s="647"/>
      <c r="L338" s="647"/>
      <c r="M338" s="647"/>
      <c r="N338" s="647"/>
      <c r="O338" s="650"/>
      <c r="P338" s="643" t="s">
        <v>69</v>
      </c>
      <c r="Q338" s="644"/>
      <c r="R338" s="644"/>
      <c r="S338" s="644"/>
      <c r="T338" s="644"/>
      <c r="U338" s="644"/>
      <c r="V338" s="645"/>
      <c r="W338" s="37" t="s">
        <v>67</v>
      </c>
      <c r="X338" s="637">
        <f>IFERROR(SUM(X334:X336),"0")</f>
        <v>129</v>
      </c>
      <c r="Y338" s="637">
        <f>IFERROR(SUM(Y334:Y336),"0")</f>
        <v>129.6</v>
      </c>
      <c r="Z338" s="37"/>
      <c r="AA338" s="638"/>
      <c r="AB338" s="638"/>
      <c r="AC338" s="638"/>
    </row>
    <row r="339" spans="1:68" ht="16.5" hidden="1" customHeight="1" x14ac:dyDescent="0.25">
      <c r="A339" s="646" t="s">
        <v>557</v>
      </c>
      <c r="B339" s="647"/>
      <c r="C339" s="647"/>
      <c r="D339" s="647"/>
      <c r="E339" s="647"/>
      <c r="F339" s="647"/>
      <c r="G339" s="647"/>
      <c r="H339" s="647"/>
      <c r="I339" s="647"/>
      <c r="J339" s="647"/>
      <c r="K339" s="647"/>
      <c r="L339" s="647"/>
      <c r="M339" s="647"/>
      <c r="N339" s="647"/>
      <c r="O339" s="647"/>
      <c r="P339" s="647"/>
      <c r="Q339" s="647"/>
      <c r="R339" s="647"/>
      <c r="S339" s="647"/>
      <c r="T339" s="647"/>
      <c r="U339" s="647"/>
      <c r="V339" s="647"/>
      <c r="W339" s="647"/>
      <c r="X339" s="647"/>
      <c r="Y339" s="647"/>
      <c r="Z339" s="647"/>
      <c r="AA339" s="630"/>
      <c r="AB339" s="630"/>
      <c r="AC339" s="630"/>
    </row>
    <row r="340" spans="1:68" ht="14.25" hidden="1" customHeight="1" x14ac:dyDescent="0.25">
      <c r="A340" s="648" t="s">
        <v>62</v>
      </c>
      <c r="B340" s="647"/>
      <c r="C340" s="647"/>
      <c r="D340" s="647"/>
      <c r="E340" s="647"/>
      <c r="F340" s="647"/>
      <c r="G340" s="647"/>
      <c r="H340" s="647"/>
      <c r="I340" s="647"/>
      <c r="J340" s="647"/>
      <c r="K340" s="647"/>
      <c r="L340" s="647"/>
      <c r="M340" s="647"/>
      <c r="N340" s="647"/>
      <c r="O340" s="647"/>
      <c r="P340" s="647"/>
      <c r="Q340" s="647"/>
      <c r="R340" s="647"/>
      <c r="S340" s="647"/>
      <c r="T340" s="647"/>
      <c r="U340" s="647"/>
      <c r="V340" s="647"/>
      <c r="W340" s="647"/>
      <c r="X340" s="647"/>
      <c r="Y340" s="647"/>
      <c r="Z340" s="647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1">
        <v>4680115888319</v>
      </c>
      <c r="E341" s="642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2"/>
      <c r="R341" s="652"/>
      <c r="S341" s="652"/>
      <c r="T341" s="653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1">
        <v>4680115884700</v>
      </c>
      <c r="E342" s="642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2"/>
      <c r="R342" s="652"/>
      <c r="S342" s="652"/>
      <c r="T342" s="653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1">
        <v>4680115880344</v>
      </c>
      <c r="E343" s="642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2"/>
      <c r="R343" s="652"/>
      <c r="S343" s="652"/>
      <c r="T343" s="653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1">
        <v>4680115886919</v>
      </c>
      <c r="E344" s="642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2"/>
      <c r="R344" s="652"/>
      <c r="S344" s="652"/>
      <c r="T344" s="653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49"/>
      <c r="B345" s="647"/>
      <c r="C345" s="647"/>
      <c r="D345" s="647"/>
      <c r="E345" s="647"/>
      <c r="F345" s="647"/>
      <c r="G345" s="647"/>
      <c r="H345" s="647"/>
      <c r="I345" s="647"/>
      <c r="J345" s="647"/>
      <c r="K345" s="647"/>
      <c r="L345" s="647"/>
      <c r="M345" s="647"/>
      <c r="N345" s="647"/>
      <c r="O345" s="650"/>
      <c r="P345" s="643" t="s">
        <v>69</v>
      </c>
      <c r="Q345" s="644"/>
      <c r="R345" s="644"/>
      <c r="S345" s="644"/>
      <c r="T345" s="644"/>
      <c r="U345" s="644"/>
      <c r="V345" s="645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7"/>
      <c r="B346" s="647"/>
      <c r="C346" s="647"/>
      <c r="D346" s="647"/>
      <c r="E346" s="647"/>
      <c r="F346" s="647"/>
      <c r="G346" s="647"/>
      <c r="H346" s="647"/>
      <c r="I346" s="647"/>
      <c r="J346" s="647"/>
      <c r="K346" s="647"/>
      <c r="L346" s="647"/>
      <c r="M346" s="647"/>
      <c r="N346" s="647"/>
      <c r="O346" s="650"/>
      <c r="P346" s="643" t="s">
        <v>69</v>
      </c>
      <c r="Q346" s="644"/>
      <c r="R346" s="644"/>
      <c r="S346" s="644"/>
      <c r="T346" s="644"/>
      <c r="U346" s="644"/>
      <c r="V346" s="645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8" t="s">
        <v>71</v>
      </c>
      <c r="B347" s="647"/>
      <c r="C347" s="647"/>
      <c r="D347" s="647"/>
      <c r="E347" s="647"/>
      <c r="F347" s="647"/>
      <c r="G347" s="647"/>
      <c r="H347" s="647"/>
      <c r="I347" s="647"/>
      <c r="J347" s="647"/>
      <c r="K347" s="647"/>
      <c r="L347" s="647"/>
      <c r="M347" s="647"/>
      <c r="N347" s="647"/>
      <c r="O347" s="647"/>
      <c r="P347" s="647"/>
      <c r="Q347" s="647"/>
      <c r="R347" s="647"/>
      <c r="S347" s="647"/>
      <c r="T347" s="647"/>
      <c r="U347" s="647"/>
      <c r="V347" s="647"/>
      <c r="W347" s="647"/>
      <c r="X347" s="647"/>
      <c r="Y347" s="647"/>
      <c r="Z347" s="647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1">
        <v>4680115884618</v>
      </c>
      <c r="E348" s="642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2"/>
      <c r="R348" s="652"/>
      <c r="S348" s="652"/>
      <c r="T348" s="653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1">
        <v>4680115887114</v>
      </c>
      <c r="E349" s="642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2"/>
      <c r="R349" s="652"/>
      <c r="S349" s="652"/>
      <c r="T349" s="653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1">
        <v>4680115887466</v>
      </c>
      <c r="E350" s="642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3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2"/>
      <c r="R350" s="652"/>
      <c r="S350" s="652"/>
      <c r="T350" s="653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49"/>
      <c r="B351" s="647"/>
      <c r="C351" s="647"/>
      <c r="D351" s="647"/>
      <c r="E351" s="647"/>
      <c r="F351" s="647"/>
      <c r="G351" s="647"/>
      <c r="H351" s="647"/>
      <c r="I351" s="647"/>
      <c r="J351" s="647"/>
      <c r="K351" s="647"/>
      <c r="L351" s="647"/>
      <c r="M351" s="647"/>
      <c r="N351" s="647"/>
      <c r="O351" s="650"/>
      <c r="P351" s="643" t="s">
        <v>69</v>
      </c>
      <c r="Q351" s="644"/>
      <c r="R351" s="644"/>
      <c r="S351" s="644"/>
      <c r="T351" s="644"/>
      <c r="U351" s="644"/>
      <c r="V351" s="645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7"/>
      <c r="B352" s="647"/>
      <c r="C352" s="647"/>
      <c r="D352" s="647"/>
      <c r="E352" s="647"/>
      <c r="F352" s="647"/>
      <c r="G352" s="647"/>
      <c r="H352" s="647"/>
      <c r="I352" s="647"/>
      <c r="J352" s="647"/>
      <c r="K352" s="647"/>
      <c r="L352" s="647"/>
      <c r="M352" s="647"/>
      <c r="N352" s="647"/>
      <c r="O352" s="650"/>
      <c r="P352" s="643" t="s">
        <v>69</v>
      </c>
      <c r="Q352" s="644"/>
      <c r="R352" s="644"/>
      <c r="S352" s="644"/>
      <c r="T352" s="644"/>
      <c r="U352" s="644"/>
      <c r="V352" s="645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6" t="s">
        <v>579</v>
      </c>
      <c r="B353" s="647"/>
      <c r="C353" s="647"/>
      <c r="D353" s="647"/>
      <c r="E353" s="647"/>
      <c r="F353" s="647"/>
      <c r="G353" s="647"/>
      <c r="H353" s="647"/>
      <c r="I353" s="647"/>
      <c r="J353" s="647"/>
      <c r="K353" s="647"/>
      <c r="L353" s="647"/>
      <c r="M353" s="647"/>
      <c r="N353" s="647"/>
      <c r="O353" s="647"/>
      <c r="P353" s="647"/>
      <c r="Q353" s="647"/>
      <c r="R353" s="647"/>
      <c r="S353" s="647"/>
      <c r="T353" s="647"/>
      <c r="U353" s="647"/>
      <c r="V353" s="647"/>
      <c r="W353" s="647"/>
      <c r="X353" s="647"/>
      <c r="Y353" s="647"/>
      <c r="Z353" s="647"/>
      <c r="AA353" s="630"/>
      <c r="AB353" s="630"/>
      <c r="AC353" s="630"/>
    </row>
    <row r="354" spans="1:68" ht="14.25" hidden="1" customHeight="1" x14ac:dyDescent="0.25">
      <c r="A354" s="648" t="s">
        <v>62</v>
      </c>
      <c r="B354" s="647"/>
      <c r="C354" s="647"/>
      <c r="D354" s="647"/>
      <c r="E354" s="647"/>
      <c r="F354" s="647"/>
      <c r="G354" s="647"/>
      <c r="H354" s="647"/>
      <c r="I354" s="647"/>
      <c r="J354" s="647"/>
      <c r="K354" s="647"/>
      <c r="L354" s="647"/>
      <c r="M354" s="647"/>
      <c r="N354" s="647"/>
      <c r="O354" s="647"/>
      <c r="P354" s="647"/>
      <c r="Q354" s="647"/>
      <c r="R354" s="647"/>
      <c r="S354" s="647"/>
      <c r="T354" s="647"/>
      <c r="U354" s="647"/>
      <c r="V354" s="647"/>
      <c r="W354" s="647"/>
      <c r="X354" s="647"/>
      <c r="Y354" s="647"/>
      <c r="Z354" s="647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1">
        <v>4680115886001</v>
      </c>
      <c r="E355" s="642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3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2"/>
      <c r="R355" s="652"/>
      <c r="S355" s="652"/>
      <c r="T355" s="653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9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50"/>
      <c r="P356" s="643" t="s">
        <v>69</v>
      </c>
      <c r="Q356" s="644"/>
      <c r="R356" s="644"/>
      <c r="S356" s="644"/>
      <c r="T356" s="644"/>
      <c r="U356" s="644"/>
      <c r="V356" s="645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7"/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50"/>
      <c r="P357" s="643" t="s">
        <v>69</v>
      </c>
      <c r="Q357" s="644"/>
      <c r="R357" s="644"/>
      <c r="S357" s="644"/>
      <c r="T357" s="644"/>
      <c r="U357" s="644"/>
      <c r="V357" s="64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8" t="s">
        <v>71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1">
        <v>4680115886087</v>
      </c>
      <c r="E359" s="642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2"/>
      <c r="R359" s="652"/>
      <c r="S359" s="652"/>
      <c r="T359" s="653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49"/>
      <c r="B360" s="647"/>
      <c r="C360" s="647"/>
      <c r="D360" s="647"/>
      <c r="E360" s="647"/>
      <c r="F360" s="647"/>
      <c r="G360" s="647"/>
      <c r="H360" s="647"/>
      <c r="I360" s="647"/>
      <c r="J360" s="647"/>
      <c r="K360" s="647"/>
      <c r="L360" s="647"/>
      <c r="M360" s="647"/>
      <c r="N360" s="647"/>
      <c r="O360" s="650"/>
      <c r="P360" s="643" t="s">
        <v>69</v>
      </c>
      <c r="Q360" s="644"/>
      <c r="R360" s="644"/>
      <c r="S360" s="644"/>
      <c r="T360" s="644"/>
      <c r="U360" s="644"/>
      <c r="V360" s="645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7"/>
      <c r="B361" s="647"/>
      <c r="C361" s="647"/>
      <c r="D361" s="647"/>
      <c r="E361" s="647"/>
      <c r="F361" s="647"/>
      <c r="G361" s="647"/>
      <c r="H361" s="647"/>
      <c r="I361" s="647"/>
      <c r="J361" s="647"/>
      <c r="K361" s="647"/>
      <c r="L361" s="647"/>
      <c r="M361" s="647"/>
      <c r="N361" s="647"/>
      <c r="O361" s="650"/>
      <c r="P361" s="643" t="s">
        <v>69</v>
      </c>
      <c r="Q361" s="644"/>
      <c r="R361" s="644"/>
      <c r="S361" s="644"/>
      <c r="T361" s="644"/>
      <c r="U361" s="644"/>
      <c r="V361" s="645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6" t="s">
        <v>586</v>
      </c>
      <c r="B362" s="647"/>
      <c r="C362" s="647"/>
      <c r="D362" s="647"/>
      <c r="E362" s="647"/>
      <c r="F362" s="647"/>
      <c r="G362" s="647"/>
      <c r="H362" s="647"/>
      <c r="I362" s="647"/>
      <c r="J362" s="647"/>
      <c r="K362" s="647"/>
      <c r="L362" s="647"/>
      <c r="M362" s="647"/>
      <c r="N362" s="647"/>
      <c r="O362" s="647"/>
      <c r="P362" s="647"/>
      <c r="Q362" s="647"/>
      <c r="R362" s="647"/>
      <c r="S362" s="647"/>
      <c r="T362" s="647"/>
      <c r="U362" s="647"/>
      <c r="V362" s="647"/>
      <c r="W362" s="647"/>
      <c r="X362" s="647"/>
      <c r="Y362" s="647"/>
      <c r="Z362" s="647"/>
      <c r="AA362" s="630"/>
      <c r="AB362" s="630"/>
      <c r="AC362" s="630"/>
    </row>
    <row r="363" spans="1:68" ht="14.25" hidden="1" customHeight="1" x14ac:dyDescent="0.25">
      <c r="A363" s="648" t="s">
        <v>119</v>
      </c>
      <c r="B363" s="647"/>
      <c r="C363" s="647"/>
      <c r="D363" s="647"/>
      <c r="E363" s="647"/>
      <c r="F363" s="647"/>
      <c r="G363" s="647"/>
      <c r="H363" s="647"/>
      <c r="I363" s="647"/>
      <c r="J363" s="647"/>
      <c r="K363" s="647"/>
      <c r="L363" s="647"/>
      <c r="M363" s="647"/>
      <c r="N363" s="647"/>
      <c r="O363" s="647"/>
      <c r="P363" s="647"/>
      <c r="Q363" s="647"/>
      <c r="R363" s="647"/>
      <c r="S363" s="647"/>
      <c r="T363" s="647"/>
      <c r="U363" s="647"/>
      <c r="V363" s="647"/>
      <c r="W363" s="647"/>
      <c r="X363" s="647"/>
      <c r="Y363" s="647"/>
      <c r="Z363" s="647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41">
        <v>4680115887947</v>
      </c>
      <c r="E364" s="642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2"/>
      <c r="R364" s="652"/>
      <c r="S364" s="652"/>
      <c r="T364" s="653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41">
        <v>4680115887978</v>
      </c>
      <c r="E365" s="642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2"/>
      <c r="R365" s="652"/>
      <c r="S365" s="652"/>
      <c r="T365" s="653"/>
      <c r="U365" s="34"/>
      <c r="V365" s="34"/>
      <c r="W365" s="35" t="s">
        <v>67</v>
      </c>
      <c r="X365" s="635">
        <v>124</v>
      </c>
      <c r="Y365" s="636">
        <f>IFERROR(IF(X365="",0,CEILING((X365/$H365),1)*$H365),"")</f>
        <v>124.8</v>
      </c>
      <c r="Z365" s="36">
        <f>IFERROR(IF(Y365=0,"",ROUNDUP(Y365/H365,0)*0.01898),"")</f>
        <v>0.30368000000000001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130.51794871794874</v>
      </c>
      <c r="BN365" s="64">
        <f>IFERROR(Y365*I365/H365,"0")</f>
        <v>131.36000000000001</v>
      </c>
      <c r="BO365" s="64">
        <f>IFERROR(1/J365*(X365/H365),"0")</f>
        <v>0.2483974358974359</v>
      </c>
      <c r="BP365" s="64">
        <f>IFERROR(1/J365*(Y365/H365),"0")</f>
        <v>0.25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41">
        <v>4680115887992</v>
      </c>
      <c r="E366" s="642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2"/>
      <c r="R366" s="652"/>
      <c r="S366" s="652"/>
      <c r="T366" s="653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49"/>
      <c r="B367" s="647"/>
      <c r="C367" s="647"/>
      <c r="D367" s="647"/>
      <c r="E367" s="647"/>
      <c r="F367" s="647"/>
      <c r="G367" s="647"/>
      <c r="H367" s="647"/>
      <c r="I367" s="647"/>
      <c r="J367" s="647"/>
      <c r="K367" s="647"/>
      <c r="L367" s="647"/>
      <c r="M367" s="647"/>
      <c r="N367" s="647"/>
      <c r="O367" s="650"/>
      <c r="P367" s="643" t="s">
        <v>69</v>
      </c>
      <c r="Q367" s="644"/>
      <c r="R367" s="644"/>
      <c r="S367" s="644"/>
      <c r="T367" s="644"/>
      <c r="U367" s="644"/>
      <c r="V367" s="645"/>
      <c r="W367" s="37" t="s">
        <v>70</v>
      </c>
      <c r="X367" s="637">
        <f>IFERROR(X364/H364,"0")+IFERROR(X365/H365,"0")+IFERROR(X366/H366,"0")</f>
        <v>15.897435897435898</v>
      </c>
      <c r="Y367" s="637">
        <f>IFERROR(Y364/H364,"0")+IFERROR(Y365/H365,"0")+IFERROR(Y366/H366,"0")</f>
        <v>16</v>
      </c>
      <c r="Z367" s="637">
        <f>IFERROR(IF(Z364="",0,Z364),"0")+IFERROR(IF(Z365="",0,Z365),"0")+IFERROR(IF(Z366="",0,Z366),"0")</f>
        <v>0.30368000000000001</v>
      </c>
      <c r="AA367" s="638"/>
      <c r="AB367" s="638"/>
      <c r="AC367" s="638"/>
    </row>
    <row r="368" spans="1:68" x14ac:dyDescent="0.2">
      <c r="A368" s="647"/>
      <c r="B368" s="647"/>
      <c r="C368" s="647"/>
      <c r="D368" s="647"/>
      <c r="E368" s="647"/>
      <c r="F368" s="647"/>
      <c r="G368" s="647"/>
      <c r="H368" s="647"/>
      <c r="I368" s="647"/>
      <c r="J368" s="647"/>
      <c r="K368" s="647"/>
      <c r="L368" s="647"/>
      <c r="M368" s="647"/>
      <c r="N368" s="647"/>
      <c r="O368" s="650"/>
      <c r="P368" s="643" t="s">
        <v>69</v>
      </c>
      <c r="Q368" s="644"/>
      <c r="R368" s="644"/>
      <c r="S368" s="644"/>
      <c r="T368" s="644"/>
      <c r="U368" s="644"/>
      <c r="V368" s="645"/>
      <c r="W368" s="37" t="s">
        <v>67</v>
      </c>
      <c r="X368" s="637">
        <f>IFERROR(SUM(X364:X366),"0")</f>
        <v>124</v>
      </c>
      <c r="Y368" s="637">
        <f>IFERROR(SUM(Y364:Y366),"0")</f>
        <v>124.8</v>
      </c>
      <c r="Z368" s="37"/>
      <c r="AA368" s="638"/>
      <c r="AB368" s="638"/>
      <c r="AC368" s="638"/>
    </row>
    <row r="369" spans="1:68" ht="16.5" hidden="1" customHeight="1" x14ac:dyDescent="0.25">
      <c r="A369" s="646" t="s">
        <v>595</v>
      </c>
      <c r="B369" s="647"/>
      <c r="C369" s="647"/>
      <c r="D369" s="647"/>
      <c r="E369" s="647"/>
      <c r="F369" s="647"/>
      <c r="G369" s="647"/>
      <c r="H369" s="647"/>
      <c r="I369" s="647"/>
      <c r="J369" s="647"/>
      <c r="K369" s="647"/>
      <c r="L369" s="647"/>
      <c r="M369" s="647"/>
      <c r="N369" s="647"/>
      <c r="O369" s="647"/>
      <c r="P369" s="647"/>
      <c r="Q369" s="647"/>
      <c r="R369" s="647"/>
      <c r="S369" s="647"/>
      <c r="T369" s="647"/>
      <c r="U369" s="647"/>
      <c r="V369" s="647"/>
      <c r="W369" s="647"/>
      <c r="X369" s="647"/>
      <c r="Y369" s="647"/>
      <c r="Z369" s="647"/>
      <c r="AA369" s="630"/>
      <c r="AB369" s="630"/>
      <c r="AC369" s="630"/>
    </row>
    <row r="370" spans="1:68" ht="14.25" hidden="1" customHeight="1" x14ac:dyDescent="0.25">
      <c r="A370" s="648" t="s">
        <v>119</v>
      </c>
      <c r="B370" s="647"/>
      <c r="C370" s="647"/>
      <c r="D370" s="647"/>
      <c r="E370" s="647"/>
      <c r="F370" s="647"/>
      <c r="G370" s="647"/>
      <c r="H370" s="647"/>
      <c r="I370" s="647"/>
      <c r="J370" s="647"/>
      <c r="K370" s="647"/>
      <c r="L370" s="647"/>
      <c r="M370" s="647"/>
      <c r="N370" s="647"/>
      <c r="O370" s="647"/>
      <c r="P370" s="647"/>
      <c r="Q370" s="647"/>
      <c r="R370" s="647"/>
      <c r="S370" s="647"/>
      <c r="T370" s="647"/>
      <c r="U370" s="647"/>
      <c r="V370" s="647"/>
      <c r="W370" s="647"/>
      <c r="X370" s="647"/>
      <c r="Y370" s="647"/>
      <c r="Z370" s="647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1">
        <v>4680115889293</v>
      </c>
      <c r="E371" s="642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2"/>
      <c r="R371" s="652"/>
      <c r="S371" s="652"/>
      <c r="T371" s="653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1">
        <v>4680115887190</v>
      </c>
      <c r="E372" s="642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2"/>
      <c r="R372" s="652"/>
      <c r="S372" s="652"/>
      <c r="T372" s="653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1">
        <v>4680115889880</v>
      </c>
      <c r="E373" s="642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2"/>
      <c r="R373" s="652"/>
      <c r="S373" s="652"/>
      <c r="T373" s="653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1">
        <v>4680115887138</v>
      </c>
      <c r="E374" s="642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2"/>
      <c r="R374" s="652"/>
      <c r="S374" s="652"/>
      <c r="T374" s="653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41">
        <v>4680115885554</v>
      </c>
      <c r="E375" s="642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2"/>
      <c r="R375" s="652"/>
      <c r="S375" s="652"/>
      <c r="T375" s="653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1">
        <v>4680115887220</v>
      </c>
      <c r="E376" s="642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2"/>
      <c r="R376" s="652"/>
      <c r="S376" s="652"/>
      <c r="T376" s="653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1">
        <v>4680115885608</v>
      </c>
      <c r="E377" s="642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2"/>
      <c r="R377" s="652"/>
      <c r="S377" s="652"/>
      <c r="T377" s="653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49"/>
      <c r="B378" s="647"/>
      <c r="C378" s="647"/>
      <c r="D378" s="647"/>
      <c r="E378" s="647"/>
      <c r="F378" s="647"/>
      <c r="G378" s="647"/>
      <c r="H378" s="647"/>
      <c r="I378" s="647"/>
      <c r="J378" s="647"/>
      <c r="K378" s="647"/>
      <c r="L378" s="647"/>
      <c r="M378" s="647"/>
      <c r="N378" s="647"/>
      <c r="O378" s="650"/>
      <c r="P378" s="643" t="s">
        <v>69</v>
      </c>
      <c r="Q378" s="644"/>
      <c r="R378" s="644"/>
      <c r="S378" s="644"/>
      <c r="T378" s="644"/>
      <c r="U378" s="644"/>
      <c r="V378" s="645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7"/>
      <c r="B379" s="647"/>
      <c r="C379" s="647"/>
      <c r="D379" s="647"/>
      <c r="E379" s="647"/>
      <c r="F379" s="647"/>
      <c r="G379" s="647"/>
      <c r="H379" s="647"/>
      <c r="I379" s="647"/>
      <c r="J379" s="647"/>
      <c r="K379" s="647"/>
      <c r="L379" s="647"/>
      <c r="M379" s="647"/>
      <c r="N379" s="647"/>
      <c r="O379" s="650"/>
      <c r="P379" s="643" t="s">
        <v>69</v>
      </c>
      <c r="Q379" s="644"/>
      <c r="R379" s="644"/>
      <c r="S379" s="644"/>
      <c r="T379" s="644"/>
      <c r="U379" s="644"/>
      <c r="V379" s="645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8" t="s">
        <v>62</v>
      </c>
      <c r="B380" s="647"/>
      <c r="C380" s="647"/>
      <c r="D380" s="647"/>
      <c r="E380" s="647"/>
      <c r="F380" s="647"/>
      <c r="G380" s="647"/>
      <c r="H380" s="647"/>
      <c r="I380" s="647"/>
      <c r="J380" s="647"/>
      <c r="K380" s="647"/>
      <c r="L380" s="647"/>
      <c r="M380" s="647"/>
      <c r="N380" s="647"/>
      <c r="O380" s="647"/>
      <c r="P380" s="647"/>
      <c r="Q380" s="647"/>
      <c r="R380" s="647"/>
      <c r="S380" s="647"/>
      <c r="T380" s="647"/>
      <c r="U380" s="647"/>
      <c r="V380" s="647"/>
      <c r="W380" s="647"/>
      <c r="X380" s="647"/>
      <c r="Y380" s="647"/>
      <c r="Z380" s="647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1">
        <v>4607091387193</v>
      </c>
      <c r="E381" s="642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2"/>
      <c r="R381" s="652"/>
      <c r="S381" s="652"/>
      <c r="T381" s="653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41">
        <v>4607091387230</v>
      </c>
      <c r="E382" s="642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2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2"/>
      <c r="R382" s="652"/>
      <c r="S382" s="652"/>
      <c r="T382" s="653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1">
        <v>4607091387292</v>
      </c>
      <c r="E383" s="642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2"/>
      <c r="R383" s="652"/>
      <c r="S383" s="652"/>
      <c r="T383" s="653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1">
        <v>4607091387285</v>
      </c>
      <c r="E384" s="642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2"/>
      <c r="R384" s="652"/>
      <c r="S384" s="652"/>
      <c r="T384" s="653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1">
        <v>4607091389845</v>
      </c>
      <c r="E385" s="642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9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2"/>
      <c r="R385" s="652"/>
      <c r="S385" s="652"/>
      <c r="T385" s="653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1">
        <v>4680115887442</v>
      </c>
      <c r="E386" s="642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2"/>
      <c r="R386" s="652"/>
      <c r="S386" s="652"/>
      <c r="T386" s="653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41">
        <v>4607091383836</v>
      </c>
      <c r="E387" s="642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2"/>
      <c r="R387" s="652"/>
      <c r="S387" s="652"/>
      <c r="T387" s="653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49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50"/>
      <c r="P388" s="643" t="s">
        <v>69</v>
      </c>
      <c r="Q388" s="644"/>
      <c r="R388" s="644"/>
      <c r="S388" s="644"/>
      <c r="T388" s="644"/>
      <c r="U388" s="644"/>
      <c r="V388" s="645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50"/>
      <c r="P389" s="643" t="s">
        <v>69</v>
      </c>
      <c r="Q389" s="644"/>
      <c r="R389" s="644"/>
      <c r="S389" s="644"/>
      <c r="T389" s="644"/>
      <c r="U389" s="644"/>
      <c r="V389" s="645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8" t="s">
        <v>71</v>
      </c>
      <c r="B390" s="647"/>
      <c r="C390" s="647"/>
      <c r="D390" s="647"/>
      <c r="E390" s="647"/>
      <c r="F390" s="647"/>
      <c r="G390" s="647"/>
      <c r="H390" s="647"/>
      <c r="I390" s="647"/>
      <c r="J390" s="647"/>
      <c r="K390" s="647"/>
      <c r="L390" s="647"/>
      <c r="M390" s="647"/>
      <c r="N390" s="647"/>
      <c r="O390" s="647"/>
      <c r="P390" s="647"/>
      <c r="Q390" s="647"/>
      <c r="R390" s="647"/>
      <c r="S390" s="647"/>
      <c r="T390" s="647"/>
      <c r="U390" s="647"/>
      <c r="V390" s="647"/>
      <c r="W390" s="647"/>
      <c r="X390" s="647"/>
      <c r="Y390" s="647"/>
      <c r="Z390" s="647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1">
        <v>4607091387766</v>
      </c>
      <c r="E391" s="642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2"/>
      <c r="R391" s="652"/>
      <c r="S391" s="652"/>
      <c r="T391" s="653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1">
        <v>4607091387957</v>
      </c>
      <c r="E392" s="642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2"/>
      <c r="R392" s="652"/>
      <c r="S392" s="652"/>
      <c r="T392" s="653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1">
        <v>4607091387964</v>
      </c>
      <c r="E393" s="642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2"/>
      <c r="R393" s="652"/>
      <c r="S393" s="652"/>
      <c r="T393" s="653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1">
        <v>4680115884588</v>
      </c>
      <c r="E394" s="642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2"/>
      <c r="R394" s="652"/>
      <c r="S394" s="652"/>
      <c r="T394" s="653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49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50"/>
      <c r="P395" s="643" t="s">
        <v>69</v>
      </c>
      <c r="Q395" s="644"/>
      <c r="R395" s="644"/>
      <c r="S395" s="644"/>
      <c r="T395" s="644"/>
      <c r="U395" s="644"/>
      <c r="V395" s="645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50"/>
      <c r="P396" s="643" t="s">
        <v>69</v>
      </c>
      <c r="Q396" s="644"/>
      <c r="R396" s="644"/>
      <c r="S396" s="644"/>
      <c r="T396" s="644"/>
      <c r="U396" s="644"/>
      <c r="V396" s="645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8" t="s">
        <v>173</v>
      </c>
      <c r="B397" s="647"/>
      <c r="C397" s="647"/>
      <c r="D397" s="647"/>
      <c r="E397" s="647"/>
      <c r="F397" s="647"/>
      <c r="G397" s="647"/>
      <c r="H397" s="647"/>
      <c r="I397" s="647"/>
      <c r="J397" s="647"/>
      <c r="K397" s="647"/>
      <c r="L397" s="647"/>
      <c r="M397" s="647"/>
      <c r="N397" s="647"/>
      <c r="O397" s="647"/>
      <c r="P397" s="647"/>
      <c r="Q397" s="647"/>
      <c r="R397" s="647"/>
      <c r="S397" s="647"/>
      <c r="T397" s="647"/>
      <c r="U397" s="647"/>
      <c r="V397" s="647"/>
      <c r="W397" s="647"/>
      <c r="X397" s="647"/>
      <c r="Y397" s="647"/>
      <c r="Z397" s="647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41">
        <v>4607091380880</v>
      </c>
      <c r="E398" s="642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2"/>
      <c r="R398" s="652"/>
      <c r="S398" s="652"/>
      <c r="T398" s="653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41">
        <v>4607091384482</v>
      </c>
      <c r="E399" s="642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2"/>
      <c r="R399" s="652"/>
      <c r="S399" s="652"/>
      <c r="T399" s="653"/>
      <c r="U399" s="34"/>
      <c r="V399" s="34"/>
      <c r="W399" s="35" t="s">
        <v>67</v>
      </c>
      <c r="X399" s="635">
        <v>206</v>
      </c>
      <c r="Y399" s="636">
        <f>IFERROR(IF(X399="",0,CEILING((X399/$H399),1)*$H399),"")</f>
        <v>210.6</v>
      </c>
      <c r="Z399" s="36">
        <f>IFERROR(IF(Y399=0,"",ROUNDUP(Y399/H399,0)*0.01898),"")</f>
        <v>0.51246000000000003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219.04666666666668</v>
      </c>
      <c r="BN399" s="64">
        <f>IFERROR(Y399*I399/H399,"0")</f>
        <v>223.93800000000002</v>
      </c>
      <c r="BO399" s="64">
        <f>IFERROR(1/J399*(X399/H399),"0")</f>
        <v>0.41266025641025644</v>
      </c>
      <c r="BP399" s="64">
        <f>IFERROR(1/J399*(Y399/H399),"0")</f>
        <v>0.421875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41">
        <v>4607091380897</v>
      </c>
      <c r="E400" s="642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2"/>
      <c r="R400" s="652"/>
      <c r="S400" s="652"/>
      <c r="T400" s="653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49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50"/>
      <c r="P401" s="643" t="s">
        <v>69</v>
      </c>
      <c r="Q401" s="644"/>
      <c r="R401" s="644"/>
      <c r="S401" s="644"/>
      <c r="T401" s="644"/>
      <c r="U401" s="644"/>
      <c r="V401" s="645"/>
      <c r="W401" s="37" t="s">
        <v>70</v>
      </c>
      <c r="X401" s="637">
        <f>IFERROR(X398/H398,"0")+IFERROR(X399/H399,"0")+IFERROR(X400/H400,"0")</f>
        <v>26.410256410256412</v>
      </c>
      <c r="Y401" s="637">
        <f>IFERROR(Y398/H398,"0")+IFERROR(Y399/H399,"0")+IFERROR(Y400/H400,"0")</f>
        <v>27</v>
      </c>
      <c r="Z401" s="637">
        <f>IFERROR(IF(Z398="",0,Z398),"0")+IFERROR(IF(Z399="",0,Z399),"0")+IFERROR(IF(Z400="",0,Z400),"0")</f>
        <v>0.51246000000000003</v>
      </c>
      <c r="AA401" s="638"/>
      <c r="AB401" s="638"/>
      <c r="AC401" s="638"/>
    </row>
    <row r="402" spans="1:68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50"/>
      <c r="P402" s="643" t="s">
        <v>69</v>
      </c>
      <c r="Q402" s="644"/>
      <c r="R402" s="644"/>
      <c r="S402" s="644"/>
      <c r="T402" s="644"/>
      <c r="U402" s="644"/>
      <c r="V402" s="645"/>
      <c r="W402" s="37" t="s">
        <v>67</v>
      </c>
      <c r="X402" s="637">
        <f>IFERROR(SUM(X398:X400),"0")</f>
        <v>206</v>
      </c>
      <c r="Y402" s="637">
        <f>IFERROR(SUM(Y398:Y400),"0")</f>
        <v>210.6</v>
      </c>
      <c r="Z402" s="37"/>
      <c r="AA402" s="638"/>
      <c r="AB402" s="638"/>
      <c r="AC402" s="638"/>
    </row>
    <row r="403" spans="1:68" ht="14.25" hidden="1" customHeight="1" x14ac:dyDescent="0.25">
      <c r="A403" s="648" t="s">
        <v>89</v>
      </c>
      <c r="B403" s="647"/>
      <c r="C403" s="647"/>
      <c r="D403" s="647"/>
      <c r="E403" s="647"/>
      <c r="F403" s="647"/>
      <c r="G403" s="647"/>
      <c r="H403" s="647"/>
      <c r="I403" s="647"/>
      <c r="J403" s="647"/>
      <c r="K403" s="647"/>
      <c r="L403" s="647"/>
      <c r="M403" s="647"/>
      <c r="N403" s="647"/>
      <c r="O403" s="647"/>
      <c r="P403" s="647"/>
      <c r="Q403" s="647"/>
      <c r="R403" s="647"/>
      <c r="S403" s="647"/>
      <c r="T403" s="647"/>
      <c r="U403" s="647"/>
      <c r="V403" s="647"/>
      <c r="W403" s="647"/>
      <c r="X403" s="647"/>
      <c r="Y403" s="647"/>
      <c r="Z403" s="647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1">
        <v>4607091388381</v>
      </c>
      <c r="E404" s="642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2"/>
      <c r="R404" s="652"/>
      <c r="S404" s="652"/>
      <c r="T404" s="653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41">
        <v>4607091388374</v>
      </c>
      <c r="E405" s="642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2"/>
      <c r="R405" s="652"/>
      <c r="S405" s="652"/>
      <c r="T405" s="653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41">
        <v>4607091383102</v>
      </c>
      <c r="E406" s="642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2"/>
      <c r="R406" s="652"/>
      <c r="S406" s="652"/>
      <c r="T406" s="653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41">
        <v>4607091388404</v>
      </c>
      <c r="E407" s="642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2"/>
      <c r="R407" s="652"/>
      <c r="S407" s="652"/>
      <c r="T407" s="653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49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50"/>
      <c r="P408" s="643" t="s">
        <v>69</v>
      </c>
      <c r="Q408" s="644"/>
      <c r="R408" s="644"/>
      <c r="S408" s="644"/>
      <c r="T408" s="644"/>
      <c r="U408" s="644"/>
      <c r="V408" s="645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7"/>
      <c r="B409" s="647"/>
      <c r="C409" s="647"/>
      <c r="D409" s="647"/>
      <c r="E409" s="647"/>
      <c r="F409" s="647"/>
      <c r="G409" s="647"/>
      <c r="H409" s="647"/>
      <c r="I409" s="647"/>
      <c r="J409" s="647"/>
      <c r="K409" s="647"/>
      <c r="L409" s="647"/>
      <c r="M409" s="647"/>
      <c r="N409" s="647"/>
      <c r="O409" s="650"/>
      <c r="P409" s="643" t="s">
        <v>69</v>
      </c>
      <c r="Q409" s="644"/>
      <c r="R409" s="644"/>
      <c r="S409" s="644"/>
      <c r="T409" s="644"/>
      <c r="U409" s="644"/>
      <c r="V409" s="645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8" t="s">
        <v>663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41">
        <v>4680115881808</v>
      </c>
      <c r="E411" s="642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2"/>
      <c r="R411" s="652"/>
      <c r="S411" s="652"/>
      <c r="T411" s="653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41">
        <v>4680115881822</v>
      </c>
      <c r="E412" s="642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2"/>
      <c r="R412" s="652"/>
      <c r="S412" s="652"/>
      <c r="T412" s="653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41">
        <v>4680115880016</v>
      </c>
      <c r="E413" s="642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2"/>
      <c r="R413" s="652"/>
      <c r="S413" s="652"/>
      <c r="T413" s="653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49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50"/>
      <c r="P414" s="643" t="s">
        <v>69</v>
      </c>
      <c r="Q414" s="644"/>
      <c r="R414" s="644"/>
      <c r="S414" s="644"/>
      <c r="T414" s="644"/>
      <c r="U414" s="644"/>
      <c r="V414" s="645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7"/>
      <c r="B415" s="647"/>
      <c r="C415" s="647"/>
      <c r="D415" s="647"/>
      <c r="E415" s="647"/>
      <c r="F415" s="647"/>
      <c r="G415" s="647"/>
      <c r="H415" s="647"/>
      <c r="I415" s="647"/>
      <c r="J415" s="647"/>
      <c r="K415" s="647"/>
      <c r="L415" s="647"/>
      <c r="M415" s="647"/>
      <c r="N415" s="647"/>
      <c r="O415" s="650"/>
      <c r="P415" s="643" t="s">
        <v>69</v>
      </c>
      <c r="Q415" s="644"/>
      <c r="R415" s="644"/>
      <c r="S415" s="644"/>
      <c r="T415" s="644"/>
      <c r="U415" s="644"/>
      <c r="V415" s="645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8" t="s">
        <v>672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1">
        <v>4680115888678</v>
      </c>
      <c r="E417" s="642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2"/>
      <c r="R417" s="652"/>
      <c r="S417" s="652"/>
      <c r="T417" s="653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1">
        <v>4680115888654</v>
      </c>
      <c r="E418" s="642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2"/>
      <c r="R418" s="652"/>
      <c r="S418" s="652"/>
      <c r="T418" s="653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1">
        <v>4680115888753</v>
      </c>
      <c r="E419" s="642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2"/>
      <c r="R419" s="652"/>
      <c r="S419" s="652"/>
      <c r="T419" s="653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49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50"/>
      <c r="P420" s="643" t="s">
        <v>69</v>
      </c>
      <c r="Q420" s="644"/>
      <c r="R420" s="644"/>
      <c r="S420" s="644"/>
      <c r="T420" s="644"/>
      <c r="U420" s="644"/>
      <c r="V420" s="645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50"/>
      <c r="P421" s="643" t="s">
        <v>69</v>
      </c>
      <c r="Q421" s="644"/>
      <c r="R421" s="644"/>
      <c r="S421" s="644"/>
      <c r="T421" s="644"/>
      <c r="U421" s="644"/>
      <c r="V421" s="645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6" t="s">
        <v>681</v>
      </c>
      <c r="B422" s="647"/>
      <c r="C422" s="647"/>
      <c r="D422" s="647"/>
      <c r="E422" s="647"/>
      <c r="F422" s="647"/>
      <c r="G422" s="647"/>
      <c r="H422" s="647"/>
      <c r="I422" s="647"/>
      <c r="J422" s="647"/>
      <c r="K422" s="647"/>
      <c r="L422" s="647"/>
      <c r="M422" s="647"/>
      <c r="N422" s="647"/>
      <c r="O422" s="647"/>
      <c r="P422" s="647"/>
      <c r="Q422" s="647"/>
      <c r="R422" s="647"/>
      <c r="S422" s="647"/>
      <c r="T422" s="647"/>
      <c r="U422" s="647"/>
      <c r="V422" s="647"/>
      <c r="W422" s="647"/>
      <c r="X422" s="647"/>
      <c r="Y422" s="647"/>
      <c r="Z422" s="647"/>
      <c r="AA422" s="630"/>
      <c r="AB422" s="630"/>
      <c r="AC422" s="630"/>
    </row>
    <row r="423" spans="1:68" ht="14.25" hidden="1" customHeight="1" x14ac:dyDescent="0.25">
      <c r="A423" s="648" t="s">
        <v>71</v>
      </c>
      <c r="B423" s="647"/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  <c r="M423" s="647"/>
      <c r="N423" s="647"/>
      <c r="O423" s="647"/>
      <c r="P423" s="647"/>
      <c r="Q423" s="647"/>
      <c r="R423" s="647"/>
      <c r="S423" s="647"/>
      <c r="T423" s="647"/>
      <c r="U423" s="647"/>
      <c r="V423" s="647"/>
      <c r="W423" s="647"/>
      <c r="X423" s="647"/>
      <c r="Y423" s="647"/>
      <c r="Z423" s="647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1">
        <v>4660663720026</v>
      </c>
      <c r="E424" s="642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21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2"/>
      <c r="R424" s="652"/>
      <c r="S424" s="652"/>
      <c r="T424" s="653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1">
        <v>4680115889422</v>
      </c>
      <c r="E425" s="642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2"/>
      <c r="R425" s="652"/>
      <c r="S425" s="652"/>
      <c r="T425" s="653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1">
        <v>4680115889972</v>
      </c>
      <c r="E426" s="642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2"/>
      <c r="R426" s="652"/>
      <c r="S426" s="652"/>
      <c r="T426" s="653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49"/>
      <c r="B427" s="647"/>
      <c r="C427" s="647"/>
      <c r="D427" s="647"/>
      <c r="E427" s="647"/>
      <c r="F427" s="647"/>
      <c r="G427" s="647"/>
      <c r="H427" s="647"/>
      <c r="I427" s="647"/>
      <c r="J427" s="647"/>
      <c r="K427" s="647"/>
      <c r="L427" s="647"/>
      <c r="M427" s="647"/>
      <c r="N427" s="647"/>
      <c r="O427" s="650"/>
      <c r="P427" s="643" t="s">
        <v>69</v>
      </c>
      <c r="Q427" s="644"/>
      <c r="R427" s="644"/>
      <c r="S427" s="644"/>
      <c r="T427" s="644"/>
      <c r="U427" s="644"/>
      <c r="V427" s="645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7"/>
      <c r="B428" s="647"/>
      <c r="C428" s="647"/>
      <c r="D428" s="647"/>
      <c r="E428" s="647"/>
      <c r="F428" s="647"/>
      <c r="G428" s="647"/>
      <c r="H428" s="647"/>
      <c r="I428" s="647"/>
      <c r="J428" s="647"/>
      <c r="K428" s="647"/>
      <c r="L428" s="647"/>
      <c r="M428" s="647"/>
      <c r="N428" s="647"/>
      <c r="O428" s="650"/>
      <c r="P428" s="643" t="s">
        <v>69</v>
      </c>
      <c r="Q428" s="644"/>
      <c r="R428" s="644"/>
      <c r="S428" s="644"/>
      <c r="T428" s="644"/>
      <c r="U428" s="644"/>
      <c r="V428" s="645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6" t="s">
        <v>690</v>
      </c>
      <c r="B429" s="647"/>
      <c r="C429" s="647"/>
      <c r="D429" s="647"/>
      <c r="E429" s="647"/>
      <c r="F429" s="647"/>
      <c r="G429" s="647"/>
      <c r="H429" s="647"/>
      <c r="I429" s="647"/>
      <c r="J429" s="647"/>
      <c r="K429" s="647"/>
      <c r="L429" s="647"/>
      <c r="M429" s="647"/>
      <c r="N429" s="647"/>
      <c r="O429" s="647"/>
      <c r="P429" s="647"/>
      <c r="Q429" s="647"/>
      <c r="R429" s="647"/>
      <c r="S429" s="647"/>
      <c r="T429" s="647"/>
      <c r="U429" s="647"/>
      <c r="V429" s="647"/>
      <c r="W429" s="647"/>
      <c r="X429" s="647"/>
      <c r="Y429" s="647"/>
      <c r="Z429" s="647"/>
      <c r="AA429" s="630"/>
      <c r="AB429" s="630"/>
      <c r="AC429" s="630"/>
    </row>
    <row r="430" spans="1:68" ht="14.25" hidden="1" customHeight="1" x14ac:dyDescent="0.25">
      <c r="A430" s="648" t="s">
        <v>71</v>
      </c>
      <c r="B430" s="647"/>
      <c r="C430" s="647"/>
      <c r="D430" s="647"/>
      <c r="E430" s="647"/>
      <c r="F430" s="647"/>
      <c r="G430" s="647"/>
      <c r="H430" s="647"/>
      <c r="I430" s="647"/>
      <c r="J430" s="647"/>
      <c r="K430" s="647"/>
      <c r="L430" s="647"/>
      <c r="M430" s="647"/>
      <c r="N430" s="647"/>
      <c r="O430" s="647"/>
      <c r="P430" s="647"/>
      <c r="Q430" s="647"/>
      <c r="R430" s="647"/>
      <c r="S430" s="647"/>
      <c r="T430" s="647"/>
      <c r="U430" s="647"/>
      <c r="V430" s="647"/>
      <c r="W430" s="647"/>
      <c r="X430" s="647"/>
      <c r="Y430" s="647"/>
      <c r="Z430" s="647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1">
        <v>4607091387919</v>
      </c>
      <c r="E431" s="642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2"/>
      <c r="R431" s="652"/>
      <c r="S431" s="652"/>
      <c r="T431" s="653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41">
        <v>4680115883604</v>
      </c>
      <c r="E432" s="642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2"/>
      <c r="R432" s="652"/>
      <c r="S432" s="652"/>
      <c r="T432" s="653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41">
        <v>4680115883567</v>
      </c>
      <c r="E433" s="642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10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2"/>
      <c r="R433" s="652"/>
      <c r="S433" s="652"/>
      <c r="T433" s="653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49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50"/>
      <c r="P434" s="643" t="s">
        <v>69</v>
      </c>
      <c r="Q434" s="644"/>
      <c r="R434" s="644"/>
      <c r="S434" s="644"/>
      <c r="T434" s="644"/>
      <c r="U434" s="644"/>
      <c r="V434" s="645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7"/>
      <c r="B435" s="647"/>
      <c r="C435" s="647"/>
      <c r="D435" s="647"/>
      <c r="E435" s="647"/>
      <c r="F435" s="647"/>
      <c r="G435" s="647"/>
      <c r="H435" s="647"/>
      <c r="I435" s="647"/>
      <c r="J435" s="647"/>
      <c r="K435" s="647"/>
      <c r="L435" s="647"/>
      <c r="M435" s="647"/>
      <c r="N435" s="647"/>
      <c r="O435" s="650"/>
      <c r="P435" s="643" t="s">
        <v>69</v>
      </c>
      <c r="Q435" s="644"/>
      <c r="R435" s="644"/>
      <c r="S435" s="644"/>
      <c r="T435" s="644"/>
      <c r="U435" s="644"/>
      <c r="V435" s="645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682" t="s">
        <v>700</v>
      </c>
      <c r="B436" s="683"/>
      <c r="C436" s="683"/>
      <c r="D436" s="683"/>
      <c r="E436" s="683"/>
      <c r="F436" s="683"/>
      <c r="G436" s="683"/>
      <c r="H436" s="683"/>
      <c r="I436" s="683"/>
      <c r="J436" s="683"/>
      <c r="K436" s="683"/>
      <c r="L436" s="683"/>
      <c r="M436" s="683"/>
      <c r="N436" s="683"/>
      <c r="O436" s="683"/>
      <c r="P436" s="683"/>
      <c r="Q436" s="683"/>
      <c r="R436" s="683"/>
      <c r="S436" s="683"/>
      <c r="T436" s="683"/>
      <c r="U436" s="683"/>
      <c r="V436" s="683"/>
      <c r="W436" s="683"/>
      <c r="X436" s="683"/>
      <c r="Y436" s="683"/>
      <c r="Z436" s="683"/>
      <c r="AA436" s="48"/>
      <c r="AB436" s="48"/>
      <c r="AC436" s="48"/>
    </row>
    <row r="437" spans="1:68" ht="16.5" hidden="1" customHeight="1" x14ac:dyDescent="0.25">
      <c r="A437" s="646" t="s">
        <v>701</v>
      </c>
      <c r="B437" s="647"/>
      <c r="C437" s="647"/>
      <c r="D437" s="647"/>
      <c r="E437" s="647"/>
      <c r="F437" s="647"/>
      <c r="G437" s="647"/>
      <c r="H437" s="647"/>
      <c r="I437" s="647"/>
      <c r="J437" s="647"/>
      <c r="K437" s="647"/>
      <c r="L437" s="647"/>
      <c r="M437" s="647"/>
      <c r="N437" s="647"/>
      <c r="O437" s="647"/>
      <c r="P437" s="647"/>
      <c r="Q437" s="647"/>
      <c r="R437" s="647"/>
      <c r="S437" s="647"/>
      <c r="T437" s="647"/>
      <c r="U437" s="647"/>
      <c r="V437" s="647"/>
      <c r="W437" s="647"/>
      <c r="X437" s="647"/>
      <c r="Y437" s="647"/>
      <c r="Z437" s="647"/>
      <c r="AA437" s="630"/>
      <c r="AB437" s="630"/>
      <c r="AC437" s="630"/>
    </row>
    <row r="438" spans="1:68" ht="14.25" hidden="1" customHeight="1" x14ac:dyDescent="0.25">
      <c r="A438" s="648" t="s">
        <v>119</v>
      </c>
      <c r="B438" s="647"/>
      <c r="C438" s="647"/>
      <c r="D438" s="647"/>
      <c r="E438" s="647"/>
      <c r="F438" s="647"/>
      <c r="G438" s="647"/>
      <c r="H438" s="647"/>
      <c r="I438" s="647"/>
      <c r="J438" s="647"/>
      <c r="K438" s="647"/>
      <c r="L438" s="647"/>
      <c r="M438" s="647"/>
      <c r="N438" s="647"/>
      <c r="O438" s="647"/>
      <c r="P438" s="647"/>
      <c r="Q438" s="647"/>
      <c r="R438" s="647"/>
      <c r="S438" s="647"/>
      <c r="T438" s="647"/>
      <c r="U438" s="647"/>
      <c r="V438" s="647"/>
      <c r="W438" s="647"/>
      <c r="X438" s="647"/>
      <c r="Y438" s="647"/>
      <c r="Z438" s="647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41">
        <v>4680115888401</v>
      </c>
      <c r="E439" s="642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9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2"/>
      <c r="R439" s="652"/>
      <c r="S439" s="652"/>
      <c r="T439" s="653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hidden="1" customHeight="1" x14ac:dyDescent="0.25">
      <c r="A440" s="54" t="s">
        <v>705</v>
      </c>
      <c r="B440" s="54" t="s">
        <v>706</v>
      </c>
      <c r="C440" s="31">
        <v>4301011869</v>
      </c>
      <c r="D440" s="641">
        <v>4680115884847</v>
      </c>
      <c r="E440" s="642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2"/>
      <c r="R440" s="652"/>
      <c r="S440" s="652"/>
      <c r="T440" s="653"/>
      <c r="U440" s="34"/>
      <c r="V440" s="34"/>
      <c r="W440" s="35" t="s">
        <v>67</v>
      </c>
      <c r="X440" s="635">
        <v>0</v>
      </c>
      <c r="Y440" s="636">
        <f t="shared" si="61"/>
        <v>0</v>
      </c>
      <c r="Z440" s="36" t="str">
        <f>IFERROR(IF(Y440=0,"",ROUNDUP(Y440/H440,0)*0.02175),"")</f>
        <v/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0</v>
      </c>
      <c r="BN440" s="64">
        <f t="shared" si="63"/>
        <v>0</v>
      </c>
      <c r="BO440" s="64">
        <f t="shared" si="64"/>
        <v>0</v>
      </c>
      <c r="BP440" s="64">
        <f t="shared" si="65"/>
        <v>0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41">
        <v>4680115884854</v>
      </c>
      <c r="E441" s="642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2"/>
      <c r="R441" s="652"/>
      <c r="S441" s="652"/>
      <c r="T441" s="653"/>
      <c r="U441" s="34"/>
      <c r="V441" s="34"/>
      <c r="W441" s="35" t="s">
        <v>67</v>
      </c>
      <c r="X441" s="635">
        <v>11</v>
      </c>
      <c r="Y441" s="636">
        <f t="shared" si="61"/>
        <v>15</v>
      </c>
      <c r="Z441" s="36">
        <f>IFERROR(IF(Y441=0,"",ROUNDUP(Y441/H441,0)*0.02175),"")</f>
        <v>2.1749999999999999E-2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11.344666666666667</v>
      </c>
      <c r="BN441" s="64">
        <f t="shared" si="63"/>
        <v>15.47</v>
      </c>
      <c r="BO441" s="64">
        <f t="shared" si="64"/>
        <v>1.5277777777777776E-2</v>
      </c>
      <c r="BP441" s="64">
        <f t="shared" si="65"/>
        <v>2.0833333333333332E-2</v>
      </c>
    </row>
    <row r="442" spans="1:68" ht="27" hidden="1" customHeight="1" x14ac:dyDescent="0.25">
      <c r="A442" s="54" t="s">
        <v>711</v>
      </c>
      <c r="B442" s="54" t="s">
        <v>712</v>
      </c>
      <c r="C442" s="31">
        <v>4301011867</v>
      </c>
      <c r="D442" s="641">
        <v>4680115884830</v>
      </c>
      <c r="E442" s="642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2"/>
      <c r="R442" s="652"/>
      <c r="S442" s="652"/>
      <c r="T442" s="653"/>
      <c r="U442" s="34"/>
      <c r="V442" s="34"/>
      <c r="W442" s="35" t="s">
        <v>67</v>
      </c>
      <c r="X442" s="635">
        <v>0</v>
      </c>
      <c r="Y442" s="636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41">
        <v>4680115889231</v>
      </c>
      <c r="E443" s="642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2"/>
      <c r="R443" s="652"/>
      <c r="S443" s="652"/>
      <c r="T443" s="653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1">
        <v>4680115882638</v>
      </c>
      <c r="E444" s="642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2"/>
      <c r="R444" s="652"/>
      <c r="S444" s="652"/>
      <c r="T444" s="653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1">
        <v>4680115884922</v>
      </c>
      <c r="E445" s="642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2"/>
      <c r="R445" s="652"/>
      <c r="S445" s="652"/>
      <c r="T445" s="653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1">
        <v>4680115884861</v>
      </c>
      <c r="E446" s="642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2"/>
      <c r="R446" s="652"/>
      <c r="S446" s="652"/>
      <c r="T446" s="653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49"/>
      <c r="B447" s="647"/>
      <c r="C447" s="647"/>
      <c r="D447" s="647"/>
      <c r="E447" s="647"/>
      <c r="F447" s="647"/>
      <c r="G447" s="647"/>
      <c r="H447" s="647"/>
      <c r="I447" s="647"/>
      <c r="J447" s="647"/>
      <c r="K447" s="647"/>
      <c r="L447" s="647"/>
      <c r="M447" s="647"/>
      <c r="N447" s="647"/>
      <c r="O447" s="650"/>
      <c r="P447" s="643" t="s">
        <v>69</v>
      </c>
      <c r="Q447" s="644"/>
      <c r="R447" s="644"/>
      <c r="S447" s="644"/>
      <c r="T447" s="644"/>
      <c r="U447" s="644"/>
      <c r="V447" s="645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0.73333333333333328</v>
      </c>
      <c r="Y447" s="637">
        <f>IFERROR(Y439/H439,"0")+IFERROR(Y440/H440,"0")+IFERROR(Y441/H441,"0")+IFERROR(Y442/H442,"0")+IFERROR(Y443/H443,"0")+IFERROR(Y444/H444,"0")+IFERROR(Y445/H445,"0")+IFERROR(Y446/H446,"0")</f>
        <v>1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2.1749999999999999E-2</v>
      </c>
      <c r="AA447" s="638"/>
      <c r="AB447" s="638"/>
      <c r="AC447" s="638"/>
    </row>
    <row r="448" spans="1:68" x14ac:dyDescent="0.2">
      <c r="A448" s="647"/>
      <c r="B448" s="647"/>
      <c r="C448" s="647"/>
      <c r="D448" s="647"/>
      <c r="E448" s="647"/>
      <c r="F448" s="647"/>
      <c r="G448" s="647"/>
      <c r="H448" s="647"/>
      <c r="I448" s="647"/>
      <c r="J448" s="647"/>
      <c r="K448" s="647"/>
      <c r="L448" s="647"/>
      <c r="M448" s="647"/>
      <c r="N448" s="647"/>
      <c r="O448" s="650"/>
      <c r="P448" s="643" t="s">
        <v>69</v>
      </c>
      <c r="Q448" s="644"/>
      <c r="R448" s="644"/>
      <c r="S448" s="644"/>
      <c r="T448" s="644"/>
      <c r="U448" s="644"/>
      <c r="V448" s="645"/>
      <c r="W448" s="37" t="s">
        <v>67</v>
      </c>
      <c r="X448" s="637">
        <f>IFERROR(SUM(X439:X446),"0")</f>
        <v>11</v>
      </c>
      <c r="Y448" s="637">
        <f>IFERROR(SUM(Y439:Y446),"0")</f>
        <v>15</v>
      </c>
      <c r="Z448" s="37"/>
      <c r="AA448" s="638"/>
      <c r="AB448" s="638"/>
      <c r="AC448" s="638"/>
    </row>
    <row r="449" spans="1:68" ht="14.25" hidden="1" customHeight="1" x14ac:dyDescent="0.25">
      <c r="A449" s="648" t="s">
        <v>155</v>
      </c>
      <c r="B449" s="647"/>
      <c r="C449" s="647"/>
      <c r="D449" s="647"/>
      <c r="E449" s="647"/>
      <c r="F449" s="647"/>
      <c r="G449" s="647"/>
      <c r="H449" s="647"/>
      <c r="I449" s="647"/>
      <c r="J449" s="647"/>
      <c r="K449" s="647"/>
      <c r="L449" s="647"/>
      <c r="M449" s="647"/>
      <c r="N449" s="647"/>
      <c r="O449" s="647"/>
      <c r="P449" s="647"/>
      <c r="Q449" s="647"/>
      <c r="R449" s="647"/>
      <c r="S449" s="647"/>
      <c r="T449" s="647"/>
      <c r="U449" s="647"/>
      <c r="V449" s="647"/>
      <c r="W449" s="647"/>
      <c r="X449" s="647"/>
      <c r="Y449" s="647"/>
      <c r="Z449" s="647"/>
      <c r="AA449" s="631"/>
      <c r="AB449" s="631"/>
      <c r="AC449" s="631"/>
    </row>
    <row r="450" spans="1:68" ht="27" hidden="1" customHeight="1" x14ac:dyDescent="0.25">
      <c r="A450" s="54" t="s">
        <v>726</v>
      </c>
      <c r="B450" s="54" t="s">
        <v>727</v>
      </c>
      <c r="C450" s="31">
        <v>4301020178</v>
      </c>
      <c r="D450" s="641">
        <v>4607091383980</v>
      </c>
      <c r="E450" s="642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2"/>
      <c r="R450" s="652"/>
      <c r="S450" s="652"/>
      <c r="T450" s="653"/>
      <c r="U450" s="34"/>
      <c r="V450" s="34"/>
      <c r="W450" s="35" t="s">
        <v>67</v>
      </c>
      <c r="X450" s="635">
        <v>0</v>
      </c>
      <c r="Y450" s="636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41">
        <v>4680115888425</v>
      </c>
      <c r="E451" s="642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2"/>
      <c r="R451" s="652"/>
      <c r="S451" s="652"/>
      <c r="T451" s="653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1">
        <v>4607091384178</v>
      </c>
      <c r="E452" s="642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2"/>
      <c r="R452" s="652"/>
      <c r="S452" s="652"/>
      <c r="T452" s="653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49"/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50"/>
      <c r="P453" s="643" t="s">
        <v>69</v>
      </c>
      <c r="Q453" s="644"/>
      <c r="R453" s="644"/>
      <c r="S453" s="644"/>
      <c r="T453" s="644"/>
      <c r="U453" s="644"/>
      <c r="V453" s="645"/>
      <c r="W453" s="37" t="s">
        <v>70</v>
      </c>
      <c r="X453" s="637">
        <f>IFERROR(X450/H450,"0")+IFERROR(X451/H451,"0")+IFERROR(X452/H452,"0")</f>
        <v>0</v>
      </c>
      <c r="Y453" s="637">
        <f>IFERROR(Y450/H450,"0")+IFERROR(Y451/H451,"0")+IFERROR(Y452/H452,"0")</f>
        <v>0</v>
      </c>
      <c r="Z453" s="637">
        <f>IFERROR(IF(Z450="",0,Z450),"0")+IFERROR(IF(Z451="",0,Z451),"0")+IFERROR(IF(Z452="",0,Z452),"0")</f>
        <v>0</v>
      </c>
      <c r="AA453" s="638"/>
      <c r="AB453" s="638"/>
      <c r="AC453" s="638"/>
    </row>
    <row r="454" spans="1:68" hidden="1" x14ac:dyDescent="0.2">
      <c r="A454" s="647"/>
      <c r="B454" s="647"/>
      <c r="C454" s="647"/>
      <c r="D454" s="647"/>
      <c r="E454" s="647"/>
      <c r="F454" s="647"/>
      <c r="G454" s="647"/>
      <c r="H454" s="647"/>
      <c r="I454" s="647"/>
      <c r="J454" s="647"/>
      <c r="K454" s="647"/>
      <c r="L454" s="647"/>
      <c r="M454" s="647"/>
      <c r="N454" s="647"/>
      <c r="O454" s="650"/>
      <c r="P454" s="643" t="s">
        <v>69</v>
      </c>
      <c r="Q454" s="644"/>
      <c r="R454" s="644"/>
      <c r="S454" s="644"/>
      <c r="T454" s="644"/>
      <c r="U454" s="644"/>
      <c r="V454" s="645"/>
      <c r="W454" s="37" t="s">
        <v>67</v>
      </c>
      <c r="X454" s="637">
        <f>IFERROR(SUM(X450:X452),"0")</f>
        <v>0</v>
      </c>
      <c r="Y454" s="637">
        <f>IFERROR(SUM(Y450:Y452),"0")</f>
        <v>0</v>
      </c>
      <c r="Z454" s="37"/>
      <c r="AA454" s="638"/>
      <c r="AB454" s="638"/>
      <c r="AC454" s="638"/>
    </row>
    <row r="455" spans="1:68" ht="14.25" hidden="1" customHeight="1" x14ac:dyDescent="0.25">
      <c r="A455" s="648" t="s">
        <v>71</v>
      </c>
      <c r="B455" s="647"/>
      <c r="C455" s="647"/>
      <c r="D455" s="647"/>
      <c r="E455" s="647"/>
      <c r="F455" s="647"/>
      <c r="G455" s="647"/>
      <c r="H455" s="647"/>
      <c r="I455" s="647"/>
      <c r="J455" s="647"/>
      <c r="K455" s="647"/>
      <c r="L455" s="647"/>
      <c r="M455" s="647"/>
      <c r="N455" s="647"/>
      <c r="O455" s="647"/>
      <c r="P455" s="647"/>
      <c r="Q455" s="647"/>
      <c r="R455" s="647"/>
      <c r="S455" s="647"/>
      <c r="T455" s="647"/>
      <c r="U455" s="647"/>
      <c r="V455" s="647"/>
      <c r="W455" s="647"/>
      <c r="X455" s="647"/>
      <c r="Y455" s="647"/>
      <c r="Z455" s="647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1">
        <v>4607091383928</v>
      </c>
      <c r="E456" s="642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2"/>
      <c r="R456" s="652"/>
      <c r="S456" s="652"/>
      <c r="T456" s="653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41">
        <v>4607091384260</v>
      </c>
      <c r="E457" s="642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2"/>
      <c r="R457" s="652"/>
      <c r="S457" s="652"/>
      <c r="T457" s="653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1">
        <v>4680115889538</v>
      </c>
      <c r="E458" s="642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2"/>
      <c r="R458" s="652"/>
      <c r="S458" s="652"/>
      <c r="T458" s="653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9"/>
      <c r="B459" s="647"/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  <c r="M459" s="647"/>
      <c r="N459" s="647"/>
      <c r="O459" s="650"/>
      <c r="P459" s="643" t="s">
        <v>69</v>
      </c>
      <c r="Q459" s="644"/>
      <c r="R459" s="644"/>
      <c r="S459" s="644"/>
      <c r="T459" s="644"/>
      <c r="U459" s="644"/>
      <c r="V459" s="645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50"/>
      <c r="P460" s="643" t="s">
        <v>69</v>
      </c>
      <c r="Q460" s="644"/>
      <c r="R460" s="644"/>
      <c r="S460" s="644"/>
      <c r="T460" s="644"/>
      <c r="U460" s="644"/>
      <c r="V460" s="645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8" t="s">
        <v>173</v>
      </c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7"/>
      <c r="P461" s="647"/>
      <c r="Q461" s="647"/>
      <c r="R461" s="647"/>
      <c r="S461" s="647"/>
      <c r="T461" s="647"/>
      <c r="U461" s="647"/>
      <c r="V461" s="647"/>
      <c r="W461" s="647"/>
      <c r="X461" s="647"/>
      <c r="Y461" s="647"/>
      <c r="Z461" s="647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1">
        <v>4680115889545</v>
      </c>
      <c r="E462" s="642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2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2"/>
      <c r="R462" s="652"/>
      <c r="S462" s="652"/>
      <c r="T462" s="653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41">
        <v>4607091384673</v>
      </c>
      <c r="E463" s="642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2"/>
      <c r="R463" s="652"/>
      <c r="S463" s="652"/>
      <c r="T463" s="653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49"/>
      <c r="B464" s="647"/>
      <c r="C464" s="647"/>
      <c r="D464" s="647"/>
      <c r="E464" s="647"/>
      <c r="F464" s="647"/>
      <c r="G464" s="647"/>
      <c r="H464" s="647"/>
      <c r="I464" s="647"/>
      <c r="J464" s="647"/>
      <c r="K464" s="647"/>
      <c r="L464" s="647"/>
      <c r="M464" s="647"/>
      <c r="N464" s="647"/>
      <c r="O464" s="650"/>
      <c r="P464" s="643" t="s">
        <v>69</v>
      </c>
      <c r="Q464" s="644"/>
      <c r="R464" s="644"/>
      <c r="S464" s="644"/>
      <c r="T464" s="644"/>
      <c r="U464" s="644"/>
      <c r="V464" s="645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7"/>
      <c r="B465" s="647"/>
      <c r="C465" s="647"/>
      <c r="D465" s="647"/>
      <c r="E465" s="647"/>
      <c r="F465" s="647"/>
      <c r="G465" s="647"/>
      <c r="H465" s="647"/>
      <c r="I465" s="647"/>
      <c r="J465" s="647"/>
      <c r="K465" s="647"/>
      <c r="L465" s="647"/>
      <c r="M465" s="647"/>
      <c r="N465" s="647"/>
      <c r="O465" s="650"/>
      <c r="P465" s="643" t="s">
        <v>69</v>
      </c>
      <c r="Q465" s="644"/>
      <c r="R465" s="644"/>
      <c r="S465" s="644"/>
      <c r="T465" s="644"/>
      <c r="U465" s="644"/>
      <c r="V465" s="645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46" t="s">
        <v>750</v>
      </c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7"/>
      <c r="P466" s="647"/>
      <c r="Q466" s="647"/>
      <c r="R466" s="647"/>
      <c r="S466" s="647"/>
      <c r="T466" s="647"/>
      <c r="U466" s="647"/>
      <c r="V466" s="647"/>
      <c r="W466" s="647"/>
      <c r="X466" s="647"/>
      <c r="Y466" s="647"/>
      <c r="Z466" s="647"/>
      <c r="AA466" s="630"/>
      <c r="AB466" s="630"/>
      <c r="AC466" s="630"/>
    </row>
    <row r="467" spans="1:68" ht="14.25" hidden="1" customHeight="1" x14ac:dyDescent="0.25">
      <c r="A467" s="648" t="s">
        <v>119</v>
      </c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7"/>
      <c r="P467" s="647"/>
      <c r="Q467" s="647"/>
      <c r="R467" s="647"/>
      <c r="S467" s="647"/>
      <c r="T467" s="647"/>
      <c r="U467" s="647"/>
      <c r="V467" s="647"/>
      <c r="W467" s="647"/>
      <c r="X467" s="647"/>
      <c r="Y467" s="647"/>
      <c r="Z467" s="647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1">
        <v>4680115884885</v>
      </c>
      <c r="E468" s="642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2"/>
      <c r="R468" s="652"/>
      <c r="S468" s="652"/>
      <c r="T468" s="653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1">
        <v>4680115884908</v>
      </c>
      <c r="E469" s="642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2"/>
      <c r="R469" s="652"/>
      <c r="S469" s="652"/>
      <c r="T469" s="653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49"/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50"/>
      <c r="P470" s="643" t="s">
        <v>69</v>
      </c>
      <c r="Q470" s="644"/>
      <c r="R470" s="644"/>
      <c r="S470" s="644"/>
      <c r="T470" s="644"/>
      <c r="U470" s="644"/>
      <c r="V470" s="645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7"/>
      <c r="B471" s="647"/>
      <c r="C471" s="647"/>
      <c r="D471" s="647"/>
      <c r="E471" s="647"/>
      <c r="F471" s="647"/>
      <c r="G471" s="647"/>
      <c r="H471" s="647"/>
      <c r="I471" s="647"/>
      <c r="J471" s="647"/>
      <c r="K471" s="647"/>
      <c r="L471" s="647"/>
      <c r="M471" s="647"/>
      <c r="N471" s="647"/>
      <c r="O471" s="650"/>
      <c r="P471" s="643" t="s">
        <v>69</v>
      </c>
      <c r="Q471" s="644"/>
      <c r="R471" s="644"/>
      <c r="S471" s="644"/>
      <c r="T471" s="644"/>
      <c r="U471" s="644"/>
      <c r="V471" s="645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8" t="s">
        <v>62</v>
      </c>
      <c r="B472" s="647"/>
      <c r="C472" s="647"/>
      <c r="D472" s="647"/>
      <c r="E472" s="647"/>
      <c r="F472" s="647"/>
      <c r="G472" s="647"/>
      <c r="H472" s="647"/>
      <c r="I472" s="647"/>
      <c r="J472" s="647"/>
      <c r="K472" s="647"/>
      <c r="L472" s="647"/>
      <c r="M472" s="647"/>
      <c r="N472" s="647"/>
      <c r="O472" s="647"/>
      <c r="P472" s="647"/>
      <c r="Q472" s="647"/>
      <c r="R472" s="647"/>
      <c r="S472" s="647"/>
      <c r="T472" s="647"/>
      <c r="U472" s="647"/>
      <c r="V472" s="647"/>
      <c r="W472" s="647"/>
      <c r="X472" s="647"/>
      <c r="Y472" s="647"/>
      <c r="Z472" s="647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1">
        <v>4607091384802</v>
      </c>
      <c r="E473" s="642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6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2"/>
      <c r="R473" s="652"/>
      <c r="S473" s="652"/>
      <c r="T473" s="653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49"/>
      <c r="B474" s="647"/>
      <c r="C474" s="647"/>
      <c r="D474" s="647"/>
      <c r="E474" s="647"/>
      <c r="F474" s="647"/>
      <c r="G474" s="647"/>
      <c r="H474" s="647"/>
      <c r="I474" s="647"/>
      <c r="J474" s="647"/>
      <c r="K474" s="647"/>
      <c r="L474" s="647"/>
      <c r="M474" s="647"/>
      <c r="N474" s="647"/>
      <c r="O474" s="650"/>
      <c r="P474" s="643" t="s">
        <v>69</v>
      </c>
      <c r="Q474" s="644"/>
      <c r="R474" s="644"/>
      <c r="S474" s="644"/>
      <c r="T474" s="644"/>
      <c r="U474" s="644"/>
      <c r="V474" s="645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7"/>
      <c r="B475" s="647"/>
      <c r="C475" s="647"/>
      <c r="D475" s="647"/>
      <c r="E475" s="647"/>
      <c r="F475" s="647"/>
      <c r="G475" s="647"/>
      <c r="H475" s="647"/>
      <c r="I475" s="647"/>
      <c r="J475" s="647"/>
      <c r="K475" s="647"/>
      <c r="L475" s="647"/>
      <c r="M475" s="647"/>
      <c r="N475" s="647"/>
      <c r="O475" s="650"/>
      <c r="P475" s="643" t="s">
        <v>69</v>
      </c>
      <c r="Q475" s="644"/>
      <c r="R475" s="644"/>
      <c r="S475" s="644"/>
      <c r="T475" s="644"/>
      <c r="U475" s="644"/>
      <c r="V475" s="645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8" t="s">
        <v>71</v>
      </c>
      <c r="B476" s="647"/>
      <c r="C476" s="647"/>
      <c r="D476" s="647"/>
      <c r="E476" s="647"/>
      <c r="F476" s="647"/>
      <c r="G476" s="647"/>
      <c r="H476" s="647"/>
      <c r="I476" s="647"/>
      <c r="J476" s="647"/>
      <c r="K476" s="647"/>
      <c r="L476" s="647"/>
      <c r="M476" s="647"/>
      <c r="N476" s="647"/>
      <c r="O476" s="647"/>
      <c r="P476" s="647"/>
      <c r="Q476" s="647"/>
      <c r="R476" s="647"/>
      <c r="S476" s="647"/>
      <c r="T476" s="647"/>
      <c r="U476" s="647"/>
      <c r="V476" s="647"/>
      <c r="W476" s="647"/>
      <c r="X476" s="647"/>
      <c r="Y476" s="647"/>
      <c r="Z476" s="647"/>
      <c r="AA476" s="631"/>
      <c r="AB476" s="631"/>
      <c r="AC476" s="631"/>
    </row>
    <row r="477" spans="1:68" ht="27" hidden="1" customHeight="1" x14ac:dyDescent="0.25">
      <c r="A477" s="54" t="s">
        <v>759</v>
      </c>
      <c r="B477" s="54" t="s">
        <v>760</v>
      </c>
      <c r="C477" s="31">
        <v>4301051899</v>
      </c>
      <c r="D477" s="641">
        <v>4607091384246</v>
      </c>
      <c r="E477" s="642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2"/>
      <c r="R477" s="652"/>
      <c r="S477" s="652"/>
      <c r="T477" s="653"/>
      <c r="U477" s="34"/>
      <c r="V477" s="34"/>
      <c r="W477" s="35" t="s">
        <v>67</v>
      </c>
      <c r="X477" s="635">
        <v>0</v>
      </c>
      <c r="Y477" s="636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41">
        <v>4607091384253</v>
      </c>
      <c r="E478" s="642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2"/>
      <c r="R478" s="652"/>
      <c r="S478" s="652"/>
      <c r="T478" s="653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1">
        <v>4607091384253</v>
      </c>
      <c r="E479" s="642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2"/>
      <c r="R479" s="652"/>
      <c r="S479" s="652"/>
      <c r="T479" s="653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49"/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50"/>
      <c r="P480" s="643" t="s">
        <v>69</v>
      </c>
      <c r="Q480" s="644"/>
      <c r="R480" s="644"/>
      <c r="S480" s="644"/>
      <c r="T480" s="644"/>
      <c r="U480" s="644"/>
      <c r="V480" s="645"/>
      <c r="W480" s="37" t="s">
        <v>70</v>
      </c>
      <c r="X480" s="637">
        <f>IFERROR(X477/H477,"0")+IFERROR(X478/H478,"0")+IFERROR(X479/H479,"0")</f>
        <v>0</v>
      </c>
      <c r="Y480" s="637">
        <f>IFERROR(Y477/H477,"0")+IFERROR(Y478/H478,"0")+IFERROR(Y479/H479,"0")</f>
        <v>0</v>
      </c>
      <c r="Z480" s="637">
        <f>IFERROR(IF(Z477="",0,Z477),"0")+IFERROR(IF(Z478="",0,Z478),"0")+IFERROR(IF(Z479="",0,Z479),"0")</f>
        <v>0</v>
      </c>
      <c r="AA480" s="638"/>
      <c r="AB480" s="638"/>
      <c r="AC480" s="638"/>
    </row>
    <row r="481" spans="1:68" hidden="1" x14ac:dyDescent="0.2">
      <c r="A481" s="647"/>
      <c r="B481" s="647"/>
      <c r="C481" s="647"/>
      <c r="D481" s="647"/>
      <c r="E481" s="647"/>
      <c r="F481" s="647"/>
      <c r="G481" s="647"/>
      <c r="H481" s="647"/>
      <c r="I481" s="647"/>
      <c r="J481" s="647"/>
      <c r="K481" s="647"/>
      <c r="L481" s="647"/>
      <c r="M481" s="647"/>
      <c r="N481" s="647"/>
      <c r="O481" s="650"/>
      <c r="P481" s="643" t="s">
        <v>69</v>
      </c>
      <c r="Q481" s="644"/>
      <c r="R481" s="644"/>
      <c r="S481" s="644"/>
      <c r="T481" s="644"/>
      <c r="U481" s="644"/>
      <c r="V481" s="645"/>
      <c r="W481" s="37" t="s">
        <v>67</v>
      </c>
      <c r="X481" s="637">
        <f>IFERROR(SUM(X477:X479),"0")</f>
        <v>0</v>
      </c>
      <c r="Y481" s="637">
        <f>IFERROR(SUM(Y477:Y479),"0")</f>
        <v>0</v>
      </c>
      <c r="Z481" s="37"/>
      <c r="AA481" s="638"/>
      <c r="AB481" s="638"/>
      <c r="AC481" s="638"/>
    </row>
    <row r="482" spans="1:68" ht="27.75" hidden="1" customHeight="1" x14ac:dyDescent="0.2">
      <c r="A482" s="682" t="s">
        <v>766</v>
      </c>
      <c r="B482" s="683"/>
      <c r="C482" s="683"/>
      <c r="D482" s="683"/>
      <c r="E482" s="683"/>
      <c r="F482" s="683"/>
      <c r="G482" s="683"/>
      <c r="H482" s="683"/>
      <c r="I482" s="683"/>
      <c r="J482" s="683"/>
      <c r="K482" s="683"/>
      <c r="L482" s="683"/>
      <c r="M482" s="683"/>
      <c r="N482" s="683"/>
      <c r="O482" s="683"/>
      <c r="P482" s="683"/>
      <c r="Q482" s="683"/>
      <c r="R482" s="683"/>
      <c r="S482" s="683"/>
      <c r="T482" s="683"/>
      <c r="U482" s="683"/>
      <c r="V482" s="683"/>
      <c r="W482" s="683"/>
      <c r="X482" s="683"/>
      <c r="Y482" s="683"/>
      <c r="Z482" s="683"/>
      <c r="AA482" s="48"/>
      <c r="AB482" s="48"/>
      <c r="AC482" s="48"/>
    </row>
    <row r="483" spans="1:68" ht="16.5" hidden="1" customHeight="1" x14ac:dyDescent="0.25">
      <c r="A483" s="646" t="s">
        <v>767</v>
      </c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7"/>
      <c r="P483" s="647"/>
      <c r="Q483" s="647"/>
      <c r="R483" s="647"/>
      <c r="S483" s="647"/>
      <c r="T483" s="647"/>
      <c r="U483" s="647"/>
      <c r="V483" s="647"/>
      <c r="W483" s="647"/>
      <c r="X483" s="647"/>
      <c r="Y483" s="647"/>
      <c r="Z483" s="647"/>
      <c r="AA483" s="630"/>
      <c r="AB483" s="630"/>
      <c r="AC483" s="630"/>
    </row>
    <row r="484" spans="1:68" ht="14.25" hidden="1" customHeight="1" x14ac:dyDescent="0.25">
      <c r="A484" s="648" t="s">
        <v>62</v>
      </c>
      <c r="B484" s="647"/>
      <c r="C484" s="647"/>
      <c r="D484" s="647"/>
      <c r="E484" s="647"/>
      <c r="F484" s="647"/>
      <c r="G484" s="647"/>
      <c r="H484" s="647"/>
      <c r="I484" s="647"/>
      <c r="J484" s="647"/>
      <c r="K484" s="647"/>
      <c r="L484" s="647"/>
      <c r="M484" s="647"/>
      <c r="N484" s="647"/>
      <c r="O484" s="647"/>
      <c r="P484" s="647"/>
      <c r="Q484" s="647"/>
      <c r="R484" s="647"/>
      <c r="S484" s="647"/>
      <c r="T484" s="647"/>
      <c r="U484" s="647"/>
      <c r="V484" s="647"/>
      <c r="W484" s="647"/>
      <c r="X484" s="647"/>
      <c r="Y484" s="647"/>
      <c r="Z484" s="647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41">
        <v>4680115886100</v>
      </c>
      <c r="E485" s="642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2"/>
      <c r="R485" s="652"/>
      <c r="S485" s="652"/>
      <c r="T485" s="653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1">
        <v>4680115886124</v>
      </c>
      <c r="E486" s="642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2"/>
      <c r="R486" s="652"/>
      <c r="S486" s="652"/>
      <c r="T486" s="653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1">
        <v>4607091384338</v>
      </c>
      <c r="E487" s="642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2"/>
      <c r="R487" s="652"/>
      <c r="S487" s="652"/>
      <c r="T487" s="653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1">
        <v>4680115883161</v>
      </c>
      <c r="E488" s="642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2"/>
      <c r="R488" s="652"/>
      <c r="S488" s="652"/>
      <c r="T488" s="653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1">
        <v>4607091389531</v>
      </c>
      <c r="E489" s="642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2"/>
      <c r="R489" s="652"/>
      <c r="S489" s="652"/>
      <c r="T489" s="653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1">
        <v>4607091384345</v>
      </c>
      <c r="E490" s="642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2"/>
      <c r="R490" s="652"/>
      <c r="S490" s="652"/>
      <c r="T490" s="653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49"/>
      <c r="B491" s="647"/>
      <c r="C491" s="647"/>
      <c r="D491" s="647"/>
      <c r="E491" s="647"/>
      <c r="F491" s="647"/>
      <c r="G491" s="647"/>
      <c r="H491" s="647"/>
      <c r="I491" s="647"/>
      <c r="J491" s="647"/>
      <c r="K491" s="647"/>
      <c r="L491" s="647"/>
      <c r="M491" s="647"/>
      <c r="N491" s="647"/>
      <c r="O491" s="650"/>
      <c r="P491" s="643" t="s">
        <v>69</v>
      </c>
      <c r="Q491" s="644"/>
      <c r="R491" s="644"/>
      <c r="S491" s="644"/>
      <c r="T491" s="644"/>
      <c r="U491" s="644"/>
      <c r="V491" s="645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7"/>
      <c r="B492" s="647"/>
      <c r="C492" s="647"/>
      <c r="D492" s="647"/>
      <c r="E492" s="647"/>
      <c r="F492" s="647"/>
      <c r="G492" s="647"/>
      <c r="H492" s="647"/>
      <c r="I492" s="647"/>
      <c r="J492" s="647"/>
      <c r="K492" s="647"/>
      <c r="L492" s="647"/>
      <c r="M492" s="647"/>
      <c r="N492" s="647"/>
      <c r="O492" s="650"/>
      <c r="P492" s="643" t="s">
        <v>69</v>
      </c>
      <c r="Q492" s="644"/>
      <c r="R492" s="644"/>
      <c r="S492" s="644"/>
      <c r="T492" s="644"/>
      <c r="U492" s="644"/>
      <c r="V492" s="645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8" t="s">
        <v>71</v>
      </c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7"/>
      <c r="P493" s="647"/>
      <c r="Q493" s="647"/>
      <c r="R493" s="647"/>
      <c r="S493" s="647"/>
      <c r="T493" s="647"/>
      <c r="U493" s="647"/>
      <c r="V493" s="647"/>
      <c r="W493" s="647"/>
      <c r="X493" s="647"/>
      <c r="Y493" s="647"/>
      <c r="Z493" s="647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1">
        <v>4607091384352</v>
      </c>
      <c r="E494" s="642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2"/>
      <c r="R494" s="652"/>
      <c r="S494" s="652"/>
      <c r="T494" s="653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49"/>
      <c r="B495" s="647"/>
      <c r="C495" s="647"/>
      <c r="D495" s="647"/>
      <c r="E495" s="647"/>
      <c r="F495" s="647"/>
      <c r="G495" s="647"/>
      <c r="H495" s="647"/>
      <c r="I495" s="647"/>
      <c r="J495" s="647"/>
      <c r="K495" s="647"/>
      <c r="L495" s="647"/>
      <c r="M495" s="647"/>
      <c r="N495" s="647"/>
      <c r="O495" s="650"/>
      <c r="P495" s="643" t="s">
        <v>69</v>
      </c>
      <c r="Q495" s="644"/>
      <c r="R495" s="644"/>
      <c r="S495" s="644"/>
      <c r="T495" s="644"/>
      <c r="U495" s="644"/>
      <c r="V495" s="645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7"/>
      <c r="B496" s="647"/>
      <c r="C496" s="647"/>
      <c r="D496" s="647"/>
      <c r="E496" s="647"/>
      <c r="F496" s="647"/>
      <c r="G496" s="647"/>
      <c r="H496" s="647"/>
      <c r="I496" s="647"/>
      <c r="J496" s="647"/>
      <c r="K496" s="647"/>
      <c r="L496" s="647"/>
      <c r="M496" s="647"/>
      <c r="N496" s="647"/>
      <c r="O496" s="650"/>
      <c r="P496" s="643" t="s">
        <v>69</v>
      </c>
      <c r="Q496" s="644"/>
      <c r="R496" s="644"/>
      <c r="S496" s="644"/>
      <c r="T496" s="644"/>
      <c r="U496" s="644"/>
      <c r="V496" s="645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6" t="s">
        <v>787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30"/>
      <c r="AB497" s="630"/>
      <c r="AC497" s="630"/>
    </row>
    <row r="498" spans="1:68" ht="14.25" hidden="1" customHeight="1" x14ac:dyDescent="0.25">
      <c r="A498" s="648" t="s">
        <v>155</v>
      </c>
      <c r="B498" s="647"/>
      <c r="C498" s="647"/>
      <c r="D498" s="647"/>
      <c r="E498" s="647"/>
      <c r="F498" s="647"/>
      <c r="G498" s="647"/>
      <c r="H498" s="647"/>
      <c r="I498" s="647"/>
      <c r="J498" s="647"/>
      <c r="K498" s="647"/>
      <c r="L498" s="647"/>
      <c r="M498" s="647"/>
      <c r="N498" s="647"/>
      <c r="O498" s="647"/>
      <c r="P498" s="647"/>
      <c r="Q498" s="647"/>
      <c r="R498" s="647"/>
      <c r="S498" s="647"/>
      <c r="T498" s="647"/>
      <c r="U498" s="647"/>
      <c r="V498" s="647"/>
      <c r="W498" s="647"/>
      <c r="X498" s="647"/>
      <c r="Y498" s="647"/>
      <c r="Z498" s="647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1">
        <v>4680115885240</v>
      </c>
      <c r="E499" s="642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2"/>
      <c r="R499" s="652"/>
      <c r="S499" s="652"/>
      <c r="T499" s="653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49"/>
      <c r="B500" s="647"/>
      <c r="C500" s="647"/>
      <c r="D500" s="647"/>
      <c r="E500" s="647"/>
      <c r="F500" s="647"/>
      <c r="G500" s="647"/>
      <c r="H500" s="647"/>
      <c r="I500" s="647"/>
      <c r="J500" s="647"/>
      <c r="K500" s="647"/>
      <c r="L500" s="647"/>
      <c r="M500" s="647"/>
      <c r="N500" s="647"/>
      <c r="O500" s="650"/>
      <c r="P500" s="643" t="s">
        <v>69</v>
      </c>
      <c r="Q500" s="644"/>
      <c r="R500" s="644"/>
      <c r="S500" s="644"/>
      <c r="T500" s="644"/>
      <c r="U500" s="644"/>
      <c r="V500" s="645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7"/>
      <c r="B501" s="647"/>
      <c r="C501" s="647"/>
      <c r="D501" s="647"/>
      <c r="E501" s="647"/>
      <c r="F501" s="647"/>
      <c r="G501" s="647"/>
      <c r="H501" s="647"/>
      <c r="I501" s="647"/>
      <c r="J501" s="647"/>
      <c r="K501" s="647"/>
      <c r="L501" s="647"/>
      <c r="M501" s="647"/>
      <c r="N501" s="647"/>
      <c r="O501" s="650"/>
      <c r="P501" s="643" t="s">
        <v>69</v>
      </c>
      <c r="Q501" s="644"/>
      <c r="R501" s="644"/>
      <c r="S501" s="644"/>
      <c r="T501" s="644"/>
      <c r="U501" s="644"/>
      <c r="V501" s="645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8" t="s">
        <v>62</v>
      </c>
      <c r="B502" s="647"/>
      <c r="C502" s="647"/>
      <c r="D502" s="647"/>
      <c r="E502" s="647"/>
      <c r="F502" s="647"/>
      <c r="G502" s="647"/>
      <c r="H502" s="647"/>
      <c r="I502" s="647"/>
      <c r="J502" s="647"/>
      <c r="K502" s="647"/>
      <c r="L502" s="647"/>
      <c r="M502" s="647"/>
      <c r="N502" s="647"/>
      <c r="O502" s="647"/>
      <c r="P502" s="647"/>
      <c r="Q502" s="647"/>
      <c r="R502" s="647"/>
      <c r="S502" s="647"/>
      <c r="T502" s="647"/>
      <c r="U502" s="647"/>
      <c r="V502" s="647"/>
      <c r="W502" s="647"/>
      <c r="X502" s="647"/>
      <c r="Y502" s="647"/>
      <c r="Z502" s="647"/>
      <c r="AA502" s="631"/>
      <c r="AB502" s="631"/>
      <c r="AC502" s="631"/>
    </row>
    <row r="503" spans="1:68" ht="27" customHeight="1" x14ac:dyDescent="0.25">
      <c r="A503" s="54" t="s">
        <v>791</v>
      </c>
      <c r="B503" s="54" t="s">
        <v>792</v>
      </c>
      <c r="C503" s="31">
        <v>4301031407</v>
      </c>
      <c r="D503" s="641">
        <v>4680115886094</v>
      </c>
      <c r="E503" s="642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2"/>
      <c r="R503" s="652"/>
      <c r="S503" s="652"/>
      <c r="T503" s="653"/>
      <c r="U503" s="34"/>
      <c r="V503" s="34"/>
      <c r="W503" s="35" t="s">
        <v>67</v>
      </c>
      <c r="X503" s="635">
        <v>32</v>
      </c>
      <c r="Y503" s="636">
        <f>IFERROR(IF(X503="",0,CEILING((X503/$H503),1)*$H503),"")</f>
        <v>32.400000000000006</v>
      </c>
      <c r="Z503" s="36">
        <f>IFERROR(IF(Y503=0,"",ROUNDUP(Y503/H503,0)*0.00902),"")</f>
        <v>5.4120000000000001E-2</v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33.12592592592592</v>
      </c>
      <c r="BN503" s="64">
        <f>IFERROR(Y503*I503/H503,"0")</f>
        <v>33.54</v>
      </c>
      <c r="BO503" s="64">
        <f>IFERROR(1/J503*(X503/H503),"0")</f>
        <v>4.4893378226711557E-2</v>
      </c>
      <c r="BP503" s="64">
        <f>IFERROR(1/J503*(Y503/H503),"0")</f>
        <v>4.5454545454545463E-2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1">
        <v>4680115880771</v>
      </c>
      <c r="E504" s="642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2"/>
      <c r="R504" s="652"/>
      <c r="S504" s="652"/>
      <c r="T504" s="653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1">
        <v>4607091389500</v>
      </c>
      <c r="E505" s="642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2"/>
      <c r="R505" s="652"/>
      <c r="S505" s="652"/>
      <c r="T505" s="653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49"/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50"/>
      <c r="P506" s="643" t="s">
        <v>69</v>
      </c>
      <c r="Q506" s="644"/>
      <c r="R506" s="644"/>
      <c r="S506" s="644"/>
      <c r="T506" s="644"/>
      <c r="U506" s="644"/>
      <c r="V506" s="645"/>
      <c r="W506" s="37" t="s">
        <v>70</v>
      </c>
      <c r="X506" s="637">
        <f>IFERROR(X503/H503,"0")+IFERROR(X504/H504,"0")+IFERROR(X505/H505,"0")</f>
        <v>5.9259259259259256</v>
      </c>
      <c r="Y506" s="637">
        <f>IFERROR(Y503/H503,"0")+IFERROR(Y504/H504,"0")+IFERROR(Y505/H505,"0")</f>
        <v>6.0000000000000009</v>
      </c>
      <c r="Z506" s="637">
        <f>IFERROR(IF(Z503="",0,Z503),"0")+IFERROR(IF(Z504="",0,Z504),"0")+IFERROR(IF(Z505="",0,Z505),"0")</f>
        <v>5.4120000000000001E-2</v>
      </c>
      <c r="AA506" s="638"/>
      <c r="AB506" s="638"/>
      <c r="AC506" s="638"/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50"/>
      <c r="P507" s="643" t="s">
        <v>69</v>
      </c>
      <c r="Q507" s="644"/>
      <c r="R507" s="644"/>
      <c r="S507" s="644"/>
      <c r="T507" s="644"/>
      <c r="U507" s="644"/>
      <c r="V507" s="645"/>
      <c r="W507" s="37" t="s">
        <v>67</v>
      </c>
      <c r="X507" s="637">
        <f>IFERROR(SUM(X503:X505),"0")</f>
        <v>32</v>
      </c>
      <c r="Y507" s="637">
        <f>IFERROR(SUM(Y503:Y505),"0")</f>
        <v>32.400000000000006</v>
      </c>
      <c r="Z507" s="37"/>
      <c r="AA507" s="638"/>
      <c r="AB507" s="638"/>
      <c r="AC507" s="638"/>
    </row>
    <row r="508" spans="1:68" ht="27.75" hidden="1" customHeight="1" x14ac:dyDescent="0.2">
      <c r="A508" s="682" t="s">
        <v>799</v>
      </c>
      <c r="B508" s="683"/>
      <c r="C508" s="683"/>
      <c r="D508" s="683"/>
      <c r="E508" s="683"/>
      <c r="F508" s="683"/>
      <c r="G508" s="683"/>
      <c r="H508" s="683"/>
      <c r="I508" s="683"/>
      <c r="J508" s="683"/>
      <c r="K508" s="683"/>
      <c r="L508" s="683"/>
      <c r="M508" s="683"/>
      <c r="N508" s="683"/>
      <c r="O508" s="683"/>
      <c r="P508" s="683"/>
      <c r="Q508" s="683"/>
      <c r="R508" s="683"/>
      <c r="S508" s="683"/>
      <c r="T508" s="683"/>
      <c r="U508" s="683"/>
      <c r="V508" s="683"/>
      <c r="W508" s="683"/>
      <c r="X508" s="683"/>
      <c r="Y508" s="683"/>
      <c r="Z508" s="683"/>
      <c r="AA508" s="48"/>
      <c r="AB508" s="48"/>
      <c r="AC508" s="48"/>
    </row>
    <row r="509" spans="1:68" ht="16.5" hidden="1" customHeight="1" x14ac:dyDescent="0.25">
      <c r="A509" s="646" t="s">
        <v>799</v>
      </c>
      <c r="B509" s="647"/>
      <c r="C509" s="647"/>
      <c r="D509" s="647"/>
      <c r="E509" s="647"/>
      <c r="F509" s="647"/>
      <c r="G509" s="647"/>
      <c r="H509" s="647"/>
      <c r="I509" s="647"/>
      <c r="J509" s="647"/>
      <c r="K509" s="647"/>
      <c r="L509" s="647"/>
      <c r="M509" s="647"/>
      <c r="N509" s="647"/>
      <c r="O509" s="647"/>
      <c r="P509" s="647"/>
      <c r="Q509" s="647"/>
      <c r="R509" s="647"/>
      <c r="S509" s="647"/>
      <c r="T509" s="647"/>
      <c r="U509" s="647"/>
      <c r="V509" s="647"/>
      <c r="W509" s="647"/>
      <c r="X509" s="647"/>
      <c r="Y509" s="647"/>
      <c r="Z509" s="647"/>
      <c r="AA509" s="630"/>
      <c r="AB509" s="630"/>
      <c r="AC509" s="630"/>
    </row>
    <row r="510" spans="1:68" ht="14.25" hidden="1" customHeight="1" x14ac:dyDescent="0.25">
      <c r="A510" s="648" t="s">
        <v>119</v>
      </c>
      <c r="B510" s="647"/>
      <c r="C510" s="647"/>
      <c r="D510" s="647"/>
      <c r="E510" s="647"/>
      <c r="F510" s="647"/>
      <c r="G510" s="647"/>
      <c r="H510" s="647"/>
      <c r="I510" s="647"/>
      <c r="J510" s="647"/>
      <c r="K510" s="647"/>
      <c r="L510" s="647"/>
      <c r="M510" s="647"/>
      <c r="N510" s="647"/>
      <c r="O510" s="647"/>
      <c r="P510" s="647"/>
      <c r="Q510" s="647"/>
      <c r="R510" s="647"/>
      <c r="S510" s="647"/>
      <c r="T510" s="647"/>
      <c r="U510" s="647"/>
      <c r="V510" s="647"/>
      <c r="W510" s="647"/>
      <c r="X510" s="647"/>
      <c r="Y510" s="647"/>
      <c r="Z510" s="647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41">
        <v>4607091389067</v>
      </c>
      <c r="E511" s="642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2"/>
      <c r="R511" s="652"/>
      <c r="S511" s="652"/>
      <c r="T511" s="653"/>
      <c r="U511" s="34"/>
      <c r="V511" s="34"/>
      <c r="W511" s="35" t="s">
        <v>67</v>
      </c>
      <c r="X511" s="635">
        <v>12</v>
      </c>
      <c r="Y511" s="636">
        <f t="shared" ref="Y511:Y518" si="71">IFERROR(IF(X511="",0,CEILING((X511/$H511),1)*$H511),"")</f>
        <v>15.84</v>
      </c>
      <c r="Z511" s="36">
        <f>IFERROR(IF(Y511=0,"",ROUNDUP(Y511/H511,0)*0.01196),"")</f>
        <v>3.5880000000000002E-2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12.795454545454545</v>
      </c>
      <c r="BN511" s="64">
        <f t="shared" ref="BN511:BN518" si="73">IFERROR(Y511*I511/H511,"0")</f>
        <v>16.889999999999997</v>
      </c>
      <c r="BO511" s="64">
        <f t="shared" ref="BO511:BO518" si="74">IFERROR(1/J511*(X511/H511),"0")</f>
        <v>2.1853146853146852E-2</v>
      </c>
      <c r="BP511" s="64">
        <f t="shared" ref="BP511:BP518" si="75">IFERROR(1/J511*(Y511/H511),"0")</f>
        <v>2.8846153846153848E-2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1">
        <v>4680115889576</v>
      </c>
      <c r="E512" s="642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2"/>
      <c r="R512" s="652"/>
      <c r="S512" s="652"/>
      <c r="T512" s="653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41">
        <v>4680115885271</v>
      </c>
      <c r="E513" s="642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2"/>
      <c r="R513" s="652"/>
      <c r="S513" s="652"/>
      <c r="T513" s="653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41">
        <v>4680115885226</v>
      </c>
      <c r="E514" s="642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2"/>
      <c r="R514" s="652"/>
      <c r="S514" s="652"/>
      <c r="T514" s="653"/>
      <c r="U514" s="34"/>
      <c r="V514" s="34"/>
      <c r="W514" s="35" t="s">
        <v>67</v>
      </c>
      <c r="X514" s="635">
        <v>13</v>
      </c>
      <c r="Y514" s="636">
        <f t="shared" si="71"/>
        <v>15.84</v>
      </c>
      <c r="Z514" s="36">
        <f>IFERROR(IF(Y514=0,"",ROUNDUP(Y514/H514,0)*0.01196),"")</f>
        <v>3.5880000000000002E-2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13.861742424242424</v>
      </c>
      <c r="BN514" s="64">
        <f t="shared" si="73"/>
        <v>16.889999999999997</v>
      </c>
      <c r="BO514" s="64">
        <f t="shared" si="74"/>
        <v>2.3674242424242424E-2</v>
      </c>
      <c r="BP514" s="64">
        <f t="shared" si="75"/>
        <v>2.8846153846153848E-2</v>
      </c>
    </row>
    <row r="515" spans="1:68" ht="27" hidden="1" customHeight="1" x14ac:dyDescent="0.25">
      <c r="A515" s="54" t="s">
        <v>811</v>
      </c>
      <c r="B515" s="54" t="s">
        <v>812</v>
      </c>
      <c r="C515" s="31">
        <v>4301011771</v>
      </c>
      <c r="D515" s="641">
        <v>4607091389104</v>
      </c>
      <c r="E515" s="642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2"/>
      <c r="R515" s="652"/>
      <c r="S515" s="652"/>
      <c r="T515" s="653"/>
      <c r="U515" s="34"/>
      <c r="V515" s="34"/>
      <c r="W515" s="35" t="s">
        <v>67</v>
      </c>
      <c r="X515" s="635">
        <v>0</v>
      </c>
      <c r="Y515" s="636">
        <f t="shared" si="71"/>
        <v>0</v>
      </c>
      <c r="Z515" s="36" t="str">
        <f>IFERROR(IF(Y515=0,"",ROUNDUP(Y515/H515,0)*0.01196),"")</f>
        <v/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1">
        <v>4680115886391</v>
      </c>
      <c r="E516" s="642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2"/>
      <c r="R516" s="652"/>
      <c r="S516" s="652"/>
      <c r="T516" s="653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41">
        <v>4680115880603</v>
      </c>
      <c r="E517" s="642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1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2"/>
      <c r="R517" s="652"/>
      <c r="S517" s="652"/>
      <c r="T517" s="653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41">
        <v>4607091389982</v>
      </c>
      <c r="E518" s="642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2"/>
      <c r="R518" s="652"/>
      <c r="S518" s="652"/>
      <c r="T518" s="653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49"/>
      <c r="B519" s="647"/>
      <c r="C519" s="647"/>
      <c r="D519" s="647"/>
      <c r="E519" s="647"/>
      <c r="F519" s="647"/>
      <c r="G519" s="647"/>
      <c r="H519" s="647"/>
      <c r="I519" s="647"/>
      <c r="J519" s="647"/>
      <c r="K519" s="647"/>
      <c r="L519" s="647"/>
      <c r="M519" s="647"/>
      <c r="N519" s="647"/>
      <c r="O519" s="650"/>
      <c r="P519" s="643" t="s">
        <v>69</v>
      </c>
      <c r="Q519" s="644"/>
      <c r="R519" s="644"/>
      <c r="S519" s="644"/>
      <c r="T519" s="644"/>
      <c r="U519" s="644"/>
      <c r="V519" s="645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4.7348484848484844</v>
      </c>
      <c r="Y519" s="637">
        <f>IFERROR(Y511/H511,"0")+IFERROR(Y512/H512,"0")+IFERROR(Y513/H513,"0")+IFERROR(Y514/H514,"0")+IFERROR(Y515/H515,"0")+IFERROR(Y516/H516,"0")+IFERROR(Y517/H517,"0")+IFERROR(Y518/H518,"0")</f>
        <v>6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7.1760000000000004E-2</v>
      </c>
      <c r="AA519" s="638"/>
      <c r="AB519" s="638"/>
      <c r="AC519" s="638"/>
    </row>
    <row r="520" spans="1:68" x14ac:dyDescent="0.2">
      <c r="A520" s="647"/>
      <c r="B520" s="647"/>
      <c r="C520" s="647"/>
      <c r="D520" s="647"/>
      <c r="E520" s="647"/>
      <c r="F520" s="647"/>
      <c r="G520" s="647"/>
      <c r="H520" s="647"/>
      <c r="I520" s="647"/>
      <c r="J520" s="647"/>
      <c r="K520" s="647"/>
      <c r="L520" s="647"/>
      <c r="M520" s="647"/>
      <c r="N520" s="647"/>
      <c r="O520" s="650"/>
      <c r="P520" s="643" t="s">
        <v>69</v>
      </c>
      <c r="Q520" s="644"/>
      <c r="R520" s="644"/>
      <c r="S520" s="644"/>
      <c r="T520" s="644"/>
      <c r="U520" s="644"/>
      <c r="V520" s="645"/>
      <c r="W520" s="37" t="s">
        <v>67</v>
      </c>
      <c r="X520" s="637">
        <f>IFERROR(SUM(X511:X518),"0")</f>
        <v>25</v>
      </c>
      <c r="Y520" s="637">
        <f>IFERROR(SUM(Y511:Y518),"0")</f>
        <v>31.68</v>
      </c>
      <c r="Z520" s="37"/>
      <c r="AA520" s="638"/>
      <c r="AB520" s="638"/>
      <c r="AC520" s="638"/>
    </row>
    <row r="521" spans="1:68" ht="14.25" hidden="1" customHeight="1" x14ac:dyDescent="0.25">
      <c r="A521" s="648" t="s">
        <v>155</v>
      </c>
      <c r="B521" s="647"/>
      <c r="C521" s="647"/>
      <c r="D521" s="647"/>
      <c r="E521" s="647"/>
      <c r="F521" s="647"/>
      <c r="G521" s="647"/>
      <c r="H521" s="647"/>
      <c r="I521" s="647"/>
      <c r="J521" s="647"/>
      <c r="K521" s="647"/>
      <c r="L521" s="647"/>
      <c r="M521" s="647"/>
      <c r="N521" s="647"/>
      <c r="O521" s="647"/>
      <c r="P521" s="647"/>
      <c r="Q521" s="647"/>
      <c r="R521" s="647"/>
      <c r="S521" s="647"/>
      <c r="T521" s="647"/>
      <c r="U521" s="647"/>
      <c r="V521" s="647"/>
      <c r="W521" s="647"/>
      <c r="X521" s="647"/>
      <c r="Y521" s="647"/>
      <c r="Z521" s="647"/>
      <c r="AA521" s="631"/>
      <c r="AB521" s="631"/>
      <c r="AC521" s="631"/>
    </row>
    <row r="522" spans="1:68" ht="16.5" hidden="1" customHeight="1" x14ac:dyDescent="0.25">
      <c r="A522" s="54" t="s">
        <v>820</v>
      </c>
      <c r="B522" s="54" t="s">
        <v>821</v>
      </c>
      <c r="C522" s="31">
        <v>4301020334</v>
      </c>
      <c r="D522" s="641">
        <v>4607091388930</v>
      </c>
      <c r="E522" s="642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2"/>
      <c r="R522" s="652"/>
      <c r="S522" s="652"/>
      <c r="T522" s="653"/>
      <c r="U522" s="34"/>
      <c r="V522" s="34"/>
      <c r="W522" s="35" t="s">
        <v>67</v>
      </c>
      <c r="X522" s="635">
        <v>0</v>
      </c>
      <c r="Y522" s="636">
        <f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1">
        <v>4680115886407</v>
      </c>
      <c r="E523" s="642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2"/>
      <c r="R523" s="652"/>
      <c r="S523" s="652"/>
      <c r="T523" s="653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41">
        <v>4680115880054</v>
      </c>
      <c r="E524" s="642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9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2"/>
      <c r="R524" s="652"/>
      <c r="S524" s="652"/>
      <c r="T524" s="653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49"/>
      <c r="B525" s="647"/>
      <c r="C525" s="647"/>
      <c r="D525" s="647"/>
      <c r="E525" s="647"/>
      <c r="F525" s="647"/>
      <c r="G525" s="647"/>
      <c r="H525" s="647"/>
      <c r="I525" s="647"/>
      <c r="J525" s="647"/>
      <c r="K525" s="647"/>
      <c r="L525" s="647"/>
      <c r="M525" s="647"/>
      <c r="N525" s="647"/>
      <c r="O525" s="650"/>
      <c r="P525" s="643" t="s">
        <v>69</v>
      </c>
      <c r="Q525" s="644"/>
      <c r="R525" s="644"/>
      <c r="S525" s="644"/>
      <c r="T525" s="644"/>
      <c r="U525" s="644"/>
      <c r="V525" s="645"/>
      <c r="W525" s="37" t="s">
        <v>70</v>
      </c>
      <c r="X525" s="637">
        <f>IFERROR(X522/H522,"0")+IFERROR(X523/H523,"0")+IFERROR(X524/H524,"0")</f>
        <v>0</v>
      </c>
      <c r="Y525" s="637">
        <f>IFERROR(Y522/H522,"0")+IFERROR(Y523/H523,"0")+IFERROR(Y524/H524,"0")</f>
        <v>0</v>
      </c>
      <c r="Z525" s="637">
        <f>IFERROR(IF(Z522="",0,Z522),"0")+IFERROR(IF(Z523="",0,Z523),"0")+IFERROR(IF(Z524="",0,Z524),"0")</f>
        <v>0</v>
      </c>
      <c r="AA525" s="638"/>
      <c r="AB525" s="638"/>
      <c r="AC525" s="638"/>
    </row>
    <row r="526" spans="1:68" hidden="1" x14ac:dyDescent="0.2">
      <c r="A526" s="647"/>
      <c r="B526" s="647"/>
      <c r="C526" s="647"/>
      <c r="D526" s="647"/>
      <c r="E526" s="647"/>
      <c r="F526" s="647"/>
      <c r="G526" s="647"/>
      <c r="H526" s="647"/>
      <c r="I526" s="647"/>
      <c r="J526" s="647"/>
      <c r="K526" s="647"/>
      <c r="L526" s="647"/>
      <c r="M526" s="647"/>
      <c r="N526" s="647"/>
      <c r="O526" s="650"/>
      <c r="P526" s="643" t="s">
        <v>69</v>
      </c>
      <c r="Q526" s="644"/>
      <c r="R526" s="644"/>
      <c r="S526" s="644"/>
      <c r="T526" s="644"/>
      <c r="U526" s="644"/>
      <c r="V526" s="645"/>
      <c r="W526" s="37" t="s">
        <v>67</v>
      </c>
      <c r="X526" s="637">
        <f>IFERROR(SUM(X522:X524),"0")</f>
        <v>0</v>
      </c>
      <c r="Y526" s="637">
        <f>IFERROR(SUM(Y522:Y524),"0")</f>
        <v>0</v>
      </c>
      <c r="Z526" s="37"/>
      <c r="AA526" s="638"/>
      <c r="AB526" s="638"/>
      <c r="AC526" s="638"/>
    </row>
    <row r="527" spans="1:68" ht="14.25" hidden="1" customHeight="1" x14ac:dyDescent="0.25">
      <c r="A527" s="648" t="s">
        <v>62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41">
        <v>4680115883116</v>
      </c>
      <c r="E528" s="642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2"/>
      <c r="R528" s="652"/>
      <c r="S528" s="652"/>
      <c r="T528" s="653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41">
        <v>4680115883093</v>
      </c>
      <c r="E529" s="642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2"/>
      <c r="R529" s="652"/>
      <c r="S529" s="652"/>
      <c r="T529" s="653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41">
        <v>4680115883109</v>
      </c>
      <c r="E530" s="642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2"/>
      <c r="R530" s="652"/>
      <c r="S530" s="652"/>
      <c r="T530" s="653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1">
        <v>4680115882072</v>
      </c>
      <c r="E531" s="642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2"/>
      <c r="R531" s="652"/>
      <c r="S531" s="652"/>
      <c r="T531" s="653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1">
        <v>4680115882102</v>
      </c>
      <c r="E532" s="642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2"/>
      <c r="R532" s="652"/>
      <c r="S532" s="652"/>
      <c r="T532" s="653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1">
        <v>4680115882102</v>
      </c>
      <c r="E533" s="642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2"/>
      <c r="R533" s="652"/>
      <c r="S533" s="652"/>
      <c r="T533" s="653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1">
        <v>4680115882096</v>
      </c>
      <c r="E534" s="642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2"/>
      <c r="R534" s="652"/>
      <c r="S534" s="652"/>
      <c r="T534" s="653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hidden="1" x14ac:dyDescent="0.2">
      <c r="A535" s="649"/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50"/>
      <c r="P535" s="643" t="s">
        <v>69</v>
      </c>
      <c r="Q535" s="644"/>
      <c r="R535" s="644"/>
      <c r="S535" s="644"/>
      <c r="T535" s="644"/>
      <c r="U535" s="644"/>
      <c r="V535" s="645"/>
      <c r="W535" s="37" t="s">
        <v>70</v>
      </c>
      <c r="X535" s="637">
        <f>IFERROR(X528/H528,"0")+IFERROR(X529/H529,"0")+IFERROR(X530/H530,"0")+IFERROR(X531/H531,"0")+IFERROR(X532/H532,"0")+IFERROR(X533/H533,"0")+IFERROR(X534/H534,"0")</f>
        <v>0</v>
      </c>
      <c r="Y535" s="637">
        <f>IFERROR(Y528/H528,"0")+IFERROR(Y529/H529,"0")+IFERROR(Y530/H530,"0")+IFERROR(Y531/H531,"0")+IFERROR(Y532/H532,"0")+IFERROR(Y533/H533,"0")+IFERROR(Y534/H534,"0")</f>
        <v>0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38"/>
      <c r="AB535" s="638"/>
      <c r="AC535" s="638"/>
    </row>
    <row r="536" spans="1:68" hidden="1" x14ac:dyDescent="0.2">
      <c r="A536" s="647"/>
      <c r="B536" s="647"/>
      <c r="C536" s="647"/>
      <c r="D536" s="647"/>
      <c r="E536" s="647"/>
      <c r="F536" s="647"/>
      <c r="G536" s="647"/>
      <c r="H536" s="647"/>
      <c r="I536" s="647"/>
      <c r="J536" s="647"/>
      <c r="K536" s="647"/>
      <c r="L536" s="647"/>
      <c r="M536" s="647"/>
      <c r="N536" s="647"/>
      <c r="O536" s="650"/>
      <c r="P536" s="643" t="s">
        <v>69</v>
      </c>
      <c r="Q536" s="644"/>
      <c r="R536" s="644"/>
      <c r="S536" s="644"/>
      <c r="T536" s="644"/>
      <c r="U536" s="644"/>
      <c r="V536" s="645"/>
      <c r="W536" s="37" t="s">
        <v>67</v>
      </c>
      <c r="X536" s="637">
        <f>IFERROR(SUM(X528:X534),"0")</f>
        <v>0</v>
      </c>
      <c r="Y536" s="637">
        <f>IFERROR(SUM(Y528:Y534),"0")</f>
        <v>0</v>
      </c>
      <c r="Z536" s="37"/>
      <c r="AA536" s="638"/>
      <c r="AB536" s="638"/>
      <c r="AC536" s="638"/>
    </row>
    <row r="537" spans="1:68" ht="27.75" hidden="1" customHeight="1" x14ac:dyDescent="0.2">
      <c r="A537" s="682" t="s">
        <v>843</v>
      </c>
      <c r="B537" s="683"/>
      <c r="C537" s="683"/>
      <c r="D537" s="683"/>
      <c r="E537" s="683"/>
      <c r="F537" s="683"/>
      <c r="G537" s="683"/>
      <c r="H537" s="683"/>
      <c r="I537" s="683"/>
      <c r="J537" s="683"/>
      <c r="K537" s="683"/>
      <c r="L537" s="683"/>
      <c r="M537" s="683"/>
      <c r="N537" s="683"/>
      <c r="O537" s="683"/>
      <c r="P537" s="683"/>
      <c r="Q537" s="683"/>
      <c r="R537" s="683"/>
      <c r="S537" s="683"/>
      <c r="T537" s="683"/>
      <c r="U537" s="683"/>
      <c r="V537" s="683"/>
      <c r="W537" s="683"/>
      <c r="X537" s="683"/>
      <c r="Y537" s="683"/>
      <c r="Z537" s="683"/>
      <c r="AA537" s="48"/>
      <c r="AB537" s="48"/>
      <c r="AC537" s="48"/>
    </row>
    <row r="538" spans="1:68" ht="16.5" hidden="1" customHeight="1" x14ac:dyDescent="0.25">
      <c r="A538" s="646" t="s">
        <v>843</v>
      </c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7"/>
      <c r="P538" s="647"/>
      <c r="Q538" s="647"/>
      <c r="R538" s="647"/>
      <c r="S538" s="647"/>
      <c r="T538" s="647"/>
      <c r="U538" s="647"/>
      <c r="V538" s="647"/>
      <c r="W538" s="647"/>
      <c r="X538" s="647"/>
      <c r="Y538" s="647"/>
      <c r="Z538" s="647"/>
      <c r="AA538" s="630"/>
      <c r="AB538" s="630"/>
      <c r="AC538" s="630"/>
    </row>
    <row r="539" spans="1:68" ht="14.25" hidden="1" customHeight="1" x14ac:dyDescent="0.25">
      <c r="A539" s="648" t="s">
        <v>119</v>
      </c>
      <c r="B539" s="647"/>
      <c r="C539" s="647"/>
      <c r="D539" s="647"/>
      <c r="E539" s="647"/>
      <c r="F539" s="647"/>
      <c r="G539" s="647"/>
      <c r="H539" s="647"/>
      <c r="I539" s="647"/>
      <c r="J539" s="647"/>
      <c r="K539" s="647"/>
      <c r="L539" s="647"/>
      <c r="M539" s="647"/>
      <c r="N539" s="647"/>
      <c r="O539" s="647"/>
      <c r="P539" s="647"/>
      <c r="Q539" s="647"/>
      <c r="R539" s="647"/>
      <c r="S539" s="647"/>
      <c r="T539" s="647"/>
      <c r="U539" s="647"/>
      <c r="V539" s="647"/>
      <c r="W539" s="647"/>
      <c r="X539" s="647"/>
      <c r="Y539" s="647"/>
      <c r="Z539" s="647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1">
        <v>4680115889736</v>
      </c>
      <c r="E540" s="642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2"/>
      <c r="R540" s="652"/>
      <c r="S540" s="652"/>
      <c r="T540" s="653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49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50"/>
      <c r="P541" s="643" t="s">
        <v>69</v>
      </c>
      <c r="Q541" s="644"/>
      <c r="R541" s="644"/>
      <c r="S541" s="644"/>
      <c r="T541" s="644"/>
      <c r="U541" s="644"/>
      <c r="V541" s="645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50"/>
      <c r="P542" s="643" t="s">
        <v>69</v>
      </c>
      <c r="Q542" s="644"/>
      <c r="R542" s="644"/>
      <c r="S542" s="644"/>
      <c r="T542" s="644"/>
      <c r="U542" s="644"/>
      <c r="V542" s="645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8" t="s">
        <v>155</v>
      </c>
      <c r="B543" s="647"/>
      <c r="C543" s="647"/>
      <c r="D543" s="647"/>
      <c r="E543" s="647"/>
      <c r="F543" s="647"/>
      <c r="G543" s="647"/>
      <c r="H543" s="647"/>
      <c r="I543" s="647"/>
      <c r="J543" s="647"/>
      <c r="K543" s="647"/>
      <c r="L543" s="647"/>
      <c r="M543" s="647"/>
      <c r="N543" s="647"/>
      <c r="O543" s="647"/>
      <c r="P543" s="647"/>
      <c r="Q543" s="647"/>
      <c r="R543" s="647"/>
      <c r="S543" s="647"/>
      <c r="T543" s="647"/>
      <c r="U543" s="647"/>
      <c r="V543" s="647"/>
      <c r="W543" s="647"/>
      <c r="X543" s="647"/>
      <c r="Y543" s="647"/>
      <c r="Z543" s="647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1">
        <v>4680115889781</v>
      </c>
      <c r="E544" s="642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2"/>
      <c r="R544" s="652"/>
      <c r="S544" s="652"/>
      <c r="T544" s="653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9"/>
      <c r="B545" s="647"/>
      <c r="C545" s="647"/>
      <c r="D545" s="647"/>
      <c r="E545" s="647"/>
      <c r="F545" s="647"/>
      <c r="G545" s="647"/>
      <c r="H545" s="647"/>
      <c r="I545" s="647"/>
      <c r="J545" s="647"/>
      <c r="K545" s="647"/>
      <c r="L545" s="647"/>
      <c r="M545" s="647"/>
      <c r="N545" s="647"/>
      <c r="O545" s="650"/>
      <c r="P545" s="643" t="s">
        <v>69</v>
      </c>
      <c r="Q545" s="644"/>
      <c r="R545" s="644"/>
      <c r="S545" s="644"/>
      <c r="T545" s="644"/>
      <c r="U545" s="644"/>
      <c r="V545" s="645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50"/>
      <c r="P546" s="643" t="s">
        <v>69</v>
      </c>
      <c r="Q546" s="644"/>
      <c r="R546" s="644"/>
      <c r="S546" s="644"/>
      <c r="T546" s="644"/>
      <c r="U546" s="644"/>
      <c r="V546" s="645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8" t="s">
        <v>62</v>
      </c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7"/>
      <c r="P547" s="647"/>
      <c r="Q547" s="647"/>
      <c r="R547" s="647"/>
      <c r="S547" s="647"/>
      <c r="T547" s="647"/>
      <c r="U547" s="647"/>
      <c r="V547" s="647"/>
      <c r="W547" s="647"/>
      <c r="X547" s="647"/>
      <c r="Y547" s="647"/>
      <c r="Z547" s="647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1">
        <v>4680115889774</v>
      </c>
      <c r="E548" s="642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3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2"/>
      <c r="R548" s="652"/>
      <c r="S548" s="652"/>
      <c r="T548" s="653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49"/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50"/>
      <c r="P549" s="643" t="s">
        <v>69</v>
      </c>
      <c r="Q549" s="644"/>
      <c r="R549" s="644"/>
      <c r="S549" s="644"/>
      <c r="T549" s="644"/>
      <c r="U549" s="644"/>
      <c r="V549" s="645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7"/>
      <c r="B550" s="647"/>
      <c r="C550" s="647"/>
      <c r="D550" s="647"/>
      <c r="E550" s="647"/>
      <c r="F550" s="647"/>
      <c r="G550" s="647"/>
      <c r="H550" s="647"/>
      <c r="I550" s="647"/>
      <c r="J550" s="647"/>
      <c r="K550" s="647"/>
      <c r="L550" s="647"/>
      <c r="M550" s="647"/>
      <c r="N550" s="647"/>
      <c r="O550" s="650"/>
      <c r="P550" s="643" t="s">
        <v>69</v>
      </c>
      <c r="Q550" s="644"/>
      <c r="R550" s="644"/>
      <c r="S550" s="644"/>
      <c r="T550" s="644"/>
      <c r="U550" s="644"/>
      <c r="V550" s="645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8" t="s">
        <v>71</v>
      </c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7"/>
      <c r="P551" s="647"/>
      <c r="Q551" s="647"/>
      <c r="R551" s="647"/>
      <c r="S551" s="647"/>
      <c r="T551" s="647"/>
      <c r="U551" s="647"/>
      <c r="V551" s="647"/>
      <c r="W551" s="647"/>
      <c r="X551" s="647"/>
      <c r="Y551" s="647"/>
      <c r="Z551" s="647"/>
      <c r="AA551" s="631"/>
      <c r="AB551" s="631"/>
      <c r="AC551" s="631"/>
    </row>
    <row r="552" spans="1:68" ht="27" customHeight="1" x14ac:dyDescent="0.25">
      <c r="A552" s="54" t="s">
        <v>852</v>
      </c>
      <c r="B552" s="54" t="s">
        <v>853</v>
      </c>
      <c r="C552" s="31">
        <v>4301052282</v>
      </c>
      <c r="D552" s="641">
        <v>4680115889811</v>
      </c>
      <c r="E552" s="642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8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2"/>
      <c r="R552" s="652"/>
      <c r="S552" s="652"/>
      <c r="T552" s="653"/>
      <c r="U552" s="34"/>
      <c r="V552" s="34"/>
      <c r="W552" s="35" t="s">
        <v>67</v>
      </c>
      <c r="X552" s="635">
        <v>119</v>
      </c>
      <c r="Y552" s="636">
        <f>IFERROR(IF(X552="",0,CEILING((X552/$H552),1)*$H552),"")</f>
        <v>126</v>
      </c>
      <c r="Z552" s="36">
        <f>IFERROR(IF(Y552=0,"",ROUNDUP(Y552/H552,0)*0.01898),"")</f>
        <v>0.26572000000000001</v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125.53177777777779</v>
      </c>
      <c r="BN552" s="64">
        <f>IFERROR(Y552*I552/H552,"0")</f>
        <v>132.916</v>
      </c>
      <c r="BO552" s="64">
        <f>IFERROR(1/J552*(X552/H552),"0")</f>
        <v>0.20659722222222221</v>
      </c>
      <c r="BP552" s="64">
        <f>IFERROR(1/J552*(Y552/H552),"0")</f>
        <v>0.21875</v>
      </c>
    </row>
    <row r="553" spans="1:68" x14ac:dyDescent="0.2">
      <c r="A553" s="649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0"/>
      <c r="P553" s="643" t="s">
        <v>69</v>
      </c>
      <c r="Q553" s="644"/>
      <c r="R553" s="644"/>
      <c r="S553" s="644"/>
      <c r="T553" s="644"/>
      <c r="U553" s="644"/>
      <c r="V553" s="645"/>
      <c r="W553" s="37" t="s">
        <v>70</v>
      </c>
      <c r="X553" s="637">
        <f>IFERROR(X552/H552,"0")</f>
        <v>13.222222222222221</v>
      </c>
      <c r="Y553" s="637">
        <f>IFERROR(Y552/H552,"0")</f>
        <v>14</v>
      </c>
      <c r="Z553" s="637">
        <f>IFERROR(IF(Z552="",0,Z552),"0")</f>
        <v>0.26572000000000001</v>
      </c>
      <c r="AA553" s="638"/>
      <c r="AB553" s="638"/>
      <c r="AC553" s="638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0"/>
      <c r="P554" s="643" t="s">
        <v>69</v>
      </c>
      <c r="Q554" s="644"/>
      <c r="R554" s="644"/>
      <c r="S554" s="644"/>
      <c r="T554" s="644"/>
      <c r="U554" s="644"/>
      <c r="V554" s="645"/>
      <c r="W554" s="37" t="s">
        <v>67</v>
      </c>
      <c r="X554" s="637">
        <f>IFERROR(SUM(X552:X552),"0")</f>
        <v>119</v>
      </c>
      <c r="Y554" s="637">
        <f>IFERROR(SUM(Y552:Y552),"0")</f>
        <v>126</v>
      </c>
      <c r="Z554" s="37"/>
      <c r="AA554" s="638"/>
      <c r="AB554" s="638"/>
      <c r="AC554" s="638"/>
    </row>
    <row r="555" spans="1:68" ht="14.25" hidden="1" customHeight="1" x14ac:dyDescent="0.25">
      <c r="A555" s="648" t="s">
        <v>173</v>
      </c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47"/>
      <c r="P555" s="647"/>
      <c r="Q555" s="647"/>
      <c r="R555" s="647"/>
      <c r="S555" s="647"/>
      <c r="T555" s="647"/>
      <c r="U555" s="647"/>
      <c r="V555" s="647"/>
      <c r="W555" s="647"/>
      <c r="X555" s="647"/>
      <c r="Y555" s="647"/>
      <c r="Z555" s="647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1">
        <v>4680115889804</v>
      </c>
      <c r="E556" s="642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2"/>
      <c r="R556" s="652"/>
      <c r="S556" s="652"/>
      <c r="T556" s="653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1">
        <v>4680115889828</v>
      </c>
      <c r="E557" s="642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0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2"/>
      <c r="R557" s="652"/>
      <c r="S557" s="652"/>
      <c r="T557" s="653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49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0"/>
      <c r="P558" s="643" t="s">
        <v>69</v>
      </c>
      <c r="Q558" s="644"/>
      <c r="R558" s="644"/>
      <c r="S558" s="644"/>
      <c r="T558" s="644"/>
      <c r="U558" s="644"/>
      <c r="V558" s="645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7"/>
      <c r="B559" s="647"/>
      <c r="C559" s="647"/>
      <c r="D559" s="647"/>
      <c r="E559" s="647"/>
      <c r="F559" s="647"/>
      <c r="G559" s="647"/>
      <c r="H559" s="647"/>
      <c r="I559" s="647"/>
      <c r="J559" s="647"/>
      <c r="K559" s="647"/>
      <c r="L559" s="647"/>
      <c r="M559" s="647"/>
      <c r="N559" s="647"/>
      <c r="O559" s="650"/>
      <c r="P559" s="643" t="s">
        <v>69</v>
      </c>
      <c r="Q559" s="644"/>
      <c r="R559" s="644"/>
      <c r="S559" s="644"/>
      <c r="T559" s="644"/>
      <c r="U559" s="644"/>
      <c r="V559" s="645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6" t="s">
        <v>861</v>
      </c>
      <c r="B560" s="647"/>
      <c r="C560" s="647"/>
      <c r="D560" s="647"/>
      <c r="E560" s="647"/>
      <c r="F560" s="647"/>
      <c r="G560" s="647"/>
      <c r="H560" s="647"/>
      <c r="I560" s="647"/>
      <c r="J560" s="647"/>
      <c r="K560" s="647"/>
      <c r="L560" s="647"/>
      <c r="M560" s="647"/>
      <c r="N560" s="647"/>
      <c r="O560" s="647"/>
      <c r="P560" s="647"/>
      <c r="Q560" s="647"/>
      <c r="R560" s="647"/>
      <c r="S560" s="647"/>
      <c r="T560" s="647"/>
      <c r="U560" s="647"/>
      <c r="V560" s="647"/>
      <c r="W560" s="647"/>
      <c r="X560" s="647"/>
      <c r="Y560" s="647"/>
      <c r="Z560" s="647"/>
      <c r="AA560" s="630"/>
      <c r="AB560" s="630"/>
      <c r="AC560" s="630"/>
    </row>
    <row r="561" spans="1:68" ht="14.25" hidden="1" customHeight="1" x14ac:dyDescent="0.25">
      <c r="A561" s="648" t="s">
        <v>155</v>
      </c>
      <c r="B561" s="647"/>
      <c r="C561" s="647"/>
      <c r="D561" s="647"/>
      <c r="E561" s="647"/>
      <c r="F561" s="647"/>
      <c r="G561" s="647"/>
      <c r="H561" s="647"/>
      <c r="I561" s="647"/>
      <c r="J561" s="647"/>
      <c r="K561" s="647"/>
      <c r="L561" s="647"/>
      <c r="M561" s="647"/>
      <c r="N561" s="647"/>
      <c r="O561" s="647"/>
      <c r="P561" s="647"/>
      <c r="Q561" s="647"/>
      <c r="R561" s="647"/>
      <c r="S561" s="647"/>
      <c r="T561" s="647"/>
      <c r="U561" s="647"/>
      <c r="V561" s="647"/>
      <c r="W561" s="647"/>
      <c r="X561" s="647"/>
      <c r="Y561" s="647"/>
      <c r="Z561" s="647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1">
        <v>4680115889798</v>
      </c>
      <c r="E562" s="642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2"/>
      <c r="R562" s="652"/>
      <c r="S562" s="652"/>
      <c r="T562" s="653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49"/>
      <c r="B563" s="647"/>
      <c r="C563" s="647"/>
      <c r="D563" s="647"/>
      <c r="E563" s="647"/>
      <c r="F563" s="647"/>
      <c r="G563" s="647"/>
      <c r="H563" s="647"/>
      <c r="I563" s="647"/>
      <c r="J563" s="647"/>
      <c r="K563" s="647"/>
      <c r="L563" s="647"/>
      <c r="M563" s="647"/>
      <c r="N563" s="647"/>
      <c r="O563" s="650"/>
      <c r="P563" s="643" t="s">
        <v>69</v>
      </c>
      <c r="Q563" s="644"/>
      <c r="R563" s="644"/>
      <c r="S563" s="644"/>
      <c r="T563" s="644"/>
      <c r="U563" s="644"/>
      <c r="V563" s="645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7"/>
      <c r="B564" s="647"/>
      <c r="C564" s="647"/>
      <c r="D564" s="647"/>
      <c r="E564" s="647"/>
      <c r="F564" s="647"/>
      <c r="G564" s="647"/>
      <c r="H564" s="647"/>
      <c r="I564" s="647"/>
      <c r="J564" s="647"/>
      <c r="K564" s="647"/>
      <c r="L564" s="647"/>
      <c r="M564" s="647"/>
      <c r="N564" s="647"/>
      <c r="O564" s="650"/>
      <c r="P564" s="643" t="s">
        <v>69</v>
      </c>
      <c r="Q564" s="644"/>
      <c r="R564" s="644"/>
      <c r="S564" s="644"/>
      <c r="T564" s="644"/>
      <c r="U564" s="644"/>
      <c r="V564" s="645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647"/>
      <c r="O565" s="805"/>
      <c r="P565" s="689" t="s">
        <v>865</v>
      </c>
      <c r="Q565" s="690"/>
      <c r="R565" s="690"/>
      <c r="S565" s="690"/>
      <c r="T565" s="690"/>
      <c r="U565" s="690"/>
      <c r="V565" s="691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2868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2964.2200000000003</v>
      </c>
      <c r="Z565" s="37"/>
      <c r="AA565" s="638"/>
      <c r="AB565" s="638"/>
      <c r="AC565" s="638"/>
    </row>
    <row r="566" spans="1:68" x14ac:dyDescent="0.2">
      <c r="A566" s="647"/>
      <c r="B566" s="647"/>
      <c r="C566" s="647"/>
      <c r="D566" s="647"/>
      <c r="E566" s="647"/>
      <c r="F566" s="647"/>
      <c r="G566" s="647"/>
      <c r="H566" s="647"/>
      <c r="I566" s="647"/>
      <c r="J566" s="647"/>
      <c r="K566" s="647"/>
      <c r="L566" s="647"/>
      <c r="M566" s="647"/>
      <c r="N566" s="647"/>
      <c r="O566" s="805"/>
      <c r="P566" s="689" t="s">
        <v>866</v>
      </c>
      <c r="Q566" s="690"/>
      <c r="R566" s="690"/>
      <c r="S566" s="690"/>
      <c r="T566" s="690"/>
      <c r="U566" s="690"/>
      <c r="V566" s="691"/>
      <c r="W566" s="37" t="s">
        <v>67</v>
      </c>
      <c r="X566" s="637">
        <f>IFERROR(SUM(BM22:BM562),"0")</f>
        <v>3076.1457137713287</v>
      </c>
      <c r="Y566" s="637">
        <f>IFERROR(SUM(BN22:BN562),"0")</f>
        <v>3177.91</v>
      </c>
      <c r="Z566" s="37"/>
      <c r="AA566" s="638"/>
      <c r="AB566" s="638"/>
      <c r="AC566" s="638"/>
    </row>
    <row r="567" spans="1:68" x14ac:dyDescent="0.2">
      <c r="A567" s="647"/>
      <c r="B567" s="647"/>
      <c r="C567" s="647"/>
      <c r="D567" s="647"/>
      <c r="E567" s="647"/>
      <c r="F567" s="647"/>
      <c r="G567" s="647"/>
      <c r="H567" s="647"/>
      <c r="I567" s="647"/>
      <c r="J567" s="647"/>
      <c r="K567" s="647"/>
      <c r="L567" s="647"/>
      <c r="M567" s="647"/>
      <c r="N567" s="647"/>
      <c r="O567" s="805"/>
      <c r="P567" s="689" t="s">
        <v>867</v>
      </c>
      <c r="Q567" s="690"/>
      <c r="R567" s="690"/>
      <c r="S567" s="690"/>
      <c r="T567" s="690"/>
      <c r="U567" s="690"/>
      <c r="V567" s="691"/>
      <c r="W567" s="37" t="s">
        <v>868</v>
      </c>
      <c r="X567" s="38">
        <f>ROUNDUP(SUM(BO22:BO562),0)</f>
        <v>6</v>
      </c>
      <c r="Y567" s="38">
        <f>ROUNDUP(SUM(BP22:BP562),0)</f>
        <v>6</v>
      </c>
      <c r="Z567" s="37"/>
      <c r="AA567" s="638"/>
      <c r="AB567" s="638"/>
      <c r="AC567" s="638"/>
    </row>
    <row r="568" spans="1:68" x14ac:dyDescent="0.2">
      <c r="A568" s="647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647"/>
      <c r="O568" s="805"/>
      <c r="P568" s="689" t="s">
        <v>869</v>
      </c>
      <c r="Q568" s="690"/>
      <c r="R568" s="690"/>
      <c r="S568" s="690"/>
      <c r="T568" s="690"/>
      <c r="U568" s="690"/>
      <c r="V568" s="691"/>
      <c r="W568" s="37" t="s">
        <v>67</v>
      </c>
      <c r="X568" s="637">
        <f>GrossWeightTotal+PalletQtyTotal*25</f>
        <v>3226.1457137713287</v>
      </c>
      <c r="Y568" s="637">
        <f>GrossWeightTotalR+PalletQtyTotalR*25</f>
        <v>3327.91</v>
      </c>
      <c r="Z568" s="37"/>
      <c r="AA568" s="638"/>
      <c r="AB568" s="638"/>
      <c r="AC568" s="638"/>
    </row>
    <row r="569" spans="1:68" x14ac:dyDescent="0.2">
      <c r="A569" s="647"/>
      <c r="B569" s="647"/>
      <c r="C569" s="647"/>
      <c r="D569" s="647"/>
      <c r="E569" s="647"/>
      <c r="F569" s="647"/>
      <c r="G569" s="647"/>
      <c r="H569" s="647"/>
      <c r="I569" s="647"/>
      <c r="J569" s="647"/>
      <c r="K569" s="647"/>
      <c r="L569" s="647"/>
      <c r="M569" s="647"/>
      <c r="N569" s="647"/>
      <c r="O569" s="805"/>
      <c r="P569" s="689" t="s">
        <v>870</v>
      </c>
      <c r="Q569" s="690"/>
      <c r="R569" s="690"/>
      <c r="S569" s="690"/>
      <c r="T569" s="690"/>
      <c r="U569" s="690"/>
      <c r="V569" s="691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891.47667385828322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911</v>
      </c>
      <c r="Z569" s="37"/>
      <c r="AA569" s="638"/>
      <c r="AB569" s="638"/>
      <c r="AC569" s="638"/>
    </row>
    <row r="570" spans="1:68" ht="14.25" hidden="1" customHeight="1" x14ac:dyDescent="0.2">
      <c r="A570" s="647"/>
      <c r="B570" s="647"/>
      <c r="C570" s="647"/>
      <c r="D570" s="647"/>
      <c r="E570" s="647"/>
      <c r="F570" s="647"/>
      <c r="G570" s="647"/>
      <c r="H570" s="647"/>
      <c r="I570" s="647"/>
      <c r="J570" s="647"/>
      <c r="K570" s="647"/>
      <c r="L570" s="647"/>
      <c r="M570" s="647"/>
      <c r="N570" s="647"/>
      <c r="O570" s="805"/>
      <c r="P570" s="689" t="s">
        <v>871</v>
      </c>
      <c r="Q570" s="690"/>
      <c r="R570" s="690"/>
      <c r="S570" s="690"/>
      <c r="T570" s="690"/>
      <c r="U570" s="690"/>
      <c r="V570" s="691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7.12005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61" t="s">
        <v>117</v>
      </c>
      <c r="E572" s="873"/>
      <c r="F572" s="873"/>
      <c r="G572" s="873"/>
      <c r="H572" s="873"/>
      <c r="I572" s="873"/>
      <c r="J572" s="845"/>
      <c r="K572" s="661" t="s">
        <v>337</v>
      </c>
      <c r="L572" s="873"/>
      <c r="M572" s="873"/>
      <c r="N572" s="873"/>
      <c r="O572" s="873"/>
      <c r="P572" s="873"/>
      <c r="Q572" s="873"/>
      <c r="R572" s="873"/>
      <c r="S572" s="873"/>
      <c r="T572" s="873"/>
      <c r="U572" s="873"/>
      <c r="V572" s="873"/>
      <c r="W572" s="845"/>
      <c r="X572" s="661" t="s">
        <v>700</v>
      </c>
      <c r="Y572" s="845"/>
      <c r="Z572" s="661" t="s">
        <v>766</v>
      </c>
      <c r="AA572" s="845"/>
      <c r="AB572" s="632" t="s">
        <v>799</v>
      </c>
      <c r="AC572" s="661" t="s">
        <v>843</v>
      </c>
      <c r="AD572" s="845"/>
      <c r="AF572" s="633"/>
    </row>
    <row r="573" spans="1:68" ht="14.25" customHeight="1" thickTop="1" x14ac:dyDescent="0.2">
      <c r="A573" s="868" t="s">
        <v>874</v>
      </c>
      <c r="B573" s="661" t="s">
        <v>61</v>
      </c>
      <c r="C573" s="661" t="s">
        <v>101</v>
      </c>
      <c r="D573" s="661" t="s">
        <v>118</v>
      </c>
      <c r="E573" s="661" t="s">
        <v>134</v>
      </c>
      <c r="F573" s="661" t="s">
        <v>181</v>
      </c>
      <c r="G573" s="661" t="s">
        <v>205</v>
      </c>
      <c r="H573" s="661" t="s">
        <v>248</v>
      </c>
      <c r="I573" s="661" t="s">
        <v>261</v>
      </c>
      <c r="J573" s="661" t="s">
        <v>117</v>
      </c>
      <c r="K573" s="661" t="s">
        <v>338</v>
      </c>
      <c r="L573" s="661" t="s">
        <v>359</v>
      </c>
      <c r="M573" s="661" t="s">
        <v>422</v>
      </c>
      <c r="N573" s="633"/>
      <c r="O573" s="661" t="s">
        <v>491</v>
      </c>
      <c r="P573" s="661" t="s">
        <v>526</v>
      </c>
      <c r="Q573" s="661" t="s">
        <v>548</v>
      </c>
      <c r="R573" s="661" t="s">
        <v>557</v>
      </c>
      <c r="S573" s="661" t="s">
        <v>579</v>
      </c>
      <c r="T573" s="661" t="s">
        <v>586</v>
      </c>
      <c r="U573" s="661" t="s">
        <v>595</v>
      </c>
      <c r="V573" s="661" t="s">
        <v>681</v>
      </c>
      <c r="W573" s="661" t="s">
        <v>690</v>
      </c>
      <c r="X573" s="661" t="s">
        <v>701</v>
      </c>
      <c r="Y573" s="661" t="s">
        <v>750</v>
      </c>
      <c r="Z573" s="661" t="s">
        <v>767</v>
      </c>
      <c r="AA573" s="661" t="s">
        <v>787</v>
      </c>
      <c r="AB573" s="661" t="s">
        <v>799</v>
      </c>
      <c r="AC573" s="661" t="s">
        <v>843</v>
      </c>
      <c r="AD573" s="661" t="s">
        <v>861</v>
      </c>
      <c r="AF573" s="633"/>
    </row>
    <row r="574" spans="1:68" ht="13.5" customHeight="1" thickBot="1" x14ac:dyDescent="0.25">
      <c r="A574" s="869"/>
      <c r="B574" s="662"/>
      <c r="C574" s="662"/>
      <c r="D574" s="662"/>
      <c r="E574" s="662"/>
      <c r="F574" s="662"/>
      <c r="G574" s="662"/>
      <c r="H574" s="662"/>
      <c r="I574" s="662"/>
      <c r="J574" s="662"/>
      <c r="K574" s="662"/>
      <c r="L574" s="662"/>
      <c r="M574" s="662"/>
      <c r="N574" s="633"/>
      <c r="O574" s="662"/>
      <c r="P574" s="662"/>
      <c r="Q574" s="662"/>
      <c r="R574" s="662"/>
      <c r="S574" s="662"/>
      <c r="T574" s="662"/>
      <c r="U574" s="662"/>
      <c r="V574" s="662"/>
      <c r="W574" s="662"/>
      <c r="X574" s="662"/>
      <c r="Y574" s="662"/>
      <c r="Z574" s="662"/>
      <c r="AA574" s="662"/>
      <c r="AB574" s="662"/>
      <c r="AC574" s="662"/>
      <c r="AD574" s="662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5.4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108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79.600000000000009</v>
      </c>
      <c r="F575" s="46">
        <f>IFERROR(Y89*1,"0")+IFERROR(Y90*1,"0")+IFERROR(Y91*1,"0")+IFERROR(Y92*1,"0")+IFERROR(Y93*1,"0")+IFERROR(Y94*1,"0")+IFERROR(Y98*1,"0")+IFERROR(Y99*1,"0")+IFERROR(Y100*1,"0")+IFERROR(Y101*1,"0")</f>
        <v>69.300000000000011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76.5</v>
      </c>
      <c r="H575" s="46">
        <f>IFERROR(Y136*1,"0")+IFERROR(Y137*1,"0")+IFERROR(Y141*1,"0")+IFERROR(Y142*1,"0")+IFERROR(Y146*1,"0")+IFERROR(Y147*1,"0")</f>
        <v>79.2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301.44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297.60000000000002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1277.1000000000001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129.6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124.8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210.6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15</v>
      </c>
      <c r="Y575" s="46">
        <f>IFERROR(Y468*1,"0")+IFERROR(Y469*1,"0")+IFERROR(Y473*1,"0")+IFERROR(Y477*1,"0")+IFERROR(Y478*1,"0")+IFERROR(Y479*1,"0")</f>
        <v>0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32.400000000000006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31.68</v>
      </c>
      <c r="AC575" s="46">
        <f>IFERROR(Y540*1,"0")+IFERROR(Y544*1,"0")+IFERROR(Y548*1,"0")+IFERROR(Y552*1,"0")+IFERROR(Y556*1,"0")+IFERROR(Y557*1,"0")</f>
        <v>126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3"/>
        <filter val="104,00"/>
        <filter val="106,00"/>
        <filter val="11,00"/>
        <filter val="114,00"/>
        <filter val="119,00"/>
        <filter val="12,00"/>
        <filter val="124,00"/>
        <filter val="129,00"/>
        <filter val="13,00"/>
        <filter val="13,22"/>
        <filter val="14,00"/>
        <filter val="140,00"/>
        <filter val="15,90"/>
        <filter val="169,28"/>
        <filter val="173,00"/>
        <filter val="18,00"/>
        <filter val="2 868,00"/>
        <filter val="2,00"/>
        <filter val="2,50"/>
        <filter val="2,78"/>
        <filter val="206,00"/>
        <filter val="24,00"/>
        <filter val="25,00"/>
        <filter val="254,00"/>
        <filter val="26,41"/>
        <filter val="27,00"/>
        <filter val="29,17"/>
        <filter val="292,00"/>
        <filter val="296,00"/>
        <filter val="3 076,15"/>
        <filter val="3 226,15"/>
        <filter val="3,00"/>
        <filter val="3,93"/>
        <filter val="32,00"/>
        <filter val="331,00"/>
        <filter val="362,90"/>
        <filter val="37,00"/>
        <filter val="38,00"/>
        <filter val="39,00"/>
        <filter val="4,00"/>
        <filter val="4,73"/>
        <filter val="40,00"/>
        <filter val="43,00"/>
        <filter val="449,00"/>
        <filter val="47,00"/>
        <filter val="5,00"/>
        <filter val="5,76"/>
        <filter val="5,93"/>
        <filter val="53,75"/>
        <filter val="54,00"/>
        <filter val="55,00"/>
        <filter val="58,00"/>
        <filter val="6"/>
        <filter val="6,00"/>
        <filter val="6,20"/>
        <filter val="62,00"/>
        <filter val="75,37"/>
        <filter val="76,00"/>
        <filter val="77,00"/>
        <filter val="8,02"/>
        <filter val="81,00"/>
        <filter val="86,00"/>
        <filter val="891,48"/>
        <filter val="9,00"/>
        <filter val="9,81"/>
        <filter val="926,00"/>
        <filter val="95,08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P499:T499"/>
    <mergeCell ref="D342:E342"/>
    <mergeCell ref="P292:T292"/>
    <mergeCell ref="A360:O361"/>
    <mergeCell ref="A553:O554"/>
    <mergeCell ref="P528:T528"/>
    <mergeCell ref="D552:E552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159:T159"/>
    <mergeCell ref="A275:Z275"/>
    <mergeCell ref="P517:T517"/>
    <mergeCell ref="D267:E267"/>
    <mergeCell ref="D120:E120"/>
    <mergeCell ref="P60:T60"/>
    <mergeCell ref="D239:E239"/>
    <mergeCell ref="D266:E266"/>
    <mergeCell ref="A339:Z339"/>
    <mergeCell ref="P74:V74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134:Z134"/>
    <mergeCell ref="A262:O263"/>
    <mergeCell ref="P303:T303"/>
    <mergeCell ref="P367:V367"/>
    <mergeCell ref="A420:O421"/>
    <mergeCell ref="P75:V75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P102:V102"/>
    <mergeCell ref="P280:T280"/>
    <mergeCell ref="A470:O471"/>
    <mergeCell ref="D261:E261"/>
    <mergeCell ref="D90:E90"/>
    <mergeCell ref="P411:T411"/>
    <mergeCell ref="D532:E532"/>
    <mergeCell ref="D63:E63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D100:E100"/>
    <mergeCell ref="P17:T18"/>
    <mergeCell ref="A545:O546"/>
    <mergeCell ref="D523:E523"/>
    <mergeCell ref="P63:T63"/>
    <mergeCell ref="P250:T250"/>
    <mergeCell ref="D329:E329"/>
    <mergeCell ref="P286:T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2026-10-23T12:55:20Z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