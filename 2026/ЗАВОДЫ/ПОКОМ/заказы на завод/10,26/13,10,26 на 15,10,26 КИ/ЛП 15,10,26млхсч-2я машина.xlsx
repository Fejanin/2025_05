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38977DD-AE7A-42F8-B0CA-D95D97100C2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P495" i="2"/>
  <c r="BO494" i="2"/>
  <c r="BM494" i="2"/>
  <c r="Y494" i="2"/>
  <c r="P494" i="2"/>
  <c r="BO493" i="2"/>
  <c r="BM493" i="2"/>
  <c r="Y493" i="2"/>
  <c r="P493" i="2"/>
  <c r="BO492" i="2"/>
  <c r="BM492" i="2"/>
  <c r="Y492" i="2"/>
  <c r="BN492" i="2" s="1"/>
  <c r="P492" i="2"/>
  <c r="X488" i="2"/>
  <c r="X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P468" i="2"/>
  <c r="BO467" i="2"/>
  <c r="BM467" i="2"/>
  <c r="Y467" i="2"/>
  <c r="BN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P427" i="2"/>
  <c r="BO426" i="2"/>
  <c r="BM426" i="2"/>
  <c r="Y426" i="2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P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N374" i="2" s="1"/>
  <c r="P374" i="2"/>
  <c r="BO373" i="2"/>
  <c r="BM373" i="2"/>
  <c r="Y373" i="2"/>
  <c r="P373" i="2"/>
  <c r="X371" i="2"/>
  <c r="X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P356" i="2"/>
  <c r="BO355" i="2"/>
  <c r="BM355" i="2"/>
  <c r="Y355" i="2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P335" i="2"/>
  <c r="BO334" i="2"/>
  <c r="BM334" i="2"/>
  <c r="Y334" i="2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2" i="2"/>
  <c r="X311" i="2"/>
  <c r="BO310" i="2"/>
  <c r="BM310" i="2"/>
  <c r="Y310" i="2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Y236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P185" i="2"/>
  <c r="BO184" i="2"/>
  <c r="BM184" i="2"/>
  <c r="Y184" i="2"/>
  <c r="P184" i="2"/>
  <c r="X182" i="2"/>
  <c r="X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H556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P56" i="2"/>
  <c r="BO55" i="2"/>
  <c r="BM55" i="2"/>
  <c r="Y55" i="2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P38" i="2"/>
  <c r="BO37" i="2"/>
  <c r="BM37" i="2"/>
  <c r="Y37" i="2"/>
  <c r="BP37" i="2" s="1"/>
  <c r="P37" i="2"/>
  <c r="BO36" i="2"/>
  <c r="BM36" i="2"/>
  <c r="Y36" i="2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P22" i="2"/>
  <c r="H10" i="2"/>
  <c r="A9" i="2"/>
  <c r="J9" i="2" s="1"/>
  <c r="D7" i="2"/>
  <c r="Q6" i="2"/>
  <c r="P2" i="2"/>
  <c r="G556" i="2" l="1"/>
  <c r="E556" i="2"/>
  <c r="Y534" i="2"/>
  <c r="BN533" i="2"/>
  <c r="Z529" i="2"/>
  <c r="Z530" i="2" s="1"/>
  <c r="Y531" i="2"/>
  <c r="Y522" i="2"/>
  <c r="BN521" i="2"/>
  <c r="BN513" i="2"/>
  <c r="BP513" i="2"/>
  <c r="Z513" i="2"/>
  <c r="BN510" i="2"/>
  <c r="BP510" i="2"/>
  <c r="BP509" i="2"/>
  <c r="Y517" i="2"/>
  <c r="BP504" i="2"/>
  <c r="BN504" i="2"/>
  <c r="Y507" i="2"/>
  <c r="BP503" i="2"/>
  <c r="BN503" i="2"/>
  <c r="Z503" i="2"/>
  <c r="BP496" i="2"/>
  <c r="BN496" i="2"/>
  <c r="Z495" i="2"/>
  <c r="BN495" i="2"/>
  <c r="BP494" i="2"/>
  <c r="BN494" i="2"/>
  <c r="BP493" i="2"/>
  <c r="BN493" i="2"/>
  <c r="BP486" i="2"/>
  <c r="BN486" i="2"/>
  <c r="BN475" i="2"/>
  <c r="Y476" i="2"/>
  <c r="Z475" i="2"/>
  <c r="Z476" i="2" s="1"/>
  <c r="BP471" i="2"/>
  <c r="BN471" i="2"/>
  <c r="Z470" i="2"/>
  <c r="BN470" i="2"/>
  <c r="BP469" i="2"/>
  <c r="BN469" i="2"/>
  <c r="BP468" i="2"/>
  <c r="BN468" i="2"/>
  <c r="Y473" i="2"/>
  <c r="Y472" i="2"/>
  <c r="BP466" i="2"/>
  <c r="Z458" i="2"/>
  <c r="BN458" i="2"/>
  <c r="BP438" i="2"/>
  <c r="BN438" i="2"/>
  <c r="BP433" i="2"/>
  <c r="Z433" i="2"/>
  <c r="BP427" i="2"/>
  <c r="BN427" i="2"/>
  <c r="BP426" i="2"/>
  <c r="BN426" i="2"/>
  <c r="Z426" i="2"/>
  <c r="BP424" i="2"/>
  <c r="BN424" i="2"/>
  <c r="BP422" i="2"/>
  <c r="Z422" i="2"/>
  <c r="BP414" i="2"/>
  <c r="BN414" i="2"/>
  <c r="BN413" i="2"/>
  <c r="BP413" i="2"/>
  <c r="Z413" i="2"/>
  <c r="U556" i="2"/>
  <c r="BP406" i="2"/>
  <c r="Z399" i="2"/>
  <c r="BN399" i="2"/>
  <c r="BP394" i="2"/>
  <c r="Z394" i="2"/>
  <c r="BP389" i="2"/>
  <c r="BN389" i="2"/>
  <c r="BN388" i="2"/>
  <c r="BP388" i="2"/>
  <c r="Z388" i="2"/>
  <c r="BP381" i="2"/>
  <c r="BN381" i="2"/>
  <c r="Z381" i="2"/>
  <c r="Y383" i="2"/>
  <c r="BP380" i="2"/>
  <c r="Z380" i="2"/>
  <c r="BP376" i="2"/>
  <c r="BN376" i="2"/>
  <c r="Z376" i="2"/>
  <c r="BN375" i="2"/>
  <c r="BP375" i="2"/>
  <c r="Z375" i="2"/>
  <c r="Y377" i="2"/>
  <c r="BP373" i="2"/>
  <c r="Y378" i="2"/>
  <c r="BP368" i="2"/>
  <c r="BN368" i="2"/>
  <c r="BP366" i="2"/>
  <c r="BN366" i="2"/>
  <c r="Z366" i="2"/>
  <c r="BN365" i="2"/>
  <c r="BP365" i="2"/>
  <c r="Z365" i="2"/>
  <c r="BN363" i="2"/>
  <c r="BP363" i="2"/>
  <c r="BP358" i="2"/>
  <c r="BN358" i="2"/>
  <c r="BP356" i="2"/>
  <c r="BN356" i="2"/>
  <c r="Z356" i="2"/>
  <c r="BN355" i="2"/>
  <c r="BP355" i="2"/>
  <c r="Z355" i="2"/>
  <c r="BN353" i="2"/>
  <c r="BP353" i="2"/>
  <c r="BP347" i="2"/>
  <c r="BN347" i="2"/>
  <c r="BN335" i="2"/>
  <c r="BP335" i="2"/>
  <c r="Z335" i="2"/>
  <c r="BP333" i="2"/>
  <c r="Z333" i="2"/>
  <c r="BP332" i="2"/>
  <c r="Z332" i="2"/>
  <c r="BP326" i="2"/>
  <c r="Z326" i="2"/>
  <c r="BP320" i="2"/>
  <c r="Z320" i="2"/>
  <c r="Z310" i="2"/>
  <c r="BN310" i="2"/>
  <c r="BP309" i="2"/>
  <c r="BN309" i="2"/>
  <c r="Y303" i="2"/>
  <c r="BN301" i="2"/>
  <c r="Y302" i="2"/>
  <c r="BP296" i="2"/>
  <c r="BN296" i="2"/>
  <c r="BN293" i="2"/>
  <c r="Z293" i="2"/>
  <c r="BP280" i="2"/>
  <c r="BN280" i="2"/>
  <c r="BN278" i="2"/>
  <c r="BP278" i="2"/>
  <c r="Z278" i="2"/>
  <c r="Z277" i="2"/>
  <c r="BN277" i="2"/>
  <c r="BP275" i="2"/>
  <c r="BN275" i="2"/>
  <c r="BN272" i="2"/>
  <c r="Z272" i="2"/>
  <c r="BP265" i="2"/>
  <c r="BN265" i="2"/>
  <c r="BN262" i="2"/>
  <c r="Z262" i="2"/>
  <c r="Y268" i="2"/>
  <c r="Z259" i="2"/>
  <c r="BN259" i="2"/>
  <c r="BP259" i="2"/>
  <c r="BN240" i="2"/>
  <c r="BP240" i="2"/>
  <c r="BN239" i="2"/>
  <c r="Z239" i="2"/>
  <c r="Z234" i="2"/>
  <c r="BN234" i="2"/>
  <c r="BP232" i="2"/>
  <c r="BN232" i="2"/>
  <c r="BN225" i="2"/>
  <c r="Z225" i="2"/>
  <c r="BP225" i="2"/>
  <c r="BP223" i="2"/>
  <c r="Z223" i="2"/>
  <c r="BP217" i="2"/>
  <c r="BN217" i="2"/>
  <c r="BP216" i="2"/>
  <c r="BN216" i="2"/>
  <c r="Z216" i="2"/>
  <c r="BN215" i="2"/>
  <c r="Z215" i="2"/>
  <c r="BP215" i="2"/>
  <c r="BP214" i="2"/>
  <c r="Z214" i="2"/>
  <c r="BN204" i="2"/>
  <c r="Z204" i="2"/>
  <c r="BP204" i="2"/>
  <c r="BP202" i="2"/>
  <c r="Z202" i="2"/>
  <c r="Y187" i="2"/>
  <c r="BP185" i="2"/>
  <c r="BN184" i="2"/>
  <c r="Z184" i="2"/>
  <c r="BP180" i="2"/>
  <c r="BN180" i="2"/>
  <c r="BP178" i="2"/>
  <c r="Z178" i="2"/>
  <c r="BN178" i="2"/>
  <c r="BN177" i="2"/>
  <c r="Z177" i="2"/>
  <c r="BN175" i="2"/>
  <c r="BP175" i="2"/>
  <c r="BN173" i="2"/>
  <c r="Z173" i="2"/>
  <c r="BP149" i="2"/>
  <c r="BN149" i="2"/>
  <c r="Z149" i="2"/>
  <c r="Z147" i="2"/>
  <c r="BN147" i="2"/>
  <c r="BP147" i="2"/>
  <c r="Z136" i="2"/>
  <c r="BN136" i="2"/>
  <c r="BP136" i="2"/>
  <c r="Y127" i="2"/>
  <c r="Z126" i="2"/>
  <c r="Z127" i="2" s="1"/>
  <c r="Z120" i="2"/>
  <c r="BN120" i="2"/>
  <c r="BP120" i="2"/>
  <c r="Z113" i="2"/>
  <c r="BN113" i="2"/>
  <c r="BP113" i="2"/>
  <c r="BP111" i="2"/>
  <c r="BN111" i="2"/>
  <c r="Z111" i="2"/>
  <c r="BP107" i="2"/>
  <c r="Z107" i="2"/>
  <c r="BN107" i="2"/>
  <c r="Z102" i="2"/>
  <c r="BN102" i="2"/>
  <c r="BP94" i="2"/>
  <c r="BN94" i="2"/>
  <c r="BP89" i="2"/>
  <c r="Z89" i="2"/>
  <c r="BP86" i="2"/>
  <c r="Z86" i="2"/>
  <c r="BN86" i="2"/>
  <c r="BP72" i="2"/>
  <c r="Z72" i="2"/>
  <c r="Z68" i="2"/>
  <c r="BN68" i="2"/>
  <c r="Z66" i="2"/>
  <c r="BN66" i="2"/>
  <c r="BP66" i="2"/>
  <c r="Z59" i="2"/>
  <c r="BN59" i="2"/>
  <c r="BP59" i="2"/>
  <c r="BP57" i="2"/>
  <c r="BN57" i="2"/>
  <c r="Z57" i="2"/>
  <c r="BN56" i="2"/>
  <c r="Z56" i="2"/>
  <c r="BP56" i="2"/>
  <c r="BN55" i="2"/>
  <c r="BP55" i="2"/>
  <c r="BN48" i="2"/>
  <c r="Z48" i="2"/>
  <c r="BP48" i="2"/>
  <c r="Z47" i="2"/>
  <c r="BN47" i="2"/>
  <c r="BP46" i="2"/>
  <c r="Z46" i="2"/>
  <c r="BP40" i="2"/>
  <c r="Z40" i="2"/>
  <c r="BP39" i="2"/>
  <c r="BN39" i="2"/>
  <c r="BP38" i="2"/>
  <c r="BN38" i="2"/>
  <c r="C556" i="2"/>
  <c r="BP36" i="2"/>
  <c r="Z36" i="2"/>
  <c r="BP28" i="2"/>
  <c r="Z28" i="2"/>
  <c r="BP27" i="2"/>
  <c r="BN27" i="2"/>
  <c r="Y24" i="2"/>
  <c r="Z22" i="2"/>
  <c r="Z23" i="2" s="1"/>
  <c r="BP22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BP73" i="2"/>
  <c r="BP122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BP285" i="2"/>
  <c r="Z291" i="2"/>
  <c r="BP291" i="2"/>
  <c r="BP293" i="2"/>
  <c r="Z296" i="2"/>
  <c r="Z301" i="2"/>
  <c r="Z302" i="2" s="1"/>
  <c r="BP301" i="2"/>
  <c r="Z309" i="2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99" i="2"/>
  <c r="Z210" i="2"/>
  <c r="Z211" i="2" s="1"/>
  <c r="Z220" i="2"/>
  <c r="Z230" i="2"/>
  <c r="Z240" i="2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BP339" i="2"/>
  <c r="Z348" i="2"/>
  <c r="Z359" i="2"/>
  <c r="Z369" i="2"/>
  <c r="BP393" i="2"/>
  <c r="Z401" i="2"/>
  <c r="Z437" i="2"/>
  <c r="Z460" i="2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BN132" i="2"/>
  <c r="Z142" i="2"/>
  <c r="Z166" i="2"/>
  <c r="Z176" i="2"/>
  <c r="Z200" i="2"/>
  <c r="Z221" i="2"/>
  <c r="Z231" i="2"/>
  <c r="Z254" i="2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311" i="2" l="1"/>
  <c r="Z440" i="2"/>
  <c r="Z251" i="2"/>
  <c r="Z168" i="2"/>
  <c r="Z256" i="2"/>
  <c r="Z349" i="2"/>
  <c r="Z402" i="2"/>
  <c r="Z383" i="2"/>
  <c r="Z336" i="2"/>
  <c r="Z151" i="2"/>
  <c r="Z74" i="2"/>
  <c r="X549" i="2"/>
  <c r="Z116" i="2"/>
  <c r="Z69" i="2"/>
  <c r="Z123" i="2"/>
  <c r="Z41" i="2"/>
  <c r="Z287" i="2"/>
  <c r="Z445" i="2"/>
  <c r="Z50" i="2"/>
  <c r="Z461" i="2"/>
  <c r="Z487" i="2"/>
  <c r="Z80" i="2"/>
  <c r="Z133" i="2"/>
  <c r="Z428" i="2"/>
  <c r="Z434" i="2"/>
  <c r="Z186" i="2"/>
  <c r="Z241" i="2"/>
  <c r="Z138" i="2"/>
  <c r="Y548" i="2"/>
  <c r="Z267" i="2"/>
  <c r="Z415" i="2"/>
  <c r="Z321" i="2"/>
  <c r="Y547" i="2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Y549" i="2" l="1"/>
  <c r="Z551" i="2"/>
</calcChain>
</file>

<file path=xl/sharedStrings.xml><?xml version="1.0" encoding="utf-8"?>
<sst xmlns="http://schemas.openxmlformats.org/spreadsheetml/2006/main" count="4126" uniqueCount="876">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</sst>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 t="s">
        <v>875</v>
      </c>
      <c r="I5" s="971"/>
      <c r="J5" s="971"/>
      <c r="K5" s="971"/>
      <c r="L5" s="971"/>
      <c r="M5" s="971"/>
      <c r="N5" s="69"/>
      <c r="P5" s="26" t="s">
        <v>4</v>
      </c>
      <c r="Q5" s="973">
        <v>46310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858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Четверг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3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0.45833333333333331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200</v>
      </c>
      <c r="Y46" s="53">
        <f>IFERROR(IF(X46="",0,CEILING((X46/$H46),1)*$H46),"")</f>
        <v>205.20000000000002</v>
      </c>
      <c r="Z46" s="39">
        <f>IFERROR(IF(Y46=0,"",ROUNDUP(Y46/H46,0)*0.01898),"")</f>
        <v>0.36062</v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207.59259259259258</v>
      </c>
      <c r="BN46" s="75">
        <f>IFERROR(Y46*I46/H46,"0")</f>
        <v>212.99</v>
      </c>
      <c r="BO46" s="75">
        <f>IFERROR(1/J46*(X46/H46),"0")</f>
        <v>0.28935185185185186</v>
      </c>
      <c r="BP46" s="75">
        <f>IFERROR(1/J46*(Y46/H46),"0")</f>
        <v>0.296875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18.518518518518519</v>
      </c>
      <c r="Y50" s="41">
        <f>IFERROR(Y46/H46,"0")+IFERROR(Y47/H47,"0")+IFERROR(Y48/H48,"0")+IFERROR(Y49/H49,"0")</f>
        <v>19</v>
      </c>
      <c r="Z50" s="41">
        <f>IFERROR(IF(Z46="",0,Z46),"0")+IFERROR(IF(Z47="",0,Z47),"0")+IFERROR(IF(Z48="",0,Z48),"0")+IFERROR(IF(Z49="",0,Z49),"0")</f>
        <v>0.36062</v>
      </c>
      <c r="AA50" s="64"/>
      <c r="AB50" s="64"/>
      <c r="AC50" s="64"/>
    </row>
    <row r="51" spans="1:68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200</v>
      </c>
      <c r="Y51" s="41">
        <f>IFERROR(SUM(Y46:Y49),"0")</f>
        <v>205.20000000000002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150</v>
      </c>
      <c r="Y55" s="53">
        <f t="shared" si="0"/>
        <v>151.20000000000002</v>
      </c>
      <c r="Z55" s="39">
        <f>IFERROR(IF(Y55=0,"",ROUNDUP(Y55/H55,0)*0.01898),"")</f>
        <v>0.26572000000000001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155.69444444444446</v>
      </c>
      <c r="BN55" s="75">
        <f t="shared" si="2"/>
        <v>156.94</v>
      </c>
      <c r="BO55" s="75">
        <f t="shared" si="3"/>
        <v>0.21701388888888887</v>
      </c>
      <c r="BP55" s="75">
        <f t="shared" si="4"/>
        <v>0.21875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22.5</v>
      </c>
      <c r="Y61" s="53">
        <f t="shared" si="0"/>
        <v>22.5</v>
      </c>
      <c r="Z61" s="39">
        <f>IFERROR(IF(Y61=0,"",ROUNDUP(Y61/H61,0)*0.00902),"")</f>
        <v>4.5100000000000001E-2</v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23.450000000000003</v>
      </c>
      <c r="BN61" s="75">
        <f t="shared" si="2"/>
        <v>23.450000000000003</v>
      </c>
      <c r="BO61" s="75">
        <f t="shared" si="3"/>
        <v>3.787878787878788E-2</v>
      </c>
      <c r="BP61" s="75">
        <f t="shared" si="4"/>
        <v>3.787878787878788E-2</v>
      </c>
    </row>
    <row r="62" spans="1:68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18.888888888888886</v>
      </c>
      <c r="Y62" s="41">
        <f>IFERROR(Y54/H54,"0")+IFERROR(Y55/H55,"0")+IFERROR(Y56/H56,"0")+IFERROR(Y57/H57,"0")+IFERROR(Y58/H58,"0")+IFERROR(Y59/H59,"0")+IFERROR(Y60/H60,"0")+IFERROR(Y61/H61,"0")</f>
        <v>19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0.31081999999999999</v>
      </c>
      <c r="AA62" s="64"/>
      <c r="AB62" s="64"/>
      <c r="AC62" s="64"/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172.5</v>
      </c>
      <c r="Y63" s="41">
        <f>IFERROR(SUM(Y54:Y61),"0")</f>
        <v>173.70000000000002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40</v>
      </c>
      <c r="Y65" s="53">
        <f>IFERROR(IF(X65="",0,CEILING((X65/$H65),1)*$H65),"")</f>
        <v>43.2</v>
      </c>
      <c r="Z65" s="39">
        <f>IFERROR(IF(Y65=0,"",ROUNDUP(Y65/H65,0)*0.01898),"")</f>
        <v>7.5920000000000001E-2</v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41.518518518518519</v>
      </c>
      <c r="BN65" s="75">
        <f>IFERROR(Y65*I65/H65,"0")</f>
        <v>44.84</v>
      </c>
      <c r="BO65" s="75">
        <f>IFERROR(1/J65*(X65/H65),"0")</f>
        <v>5.7870370370370364E-2</v>
      </c>
      <c r="BP65" s="75">
        <f>IFERROR(1/J65*(Y65/H65),"0")</f>
        <v>6.25E-2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3.7037037037037033</v>
      </c>
      <c r="Y69" s="41">
        <f>IFERROR(Y65/H65,"0")+IFERROR(Y66/H66,"0")+IFERROR(Y67/H67,"0")+IFERROR(Y68/H68,"0")</f>
        <v>4</v>
      </c>
      <c r="Z69" s="41">
        <f>IFERROR(IF(Z65="",0,Z65),"0")+IFERROR(IF(Z66="",0,Z66),"0")+IFERROR(IF(Z67="",0,Z67),"0")+IFERROR(IF(Z68="",0,Z68),"0")</f>
        <v>7.5920000000000001E-2</v>
      </c>
      <c r="AA69" s="64"/>
      <c r="AB69" s="64"/>
      <c r="AC69" s="64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40</v>
      </c>
      <c r="Y70" s="41">
        <f>IFERROR(SUM(Y65:Y68),"0")</f>
        <v>43.2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250</v>
      </c>
      <c r="Y84" s="53">
        <f t="shared" ref="Y84:Y89" si="5">IFERROR(IF(X84="",0,CEILING((X84/$H84),1)*$H84),"")</f>
        <v>259.20000000000005</v>
      </c>
      <c r="Z84" s="39">
        <f>IFERROR(IF(Y84=0,"",ROUNDUP(Y84/H84,0)*0.01898),"")</f>
        <v>0.45552000000000004</v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259.4907407407407</v>
      </c>
      <c r="BN84" s="75">
        <f t="shared" ref="BN84:BN89" si="7">IFERROR(Y84*I84/H84,"0")</f>
        <v>269.04000000000002</v>
      </c>
      <c r="BO84" s="75">
        <f t="shared" ref="BO84:BO89" si="8">IFERROR(1/J84*(X84/H84),"0")</f>
        <v>0.36168981481481477</v>
      </c>
      <c r="BP84" s="75">
        <f t="shared" ref="BP84:BP89" si="9">IFERROR(1/J84*(Y84/H84),"0")</f>
        <v>0.37500000000000006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23.148148148148145</v>
      </c>
      <c r="Y90" s="41">
        <f>IFERROR(Y84/H84,"0")+IFERROR(Y85/H85,"0")+IFERROR(Y86/H86,"0")+IFERROR(Y87/H87,"0")+IFERROR(Y88/H88,"0")+IFERROR(Y89/H89,"0")</f>
        <v>24.000000000000004</v>
      </c>
      <c r="Z90" s="41">
        <f>IFERROR(IF(Z84="",0,Z84),"0")+IFERROR(IF(Z85="",0,Z85),"0")+IFERROR(IF(Z86="",0,Z86),"0")+IFERROR(IF(Z87="",0,Z87),"0")+IFERROR(IF(Z88="",0,Z88),"0")+IFERROR(IF(Z89="",0,Z89),"0")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250</v>
      </c>
      <c r="Y91" s="41">
        <f>IFERROR(SUM(Y84:Y89),"0")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160</v>
      </c>
      <c r="Y93" s="53">
        <f>IFERROR(IF(X93="",0,CEILING((X93/$H93),1)*$H93),"")</f>
        <v>162</v>
      </c>
      <c r="Z93" s="39">
        <f>IFERROR(IF(Y93=0,"",ROUNDUP(Y93/H93,0)*0.01898),"")</f>
        <v>0.37959999999999999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169.75802469135803</v>
      </c>
      <c r="BN93" s="75">
        <f>IFERROR(Y93*I93/H93,"0")</f>
        <v>171.88</v>
      </c>
      <c r="BO93" s="75">
        <f>IFERROR(1/J93*(X93/H93),"0")</f>
        <v>0.30864197530864201</v>
      </c>
      <c r="BP93" s="75">
        <f>IFERROR(1/J93*(Y93/H93),"0")</f>
        <v>0.3125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54</v>
      </c>
      <c r="Y95" s="53">
        <f>IFERROR(IF(X95="",0,CEILING((X95/$H95),1)*$H95),"")</f>
        <v>54</v>
      </c>
      <c r="Z95" s="39">
        <f>IFERROR(IF(Y95=0,"",ROUNDUP(Y95/H95,0)*0.00651),"")</f>
        <v>0.13020000000000001</v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59.039999999999992</v>
      </c>
      <c r="BN95" s="75">
        <f>IFERROR(Y95*I95/H95,"0")</f>
        <v>59.039999999999992</v>
      </c>
      <c r="BO95" s="75">
        <f>IFERROR(1/J95*(X95/H95),"0")</f>
        <v>0.1098901098901099</v>
      </c>
      <c r="BP95" s="75">
        <f>IFERROR(1/J95*(Y95/H95),"0")</f>
        <v>0.1098901098901099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39.753086419753089</v>
      </c>
      <c r="Y97" s="41">
        <f>IFERROR(Y93/H93,"0")+IFERROR(Y94/H94,"0")+IFERROR(Y95/H95,"0")+IFERROR(Y96/H96,"0")</f>
        <v>40</v>
      </c>
      <c r="Z97" s="41">
        <f>IFERROR(IF(Z93="",0,Z93),"0")+IFERROR(IF(Z94="",0,Z94),"0")+IFERROR(IF(Z95="",0,Z95),"0")+IFERROR(IF(Z96="",0,Z96),"0")</f>
        <v>0.50980000000000003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214</v>
      </c>
      <c r="Y98" s="41">
        <f>IFERROR(SUM(Y93:Y96),"0")</f>
        <v>216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150</v>
      </c>
      <c r="Y101" s="53">
        <f t="shared" ref="Y101:Y107" si="10">IFERROR(IF(X101="",0,CEILING((X101/$H101),1)*$H101),"")</f>
        <v>151.20000000000002</v>
      </c>
      <c r="Z101" s="39">
        <f>IFERROR(IF(Y101=0,"",ROUNDUP(Y101/H101,0)*0.01898),"")</f>
        <v>0.26572000000000001</v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155.69444444444446</v>
      </c>
      <c r="BN101" s="75">
        <f t="shared" ref="BN101:BN107" si="12">IFERROR(Y101*I101/H101,"0")</f>
        <v>156.94</v>
      </c>
      <c r="BO101" s="75">
        <f t="shared" ref="BO101:BO107" si="13">IFERROR(1/J101*(X101/H101),"0")</f>
        <v>0.21701388888888887</v>
      </c>
      <c r="BP101" s="75">
        <f t="shared" ref="BP101:BP107" si="14">IFERROR(1/J101*(Y101/H101),"0")</f>
        <v>0.21875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13.888888888888888</v>
      </c>
      <c r="Y108" s="41">
        <f>IFERROR(Y101/H101,"0")+IFERROR(Y102/H102,"0")+IFERROR(Y103/H103,"0")+IFERROR(Y104/H104,"0")+IFERROR(Y105/H105,"0")+IFERROR(Y106/H106,"0")+IFERROR(Y107/H107,"0")</f>
        <v>14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0.26572000000000001</v>
      </c>
      <c r="AA108" s="64"/>
      <c r="AB108" s="64"/>
      <c r="AC108" s="64"/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150</v>
      </c>
      <c r="Y109" s="41">
        <f>IFERROR(SUM(Y101:Y107),"0")</f>
        <v>151.20000000000002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50</v>
      </c>
      <c r="Y111" s="53">
        <f>IFERROR(IF(X111="",0,CEILING((X111/$H111),1)*$H111),"")</f>
        <v>54</v>
      </c>
      <c r="Z111" s="39">
        <f>IFERROR(IF(Y111=0,"",ROUNDUP(Y111/H111,0)*0.01898),"")</f>
        <v>9.4899999999999998E-2</v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51.898148148148145</v>
      </c>
      <c r="BN111" s="75">
        <f>IFERROR(Y111*I111/H111,"0")</f>
        <v>56.05</v>
      </c>
      <c r="BO111" s="75">
        <f>IFERROR(1/J111*(X111/H111),"0")</f>
        <v>7.2337962962962965E-2</v>
      </c>
      <c r="BP111" s="75">
        <f>IFERROR(1/J111*(Y111/H111),"0")</f>
        <v>7.8125E-2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4.6296296296296298</v>
      </c>
      <c r="Y116" s="41">
        <f>IFERROR(Y111/H111,"0")+IFERROR(Y112/H112,"0")+IFERROR(Y113/H113,"0")+IFERROR(Y114/H114,"0")+IFERROR(Y115/H115,"0")</f>
        <v>5</v>
      </c>
      <c r="Z116" s="41">
        <f>IFERROR(IF(Z111="",0,Z111),"0")+IFERROR(IF(Z112="",0,Z112),"0")+IFERROR(IF(Z113="",0,Z113),"0")+IFERROR(IF(Z114="",0,Z114),"0")+IFERROR(IF(Z115="",0,Z115),"0")</f>
        <v>9.4899999999999998E-2</v>
      </c>
      <c r="AA116" s="64"/>
      <c r="AB116" s="64"/>
      <c r="AC116" s="64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50</v>
      </c>
      <c r="Y117" s="41">
        <f>IFERROR(SUM(Y111:Y115),"0")</f>
        <v>54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1200</v>
      </c>
      <c r="Y119" s="53">
        <f>IFERROR(IF(X119="",0,CEILING((X119/$H119),1)*$H119),"")</f>
        <v>1206.8999999999999</v>
      </c>
      <c r="Z119" s="39">
        <f>IFERROR(IF(Y119=0,"",ROUNDUP(Y119/H119,0)*0.01898),"")</f>
        <v>2.82802</v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1272.2962962962961</v>
      </c>
      <c r="BN119" s="75">
        <f>IFERROR(Y119*I119/H119,"0")</f>
        <v>1279.6119999999999</v>
      </c>
      <c r="BO119" s="75">
        <f>IFERROR(1/J119*(X119/H119),"0")</f>
        <v>2.3148148148148149</v>
      </c>
      <c r="BP119" s="75">
        <f>IFERROR(1/J119*(Y119/H119),"0")</f>
        <v>2.328125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148.14814814814815</v>
      </c>
      <c r="Y123" s="41">
        <f>IFERROR(Y119/H119,"0")+IFERROR(Y120/H120,"0")+IFERROR(Y121/H121,"0")+IFERROR(Y122/H122,"0")</f>
        <v>149</v>
      </c>
      <c r="Z123" s="41">
        <f>IFERROR(IF(Z119="",0,Z119),"0")+IFERROR(IF(Z120="",0,Z120),"0")+IFERROR(IF(Z121="",0,Z121),"0")+IFERROR(IF(Z122="",0,Z122),"0")</f>
        <v>2.82802</v>
      </c>
      <c r="AA123" s="64"/>
      <c r="AB123" s="64"/>
      <c r="AC123" s="64"/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1200</v>
      </c>
      <c r="Y124" s="41">
        <f>IFERROR(SUM(Y119:Y122),"0")</f>
        <v>1206.8999999999999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hidden="1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ref="Y171:Y180" si="15">IFERROR(IF(X171="",0,CEILING((X171/$H171),1)*$H171),"")</f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0</v>
      </c>
      <c r="BN171" s="75">
        <f t="shared" ref="BN171:BN180" si="17">IFERROR(Y171*I171/H171,"0")</f>
        <v>0</v>
      </c>
      <c r="BO171" s="75">
        <f t="shared" ref="BO171:BO180" si="18">IFERROR(1/J171*(X171/H171),"0")</f>
        <v>0</v>
      </c>
      <c r="BP171" s="75">
        <f t="shared" ref="BP171:BP180" si="19">IFERROR(1/J171*(Y171/H171),"0")</f>
        <v>0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hidden="1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4"/>
      <c r="AB181" s="64"/>
      <c r="AC181" s="64"/>
    </row>
    <row r="182" spans="1:68" hidden="1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0</v>
      </c>
      <c r="Y182" s="41">
        <f>IFERROR(SUM(Y171:Y180),"0")</f>
        <v>0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80</v>
      </c>
      <c r="Y214" s="53">
        <f t="shared" ref="Y214:Y226" si="26">IFERROR(IF(X214="",0,CEILING((X214/$H214),1)*$H214),"")</f>
        <v>84</v>
      </c>
      <c r="Z214" s="39">
        <f>IFERROR(IF(Y214=0,"",ROUNDUP(Y214/H214,0)*0.00902),"")</f>
        <v>0.1804</v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84.761904761904759</v>
      </c>
      <c r="BN214" s="75">
        <f t="shared" ref="BN214:BN226" si="28">IFERROR(Y214*I214/H214,"0")</f>
        <v>89</v>
      </c>
      <c r="BO214" s="75">
        <f t="shared" ref="BO214:BO226" si="29">IFERROR(1/J214*(X214/H214),"0")</f>
        <v>0.14430014430014429</v>
      </c>
      <c r="BP214" s="75">
        <f t="shared" ref="BP214:BP226" si="30">IFERROR(1/J214*(Y214/H214),"0")</f>
        <v>0.15151515151515152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73.5</v>
      </c>
      <c r="Y224" s="53">
        <f t="shared" si="26"/>
        <v>73.5</v>
      </c>
      <c r="Z224" s="39">
        <f>IFERROR(IF(Y224=0,"",ROUNDUP(Y224/H224,0)*0.00502),"")</f>
        <v>0.1757</v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77</v>
      </c>
      <c r="BN224" s="75">
        <f t="shared" si="28"/>
        <v>77</v>
      </c>
      <c r="BO224" s="75">
        <f t="shared" si="29"/>
        <v>0.1495726495726496</v>
      </c>
      <c r="BP224" s="75">
        <f t="shared" si="30"/>
        <v>0.1495726495726496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54.047619047619051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55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0.35609999999999997</v>
      </c>
      <c r="AA227" s="64"/>
      <c r="AB227" s="64"/>
      <c r="AC227" s="64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153.5</v>
      </c>
      <c r="Y228" s="41">
        <f>IFERROR(SUM(Y214:Y226),"0")</f>
        <v>157.5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80</v>
      </c>
      <c r="Y259" s="53">
        <f t="shared" ref="Y259:Y266" si="31">IFERROR(IF(X259="",0,CEILING((X259/$H259),1)*$H259),"")</f>
        <v>81</v>
      </c>
      <c r="Z259" s="39">
        <f>IFERROR(IF(Y259=0,"",ROUNDUP(Y259/H259,0)*0.00902),"")</f>
        <v>0.1353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82.81481481481481</v>
      </c>
      <c r="BN259" s="75">
        <f t="shared" ref="BN259:BN266" si="33">IFERROR(Y259*I259/H259,"0")</f>
        <v>83.85</v>
      </c>
      <c r="BO259" s="75">
        <f t="shared" ref="BO259:BO266" si="34">IFERROR(1/J259*(X259/H259),"0")</f>
        <v>0.11223344556677889</v>
      </c>
      <c r="BP259" s="75">
        <f t="shared" ref="BP259:BP266" si="35">IFERROR(1/J259*(Y259/H259),"0")</f>
        <v>0.11363636363636363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40</v>
      </c>
      <c r="Y260" s="53">
        <f t="shared" si="31"/>
        <v>43.2</v>
      </c>
      <c r="Z260" s="39">
        <f>IFERROR(IF(Y260=0,"",ROUNDUP(Y260/H260,0)*0.00902),"")</f>
        <v>7.2160000000000002E-2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41.407407407407405</v>
      </c>
      <c r="BN260" s="75">
        <f t="shared" si="33"/>
        <v>44.72</v>
      </c>
      <c r="BO260" s="75">
        <f t="shared" si="34"/>
        <v>5.6116722783389444E-2</v>
      </c>
      <c r="BP260" s="75">
        <f t="shared" si="35"/>
        <v>6.0606060606060608E-2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250</v>
      </c>
      <c r="Y261" s="53">
        <f t="shared" si="31"/>
        <v>253.8</v>
      </c>
      <c r="Z261" s="39">
        <f>IFERROR(IF(Y261=0,"",ROUNDUP(Y261/H261,0)*0.00902),"")</f>
        <v>0.42393999999999998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258.7962962962963</v>
      </c>
      <c r="BN261" s="75">
        <f t="shared" si="33"/>
        <v>262.72999999999996</v>
      </c>
      <c r="BO261" s="75">
        <f t="shared" si="34"/>
        <v>0.35072951739618402</v>
      </c>
      <c r="BP261" s="75">
        <f t="shared" si="35"/>
        <v>0.35606060606060608</v>
      </c>
    </row>
    <row r="262" spans="1:68" ht="27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40</v>
      </c>
      <c r="Y262" s="53">
        <f t="shared" si="31"/>
        <v>43.2</v>
      </c>
      <c r="Z262" s="39">
        <f>IFERROR(IF(Y262=0,"",ROUNDUP(Y262/H262,0)*0.00902),"")</f>
        <v>7.2160000000000002E-2</v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41.407407407407405</v>
      </c>
      <c r="BN262" s="75">
        <f t="shared" si="33"/>
        <v>44.72</v>
      </c>
      <c r="BO262" s="75">
        <f t="shared" si="34"/>
        <v>5.6116722783389444E-2</v>
      </c>
      <c r="BP262" s="75">
        <f t="shared" si="35"/>
        <v>6.0606060606060608E-2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75.92592592592591</v>
      </c>
      <c r="Y267" s="41">
        <f>IFERROR(Y259/H259,"0")+IFERROR(Y260/H260,"0")+IFERROR(Y261/H261,"0")+IFERROR(Y262/H262,"0")+IFERROR(Y263/H263,"0")+IFERROR(Y264/H264,"0")+IFERROR(Y265/H265,"0")+IFERROR(Y266/H266,"0")</f>
        <v>78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0.70355999999999996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410</v>
      </c>
      <c r="Y268" s="41">
        <f>IFERROR(SUM(Y259:Y266),"0")</f>
        <v>421.2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hidden="1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6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0</v>
      </c>
      <c r="BN272" s="75">
        <f t="shared" si="38"/>
        <v>0</v>
      </c>
      <c r="BO272" s="75">
        <f t="shared" si="39"/>
        <v>0</v>
      </c>
      <c r="BP272" s="75">
        <f t="shared" si="40"/>
        <v>0</v>
      </c>
    </row>
    <row r="273" spans="1:68" ht="27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24</v>
      </c>
      <c r="Y273" s="53">
        <f t="shared" si="36"/>
        <v>24</v>
      </c>
      <c r="Z273" s="39">
        <f>IFERROR(IF(Y273=0,"",ROUNDUP(Y273/H273,0)*0.00651),"")</f>
        <v>6.5100000000000005E-2</v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26.7</v>
      </c>
      <c r="BN273" s="75">
        <f t="shared" si="38"/>
        <v>26.7</v>
      </c>
      <c r="BO273" s="75">
        <f t="shared" si="39"/>
        <v>5.4945054945054951E-2</v>
      </c>
      <c r="BP273" s="75">
        <f t="shared" si="40"/>
        <v>5.4945054945054951E-2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48</v>
      </c>
      <c r="Y276" s="53">
        <f t="shared" si="36"/>
        <v>48</v>
      </c>
      <c r="Z276" s="39">
        <f>IFERROR(IF(Y276=0,"",ROUNDUP(Y276/H276,0)*0.00651),"")</f>
        <v>0.13020000000000001</v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53.040000000000006</v>
      </c>
      <c r="BN276" s="75">
        <f t="shared" si="38"/>
        <v>53.040000000000006</v>
      </c>
      <c r="BO276" s="75">
        <f t="shared" si="39"/>
        <v>0.1098901098901099</v>
      </c>
      <c r="BP276" s="75">
        <f t="shared" si="40"/>
        <v>0.1098901098901099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24</v>
      </c>
      <c r="Y278" s="53">
        <f t="shared" si="36"/>
        <v>24</v>
      </c>
      <c r="Z278" s="39">
        <f>IFERROR(IF(Y278=0,"",ROUNDUP(Y278/H278,0)*0.00651),"")</f>
        <v>6.5100000000000005E-2</v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26.520000000000003</v>
      </c>
      <c r="BN278" s="75">
        <f t="shared" si="38"/>
        <v>26.520000000000003</v>
      </c>
      <c r="BO278" s="75">
        <f t="shared" si="39"/>
        <v>5.4945054945054951E-2</v>
      </c>
      <c r="BP278" s="75">
        <f t="shared" si="40"/>
        <v>5.4945054945054951E-2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24</v>
      </c>
      <c r="Y280" s="53">
        <f t="shared" si="36"/>
        <v>24</v>
      </c>
      <c r="Z280" s="39">
        <f>IFERROR(IF(Y280=0,"",ROUNDUP(Y280/H280,0)*0.00651),"")</f>
        <v>6.5100000000000005E-2</v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26.580000000000002</v>
      </c>
      <c r="BN280" s="75">
        <f t="shared" si="38"/>
        <v>26.580000000000002</v>
      </c>
      <c r="BO280" s="75">
        <f t="shared" si="39"/>
        <v>5.4945054945054951E-2</v>
      </c>
      <c r="BP280" s="75">
        <f t="shared" si="40"/>
        <v>5.4945054945054951E-2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50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0.32550000000000001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120</v>
      </c>
      <c r="Y283" s="41">
        <f>IFERROR(SUM(Y270:Y281),"0")</f>
        <v>120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50</v>
      </c>
      <c r="Y346" s="53">
        <f>IFERROR(IF(X346="",0,CEILING((X346/$H346),1)*$H346),"")</f>
        <v>54.6</v>
      </c>
      <c r="Z346" s="39">
        <f>IFERROR(IF(Y346=0,"",ROUNDUP(Y346/H346,0)*0.01898),"")</f>
        <v>0.13286000000000001</v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52.628205128205138</v>
      </c>
      <c r="BN346" s="75">
        <f>IFERROR(Y346*I346/H346,"0")</f>
        <v>57.470000000000013</v>
      </c>
      <c r="BO346" s="75">
        <f>IFERROR(1/J346*(X346/H346),"0")</f>
        <v>0.10016025641025642</v>
      </c>
      <c r="BP346" s="75">
        <f>IFERROR(1/J346*(Y346/H346),"0")</f>
        <v>0.109375</v>
      </c>
    </row>
    <row r="347" spans="1:68" ht="27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50</v>
      </c>
      <c r="Y347" s="53">
        <f>IFERROR(IF(X347="",0,CEILING((X347/$H347),1)*$H347),"")</f>
        <v>54.6</v>
      </c>
      <c r="Z347" s="39">
        <f>IFERROR(IF(Y347=0,"",ROUNDUP(Y347/H347,0)*0.01898),"")</f>
        <v>0.13286000000000001</v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52.628205128205138</v>
      </c>
      <c r="BN347" s="75">
        <f>IFERROR(Y347*I347/H347,"0")</f>
        <v>57.470000000000013</v>
      </c>
      <c r="BO347" s="75">
        <f>IFERROR(1/J347*(X347/H347),"0")</f>
        <v>0.10016025641025642</v>
      </c>
      <c r="BP347" s="75">
        <f>IFERROR(1/J347*(Y347/H347),"0")</f>
        <v>0.109375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12.820512820512821</v>
      </c>
      <c r="Y349" s="41">
        <f>IFERROR(Y346/H346,"0")+IFERROR(Y347/H347,"0")+IFERROR(Y348/H348,"0")</f>
        <v>14</v>
      </c>
      <c r="Z349" s="41">
        <f>IFERROR(IF(Z346="",0,Z346),"0")+IFERROR(IF(Z347="",0,Z347),"0")+IFERROR(IF(Z348="",0,Z348),"0")</f>
        <v>0.26572000000000001</v>
      </c>
      <c r="AA349" s="64"/>
      <c r="AB349" s="64"/>
      <c r="AC349" s="64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100</v>
      </c>
      <c r="Y350" s="41">
        <f>IFERROR(SUM(Y346:Y348),"0")</f>
        <v>109.2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hidden="1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9" si="56"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0</v>
      </c>
      <c r="BN363" s="75">
        <f t="shared" ref="BN363:BN369" si="58">IFERROR(Y363*I363/H363,"0")</f>
        <v>0</v>
      </c>
      <c r="BO363" s="75">
        <f t="shared" ref="BO363:BO369" si="59">IFERROR(1/J363*(X363/H363),"0")</f>
        <v>0</v>
      </c>
      <c r="BP363" s="75">
        <f t="shared" ref="BP363:BP369" si="60">IFERROR(1/J363*(Y363/H363),"0")</f>
        <v>0</v>
      </c>
    </row>
    <row r="364" spans="1:68" ht="27" hidden="1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6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0</v>
      </c>
      <c r="BN364" s="75">
        <f t="shared" si="58"/>
        <v>0</v>
      </c>
      <c r="BO364" s="75">
        <f t="shared" si="59"/>
        <v>0</v>
      </c>
      <c r="BP364" s="75">
        <f t="shared" si="60"/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0</v>
      </c>
      <c r="Y370" s="41">
        <f>IFERROR(Y363/H363,"0")+IFERROR(Y364/H364,"0")+IFERROR(Y365/H365,"0")+IFERROR(Y366/H366,"0")+IFERROR(Y367/H367,"0")+IFERROR(Y368/H368,"0")+IFERROR(Y369/H369,"0")</f>
        <v>0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"/>
      <c r="AB370" s="64"/>
      <c r="AC370" s="64"/>
    </row>
    <row r="371" spans="1:68" hidden="1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0</v>
      </c>
      <c r="Y371" s="41">
        <f>IFERROR(SUM(Y363:Y369),"0")</f>
        <v>0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0</v>
      </c>
      <c r="Y383" s="41">
        <f>IFERROR(Y380/H380,"0")+IFERROR(Y381/H381,"0")+IFERROR(Y382/H382,"0")</f>
        <v>0</v>
      </c>
      <c r="Z383" s="41">
        <f>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0</v>
      </c>
      <c r="Y384" s="41">
        <f>IFERROR(SUM(Y380:Y382),"0")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20.399999999999999</v>
      </c>
      <c r="Y389" s="53">
        <f>IFERROR(IF(X389="",0,CEILING((X389/$H389),1)*$H389),"")</f>
        <v>20.399999999999999</v>
      </c>
      <c r="Z389" s="39">
        <f>IFERROR(IF(Y389=0,"",ROUNDUP(Y389/H389,0)*0.00651),"")</f>
        <v>5.2080000000000001E-2</v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23.04</v>
      </c>
      <c r="BN389" s="75">
        <f>IFERROR(Y389*I389/H389,"0")</f>
        <v>23.04</v>
      </c>
      <c r="BO389" s="75">
        <f>IFERROR(1/J389*(X389/H389),"0")</f>
        <v>4.3956043956043959E-2</v>
      </c>
      <c r="BP389" s="75">
        <f>IFERROR(1/J389*(Y389/H389),"0")</f>
        <v>4.3956043956043959E-2</v>
      </c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8</v>
      </c>
      <c r="Y390" s="41">
        <f>IFERROR(Y386/H386,"0")+IFERROR(Y387/H387,"0")+IFERROR(Y388/H388,"0")+IFERROR(Y389/H389,"0")</f>
        <v>8</v>
      </c>
      <c r="Z390" s="41">
        <f>IFERROR(IF(Z386="",0,Z386),"0")+IFERROR(IF(Z387="",0,Z387),"0")+IFERROR(IF(Z388="",0,Z388),"0")+IFERROR(IF(Z389="",0,Z389),"0")</f>
        <v>5.2080000000000001E-2</v>
      </c>
      <c r="AA390" s="64"/>
      <c r="AB390" s="64"/>
      <c r="AC390" s="64"/>
    </row>
    <row r="391" spans="1:68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20.399999999999999</v>
      </c>
      <c r="Y391" s="41">
        <f>IFERROR(SUM(Y386:Y389),"0")</f>
        <v>20.399999999999999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90</v>
      </c>
      <c r="Y399" s="53">
        <f>IFERROR(IF(X399="",0,CEILING((X399/$H399),1)*$H399),"")</f>
        <v>90</v>
      </c>
      <c r="Z399" s="39">
        <f>IFERROR(IF(Y399=0,"",ROUNDUP(Y399/H399,0)*0.0045),"")</f>
        <v>0.13499999999999998</v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96.600000000000009</v>
      </c>
      <c r="BN399" s="75">
        <f>IFERROR(Y399*I399/H399,"0")</f>
        <v>96.600000000000009</v>
      </c>
      <c r="BO399" s="75">
        <f>IFERROR(1/J399*(X399/H399),"0")</f>
        <v>0.13392857142857142</v>
      </c>
      <c r="BP399" s="75">
        <f>IFERROR(1/J399*(Y399/H399),"0")</f>
        <v>0.13392857142857142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90</v>
      </c>
      <c r="Y401" s="53">
        <f>IFERROR(IF(X401="",0,CEILING((X401/$H401),1)*$H401),"")</f>
        <v>90</v>
      </c>
      <c r="Z401" s="39">
        <f>IFERROR(IF(Y401=0,"",ROUNDUP(Y401/H401,0)*0.0045),"")</f>
        <v>0.13499999999999998</v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96.600000000000009</v>
      </c>
      <c r="BN401" s="75">
        <f>IFERROR(Y401*I401/H401,"0")</f>
        <v>96.600000000000009</v>
      </c>
      <c r="BO401" s="75">
        <f>IFERROR(1/J401*(X401/H401),"0")</f>
        <v>0.13392857142857142</v>
      </c>
      <c r="BP401" s="75">
        <f>IFERROR(1/J401*(Y401/H401),"0")</f>
        <v>0.13392857142857142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60</v>
      </c>
      <c r="Y402" s="41">
        <f>IFERROR(Y399/H399,"0")+IFERROR(Y400/H400,"0")+IFERROR(Y401/H401,"0")</f>
        <v>60</v>
      </c>
      <c r="Z402" s="41">
        <f>IFERROR(IF(Z399="",0,Z399),"0")+IFERROR(IF(Z400="",0,Z400),"0")+IFERROR(IF(Z401="",0,Z401),"0")</f>
        <v>0.26999999999999996</v>
      </c>
      <c r="AA402" s="64"/>
      <c r="AB402" s="64"/>
      <c r="AC402" s="64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180</v>
      </c>
      <c r="Y403" s="41">
        <f>IFERROR(SUM(Y399:Y401),"0")</f>
        <v>180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42</v>
      </c>
      <c r="Y413" s="53">
        <f>IFERROR(IF(X413="",0,CEILING((X413/$H413),1)*$H413),"")</f>
        <v>42</v>
      </c>
      <c r="Z413" s="39">
        <f>IFERROR(IF(Y413=0,"",ROUNDUP(Y413/H413,0)*0.00651),"")</f>
        <v>0.13020000000000001</v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47.039999999999992</v>
      </c>
      <c r="BN413" s="75">
        <f>IFERROR(Y413*I413/H413,"0")</f>
        <v>47.039999999999992</v>
      </c>
      <c r="BO413" s="75">
        <f>IFERROR(1/J413*(X413/H413),"0")</f>
        <v>0.1098901098901099</v>
      </c>
      <c r="BP413" s="75">
        <f>IFERROR(1/J413*(Y413/H413),"0")</f>
        <v>0.1098901098901099</v>
      </c>
    </row>
    <row r="414" spans="1:68" ht="27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31.5</v>
      </c>
      <c r="Y414" s="53">
        <f>IFERROR(IF(X414="",0,CEILING((X414/$H414),1)*$H414),"")</f>
        <v>31.5</v>
      </c>
      <c r="Z414" s="39">
        <f>IFERROR(IF(Y414=0,"",ROUNDUP(Y414/H414,0)*0.00651),"")</f>
        <v>9.7650000000000001E-2</v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35.099999999999994</v>
      </c>
      <c r="BN414" s="75">
        <f>IFERROR(Y414*I414/H414,"0")</f>
        <v>35.099999999999994</v>
      </c>
      <c r="BO414" s="75">
        <f>IFERROR(1/J414*(X414/H414),"0")</f>
        <v>8.241758241758243E-2</v>
      </c>
      <c r="BP414" s="75">
        <f>IFERROR(1/J414*(Y414/H414),"0")</f>
        <v>8.241758241758243E-2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35</v>
      </c>
      <c r="Y415" s="41">
        <f>IFERROR(Y412/H412,"0")+IFERROR(Y413/H413,"0")+IFERROR(Y414/H414,"0")</f>
        <v>35</v>
      </c>
      <c r="Z415" s="41">
        <f>IFERROR(IF(Z412="",0,Z412),"0")+IFERROR(IF(Z413="",0,Z413),"0")+IFERROR(IF(Z414="",0,Z414),"0")</f>
        <v>0.22785</v>
      </c>
      <c r="AA415" s="64"/>
      <c r="AB415" s="64"/>
      <c r="AC415" s="64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73.5</v>
      </c>
      <c r="Y416" s="41">
        <f>IFERROR(SUM(Y412:Y414),"0")</f>
        <v>73.5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hidden="1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ref="Y420:Y427" si="61">IFERROR(IF(X420="",0,CEILING((X420/$H420),1)*$H420),"")</f>
        <v>0</v>
      </c>
      <c r="Z420" s="39" t="str">
        <f>IFERROR(IF(Y420=0,"",ROUNDUP(Y420/H420,0)*0.02175),"")</f>
        <v/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0</v>
      </c>
      <c r="BN420" s="75">
        <f t="shared" ref="BN420:BN427" si="63">IFERROR(Y420*I420/H420,"0")</f>
        <v>0</v>
      </c>
      <c r="BO420" s="75">
        <f t="shared" ref="BO420:BO427" si="64">IFERROR(1/J420*(X420/H420),"0")</f>
        <v>0</v>
      </c>
      <c r="BP420" s="75">
        <f t="shared" ref="BP420:BP427" si="65">IFERROR(1/J420*(Y420/H420),"0")</f>
        <v>0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2250</v>
      </c>
      <c r="Y421" s="53">
        <f t="shared" si="61"/>
        <v>2250</v>
      </c>
      <c r="Z421" s="39">
        <f>IFERROR(IF(Y421=0,"",ROUNDUP(Y421/H421,0)*0.02175),"")</f>
        <v>3.2624999999999997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2320.5</v>
      </c>
      <c r="BN421" s="75">
        <f t="shared" si="63"/>
        <v>2320.5</v>
      </c>
      <c r="BO421" s="75">
        <f t="shared" si="64"/>
        <v>3.125</v>
      </c>
      <c r="BP421" s="75">
        <f t="shared" si="65"/>
        <v>3.125</v>
      </c>
    </row>
    <row r="422" spans="1:68" ht="27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750</v>
      </c>
      <c r="Y422" s="53">
        <f t="shared" si="61"/>
        <v>750</v>
      </c>
      <c r="Z422" s="39">
        <f>IFERROR(IF(Y422=0,"",ROUNDUP(Y422/H422,0)*0.02175),"")</f>
        <v>1.0874999999999999</v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773.5</v>
      </c>
      <c r="BN422" s="75">
        <f t="shared" si="63"/>
        <v>773.5</v>
      </c>
      <c r="BO422" s="75">
        <f t="shared" si="64"/>
        <v>1.0416666666666665</v>
      </c>
      <c r="BP422" s="75">
        <f t="shared" si="65"/>
        <v>1.0416666666666665</v>
      </c>
    </row>
    <row r="423" spans="1:68" ht="27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3000</v>
      </c>
      <c r="Y423" s="53">
        <f t="shared" si="61"/>
        <v>3000</v>
      </c>
      <c r="Z423" s="39">
        <f>IFERROR(IF(Y423=0,"",ROUNDUP(Y423/H423,0)*0.02175),"")</f>
        <v>4.3499999999999996</v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3094</v>
      </c>
      <c r="BN423" s="75">
        <f t="shared" si="63"/>
        <v>3094</v>
      </c>
      <c r="BO423" s="75">
        <f t="shared" si="64"/>
        <v>4.1666666666666661</v>
      </c>
      <c r="BP423" s="75">
        <f t="shared" si="65"/>
        <v>4.1666666666666661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400</v>
      </c>
      <c r="Y428" s="41">
        <f>IFERROR(Y420/H420,"0")+IFERROR(Y421/H421,"0")+IFERROR(Y422/H422,"0")+IFERROR(Y423/H423,"0")+IFERROR(Y424/H424,"0")+IFERROR(Y425/H425,"0")+IFERROR(Y426/H426,"0")+IFERROR(Y427/H427,"0")</f>
        <v>400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8.6999999999999993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6000</v>
      </c>
      <c r="Y429" s="41">
        <f>IFERROR(SUM(Y420:Y427),"0")</f>
        <v>6000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1500</v>
      </c>
      <c r="Y431" s="53">
        <f>IFERROR(IF(X431="",0,CEILING((X431/$H431),1)*$H431),"")</f>
        <v>1500</v>
      </c>
      <c r="Z431" s="39">
        <f>IFERROR(IF(Y431=0,"",ROUNDUP(Y431/H431,0)*0.02175),"")</f>
        <v>2.1749999999999998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1547</v>
      </c>
      <c r="BN431" s="75">
        <f>IFERROR(Y431*I431/H431,"0")</f>
        <v>1547</v>
      </c>
      <c r="BO431" s="75">
        <f>IFERROR(1/J431*(X431/H431),"0")</f>
        <v>2.083333333333333</v>
      </c>
      <c r="BP431" s="75">
        <f>IFERROR(1/J431*(Y431/H431),"0")</f>
        <v>2.083333333333333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100</v>
      </c>
      <c r="Y434" s="41">
        <f>IFERROR(Y431/H431,"0")+IFERROR(Y432/H432,"0")+IFERROR(Y433/H433,"0")</f>
        <v>100</v>
      </c>
      <c r="Z434" s="41">
        <f>IFERROR(IF(Z431="",0,Z431),"0")+IFERROR(IF(Z432="",0,Z432),"0")+IFERROR(IF(Z433="",0,Z433),"0")</f>
        <v>2.1749999999999998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1500</v>
      </c>
      <c r="Y435" s="41">
        <f>IFERROR(SUM(Y431:Y433),"0")</f>
        <v>1500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60</v>
      </c>
      <c r="Y449" s="53">
        <f>IFERROR(IF(X449="",0,CEILING((X449/$H449),1)*$H449),"")</f>
        <v>60</v>
      </c>
      <c r="Z449" s="39">
        <f>IFERROR(IF(Y449=0,"",ROUNDUP(Y449/H449,0)*0.01898),"")</f>
        <v>9.4899999999999998E-2</v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62.050000000000004</v>
      </c>
      <c r="BN449" s="75">
        <f>IFERROR(Y449*I449/H449,"0")</f>
        <v>62.050000000000004</v>
      </c>
      <c r="BO449" s="75">
        <f>IFERROR(1/J449*(X449/H449),"0")</f>
        <v>7.8125E-2</v>
      </c>
      <c r="BP449" s="75">
        <f>IFERROR(1/J449*(Y449/H449),"0")</f>
        <v>7.8125E-2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5</v>
      </c>
      <c r="Y451" s="41">
        <f>IFERROR(Y449/H449,"0")+IFERROR(Y450/H450,"0")</f>
        <v>5</v>
      </c>
      <c r="Z451" s="41">
        <f>IFERROR(IF(Z449="",0,Z449),"0")+IFERROR(IF(Z450="",0,Z450),"0")</f>
        <v>9.4899999999999998E-2</v>
      </c>
      <c r="AA451" s="64"/>
      <c r="AB451" s="64"/>
      <c r="AC451" s="64"/>
    </row>
    <row r="452" spans="1:68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60</v>
      </c>
      <c r="Y452" s="41">
        <f>IFERROR(SUM(Y449:Y450),"0")</f>
        <v>60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1500</v>
      </c>
      <c r="Y458" s="53">
        <f>IFERROR(IF(X458="",0,CEILING((X458/$H458),1)*$H458),"")</f>
        <v>1503</v>
      </c>
      <c r="Z458" s="39">
        <f>IFERROR(IF(Y458=0,"",ROUNDUP(Y458/H458,0)*0.01898),"")</f>
        <v>3.1696599999999999</v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1582.3333333333333</v>
      </c>
      <c r="BN458" s="75">
        <f>IFERROR(Y458*I458/H458,"0")</f>
        <v>1585.498</v>
      </c>
      <c r="BO458" s="75">
        <f>IFERROR(1/J458*(X458/H458),"0")</f>
        <v>2.6041666666666665</v>
      </c>
      <c r="BP458" s="75">
        <f>IFERROR(1/J458*(Y458/H458),"0")</f>
        <v>2.609375</v>
      </c>
    </row>
    <row r="459" spans="1:68" ht="27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36</v>
      </c>
      <c r="Y459" s="53">
        <f>IFERROR(IF(X459="",0,CEILING((X459/$H459),1)*$H459),"")</f>
        <v>36</v>
      </c>
      <c r="Z459" s="39">
        <f>IFERROR(IF(Y459=0,"",ROUNDUP(Y459/H459,0)*0.00651),"")</f>
        <v>9.7650000000000001E-2</v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39.960000000000008</v>
      </c>
      <c r="BN459" s="75">
        <f>IFERROR(Y459*I459/H459,"0")</f>
        <v>39.960000000000008</v>
      </c>
      <c r="BO459" s="75">
        <f>IFERROR(1/J459*(X459/H459),"0")</f>
        <v>8.241758241758243E-2</v>
      </c>
      <c r="BP459" s="75">
        <f>IFERROR(1/J459*(Y459/H459),"0")</f>
        <v>8.241758241758243E-2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181.66666666666666</v>
      </c>
      <c r="Y461" s="41">
        <f>IFERROR(Y458/H458,"0")+IFERROR(Y459/H459,"0")+IFERROR(Y460/H460,"0")</f>
        <v>182</v>
      </c>
      <c r="Z461" s="41">
        <f>IFERROR(IF(Z458="",0,Z458),"0")+IFERROR(IF(Z459="",0,Z459),"0")+IFERROR(IF(Z460="",0,Z460),"0")</f>
        <v>3.2673099999999997</v>
      </c>
      <c r="AA461" s="64"/>
      <c r="AB461" s="64"/>
      <c r="AC461" s="64"/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1536</v>
      </c>
      <c r="Y462" s="41">
        <f>IFERROR(SUM(Y458:Y460),"0")</f>
        <v>1539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hidden="1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ref="Y466:Y471" si="66"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0</v>
      </c>
      <c r="BN466" s="75">
        <f t="shared" ref="BN466:BN471" si="68">IFERROR(Y466*I466/H466,"0")</f>
        <v>0</v>
      </c>
      <c r="BO466" s="75">
        <f t="shared" ref="BO466:BO471" si="69">IFERROR(1/J466*(X466/H466),"0")</f>
        <v>0</v>
      </c>
      <c r="BP466" s="75">
        <f t="shared" ref="BP466:BP471" si="70">IFERROR(1/J466*(Y466/H466),"0")</f>
        <v>0</v>
      </c>
    </row>
    <row r="467" spans="1:68" ht="27" hidden="1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0</v>
      </c>
      <c r="Y467" s="53">
        <f t="shared" si="66"/>
        <v>0</v>
      </c>
      <c r="Z467" s="39" t="str">
        <f>IFERROR(IF(Y467=0,"",ROUNDUP(Y467/H467,0)*0.00902),"")</f>
        <v/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0</v>
      </c>
      <c r="BN467" s="75">
        <f t="shared" si="68"/>
        <v>0</v>
      </c>
      <c r="BO467" s="75">
        <f t="shared" si="69"/>
        <v>0</v>
      </c>
      <c r="BP467" s="75">
        <f t="shared" si="70"/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hidden="1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0</v>
      </c>
      <c r="Y472" s="41">
        <f>IFERROR(Y466/H466,"0")+IFERROR(Y467/H467,"0")+IFERROR(Y468/H468,"0")+IFERROR(Y469/H469,"0")+IFERROR(Y470/H470,"0")+IFERROR(Y471/H471,"0")</f>
        <v>0</v>
      </c>
      <c r="Z472" s="41">
        <f>IFERROR(IF(Z466="",0,Z466),"0")+IFERROR(IF(Z467="",0,Z467),"0")+IFERROR(IF(Z468="",0,Z468),"0")+IFERROR(IF(Z469="",0,Z469),"0")+IFERROR(IF(Z470="",0,Z470),"0")+IFERROR(IF(Z471="",0,Z471),"0")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0</v>
      </c>
      <c r="Y473" s="41">
        <f>IFERROR(SUM(Y466:Y471),"0")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60</v>
      </c>
      <c r="Y484" s="53">
        <f>IFERROR(IF(X484="",0,CEILING((X484/$H484),1)*$H484),"")</f>
        <v>64.800000000000011</v>
      </c>
      <c r="Z484" s="39">
        <f>IFERROR(IF(Y484=0,"",ROUNDUP(Y484/H484,0)*0.00902),"")</f>
        <v>0.10824</v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62.1111111111111</v>
      </c>
      <c r="BN484" s="75">
        <f>IFERROR(Y484*I484/H484,"0")</f>
        <v>67.08</v>
      </c>
      <c r="BO484" s="75">
        <f>IFERROR(1/J484*(X484/H484),"0")</f>
        <v>8.4175084175084181E-2</v>
      </c>
      <c r="BP484" s="75">
        <f>IFERROR(1/J484*(Y484/H484),"0")</f>
        <v>9.0909090909090925E-2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11.111111111111111</v>
      </c>
      <c r="Y487" s="41">
        <f>IFERROR(Y484/H484,"0")+IFERROR(Y485/H485,"0")+IFERROR(Y486/H486,"0")</f>
        <v>12.000000000000002</v>
      </c>
      <c r="Z487" s="41">
        <f>IFERROR(IF(Z484="",0,Z484),"0")+IFERROR(IF(Z485="",0,Z485),"0")+IFERROR(IF(Z486="",0,Z486),"0")</f>
        <v>0.10824</v>
      </c>
      <c r="AA487" s="64"/>
      <c r="AB487" s="64"/>
      <c r="AC487" s="64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60</v>
      </c>
      <c r="Y488" s="41">
        <f>IFERROR(SUM(Y484:Y486),"0")</f>
        <v>64.800000000000011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100</v>
      </c>
      <c r="Y492" s="53">
        <f t="shared" ref="Y492:Y499" si="71">IFERROR(IF(X492="",0,CEILING((X492/$H492),1)*$H492),"")</f>
        <v>100.32000000000001</v>
      </c>
      <c r="Z492" s="39">
        <f>IFERROR(IF(Y492=0,"",ROUNDUP(Y492/H492,0)*0.01196),"")</f>
        <v>0.22724</v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106.62878787878788</v>
      </c>
      <c r="BN492" s="75">
        <f t="shared" ref="BN492:BN499" si="73">IFERROR(Y492*I492/H492,"0")</f>
        <v>106.97</v>
      </c>
      <c r="BO492" s="75">
        <f t="shared" ref="BO492:BO499" si="74">IFERROR(1/J492*(X492/H492),"0")</f>
        <v>0.18210955710955709</v>
      </c>
      <c r="BP492" s="75">
        <f t="shared" ref="BP492:BP499" si="75">IFERROR(1/J492*(Y492/H492),"0")</f>
        <v>0.18269230769230771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hidden="1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1"/>
        <v>0</v>
      </c>
      <c r="Z494" s="39" t="str">
        <f>IFERROR(IF(Y494=0,"",ROUNDUP(Y494/H494,0)*0.01196),"")</f>
        <v/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0</v>
      </c>
      <c r="BN494" s="75">
        <f t="shared" si="73"/>
        <v>0</v>
      </c>
      <c r="BO494" s="75">
        <f t="shared" si="74"/>
        <v>0</v>
      </c>
      <c r="BP494" s="75">
        <f t="shared" si="75"/>
        <v>0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500</v>
      </c>
      <c r="Y495" s="53">
        <f t="shared" si="71"/>
        <v>501.6</v>
      </c>
      <c r="Z495" s="39">
        <f>IFERROR(IF(Y495=0,"",ROUNDUP(Y495/H495,0)*0.01196),"")</f>
        <v>1.1362000000000001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533.14393939393938</v>
      </c>
      <c r="BN495" s="75">
        <f t="shared" si="73"/>
        <v>534.85</v>
      </c>
      <c r="BO495" s="75">
        <f t="shared" si="74"/>
        <v>0.91054778554778548</v>
      </c>
      <c r="BP495" s="75">
        <f t="shared" si="75"/>
        <v>0.91346153846153855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1000</v>
      </c>
      <c r="Y496" s="53">
        <f t="shared" si="71"/>
        <v>1003.2</v>
      </c>
      <c r="Z496" s="39">
        <f>IFERROR(IF(Y496=0,"",ROUNDUP(Y496/H496,0)*0.01196),"")</f>
        <v>2.2724000000000002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1066.2878787878788</v>
      </c>
      <c r="BN496" s="75">
        <f t="shared" si="73"/>
        <v>1069.7</v>
      </c>
      <c r="BO496" s="75">
        <f t="shared" si="74"/>
        <v>1.821095571095571</v>
      </c>
      <c r="BP496" s="75">
        <f t="shared" si="75"/>
        <v>1.8269230769230771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303.030303030303</v>
      </c>
      <c r="Y500" s="41">
        <f>IFERROR(Y492/H492,"0")+IFERROR(Y493/H493,"0")+IFERROR(Y494/H494,"0")+IFERROR(Y495/H495,"0")+IFERROR(Y496/H496,"0")+IFERROR(Y497/H497,"0")+IFERROR(Y498/H498,"0")+IFERROR(Y499/H499,"0")</f>
        <v>304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3.6358400000000004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1600</v>
      </c>
      <c r="Y501" s="41">
        <f>IFERROR(SUM(Y492:Y499),"0")</f>
        <v>1605.1200000000001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1000</v>
      </c>
      <c r="Y503" s="53">
        <f>IFERROR(IF(X503="",0,CEILING((X503/$H503),1)*$H503),"")</f>
        <v>1003.2</v>
      </c>
      <c r="Z503" s="39">
        <f>IFERROR(IF(Y503=0,"",ROUNDUP(Y503/H503,0)*0.01196),"")</f>
        <v>2.2724000000000002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1066.2878787878788</v>
      </c>
      <c r="BN503" s="75">
        <f>IFERROR(Y503*I503/H503,"0")</f>
        <v>1069.7</v>
      </c>
      <c r="BO503" s="75">
        <f>IFERROR(1/J503*(X503/H503),"0")</f>
        <v>1.821095571095571</v>
      </c>
      <c r="BP503" s="75">
        <f>IFERROR(1/J503*(Y503/H503),"0")</f>
        <v>1.8269230769230771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189.39393939393938</v>
      </c>
      <c r="Y506" s="41">
        <f>IFERROR(Y503/H503,"0")+IFERROR(Y504/H504,"0")+IFERROR(Y505/H505,"0")</f>
        <v>190</v>
      </c>
      <c r="Z506" s="41">
        <f>IFERROR(IF(Z503="",0,Z503),"0")+IFERROR(IF(Z504="",0,Z504),"0")+IFERROR(IF(Z505="",0,Z505),"0")</f>
        <v>2.2724000000000002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1000</v>
      </c>
      <c r="Y507" s="41">
        <f>IFERROR(SUM(Y503:Y505),"0")</f>
        <v>1003.2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400</v>
      </c>
      <c r="Y509" s="53">
        <f t="shared" ref="Y509:Y515" si="76">IFERROR(IF(X509="",0,CEILING((X509/$H509),1)*$H509),"")</f>
        <v>401.28000000000003</v>
      </c>
      <c r="Z509" s="39">
        <f>IFERROR(IF(Y509=0,"",ROUNDUP(Y509/H509,0)*0.01196),"")</f>
        <v>0.90895999999999999</v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426.5151515151515</v>
      </c>
      <c r="BN509" s="75">
        <f t="shared" ref="BN509:BN515" si="78">IFERROR(Y509*I509/H509,"0")</f>
        <v>427.88</v>
      </c>
      <c r="BO509" s="75">
        <f t="shared" ref="BO509:BO515" si="79">IFERROR(1/J509*(X509/H509),"0")</f>
        <v>0.72843822843822836</v>
      </c>
      <c r="BP509" s="75">
        <f t="shared" ref="BP509:BP515" si="80">IFERROR(1/J509*(Y509/H509),"0")</f>
        <v>0.73076923076923084</v>
      </c>
    </row>
    <row r="510" spans="1:68" ht="27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300</v>
      </c>
      <c r="Y510" s="53">
        <f t="shared" si="76"/>
        <v>300.96000000000004</v>
      </c>
      <c r="Z510" s="39">
        <f>IFERROR(IF(Y510=0,"",ROUNDUP(Y510/H510,0)*0.01196),"")</f>
        <v>0.68171999999999999</v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319.88636363636363</v>
      </c>
      <c r="BN510" s="75">
        <f t="shared" si="78"/>
        <v>320.91000000000003</v>
      </c>
      <c r="BO510" s="75">
        <f t="shared" si="79"/>
        <v>0.54632867132867136</v>
      </c>
      <c r="BP510" s="75">
        <f t="shared" si="80"/>
        <v>0.54807692307692313</v>
      </c>
    </row>
    <row r="511" spans="1:68" ht="27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500</v>
      </c>
      <c r="Y511" s="53">
        <f t="shared" si="76"/>
        <v>501.6</v>
      </c>
      <c r="Z511" s="39">
        <f>IFERROR(IF(Y511=0,"",ROUNDUP(Y511/H511,0)*0.01196),"")</f>
        <v>1.1362000000000001</v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533.14393939393938</v>
      </c>
      <c r="BN511" s="75">
        <f t="shared" si="78"/>
        <v>534.85</v>
      </c>
      <c r="BO511" s="75">
        <f t="shared" si="79"/>
        <v>0.91054778554778548</v>
      </c>
      <c r="BP511" s="75">
        <f t="shared" si="80"/>
        <v>0.91346153846153855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227.27272727272725</v>
      </c>
      <c r="Y516" s="41">
        <f>IFERROR(Y509/H509,"0")+IFERROR(Y510/H510,"0")+IFERROR(Y511/H511,"0")+IFERROR(Y512/H512,"0")+IFERROR(Y513/H513,"0")+IFERROR(Y514/H514,"0")+IFERROR(Y515/H515,"0")</f>
        <v>228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2.72688</v>
      </c>
      <c r="AA516" s="64"/>
      <c r="AB516" s="64"/>
      <c r="AC516" s="64"/>
    </row>
    <row r="517" spans="1:68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1200</v>
      </c>
      <c r="Y517" s="41">
        <f>IFERROR(SUM(Y509:Y515),"0")</f>
        <v>1203.8400000000001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50</v>
      </c>
      <c r="Y521" s="53">
        <f>IFERROR(IF(X521="",0,CEILING((X521/$H521),1)*$H521),"")</f>
        <v>60</v>
      </c>
      <c r="Z521" s="39">
        <f>IFERROR(IF(Y521=0,"",ROUNDUP(Y521/H521,0)*0.01898),"")</f>
        <v>9.4899999999999998E-2</v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51.708333333333336</v>
      </c>
      <c r="BN521" s="75">
        <f>IFERROR(Y521*I521/H521,"0")</f>
        <v>62.050000000000004</v>
      </c>
      <c r="BO521" s="75">
        <f>IFERROR(1/J521*(X521/H521),"0")</f>
        <v>6.5104166666666671E-2</v>
      </c>
      <c r="BP521" s="75">
        <f>IFERROR(1/J521*(Y521/H521),"0")</f>
        <v>7.8125E-2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4.166666666666667</v>
      </c>
      <c r="Y522" s="41">
        <f>IFERROR(Y521/H521,"0")</f>
        <v>5</v>
      </c>
      <c r="Z522" s="41">
        <f>IFERROR(IF(Z521="",0,Z521),"0")</f>
        <v>9.4899999999999998E-2</v>
      </c>
      <c r="AA522" s="64"/>
      <c r="AB522" s="64"/>
      <c r="AC522" s="64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50</v>
      </c>
      <c r="Y523" s="41">
        <f>IFERROR(SUM(Y521:Y521),"0")</f>
        <v>60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140</v>
      </c>
      <c r="Y533" s="53">
        <f>IFERROR(IF(X533="",0,CEILING((X533/$H533),1)*$H533),"")</f>
        <v>144</v>
      </c>
      <c r="Z533" s="39">
        <f>IFERROR(IF(Y533=0,"",ROUNDUP(Y533/H533,0)*0.01898),"")</f>
        <v>0.30368000000000001</v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147.68444444444444</v>
      </c>
      <c r="BN533" s="75">
        <f>IFERROR(Y533*I533/H533,"0")</f>
        <v>151.904</v>
      </c>
      <c r="BO533" s="75">
        <f>IFERROR(1/J533*(X533/H533),"0")</f>
        <v>0.24305555555555555</v>
      </c>
      <c r="BP533" s="75">
        <f>IFERROR(1/J533*(Y533/H533),"0")</f>
        <v>0.25</v>
      </c>
    </row>
    <row r="534" spans="1:68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15.555555555555555</v>
      </c>
      <c r="Y534" s="41">
        <f>IFERROR(Y533/H533,"0")</f>
        <v>16</v>
      </c>
      <c r="Z534" s="41">
        <f>IFERROR(IF(Z533="",0,Z533),"0")</f>
        <v>0.30368000000000001</v>
      </c>
      <c r="AA534" s="64"/>
      <c r="AB534" s="64"/>
      <c r="AC534" s="64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140</v>
      </c>
      <c r="Y535" s="41">
        <f>IFERROR(SUM(Y533:Y533),"0")</f>
        <v>144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16479.900000000001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16571.16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17251.838612436939</v>
      </c>
      <c r="Y547" s="41">
        <f>IFERROR(SUM(BN22:BN543),"0")</f>
        <v>17347.363999999994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27</v>
      </c>
      <c r="Y548" s="42">
        <f>ROUNDUP(SUM(BP22:BP543),0)</f>
        <v>27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17926.838612436939</v>
      </c>
      <c r="Y549" s="41">
        <f>GrossWeightTotalR+PalletQtyTotalR*25</f>
        <v>18022.363999999994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2003.6700398367066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2016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30.481279999999998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205.20000000000002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216.90000000000003</v>
      </c>
      <c r="F556" s="50">
        <f>IFERROR(Y84*1,"0")+IFERROR(Y85*1,"0")+IFERROR(Y86*1,"0")+IFERROR(Y87*1,"0")+IFERROR(Y88*1,"0")+IFERROR(Y89*1,"0")+IFERROR(Y93*1,"0")+IFERROR(Y94*1,"0")+IFERROR(Y95*1,"0")+IFERROR(Y96*1,"0")</f>
        <v>475.20000000000005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1412.1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157.5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541.20000000000005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109.2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200.4</v>
      </c>
      <c r="U556" s="50">
        <f>IFERROR(Y406*1,"0")+IFERROR(Y407*1,"0")</f>
        <v>0</v>
      </c>
      <c r="V556" s="50">
        <f>IFERROR(Y412*1,"0")+IFERROR(Y413*1,"0")+IFERROR(Y414*1,"0")</f>
        <v>73.5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7500</v>
      </c>
      <c r="X556" s="50">
        <f>IFERROR(Y449*1,"0")+IFERROR(Y450*1,"0")+IFERROR(Y454*1,"0")+IFERROR(Y458*1,"0")+IFERROR(Y459*1,"0")+IFERROR(Y460*1,"0")</f>
        <v>1599</v>
      </c>
      <c r="Y556" s="50">
        <f>IFERROR(Y466*1,"0")+IFERROR(Y467*1,"0")+IFERROR(Y468*1,"0")+IFERROR(Y469*1,"0")+IFERROR(Y470*1,"0")+IFERROR(Y471*1,"0")+IFERROR(Y475*1,"0")</f>
        <v>0</v>
      </c>
      <c r="Z556" s="50">
        <f>IFERROR(Y480*1,"0")+IFERROR(Y484*1,"0")+IFERROR(Y485*1,"0")+IFERROR(Y486*1,"0")</f>
        <v>64.800000000000011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3812.1600000000003</v>
      </c>
      <c r="AB556" s="50">
        <f>IFERROR(Y521*1,"0")+IFERROR(Y525*1,"0")+IFERROR(Y529*1,"0")+IFERROR(Y533*1,"0")+IFERROR(Y537*1,"0")+IFERROR(Y538*1,"0")</f>
        <v>204</v>
      </c>
      <c r="AC556" s="50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500,00"/>
        <filter val="1 536,00"/>
        <filter val="1 600,00"/>
        <filter val="100,00"/>
        <filter val="11,11"/>
        <filter val="12,82"/>
        <filter val="120,00"/>
        <filter val="13,89"/>
        <filter val="140,00"/>
        <filter val="148,15"/>
        <filter val="15,56"/>
        <filter val="150,00"/>
        <filter val="153,50"/>
        <filter val="16 479,90"/>
        <filter val="160,00"/>
        <filter val="17 251,84"/>
        <filter val="17 926,84"/>
        <filter val="172,50"/>
        <filter val="18,52"/>
        <filter val="18,89"/>
        <filter val="180,00"/>
        <filter val="181,67"/>
        <filter val="189,39"/>
        <filter val="2 003,67"/>
        <filter val="2 250,00"/>
        <filter val="20,40"/>
        <filter val="200,00"/>
        <filter val="214,00"/>
        <filter val="22,50"/>
        <filter val="227,27"/>
        <filter val="23,15"/>
        <filter val="24,00"/>
        <filter val="250,00"/>
        <filter val="27"/>
        <filter val="3 000,00"/>
        <filter val="3,70"/>
        <filter val="300,00"/>
        <filter val="303,03"/>
        <filter val="31,50"/>
        <filter val="35,00"/>
        <filter val="36,00"/>
        <filter val="39,75"/>
        <filter val="4,17"/>
        <filter val="4,63"/>
        <filter val="40,00"/>
        <filter val="400,00"/>
        <filter val="410,00"/>
        <filter val="42,00"/>
        <filter val="48,00"/>
        <filter val="5,00"/>
        <filter val="50,00"/>
        <filter val="500,00"/>
        <filter val="54,00"/>
        <filter val="54,05"/>
        <filter val="6 000,00"/>
        <filter val="60,00"/>
        <filter val="73,50"/>
        <filter val="75,93"/>
        <filter val="750,00"/>
        <filter val="8,00"/>
        <filter val="80,00"/>
        <filter val="90,0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8" spans="2:8" x14ac:dyDescent="0.2">
      <c r="B8" s="51" t="s">
        <v>858</v>
      </c>
      <c r="C8" s="51" t="s">
        <v>859</v>
      </c>
      <c r="D8" s="51" t="s">
        <v>860</v>
      </c>
      <c r="E8" s="51" t="s">
        <v>46</v>
      </c>
    </row>
    <row r="10" spans="2:8" x14ac:dyDescent="0.2">
      <c r="B10" s="51" t="s">
        <v>861</v>
      </c>
      <c r="C10" s="51" t="s">
        <v>853</v>
      </c>
      <c r="D10" s="51" t="s">
        <v>46</v>
      </c>
      <c r="E10" s="51" t="s">
        <v>46</v>
      </c>
    </row>
    <row r="12" spans="2:8" x14ac:dyDescent="0.2">
      <c r="B12" s="51" t="s">
        <v>862</v>
      </c>
      <c r="C12" s="51" t="s">
        <v>856</v>
      </c>
      <c r="D12" s="51" t="s">
        <v>46</v>
      </c>
      <c r="E12" s="51" t="s">
        <v>46</v>
      </c>
    </row>
    <row r="14" spans="2:8" x14ac:dyDescent="0.2">
      <c r="B14" s="51" t="s">
        <v>863</v>
      </c>
      <c r="C14" s="51" t="s">
        <v>859</v>
      </c>
      <c r="D14" s="51" t="s">
        <v>46</v>
      </c>
      <c r="E14" s="51" t="s">
        <v>46</v>
      </c>
    </row>
    <row r="16" spans="2:8" x14ac:dyDescent="0.2">
      <c r="B16" s="51" t="s">
        <v>864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865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866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867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868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869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870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872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873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874</v>
      </c>
      <c r="C26" s="51" t="s">
        <v>46</v>
      </c>
      <c r="D26" s="51" t="s">
        <v>46</v>
      </c>
      <c r="E26" s="51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2026-10-13T10:53:40Z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