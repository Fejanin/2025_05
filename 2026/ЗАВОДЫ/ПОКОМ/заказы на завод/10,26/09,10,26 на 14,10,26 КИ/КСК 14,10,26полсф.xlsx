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631069-C459-4E6C-9BA8-7A3AB61605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I569" i="2" l="1"/>
  <c r="Z387" i="2"/>
  <c r="BP276" i="2"/>
  <c r="BP478" i="2"/>
  <c r="Z90" i="2"/>
  <c r="BN90" i="2"/>
  <c r="BP233" i="2"/>
  <c r="Z309" i="2"/>
  <c r="BN309" i="2"/>
  <c r="BP330" i="2"/>
  <c r="BP418" i="2"/>
  <c r="Z534" i="2"/>
  <c r="Z535" i="2" s="1"/>
  <c r="Z246" i="2"/>
  <c r="Z288" i="2"/>
  <c r="BN288" i="2"/>
  <c r="BP291" i="2"/>
  <c r="Z397" i="2"/>
  <c r="BN397" i="2"/>
  <c r="Z436" i="2"/>
  <c r="BN436" i="2"/>
  <c r="BP542" i="2"/>
  <c r="Z48" i="2"/>
  <c r="BN48" i="2"/>
  <c r="Z50" i="2"/>
  <c r="BN50" i="2"/>
  <c r="Z68" i="2"/>
  <c r="BN68" i="2"/>
  <c r="Y84" i="2"/>
  <c r="Z111" i="2"/>
  <c r="BN111" i="2"/>
  <c r="BP128" i="2"/>
  <c r="BP152" i="2"/>
  <c r="BP229" i="2"/>
  <c r="BP266" i="2"/>
  <c r="BP285" i="2"/>
  <c r="BP306" i="2"/>
  <c r="Z347" i="2"/>
  <c r="BN347" i="2"/>
  <c r="BP365" i="2"/>
  <c r="Z378" i="2"/>
  <c r="BN378" i="2"/>
  <c r="BP385" i="2"/>
  <c r="Y402" i="2"/>
  <c r="BP412" i="2"/>
  <c r="Z450" i="2"/>
  <c r="Z487" i="2"/>
  <c r="BN487" i="2"/>
  <c r="BP496" i="2"/>
  <c r="BN534" i="2"/>
  <c r="X563" i="2"/>
  <c r="BP38" i="2"/>
  <c r="BN116" i="2"/>
  <c r="BN199" i="2"/>
  <c r="BN223" i="2"/>
  <c r="BN278" i="2"/>
  <c r="BN298" i="2"/>
  <c r="BN417" i="2"/>
  <c r="BN424" i="2"/>
  <c r="BN437" i="2"/>
  <c r="BP512" i="2"/>
  <c r="BN524" i="2"/>
  <c r="BN546" i="2"/>
  <c r="BN39" i="2"/>
  <c r="BN57" i="2"/>
  <c r="BN122" i="2"/>
  <c r="BN151" i="2"/>
  <c r="BN178" i="2"/>
  <c r="Y201" i="2"/>
  <c r="BN227" i="2"/>
  <c r="BN232" i="2"/>
  <c r="BN234" i="2"/>
  <c r="BN368" i="2"/>
  <c r="BN391" i="2"/>
  <c r="BN400" i="2"/>
  <c r="BN406" i="2"/>
  <c r="BN432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Z460" i="2"/>
  <c r="BP479" i="2"/>
  <c r="Y483" i="2"/>
  <c r="Z498" i="2"/>
  <c r="Z506" i="2"/>
  <c r="BN511" i="2"/>
  <c r="Z512" i="2"/>
  <c r="Z522" i="2"/>
  <c r="BN522" i="2"/>
  <c r="BN526" i="2"/>
  <c r="BP527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92" i="2" l="1"/>
  <c r="Z51" i="2"/>
  <c r="Z394" i="2"/>
  <c r="Z192" i="2"/>
  <c r="Z172" i="2"/>
  <c r="Z125" i="2"/>
  <c r="Z42" i="2"/>
  <c r="Z381" i="2"/>
  <c r="Z83" i="2"/>
  <c r="Z140" i="2"/>
  <c r="Z263" i="2"/>
  <c r="Z253" i="2"/>
  <c r="Z353" i="2"/>
  <c r="Z472" i="2"/>
  <c r="Z135" i="2"/>
  <c r="X562" i="2"/>
  <c r="Z247" i="2"/>
  <c r="Z529" i="2"/>
  <c r="Z299" i="2"/>
  <c r="Z426" i="2"/>
  <c r="Z348" i="2"/>
  <c r="Z72" i="2"/>
  <c r="Z388" i="2"/>
  <c r="Z371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<sst xmlns="http://schemas.openxmlformats.org/spreadsheetml/2006/main" count="4286" uniqueCount="892">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</sst>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46309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Среда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0.375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171</v>
      </c>
      <c r="Y62" s="55">
        <f t="shared" si="0"/>
        <v>171</v>
      </c>
      <c r="Z62" s="41">
        <f>IFERROR(IF(Y62=0,"",ROUNDUP(Y62/H62,0)*0.00902),"")</f>
        <v>0.34276000000000001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178.22000000000003</v>
      </c>
      <c r="BN62" s="78">
        <f t="shared" si="2"/>
        <v>178.22000000000003</v>
      </c>
      <c r="BO62" s="78">
        <f t="shared" si="3"/>
        <v>0.2878787878787879</v>
      </c>
      <c r="BP62" s="78">
        <f t="shared" si="4"/>
        <v>0.2878787878787879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65.777777777777771</v>
      </c>
      <c r="Y64" s="43">
        <f>IFERROR(Y55/H55,"0")+IFERROR(Y56/H56,"0")+IFERROR(Y57/H57,"0")+IFERROR(Y58/H58,"0")+IFERROR(Y59/H59,"0")+IFERROR(Y60/H60,"0")+IFERROR(Y61/H61,"0")+IFERROR(Y62/H62,"0")+IFERROR(Y63/H63,"0")</f>
        <v>66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0.87420000000000009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471</v>
      </c>
      <c r="Y65" s="43">
        <f>IFERROR(SUM(Y55:Y63),"0")</f>
        <v>473.40000000000003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200</v>
      </c>
      <c r="Y87" s="55">
        <f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207.59259259259258</v>
      </c>
      <c r="BN87" s="78">
        <f>IFERROR(Y87*I87/H87,"0")</f>
        <v>212.99</v>
      </c>
      <c r="BO87" s="78">
        <f>IFERROR(1/J87*(X87/H87),"0")</f>
        <v>0.28935185185185186</v>
      </c>
      <c r="BP87" s="78">
        <f>IFERROR(1/J87*(Y87/H87),"0")</f>
        <v>0.296875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18.518518518518519</v>
      </c>
      <c r="Y92" s="43">
        <f>IFERROR(Y87/H87,"0")+IFERROR(Y88/H88,"0")+IFERROR(Y89/H89,"0")+IFERROR(Y90/H90,"0")+IFERROR(Y91/H91,"0")</f>
        <v>19</v>
      </c>
      <c r="Z92" s="43">
        <f>IFERROR(IF(Z87="",0,Z87),"0")+IFERROR(IF(Z88="",0,Z88),"0")+IFERROR(IF(Z89="",0,Z89),"0")+IFERROR(IF(Z90="",0,Z90),"0")+IFERROR(IF(Z91="",0,Z91),"0")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200</v>
      </c>
      <c r="Y93" s="43">
        <f>IFERROR(SUM(Y87:Y91),"0")</f>
        <v>205.20000000000002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49.382716049382715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400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100</v>
      </c>
      <c r="Y103" s="55">
        <f t="shared" ref="Y103:Y111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103.79629629629629</v>
      </c>
      <c r="BN103" s="78">
        <f t="shared" ref="BN103:BN111" si="7">IFERROR(Y103*I103/H103,"0")</f>
        <v>112.1</v>
      </c>
      <c r="BO103" s="78">
        <f t="shared" ref="BO103:BO111" si="8">IFERROR(1/J103*(X103/H103),"0")</f>
        <v>0.14467592592592593</v>
      </c>
      <c r="BP103" s="78">
        <f t="shared" ref="BP103:BP111" si="9">IFERROR(1/J103*(Y103/H103),"0")</f>
        <v>0.15625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113</v>
      </c>
      <c r="Y108" s="55">
        <f t="shared" si="5"/>
        <v>117</v>
      </c>
      <c r="Z108" s="41">
        <f>IFERROR(IF(Y108=0,"",ROUNDUP(Y108/H108,0)*0.00902),"")</f>
        <v>0.23452000000000001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117.77111111111111</v>
      </c>
      <c r="BN108" s="78">
        <f t="shared" si="7"/>
        <v>121.94</v>
      </c>
      <c r="BO108" s="78">
        <f t="shared" si="8"/>
        <v>0.19023569023569023</v>
      </c>
      <c r="BP108" s="78">
        <f t="shared" si="9"/>
        <v>0.19696969696969696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34.370370370370367</v>
      </c>
      <c r="Y112" s="43">
        <f>IFERROR(Y103/H103,"0")+IFERROR(Y104/H104,"0")+IFERROR(Y105/H105,"0")+IFERROR(Y106/H106,"0")+IFERROR(Y107/H107,"0")+IFERROR(Y108/H108,"0")+IFERROR(Y109/H109,"0")+IFERROR(Y110/H110,"0")+IFERROR(Y111/H111,"0")</f>
        <v>36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0.42432000000000003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213</v>
      </c>
      <c r="Y113" s="43">
        <f>IFERROR(SUM(Y103:Y111),"0")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32</v>
      </c>
      <c r="Y117" s="55">
        <f>IFERROR(IF(X117="",0,CEILING((X117/$H117),1)*$H117),"")</f>
        <v>33.6</v>
      </c>
      <c r="Z117" s="41">
        <f>IFERROR(IF(Y117=0,"",ROUNDUP(Y117/H117,0)*0.00651),"")</f>
        <v>9.1139999999999999E-2</v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34.400000000000006</v>
      </c>
      <c r="BN117" s="78">
        <f>IFERROR(Y117*I117/H117,"0")</f>
        <v>36.120000000000005</v>
      </c>
      <c r="BO117" s="78">
        <f>IFERROR(1/J117*(X117/H117),"0")</f>
        <v>7.3260073260073263E-2</v>
      </c>
      <c r="BP117" s="78">
        <f>IFERROR(1/J117*(Y117/H117),"0")</f>
        <v>7.6923076923076941E-2</v>
      </c>
    </row>
    <row r="118" spans="1:68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13.333333333333334</v>
      </c>
      <c r="Y118" s="43">
        <f>IFERROR(Y115/H115,"0")+IFERROR(Y116/H116,"0")+IFERROR(Y117/H117,"0")</f>
        <v>14.000000000000002</v>
      </c>
      <c r="Z118" s="43">
        <f>IFERROR(IF(Z115="",0,Z115),"0")+IFERROR(IF(Z116="",0,Z116),"0")+IFERROR(IF(Z117="",0,Z117),"0")</f>
        <v>9.1139999999999999E-2</v>
      </c>
      <c r="AA118" s="67"/>
      <c r="AB118" s="67"/>
      <c r="AC118" s="67"/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32</v>
      </c>
      <c r="Y119" s="43">
        <f>IFERROR(SUM(Y115:Y117),"0")</f>
        <v>33.6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1000</v>
      </c>
      <c r="Y121" s="55">
        <f>IFERROR(IF(X121="",0,CEILING((X121/$H121),1)*$H121),"")</f>
        <v>1004.4</v>
      </c>
      <c r="Z121" s="41">
        <f>IFERROR(IF(Y121=0,"",ROUNDUP(Y121/H121,0)*0.01898),"")</f>
        <v>2.3535200000000001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1060.2469135802469</v>
      </c>
      <c r="BN121" s="78">
        <f>IFERROR(Y121*I121/H121,"0")</f>
        <v>1064.9119999999998</v>
      </c>
      <c r="BO121" s="78">
        <f>IFERROR(1/J121*(X121/H121),"0")</f>
        <v>1.9290123456790125</v>
      </c>
      <c r="BP121" s="78">
        <f>IFERROR(1/J121*(Y121/H121),"0")</f>
        <v>1.9375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123.4567901234568</v>
      </c>
      <c r="Y125" s="43">
        <f>IFERROR(Y121/H121,"0")+IFERROR(Y122/H122,"0")+IFERROR(Y123/H123,"0")+IFERROR(Y124/H124,"0")</f>
        <v>124</v>
      </c>
      <c r="Z125" s="43">
        <f>IFERROR(IF(Z121="",0,Z121),"0")+IFERROR(IF(Z122="",0,Z122),"0")+IFERROR(IF(Z123="",0,Z123),"0")+IFERROR(IF(Z124="",0,Z124),"0")</f>
        <v>2.3535200000000001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1000</v>
      </c>
      <c r="Y126" s="43">
        <f>IFERROR(SUM(Y121:Y124),"0")</f>
        <v>1004.4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ref="Y175:Y185" si="16">IFERROR(IF(X175="",0,CEILING((X175/$H175),1)*$H175),"")</f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105.42857142857143</v>
      </c>
      <c r="BN175" s="78">
        <f t="shared" ref="BN175:BN185" si="18">IFERROR(Y175*I175/H175,"0")</f>
        <v>107.00999999999999</v>
      </c>
      <c r="BO175" s="78">
        <f t="shared" ref="BO175:BO185" si="19">IFERROR(1/J175*(X175/H175),"0")</f>
        <v>0.21645021645021648</v>
      </c>
      <c r="BP175" s="78">
        <f t="shared" ref="BP175:BP185" si="20">IFERROR(1/J175*(Y175/H175),"0")</f>
        <v>0.2196969696969697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0.26158000000000003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100</v>
      </c>
      <c r="Y187" s="43">
        <f>IFERROR(SUM(Y175:Y185),"0")</f>
        <v>101.5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150</v>
      </c>
      <c r="Y220" s="55">
        <f t="shared" ref="Y220:Y234" si="27">IFERROR(IF(X220="",0,CEILING((X220/$H220),1)*$H220),"")</f>
        <v>151.20000000000002</v>
      </c>
      <c r="Z220" s="41">
        <f>IFERROR(IF(Y220=0,"",ROUNDUP(Y220/H220,0)*0.00902),"")</f>
        <v>0.32472000000000001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158.92857142857142</v>
      </c>
      <c r="BN220" s="78">
        <f t="shared" ref="BN220:BN234" si="29">IFERROR(Y220*I220/H220,"0")</f>
        <v>160.20000000000002</v>
      </c>
      <c r="BO220" s="78">
        <f t="shared" ref="BO220:BO234" si="30">IFERROR(1/J220*(X220/H220),"0")</f>
        <v>0.27056277056277056</v>
      </c>
      <c r="BP220" s="78">
        <f t="shared" ref="BP220:BP234" si="31">IFERROR(1/J220*(Y220/H220),"0")</f>
        <v>0.27272727272727271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35.714285714285715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0.32472000000000001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150</v>
      </c>
      <c r="Y236" s="43">
        <f>IFERROR(SUM(Y220:Y234),"0")</f>
        <v>151.20000000000002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ref="Y271:Y278" si="38">IFERROR(IF(X271="",0,CEILING((X271/$H271),1)*$H271),"")</f>
        <v>151.20000000000002</v>
      </c>
      <c r="Z271" s="41">
        <f>IFERROR(IF(Y271=0,"",ROUNDUP(Y271/H271,0)*0.00902),"")</f>
        <v>0.25256000000000001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155.27777777777777</v>
      </c>
      <c r="BN271" s="78">
        <f t="shared" ref="BN271:BN278" si="40">IFERROR(Y271*I271/H271,"0")</f>
        <v>156.52000000000001</v>
      </c>
      <c r="BO271" s="78">
        <f t="shared" ref="BO271:BO278" si="41">IFERROR(1/J271*(X271/H271),"0")</f>
        <v>0.21043771043771042</v>
      </c>
      <c r="BP271" s="78">
        <f t="shared" ref="BP271:BP278" si="42">IFERROR(1/J271*(Y271/H271),"0")</f>
        <v>0.21212121212121213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8"/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258.7962962962963</v>
      </c>
      <c r="BN272" s="78">
        <f t="shared" si="40"/>
        <v>262.72999999999996</v>
      </c>
      <c r="BO272" s="78">
        <f t="shared" si="41"/>
        <v>0.35072951739618402</v>
      </c>
      <c r="BP272" s="78">
        <f t="shared" si="42"/>
        <v>0.35606060606060608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250</v>
      </c>
      <c r="Y273" s="55">
        <f t="shared" si="38"/>
        <v>253.8</v>
      </c>
      <c r="Z273" s="41">
        <f>IFERROR(IF(Y273=0,"",ROUNDUP(Y273/H273,0)*0.00902),"")</f>
        <v>0.42393999999999998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258.7962962962963</v>
      </c>
      <c r="BN273" s="78">
        <f t="shared" si="40"/>
        <v>262.72999999999996</v>
      </c>
      <c r="BO273" s="78">
        <f t="shared" si="41"/>
        <v>0.35072951739618402</v>
      </c>
      <c r="BP273" s="78">
        <f t="shared" si="42"/>
        <v>0.35606060606060608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120.37037037037035</v>
      </c>
      <c r="Y279" s="43">
        <f>IFERROR(Y271/H271,"0")+IFERROR(Y272/H272,"0")+IFERROR(Y273/H273,"0")+IFERROR(Y274/H274,"0")+IFERROR(Y275/H275,"0")+IFERROR(Y276/H276,"0")+IFERROR(Y277/H277,"0")+IFERROR(Y278/H278,"0")</f>
        <v>122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1.1004399999999999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650</v>
      </c>
      <c r="Y280" s="43">
        <f>IFERROR(SUM(Y271:Y278),"0")</f>
        <v>658.8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150</v>
      </c>
      <c r="Y374" s="55">
        <f t="shared" ref="Y374:Y380" si="63">IFERROR(IF(X374="",0,CEILING((X374/$H374),1)*$H374),"")</f>
        <v>151.20000000000002</v>
      </c>
      <c r="Z374" s="41">
        <f>IFERROR(IF(Y374=0,"",ROUNDUP(Y374/H374,0)*0.00902),"")</f>
        <v>0.32472000000000001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158.92857142857142</v>
      </c>
      <c r="BN374" s="78">
        <f t="shared" ref="BN374:BN380" si="65">IFERROR(Y374*I374/H374,"0")</f>
        <v>160.20000000000002</v>
      </c>
      <c r="BO374" s="78">
        <f t="shared" ref="BO374:BO380" si="66">IFERROR(1/J374*(X374/H374),"0")</f>
        <v>0.27056277056277056</v>
      </c>
      <c r="BP374" s="78">
        <f t="shared" ref="BP374:BP380" si="67">IFERROR(1/J374*(Y374/H374),"0")</f>
        <v>0.27272727272727271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100</v>
      </c>
      <c r="Y375" s="55">
        <f t="shared" si="63"/>
        <v>100.80000000000001</v>
      </c>
      <c r="Z375" s="41">
        <f>IFERROR(IF(Y375=0,"",ROUNDUP(Y375/H375,0)*0.00902),"")</f>
        <v>0.21648000000000001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105.95238095238095</v>
      </c>
      <c r="BN375" s="78">
        <f t="shared" si="65"/>
        <v>106.80000000000001</v>
      </c>
      <c r="BO375" s="78">
        <f t="shared" si="66"/>
        <v>0.18037518037518038</v>
      </c>
      <c r="BP375" s="78">
        <f t="shared" si="67"/>
        <v>0.18181818181818182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59.523809523809526</v>
      </c>
      <c r="Y381" s="43">
        <f>IFERROR(Y374/H374,"0")+IFERROR(Y375/H375,"0")+IFERROR(Y376/H376,"0")+IFERROR(Y377/H377,"0")+IFERROR(Y378/H378,"0")+IFERROR(Y379/H379,"0")+IFERROR(Y380/H380,"0")</f>
        <v>60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0.54120000000000001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250</v>
      </c>
      <c r="Y382" s="43">
        <f>IFERROR(SUM(Y374:Y380),"0")</f>
        <v>252.00000000000003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27</v>
      </c>
      <c r="Y400" s="55">
        <f>IFERROR(IF(X400="",0,CEILING((X400/$H400),1)*$H400),"")</f>
        <v>28.049999999999997</v>
      </c>
      <c r="Z400" s="41">
        <f>IFERROR(IF(Y400=0,"",ROUNDUP(Y400/H400,0)*0.00651),"")</f>
        <v>7.1610000000000007E-2</v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30.494117647058822</v>
      </c>
      <c r="BN400" s="78">
        <f>IFERROR(Y400*I400/H400,"0")</f>
        <v>31.68</v>
      </c>
      <c r="BO400" s="78">
        <f>IFERROR(1/J400*(X400/H400),"0")</f>
        <v>5.8177117000646428E-2</v>
      </c>
      <c r="BP400" s="78">
        <f>IFERROR(1/J400*(Y400/H400),"0")</f>
        <v>6.0439560439560447E-2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10.588235294117649</v>
      </c>
      <c r="Y401" s="43">
        <f>IFERROR(Y397/H397,"0")+IFERROR(Y398/H398,"0")+IFERROR(Y399/H399,"0")+IFERROR(Y400/H400,"0")</f>
        <v>11</v>
      </c>
      <c r="Z401" s="43">
        <f>IFERROR(IF(Z397="",0,Z397),"0")+IFERROR(IF(Z398="",0,Z398),"0")+IFERROR(IF(Z399="",0,Z399),"0")+IFERROR(IF(Z400="",0,Z400),"0")</f>
        <v>7.1610000000000007E-2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27</v>
      </c>
      <c r="Y402" s="43">
        <f>IFERROR(SUM(Y397:Y400),"0")</f>
        <v>28.049999999999997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200</v>
      </c>
      <c r="Y431" s="55">
        <f t="shared" ref="Y431:Y438" si="68">IFERROR(IF(X431="",0,CEILING((X431/$H431),1)*$H431),"")</f>
        <v>210</v>
      </c>
      <c r="Z431" s="41">
        <f>IFERROR(IF(Y431=0,"",ROUNDUP(Y431/H431,0)*0.02175),"")</f>
        <v>0.30449999999999999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206.26666666666668</v>
      </c>
      <c r="BN431" s="78">
        <f t="shared" ref="BN431:BN438" si="70">IFERROR(Y431*I431/H431,"0")</f>
        <v>216.58</v>
      </c>
      <c r="BO431" s="78">
        <f t="shared" ref="BO431:BO438" si="71">IFERROR(1/J431*(X431/H431),"0")</f>
        <v>0.27777777777777779</v>
      </c>
      <c r="BP431" s="78">
        <f t="shared" ref="BP431:BP438" si="72">IFERROR(1/J431*(Y431/H431),"0")</f>
        <v>0.29166666666666663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1500</v>
      </c>
      <c r="Y433" s="55">
        <f t="shared" si="68"/>
        <v>1500</v>
      </c>
      <c r="Z433" s="41">
        <f>IFERROR(IF(Y433=0,"",ROUNDUP(Y433/H433,0)*0.02175),"")</f>
        <v>2.1749999999999998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1547</v>
      </c>
      <c r="BN433" s="78">
        <f t="shared" si="70"/>
        <v>1547</v>
      </c>
      <c r="BO433" s="78">
        <f t="shared" si="71"/>
        <v>2.083333333333333</v>
      </c>
      <c r="BP433" s="78">
        <f t="shared" si="72"/>
        <v>2.083333333333333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2000</v>
      </c>
      <c r="Y434" s="55">
        <f t="shared" si="68"/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2062.6666666666665</v>
      </c>
      <c r="BN434" s="78">
        <f t="shared" si="70"/>
        <v>2072.98</v>
      </c>
      <c r="BO434" s="78">
        <f t="shared" si="71"/>
        <v>2.7777777777777777</v>
      </c>
      <c r="BP434" s="78">
        <f t="shared" si="72"/>
        <v>2.7916666666666665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380</v>
      </c>
      <c r="Y439" s="43">
        <f>IFERROR(Y431/H431,"0")+IFERROR(Y432/H432,"0")+IFERROR(Y433/H433,"0")+IFERROR(Y434/H434,"0")+IFERROR(Y435/H435,"0")+IFERROR(Y436/H436,"0")+IFERROR(Y437/H437,"0")+IFERROR(Y438/H438,"0")</f>
        <v>382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8.3085000000000004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5700</v>
      </c>
      <c r="Y440" s="43">
        <f>IFERROR(SUM(Y431:Y438),"0")</f>
        <v>5730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2500</v>
      </c>
      <c r="Y442" s="55">
        <f>IFERROR(IF(X442="",0,CEILING((X442/$H442),1)*$H442),"")</f>
        <v>2505</v>
      </c>
      <c r="Z442" s="41">
        <f>IFERROR(IF(Y442=0,"",ROUNDUP(Y442/H442,0)*0.02175),"")</f>
        <v>3.6322499999999995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2578.3333333333335</v>
      </c>
      <c r="BN442" s="78">
        <f>IFERROR(Y442*I442/H442,"0")</f>
        <v>2583.4899999999998</v>
      </c>
      <c r="BO442" s="78">
        <f>IFERROR(1/J442*(X442/H442),"0")</f>
        <v>3.4722222222222219</v>
      </c>
      <c r="BP442" s="78">
        <f>IFERROR(1/J442*(Y442/H442),"0")</f>
        <v>3.4791666666666665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166.66666666666666</v>
      </c>
      <c r="Y445" s="43">
        <f>IFERROR(Y442/H442,"0")+IFERROR(Y443/H443,"0")+IFERROR(Y444/H444,"0")</f>
        <v>167</v>
      </c>
      <c r="Z445" s="43">
        <f>IFERROR(IF(Z442="",0,Z442),"0")+IFERROR(IF(Z443="",0,Z443),"0")+IFERROR(IF(Z444="",0,Z444),"0")</f>
        <v>3.6322499999999995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2500</v>
      </c>
      <c r="Y446" s="43">
        <f>IFERROR(SUM(Y442:Y444),"0")</f>
        <v>2505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504</v>
      </c>
      <c r="Z449" s="41">
        <f>IFERROR(IF(Y449=0,"",ROUNDUP(Y449/H449,0)*0.01898),"")</f>
        <v>1.06288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527.44444444444446</v>
      </c>
      <c r="BN449" s="78">
        <f>IFERROR(Y449*I449/H449,"0")</f>
        <v>531.66399999999999</v>
      </c>
      <c r="BO449" s="78">
        <f>IFERROR(1/J449*(X449/H449),"0")</f>
        <v>0.86805555555555558</v>
      </c>
      <c r="BP449" s="78">
        <f>IFERROR(1/J449*(Y449/H449),"0")</f>
        <v>0.875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55.555555555555557</v>
      </c>
      <c r="Y451" s="43">
        <f>IFERROR(Y448/H448,"0")+IFERROR(Y449/H449,"0")+IFERROR(Y450/H450,"0")</f>
        <v>56</v>
      </c>
      <c r="Z451" s="43">
        <f>IFERROR(IF(Z448="",0,Z448),"0")+IFERROR(IF(Z449="",0,Z449),"0")+IFERROR(IF(Z450="",0,Z450),"0")</f>
        <v>1.06288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500</v>
      </c>
      <c r="Y452" s="43">
        <f>IFERROR(SUM(Y448:Y450),"0")</f>
        <v>504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800</v>
      </c>
      <c r="Y469" s="55">
        <f>IFERROR(IF(X469="",0,CEILING((X469/$H469),1)*$H469),"")</f>
        <v>801</v>
      </c>
      <c r="Z469" s="41">
        <f>IFERROR(IF(Y469=0,"",ROUNDUP(Y469/H469,0)*0.01898),"")</f>
        <v>1.6892199999999999</v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843.91111111111104</v>
      </c>
      <c r="BN469" s="78">
        <f>IFERROR(Y469*I469/H469,"0")</f>
        <v>844.96599999999989</v>
      </c>
      <c r="BO469" s="78">
        <f>IFERROR(1/J469*(X469/H469),"0")</f>
        <v>1.3888888888888888</v>
      </c>
      <c r="BP469" s="78">
        <f>IFERROR(1/J469*(Y469/H469),"0")</f>
        <v>1.390625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88.888888888888886</v>
      </c>
      <c r="Y472" s="43">
        <f>IFERROR(Y469/H469,"0")+IFERROR(Y470/H470,"0")+IFERROR(Y471/H471,"0")</f>
        <v>89</v>
      </c>
      <c r="Z472" s="43">
        <f>IFERROR(IF(Z469="",0,Z469),"0")+IFERROR(IF(Z470="",0,Z470),"0")+IFERROR(IF(Z471="",0,Z471),"0")</f>
        <v>1.6892199999999999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800</v>
      </c>
      <c r="Y473" s="43">
        <f>IFERROR(SUM(Y469:Y471),"0")</f>
        <v>801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300</v>
      </c>
      <c r="Y477" s="55">
        <f t="shared" ref="Y477:Y482" si="73">IFERROR(IF(X477="",0,CEILING((X477/$H477),1)*$H477),"")</f>
        <v>302.40000000000003</v>
      </c>
      <c r="Z477" s="41">
        <f>IFERROR(IF(Y477=0,"",ROUNDUP(Y477/H477,0)*0.00902),"")</f>
        <v>0.50512000000000001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310.55555555555554</v>
      </c>
      <c r="BN477" s="78">
        <f t="shared" ref="BN477:BN482" si="75">IFERROR(Y477*I477/H477,"0")</f>
        <v>313.04000000000002</v>
      </c>
      <c r="BO477" s="78">
        <f t="shared" ref="BO477:BO482" si="76">IFERROR(1/J477*(X477/H477),"0")</f>
        <v>0.42087542087542085</v>
      </c>
      <c r="BP477" s="78">
        <f t="shared" ref="BP477:BP482" si="77">IFERROR(1/J477*(Y477/H477),"0")</f>
        <v>0.42424242424242425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250</v>
      </c>
      <c r="Y478" s="55">
        <f t="shared" si="73"/>
        <v>253.8</v>
      </c>
      <c r="Z478" s="41">
        <f>IFERROR(IF(Y478=0,"",ROUNDUP(Y478/H478,0)*0.00902),"")</f>
        <v>0.42393999999999998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258.7962962962963</v>
      </c>
      <c r="BN478" s="78">
        <f t="shared" si="75"/>
        <v>262.72999999999996</v>
      </c>
      <c r="BO478" s="78">
        <f t="shared" si="76"/>
        <v>0.35072951739618402</v>
      </c>
      <c r="BP478" s="78">
        <f t="shared" si="77"/>
        <v>0.35606060606060608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101.85185185185185</v>
      </c>
      <c r="Y483" s="43">
        <f>IFERROR(Y477/H477,"0")+IFERROR(Y478/H478,"0")+IFERROR(Y479/H479,"0")+IFERROR(Y480/H480,"0")+IFERROR(Y481/H481,"0")+IFERROR(Y482/H482,"0")</f>
        <v>103</v>
      </c>
      <c r="Z483" s="43">
        <f>IFERROR(IF(Z477="",0,Z477),"0")+IFERROR(IF(Z478="",0,Z478),"0")+IFERROR(IF(Z479="",0,Z479),"0")+IFERROR(IF(Z480="",0,Z480),"0")+IFERROR(IF(Z481="",0,Z481),"0")+IFERROR(IF(Z482="",0,Z482),"0")</f>
        <v>0.92906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550</v>
      </c>
      <c r="Y484" s="43">
        <f>IFERROR(SUM(Y477:Y482),"0")</f>
        <v>556.20000000000005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500</v>
      </c>
      <c r="Y496" s="55">
        <f>IFERROR(IF(X496="",0,CEILING((X496/$H496),1)*$H496),"")</f>
        <v>502.20000000000005</v>
      </c>
      <c r="Z496" s="41">
        <f>IFERROR(IF(Y496=0,"",ROUNDUP(Y496/H496,0)*0.00902),"")</f>
        <v>0.83886000000000005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517.59259259259261</v>
      </c>
      <c r="BN496" s="78">
        <f>IFERROR(Y496*I496/H496,"0")</f>
        <v>519.87</v>
      </c>
      <c r="BO496" s="78">
        <f>IFERROR(1/J496*(X496/H496),"0")</f>
        <v>0.70145903479236804</v>
      </c>
      <c r="BP496" s="78">
        <f>IFERROR(1/J496*(Y496/H496),"0")</f>
        <v>0.70454545454545459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92.592592592592581</v>
      </c>
      <c r="Y499" s="43">
        <f>IFERROR(Y496/H496,"0")+IFERROR(Y497/H497,"0")+IFERROR(Y498/H498,"0")</f>
        <v>93</v>
      </c>
      <c r="Z499" s="43">
        <f>IFERROR(IF(Z496="",0,Z496),"0")+IFERROR(IF(Z497="",0,Z497),"0")+IFERROR(IF(Z498="",0,Z498),"0")</f>
        <v>0.83886000000000005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500</v>
      </c>
      <c r="Y500" s="43">
        <f>IFERROR(SUM(Y496:Y498),"0")</f>
        <v>502.20000000000005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300</v>
      </c>
      <c r="Y507" s="55">
        <f t="shared" si="78"/>
        <v>300.96000000000004</v>
      </c>
      <c r="Z507" s="41">
        <f t="shared" si="79"/>
        <v>0.68171999999999999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319.88636363636363</v>
      </c>
      <c r="BN507" s="78">
        <f t="shared" si="81"/>
        <v>320.91000000000003</v>
      </c>
      <c r="BO507" s="78">
        <f t="shared" si="82"/>
        <v>0.54632867132867136</v>
      </c>
      <c r="BP507" s="78">
        <f t="shared" si="83"/>
        <v>0.54807692307692313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650</v>
      </c>
      <c r="Y509" s="55">
        <f t="shared" si="78"/>
        <v>654.72</v>
      </c>
      <c r="Z509" s="41">
        <f t="shared" si="79"/>
        <v>1.4830399999999999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693.08712121212113</v>
      </c>
      <c r="BN509" s="78">
        <f t="shared" si="81"/>
        <v>698.12</v>
      </c>
      <c r="BO509" s="78">
        <f t="shared" si="82"/>
        <v>1.1837121212121211</v>
      </c>
      <c r="BP509" s="78">
        <f t="shared" si="83"/>
        <v>1.1923076923076923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179.92424242424241</v>
      </c>
      <c r="Y513" s="43">
        <f>IFERROR(Y504/H504,"0")+IFERROR(Y505/H505,"0")+IFERROR(Y506/H506,"0")+IFERROR(Y507/H507,"0")+IFERROR(Y508/H508,"0")+IFERROR(Y509/H509,"0")+IFERROR(Y510/H510,"0")+IFERROR(Y511/H511,"0")+IFERROR(Y512/H512,"0")</f>
        <v>181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2.1647599999999998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950</v>
      </c>
      <c r="Y514" s="43">
        <f>IFERROR(SUM(Y504:Y512),"0")</f>
        <v>955.68000000000006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600</v>
      </c>
      <c r="Y516" s="55">
        <f>IFERROR(IF(X516="",0,CEILING((X516/$H516),1)*$H516),"")</f>
        <v>601.92000000000007</v>
      </c>
      <c r="Z516" s="41">
        <f>IFERROR(IF(Y516=0,"",ROUNDUP(Y516/H516,0)*0.01196),"")</f>
        <v>1.36344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639.77272727272725</v>
      </c>
      <c r="BN516" s="78">
        <f>IFERROR(Y516*I516/H516,"0")</f>
        <v>641.82000000000005</v>
      </c>
      <c r="BO516" s="78">
        <f>IFERROR(1/J516*(X516/H516),"0")</f>
        <v>1.0926573426573427</v>
      </c>
      <c r="BP516" s="78">
        <f>IFERROR(1/J516*(Y516/H516),"0")</f>
        <v>1.0961538461538463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113.63636363636363</v>
      </c>
      <c r="Y519" s="43">
        <f>IFERROR(Y516/H516,"0")+IFERROR(Y517/H517,"0")+IFERROR(Y518/H518,"0")</f>
        <v>114.00000000000001</v>
      </c>
      <c r="Z519" s="43">
        <f>IFERROR(IF(Z516="",0,Z516),"0")+IFERROR(IF(Z517="",0,Z517),"0")+IFERROR(IF(Z518="",0,Z518),"0")</f>
        <v>1.36344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600</v>
      </c>
      <c r="Y520" s="43">
        <f>IFERROR(SUM(Y516:Y518),"0")</f>
        <v>601.92000000000007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250</v>
      </c>
      <c r="Y522" s="55">
        <f t="shared" ref="Y522:Y528" si="84">IFERROR(IF(X522="",0,CEILING((X522/$H522),1)*$H522),"")</f>
        <v>253.44</v>
      </c>
      <c r="Z522" s="41">
        <f>IFERROR(IF(Y522=0,"",ROUNDUP(Y522/H522,0)*0.01196),"")</f>
        <v>0.57408000000000003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266.57196969696969</v>
      </c>
      <c r="BN522" s="78">
        <f t="shared" ref="BN522:BN528" si="86">IFERROR(Y522*I522/H522,"0")</f>
        <v>270.23999999999995</v>
      </c>
      <c r="BO522" s="78">
        <f t="shared" ref="BO522:BO528" si="87">IFERROR(1/J522*(X522/H522),"0")</f>
        <v>0.45527389277389274</v>
      </c>
      <c r="BP522" s="78">
        <f t="shared" ref="BP522:BP528" si="88">IFERROR(1/J522*(Y522/H522),"0")</f>
        <v>0.46153846153846156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250</v>
      </c>
      <c r="Y523" s="55">
        <f t="shared" si="84"/>
        <v>253.44</v>
      </c>
      <c r="Z523" s="41">
        <f>IFERROR(IF(Y523=0,"",ROUNDUP(Y523/H523,0)*0.01196),"")</f>
        <v>0.57408000000000003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266.57196969696969</v>
      </c>
      <c r="BN523" s="78">
        <f t="shared" si="86"/>
        <v>270.23999999999995</v>
      </c>
      <c r="BO523" s="78">
        <f t="shared" si="87"/>
        <v>0.45527389277389274</v>
      </c>
      <c r="BP523" s="78">
        <f t="shared" si="88"/>
        <v>0.46153846153846156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84"/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159.94318181818181</v>
      </c>
      <c r="BN524" s="78">
        <f t="shared" si="86"/>
        <v>163.26999999999998</v>
      </c>
      <c r="BO524" s="78">
        <f t="shared" si="87"/>
        <v>0.27316433566433568</v>
      </c>
      <c r="BP524" s="78">
        <f t="shared" si="88"/>
        <v>0.27884615384615385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123.10606060606059</v>
      </c>
      <c r="Y529" s="43">
        <f>IFERROR(Y522/H522,"0")+IFERROR(Y523/H523,"0")+IFERROR(Y524/H524,"0")+IFERROR(Y525/H525,"0")+IFERROR(Y526/H526,"0")+IFERROR(Y527/H527,"0")+IFERROR(Y528/H528,"0")</f>
        <v>125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1.4950000000000001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650</v>
      </c>
      <c r="Y530" s="43">
        <f>IFERROR(SUM(Y522:Y528),"0")</f>
        <v>660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300</v>
      </c>
      <c r="Y542" s="55">
        <f>IFERROR(IF(X542="",0,CEILING((X542/$H542),1)*$H542),"")</f>
        <v>302.40000000000003</v>
      </c>
      <c r="Z542" s="41">
        <f>IFERROR(IF(Y542=0,"",ROUNDUP(Y542/H542,0)*0.00902),"")</f>
        <v>0.64944000000000002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317.85714285714283</v>
      </c>
      <c r="BN542" s="78">
        <f>IFERROR(Y542*I542/H542,"0")</f>
        <v>320.40000000000003</v>
      </c>
      <c r="BO542" s="78">
        <f>IFERROR(1/J542*(X542/H542),"0")</f>
        <v>0.54112554112554112</v>
      </c>
      <c r="BP542" s="78">
        <f>IFERROR(1/J542*(Y542/H542),"0")</f>
        <v>0.54545454545454541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71.428571428571431</v>
      </c>
      <c r="Y543" s="43">
        <f>IFERROR(Y542/H542,"0")</f>
        <v>72</v>
      </c>
      <c r="Z543" s="43">
        <f>IFERROR(IF(Z542="",0,Z542),"0")</f>
        <v>0.64944000000000002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300</v>
      </c>
      <c r="Y544" s="43">
        <f>IFERROR(SUM(Y542:Y542),"0")</f>
        <v>302.40000000000003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16893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17023.750000000004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17612.624294013895</v>
      </c>
      <c r="Y560" s="43">
        <f>IFERROR(SUM(BN22:BN556),"0")</f>
        <v>17749.172000000006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27</v>
      </c>
      <c r="Y561" s="44">
        <f>ROUNDUP(SUM(BP22:BP556),0)</f>
        <v>27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18287.624294013895</v>
      </c>
      <c r="Y562" s="43">
        <f>GrossWeightTotalR+PalletQtyTotalR*25</f>
        <v>18424.172000000006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1965.6658367050525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1983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30.131080000000001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259.20000000000005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581.40000000000009</v>
      </c>
      <c r="F569" s="52">
        <f>IFERROR(Y87*1,"0")+IFERROR(Y88*1,"0")+IFERROR(Y89*1,"0")+IFERROR(Y90*1,"0")+IFERROR(Y91*1,"0")+IFERROR(Y95*1,"0")+IFERROR(Y96*1,"0")+IFERROR(Y97*1,"0")+IFERROR(Y98*1,"0")</f>
        <v>610.20000000000005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1263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101.5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151.20000000000002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658.8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280.05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8739</v>
      </c>
      <c r="X569" s="52">
        <f>IFERROR(Y460*1,"0")+IFERROR(Y461*1,"0")+IFERROR(Y465*1,"0")+IFERROR(Y469*1,"0")+IFERROR(Y470*1,"0")+IFERROR(Y471*1,"0")</f>
        <v>801</v>
      </c>
      <c r="Y569" s="52">
        <f>IFERROR(Y477*1,"0")+IFERROR(Y478*1,"0")+IFERROR(Y479*1,"0")+IFERROR(Y480*1,"0")+IFERROR(Y481*1,"0")+IFERROR(Y482*1,"0")+IFERROR(Y486*1,"0")+IFERROR(Y487*1,"0")</f>
        <v>556.20000000000005</v>
      </c>
      <c r="Z569" s="52">
        <f>IFERROR(Y492*1,"0")+IFERROR(Y496*1,"0")+IFERROR(Y497*1,"0")+IFERROR(Y498*1,"0")</f>
        <v>502.20000000000005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2217.6</v>
      </c>
      <c r="AB569" s="52">
        <f>IFERROR(Y534*1,"0")+IFERROR(Y538*1,"0")+IFERROR(Y542*1,"0")+IFERROR(Y546*1,"0")+IFERROR(Y550*1,"0")+IFERROR(Y551*1,"0")</f>
        <v>302.40000000000003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965,67"/>
        <filter val="10,59"/>
        <filter val="100,00"/>
        <filter val="101,85"/>
        <filter val="113,00"/>
        <filter val="113,64"/>
        <filter val="120,37"/>
        <filter val="123,11"/>
        <filter val="123,46"/>
        <filter val="13,33"/>
        <filter val="150,00"/>
        <filter val="16 893,00"/>
        <filter val="166,67"/>
        <filter val="17 612,62"/>
        <filter val="171,00"/>
        <filter val="179,92"/>
        <filter val="18 287,62"/>
        <filter val="18,52"/>
        <filter val="2 000,00"/>
        <filter val="2 500,00"/>
        <filter val="200,00"/>
        <filter val="213,00"/>
        <filter val="23,15"/>
        <filter val="250,00"/>
        <filter val="27"/>
        <filter val="27,00"/>
        <filter val="28,57"/>
        <filter val="300,00"/>
        <filter val="32,00"/>
        <filter val="34,37"/>
        <filter val="35,71"/>
        <filter val="380,00"/>
        <filter val="400,00"/>
        <filter val="471,00"/>
        <filter val="49,38"/>
        <filter val="5 700,00"/>
        <filter val="500,00"/>
        <filter val="55,56"/>
        <filter val="550,00"/>
        <filter val="59,52"/>
        <filter val="600,00"/>
        <filter val="65,78"/>
        <filter val="650,00"/>
        <filter val="71,43"/>
        <filter val="800,00"/>
        <filter val="88,89"/>
        <filter val="9,26"/>
        <filter val="92,59"/>
        <filter val="950,00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