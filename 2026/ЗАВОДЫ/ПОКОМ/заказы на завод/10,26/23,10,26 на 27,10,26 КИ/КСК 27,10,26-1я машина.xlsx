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7FEFCC0-387B-4734-BA4F-6C5E50D3738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AD575" i="2" s="1"/>
  <c r="P562" i="2"/>
  <c r="X559" i="2"/>
  <c r="X558" i="2"/>
  <c r="BO557" i="2"/>
  <c r="BM557" i="2"/>
  <c r="Y557" i="2"/>
  <c r="BN557" i="2" s="1"/>
  <c r="P557" i="2"/>
  <c r="BO556" i="2"/>
  <c r="BM556" i="2"/>
  <c r="Y556" i="2"/>
  <c r="Y558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P532" i="2"/>
  <c r="BO531" i="2"/>
  <c r="BM531" i="2"/>
  <c r="Y531" i="2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Z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BN503" i="2" s="1"/>
  <c r="P503" i="2"/>
  <c r="X501" i="2"/>
  <c r="X500" i="2"/>
  <c r="BO499" i="2"/>
  <c r="BM499" i="2"/>
  <c r="Y499" i="2"/>
  <c r="Y501" i="2" s="1"/>
  <c r="P499" i="2"/>
  <c r="X496" i="2"/>
  <c r="X495" i="2"/>
  <c r="BO494" i="2"/>
  <c r="BM494" i="2"/>
  <c r="Y494" i="2"/>
  <c r="Y495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BP485" i="2" s="1"/>
  <c r="P485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BP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P444" i="2"/>
  <c r="BO444" i="2"/>
  <c r="BM444" i="2"/>
  <c r="Y444" i="2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X435" i="2"/>
  <c r="X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BP431" i="2" s="1"/>
  <c r="P431" i="2"/>
  <c r="X428" i="2"/>
  <c r="X427" i="2"/>
  <c r="BO426" i="2"/>
  <c r="BM426" i="2"/>
  <c r="Y426" i="2"/>
  <c r="BP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BN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BP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P391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X379" i="2"/>
  <c r="X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Y361" i="2"/>
  <c r="X361" i="2"/>
  <c r="X360" i="2"/>
  <c r="BO359" i="2"/>
  <c r="BM359" i="2"/>
  <c r="Y359" i="2"/>
  <c r="BP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P323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Z307" i="2" s="1"/>
  <c r="Z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Z301" i="2"/>
  <c r="Y301" i="2"/>
  <c r="BN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P224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Z207" i="2"/>
  <c r="Y207" i="2"/>
  <c r="P207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Z199" i="2" s="1"/>
  <c r="Z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X174" i="2"/>
  <c r="X173" i="2"/>
  <c r="BO172" i="2"/>
  <c r="BM172" i="2"/>
  <c r="Y172" i="2"/>
  <c r="P172" i="2"/>
  <c r="BO171" i="2"/>
  <c r="BM171" i="2"/>
  <c r="Y171" i="2"/>
  <c r="Y173" i="2" s="1"/>
  <c r="P171" i="2"/>
  <c r="X169" i="2"/>
  <c r="X168" i="2"/>
  <c r="BO167" i="2"/>
  <c r="BM167" i="2"/>
  <c r="Y167" i="2"/>
  <c r="BP167" i="2" s="1"/>
  <c r="P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BN125" i="2" s="1"/>
  <c r="P125" i="2"/>
  <c r="BO124" i="2"/>
  <c r="BM124" i="2"/>
  <c r="Y124" i="2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P93" i="2"/>
  <c r="BO92" i="2"/>
  <c r="BM92" i="2"/>
  <c r="Y92" i="2"/>
  <c r="BP92" i="2" s="1"/>
  <c r="P92" i="2"/>
  <c r="BO91" i="2"/>
  <c r="BM91" i="2"/>
  <c r="Z91" i="2"/>
  <c r="Y91" i="2"/>
  <c r="BP91" i="2" s="1"/>
  <c r="P91" i="2"/>
  <c r="BO90" i="2"/>
  <c r="BM90" i="2"/>
  <c r="Y90" i="2"/>
  <c r="BN90" i="2" s="1"/>
  <c r="P90" i="2"/>
  <c r="BO89" i="2"/>
  <c r="BM89" i="2"/>
  <c r="Y89" i="2"/>
  <c r="BP89" i="2" s="1"/>
  <c r="P89" i="2"/>
  <c r="X86" i="2"/>
  <c r="X85" i="2"/>
  <c r="BO84" i="2"/>
  <c r="BM84" i="2"/>
  <c r="Y84" i="2"/>
  <c r="Z84" i="2" s="1"/>
  <c r="P84" i="2"/>
  <c r="BO83" i="2"/>
  <c r="BM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Z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Z44" i="2"/>
  <c r="Y44" i="2"/>
  <c r="BP44" i="2" s="1"/>
  <c r="P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Z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Z27" i="2" s="1"/>
  <c r="P27" i="2"/>
  <c r="BO26" i="2"/>
  <c r="BM26" i="2"/>
  <c r="Y26" i="2"/>
  <c r="BN26" i="2" s="1"/>
  <c r="P26" i="2"/>
  <c r="X24" i="2"/>
  <c r="X23" i="2"/>
  <c r="BO22" i="2"/>
  <c r="BM22" i="2"/>
  <c r="Y22" i="2"/>
  <c r="P22" i="2"/>
  <c r="H10" i="2"/>
  <c r="A9" i="2"/>
  <c r="D7" i="2"/>
  <c r="Q6" i="2"/>
  <c r="P2" i="2"/>
  <c r="BP94" i="2" l="1"/>
  <c r="BN232" i="2"/>
  <c r="BP270" i="2"/>
  <c r="BP324" i="2"/>
  <c r="BN426" i="2"/>
  <c r="Y471" i="2"/>
  <c r="BN562" i="2"/>
  <c r="Z72" i="2"/>
  <c r="Z94" i="2"/>
  <c r="BN178" i="2"/>
  <c r="Y201" i="2"/>
  <c r="Z209" i="2"/>
  <c r="BN237" i="2"/>
  <c r="BN260" i="2"/>
  <c r="Z270" i="2"/>
  <c r="BP301" i="2"/>
  <c r="BN317" i="2"/>
  <c r="Z324" i="2"/>
  <c r="Z328" i="2"/>
  <c r="BN328" i="2"/>
  <c r="BN341" i="2"/>
  <c r="BP350" i="2"/>
  <c r="BP372" i="2"/>
  <c r="BN377" i="2"/>
  <c r="BP382" i="2"/>
  <c r="BN413" i="2"/>
  <c r="BN222" i="2"/>
  <c r="Z424" i="2"/>
  <c r="BN424" i="2"/>
  <c r="Z552" i="2"/>
  <c r="Z553" i="2" s="1"/>
  <c r="Y554" i="2"/>
  <c r="BN443" i="2"/>
  <c r="BN365" i="2"/>
  <c r="BN439" i="2"/>
  <c r="BP184" i="2"/>
  <c r="BP229" i="2"/>
  <c r="BN432" i="2"/>
  <c r="BP278" i="2"/>
  <c r="Y74" i="2"/>
  <c r="BN66" i="2"/>
  <c r="BN335" i="2"/>
  <c r="Z528" i="2"/>
  <c r="Z100" i="2"/>
  <c r="BP557" i="2"/>
  <c r="AC575" i="2"/>
  <c r="Y542" i="2"/>
  <c r="BN534" i="2"/>
  <c r="BP530" i="2"/>
  <c r="BN524" i="2"/>
  <c r="BN515" i="2"/>
  <c r="BN511" i="2"/>
  <c r="Z494" i="2"/>
  <c r="Z495" i="2" s="1"/>
  <c r="BP494" i="2"/>
  <c r="Y496" i="2"/>
  <c r="BN494" i="2"/>
  <c r="BN489" i="2"/>
  <c r="BN478" i="2"/>
  <c r="Z443" i="2"/>
  <c r="Y448" i="2"/>
  <c r="Z439" i="2"/>
  <c r="Z426" i="2"/>
  <c r="Y428" i="2"/>
  <c r="BN418" i="2"/>
  <c r="Z413" i="2"/>
  <c r="Z411" i="2"/>
  <c r="Y396" i="2"/>
  <c r="Y389" i="2"/>
  <c r="Y379" i="2"/>
  <c r="Z335" i="2"/>
  <c r="Z317" i="2"/>
  <c r="BP298" i="2"/>
  <c r="Y293" i="2"/>
  <c r="BP285" i="2"/>
  <c r="BN283" i="2"/>
  <c r="BP282" i="2"/>
  <c r="Z260" i="2"/>
  <c r="BN255" i="2"/>
  <c r="Y248" i="2"/>
  <c r="Z237" i="2"/>
  <c r="Z222" i="2"/>
  <c r="BN220" i="2"/>
  <c r="BP179" i="2"/>
  <c r="BP176" i="2"/>
  <c r="Z152" i="2"/>
  <c r="Z136" i="2"/>
  <c r="BP136" i="2"/>
  <c r="BP125" i="2"/>
  <c r="Z125" i="2"/>
  <c r="BN110" i="2"/>
  <c r="Z101" i="2"/>
  <c r="BN100" i="2"/>
  <c r="Y103" i="2"/>
  <c r="Y102" i="2"/>
  <c r="Z92" i="2"/>
  <c r="BP90" i="2"/>
  <c r="Z90" i="2"/>
  <c r="BP83" i="2"/>
  <c r="Z83" i="2"/>
  <c r="BN72" i="2"/>
  <c r="Z62" i="2"/>
  <c r="BN59" i="2"/>
  <c r="Z51" i="2"/>
  <c r="Z45" i="2"/>
  <c r="Y46" i="2"/>
  <c r="X567" i="2"/>
  <c r="BN221" i="2"/>
  <c r="BP221" i="2"/>
  <c r="BN277" i="2"/>
  <c r="BP277" i="2"/>
  <c r="Z286" i="2"/>
  <c r="BN286" i="2"/>
  <c r="BN318" i="2"/>
  <c r="BP318" i="2"/>
  <c r="BP344" i="2"/>
  <c r="BN344" i="2"/>
  <c r="BN399" i="2"/>
  <c r="Z399" i="2"/>
  <c r="Z531" i="2"/>
  <c r="BN531" i="2"/>
  <c r="Z26" i="2"/>
  <c r="BP26" i="2"/>
  <c r="Z29" i="2"/>
  <c r="BP29" i="2"/>
  <c r="Z61" i="2"/>
  <c r="BP61" i="2"/>
  <c r="BP112" i="2"/>
  <c r="Z112" i="2"/>
  <c r="Y129" i="2"/>
  <c r="Y149" i="2"/>
  <c r="BN146" i="2"/>
  <c r="Z146" i="2"/>
  <c r="BN172" i="2"/>
  <c r="BP172" i="2"/>
  <c r="Z172" i="2"/>
  <c r="BN206" i="2"/>
  <c r="BP206" i="2"/>
  <c r="Z206" i="2"/>
  <c r="Y320" i="2"/>
  <c r="BP316" i="2"/>
  <c r="BP490" i="2"/>
  <c r="BN490" i="2"/>
  <c r="BP43" i="2"/>
  <c r="BP28" i="2"/>
  <c r="BN43" i="2"/>
  <c r="BN62" i="2"/>
  <c r="BP66" i="2"/>
  <c r="BN71" i="2"/>
  <c r="BP71" i="2"/>
  <c r="Z71" i="2"/>
  <c r="Y75" i="2"/>
  <c r="Z89" i="2"/>
  <c r="BN89" i="2"/>
  <c r="Y95" i="2"/>
  <c r="Z167" i="2"/>
  <c r="BN167" i="2"/>
  <c r="BN182" i="2"/>
  <c r="BP182" i="2"/>
  <c r="Z182" i="2"/>
  <c r="BN208" i="2"/>
  <c r="BP208" i="2"/>
  <c r="Y273" i="2"/>
  <c r="BN265" i="2"/>
  <c r="Y274" i="2"/>
  <c r="BP265" i="2"/>
  <c r="Z265" i="2"/>
  <c r="BN267" i="2"/>
  <c r="BP267" i="2"/>
  <c r="BN303" i="2"/>
  <c r="BP303" i="2"/>
  <c r="BN348" i="2"/>
  <c r="BP348" i="2"/>
  <c r="Z348" i="2"/>
  <c r="Y402" i="2"/>
  <c r="BP419" i="2"/>
  <c r="BN419" i="2"/>
  <c r="Z444" i="2"/>
  <c r="BN444" i="2"/>
  <c r="Z477" i="2"/>
  <c r="Y480" i="2"/>
  <c r="BN477" i="2"/>
  <c r="Y481" i="2"/>
  <c r="C575" i="2"/>
  <c r="BN93" i="2"/>
  <c r="BP93" i="2"/>
  <c r="BN127" i="2"/>
  <c r="BP127" i="2"/>
  <c r="BN185" i="2"/>
  <c r="BP185" i="2"/>
  <c r="Z185" i="2"/>
  <c r="BP223" i="2"/>
  <c r="BN223" i="2"/>
  <c r="BN239" i="2"/>
  <c r="BP239" i="2"/>
  <c r="M575" i="2"/>
  <c r="BN256" i="2"/>
  <c r="BN284" i="2"/>
  <c r="BP284" i="2"/>
  <c r="Z284" i="2"/>
  <c r="BP286" i="2"/>
  <c r="BP299" i="2"/>
  <c r="BN299" i="2"/>
  <c r="BP399" i="2"/>
  <c r="BP442" i="2"/>
  <c r="Z442" i="2"/>
  <c r="Z486" i="2"/>
  <c r="BN486" i="2"/>
  <c r="BN529" i="2"/>
  <c r="BP529" i="2"/>
  <c r="Z529" i="2"/>
  <c r="BP531" i="2"/>
  <c r="BP78" i="2"/>
  <c r="Y80" i="2"/>
  <c r="BN92" i="2"/>
  <c r="BN99" i="2"/>
  <c r="BN120" i="2"/>
  <c r="BN126" i="2"/>
  <c r="Y128" i="2"/>
  <c r="BN159" i="2"/>
  <c r="Y160" i="2"/>
  <c r="Y193" i="2"/>
  <c r="BP199" i="2"/>
  <c r="BN210" i="2"/>
  <c r="BP211" i="2"/>
  <c r="BN227" i="2"/>
  <c r="BN231" i="2"/>
  <c r="BP232" i="2"/>
  <c r="BN250" i="2"/>
  <c r="BN266" i="2"/>
  <c r="BP268" i="2"/>
  <c r="BP272" i="2"/>
  <c r="BN280" i="2"/>
  <c r="BP292" i="2"/>
  <c r="Y294" i="2"/>
  <c r="BN311" i="2"/>
  <c r="Y312" i="2"/>
  <c r="BP327" i="2"/>
  <c r="BP329" i="2"/>
  <c r="Y345" i="2"/>
  <c r="BN359" i="2"/>
  <c r="Y360" i="2"/>
  <c r="BN371" i="2"/>
  <c r="BN373" i="2"/>
  <c r="BP376" i="2"/>
  <c r="BN381" i="2"/>
  <c r="BN383" i="2"/>
  <c r="BP386" i="2"/>
  <c r="BN387" i="2"/>
  <c r="BN391" i="2"/>
  <c r="BN393" i="2"/>
  <c r="BN407" i="2"/>
  <c r="BP425" i="2"/>
  <c r="BN431" i="2"/>
  <c r="BP432" i="2"/>
  <c r="BP499" i="2"/>
  <c r="BP514" i="2"/>
  <c r="BP548" i="2"/>
  <c r="Y550" i="2"/>
  <c r="Y96" i="2"/>
  <c r="Y113" i="2"/>
  <c r="BP110" i="2"/>
  <c r="BN136" i="2"/>
  <c r="BP153" i="2"/>
  <c r="Y169" i="2"/>
  <c r="Y187" i="2"/>
  <c r="Y233" i="2"/>
  <c r="BP255" i="2"/>
  <c r="BP283" i="2"/>
  <c r="BP341" i="2"/>
  <c r="BP355" i="2"/>
  <c r="BP365" i="2"/>
  <c r="Y421" i="2"/>
  <c r="BP418" i="2"/>
  <c r="Y427" i="2"/>
  <c r="BP489" i="2"/>
  <c r="AA575" i="2"/>
  <c r="BP534" i="2"/>
  <c r="Y79" i="2"/>
  <c r="BP99" i="2"/>
  <c r="BP120" i="2"/>
  <c r="Z126" i="2"/>
  <c r="Z159" i="2"/>
  <c r="Z160" i="2" s="1"/>
  <c r="BP159" i="2"/>
  <c r="BN199" i="2"/>
  <c r="Y200" i="2"/>
  <c r="Z210" i="2"/>
  <c r="BN211" i="2"/>
  <c r="Z227" i="2"/>
  <c r="Z231" i="2"/>
  <c r="BN268" i="2"/>
  <c r="Z280" i="2"/>
  <c r="Z287" i="2"/>
  <c r="Z311" i="2"/>
  <c r="Z312" i="2" s="1"/>
  <c r="BP311" i="2"/>
  <c r="Y352" i="2"/>
  <c r="Z359" i="2"/>
  <c r="Z360" i="2" s="1"/>
  <c r="Z371" i="2"/>
  <c r="BP371" i="2"/>
  <c r="Z373" i="2"/>
  <c r="BN376" i="2"/>
  <c r="Z381" i="2"/>
  <c r="BP381" i="2"/>
  <c r="Z383" i="2"/>
  <c r="BN386" i="2"/>
  <c r="Z391" i="2"/>
  <c r="BP391" i="2"/>
  <c r="Z393" i="2"/>
  <c r="Y401" i="2"/>
  <c r="Z400" i="2"/>
  <c r="Z407" i="2"/>
  <c r="Y414" i="2"/>
  <c r="V575" i="2"/>
  <c r="Z431" i="2"/>
  <c r="Z446" i="2"/>
  <c r="Z469" i="2"/>
  <c r="Z470" i="2" s="1"/>
  <c r="Y500" i="2"/>
  <c r="BN514" i="2"/>
  <c r="BP524" i="2"/>
  <c r="Z540" i="2"/>
  <c r="Z541" i="2" s="1"/>
  <c r="BN548" i="2"/>
  <c r="Y549" i="2"/>
  <c r="BP119" i="2"/>
  <c r="BN119" i="2"/>
  <c r="BP236" i="2"/>
  <c r="BN236" i="2"/>
  <c r="Y242" i="2"/>
  <c r="Z236" i="2"/>
  <c r="Y241" i="2"/>
  <c r="Y338" i="2"/>
  <c r="BP334" i="2"/>
  <c r="Y337" i="2"/>
  <c r="BN334" i="2"/>
  <c r="Z334" i="2"/>
  <c r="Q575" i="2"/>
  <c r="Y464" i="2"/>
  <c r="BP462" i="2"/>
  <c r="BN462" i="2"/>
  <c r="Y526" i="2"/>
  <c r="BP522" i="2"/>
  <c r="Y525" i="2"/>
  <c r="BN522" i="2"/>
  <c r="Z522" i="2"/>
  <c r="Z119" i="2"/>
  <c r="BP142" i="2"/>
  <c r="BN142" i="2"/>
  <c r="Z154" i="2"/>
  <c r="Y217" i="2"/>
  <c r="BP216" i="2"/>
  <c r="BN216" i="2"/>
  <c r="Z216" i="2"/>
  <c r="Z217" i="2" s="1"/>
  <c r="L575" i="2"/>
  <c r="BP228" i="2"/>
  <c r="BN228" i="2"/>
  <c r="Z245" i="2"/>
  <c r="Y309" i="2"/>
  <c r="Y308" i="2"/>
  <c r="BP307" i="2"/>
  <c r="Y434" i="2"/>
  <c r="BN433" i="2"/>
  <c r="AB575" i="2"/>
  <c r="BP512" i="2"/>
  <c r="BN512" i="2"/>
  <c r="Z512" i="2"/>
  <c r="B575" i="2"/>
  <c r="Z108" i="2"/>
  <c r="Z111" i="2"/>
  <c r="Z142" i="2"/>
  <c r="Z143" i="2" s="1"/>
  <c r="BP166" i="2"/>
  <c r="BN166" i="2"/>
  <c r="BP207" i="2"/>
  <c r="BN207" i="2"/>
  <c r="Z225" i="2"/>
  <c r="Z228" i="2"/>
  <c r="Z433" i="2"/>
  <c r="BN84" i="2"/>
  <c r="BP366" i="2"/>
  <c r="T575" i="2"/>
  <c r="Z366" i="2"/>
  <c r="BP394" i="2"/>
  <c r="BN394" i="2"/>
  <c r="Z406" i="2"/>
  <c r="Y454" i="2"/>
  <c r="BP450" i="2"/>
  <c r="Y453" i="2"/>
  <c r="BN450" i="2"/>
  <c r="Z450" i="2"/>
  <c r="Y536" i="2"/>
  <c r="BP532" i="2"/>
  <c r="Y535" i="2"/>
  <c r="BN532" i="2"/>
  <c r="Z532" i="2"/>
  <c r="BP186" i="2"/>
  <c r="BN186" i="2"/>
  <c r="X566" i="2"/>
  <c r="BN108" i="2"/>
  <c r="BN111" i="2"/>
  <c r="BP137" i="2"/>
  <c r="BN137" i="2"/>
  <c r="Z177" i="2"/>
  <c r="Z180" i="2"/>
  <c r="Z183" i="2"/>
  <c r="Z186" i="2"/>
  <c r="BN225" i="2"/>
  <c r="Z240" i="2"/>
  <c r="BP269" i="2"/>
  <c r="BN269" i="2"/>
  <c r="Z269" i="2"/>
  <c r="BP302" i="2"/>
  <c r="BN302" i="2"/>
  <c r="BN307" i="2"/>
  <c r="BP325" i="2"/>
  <c r="BN325" i="2"/>
  <c r="Z394" i="2"/>
  <c r="Z30" i="2"/>
  <c r="BP35" i="2"/>
  <c r="BN53" i="2"/>
  <c r="BN63" i="2"/>
  <c r="Z63" i="2"/>
  <c r="Y86" i="2"/>
  <c r="Y85" i="2"/>
  <c r="BN82" i="2"/>
  <c r="BP84" i="2"/>
  <c r="Z137" i="2"/>
  <c r="Z138" i="2" s="1"/>
  <c r="BP154" i="2"/>
  <c r="BP245" i="2"/>
  <c r="Z266" i="2"/>
  <c r="BP281" i="2"/>
  <c r="BN281" i="2"/>
  <c r="Z299" i="2"/>
  <c r="Z302" i="2"/>
  <c r="Z325" i="2"/>
  <c r="BN366" i="2"/>
  <c r="BN406" i="2"/>
  <c r="BP412" i="2"/>
  <c r="BN412" i="2"/>
  <c r="Z412" i="2"/>
  <c r="Z414" i="2" s="1"/>
  <c r="BP433" i="2"/>
  <c r="BN22" i="2"/>
  <c r="BN27" i="2"/>
  <c r="BP60" i="2"/>
  <c r="Z60" i="2"/>
  <c r="BN30" i="2"/>
  <c r="Y47" i="2"/>
  <c r="BP53" i="2"/>
  <c r="Z82" i="2"/>
  <c r="Z85" i="2" s="1"/>
  <c r="BP108" i="2"/>
  <c r="BN117" i="2"/>
  <c r="Z117" i="2"/>
  <c r="I575" i="2"/>
  <c r="Y157" i="2"/>
  <c r="Y156" i="2"/>
  <c r="BN177" i="2"/>
  <c r="BN180" i="2"/>
  <c r="BN183" i="2"/>
  <c r="Y218" i="2"/>
  <c r="BP225" i="2"/>
  <c r="BN240" i="2"/>
  <c r="Z278" i="2"/>
  <c r="Z281" i="2"/>
  <c r="Z316" i="2"/>
  <c r="Y319" i="2"/>
  <c r="Y346" i="2"/>
  <c r="BP342" i="2"/>
  <c r="Z342" i="2"/>
  <c r="W575" i="2"/>
  <c r="Z457" i="2"/>
  <c r="Y506" i="2"/>
  <c r="BP505" i="2"/>
  <c r="BN505" i="2"/>
  <c r="BP517" i="2"/>
  <c r="BN517" i="2"/>
  <c r="BP22" i="2"/>
  <c r="Y133" i="2"/>
  <c r="Y132" i="2"/>
  <c r="BP131" i="2"/>
  <c r="Y144" i="2"/>
  <c r="Y197" i="2"/>
  <c r="Y196" i="2"/>
  <c r="BP246" i="2"/>
  <c r="BN246" i="2"/>
  <c r="Z246" i="2"/>
  <c r="Z434" i="2"/>
  <c r="BP445" i="2"/>
  <c r="BN445" i="2"/>
  <c r="BP27" i="2"/>
  <c r="X569" i="2"/>
  <c r="Y55" i="2"/>
  <c r="D575" i="2"/>
  <c r="BP51" i="2"/>
  <c r="BP54" i="2"/>
  <c r="BN54" i="2"/>
  <c r="BP63" i="2"/>
  <c r="Z77" i="2"/>
  <c r="G575" i="2"/>
  <c r="BP106" i="2"/>
  <c r="BP109" i="2"/>
  <c r="BN109" i="2"/>
  <c r="Z131" i="2"/>
  <c r="Z132" i="2" s="1"/>
  <c r="Z155" i="2"/>
  <c r="J575" i="2"/>
  <c r="BP177" i="2"/>
  <c r="Z195" i="2"/>
  <c r="Z196" i="2" s="1"/>
  <c r="BP226" i="2"/>
  <c r="BN226" i="2"/>
  <c r="Z226" i="2"/>
  <c r="Y263" i="2"/>
  <c r="Y262" i="2"/>
  <c r="BP261" i="2"/>
  <c r="BN261" i="2"/>
  <c r="BN316" i="2"/>
  <c r="BN342" i="2"/>
  <c r="Z445" i="2"/>
  <c r="BN457" i="2"/>
  <c r="Y475" i="2"/>
  <c r="Y474" i="2"/>
  <c r="BP473" i="2"/>
  <c r="BN473" i="2"/>
  <c r="Z473" i="2"/>
  <c r="Z474" i="2" s="1"/>
  <c r="Y23" i="2"/>
  <c r="BP82" i="2"/>
  <c r="Z106" i="2"/>
  <c r="Z109" i="2"/>
  <c r="BP117" i="2"/>
  <c r="Y148" i="2"/>
  <c r="BN152" i="2"/>
  <c r="Y188" i="2"/>
  <c r="K575" i="2"/>
  <c r="BP205" i="2"/>
  <c r="BN205" i="2"/>
  <c r="Z205" i="2"/>
  <c r="Z220" i="2"/>
  <c r="Z223" i="2"/>
  <c r="Z261" i="2"/>
  <c r="Z262" i="2" s="1"/>
  <c r="Y357" i="2"/>
  <c r="Y356" i="2"/>
  <c r="S575" i="2"/>
  <c r="BN355" i="2"/>
  <c r="Y395" i="2"/>
  <c r="X575" i="2"/>
  <c r="BN442" i="2"/>
  <c r="BP487" i="2"/>
  <c r="BN487" i="2"/>
  <c r="Z487" i="2"/>
  <c r="BN245" i="2"/>
  <c r="X565" i="2"/>
  <c r="BN131" i="2"/>
  <c r="BN155" i="2"/>
  <c r="BP181" i="2"/>
  <c r="BN181" i="2"/>
  <c r="Z181" i="2"/>
  <c r="BN195" i="2"/>
  <c r="Y465" i="2"/>
  <c r="Z116" i="2"/>
  <c r="Z22" i="2"/>
  <c r="Z23" i="2" s="1"/>
  <c r="Y24" i="2"/>
  <c r="Y36" i="2"/>
  <c r="Z64" i="2"/>
  <c r="Y121" i="2"/>
  <c r="Z178" i="2"/>
  <c r="Y192" i="2"/>
  <c r="BP238" i="2"/>
  <c r="BN238" i="2"/>
  <c r="Z256" i="2"/>
  <c r="Z257" i="2" s="1"/>
  <c r="BP297" i="2"/>
  <c r="O575" i="2"/>
  <c r="BP300" i="2"/>
  <c r="BN300" i="2"/>
  <c r="Z300" i="2"/>
  <c r="BP323" i="2"/>
  <c r="BN323" i="2"/>
  <c r="Z323" i="2"/>
  <c r="Y331" i="2"/>
  <c r="P575" i="2"/>
  <c r="BP336" i="2"/>
  <c r="BN336" i="2"/>
  <c r="Y368" i="2"/>
  <c r="BP374" i="2"/>
  <c r="BN374" i="2"/>
  <c r="BP171" i="2"/>
  <c r="BN171" i="2"/>
  <c r="Z171" i="2"/>
  <c r="Y67" i="2"/>
  <c r="BN77" i="2"/>
  <c r="Z34" i="2"/>
  <c r="BN41" i="2"/>
  <c r="BN44" i="2"/>
  <c r="Z118" i="2"/>
  <c r="Y143" i="2"/>
  <c r="Z190" i="2"/>
  <c r="BP195" i="2"/>
  <c r="Z230" i="2"/>
  <c r="Z238" i="2"/>
  <c r="Y288" i="2"/>
  <c r="BP276" i="2"/>
  <c r="BN279" i="2"/>
  <c r="BP279" i="2"/>
  <c r="Z279" i="2"/>
  <c r="Y289" i="2"/>
  <c r="Z297" i="2"/>
  <c r="Z336" i="2"/>
  <c r="Z374" i="2"/>
  <c r="Y409" i="2"/>
  <c r="Y408" i="2"/>
  <c r="BP404" i="2"/>
  <c r="BN404" i="2"/>
  <c r="Z404" i="2"/>
  <c r="Z452" i="2"/>
  <c r="Y470" i="2"/>
  <c r="Y575" i="2"/>
  <c r="BP468" i="2"/>
  <c r="BN468" i="2"/>
  <c r="Y351" i="2"/>
  <c r="BP349" i="2"/>
  <c r="Y519" i="2"/>
  <c r="Y68" i="2"/>
  <c r="Y168" i="2"/>
  <c r="BN34" i="2"/>
  <c r="BP41" i="2"/>
  <c r="BN52" i="2"/>
  <c r="Z52" i="2"/>
  <c r="Z55" i="2" s="1"/>
  <c r="Y56" i="2"/>
  <c r="BN107" i="2"/>
  <c r="Z107" i="2"/>
  <c r="BN118" i="2"/>
  <c r="Y122" i="2"/>
  <c r="BP146" i="2"/>
  <c r="Z165" i="2"/>
  <c r="Y174" i="2"/>
  <c r="BN190" i="2"/>
  <c r="Y212" i="2"/>
  <c r="BN230" i="2"/>
  <c r="Y252" i="2"/>
  <c r="Y251" i="2"/>
  <c r="BP250" i="2"/>
  <c r="BP291" i="2"/>
  <c r="BN291" i="2"/>
  <c r="BN297" i="2"/>
  <c r="Y304" i="2"/>
  <c r="Z327" i="2"/>
  <c r="Y330" i="2"/>
  <c r="Z349" i="2"/>
  <c r="BN452" i="2"/>
  <c r="Y247" i="2"/>
  <c r="BP64" i="2"/>
  <c r="BP70" i="2"/>
  <c r="Z70" i="2"/>
  <c r="BN73" i="2"/>
  <c r="Z73" i="2"/>
  <c r="H575" i="2"/>
  <c r="Y138" i="2"/>
  <c r="BN141" i="2"/>
  <c r="BN209" i="2"/>
  <c r="BP256" i="2"/>
  <c r="BP271" i="2"/>
  <c r="BN271" i="2"/>
  <c r="BN276" i="2"/>
  <c r="Y507" i="2"/>
  <c r="BP191" i="2"/>
  <c r="BN191" i="2"/>
  <c r="Z191" i="2"/>
  <c r="BN116" i="2"/>
  <c r="Y114" i="2"/>
  <c r="BP124" i="2"/>
  <c r="BN124" i="2"/>
  <c r="Z124" i="2"/>
  <c r="BP147" i="2"/>
  <c r="BN147" i="2"/>
  <c r="Z147" i="2"/>
  <c r="Z148" i="2" s="1"/>
  <c r="BN165" i="2"/>
  <c r="BP190" i="2"/>
  <c r="Y234" i="2"/>
  <c r="Z271" i="2"/>
  <c r="Z344" i="2"/>
  <c r="BN349" i="2"/>
  <c r="BP384" i="2"/>
  <c r="BN384" i="2"/>
  <c r="Y447" i="2"/>
  <c r="BP440" i="2"/>
  <c r="BN440" i="2"/>
  <c r="Z440" i="2"/>
  <c r="Y460" i="2"/>
  <c r="Y492" i="2"/>
  <c r="Y520" i="2"/>
  <c r="Z35" i="2"/>
  <c r="Y37" i="2"/>
  <c r="Y32" i="2"/>
  <c r="A10" i="2"/>
  <c r="J9" i="2"/>
  <c r="H9" i="2"/>
  <c r="F9" i="2"/>
  <c r="BP34" i="2"/>
  <c r="BP42" i="2"/>
  <c r="BN42" i="2"/>
  <c r="E575" i="2"/>
  <c r="BP98" i="2"/>
  <c r="BN98" i="2"/>
  <c r="F10" i="2"/>
  <c r="Z42" i="2"/>
  <c r="Z46" i="2" s="1"/>
  <c r="Z59" i="2"/>
  <c r="BP65" i="2"/>
  <c r="BN65" i="2"/>
  <c r="BN70" i="2"/>
  <c r="Z93" i="2"/>
  <c r="Z98" i="2"/>
  <c r="Z102" i="2" s="1"/>
  <c r="BP141" i="2"/>
  <c r="Y213" i="2"/>
  <c r="Y305" i="2"/>
  <c r="Z384" i="2"/>
  <c r="Y415" i="2"/>
  <c r="BP411" i="2"/>
  <c r="Y559" i="2"/>
  <c r="Z544" i="2"/>
  <c r="Z545" i="2" s="1"/>
  <c r="Z556" i="2"/>
  <c r="Z377" i="2"/>
  <c r="Z387" i="2"/>
  <c r="Z419" i="2"/>
  <c r="Z478" i="2"/>
  <c r="Z490" i="2"/>
  <c r="Z503" i="2"/>
  <c r="Z515" i="2"/>
  <c r="Z562" i="2"/>
  <c r="Z563" i="2" s="1"/>
  <c r="R575" i="2"/>
  <c r="Z372" i="2"/>
  <c r="Z382" i="2"/>
  <c r="Z392" i="2"/>
  <c r="Z395" i="2" s="1"/>
  <c r="Z425" i="2"/>
  <c r="Z427" i="2" s="1"/>
  <c r="Z485" i="2"/>
  <c r="Z530" i="2"/>
  <c r="BN544" i="2"/>
  <c r="BN556" i="2"/>
  <c r="BN392" i="2"/>
  <c r="Z458" i="2"/>
  <c r="BN485" i="2"/>
  <c r="Z518" i="2"/>
  <c r="BP544" i="2"/>
  <c r="BP556" i="2"/>
  <c r="U575" i="2"/>
  <c r="Z28" i="2"/>
  <c r="Z153" i="2"/>
  <c r="Z156" i="2" s="1"/>
  <c r="Z176" i="2"/>
  <c r="Z221" i="2"/>
  <c r="Y257" i="2"/>
  <c r="Z350" i="2"/>
  <c r="Z364" i="2"/>
  <c r="Z375" i="2"/>
  <c r="Z385" i="2"/>
  <c r="Z417" i="2"/>
  <c r="Z463" i="2"/>
  <c r="Z464" i="2" s="1"/>
  <c r="Z488" i="2"/>
  <c r="BP503" i="2"/>
  <c r="Z513" i="2"/>
  <c r="Z523" i="2"/>
  <c r="Z533" i="2"/>
  <c r="BP562" i="2"/>
  <c r="BN518" i="2"/>
  <c r="Y545" i="2"/>
  <c r="BN458" i="2"/>
  <c r="Y31" i="2"/>
  <c r="Z127" i="2"/>
  <c r="Z164" i="2"/>
  <c r="Z184" i="2"/>
  <c r="Z208" i="2"/>
  <c r="Z229" i="2"/>
  <c r="Z239" i="2"/>
  <c r="Z272" i="2"/>
  <c r="Z282" i="2"/>
  <c r="Z292" i="2"/>
  <c r="Z293" i="2" s="1"/>
  <c r="Z303" i="2"/>
  <c r="Z315" i="2"/>
  <c r="Z326" i="2"/>
  <c r="BN364" i="2"/>
  <c r="Y367" i="2"/>
  <c r="BN375" i="2"/>
  <c r="Y378" i="2"/>
  <c r="BN385" i="2"/>
  <c r="Y388" i="2"/>
  <c r="Z405" i="2"/>
  <c r="BN417" i="2"/>
  <c r="Y420" i="2"/>
  <c r="Z441" i="2"/>
  <c r="Z451" i="2"/>
  <c r="BN463" i="2"/>
  <c r="BN488" i="2"/>
  <c r="Y491" i="2"/>
  <c r="Z499" i="2"/>
  <c r="Z500" i="2" s="1"/>
  <c r="BN513" i="2"/>
  <c r="BN523" i="2"/>
  <c r="BN533" i="2"/>
  <c r="Z557" i="2"/>
  <c r="Y563" i="2"/>
  <c r="BN45" i="2"/>
  <c r="Z78" i="2"/>
  <c r="BN91" i="2"/>
  <c r="BN101" i="2"/>
  <c r="BN112" i="2"/>
  <c r="Z179" i="2"/>
  <c r="Z224" i="2"/>
  <c r="Z244" i="2"/>
  <c r="Z247" i="2" s="1"/>
  <c r="Y258" i="2"/>
  <c r="Z267" i="2"/>
  <c r="Z277" i="2"/>
  <c r="BN287" i="2"/>
  <c r="Z298" i="2"/>
  <c r="Z343" i="2"/>
  <c r="BN400" i="2"/>
  <c r="Y435" i="2"/>
  <c r="BN446" i="2"/>
  <c r="Z456" i="2"/>
  <c r="BN469" i="2"/>
  <c r="Z479" i="2"/>
  <c r="Z504" i="2"/>
  <c r="Z516" i="2"/>
  <c r="BN528" i="2"/>
  <c r="BN540" i="2"/>
  <c r="BN552" i="2"/>
  <c r="F575" i="2"/>
  <c r="BN315" i="2"/>
  <c r="BN326" i="2"/>
  <c r="BP364" i="2"/>
  <c r="BN405" i="2"/>
  <c r="BP417" i="2"/>
  <c r="BN441" i="2"/>
  <c r="BN451" i="2"/>
  <c r="BN499" i="2"/>
  <c r="Z511" i="2"/>
  <c r="Z575" i="2"/>
  <c r="BN164" i="2"/>
  <c r="BN244" i="2"/>
  <c r="Z285" i="2"/>
  <c r="Z318" i="2"/>
  <c r="Z329" i="2"/>
  <c r="BN343" i="2"/>
  <c r="Z398" i="2"/>
  <c r="BN456" i="2"/>
  <c r="Y459" i="2"/>
  <c r="BN479" i="2"/>
  <c r="BN504" i="2"/>
  <c r="BN516" i="2"/>
  <c r="BP540" i="2"/>
  <c r="BP552" i="2"/>
  <c r="Y564" i="2"/>
  <c r="BN398" i="2"/>
  <c r="Y541" i="2"/>
  <c r="Z367" i="2" l="1"/>
  <c r="Z95" i="2"/>
  <c r="Z401" i="2"/>
  <c r="Z378" i="2"/>
  <c r="Z345" i="2"/>
  <c r="Z173" i="2"/>
  <c r="Z113" i="2"/>
  <c r="X568" i="2"/>
  <c r="Z67" i="2"/>
  <c r="Z36" i="2"/>
  <c r="Z288" i="2"/>
  <c r="Z319" i="2"/>
  <c r="Z558" i="2"/>
  <c r="Z74" i="2"/>
  <c r="Z408" i="2"/>
  <c r="Z337" i="2"/>
  <c r="Z535" i="2"/>
  <c r="Z447" i="2"/>
  <c r="Z128" i="2"/>
  <c r="Z351" i="2"/>
  <c r="Z192" i="2"/>
  <c r="Z31" i="2"/>
  <c r="Z388" i="2"/>
  <c r="Z420" i="2"/>
  <c r="Y565" i="2"/>
  <c r="Y569" i="2"/>
  <c r="Z330" i="2"/>
  <c r="Z121" i="2"/>
  <c r="Y567" i="2"/>
  <c r="Z241" i="2"/>
  <c r="Z525" i="2"/>
  <c r="Z233" i="2"/>
  <c r="Z273" i="2"/>
  <c r="Z212" i="2"/>
  <c r="Z187" i="2"/>
  <c r="Z491" i="2"/>
  <c r="Z304" i="2"/>
  <c r="Z79" i="2"/>
  <c r="Z459" i="2"/>
  <c r="Z453" i="2"/>
  <c r="Z168" i="2"/>
  <c r="Z506" i="2"/>
  <c r="Z519" i="2"/>
  <c r="Z480" i="2"/>
  <c r="Y566" i="2"/>
  <c r="Z570" i="2" l="1"/>
  <c r="Y568" i="2"/>
</calcChain>
</file>

<file path=xl/sharedStrings.xml><?xml version="1.0" encoding="utf-8"?>
<sst xmlns="http://schemas.openxmlformats.org/spreadsheetml/2006/main" count="4253" uniqueCount="898">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</sst>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897</v>
      </c>
      <c r="I5" s="986"/>
      <c r="J5" s="986"/>
      <c r="K5" s="986"/>
      <c r="L5" s="986"/>
      <c r="M5" s="986"/>
      <c r="N5" s="72"/>
      <c r="P5" s="27" t="s">
        <v>4</v>
      </c>
      <c r="Q5" s="988">
        <v>46322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879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Вторник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170</v>
      </c>
      <c r="Y51" s="55">
        <f>IFERROR(IF(X51="",0,CEILING((X51/$H51),1)*$H51),"")</f>
        <v>172.8</v>
      </c>
      <c r="Z51" s="41">
        <f>IFERROR(IF(Y51=0,"",ROUNDUP(Y51/H51,0)*0.01898),"")</f>
        <v>0.30368000000000001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176.4537037037037</v>
      </c>
      <c r="BN51" s="78">
        <f>IFERROR(Y51*I51/H51,"0")</f>
        <v>179.36</v>
      </c>
      <c r="BO51" s="78">
        <f>IFERROR(1/J51*(X51/H51),"0")</f>
        <v>0.24594907407407407</v>
      </c>
      <c r="BP51" s="78">
        <f>IFERROR(1/J51*(Y51/H51),"0")</f>
        <v>0.25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160</v>
      </c>
      <c r="Y53" s="55">
        <f>IFERROR(IF(X53="",0,CEILING((X53/$H53),1)*$H53),"")</f>
        <v>160</v>
      </c>
      <c r="Z53" s="41">
        <f>IFERROR(IF(Y53=0,"",ROUNDUP(Y53/H53,0)*0.00902),"")</f>
        <v>0.36080000000000001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167.60000000000002</v>
      </c>
      <c r="BN53" s="78">
        <f>IFERROR(Y53*I53/H53,"0")</f>
        <v>167.60000000000002</v>
      </c>
      <c r="BO53" s="78">
        <f>IFERROR(1/J53*(X53/H53),"0")</f>
        <v>0.30303030303030304</v>
      </c>
      <c r="BP53" s="78">
        <f>IFERROR(1/J53*(Y53/H53),"0")</f>
        <v>0.30303030303030304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55.74074074074074</v>
      </c>
      <c r="Y55" s="43">
        <f>IFERROR(Y51/H51,"0")+IFERROR(Y52/H52,"0")+IFERROR(Y53/H53,"0")+IFERROR(Y54/H54,"0")</f>
        <v>56</v>
      </c>
      <c r="Z55" s="43">
        <f>IFERROR(IF(Z51="",0,Z51),"0")+IFERROR(IF(Z52="",0,Z52),"0")+IFERROR(IF(Z53="",0,Z53),"0")+IFERROR(IF(Z54="",0,Z54),"0")</f>
        <v>0.66447999999999996</v>
      </c>
      <c r="AA55" s="67"/>
      <c r="AB55" s="67"/>
      <c r="AC55" s="67"/>
    </row>
    <row r="56" spans="1:68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330</v>
      </c>
      <c r="Y56" s="43">
        <f>IFERROR(SUM(Y51:Y54),"0")</f>
        <v>332.8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100</v>
      </c>
      <c r="Y60" s="55">
        <f t="shared" si="0"/>
        <v>108</v>
      </c>
      <c r="Z60" s="41">
        <f>IFERROR(IF(Y60=0,"",ROUNDUP(Y60/H60,0)*0.01898),"")</f>
        <v>0.1898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103.79629629629629</v>
      </c>
      <c r="BN60" s="78">
        <f t="shared" si="2"/>
        <v>112.1</v>
      </c>
      <c r="BO60" s="78">
        <f t="shared" si="3"/>
        <v>0.14467592592592593</v>
      </c>
      <c r="BP60" s="78">
        <f t="shared" si="4"/>
        <v>0.15625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315</v>
      </c>
      <c r="Y66" s="55">
        <f t="shared" si="0"/>
        <v>315</v>
      </c>
      <c r="Z66" s="41">
        <f>IFERROR(IF(Y66=0,"",ROUNDUP(Y66/H66,0)*0.00902),"")</f>
        <v>0.63139999999999996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328.3</v>
      </c>
      <c r="BN66" s="78">
        <f t="shared" si="2"/>
        <v>328.3</v>
      </c>
      <c r="BO66" s="78">
        <f t="shared" si="3"/>
        <v>0.53030303030303028</v>
      </c>
      <c r="BP66" s="78">
        <f t="shared" si="4"/>
        <v>0.53030303030303028</v>
      </c>
    </row>
    <row r="67" spans="1:68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79.259259259259267</v>
      </c>
      <c r="Y67" s="43">
        <f>IFERROR(Y59/H59,"0")+IFERROR(Y60/H60,"0")+IFERROR(Y61/H61,"0")+IFERROR(Y62/H62,"0")+IFERROR(Y63/H63,"0")+IFERROR(Y64/H64,"0")+IFERROR(Y65/H65,"0")+IFERROR(Y66/H66,"0")</f>
        <v>80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0.82119999999999993</v>
      </c>
      <c r="AA67" s="67"/>
      <c r="AB67" s="67"/>
      <c r="AC67" s="67"/>
    </row>
    <row r="68" spans="1:68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415</v>
      </c>
      <c r="Y68" s="43">
        <f>IFERROR(SUM(Y59:Y66),"0")</f>
        <v>423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37.962962962962962</v>
      </c>
      <c r="Y74" s="43">
        <f>IFERROR(Y70/H70,"0")+IFERROR(Y71/H71,"0")+IFERROR(Y72/H72,"0")+IFERROR(Y73/H73,"0")</f>
        <v>39</v>
      </c>
      <c r="Z74" s="43">
        <f>IFERROR(IF(Z70="",0,Z70),"0")+IFERROR(IF(Z71="",0,Z71),"0")+IFERROR(IF(Z72="",0,Z72),"0")+IFERROR(IF(Z73="",0,Z73),"0")</f>
        <v>0.31624000000000002</v>
      </c>
      <c r="AA74" s="67"/>
      <c r="AB74" s="67"/>
      <c r="AC74" s="67"/>
    </row>
    <row r="75" spans="1:68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140</v>
      </c>
      <c r="Y75" s="43">
        <f>IFERROR(SUM(Y70:Y73),"0")</f>
        <v>145.80000000000001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20</v>
      </c>
      <c r="Y82" s="55">
        <f>IFERROR(IF(X82="",0,CEILING((X82/$H82),1)*$H82),"")</f>
        <v>23.4</v>
      </c>
      <c r="Z82" s="41">
        <f>IFERROR(IF(Y82=0,"",ROUNDUP(Y82/H82,0)*0.01898),"")</f>
        <v>5.6940000000000004E-2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21.051282051282055</v>
      </c>
      <c r="BN82" s="78">
        <f>IFERROR(Y82*I82/H82,"0")</f>
        <v>24.630000000000003</v>
      </c>
      <c r="BO82" s="78">
        <f>IFERROR(1/J82*(X82/H82),"0")</f>
        <v>4.0064102564102567E-2</v>
      </c>
      <c r="BP82" s="78">
        <f>IFERROR(1/J82*(Y82/H82),"0")</f>
        <v>4.6875E-2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2.5641025641025643</v>
      </c>
      <c r="Y85" s="43">
        <f>IFERROR(Y82/H82,"0")+IFERROR(Y83/H83,"0")+IFERROR(Y84/H84,"0")</f>
        <v>3</v>
      </c>
      <c r="Z85" s="43">
        <f>IFERROR(IF(Z82="",0,Z82),"0")+IFERROR(IF(Z83="",0,Z83),"0")+IFERROR(IF(Z84="",0,Z84),"0")</f>
        <v>5.6940000000000004E-2</v>
      </c>
      <c r="AA85" s="67"/>
      <c r="AB85" s="67"/>
      <c r="AC85" s="67"/>
    </row>
    <row r="86" spans="1:68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20</v>
      </c>
      <c r="Y86" s="43">
        <f>IFERROR(SUM(Y82:Y84),"0")</f>
        <v>23.4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120</v>
      </c>
      <c r="Y89" s="55">
        <f t="shared" ref="Y89:Y94" si="5">IFERROR(IF(X89="",0,CEILING((X89/$H89),1)*$H89),"")</f>
        <v>129.60000000000002</v>
      </c>
      <c r="Z89" s="41">
        <f>IFERROR(IF(Y89=0,"",ROUNDUP(Y89/H89,0)*0.01898),"")</f>
        <v>0.22776000000000002</v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124.55555555555556</v>
      </c>
      <c r="BN89" s="78">
        <f t="shared" ref="BN89:BN94" si="7">IFERROR(Y89*I89/H89,"0")</f>
        <v>134.52000000000001</v>
      </c>
      <c r="BO89" s="78">
        <f t="shared" ref="BO89:BO94" si="8">IFERROR(1/J89*(X89/H89),"0")</f>
        <v>0.1736111111111111</v>
      </c>
      <c r="BP89" s="78">
        <f t="shared" ref="BP89:BP94" si="9">IFERROR(1/J89*(Y89/H89),"0")</f>
        <v>0.18750000000000003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382</v>
      </c>
      <c r="Y94" s="55">
        <f t="shared" si="5"/>
        <v>382.5</v>
      </c>
      <c r="Z94" s="41">
        <f>IFERROR(IF(Y94=0,"",ROUNDUP(Y94/H94,0)*0.00902),"")</f>
        <v>0.76670000000000005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398.12888888888892</v>
      </c>
      <c r="BN94" s="78">
        <f t="shared" si="7"/>
        <v>398.65000000000003</v>
      </c>
      <c r="BO94" s="78">
        <f t="shared" si="8"/>
        <v>0.64309764309764306</v>
      </c>
      <c r="BP94" s="78">
        <f t="shared" si="9"/>
        <v>0.64393939393939392</v>
      </c>
    </row>
    <row r="95" spans="1:68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96</v>
      </c>
      <c r="Y95" s="43">
        <f>IFERROR(Y89/H89,"0")+IFERROR(Y90/H90,"0")+IFERROR(Y91/H91,"0")+IFERROR(Y92/H92,"0")+IFERROR(Y93/H93,"0")+IFERROR(Y94/H94,"0")</f>
        <v>97</v>
      </c>
      <c r="Z95" s="43">
        <f>IFERROR(IF(Z89="",0,Z89),"0")+IFERROR(IF(Z90="",0,Z90),"0")+IFERROR(IF(Z91="",0,Z91),"0")+IFERROR(IF(Z92="",0,Z92),"0")+IFERROR(IF(Z93="",0,Z93),"0")+IFERROR(IF(Z94="",0,Z94),"0")</f>
        <v>0.99446000000000012</v>
      </c>
      <c r="AA95" s="67"/>
      <c r="AB95" s="67"/>
      <c r="AC95" s="67"/>
    </row>
    <row r="96" spans="1:68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502</v>
      </c>
      <c r="Y96" s="43">
        <f>IFERROR(SUM(Y89:Y94),"0")</f>
        <v>512.1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250</v>
      </c>
      <c r="Y98" s="55">
        <f>IFERROR(IF(X98="",0,CEILING((X98/$H98),1)*$H98),"")</f>
        <v>251.1</v>
      </c>
      <c r="Z98" s="41">
        <f>IFERROR(IF(Y98=0,"",ROUNDUP(Y98/H98,0)*0.01898),"")</f>
        <v>0.58838000000000001</v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265.24691358024694</v>
      </c>
      <c r="BN98" s="78">
        <f>IFERROR(Y98*I98/H98,"0")</f>
        <v>266.41399999999999</v>
      </c>
      <c r="BO98" s="78">
        <f>IFERROR(1/J98*(X98/H98),"0")</f>
        <v>0.48225308641975312</v>
      </c>
      <c r="BP98" s="78">
        <f>IFERROR(1/J98*(Y98/H98),"0")</f>
        <v>0.484375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360</v>
      </c>
      <c r="Y100" s="55">
        <f>IFERROR(IF(X100="",0,CEILING((X100/$H100),1)*$H100),"")</f>
        <v>361.8</v>
      </c>
      <c r="Z100" s="41">
        <f>IFERROR(IF(Y100=0,"",ROUNDUP(Y100/H100,0)*0.00651),"")</f>
        <v>0.87234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393.59999999999997</v>
      </c>
      <c r="BN100" s="78">
        <f>IFERROR(Y100*I100/H100,"0")</f>
        <v>395.56799999999998</v>
      </c>
      <c r="BO100" s="78">
        <f>IFERROR(1/J100*(X100/H100),"0")</f>
        <v>0.73260073260073255</v>
      </c>
      <c r="BP100" s="78">
        <f>IFERROR(1/J100*(Y100/H100),"0")</f>
        <v>0.73626373626373631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164.19753086419752</v>
      </c>
      <c r="Y102" s="43">
        <f>IFERROR(Y98/H98,"0")+IFERROR(Y99/H99,"0")+IFERROR(Y100/H100,"0")+IFERROR(Y101/H101,"0")</f>
        <v>165</v>
      </c>
      <c r="Z102" s="43">
        <f>IFERROR(IF(Z98="",0,Z98),"0")+IFERROR(IF(Z99="",0,Z99),"0")+IFERROR(IF(Z100="",0,Z100),"0")+IFERROR(IF(Z101="",0,Z101),"0")</f>
        <v>1.46072</v>
      </c>
      <c r="AA102" s="67"/>
      <c r="AB102" s="67"/>
      <c r="AC102" s="67"/>
    </row>
    <row r="103" spans="1:68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610</v>
      </c>
      <c r="Y103" s="43">
        <f>IFERROR(SUM(Y98:Y101),"0")</f>
        <v>612.9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30</v>
      </c>
      <c r="Y106" s="55">
        <f t="shared" ref="Y106:Y112" si="10">IFERROR(IF(X106="",0,CEILING((X106/$H106),1)*$H106),"")</f>
        <v>32.400000000000006</v>
      </c>
      <c r="Z106" s="41">
        <f>IFERROR(IF(Y106=0,"",ROUNDUP(Y106/H106,0)*0.01898),"")</f>
        <v>5.6940000000000004E-2</v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31.138888888888889</v>
      </c>
      <c r="BN106" s="78">
        <f t="shared" ref="BN106:BN112" si="12">IFERROR(Y106*I106/H106,"0")</f>
        <v>33.630000000000003</v>
      </c>
      <c r="BO106" s="78">
        <f t="shared" ref="BO106:BO112" si="13">IFERROR(1/J106*(X106/H106),"0")</f>
        <v>4.3402777777777776E-2</v>
      </c>
      <c r="BP106" s="78">
        <f t="shared" ref="BP106:BP112" si="14">IFERROR(1/J106*(Y106/H106),"0")</f>
        <v>4.6875000000000007E-2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360</v>
      </c>
      <c r="Y110" s="55">
        <f t="shared" si="10"/>
        <v>360</v>
      </c>
      <c r="Z110" s="41">
        <f>IFERROR(IF(Y110=0,"",ROUNDUP(Y110/H110,0)*0.00902),"")</f>
        <v>0.72160000000000002</v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375.20000000000005</v>
      </c>
      <c r="BN110" s="78">
        <f t="shared" si="12"/>
        <v>375.20000000000005</v>
      </c>
      <c r="BO110" s="78">
        <f t="shared" si="13"/>
        <v>0.60606060606060608</v>
      </c>
      <c r="BP110" s="78">
        <f t="shared" si="14"/>
        <v>0.60606060606060608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82.777777777777771</v>
      </c>
      <c r="Y113" s="43">
        <f>IFERROR(Y106/H106,"0")+IFERROR(Y107/H107,"0")+IFERROR(Y108/H108,"0")+IFERROR(Y109/H109,"0")+IFERROR(Y110/H110,"0")+IFERROR(Y111/H111,"0")+IFERROR(Y112/H112,"0")</f>
        <v>83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0.77854000000000001</v>
      </c>
      <c r="AA113" s="67"/>
      <c r="AB113" s="67"/>
      <c r="AC113" s="67"/>
    </row>
    <row r="114" spans="1:68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390</v>
      </c>
      <c r="Y114" s="43">
        <f>IFERROR(SUM(Y106:Y112),"0")</f>
        <v>392.4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500</v>
      </c>
      <c r="Y124" s="55">
        <f>IFERROR(IF(X124="",0,CEILING((X124/$H124),1)*$H124),"")</f>
        <v>502.2</v>
      </c>
      <c r="Z124" s="41">
        <f>IFERROR(IF(Y124=0,"",ROUNDUP(Y124/H124,0)*0.01898),"")</f>
        <v>1.17676</v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530.12345679012344</v>
      </c>
      <c r="BN124" s="78">
        <f>IFERROR(Y124*I124/H124,"0")</f>
        <v>532.4559999999999</v>
      </c>
      <c r="BO124" s="78">
        <f>IFERROR(1/J124*(X124/H124),"0")</f>
        <v>0.96450617283950624</v>
      </c>
      <c r="BP124" s="78">
        <f>IFERROR(1/J124*(Y124/H124),"0")</f>
        <v>0.96875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540</v>
      </c>
      <c r="Y126" s="55">
        <f>IFERROR(IF(X126="",0,CEILING((X126/$H126),1)*$H126),"")</f>
        <v>540</v>
      </c>
      <c r="Z126" s="41">
        <f>IFERROR(IF(Y126=0,"",ROUNDUP(Y126/H126,0)*0.00651),"")</f>
        <v>1.302</v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590.4</v>
      </c>
      <c r="BN126" s="78">
        <f>IFERROR(Y126*I126/H126,"0")</f>
        <v>590.4</v>
      </c>
      <c r="BO126" s="78">
        <f>IFERROR(1/J126*(X126/H126),"0")</f>
        <v>1.098901098901099</v>
      </c>
      <c r="BP126" s="78">
        <f>IFERROR(1/J126*(Y126/H126),"0")</f>
        <v>1.098901098901099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261.72839506172841</v>
      </c>
      <c r="Y128" s="43">
        <f>IFERROR(Y124/H124,"0")+IFERROR(Y125/H125,"0")+IFERROR(Y126/H126,"0")+IFERROR(Y127/H127,"0")</f>
        <v>262</v>
      </c>
      <c r="Z128" s="43">
        <f>IFERROR(IF(Z124="",0,Z124),"0")+IFERROR(IF(Z125="",0,Z125),"0")+IFERROR(IF(Z126="",0,Z126),"0")+IFERROR(IF(Z127="",0,Z127),"0")</f>
        <v>2.4787600000000003</v>
      </c>
      <c r="AA128" s="67"/>
      <c r="AB128" s="67"/>
      <c r="AC128" s="67"/>
    </row>
    <row r="129" spans="1:68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1040</v>
      </c>
      <c r="Y129" s="43">
        <f>IFERROR(SUM(Y124:Y127),"0")</f>
        <v>1042.2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40</v>
      </c>
      <c r="Y131" s="55">
        <f>IFERROR(IF(X131="",0,CEILING((X131/$H131),1)*$H131),"")</f>
        <v>41.58</v>
      </c>
      <c r="Z131" s="41">
        <f>IFERROR(IF(Y131=0,"",ROUNDUP(Y131/H131,0)*0.00651),"")</f>
        <v>0.13671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45.212121212121211</v>
      </c>
      <c r="BN131" s="78">
        <f>IFERROR(Y131*I131/H131,"0")</f>
        <v>46.997999999999998</v>
      </c>
      <c r="BO131" s="78">
        <f>IFERROR(1/J131*(X131/H131),"0")</f>
        <v>0.11100011100011101</v>
      </c>
      <c r="BP131" s="78">
        <f>IFERROR(1/J131*(Y131/H131),"0")</f>
        <v>0.11538461538461539</v>
      </c>
    </row>
    <row r="132" spans="1:68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20.202020202020201</v>
      </c>
      <c r="Y132" s="43">
        <f>IFERROR(Y131/H131,"0")</f>
        <v>21</v>
      </c>
      <c r="Z132" s="43">
        <f>IFERROR(IF(Z131="",0,Z131),"0")</f>
        <v>0.13671</v>
      </c>
      <c r="AA132" s="67"/>
      <c r="AB132" s="67"/>
      <c r="AC132" s="67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40</v>
      </c>
      <c r="Y133" s="43">
        <f>IFERROR(SUM(Y131:Y131),"0")</f>
        <v>41.58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40</v>
      </c>
      <c r="Y137" s="55">
        <f>IFERROR(IF(X137="",0,CEILING((X137/$H137),1)*$H137),"")</f>
        <v>41.6</v>
      </c>
      <c r="Z137" s="41">
        <f>IFERROR(IF(Y137=0,"",ROUNDUP(Y137/H137,0)*0.00651),"")</f>
        <v>8.4629999999999997E-2</v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42.249999999999993</v>
      </c>
      <c r="BN137" s="78">
        <f>IFERROR(Y137*I137/H137,"0")</f>
        <v>43.94</v>
      </c>
      <c r="BO137" s="78">
        <f>IFERROR(1/J137*(X137/H137),"0")</f>
        <v>6.8681318681318687E-2</v>
      </c>
      <c r="BP137" s="78">
        <f>IFERROR(1/J137*(Y137/H137),"0")</f>
        <v>7.1428571428571438E-2</v>
      </c>
    </row>
    <row r="138" spans="1:68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12.5</v>
      </c>
      <c r="Y138" s="43">
        <f>IFERROR(Y136/H136,"0")+IFERROR(Y137/H137,"0")</f>
        <v>13</v>
      </c>
      <c r="Z138" s="43">
        <f>IFERROR(IF(Z136="",0,Z136),"0")+IFERROR(IF(Z137="",0,Z137),"0")</f>
        <v>8.4629999999999997E-2</v>
      </c>
      <c r="AA138" s="67"/>
      <c r="AB138" s="67"/>
      <c r="AC138" s="67"/>
    </row>
    <row r="139" spans="1:68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40</v>
      </c>
      <c r="Y139" s="43">
        <f>IFERROR(SUM(Y136:Y137),"0")</f>
        <v>41.6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35</v>
      </c>
      <c r="Y141" s="55">
        <f>IFERROR(IF(X141="",0,CEILING((X141/$H141),1)*$H141),"")</f>
        <v>36.4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38.35</v>
      </c>
      <c r="BN141" s="78">
        <f>IFERROR(Y141*I141/H141,"0")</f>
        <v>39.884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12.5</v>
      </c>
      <c r="Y143" s="43">
        <f>IFERROR(Y141/H141,"0")+IFERROR(Y142/H142,"0")</f>
        <v>13</v>
      </c>
      <c r="Z143" s="43">
        <f>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35</v>
      </c>
      <c r="Y144" s="43">
        <f>IFERROR(SUM(Y141:Y142),"0")</f>
        <v>36.4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33</v>
      </c>
      <c r="Y146" s="55">
        <f>IFERROR(IF(X146="",0,CEILING((X146/$H146),1)*$H146),"")</f>
        <v>34.32</v>
      </c>
      <c r="Z146" s="41">
        <f>IFERROR(IF(Y146=0,"",ROUNDUP(Y146/H146,0)*0.00651),"")</f>
        <v>8.4629999999999997E-2</v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36.349999999999994</v>
      </c>
      <c r="BN146" s="78">
        <f>IFERROR(Y146*I146/H146,"0")</f>
        <v>37.803999999999995</v>
      </c>
      <c r="BO146" s="78">
        <f>IFERROR(1/J146*(X146/H146),"0")</f>
        <v>6.8681318681318687E-2</v>
      </c>
      <c r="BP146" s="78">
        <f>IFERROR(1/J146*(Y146/H146),"0")</f>
        <v>7.1428571428571438E-2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12.5</v>
      </c>
      <c r="Y148" s="43">
        <f>IFERROR(Y146/H146,"0")+IFERROR(Y147/H147,"0")</f>
        <v>13</v>
      </c>
      <c r="Z148" s="43">
        <f>IFERROR(IF(Z146="",0,Z146),"0")+IFERROR(IF(Z147="",0,Z147),"0")</f>
        <v>8.4629999999999997E-2</v>
      </c>
      <c r="AA148" s="67"/>
      <c r="AB148" s="67"/>
      <c r="AC148" s="67"/>
    </row>
    <row r="149" spans="1:68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33</v>
      </c>
      <c r="Y149" s="43">
        <f>IFERROR(SUM(Y146:Y147),"0")</f>
        <v>34.32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200</v>
      </c>
      <c r="Y176" s="55">
        <f t="shared" ref="Y176:Y186" si="15">IFERROR(IF(X176="",0,CEILING((X176/$H176),1)*$H176),"")</f>
        <v>202.39999999999998</v>
      </c>
      <c r="Z176" s="41">
        <f>IFERROR(IF(Y176=0,"",ROUNDUP(Y176/H176,0)*0.01196),"")</f>
        <v>0.52624000000000004</v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215.21739130434784</v>
      </c>
      <c r="BN176" s="78">
        <f t="shared" ref="BN176:BN186" si="17">IFERROR(Y176*I176/H176,"0")</f>
        <v>217.79999999999998</v>
      </c>
      <c r="BO176" s="78">
        <f t="shared" ref="BO176:BO186" si="18">IFERROR(1/J176*(X176/H176),"0")</f>
        <v>0.41806020066889638</v>
      </c>
      <c r="BP176" s="78">
        <f t="shared" ref="BP176:BP186" si="19">IFERROR(1/J176*(Y176/H176),"0")</f>
        <v>0.42307692307692313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300</v>
      </c>
      <c r="Y177" s="55">
        <f t="shared" si="15"/>
        <v>301</v>
      </c>
      <c r="Z177" s="41">
        <f>IFERROR(IF(Y177=0,"",ROUNDUP(Y177/H177,0)*0.00902),"")</f>
        <v>0.77571999999999997</v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316.28571428571428</v>
      </c>
      <c r="BN177" s="78">
        <f t="shared" si="17"/>
        <v>317.34000000000003</v>
      </c>
      <c r="BO177" s="78">
        <f t="shared" si="18"/>
        <v>0.64935064935064934</v>
      </c>
      <c r="BP177" s="78">
        <f t="shared" si="19"/>
        <v>0.65151515151515149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300</v>
      </c>
      <c r="Y179" s="55">
        <f t="shared" si="15"/>
        <v>301</v>
      </c>
      <c r="Z179" s="41">
        <f>IFERROR(IF(Y179=0,"",ROUNDUP(Y179/H179,0)*0.00902),"")</f>
        <v>0.77571999999999997</v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316.28571428571428</v>
      </c>
      <c r="BN179" s="78">
        <f t="shared" si="17"/>
        <v>317.34000000000003</v>
      </c>
      <c r="BO179" s="78">
        <f t="shared" si="18"/>
        <v>0.64935064935064934</v>
      </c>
      <c r="BP179" s="78">
        <f t="shared" si="19"/>
        <v>0.65151515151515149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160</v>
      </c>
      <c r="Y180" s="55">
        <f t="shared" si="15"/>
        <v>161</v>
      </c>
      <c r="Z180" s="41">
        <f>IFERROR(IF(Y180=0,"",ROUNDUP(Y180/H180,0)*0.00902),"")</f>
        <v>0.41492000000000001</v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168.68571428571428</v>
      </c>
      <c r="BN180" s="78">
        <f t="shared" si="17"/>
        <v>169.74</v>
      </c>
      <c r="BO180" s="78">
        <f t="shared" si="18"/>
        <v>0.34632034632034636</v>
      </c>
      <c r="BP180" s="78">
        <f t="shared" si="19"/>
        <v>0.34848484848484851</v>
      </c>
    </row>
    <row r="181" spans="1:68" ht="16.5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5</v>
      </c>
      <c r="Y181" s="55">
        <f t="shared" si="15"/>
        <v>5.4</v>
      </c>
      <c r="Z181" s="41">
        <f>IFERROR(IF(Y181=0,"",ROUNDUP(Y181/H181,0)*0.00726),"")</f>
        <v>4.3560000000000001E-2</v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6.166666666666667</v>
      </c>
      <c r="BN181" s="78">
        <f t="shared" si="17"/>
        <v>6.66</v>
      </c>
      <c r="BO181" s="78">
        <f t="shared" si="18"/>
        <v>2.8935185185185182E-2</v>
      </c>
      <c r="BP181" s="78">
        <f t="shared" si="19"/>
        <v>3.125E-2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140</v>
      </c>
      <c r="Y182" s="55">
        <f t="shared" si="15"/>
        <v>141.12</v>
      </c>
      <c r="Z182" s="41">
        <f>IFERROR(IF(Y182=0,"",ROUNDUP(Y182/H182,0)*0.00502),"")</f>
        <v>0.42168</v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148.33333333333334</v>
      </c>
      <c r="BN182" s="78">
        <f t="shared" si="17"/>
        <v>149.52000000000001</v>
      </c>
      <c r="BO182" s="78">
        <f t="shared" si="18"/>
        <v>0.35612535612535623</v>
      </c>
      <c r="BP182" s="78">
        <f t="shared" si="19"/>
        <v>0.35897435897435903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84</v>
      </c>
      <c r="Y184" s="55">
        <f t="shared" si="15"/>
        <v>84</v>
      </c>
      <c r="Z184" s="41">
        <f>IFERROR(IF(Y184=0,"",ROUNDUP(Y184/H184,0)*0.00502),"")</f>
        <v>0.251</v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89.000000000000014</v>
      </c>
      <c r="BN184" s="78">
        <f t="shared" si="17"/>
        <v>89.000000000000014</v>
      </c>
      <c r="BO184" s="78">
        <f t="shared" si="18"/>
        <v>0.21367521367521369</v>
      </c>
      <c r="BP184" s="78">
        <f t="shared" si="19"/>
        <v>0.21367521367521369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399.51000690131127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402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3.2088399999999995</v>
      </c>
      <c r="AA187" s="67"/>
      <c r="AB187" s="67"/>
      <c r="AC187" s="67"/>
    </row>
    <row r="188" spans="1:68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1189</v>
      </c>
      <c r="Y188" s="43">
        <f>IFERROR(SUM(Y176:Y186),"0")</f>
        <v>1195.92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50</v>
      </c>
      <c r="Y220" s="55">
        <f t="shared" ref="Y220:Y232" si="26">IFERROR(IF(X220="",0,CEILING((X220/$H220),1)*$H220),"")</f>
        <v>50.400000000000006</v>
      </c>
      <c r="Z220" s="41">
        <f>IFERROR(IF(Y220=0,"",ROUNDUP(Y220/H220,0)*0.00902),"")</f>
        <v>0.10824</v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52.976190476190474</v>
      </c>
      <c r="BN220" s="78">
        <f t="shared" ref="BN220:BN232" si="28">IFERROR(Y220*I220/H220,"0")</f>
        <v>53.400000000000006</v>
      </c>
      <c r="BO220" s="78">
        <f t="shared" ref="BO220:BO232" si="29">IFERROR(1/J220*(X220/H220),"0")</f>
        <v>9.0187590187590191E-2</v>
      </c>
      <c r="BP220" s="78">
        <f t="shared" ref="BP220:BP232" si="30">IFERROR(1/J220*(Y220/H220),"0")</f>
        <v>9.0909090909090912E-2</v>
      </c>
    </row>
    <row r="221" spans="1:68" ht="27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20</v>
      </c>
      <c r="Y221" s="55">
        <f t="shared" si="26"/>
        <v>21</v>
      </c>
      <c r="Z221" s="41">
        <f>IFERROR(IF(Y221=0,"",ROUNDUP(Y221/H221,0)*0.00902),"")</f>
        <v>4.5100000000000001E-2</v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21.19047619047619</v>
      </c>
      <c r="BN221" s="78">
        <f t="shared" si="28"/>
        <v>22.25</v>
      </c>
      <c r="BO221" s="78">
        <f t="shared" si="29"/>
        <v>3.6075036075036072E-2</v>
      </c>
      <c r="BP221" s="78">
        <f t="shared" si="30"/>
        <v>3.787878787878788E-2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30</v>
      </c>
      <c r="Y222" s="55">
        <f t="shared" si="26"/>
        <v>33.6</v>
      </c>
      <c r="Z222" s="41">
        <f>IFERROR(IF(Y222=0,"",ROUNDUP(Y222/H222,0)*0.00902),"")</f>
        <v>7.2160000000000002E-2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31.357142857142854</v>
      </c>
      <c r="BN222" s="78">
        <f t="shared" si="28"/>
        <v>35.119999999999997</v>
      </c>
      <c r="BO222" s="78">
        <f t="shared" si="29"/>
        <v>5.4112554112554112E-2</v>
      </c>
      <c r="BP222" s="78">
        <f t="shared" si="30"/>
        <v>6.0606060606060608E-2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8</v>
      </c>
      <c r="Y223" s="55">
        <f t="shared" si="26"/>
        <v>8</v>
      </c>
      <c r="Z223" s="41">
        <f>IFERROR(IF(Y223=0,"",ROUNDUP(Y223/H223,0)*0.00556),"")</f>
        <v>5.5599999999999997E-2</v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9.3000000000000007</v>
      </c>
      <c r="BN223" s="78">
        <f t="shared" si="28"/>
        <v>9.3000000000000007</v>
      </c>
      <c r="BO223" s="78">
        <f t="shared" si="29"/>
        <v>4.2735042735042736E-2</v>
      </c>
      <c r="BP223" s="78">
        <f t="shared" si="30"/>
        <v>4.2735042735042736E-2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52</v>
      </c>
      <c r="Y224" s="55">
        <f t="shared" si="26"/>
        <v>52.5</v>
      </c>
      <c r="Z224" s="41">
        <f>IFERROR(IF(Y224=0,"",ROUNDUP(Y224/H224,0)*0.00502),"")</f>
        <v>0.1255</v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55.219047619047615</v>
      </c>
      <c r="BN224" s="78">
        <f t="shared" si="28"/>
        <v>55.75</v>
      </c>
      <c r="BO224" s="78">
        <f t="shared" si="29"/>
        <v>0.10582010582010581</v>
      </c>
      <c r="BP224" s="78">
        <f t="shared" si="30"/>
        <v>0.10683760683760685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105</v>
      </c>
      <c r="Y226" s="55">
        <f t="shared" si="26"/>
        <v>105</v>
      </c>
      <c r="Z226" s="41">
        <f>IFERROR(IF(Y226=0,"",ROUNDUP(Y226/H226,0)*0.00502),"")</f>
        <v>0.251</v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111.5</v>
      </c>
      <c r="BN226" s="78">
        <f t="shared" si="28"/>
        <v>111.5</v>
      </c>
      <c r="BO226" s="78">
        <f t="shared" si="29"/>
        <v>0.21367521367521369</v>
      </c>
      <c r="BP226" s="78">
        <f t="shared" si="30"/>
        <v>0.21367521367521369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8</v>
      </c>
      <c r="Y229" s="55">
        <f t="shared" si="26"/>
        <v>8</v>
      </c>
      <c r="Z229" s="41">
        <f>IFERROR(IF(Y229=0,"",ROUNDUP(Y229/H229,0)*0.00417),"")</f>
        <v>4.1700000000000001E-2</v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10.1</v>
      </c>
      <c r="BN229" s="78">
        <f t="shared" si="28"/>
        <v>10.1</v>
      </c>
      <c r="BO229" s="78">
        <f t="shared" si="29"/>
        <v>3.2051282051282048E-2</v>
      </c>
      <c r="BP229" s="78">
        <f t="shared" si="30"/>
        <v>3.2051282051282048E-2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175</v>
      </c>
      <c r="Y230" s="55">
        <f t="shared" si="26"/>
        <v>176.4</v>
      </c>
      <c r="Z230" s="41">
        <f>IFERROR(IF(Y230=0,"",ROUNDUP(Y230/H230,0)*0.00502),"")</f>
        <v>0.42168</v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183.33333333333334</v>
      </c>
      <c r="BN230" s="78">
        <f t="shared" si="28"/>
        <v>184.8</v>
      </c>
      <c r="BO230" s="78">
        <f t="shared" si="29"/>
        <v>0.35612535612535612</v>
      </c>
      <c r="BP230" s="78">
        <f t="shared" si="30"/>
        <v>0.35897435897435903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201.9047619047619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204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1.1209799999999999</v>
      </c>
      <c r="AA233" s="67"/>
      <c r="AB233" s="67"/>
      <c r="AC233" s="67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448</v>
      </c>
      <c r="Y234" s="43">
        <f>IFERROR(SUM(Y220:Y232),"0")</f>
        <v>454.9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7</v>
      </c>
      <c r="Y245" s="55">
        <f>IFERROR(IF(X245="",0,CEILING((X245/$H245),1)*$H245),"")</f>
        <v>7.5600000000000005</v>
      </c>
      <c r="Z245" s="41">
        <f>IFERROR(IF(Y245=0,"",ROUNDUP(Y245/H245,0)*0.0059),"")</f>
        <v>3.5400000000000001E-2</v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8.0555555555555554</v>
      </c>
      <c r="BN245" s="78">
        <f>IFERROR(Y245*I245/H245,"0")</f>
        <v>8.6999999999999993</v>
      </c>
      <c r="BO245" s="78">
        <f>IFERROR(1/J245*(X245/H245),"0")</f>
        <v>2.5720164609053495E-2</v>
      </c>
      <c r="BP245" s="78">
        <f>IFERROR(1/J245*(Y245/H245),"0")</f>
        <v>2.7777777777777776E-2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7</v>
      </c>
      <c r="Y246" s="55">
        <f>IFERROR(IF(X246="",0,CEILING((X246/$H246),1)*$H246),"")</f>
        <v>7.5600000000000005</v>
      </c>
      <c r="Z246" s="41">
        <f>IFERROR(IF(Y246=0,"",ROUNDUP(Y246/H246,0)*0.0059),"")</f>
        <v>3.5400000000000001E-2</v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8.0555555555555554</v>
      </c>
      <c r="BN246" s="78">
        <f>IFERROR(Y246*I246/H246,"0")</f>
        <v>8.6999999999999993</v>
      </c>
      <c r="BO246" s="78">
        <f>IFERROR(1/J246*(X246/H246),"0")</f>
        <v>2.5720164609053495E-2</v>
      </c>
      <c r="BP246" s="78">
        <f>IFERROR(1/J246*(Y246/H246),"0")</f>
        <v>2.7777777777777776E-2</v>
      </c>
    </row>
    <row r="247" spans="1:68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16.666666666666664</v>
      </c>
      <c r="Y247" s="43">
        <f>IFERROR(Y244/H244,"0")+IFERROR(Y245/H245,"0")+IFERROR(Y246/H246,"0")</f>
        <v>18</v>
      </c>
      <c r="Z247" s="43">
        <f>IFERROR(IF(Z244="",0,Z244),"0")+IFERROR(IF(Z245="",0,Z245),"0")+IFERROR(IF(Z246="",0,Z246),"0")</f>
        <v>0.1062</v>
      </c>
      <c r="AA247" s="67"/>
      <c r="AB247" s="67"/>
      <c r="AC247" s="67"/>
    </row>
    <row r="248" spans="1:68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21</v>
      </c>
      <c r="Y248" s="43">
        <f>IFERROR(SUM(Y244:Y246),"0")</f>
        <v>22.68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7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2.5720164609053495E-2</v>
      </c>
      <c r="BP250" s="78">
        <f>IFERROR(1/J250*(Y250/H250),"0")</f>
        <v>2.7777777777777776E-2</v>
      </c>
    </row>
    <row r="251" spans="1:68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5.5555555555555554</v>
      </c>
      <c r="Y251" s="43">
        <f>IFERROR(Y250/H250,"0")</f>
        <v>6</v>
      </c>
      <c r="Z251" s="43">
        <f>IFERROR(IF(Z250="",0,Z250),"0")</f>
        <v>3.5400000000000001E-2</v>
      </c>
      <c r="AA251" s="67"/>
      <c r="AB251" s="67"/>
      <c r="AC251" s="67"/>
    </row>
    <row r="252" spans="1:68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7</v>
      </c>
      <c r="Y252" s="43">
        <f>IFERROR(SUM(Y250:Y250),"0")</f>
        <v>7.5600000000000005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100</v>
      </c>
      <c r="Y265" s="55">
        <f t="shared" ref="Y265:Y272" si="31">IFERROR(IF(X265="",0,CEILING((X265/$H265),1)*$H265),"")</f>
        <v>102.60000000000001</v>
      </c>
      <c r="Z265" s="41">
        <f>IFERROR(IF(Y265=0,"",ROUNDUP(Y265/H265,0)*0.00902),"")</f>
        <v>0.17138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103.5185185185185</v>
      </c>
      <c r="BN265" s="78">
        <f t="shared" ref="BN265:BN272" si="33">IFERROR(Y265*I265/H265,"0")</f>
        <v>106.21</v>
      </c>
      <c r="BO265" s="78">
        <f t="shared" ref="BO265:BO272" si="34">IFERROR(1/J265*(X265/H265),"0")</f>
        <v>0.14029180695847362</v>
      </c>
      <c r="BP265" s="78">
        <f t="shared" ref="BP265:BP272" si="35">IFERROR(1/J265*(Y265/H265),"0")</f>
        <v>0.14393939393939395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160</v>
      </c>
      <c r="Y267" s="55">
        <f t="shared" si="31"/>
        <v>162</v>
      </c>
      <c r="Z267" s="41">
        <f>IFERROR(IF(Y267=0,"",ROUNDUP(Y267/H267,0)*0.00902),"")</f>
        <v>0.27060000000000001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165.62962962962962</v>
      </c>
      <c r="BN267" s="78">
        <f t="shared" si="33"/>
        <v>167.7</v>
      </c>
      <c r="BO267" s="78">
        <f t="shared" si="34"/>
        <v>0.22446689113355778</v>
      </c>
      <c r="BP267" s="78">
        <f t="shared" si="35"/>
        <v>0.22727272727272727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90</v>
      </c>
      <c r="Y269" s="55">
        <f t="shared" si="31"/>
        <v>90</v>
      </c>
      <c r="Z269" s="41">
        <f>IFERROR(IF(Y269=0,"",ROUNDUP(Y269/H269,0)*0.00502),"")</f>
        <v>0.251</v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96.499999999999986</v>
      </c>
      <c r="BN269" s="78">
        <f t="shared" si="33"/>
        <v>96.499999999999986</v>
      </c>
      <c r="BO269" s="78">
        <f t="shared" si="34"/>
        <v>0.21367521367521369</v>
      </c>
      <c r="BP269" s="78">
        <f t="shared" si="35"/>
        <v>0.21367521367521369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36</v>
      </c>
      <c r="Y270" s="55">
        <f t="shared" si="31"/>
        <v>36</v>
      </c>
      <c r="Z270" s="41">
        <f>IFERROR(IF(Y270=0,"",ROUNDUP(Y270/H270,0)*0.00502),"")</f>
        <v>0.1004</v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37.999999999999993</v>
      </c>
      <c r="BN270" s="78">
        <f t="shared" si="33"/>
        <v>37.999999999999993</v>
      </c>
      <c r="BO270" s="78">
        <f t="shared" si="34"/>
        <v>8.5470085470085472E-2</v>
      </c>
      <c r="BP270" s="78">
        <f t="shared" si="35"/>
        <v>8.5470085470085472E-2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45</v>
      </c>
      <c r="Y271" s="55">
        <f t="shared" si="31"/>
        <v>45</v>
      </c>
      <c r="Z271" s="41">
        <f>IFERROR(IF(Y271=0,"",ROUNDUP(Y271/H271,0)*0.00502),"")</f>
        <v>0.1255</v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47.5</v>
      </c>
      <c r="BN271" s="78">
        <f t="shared" si="33"/>
        <v>47.5</v>
      </c>
      <c r="BO271" s="78">
        <f t="shared" si="34"/>
        <v>0.10683760683760685</v>
      </c>
      <c r="BP271" s="78">
        <f t="shared" si="35"/>
        <v>0.10683760683760685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31"/>
        <v>30.6</v>
      </c>
      <c r="Z272" s="41">
        <f>IFERROR(IF(Y272=0,"",ROUNDUP(Y272/H272,0)*0.00502),"")</f>
        <v>8.5339999999999999E-2</v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31.666666666666664</v>
      </c>
      <c r="BN272" s="78">
        <f t="shared" si="33"/>
        <v>32.299999999999997</v>
      </c>
      <c r="BO272" s="78">
        <f t="shared" si="34"/>
        <v>7.122507122507124E-2</v>
      </c>
      <c r="BP272" s="78">
        <f t="shared" si="35"/>
        <v>7.2649572649572655E-2</v>
      </c>
    </row>
    <row r="273" spans="1:68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159.81481481481481</v>
      </c>
      <c r="Y273" s="43">
        <f>IFERROR(Y265/H265,"0")+IFERROR(Y266/H266,"0")+IFERROR(Y267/H267,"0")+IFERROR(Y268/H268,"0")+IFERROR(Y269/H269,"0")+IFERROR(Y270/H270,"0")+IFERROR(Y271/H271,"0")+IFERROR(Y272/H272,"0")</f>
        <v>161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1.0042200000000001</v>
      </c>
      <c r="AA273" s="67"/>
      <c r="AB273" s="67"/>
      <c r="AC273" s="67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461</v>
      </c>
      <c r="Y274" s="43">
        <f>IFERROR(SUM(Y265:Y272),"0")</f>
        <v>466.20000000000005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220</v>
      </c>
      <c r="Y277" s="55">
        <f t="shared" si="36"/>
        <v>226.79999999999998</v>
      </c>
      <c r="Z277" s="41">
        <f>IFERROR(IF(Y277=0,"",ROUNDUP(Y277/H277,0)*0.01898),"")</f>
        <v>0.53144000000000002</v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233.41728395061727</v>
      </c>
      <c r="BN277" s="78">
        <f t="shared" si="38"/>
        <v>240.63199999999998</v>
      </c>
      <c r="BO277" s="78">
        <f t="shared" si="39"/>
        <v>0.42438271604938271</v>
      </c>
      <c r="BP277" s="78">
        <f t="shared" si="40"/>
        <v>0.4375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140</v>
      </c>
      <c r="Y278" s="55">
        <f t="shared" si="36"/>
        <v>145.79999999999998</v>
      </c>
      <c r="Z278" s="41">
        <f>IFERROR(IF(Y278=0,"",ROUNDUP(Y278/H278,0)*0.01898),"")</f>
        <v>0.34164</v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148.22716049382717</v>
      </c>
      <c r="BN278" s="78">
        <f t="shared" si="38"/>
        <v>154.36799999999999</v>
      </c>
      <c r="BO278" s="78">
        <f t="shared" si="39"/>
        <v>0.27006172839506176</v>
      </c>
      <c r="BP278" s="78">
        <f t="shared" si="40"/>
        <v>0.28125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36"/>
        <v>52.199999999999996</v>
      </c>
      <c r="Z279" s="41">
        <f>IFERROR(IF(Y279=0,"",ROUNDUP(Y279/H279,0)*0.01898),"")</f>
        <v>0.11388000000000001</v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52.839080459770123</v>
      </c>
      <c r="BN279" s="78">
        <f t="shared" si="38"/>
        <v>55.164000000000009</v>
      </c>
      <c r="BO279" s="78">
        <f t="shared" si="39"/>
        <v>8.9798850574712652E-2</v>
      </c>
      <c r="BP279" s="78">
        <f t="shared" si="40"/>
        <v>9.375E-2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320</v>
      </c>
      <c r="Y280" s="55">
        <f t="shared" si="36"/>
        <v>321.59999999999997</v>
      </c>
      <c r="Z280" s="41">
        <f>IFERROR(IF(Y280=0,"",ROUNDUP(Y280/H280,0)*0.00651),"")</f>
        <v>0.87234</v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356</v>
      </c>
      <c r="BN280" s="78">
        <f t="shared" si="38"/>
        <v>357.78</v>
      </c>
      <c r="BO280" s="78">
        <f t="shared" si="39"/>
        <v>0.73260073260073266</v>
      </c>
      <c r="BP280" s="78">
        <f t="shared" si="40"/>
        <v>0.73626373626373631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240</v>
      </c>
      <c r="Y282" s="55">
        <f t="shared" si="36"/>
        <v>240</v>
      </c>
      <c r="Z282" s="41">
        <f>IFERROR(IF(Y282=0,"",ROUNDUP(Y282/H282,0)*0.00651),"")</f>
        <v>0.65100000000000002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265.20000000000005</v>
      </c>
      <c r="BN282" s="78">
        <f t="shared" si="38"/>
        <v>265.20000000000005</v>
      </c>
      <c r="BO282" s="78">
        <f t="shared" si="39"/>
        <v>0.5494505494505495</v>
      </c>
      <c r="BP282" s="78">
        <f t="shared" si="40"/>
        <v>0.5494505494505495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36"/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44.20000000000001</v>
      </c>
      <c r="BN285" s="78">
        <f t="shared" si="38"/>
        <v>45.084000000000003</v>
      </c>
      <c r="BO285" s="78">
        <f t="shared" si="39"/>
        <v>9.1575091575091583E-2</v>
      </c>
      <c r="BP285" s="78">
        <f t="shared" si="40"/>
        <v>9.3406593406593408E-2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160</v>
      </c>
      <c r="Y286" s="55">
        <f t="shared" si="36"/>
        <v>160.79999999999998</v>
      </c>
      <c r="Z286" s="41">
        <f>IFERROR(IF(Y286=0,"",ROUNDUP(Y286/H286,0)*0.00651),"")</f>
        <v>0.43617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177.2</v>
      </c>
      <c r="BN286" s="78">
        <f t="shared" si="38"/>
        <v>178.08599999999998</v>
      </c>
      <c r="BO286" s="78">
        <f t="shared" si="39"/>
        <v>0.36630036630036633</v>
      </c>
      <c r="BP286" s="78">
        <f t="shared" si="40"/>
        <v>0.36813186813186816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366.85823754789277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370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3.05714</v>
      </c>
      <c r="AA288" s="67"/>
      <c r="AB288" s="67"/>
      <c r="AC288" s="67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1170</v>
      </c>
      <c r="Y289" s="43">
        <f>IFERROR(SUM(Y276:Y287),"0")</f>
        <v>1187.9999999999998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48</v>
      </c>
      <c r="Y292" s="55">
        <f>IFERROR(IF(X292="",0,CEILING((X292/$H292),1)*$H292),"")</f>
        <v>48</v>
      </c>
      <c r="Z292" s="41">
        <f>IFERROR(IF(Y292=0,"",ROUNDUP(Y292/H292,0)*0.00651),"")</f>
        <v>0.13020000000000001</v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53.040000000000006</v>
      </c>
      <c r="BN292" s="78">
        <f>IFERROR(Y292*I292/H292,"0")</f>
        <v>53.040000000000006</v>
      </c>
      <c r="BO292" s="78">
        <f>IFERROR(1/J292*(X292/H292),"0")</f>
        <v>0.1098901098901099</v>
      </c>
      <c r="BP292" s="78">
        <f>IFERROR(1/J292*(Y292/H292),"0")</f>
        <v>0.1098901098901099</v>
      </c>
    </row>
    <row r="293" spans="1:68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20</v>
      </c>
      <c r="Y293" s="43">
        <f>IFERROR(Y291/H291,"0")+IFERROR(Y292/H292,"0")</f>
        <v>20</v>
      </c>
      <c r="Z293" s="43">
        <f>IFERROR(IF(Z291="",0,Z291),"0")+IFERROR(IF(Z292="",0,Z292),"0")</f>
        <v>0.13020000000000001</v>
      </c>
      <c r="AA293" s="67"/>
      <c r="AB293" s="67"/>
      <c r="AC293" s="67"/>
    </row>
    <row r="294" spans="1:68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48</v>
      </c>
      <c r="Y294" s="43">
        <f>IFERROR(SUM(Y291:Y292),"0")</f>
        <v>48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8</v>
      </c>
      <c r="Y300" s="55">
        <f t="shared" si="41"/>
        <v>8</v>
      </c>
      <c r="Z300" s="41">
        <f>IFERROR(IF(Y300=0,"",ROUNDUP(Y300/H300,0)*0.00902),"")</f>
        <v>1.804E-2</v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8.3800000000000008</v>
      </c>
      <c r="BN300" s="78">
        <f t="shared" si="43"/>
        <v>8.3800000000000008</v>
      </c>
      <c r="BO300" s="78">
        <f t="shared" si="44"/>
        <v>1.5151515151515152E-2</v>
      </c>
      <c r="BP300" s="78">
        <f t="shared" si="45"/>
        <v>1.5151515151515152E-2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2</v>
      </c>
      <c r="Y304" s="43">
        <f>IFERROR(Y297/H297,"0")+IFERROR(Y298/H298,"0")+IFERROR(Y299/H299,"0")+IFERROR(Y300/H300,"0")+IFERROR(Y301/H301,"0")+IFERROR(Y302/H302,"0")+IFERROR(Y303/H303,"0")</f>
        <v>2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1.804E-2</v>
      </c>
      <c r="AA304" s="67"/>
      <c r="AB304" s="67"/>
      <c r="AC304" s="67"/>
    </row>
    <row r="305" spans="1:68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8</v>
      </c>
      <c r="Y305" s="43">
        <f>IFERROR(SUM(Y297:Y303),"0")</f>
        <v>8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12</v>
      </c>
      <c r="Y311" s="55">
        <f>IFERROR(IF(X311="",0,CEILING((X311/$H311),1)*$H311),"")</f>
        <v>12.6</v>
      </c>
      <c r="Z311" s="41">
        <f>IFERROR(IF(Y311=0,"",ROUNDUP(Y311/H311,0)*0.0059),"")</f>
        <v>4.1299999999999996E-2</v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13.166666666666668</v>
      </c>
      <c r="BN311" s="78">
        <f>IFERROR(Y311*I311/H311,"0")</f>
        <v>13.825000000000001</v>
      </c>
      <c r="BO311" s="78">
        <f>IFERROR(1/J311*(X311/H311),"0")</f>
        <v>3.0864197530864192E-2</v>
      </c>
      <c r="BP311" s="78">
        <f>IFERROR(1/J311*(Y311/H311),"0")</f>
        <v>3.2407407407407406E-2</v>
      </c>
    </row>
    <row r="312" spans="1:68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6.6666666666666661</v>
      </c>
      <c r="Y312" s="43">
        <f>IFERROR(Y311/H311,"0")</f>
        <v>7</v>
      </c>
      <c r="Z312" s="43">
        <f>IFERROR(IF(Z311="",0,Z311),"0")</f>
        <v>4.1299999999999996E-2</v>
      </c>
      <c r="AA312" s="67"/>
      <c r="AB312" s="67"/>
      <c r="AC312" s="67"/>
    </row>
    <row r="313" spans="1:68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12</v>
      </c>
      <c r="Y313" s="43">
        <f>IFERROR(SUM(Y311:Y311),"0")</f>
        <v>12.6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12</v>
      </c>
      <c r="Y315" s="55">
        <f>IFERROR(IF(X315="",0,CEILING((X315/$H315),1)*$H315),"")</f>
        <v>12.6</v>
      </c>
      <c r="Z315" s="41">
        <f>IFERROR(IF(Y315=0,"",ROUNDUP(Y315/H315,0)*0.0059),"")</f>
        <v>4.1299999999999996E-2</v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13.166666666666668</v>
      </c>
      <c r="BN315" s="78">
        <f>IFERROR(Y315*I315/H315,"0")</f>
        <v>13.825000000000001</v>
      </c>
      <c r="BO315" s="78">
        <f>IFERROR(1/J315*(X315/H315),"0")</f>
        <v>3.0864197530864192E-2</v>
      </c>
      <c r="BP315" s="78">
        <f>IFERROR(1/J315*(Y315/H315),"0")</f>
        <v>3.2407407407407406E-2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6.6666666666666661</v>
      </c>
      <c r="Y319" s="43">
        <f>IFERROR(Y315/H315,"0")+IFERROR(Y316/H316,"0")+IFERROR(Y317/H317,"0")+IFERROR(Y318/H318,"0")</f>
        <v>7</v>
      </c>
      <c r="Z319" s="43">
        <f>IFERROR(IF(Z315="",0,Z315),"0")+IFERROR(IF(Z316="",0,Z316),"0")+IFERROR(IF(Z317="",0,Z317),"0")+IFERROR(IF(Z318="",0,Z318),"0")</f>
        <v>4.1299999999999996E-2</v>
      </c>
      <c r="AA319" s="67"/>
      <c r="AB319" s="67"/>
      <c r="AC319" s="67"/>
    </row>
    <row r="320" spans="1:68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12</v>
      </c>
      <c r="Y320" s="43">
        <f>IFERROR(SUM(Y315:Y318),"0")</f>
        <v>12.6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88</v>
      </c>
      <c r="Y335" s="55">
        <f>IFERROR(IF(X335="",0,CEILING((X335/$H335),1)*$H335),"")</f>
        <v>88.8</v>
      </c>
      <c r="Z335" s="41">
        <f>IFERROR(IF(Y335=0,"",ROUNDUP(Y335/H335,0)*0.00651),"")</f>
        <v>0.24087</v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97.240000000000009</v>
      </c>
      <c r="BN335" s="78">
        <f>IFERROR(Y335*I335/H335,"0")</f>
        <v>98.124000000000009</v>
      </c>
      <c r="BO335" s="78">
        <f>IFERROR(1/J335*(X335/H335),"0")</f>
        <v>0.2014652014652015</v>
      </c>
      <c r="BP335" s="78">
        <f>IFERROR(1/J335*(Y335/H335),"0")</f>
        <v>0.20329670329670332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280</v>
      </c>
      <c r="Y336" s="55">
        <f>IFERROR(IF(X336="",0,CEILING((X336/$H336),1)*$H336),"")</f>
        <v>280.8</v>
      </c>
      <c r="Z336" s="41">
        <f>IFERROR(IF(Y336=0,"",ROUNDUP(Y336/H336,0)*0.00651),"")</f>
        <v>0.76167000000000007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301</v>
      </c>
      <c r="BN336" s="78">
        <f>IFERROR(Y336*I336/H336,"0")</f>
        <v>301.86</v>
      </c>
      <c r="BO336" s="78">
        <f>IFERROR(1/J336*(X336/H336),"0")</f>
        <v>0.64102564102564108</v>
      </c>
      <c r="BP336" s="78">
        <f>IFERROR(1/J336*(Y336/H336),"0")</f>
        <v>0.64285714285714302</v>
      </c>
    </row>
    <row r="337" spans="1:68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153.33333333333334</v>
      </c>
      <c r="Y337" s="43">
        <f>IFERROR(Y334/H334,"0")+IFERROR(Y335/H335,"0")+IFERROR(Y336/H336,"0")</f>
        <v>154</v>
      </c>
      <c r="Z337" s="43">
        <f>IFERROR(IF(Z334="",0,Z334),"0")+IFERROR(IF(Z335="",0,Z335),"0")+IFERROR(IF(Z336="",0,Z336),"0")</f>
        <v>1.00254</v>
      </c>
      <c r="AA337" s="67"/>
      <c r="AB337" s="67"/>
      <c r="AC337" s="67"/>
    </row>
    <row r="338" spans="1:68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368</v>
      </c>
      <c r="Y338" s="43">
        <f>IFERROR(SUM(Y334:Y336),"0")</f>
        <v>369.6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220</v>
      </c>
      <c r="Y364" s="55">
        <f>IFERROR(IF(X364="",0,CEILING((X364/$H364),1)*$H364),"")</f>
        <v>226.2</v>
      </c>
      <c r="Z364" s="41">
        <f>IFERROR(IF(Y364=0,"",ROUNDUP(Y364/H364,0)*0.01898),"")</f>
        <v>0.55042000000000002</v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231.5641025641026</v>
      </c>
      <c r="BN364" s="78">
        <f>IFERROR(Y364*I364/H364,"0")</f>
        <v>238.09</v>
      </c>
      <c r="BO364" s="78">
        <f>IFERROR(1/J364*(X364/H364),"0")</f>
        <v>0.44070512820512819</v>
      </c>
      <c r="BP364" s="78">
        <f>IFERROR(1/J364*(Y364/H364),"0")</f>
        <v>0.453125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300</v>
      </c>
      <c r="Y365" s="55">
        <f>IFERROR(IF(X365="",0,CEILING((X365/$H365),1)*$H365),"")</f>
        <v>304.2</v>
      </c>
      <c r="Z365" s="41">
        <f>IFERROR(IF(Y365=0,"",ROUNDUP(Y365/H365,0)*0.01898),"")</f>
        <v>0.74021999999999999</v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315.76923076923083</v>
      </c>
      <c r="BN365" s="78">
        <f>IFERROR(Y365*I365/H365,"0")</f>
        <v>320.19</v>
      </c>
      <c r="BO365" s="78">
        <f>IFERROR(1/J365*(X365/H365),"0")</f>
        <v>0.60096153846153844</v>
      </c>
      <c r="BP365" s="78">
        <f>IFERROR(1/J365*(Y365/H365),"0")</f>
        <v>0.609375</v>
      </c>
    </row>
    <row r="366" spans="1:68" ht="27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120</v>
      </c>
      <c r="Y366" s="55">
        <f>IFERROR(IF(X366="",0,CEILING((X366/$H366),1)*$H366),"")</f>
        <v>124.8</v>
      </c>
      <c r="Z366" s="41">
        <f>IFERROR(IF(Y366=0,"",ROUNDUP(Y366/H366,0)*0.01898),"")</f>
        <v>0.30368000000000001</v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126.30769230769232</v>
      </c>
      <c r="BN366" s="78">
        <f>IFERROR(Y366*I366/H366,"0")</f>
        <v>131.36000000000001</v>
      </c>
      <c r="BO366" s="78">
        <f>IFERROR(1/J366*(X366/H366),"0")</f>
        <v>0.24038461538461539</v>
      </c>
      <c r="BP366" s="78">
        <f>IFERROR(1/J366*(Y366/H366),"0")</f>
        <v>0.25</v>
      </c>
    </row>
    <row r="367" spans="1:68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82.051282051282044</v>
      </c>
      <c r="Y367" s="43">
        <f>IFERROR(Y364/H364,"0")+IFERROR(Y365/H365,"0")+IFERROR(Y366/H366,"0")</f>
        <v>84</v>
      </c>
      <c r="Z367" s="43">
        <f>IFERROR(IF(Z364="",0,Z364),"0")+IFERROR(IF(Z365="",0,Z365),"0")+IFERROR(IF(Z366="",0,Z366),"0")</f>
        <v>1.59432</v>
      </c>
      <c r="AA367" s="67"/>
      <c r="AB367" s="67"/>
      <c r="AC367" s="67"/>
    </row>
    <row r="368" spans="1:68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640</v>
      </c>
      <c r="Y368" s="43">
        <f>IFERROR(SUM(Y364:Y366),"0")</f>
        <v>655.19999999999993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10</v>
      </c>
      <c r="Y382" s="55">
        <f t="shared" si="56"/>
        <v>12.600000000000001</v>
      </c>
      <c r="Z382" s="41">
        <f>IFERROR(IF(Y382=0,"",ROUNDUP(Y382/H382,0)*0.00902),"")</f>
        <v>2.7060000000000001E-2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10.595238095238095</v>
      </c>
      <c r="BN382" s="78">
        <f t="shared" si="58"/>
        <v>13.350000000000001</v>
      </c>
      <c r="BO382" s="78">
        <f t="shared" si="59"/>
        <v>1.8037518037518036E-2</v>
      </c>
      <c r="BP382" s="78">
        <f t="shared" si="60"/>
        <v>2.2727272727272728E-2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210</v>
      </c>
      <c r="Y385" s="55">
        <f t="shared" si="56"/>
        <v>210</v>
      </c>
      <c r="Z385" s="41">
        <f>IFERROR(IF(Y385=0,"",ROUNDUP(Y385/H385,0)*0.00502),"")</f>
        <v>0.502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220.00000000000003</v>
      </c>
      <c r="BN385" s="78">
        <f t="shared" si="58"/>
        <v>220.00000000000003</v>
      </c>
      <c r="BO385" s="78">
        <f t="shared" si="59"/>
        <v>0.42735042735042739</v>
      </c>
      <c r="BP385" s="78">
        <f t="shared" si="60"/>
        <v>0.42735042735042739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36</v>
      </c>
      <c r="Y387" s="55">
        <f t="shared" si="56"/>
        <v>36</v>
      </c>
      <c r="Z387" s="41">
        <f>IFERROR(IF(Y387=0,"",ROUNDUP(Y387/H387,0)*0.00651),"")</f>
        <v>0.13020000000000001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40.559999999999995</v>
      </c>
      <c r="BN387" s="78">
        <f t="shared" si="58"/>
        <v>40.559999999999995</v>
      </c>
      <c r="BO387" s="78">
        <f t="shared" si="59"/>
        <v>0.1098901098901099</v>
      </c>
      <c r="BP387" s="78">
        <f t="shared" si="60"/>
        <v>0.1098901098901099</v>
      </c>
    </row>
    <row r="388" spans="1:68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122.38095238095238</v>
      </c>
      <c r="Y388" s="43">
        <f>IFERROR(Y381/H381,"0")+IFERROR(Y382/H382,"0")+IFERROR(Y383/H383,"0")+IFERROR(Y384/H384,"0")+IFERROR(Y385/H385,"0")+IFERROR(Y386/H386,"0")+IFERROR(Y387/H387,"0")</f>
        <v>123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0.65925999999999996</v>
      </c>
      <c r="AA388" s="67"/>
      <c r="AB388" s="67"/>
      <c r="AC388" s="67"/>
    </row>
    <row r="389" spans="1:68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256</v>
      </c>
      <c r="Y389" s="43">
        <f>IFERROR(SUM(Y381:Y387),"0")</f>
        <v>258.60000000000002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20</v>
      </c>
      <c r="Y391" s="55">
        <f>IFERROR(IF(X391="",0,CEILING((X391/$H391),1)*$H391),"")</f>
        <v>23.4</v>
      </c>
      <c r="Z391" s="41">
        <f>IFERROR(IF(Y391=0,"",ROUNDUP(Y391/H391,0)*0.01898),"")</f>
        <v>5.6940000000000004E-2</v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21.25128205128205</v>
      </c>
      <c r="BN391" s="78">
        <f>IFERROR(Y391*I391/H391,"0")</f>
        <v>24.864000000000001</v>
      </c>
      <c r="BO391" s="78">
        <f>IFERROR(1/J391*(X391/H391),"0")</f>
        <v>4.0064102564102567E-2</v>
      </c>
      <c r="BP391" s="78">
        <f>IFERROR(1/J391*(Y391/H391),"0")</f>
        <v>4.6875E-2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2.5641025641025643</v>
      </c>
      <c r="Y395" s="43">
        <f>IFERROR(Y391/H391,"0")+IFERROR(Y392/H392,"0")+IFERROR(Y393/H393,"0")+IFERROR(Y394/H394,"0")</f>
        <v>3</v>
      </c>
      <c r="Z395" s="43">
        <f>IFERROR(IF(Z391="",0,Z391),"0")+IFERROR(IF(Z392="",0,Z392),"0")+IFERROR(IF(Z393="",0,Z393),"0")+IFERROR(IF(Z394="",0,Z394),"0")</f>
        <v>5.6940000000000004E-2</v>
      </c>
      <c r="AA395" s="67"/>
      <c r="AB395" s="67"/>
      <c r="AC395" s="67"/>
    </row>
    <row r="396" spans="1:68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20</v>
      </c>
      <c r="Y396" s="43">
        <f>IFERROR(SUM(Y391:Y394),"0")</f>
        <v>23.4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300</v>
      </c>
      <c r="Y398" s="55">
        <f>IFERROR(IF(X398="",0,CEILING((X398/$H398),1)*$H398),"")</f>
        <v>302.40000000000003</v>
      </c>
      <c r="Z398" s="41">
        <f>IFERROR(IF(Y398=0,"",ROUNDUP(Y398/H398,0)*0.01898),"")</f>
        <v>0.68328</v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317.64285714285711</v>
      </c>
      <c r="BN398" s="78">
        <f>IFERROR(Y398*I398/H398,"0")</f>
        <v>320.18400000000003</v>
      </c>
      <c r="BO398" s="78">
        <f>IFERROR(1/J398*(X398/H398),"0")</f>
        <v>0.5580357142857143</v>
      </c>
      <c r="BP398" s="78">
        <f>IFERROR(1/J398*(Y398/H398),"0")</f>
        <v>0.5625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350</v>
      </c>
      <c r="Y399" s="55">
        <f>IFERROR(IF(X399="",0,CEILING((X399/$H399),1)*$H399),"")</f>
        <v>351</v>
      </c>
      <c r="Z399" s="41">
        <f>IFERROR(IF(Y399=0,"",ROUNDUP(Y399/H399,0)*0.01898),"")</f>
        <v>0.85409999999999997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372.16666666666669</v>
      </c>
      <c r="BN399" s="78">
        <f>IFERROR(Y399*I399/H399,"0")</f>
        <v>373.23</v>
      </c>
      <c r="BO399" s="78">
        <f>IFERROR(1/J399*(X399/H399),"0")</f>
        <v>0.70112179487179493</v>
      </c>
      <c r="BP399" s="78">
        <f>IFERROR(1/J399*(Y399/H399),"0")</f>
        <v>0.703125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60</v>
      </c>
      <c r="Y400" s="55">
        <f>IFERROR(IF(X400="",0,CEILING((X400/$H400),1)*$H400),"")</f>
        <v>67.2</v>
      </c>
      <c r="Z400" s="41">
        <f>IFERROR(IF(Y400=0,"",ROUNDUP(Y400/H400,0)*0.01898),"")</f>
        <v>0.15184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63.528571428571425</v>
      </c>
      <c r="BN400" s="78">
        <f>IFERROR(Y400*I400/H400,"0")</f>
        <v>71.152000000000001</v>
      </c>
      <c r="BO400" s="78">
        <f>IFERROR(1/J400*(X400/H400),"0")</f>
        <v>0.11160714285714285</v>
      </c>
      <c r="BP400" s="78">
        <f>IFERROR(1/J400*(Y400/H400),"0")</f>
        <v>0.125</v>
      </c>
    </row>
    <row r="401" spans="1:68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87.728937728937723</v>
      </c>
      <c r="Y401" s="43">
        <f>IFERROR(Y398/H398,"0")+IFERROR(Y399/H399,"0")+IFERROR(Y400/H400,"0")</f>
        <v>89</v>
      </c>
      <c r="Z401" s="43">
        <f>IFERROR(IF(Z398="",0,Z398),"0")+IFERROR(IF(Z399="",0,Z399),"0")+IFERROR(IF(Z400="",0,Z400),"0")</f>
        <v>1.6892199999999999</v>
      </c>
      <c r="AA401" s="67"/>
      <c r="AB401" s="67"/>
      <c r="AC401" s="67"/>
    </row>
    <row r="402" spans="1:68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710</v>
      </c>
      <c r="Y402" s="43">
        <f>IFERROR(SUM(Y398:Y400),"0")</f>
        <v>720.60000000000014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30</v>
      </c>
      <c r="Y404" s="55">
        <f>IFERROR(IF(X404="",0,CEILING((X404/$H404),1)*$H404),"")</f>
        <v>30.4</v>
      </c>
      <c r="Z404" s="41">
        <f>IFERROR(IF(Y404=0,"",ROUNDUP(Y404/H404,0)*0.00902),"")</f>
        <v>9.0200000000000002E-2</v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32.664473684210527</v>
      </c>
      <c r="BN404" s="78">
        <f>IFERROR(Y404*I404/H404,"0")</f>
        <v>33.1</v>
      </c>
      <c r="BO404" s="78">
        <f>IFERROR(1/J404*(X404/H404),"0")</f>
        <v>7.4760765550239236E-2</v>
      </c>
      <c r="BP404" s="78">
        <f>IFERROR(1/J404*(Y404/H404),"0")</f>
        <v>7.575757575757576E-2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9.8684210526315788</v>
      </c>
      <c r="Y408" s="43">
        <f>IFERROR(Y404/H404,"0")+IFERROR(Y405/H405,"0")+IFERROR(Y406/H406,"0")+IFERROR(Y407/H407,"0")</f>
        <v>10</v>
      </c>
      <c r="Z408" s="43">
        <f>IFERROR(IF(Z404="",0,Z404),"0")+IFERROR(IF(Z405="",0,Z405),"0")+IFERROR(IF(Z406="",0,Z406),"0")+IFERROR(IF(Z407="",0,Z407),"0")</f>
        <v>9.0200000000000002E-2</v>
      </c>
      <c r="AA408" s="67"/>
      <c r="AB408" s="67"/>
      <c r="AC408" s="67"/>
    </row>
    <row r="409" spans="1:68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30</v>
      </c>
      <c r="Y409" s="43">
        <f>IFERROR(SUM(Y404:Y407),"0")</f>
        <v>30.4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20</v>
      </c>
      <c r="Y424" s="55">
        <f>IFERROR(IF(X424="",0,CEILING((X424/$H424),1)*$H424),"")</f>
        <v>23.4</v>
      </c>
      <c r="Z424" s="41">
        <f>IFERROR(IF(Y424=0,"",ROUNDUP(Y424/H424,0)*0.01898),"")</f>
        <v>5.6940000000000004E-2</v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21.066666666666666</v>
      </c>
      <c r="BN424" s="78">
        <f>IFERROR(Y424*I424/H424,"0")</f>
        <v>24.647999999999996</v>
      </c>
      <c r="BO424" s="78">
        <f>IFERROR(1/J424*(X424/H424),"0")</f>
        <v>4.0064102564102567E-2</v>
      </c>
      <c r="BP424" s="78">
        <f>IFERROR(1/J424*(Y424/H424),"0")</f>
        <v>4.6875E-2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2.5641025641025643</v>
      </c>
      <c r="Y427" s="43">
        <f>IFERROR(Y424/H424,"0")+IFERROR(Y425/H425,"0")+IFERROR(Y426/H426,"0")</f>
        <v>3</v>
      </c>
      <c r="Z427" s="43">
        <f>IFERROR(IF(Z424="",0,Z424),"0")+IFERROR(IF(Z425="",0,Z425),"0")+IFERROR(IF(Z426="",0,Z426),"0")</f>
        <v>5.6940000000000004E-2</v>
      </c>
      <c r="AA427" s="67"/>
      <c r="AB427" s="67"/>
      <c r="AC427" s="67"/>
    </row>
    <row r="428" spans="1:68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20</v>
      </c>
      <c r="Y428" s="43">
        <f>IFERROR(SUM(Y424:Y426),"0")</f>
        <v>23.4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700</v>
      </c>
      <c r="Y432" s="55">
        <f>IFERROR(IF(X432="",0,CEILING((X432/$H432),1)*$H432),"")</f>
        <v>701.4</v>
      </c>
      <c r="Z432" s="41">
        <f>IFERROR(IF(Y432=0,"",ROUNDUP(Y432/H432,0)*0.00651),"")</f>
        <v>2.1743399999999999</v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783.99999999999989</v>
      </c>
      <c r="BN432" s="78">
        <f>IFERROR(Y432*I432/H432,"0")</f>
        <v>785.56799999999987</v>
      </c>
      <c r="BO432" s="78">
        <f>IFERROR(1/J432*(X432/H432),"0")</f>
        <v>1.8315018315018314</v>
      </c>
      <c r="BP432" s="78">
        <f>IFERROR(1/J432*(Y432/H432),"0")</f>
        <v>1.8351648351648353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490</v>
      </c>
      <c r="Y433" s="55">
        <f>IFERROR(IF(X433="",0,CEILING((X433/$H433),1)*$H433),"")</f>
        <v>491.40000000000003</v>
      </c>
      <c r="Z433" s="41">
        <f>IFERROR(IF(Y433=0,"",ROUNDUP(Y433/H433,0)*0.00651),"")</f>
        <v>1.5233400000000001</v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545.99999999999989</v>
      </c>
      <c r="BN433" s="78">
        <f>IFERROR(Y433*I433/H433,"0")</f>
        <v>547.55999999999995</v>
      </c>
      <c r="BO433" s="78">
        <f>IFERROR(1/J433*(X433/H433),"0")</f>
        <v>1.2820512820512819</v>
      </c>
      <c r="BP433" s="78">
        <f>IFERROR(1/J433*(Y433/H433),"0")</f>
        <v>1.2857142857142858</v>
      </c>
    </row>
    <row r="434" spans="1:68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566.66666666666663</v>
      </c>
      <c r="Y434" s="43">
        <f>IFERROR(Y431/H431,"0")+IFERROR(Y432/H432,"0")+IFERROR(Y433/H433,"0")</f>
        <v>568</v>
      </c>
      <c r="Z434" s="43">
        <f>IFERROR(IF(Z431="",0,Z431),"0")+IFERROR(IF(Z432="",0,Z432),"0")+IFERROR(IF(Z433="",0,Z433),"0")</f>
        <v>3.6976800000000001</v>
      </c>
      <c r="AA434" s="67"/>
      <c r="AB434" s="67"/>
      <c r="AC434" s="67"/>
    </row>
    <row r="435" spans="1:68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1190</v>
      </c>
      <c r="Y435" s="43">
        <f>IFERROR(SUM(Y431:Y433),"0")</f>
        <v>1192.8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300</v>
      </c>
      <c r="Y439" s="55">
        <f t="shared" ref="Y439:Y446" si="61">IFERROR(IF(X439="",0,CEILING((X439/$H439),1)*$H439),"")</f>
        <v>300</v>
      </c>
      <c r="Z439" s="41">
        <f>IFERROR(IF(Y439=0,"",ROUNDUP(Y439/H439,0)*0.02175),"")</f>
        <v>0.43499999999999994</v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309.39999999999998</v>
      </c>
      <c r="BN439" s="78">
        <f t="shared" ref="BN439:BN446" si="63">IFERROR(Y439*I439/H439,"0")</f>
        <v>309.39999999999998</v>
      </c>
      <c r="BO439" s="78">
        <f t="shared" ref="BO439:BO446" si="64">IFERROR(1/J439*(X439/H439),"0")</f>
        <v>0.41666666666666663</v>
      </c>
      <c r="BP439" s="78">
        <f t="shared" ref="BP439:BP446" si="65">IFERROR(1/J439*(Y439/H439),"0")</f>
        <v>0.41666666666666663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1200</v>
      </c>
      <c r="Y440" s="55">
        <f t="shared" si="61"/>
        <v>1200</v>
      </c>
      <c r="Z440" s="41">
        <f>IFERROR(IF(Y440=0,"",ROUNDUP(Y440/H440,0)*0.02175),"")</f>
        <v>1.7399999999999998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1237.5999999999999</v>
      </c>
      <c r="BN440" s="78">
        <f t="shared" si="63"/>
        <v>1237.5999999999999</v>
      </c>
      <c r="BO440" s="78">
        <f t="shared" si="64"/>
        <v>1.6666666666666665</v>
      </c>
      <c r="BP440" s="78">
        <f t="shared" si="65"/>
        <v>1.6666666666666665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1100</v>
      </c>
      <c r="Y441" s="55">
        <f t="shared" si="61"/>
        <v>1110</v>
      </c>
      <c r="Z441" s="41">
        <f>IFERROR(IF(Y441=0,"",ROUNDUP(Y441/H441,0)*0.02175),"")</f>
        <v>1.6094999999999999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1134.4666666666667</v>
      </c>
      <c r="BN441" s="78">
        <f t="shared" si="63"/>
        <v>1144.78</v>
      </c>
      <c r="BO441" s="78">
        <f t="shared" si="64"/>
        <v>1.5277777777777777</v>
      </c>
      <c r="BP441" s="78">
        <f t="shared" si="65"/>
        <v>1.5416666666666665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1400</v>
      </c>
      <c r="Y442" s="55">
        <f t="shared" si="61"/>
        <v>1410</v>
      </c>
      <c r="Z442" s="41">
        <f>IFERROR(IF(Y442=0,"",ROUNDUP(Y442/H442,0)*0.02175),"")</f>
        <v>2.0444999999999998</v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1443.8666666666666</v>
      </c>
      <c r="BN442" s="78">
        <f t="shared" si="63"/>
        <v>1454.18</v>
      </c>
      <c r="BO442" s="78">
        <f t="shared" si="64"/>
        <v>1.9444444444444442</v>
      </c>
      <c r="BP442" s="78">
        <f t="shared" si="65"/>
        <v>1.9583333333333333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450</v>
      </c>
      <c r="Y443" s="55">
        <f t="shared" si="61"/>
        <v>450</v>
      </c>
      <c r="Z443" s="41">
        <f>IFERROR(IF(Y443=0,"",ROUNDUP(Y443/H443,0)*0.02175),"")</f>
        <v>0.65249999999999997</v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464.1</v>
      </c>
      <c r="BN443" s="78">
        <f t="shared" si="63"/>
        <v>464.1</v>
      </c>
      <c r="BO443" s="78">
        <f t="shared" si="64"/>
        <v>0.625</v>
      </c>
      <c r="BP443" s="78">
        <f t="shared" si="65"/>
        <v>0.625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10</v>
      </c>
      <c r="Y446" s="55">
        <f t="shared" si="61"/>
        <v>10</v>
      </c>
      <c r="Z446" s="41">
        <f>IFERROR(IF(Y446=0,"",ROUNDUP(Y446/H446,0)*0.00902),"")</f>
        <v>1.804E-2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10.38</v>
      </c>
      <c r="BN446" s="78">
        <f t="shared" si="63"/>
        <v>10.38</v>
      </c>
      <c r="BO446" s="78">
        <f t="shared" si="64"/>
        <v>1.5151515151515152E-2</v>
      </c>
      <c r="BP446" s="78">
        <f t="shared" si="65"/>
        <v>1.5151515151515152E-2</v>
      </c>
    </row>
    <row r="447" spans="1:68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298.66666666666663</v>
      </c>
      <c r="Y447" s="43">
        <f>IFERROR(Y439/H439,"0")+IFERROR(Y440/H440,"0")+IFERROR(Y441/H441,"0")+IFERROR(Y442/H442,"0")+IFERROR(Y443/H443,"0")+IFERROR(Y444/H444,"0")+IFERROR(Y445/H445,"0")+IFERROR(Y446/H446,"0")</f>
        <v>300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6.4995399999999988</v>
      </c>
      <c r="AA447" s="67"/>
      <c r="AB447" s="67"/>
      <c r="AC447" s="67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4460</v>
      </c>
      <c r="Y448" s="43">
        <f>IFERROR(SUM(Y439:Y446),"0")</f>
        <v>4480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1100</v>
      </c>
      <c r="Y450" s="55">
        <f>IFERROR(IF(X450="",0,CEILING((X450/$H450),1)*$H450),"")</f>
        <v>1110</v>
      </c>
      <c r="Z450" s="41">
        <f>IFERROR(IF(Y450=0,"",ROUNDUP(Y450/H450,0)*0.02175),"")</f>
        <v>1.6094999999999999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1134.4666666666667</v>
      </c>
      <c r="BN450" s="78">
        <f>IFERROR(Y450*I450/H450,"0")</f>
        <v>1144.78</v>
      </c>
      <c r="BO450" s="78">
        <f>IFERROR(1/J450*(X450/H450),"0")</f>
        <v>1.5277777777777777</v>
      </c>
      <c r="BP450" s="78">
        <f>IFERROR(1/J450*(Y450/H450),"0")</f>
        <v>1.5416666666666665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120</v>
      </c>
      <c r="Y451" s="55">
        <f>IFERROR(IF(X451="",0,CEILING((X451/$H451),1)*$H451),"")</f>
        <v>120</v>
      </c>
      <c r="Z451" s="41">
        <f>IFERROR(IF(Y451=0,"",ROUNDUP(Y451/H451,0)*0.02175),"")</f>
        <v>0.17399999999999999</v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123.76</v>
      </c>
      <c r="BN451" s="78">
        <f>IFERROR(Y451*I451/H451,"0")</f>
        <v>123.76</v>
      </c>
      <c r="BO451" s="78">
        <f>IFERROR(1/J451*(X451/H451),"0")</f>
        <v>0.16666666666666666</v>
      </c>
      <c r="BP451" s="78">
        <f>IFERROR(1/J451*(Y451/H451),"0")</f>
        <v>0.16666666666666666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81.333333333333329</v>
      </c>
      <c r="Y453" s="43">
        <f>IFERROR(Y450/H450,"0")+IFERROR(Y451/H451,"0")+IFERROR(Y452/H452,"0")</f>
        <v>82</v>
      </c>
      <c r="Z453" s="43">
        <f>IFERROR(IF(Z450="",0,Z450),"0")+IFERROR(IF(Z451="",0,Z451),"0")+IFERROR(IF(Z452="",0,Z452),"0")</f>
        <v>1.7834999999999999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1220</v>
      </c>
      <c r="Y454" s="43">
        <f>IFERROR(SUM(Y450:Y452),"0")</f>
        <v>1230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20</v>
      </c>
      <c r="Y458" s="55">
        <f>IFERROR(IF(X458="",0,CEILING((X458/$H458),1)*$H458),"")</f>
        <v>24</v>
      </c>
      <c r="Z458" s="41">
        <f>IFERROR(IF(Y458=0,"",ROUNDUP(Y458/H458,0)*0.01196),"")</f>
        <v>5.9799999999999999E-2</v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21.733333333333334</v>
      </c>
      <c r="BN458" s="78">
        <f>IFERROR(Y458*I458/H458,"0")</f>
        <v>26.080000000000002</v>
      </c>
      <c r="BO458" s="78">
        <f>IFERROR(1/J458*(X458/H458),"0")</f>
        <v>4.0064102564102567E-2</v>
      </c>
      <c r="BP458" s="78">
        <f>IFERROR(1/J458*(Y458/H458),"0")</f>
        <v>4.807692307692308E-2</v>
      </c>
    </row>
    <row r="459" spans="1:68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4.166666666666667</v>
      </c>
      <c r="Y459" s="43">
        <f>IFERROR(Y456/H456,"0")+IFERROR(Y457/H457,"0")+IFERROR(Y458/H458,"0")</f>
        <v>5</v>
      </c>
      <c r="Z459" s="43">
        <f>IFERROR(IF(Z456="",0,Z456),"0")+IFERROR(IF(Z457="",0,Z457),"0")+IFERROR(IF(Z458="",0,Z458),"0")</f>
        <v>5.9799999999999999E-2</v>
      </c>
      <c r="AA459" s="67"/>
      <c r="AB459" s="67"/>
      <c r="AC459" s="67"/>
    </row>
    <row r="460" spans="1:68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20</v>
      </c>
      <c r="Y460" s="43">
        <f>IFERROR(SUM(Y456:Y458),"0")</f>
        <v>24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30</v>
      </c>
      <c r="Y511" s="55">
        <f t="shared" ref="Y511:Y518" si="71">IFERROR(IF(X511="",0,CEILING((X511/$H511),1)*$H511),"")</f>
        <v>31.68</v>
      </c>
      <c r="Z511" s="41">
        <f>IFERROR(IF(Y511=0,"",ROUNDUP(Y511/H511,0)*0.01196),"")</f>
        <v>7.1760000000000004E-2</v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31.988636363636363</v>
      </c>
      <c r="BN511" s="78">
        <f t="shared" ref="BN511:BN518" si="73">IFERROR(Y511*I511/H511,"0")</f>
        <v>33.779999999999994</v>
      </c>
      <c r="BO511" s="78">
        <f t="shared" ref="BO511:BO518" si="74">IFERROR(1/J511*(X511/H511),"0")</f>
        <v>5.4632867132867136E-2</v>
      </c>
      <c r="BP511" s="78">
        <f t="shared" ref="BP511:BP518" si="75">IFERROR(1/J511*(Y511/H511),"0")</f>
        <v>5.7692307692307696E-2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100</v>
      </c>
      <c r="Y515" s="55">
        <f t="shared" si="71"/>
        <v>100.32000000000001</v>
      </c>
      <c r="Z515" s="41">
        <f>IFERROR(IF(Y515=0,"",ROUNDUP(Y515/H515,0)*0.01196),"")</f>
        <v>0.22724</v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106.62878787878788</v>
      </c>
      <c r="BN515" s="78">
        <f t="shared" si="73"/>
        <v>106.97</v>
      </c>
      <c r="BO515" s="78">
        <f t="shared" si="74"/>
        <v>0.18210955710955709</v>
      </c>
      <c r="BP515" s="78">
        <f t="shared" si="75"/>
        <v>0.18269230769230771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54</v>
      </c>
      <c r="Y517" s="55">
        <f t="shared" si="71"/>
        <v>57.599999999999994</v>
      </c>
      <c r="Z517" s="41">
        <f>IFERROR(IF(Y517=0,"",ROUNDUP(Y517/H517,0)*0.00902),"")</f>
        <v>0.10824</v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77.737499999999997</v>
      </c>
      <c r="BN517" s="78">
        <f t="shared" si="73"/>
        <v>82.92</v>
      </c>
      <c r="BO517" s="78">
        <f t="shared" si="74"/>
        <v>8.5227272727272735E-2</v>
      </c>
      <c r="BP517" s="78">
        <f t="shared" si="75"/>
        <v>9.0909090909090912E-2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120</v>
      </c>
      <c r="Y518" s="55">
        <f t="shared" si="71"/>
        <v>120</v>
      </c>
      <c r="Z518" s="41">
        <f>IFERROR(IF(Y518=0,"",ROUNDUP(Y518/H518,0)*0.00902),"")</f>
        <v>0.22550000000000001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172.75000000000003</v>
      </c>
      <c r="BN518" s="78">
        <f t="shared" si="73"/>
        <v>172.75000000000003</v>
      </c>
      <c r="BO518" s="78">
        <f t="shared" si="74"/>
        <v>0.18939393939393939</v>
      </c>
      <c r="BP518" s="78">
        <f t="shared" si="75"/>
        <v>0.18939393939393939</v>
      </c>
    </row>
    <row r="519" spans="1:68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70.340909090909093</v>
      </c>
      <c r="Y519" s="43">
        <f>IFERROR(Y511/H511,"0")+IFERROR(Y512/H512,"0")+IFERROR(Y513/H513,"0")+IFERROR(Y514/H514,"0")+IFERROR(Y515/H515,"0")+IFERROR(Y516/H516,"0")+IFERROR(Y517/H517,"0")+IFERROR(Y518/H518,"0")</f>
        <v>72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0.75234000000000001</v>
      </c>
      <c r="AA519" s="67"/>
      <c r="AB519" s="67"/>
      <c r="AC519" s="67"/>
    </row>
    <row r="520" spans="1:68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354</v>
      </c>
      <c r="Y520" s="43">
        <f>IFERROR(SUM(Y511:Y518),"0")</f>
        <v>362.4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200</v>
      </c>
      <c r="Y522" s="55">
        <f>IFERROR(IF(X522="",0,CEILING((X522/$H522),1)*$H522),"")</f>
        <v>200.64000000000001</v>
      </c>
      <c r="Z522" s="41">
        <f>IFERROR(IF(Y522=0,"",ROUNDUP(Y522/H522,0)*0.01196),"")</f>
        <v>0.45448</v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213.25757575757575</v>
      </c>
      <c r="BN522" s="78">
        <f>IFERROR(Y522*I522/H522,"0")</f>
        <v>213.94</v>
      </c>
      <c r="BO522" s="78">
        <f>IFERROR(1/J522*(X522/H522),"0")</f>
        <v>0.36421911421911418</v>
      </c>
      <c r="BP522" s="78">
        <f>IFERROR(1/J522*(Y522/H522),"0")</f>
        <v>0.36538461538461542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60</v>
      </c>
      <c r="Y524" s="55">
        <f>IFERROR(IF(X524="",0,CEILING((X524/$H524),1)*$H524),"")</f>
        <v>62.4</v>
      </c>
      <c r="Z524" s="41">
        <f>IFERROR(IF(Y524=0,"",ROUNDUP(Y524/H524,0)*0.00902),"")</f>
        <v>0.11726</v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86.375000000000014</v>
      </c>
      <c r="BN524" s="78">
        <f>IFERROR(Y524*I524/H524,"0")</f>
        <v>89.830000000000013</v>
      </c>
      <c r="BO524" s="78">
        <f>IFERROR(1/J524*(X524/H524),"0")</f>
        <v>9.4696969696969696E-2</v>
      </c>
      <c r="BP524" s="78">
        <f>IFERROR(1/J524*(Y524/H524),"0")</f>
        <v>9.8484848484848481E-2</v>
      </c>
    </row>
    <row r="525" spans="1:68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50.378787878787875</v>
      </c>
      <c r="Y525" s="43">
        <f>IFERROR(Y522/H522,"0")+IFERROR(Y523/H523,"0")+IFERROR(Y524/H524,"0")</f>
        <v>51</v>
      </c>
      <c r="Z525" s="43">
        <f>IFERROR(IF(Z522="",0,Z522),"0")+IFERROR(IF(Z523="",0,Z523),"0")+IFERROR(IF(Z524="",0,Z524),"0")</f>
        <v>0.57174000000000003</v>
      </c>
      <c r="AA525" s="67"/>
      <c r="AB525" s="67"/>
      <c r="AC525" s="67"/>
    </row>
    <row r="526" spans="1:68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260</v>
      </c>
      <c r="Y526" s="43">
        <f>IFERROR(SUM(Y522:Y524),"0")</f>
        <v>263.04000000000002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ref="Y528:Y534" si="76">IFERROR(IF(X528="",0,CEILING((X528/$H528),1)*$H528),"")</f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21.325757575757574</v>
      </c>
      <c r="BN528" s="78">
        <f t="shared" ref="BN528:BN534" si="78">IFERROR(Y528*I528/H528,"0")</f>
        <v>22.52</v>
      </c>
      <c r="BO528" s="78">
        <f t="shared" ref="BO528:BO534" si="79">IFERROR(1/J528*(X528/H528),"0")</f>
        <v>3.6421911421911424E-2</v>
      </c>
      <c r="BP528" s="78">
        <f t="shared" ref="BP528:BP534" si="80">IFERROR(1/J528*(Y528/H528),"0")</f>
        <v>3.8461538461538464E-2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20</v>
      </c>
      <c r="Y529" s="55">
        <f t="shared" si="76"/>
        <v>21.12</v>
      </c>
      <c r="Z529" s="41">
        <f>IFERROR(IF(Y529=0,"",ROUNDUP(Y529/H529,0)*0.01196),"")</f>
        <v>4.7840000000000001E-2</v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21.325757575757574</v>
      </c>
      <c r="BN529" s="78">
        <f t="shared" si="78"/>
        <v>22.52</v>
      </c>
      <c r="BO529" s="78">
        <f t="shared" si="79"/>
        <v>3.6421911421911424E-2</v>
      </c>
      <c r="BP529" s="78">
        <f t="shared" si="80"/>
        <v>3.8461538461538464E-2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120</v>
      </c>
      <c r="Y530" s="55">
        <f t="shared" si="76"/>
        <v>121.44000000000001</v>
      </c>
      <c r="Z530" s="41">
        <f>IFERROR(IF(Y530=0,"",ROUNDUP(Y530/H530,0)*0.01196),"")</f>
        <v>0.27507999999999999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127.95454545454545</v>
      </c>
      <c r="BN530" s="78">
        <f t="shared" si="78"/>
        <v>129.49</v>
      </c>
      <c r="BO530" s="78">
        <f t="shared" si="79"/>
        <v>0.21853146853146854</v>
      </c>
      <c r="BP530" s="78">
        <f t="shared" si="80"/>
        <v>0.22115384615384617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12</v>
      </c>
      <c r="Y531" s="55">
        <f t="shared" si="76"/>
        <v>14.399999999999999</v>
      </c>
      <c r="Z531" s="41">
        <f>IFERROR(IF(Y531=0,"",ROUNDUP(Y531/H531,0)*0.00902),"")</f>
        <v>2.7060000000000001E-2</v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17.275000000000002</v>
      </c>
      <c r="BN531" s="78">
        <f t="shared" si="78"/>
        <v>20.73</v>
      </c>
      <c r="BO531" s="78">
        <f t="shared" si="79"/>
        <v>1.893939393939394E-2</v>
      </c>
      <c r="BP531" s="78">
        <f t="shared" si="80"/>
        <v>2.2727272727272728E-2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120</v>
      </c>
      <c r="Y534" s="55">
        <f t="shared" si="76"/>
        <v>120</v>
      </c>
      <c r="Z534" s="41">
        <f>IFERROR(IF(Y534=0,"",ROUNDUP(Y534/H534,0)*0.00902),"")</f>
        <v>0.22550000000000001</v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166.75</v>
      </c>
      <c r="BN534" s="78">
        <f t="shared" si="78"/>
        <v>166.75</v>
      </c>
      <c r="BO534" s="78">
        <f t="shared" si="79"/>
        <v>0.18939393939393939</v>
      </c>
      <c r="BP534" s="78">
        <f t="shared" si="80"/>
        <v>0.18939393939393939</v>
      </c>
    </row>
    <row r="535" spans="1:68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57.803030303030297</v>
      </c>
      <c r="Y535" s="43">
        <f>IFERROR(Y528/H528,"0")+IFERROR(Y529/H529,"0")+IFERROR(Y530/H530,"0")+IFERROR(Y531/H531,"0")+IFERROR(Y532/H532,"0")+IFERROR(Y533/H533,"0")+IFERROR(Y534/H534,"0")</f>
        <v>59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0.62331999999999999</v>
      </c>
      <c r="AA535" s="67"/>
      <c r="AB535" s="67"/>
      <c r="AC535" s="67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292</v>
      </c>
      <c r="Y536" s="43">
        <f>IFERROR(SUM(Y528:Y534),"0")</f>
        <v>298.08000000000004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120</v>
      </c>
      <c r="Y540" s="55">
        <f>IFERROR(IF(X540="",0,CEILING((X540/$H540),1)*$H540),"")</f>
        <v>120</v>
      </c>
      <c r="Z540" s="41">
        <f>IFERROR(IF(Y540=0,"",ROUNDUP(Y540/H540,0)*0.01898),"")</f>
        <v>0.1898</v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124.10000000000001</v>
      </c>
      <c r="BN540" s="78">
        <f>IFERROR(Y540*I540/H540,"0")</f>
        <v>124.10000000000001</v>
      </c>
      <c r="BO540" s="78">
        <f>IFERROR(1/J540*(X540/H540),"0")</f>
        <v>0.15625</v>
      </c>
      <c r="BP540" s="78">
        <f>IFERROR(1/J540*(Y540/H540),"0")</f>
        <v>0.15625</v>
      </c>
    </row>
    <row r="541" spans="1:68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10</v>
      </c>
      <c r="Y541" s="43">
        <f>IFERROR(Y540/H540,"0")</f>
        <v>10</v>
      </c>
      <c r="Z541" s="43">
        <f>IFERROR(IF(Z540="",0,Z540),"0")</f>
        <v>0.1898</v>
      </c>
      <c r="AA541" s="67"/>
      <c r="AB541" s="67"/>
      <c r="AC541" s="67"/>
    </row>
    <row r="542" spans="1:68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120</v>
      </c>
      <c r="Y542" s="43">
        <f>IFERROR(SUM(Y540:Y540),"0")</f>
        <v>120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720</v>
      </c>
      <c r="Y552" s="55">
        <f>IFERROR(IF(X552="",0,CEILING((X552/$H552),1)*$H552),"")</f>
        <v>720</v>
      </c>
      <c r="Z552" s="41">
        <f>IFERROR(IF(Y552=0,"",ROUNDUP(Y552/H552,0)*0.01898),"")</f>
        <v>1.5184</v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759.52</v>
      </c>
      <c r="BN552" s="78">
        <f>IFERROR(Y552*I552/H552,"0")</f>
        <v>759.52</v>
      </c>
      <c r="BO552" s="78">
        <f>IFERROR(1/J552*(X552/H552),"0")</f>
        <v>1.25</v>
      </c>
      <c r="BP552" s="78">
        <f>IFERROR(1/J552*(Y552/H552),"0")</f>
        <v>1.25</v>
      </c>
    </row>
    <row r="553" spans="1:68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80</v>
      </c>
      <c r="Y553" s="43">
        <f>IFERROR(Y552/H552,"0")</f>
        <v>80</v>
      </c>
      <c r="Z553" s="43">
        <f>IFERROR(IF(Z552="",0,Z552),"0")</f>
        <v>1.5184</v>
      </c>
      <c r="AA553" s="67"/>
      <c r="AB553" s="67"/>
      <c r="AC553" s="67"/>
    </row>
    <row r="554" spans="1:68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720</v>
      </c>
      <c r="Y554" s="43">
        <f>IFERROR(SUM(Y552:Y552),"0")</f>
        <v>720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17651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17826.480000000003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18791.91294428282</v>
      </c>
      <c r="Y566" s="43">
        <f>IFERROR(SUM(BN22:BN562),"0")</f>
        <v>18980.457999999995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33</v>
      </c>
      <c r="Y567" s="44">
        <f>ROUNDUP(SUM(BP22:BP562),0)</f>
        <v>33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19616.91294428282</v>
      </c>
      <c r="Y568" s="43">
        <f>GrossWeightTotalR+PalletQtyTotalR*25</f>
        <v>19805.457999999995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3703.4233584385288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3735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37.57109999999998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332.8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592.19999999999993</v>
      </c>
      <c r="F575" s="52">
        <f>IFERROR(Y89*1,"0")+IFERROR(Y90*1,"0")+IFERROR(Y91*1,"0")+IFERROR(Y92*1,"0")+IFERROR(Y93*1,"0")+IFERROR(Y94*1,"0")+IFERROR(Y98*1,"0")+IFERROR(Y99*1,"0")+IFERROR(Y100*1,"0")+IFERROR(Y101*1,"0")</f>
        <v>1125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1476.1799999999998</v>
      </c>
      <c r="H575" s="52">
        <f>IFERROR(Y136*1,"0")+IFERROR(Y137*1,"0")+IFERROR(Y141*1,"0")+IFERROR(Y142*1,"0")+IFERROR(Y146*1,"0")+IFERROR(Y147*1,"0")</f>
        <v>112.32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1195.92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485.14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1702.1999999999998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33.200000000000003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369.6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655.19999999999993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1033.0000000000002</v>
      </c>
      <c r="V575" s="52">
        <f>IFERROR(Y424*1,"0")+IFERROR(Y425*1,"0")+IFERROR(Y426*1,"0")</f>
        <v>23.4</v>
      </c>
      <c r="W575" s="52">
        <f>IFERROR(Y431*1,"0")+IFERROR(Y432*1,"0")+IFERROR(Y433*1,"0")</f>
        <v>1192.8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5734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923.52</v>
      </c>
      <c r="AC575" s="52">
        <f>IFERROR(Y540*1,"0")+IFERROR(Y544*1,"0")+IFERROR(Y548*1,"0")+IFERROR(Y552*1,"0")+IFERROR(Y556*1,"0")+IFERROR(Y557*1,"0")</f>
        <v>840</v>
      </c>
      <c r="AD575" s="52">
        <f>IFERROR(Y562*1,"0")</f>
        <v>0</v>
      </c>
      <c r="AF575" s="1"/>
    </row>
  </sheetData>
  <sheetProtection algorithmName="SHA-512" hashValue="tE5lX69J2UfQYURs7syiQoLABidLY6UiJWrVnO8Htpgt8G0S2jVZWVm7GamLqhAB3DGepsUJzMOu2zVGtSe3rA==" saltValue="YEOZktrbMv3D7LgIM+psF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 100,00"/>
        <filter val="1 170,00"/>
        <filter val="1 189,00"/>
        <filter val="1 190,00"/>
        <filter val="1 200,00"/>
        <filter val="1 220,00"/>
        <filter val="1 400,00"/>
        <filter val="10,00"/>
        <filter val="100,00"/>
        <filter val="105,00"/>
        <filter val="12,00"/>
        <filter val="12,50"/>
        <filter val="120,00"/>
        <filter val="122,38"/>
        <filter val="140,00"/>
        <filter val="153,33"/>
        <filter val="159,81"/>
        <filter val="16,67"/>
        <filter val="160,00"/>
        <filter val="164,20"/>
        <filter val="17 651,00"/>
        <filter val="170,00"/>
        <filter val="175,00"/>
        <filter val="18 791,91"/>
        <filter val="19 616,91"/>
        <filter val="2,00"/>
        <filter val="2,56"/>
        <filter val="20,00"/>
        <filter val="20,20"/>
        <filter val="200,00"/>
        <filter val="201,90"/>
        <filter val="21,00"/>
        <filter val="210,00"/>
        <filter val="220,00"/>
        <filter val="240,00"/>
        <filter val="250,00"/>
        <filter val="256,00"/>
        <filter val="260,00"/>
        <filter val="261,73"/>
        <filter val="280,00"/>
        <filter val="292,00"/>
        <filter val="298,67"/>
        <filter val="3 703,42"/>
        <filter val="30,00"/>
        <filter val="300,00"/>
        <filter val="315,00"/>
        <filter val="320,00"/>
        <filter val="33"/>
        <filter val="33,00"/>
        <filter val="330,00"/>
        <filter val="35,00"/>
        <filter val="350,00"/>
        <filter val="354,00"/>
        <filter val="36,00"/>
        <filter val="360,00"/>
        <filter val="366,86"/>
        <filter val="368,00"/>
        <filter val="37,96"/>
        <filter val="382,00"/>
        <filter val="390,00"/>
        <filter val="399,51"/>
        <filter val="4 460,00"/>
        <filter val="4,17"/>
        <filter val="40,00"/>
        <filter val="415,00"/>
        <filter val="448,00"/>
        <filter val="45,00"/>
        <filter val="450,00"/>
        <filter val="461,00"/>
        <filter val="48,00"/>
        <filter val="490,00"/>
        <filter val="5,00"/>
        <filter val="5,56"/>
        <filter val="50,00"/>
        <filter val="50,38"/>
        <filter val="500,00"/>
        <filter val="502,00"/>
        <filter val="52,00"/>
        <filter val="54,00"/>
        <filter val="540,00"/>
        <filter val="55,74"/>
        <filter val="566,67"/>
        <filter val="57,80"/>
        <filter val="6,67"/>
        <filter val="60,00"/>
        <filter val="610,00"/>
        <filter val="640,00"/>
        <filter val="7,00"/>
        <filter val="70,34"/>
        <filter val="700,00"/>
        <filter val="710,00"/>
        <filter val="720,00"/>
        <filter val="79,26"/>
        <filter val="8,00"/>
        <filter val="80,00"/>
        <filter val="81,33"/>
        <filter val="82,05"/>
        <filter val="82,78"/>
        <filter val="84,00"/>
        <filter val="87,73"/>
        <filter val="88,00"/>
        <filter val="9,87"/>
        <filter val="90,00"/>
        <filter val="96,00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885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</sheetData>
  <sheetProtection algorithmName="SHA-512" hashValue="FobDycBblUcKcLSw3y1Bn+lwJfkGbTaB2GP7Bt2e/ZLQdvxnfSaRmQ1zkB8RSCb4G8RzowOyrLcizj93ZvQwrg==" saltValue="+y2Xb0i+h8LC1aYGRcx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