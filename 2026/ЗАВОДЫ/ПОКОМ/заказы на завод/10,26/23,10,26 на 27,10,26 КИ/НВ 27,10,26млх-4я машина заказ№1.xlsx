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41C6BB8-3B7D-4250-A0FF-93158E5BE8C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X549" i="1"/>
  <c r="BO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X541" i="1"/>
  <c r="BO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BP528" i="1" s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Y525" i="1" s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BN462" i="1" s="1"/>
  <c r="P462" i="1"/>
  <c r="X460" i="1"/>
  <c r="X459" i="1"/>
  <c r="BO458" i="1"/>
  <c r="BM458" i="1"/>
  <c r="Y458" i="1"/>
  <c r="BP458" i="1" s="1"/>
  <c r="P458" i="1"/>
  <c r="BO457" i="1"/>
  <c r="BM457" i="1"/>
  <c r="Y457" i="1"/>
  <c r="P457" i="1"/>
  <c r="BO456" i="1"/>
  <c r="BM456" i="1"/>
  <c r="Y456" i="1"/>
  <c r="Y459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BN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Z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BN348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O328" i="1"/>
  <c r="BM328" i="1"/>
  <c r="Y328" i="1"/>
  <c r="BN328" i="1" s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N324" i="1"/>
  <c r="BM324" i="1"/>
  <c r="Y324" i="1"/>
  <c r="BP324" i="1" s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BN315" i="1" s="1"/>
  <c r="P315" i="1"/>
  <c r="X313" i="1"/>
  <c r="X312" i="1"/>
  <c r="BP311" i="1"/>
  <c r="BO311" i="1"/>
  <c r="BM311" i="1"/>
  <c r="Z311" i="1"/>
  <c r="Z312" i="1" s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M301" i="1"/>
  <c r="Z301" i="1"/>
  <c r="Y301" i="1"/>
  <c r="BN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N297" i="1" s="1"/>
  <c r="P297" i="1"/>
  <c r="X294" i="1"/>
  <c r="X293" i="1"/>
  <c r="BP292" i="1"/>
  <c r="BO292" i="1"/>
  <c r="BM292" i="1"/>
  <c r="Z292" i="1"/>
  <c r="Y292" i="1"/>
  <c r="BN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M280" i="1"/>
  <c r="Z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M266" i="1"/>
  <c r="Z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BN256" i="1" s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M231" i="1"/>
  <c r="Z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N155" i="1"/>
  <c r="BM155" i="1"/>
  <c r="Z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BP147" i="1" s="1"/>
  <c r="P147" i="1"/>
  <c r="BO146" i="1"/>
  <c r="BM146" i="1"/>
  <c r="Y146" i="1"/>
  <c r="BN146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N109" i="1"/>
  <c r="BM109" i="1"/>
  <c r="Z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F575" i="1" s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75" i="1" s="1"/>
  <c r="P41" i="1"/>
  <c r="X37" i="1"/>
  <c r="X36" i="1"/>
  <c r="BO35" i="1"/>
  <c r="BM35" i="1"/>
  <c r="Y35" i="1"/>
  <c r="BP35" i="1" s="1"/>
  <c r="P35" i="1"/>
  <c r="BO34" i="1"/>
  <c r="BM34" i="1"/>
  <c r="Z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5" i="1" s="1"/>
  <c r="X23" i="1"/>
  <c r="BO22" i="1"/>
  <c r="BM22" i="1"/>
  <c r="Y22" i="1"/>
  <c r="P22" i="1"/>
  <c r="H10" i="1"/>
  <c r="A9" i="1"/>
  <c r="A10" i="1" s="1"/>
  <c r="D7" i="1"/>
  <c r="Q6" i="1"/>
  <c r="P2" i="1"/>
  <c r="Y75" i="1" l="1"/>
  <c r="BN28" i="1"/>
  <c r="BN42" i="1"/>
  <c r="Z59" i="1"/>
  <c r="BP59" i="1"/>
  <c r="Z71" i="1"/>
  <c r="BP71" i="1"/>
  <c r="Y79" i="1"/>
  <c r="Z90" i="1"/>
  <c r="BP90" i="1"/>
  <c r="Z100" i="1"/>
  <c r="BP100" i="1"/>
  <c r="G575" i="1"/>
  <c r="Y121" i="1"/>
  <c r="BN125" i="1"/>
  <c r="Z146" i="1"/>
  <c r="BP146" i="1"/>
  <c r="Z184" i="1"/>
  <c r="BP184" i="1"/>
  <c r="BN210" i="1"/>
  <c r="Y233" i="1"/>
  <c r="Z227" i="1"/>
  <c r="BP227" i="1"/>
  <c r="Z239" i="1"/>
  <c r="Z256" i="1"/>
  <c r="BP256" i="1"/>
  <c r="Z297" i="1"/>
  <c r="BP297" i="1"/>
  <c r="Z307" i="1"/>
  <c r="Z308" i="1" s="1"/>
  <c r="BP307" i="1"/>
  <c r="BN311" i="1"/>
  <c r="Y312" i="1"/>
  <c r="Z315" i="1"/>
  <c r="BP315" i="1"/>
  <c r="Z328" i="1"/>
  <c r="BP328" i="1"/>
  <c r="Z348" i="1"/>
  <c r="BP348" i="1"/>
  <c r="BN373" i="1"/>
  <c r="BN383" i="1"/>
  <c r="BN393" i="1"/>
  <c r="BN411" i="1"/>
  <c r="Z432" i="1"/>
  <c r="BP432" i="1"/>
  <c r="Z446" i="1"/>
  <c r="BP446" i="1"/>
  <c r="BN458" i="1"/>
  <c r="Z462" i="1"/>
  <c r="BP462" i="1"/>
  <c r="Y575" i="1"/>
  <c r="BN487" i="1"/>
  <c r="Z514" i="1"/>
  <c r="BP514" i="1"/>
  <c r="Z524" i="1"/>
  <c r="BP524" i="1"/>
  <c r="BN528" i="1"/>
  <c r="BN540" i="1"/>
  <c r="Y541" i="1"/>
  <c r="Z544" i="1"/>
  <c r="Z545" i="1" s="1"/>
  <c r="BP544" i="1"/>
  <c r="BN548" i="1"/>
  <c r="Y549" i="1"/>
  <c r="Z552" i="1"/>
  <c r="Z553" i="1" s="1"/>
  <c r="BP552" i="1"/>
  <c r="BN556" i="1"/>
  <c r="Y188" i="1"/>
  <c r="Z324" i="1"/>
  <c r="Z366" i="1"/>
  <c r="Z28" i="1"/>
  <c r="Y36" i="1"/>
  <c r="Z42" i="1"/>
  <c r="Z125" i="1"/>
  <c r="Z176" i="1"/>
  <c r="BP176" i="1"/>
  <c r="Z210" i="1"/>
  <c r="L575" i="1"/>
  <c r="BN239" i="1"/>
  <c r="BN307" i="1"/>
  <c r="Y308" i="1"/>
  <c r="Z373" i="1"/>
  <c r="Z383" i="1"/>
  <c r="Z393" i="1"/>
  <c r="Z411" i="1"/>
  <c r="Z458" i="1"/>
  <c r="Z487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Y23" i="1"/>
  <c r="BP22" i="1"/>
  <c r="BN22" i="1"/>
  <c r="Z22" i="1"/>
  <c r="Z23" i="1" s="1"/>
  <c r="Z26" i="1"/>
  <c r="BN26" i="1"/>
  <c r="BP26" i="1"/>
  <c r="Z30" i="1"/>
  <c r="BN30" i="1"/>
  <c r="Z190" i="1"/>
  <c r="BN190" i="1"/>
  <c r="BP190" i="1"/>
  <c r="K575" i="1"/>
  <c r="Z208" i="1"/>
  <c r="BN208" i="1"/>
  <c r="Z221" i="1"/>
  <c r="BN221" i="1"/>
  <c r="Z225" i="1"/>
  <c r="BN225" i="1"/>
  <c r="Z229" i="1"/>
  <c r="BN229" i="1"/>
  <c r="Z237" i="1"/>
  <c r="BN237" i="1"/>
  <c r="Z245" i="1"/>
  <c r="BN245" i="1"/>
  <c r="M575" i="1"/>
  <c r="Z260" i="1"/>
  <c r="BN260" i="1"/>
  <c r="BP260" i="1"/>
  <c r="Y274" i="1"/>
  <c r="Z268" i="1"/>
  <c r="BN268" i="1"/>
  <c r="Z272" i="1"/>
  <c r="BN272" i="1"/>
  <c r="Z278" i="1"/>
  <c r="BN278" i="1"/>
  <c r="Z282" i="1"/>
  <c r="BN282" i="1"/>
  <c r="Z286" i="1"/>
  <c r="BN286" i="1"/>
  <c r="Z299" i="1"/>
  <c r="BN299" i="1"/>
  <c r="Z303" i="1"/>
  <c r="BN303" i="1"/>
  <c r="Y319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BN34" i="1"/>
  <c r="BP34" i="1"/>
  <c r="Z44" i="1"/>
  <c r="BN44" i="1"/>
  <c r="D575" i="1"/>
  <c r="Z54" i="1"/>
  <c r="BN54" i="1"/>
  <c r="Z61" i="1"/>
  <c r="BN61" i="1"/>
  <c r="Z65" i="1"/>
  <c r="BN65" i="1"/>
  <c r="Z73" i="1"/>
  <c r="BN73" i="1"/>
  <c r="Z83" i="1"/>
  <c r="BN83" i="1"/>
  <c r="Z92" i="1"/>
  <c r="BN92" i="1"/>
  <c r="Z98" i="1"/>
  <c r="BN98" i="1"/>
  <c r="BP98" i="1"/>
  <c r="Z107" i="1"/>
  <c r="BN107" i="1"/>
  <c r="Z111" i="1"/>
  <c r="BN111" i="1"/>
  <c r="Z119" i="1"/>
  <c r="BN119" i="1"/>
  <c r="Z127" i="1"/>
  <c r="BN127" i="1"/>
  <c r="Y138" i="1"/>
  <c r="Z142" i="1"/>
  <c r="BN142" i="1"/>
  <c r="Y148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2" i="1"/>
  <c r="BN182" i="1"/>
  <c r="Z186" i="1"/>
  <c r="BN186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Y139" i="1"/>
  <c r="Y143" i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Y263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H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Z137" i="1"/>
  <c r="Z138" i="1" s="1"/>
  <c r="BN137" i="1"/>
  <c r="Z141" i="1"/>
  <c r="Z143" i="1" s="1"/>
  <c r="BN141" i="1"/>
  <c r="BP141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BP365" i="1"/>
  <c r="BN365" i="1"/>
  <c r="Z365" i="1"/>
  <c r="Z367" i="1" s="1"/>
  <c r="BP374" i="1"/>
  <c r="BN374" i="1"/>
  <c r="Z374" i="1"/>
  <c r="Y378" i="1"/>
  <c r="BP382" i="1"/>
  <c r="BN382" i="1"/>
  <c r="Z382" i="1"/>
  <c r="BP386" i="1"/>
  <c r="BN386" i="1"/>
  <c r="Z386" i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Z519" i="1" s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Z535" i="1" s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88" i="1" l="1"/>
  <c r="Z233" i="1"/>
  <c r="Z113" i="1"/>
  <c r="Z95" i="1"/>
  <c r="Z74" i="1"/>
  <c r="Z55" i="1"/>
  <c r="Z46" i="1"/>
  <c r="Z212" i="1"/>
  <c r="Z121" i="1"/>
  <c r="Z187" i="1"/>
  <c r="Z168" i="1"/>
  <c r="Z102" i="1"/>
  <c r="Y567" i="1"/>
  <c r="Z31" i="1"/>
  <c r="Z491" i="1"/>
  <c r="Z288" i="1"/>
  <c r="Z67" i="1"/>
  <c r="Y566" i="1"/>
  <c r="Y568" i="1" s="1"/>
  <c r="Z395" i="1"/>
  <c r="Z378" i="1"/>
  <c r="Z304" i="1"/>
  <c r="Y569" i="1"/>
  <c r="Z273" i="1"/>
  <c r="X568" i="1"/>
  <c r="Z447" i="1"/>
  <c r="Z427" i="1"/>
  <c r="Z408" i="1"/>
  <c r="Z345" i="1"/>
  <c r="Z241" i="1"/>
  <c r="Z156" i="1"/>
  <c r="Z128" i="1"/>
  <c r="Z85" i="1"/>
  <c r="Y565" i="1"/>
  <c r="Z506" i="1"/>
  <c r="Z330" i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<sst xmlns="http://schemas.openxmlformats.org/spreadsheetml/2006/main" count="2537" uniqueCount="914">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</sst>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124" sqref="AA1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46322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890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Вторник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5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0.5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0</v>
      </c>
      <c r="Y55" s="637">
        <f>IFERROR(Y51/H51,"0")+IFERROR(Y52/H52,"0")+IFERROR(Y53/H53,"0")+IFERROR(Y54/H54,"0")</f>
        <v>0</v>
      </c>
      <c r="Z55" s="637">
        <f>IFERROR(IF(Z51="",0,Z51),"0")+IFERROR(IF(Z52="",0,Z52),"0")+IFERROR(IF(Z53="",0,Z53),"0")+IFERROR(IF(Z54="",0,Z54),"0")</f>
        <v>0</v>
      </c>
      <c r="AA55" s="638"/>
      <c r="AB55" s="638"/>
      <c r="AC55" s="638"/>
    </row>
    <row r="56" spans="1:68" hidden="1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0</v>
      </c>
      <c r="Y56" s="637">
        <f>IFERROR(SUM(Y51:Y54),"0")</f>
        <v>0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0</v>
      </c>
      <c r="Y67" s="637">
        <f>IFERROR(Y59/H59,"0")+IFERROR(Y60/H60,"0")+IFERROR(Y61/H61,"0")+IFERROR(Y62/H62,"0")+IFERROR(Y63/H63,"0")+IFERROR(Y64/H64,"0")+IFERROR(Y65/H65,"0")+IFERROR(Y66/H66,"0")</f>
        <v>0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8"/>
      <c r="AB67" s="638"/>
      <c r="AC67" s="638"/>
    </row>
    <row r="68" spans="1:68" hidden="1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0</v>
      </c>
      <c r="Y68" s="637">
        <f>IFERROR(SUM(Y59:Y66),"0")</f>
        <v>0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100</v>
      </c>
      <c r="Y124" s="636">
        <f>IFERROR(IF(X124="",0,CEILING((X124/$H124),1)*$H124),"")</f>
        <v>105.3</v>
      </c>
      <c r="Z124" s="36">
        <f>IFERROR(IF(Y124=0,"",ROUNDUP(Y124/H124,0)*0.01898),"")</f>
        <v>0.24674000000000001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106.0246913580247</v>
      </c>
      <c r="BN124" s="64">
        <f>IFERROR(Y124*I124/H124,"0")</f>
        <v>111.64399999999999</v>
      </c>
      <c r="BO124" s="64">
        <f>IFERROR(1/J124*(X124/H124),"0")</f>
        <v>0.19290123456790123</v>
      </c>
      <c r="BP124" s="64">
        <f>IFERROR(1/J124*(Y124/H124),"0")</f>
        <v>0.203125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0</v>
      </c>
      <c r="Y126" s="63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12.345679012345679</v>
      </c>
      <c r="Y128" s="637">
        <f>IFERROR(Y124/H124,"0")+IFERROR(Y125/H125,"0")+IFERROR(Y126/H126,"0")+IFERROR(Y127/H127,"0")</f>
        <v>13</v>
      </c>
      <c r="Z128" s="637">
        <f>IFERROR(IF(Z124="",0,Z124),"0")+IFERROR(IF(Z125="",0,Z125),"0")+IFERROR(IF(Z126="",0,Z126),"0")+IFERROR(IF(Z127="",0,Z127),"0")</f>
        <v>0.24674000000000001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100</v>
      </c>
      <c r="Y129" s="637">
        <f>IFERROR(SUM(Y124:Y127),"0")</f>
        <v>105.3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50</v>
      </c>
      <c r="Y177" s="636">
        <f t="shared" si="15"/>
        <v>52.5</v>
      </c>
      <c r="Z177" s="36">
        <f>IFERROR(IF(Y177=0,"",ROUNDUP(Y177/H177,0)*0.00902),"")</f>
        <v>0.1353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52.714285714285715</v>
      </c>
      <c r="BN177" s="64">
        <f t="shared" si="17"/>
        <v>55.35</v>
      </c>
      <c r="BO177" s="64">
        <f t="shared" si="18"/>
        <v>0.10822510822510824</v>
      </c>
      <c r="BP177" s="64">
        <f t="shared" si="19"/>
        <v>0.11363636363636365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14.285714285714286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15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0.1353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50</v>
      </c>
      <c r="Y188" s="637">
        <f>IFERROR(SUM(Y176:Y186),"0")</f>
        <v>52.5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55</v>
      </c>
      <c r="Y266" s="636">
        <f t="shared" si="31"/>
        <v>59.400000000000006</v>
      </c>
      <c r="Z266" s="36">
        <f>IFERROR(IF(Y266=0,"",ROUNDUP(Y266/H266,0)*0.00902),"")</f>
        <v>9.9220000000000003E-2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56.935185185185176</v>
      </c>
      <c r="BN266" s="64">
        <f t="shared" si="33"/>
        <v>61.49</v>
      </c>
      <c r="BO266" s="64">
        <f t="shared" si="34"/>
        <v>7.716049382716049E-2</v>
      </c>
      <c r="BP266" s="64">
        <f t="shared" si="35"/>
        <v>8.3333333333333343E-2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10.185185185185185</v>
      </c>
      <c r="Y273" s="637">
        <f>IFERROR(Y265/H265,"0")+IFERROR(Y266/H266,"0")+IFERROR(Y267/H267,"0")+IFERROR(Y268/H268,"0")+IFERROR(Y269/H269,"0")+IFERROR(Y270/H270,"0")+IFERROR(Y271/H271,"0")+IFERROR(Y272/H272,"0")</f>
        <v>11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9.9220000000000003E-2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55</v>
      </c>
      <c r="Y274" s="637">
        <f>IFERROR(SUM(Y265:Y272),"0")</f>
        <v>59.400000000000006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hidden="1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0</v>
      </c>
      <c r="Y289" s="637">
        <f>IFERROR(SUM(Y276:Y287),"0")</f>
        <v>0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300</v>
      </c>
      <c r="Y442" s="636">
        <f t="shared" si="61"/>
        <v>300</v>
      </c>
      <c r="Z442" s="36">
        <f>IFERROR(IF(Y442=0,"",ROUNDUP(Y442/H442,0)*0.02175),"")</f>
        <v>0.43499999999999994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309.39999999999998</v>
      </c>
      <c r="BN442" s="64">
        <f t="shared" si="63"/>
        <v>309.39999999999998</v>
      </c>
      <c r="BO442" s="64">
        <f t="shared" si="64"/>
        <v>0.41666666666666663</v>
      </c>
      <c r="BP442" s="64">
        <f t="shared" si="65"/>
        <v>0.41666666666666663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</v>
      </c>
      <c r="Y447" s="637">
        <f>IFERROR(Y439/H439,"0")+IFERROR(Y440/H440,"0")+IFERROR(Y441/H441,"0")+IFERROR(Y442/H442,"0")+IFERROR(Y443/H443,"0")+IFERROR(Y444/H444,"0")+IFERROR(Y445/H445,"0")+IFERROR(Y446/H446,"0")</f>
        <v>20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0.43499999999999994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300</v>
      </c>
      <c r="Y448" s="637">
        <f>IFERROR(SUM(Y439:Y446),"0")</f>
        <v>300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390</v>
      </c>
      <c r="Y450" s="636">
        <f>IFERROR(IF(X450="",0,CEILING((X450/$H450),1)*$H450),"")</f>
        <v>390</v>
      </c>
      <c r="Z450" s="36">
        <f>IFERROR(IF(Y450=0,"",ROUNDUP(Y450/H450,0)*0.02175),"")</f>
        <v>0.5655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402.22</v>
      </c>
      <c r="BN450" s="64">
        <f>IFERROR(Y450*I450/H450,"0")</f>
        <v>402.22</v>
      </c>
      <c r="BO450" s="64">
        <f>IFERROR(1/J450*(X450/H450),"0")</f>
        <v>0.54166666666666663</v>
      </c>
      <c r="BP450" s="64">
        <f>IFERROR(1/J450*(Y450/H450),"0")</f>
        <v>0.54166666666666663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26</v>
      </c>
      <c r="Y453" s="637">
        <f>IFERROR(Y450/H450,"0")+IFERROR(Y451/H451,"0")+IFERROR(Y452/H452,"0")</f>
        <v>26</v>
      </c>
      <c r="Z453" s="637">
        <f>IFERROR(IF(Z450="",0,Z450),"0")+IFERROR(IF(Z451="",0,Z451),"0")+IFERROR(IF(Z452="",0,Z452),"0")</f>
        <v>0.5655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390</v>
      </c>
      <c r="Y454" s="637">
        <f>IFERROR(SUM(Y450:Y452),"0")</f>
        <v>390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hidden="1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0</v>
      </c>
      <c r="Y519" s="637">
        <f>IFERROR(Y511/H511,"0")+IFERROR(Y512/H512,"0")+IFERROR(Y513/H513,"0")+IFERROR(Y514/H514,"0")+IFERROR(Y515/H515,"0")+IFERROR(Y516/H516,"0")+IFERROR(Y517/H517,"0")+IFERROR(Y518/H518,"0")</f>
        <v>0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38"/>
      <c r="AB519" s="638"/>
      <c r="AC519" s="638"/>
    </row>
    <row r="520" spans="1:68" hidden="1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0</v>
      </c>
      <c r="Y520" s="637">
        <f>IFERROR(SUM(Y511:Y518),"0")</f>
        <v>0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105</v>
      </c>
      <c r="Y522" s="636">
        <f>IFERROR(IF(X522="",0,CEILING((X522/$H522),1)*$H522),"")</f>
        <v>105.60000000000001</v>
      </c>
      <c r="Z522" s="36">
        <f>IFERROR(IF(Y522=0,"",ROUNDUP(Y522/H522,0)*0.01196),"")</f>
        <v>0.2392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111.96022727272727</v>
      </c>
      <c r="BN522" s="64">
        <f>IFERROR(Y522*I522/H522,"0")</f>
        <v>112.6</v>
      </c>
      <c r="BO522" s="64">
        <f>IFERROR(1/J522*(X522/H522),"0")</f>
        <v>0.19121503496503497</v>
      </c>
      <c r="BP522" s="64">
        <f>IFERROR(1/J522*(Y522/H522),"0")</f>
        <v>0.19230769230769232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19.886363636363637</v>
      </c>
      <c r="Y525" s="637">
        <f>IFERROR(Y522/H522,"0")+IFERROR(Y523/H523,"0")+IFERROR(Y524/H524,"0")</f>
        <v>20</v>
      </c>
      <c r="Z525" s="637">
        <f>IFERROR(IF(Z522="",0,Z522),"0")+IFERROR(IF(Z523="",0,Z523),"0")+IFERROR(IF(Z524="",0,Z524),"0")</f>
        <v>0.2392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105</v>
      </c>
      <c r="Y526" s="637">
        <f>IFERROR(SUM(Y522:Y524),"0")</f>
        <v>105.60000000000001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1000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1012.8000000000001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1039.2543895302229</v>
      </c>
      <c r="Y566" s="637">
        <f>IFERROR(SUM(BN22:BN562),"0")</f>
        <v>1052.704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2</v>
      </c>
      <c r="Y567" s="38">
        <f>ROUNDUP(SUM(BP22:BP562),0)</f>
        <v>2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1089.2543895302229</v>
      </c>
      <c r="Y568" s="637">
        <f>GrossWeightTotalR+PalletQtyTotalR*25</f>
        <v>1102.704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102.70294211960879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105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1.72096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0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46">
        <f>IFERROR(Y89*1,"0")+IFERROR(Y90*1,"0")+IFERROR(Y91*1,"0")+IFERROR(Y92*1,"0")+IFERROR(Y93*1,"0")+IFERROR(Y94*1,"0")+IFERROR(Y98*1,"0")+IFERROR(Y99*1,"0")+IFERROR(Y100*1,"0")+IFERROR(Y101*1,"0")</f>
        <v>0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105.3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52.5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59.400000000000006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690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105.60000000000001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9,25"/>
        <filter val="1 089,25"/>
        <filter val="10,19"/>
        <filter val="100,00"/>
        <filter val="102,70"/>
        <filter val="105,00"/>
        <filter val="12,35"/>
        <filter val="14,29"/>
        <filter val="19,89"/>
        <filter val="2"/>
        <filter val="20,00"/>
        <filter val="26,00"/>
        <filter val="300,00"/>
        <filter val="390,00"/>
        <filter val="50,00"/>
        <filter val="55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