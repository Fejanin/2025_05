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DFEDD4D4-75FB-4CEA-88EA-D69E126AACBC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P521" i="2"/>
  <c r="BO520" i="2"/>
  <c r="BM520" i="2"/>
  <c r="Y520" i="2"/>
  <c r="P520" i="2"/>
  <c r="BO519" i="2"/>
  <c r="BM519" i="2"/>
  <c r="Y519" i="2"/>
  <c r="P519" i="2"/>
  <c r="BO518" i="2"/>
  <c r="BM518" i="2"/>
  <c r="Y518" i="2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Y514" i="2" s="1"/>
  <c r="P511" i="2"/>
  <c r="X509" i="2"/>
  <c r="X508" i="2"/>
  <c r="BO507" i="2"/>
  <c r="BM507" i="2"/>
  <c r="Y507" i="2"/>
  <c r="BP507" i="2" s="1"/>
  <c r="P507" i="2"/>
  <c r="BO506" i="2"/>
  <c r="BM506" i="2"/>
  <c r="Y506" i="2"/>
  <c r="P506" i="2"/>
  <c r="BO505" i="2"/>
  <c r="BM505" i="2"/>
  <c r="Y505" i="2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P493" i="2"/>
  <c r="BO492" i="2"/>
  <c r="BM492" i="2"/>
  <c r="Y492" i="2"/>
  <c r="P492" i="2"/>
  <c r="BO491" i="2"/>
  <c r="BM491" i="2"/>
  <c r="Y491" i="2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P475" i="2"/>
  <c r="BO474" i="2"/>
  <c r="BM474" i="2"/>
  <c r="Y474" i="2"/>
  <c r="P474" i="2"/>
  <c r="BO473" i="2"/>
  <c r="BM473" i="2"/>
  <c r="Y473" i="2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P460" i="2"/>
  <c r="X458" i="2"/>
  <c r="X457" i="2"/>
  <c r="BO456" i="2"/>
  <c r="BM456" i="2"/>
  <c r="Y456" i="2"/>
  <c r="P456" i="2"/>
  <c r="BO455" i="2"/>
  <c r="BM455" i="2"/>
  <c r="Y455" i="2"/>
  <c r="Y458" i="2" s="1"/>
  <c r="P455" i="2"/>
  <c r="X452" i="2"/>
  <c r="X451" i="2"/>
  <c r="BO450" i="2"/>
  <c r="BM450" i="2"/>
  <c r="Y450" i="2"/>
  <c r="P450" i="2"/>
  <c r="BO449" i="2"/>
  <c r="BM449" i="2"/>
  <c r="Y449" i="2"/>
  <c r="P449" i="2"/>
  <c r="X447" i="2"/>
  <c r="X446" i="2"/>
  <c r="BO445" i="2"/>
  <c r="BM445" i="2"/>
  <c r="Y445" i="2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P437" i="2"/>
  <c r="X435" i="2"/>
  <c r="X434" i="2"/>
  <c r="BO433" i="2"/>
  <c r="BM433" i="2"/>
  <c r="Y433" i="2"/>
  <c r="P433" i="2"/>
  <c r="BO432" i="2"/>
  <c r="BM432" i="2"/>
  <c r="Y432" i="2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P427" i="2"/>
  <c r="BO426" i="2"/>
  <c r="BM426" i="2"/>
  <c r="Y426" i="2"/>
  <c r="P426" i="2"/>
  <c r="X422" i="2"/>
  <c r="X421" i="2"/>
  <c r="BO420" i="2"/>
  <c r="BM420" i="2"/>
  <c r="Y420" i="2"/>
  <c r="P420" i="2"/>
  <c r="BO419" i="2"/>
  <c r="BM419" i="2"/>
  <c r="Y419" i="2"/>
  <c r="P419" i="2"/>
  <c r="BO418" i="2"/>
  <c r="BM418" i="2"/>
  <c r="Y418" i="2"/>
  <c r="Y422" i="2" s="1"/>
  <c r="P418" i="2"/>
  <c r="X415" i="2"/>
  <c r="X414" i="2"/>
  <c r="BO413" i="2"/>
  <c r="BM413" i="2"/>
  <c r="Y413" i="2"/>
  <c r="P413" i="2"/>
  <c r="BO412" i="2"/>
  <c r="BM412" i="2"/>
  <c r="Y412" i="2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Y408" i="2" s="1"/>
  <c r="P405" i="2"/>
  <c r="X403" i="2"/>
  <c r="X402" i="2"/>
  <c r="BO401" i="2"/>
  <c r="BM401" i="2"/>
  <c r="Y401" i="2"/>
  <c r="P401" i="2"/>
  <c r="BO400" i="2"/>
  <c r="BM400" i="2"/>
  <c r="Y400" i="2"/>
  <c r="P400" i="2"/>
  <c r="BO399" i="2"/>
  <c r="BM399" i="2"/>
  <c r="Y399" i="2"/>
  <c r="P399" i="2"/>
  <c r="X397" i="2"/>
  <c r="X396" i="2"/>
  <c r="BO395" i="2"/>
  <c r="BM395" i="2"/>
  <c r="Y395" i="2"/>
  <c r="P395" i="2"/>
  <c r="BO394" i="2"/>
  <c r="BM394" i="2"/>
  <c r="Y394" i="2"/>
  <c r="Z394" i="2" s="1"/>
  <c r="P394" i="2"/>
  <c r="BO393" i="2"/>
  <c r="BM393" i="2"/>
  <c r="Y393" i="2"/>
  <c r="P393" i="2"/>
  <c r="BO392" i="2"/>
  <c r="BM392" i="2"/>
  <c r="Y392" i="2"/>
  <c r="Z392" i="2" s="1"/>
  <c r="P392" i="2"/>
  <c r="P388" i="2"/>
  <c r="BO387" i="2"/>
  <c r="BM387" i="2"/>
  <c r="Y387" i="2"/>
  <c r="P387" i="2"/>
  <c r="BO386" i="2"/>
  <c r="BM386" i="2"/>
  <c r="Y386" i="2"/>
  <c r="P386" i="2"/>
  <c r="X384" i="2"/>
  <c r="X383" i="2"/>
  <c r="BO382" i="2"/>
  <c r="BM382" i="2"/>
  <c r="Y382" i="2"/>
  <c r="P382" i="2"/>
  <c r="BO381" i="2"/>
  <c r="BM381" i="2"/>
  <c r="Y381" i="2"/>
  <c r="P381" i="2"/>
  <c r="BO380" i="2"/>
  <c r="BM380" i="2"/>
  <c r="Y380" i="2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P374" i="2"/>
  <c r="BO373" i="2"/>
  <c r="BM373" i="2"/>
  <c r="Y373" i="2"/>
  <c r="P373" i="2"/>
  <c r="BO372" i="2"/>
  <c r="BM372" i="2"/>
  <c r="Y372" i="2"/>
  <c r="P372" i="2"/>
  <c r="BO371" i="2"/>
  <c r="BM371" i="2"/>
  <c r="Y371" i="2"/>
  <c r="P371" i="2"/>
  <c r="BO370" i="2"/>
  <c r="BM370" i="2"/>
  <c r="Y370" i="2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P362" i="2"/>
  <c r="BO361" i="2"/>
  <c r="BM361" i="2"/>
  <c r="Y361" i="2"/>
  <c r="P361" i="2"/>
  <c r="BO360" i="2"/>
  <c r="BM360" i="2"/>
  <c r="Y360" i="2"/>
  <c r="P360" i="2"/>
  <c r="BO359" i="2"/>
  <c r="BM359" i="2"/>
  <c r="Y359" i="2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P342" i="2"/>
  <c r="BO341" i="2"/>
  <c r="BM341" i="2"/>
  <c r="Y341" i="2"/>
  <c r="P341" i="2"/>
  <c r="BO340" i="2"/>
  <c r="BM340" i="2"/>
  <c r="Y340" i="2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Y335" i="2" s="1"/>
  <c r="P331" i="2"/>
  <c r="X328" i="2"/>
  <c r="X327" i="2"/>
  <c r="BO326" i="2"/>
  <c r="BM326" i="2"/>
  <c r="Y326" i="2"/>
  <c r="BN326" i="2" s="1"/>
  <c r="P326" i="2"/>
  <c r="BO325" i="2"/>
  <c r="BM325" i="2"/>
  <c r="Y325" i="2"/>
  <c r="P325" i="2"/>
  <c r="BO324" i="2"/>
  <c r="BM324" i="2"/>
  <c r="Y324" i="2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P321" i="2" s="1"/>
  <c r="X318" i="2"/>
  <c r="X317" i="2"/>
  <c r="BO316" i="2"/>
  <c r="BM316" i="2"/>
  <c r="Y316" i="2"/>
  <c r="P316" i="2"/>
  <c r="X314" i="2"/>
  <c r="X313" i="2"/>
  <c r="BO312" i="2"/>
  <c r="BM312" i="2"/>
  <c r="Y312" i="2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BP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P269" i="2"/>
  <c r="BO268" i="2"/>
  <c r="BM268" i="2"/>
  <c r="Y268" i="2"/>
  <c r="BP268" i="2" s="1"/>
  <c r="P268" i="2"/>
  <c r="BO267" i="2"/>
  <c r="BM267" i="2"/>
  <c r="Y267" i="2"/>
  <c r="P267" i="2"/>
  <c r="BO266" i="2"/>
  <c r="BM266" i="2"/>
  <c r="Y266" i="2"/>
  <c r="P266" i="2"/>
  <c r="X264" i="2"/>
  <c r="X263" i="2"/>
  <c r="BO262" i="2"/>
  <c r="BM262" i="2"/>
  <c r="Y262" i="2"/>
  <c r="P262" i="2"/>
  <c r="BO261" i="2"/>
  <c r="BM261" i="2"/>
  <c r="Y261" i="2"/>
  <c r="Y263" i="2" s="1"/>
  <c r="P261" i="2"/>
  <c r="X259" i="2"/>
  <c r="X258" i="2"/>
  <c r="BO257" i="2"/>
  <c r="BM257" i="2"/>
  <c r="Y257" i="2"/>
  <c r="P257" i="2"/>
  <c r="BO256" i="2"/>
  <c r="BM256" i="2"/>
  <c r="Y256" i="2"/>
  <c r="P256" i="2"/>
  <c r="X253" i="2"/>
  <c r="X252" i="2"/>
  <c r="BO251" i="2"/>
  <c r="BM251" i="2"/>
  <c r="Y251" i="2"/>
  <c r="P251" i="2"/>
  <c r="X249" i="2"/>
  <c r="X248" i="2"/>
  <c r="BO247" i="2"/>
  <c r="BM247" i="2"/>
  <c r="Y247" i="2"/>
  <c r="BP247" i="2" s="1"/>
  <c r="P247" i="2"/>
  <c r="BO246" i="2"/>
  <c r="BM246" i="2"/>
  <c r="Y246" i="2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P236" i="2"/>
  <c r="BO235" i="2"/>
  <c r="BM235" i="2"/>
  <c r="Y235" i="2"/>
  <c r="Z235" i="2" s="1"/>
  <c r="P235" i="2"/>
  <c r="BO234" i="2"/>
  <c r="BM234" i="2"/>
  <c r="Y234" i="2"/>
  <c r="P234" i="2"/>
  <c r="BO233" i="2"/>
  <c r="BM233" i="2"/>
  <c r="Y233" i="2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P227" i="2"/>
  <c r="BO226" i="2"/>
  <c r="BM226" i="2"/>
  <c r="Y226" i="2"/>
  <c r="P226" i="2"/>
  <c r="BO225" i="2"/>
  <c r="BM225" i="2"/>
  <c r="Y225" i="2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P215" i="2"/>
  <c r="X213" i="2"/>
  <c r="X212" i="2"/>
  <c r="BO211" i="2"/>
  <c r="BM211" i="2"/>
  <c r="Y211" i="2"/>
  <c r="P211" i="2"/>
  <c r="X208" i="2"/>
  <c r="X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P200" i="2"/>
  <c r="X196" i="2"/>
  <c r="X195" i="2"/>
  <c r="BO194" i="2"/>
  <c r="BM194" i="2"/>
  <c r="Y194" i="2"/>
  <c r="P194" i="2"/>
  <c r="X192" i="2"/>
  <c r="X191" i="2"/>
  <c r="BO190" i="2"/>
  <c r="BM190" i="2"/>
  <c r="Y190" i="2"/>
  <c r="BP190" i="2" s="1"/>
  <c r="P190" i="2"/>
  <c r="BO189" i="2"/>
  <c r="BM189" i="2"/>
  <c r="Y189" i="2"/>
  <c r="P189" i="2"/>
  <c r="BO188" i="2"/>
  <c r="BM188" i="2"/>
  <c r="Y188" i="2"/>
  <c r="BP188" i="2" s="1"/>
  <c r="P188" i="2"/>
  <c r="X186" i="2"/>
  <c r="X185" i="2"/>
  <c r="BO184" i="2"/>
  <c r="BM184" i="2"/>
  <c r="Y184" i="2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P181" i="2"/>
  <c r="BO180" i="2"/>
  <c r="BM180" i="2"/>
  <c r="Y180" i="2"/>
  <c r="P180" i="2"/>
  <c r="BO179" i="2"/>
  <c r="BM179" i="2"/>
  <c r="Y179" i="2"/>
  <c r="P179" i="2"/>
  <c r="BO178" i="2"/>
  <c r="BM178" i="2"/>
  <c r="Y178" i="2"/>
  <c r="BP178" i="2" s="1"/>
  <c r="P178" i="2"/>
  <c r="BO177" i="2"/>
  <c r="BM177" i="2"/>
  <c r="Y177" i="2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P173" i="2"/>
  <c r="X171" i="2"/>
  <c r="X170" i="2"/>
  <c r="BO169" i="2"/>
  <c r="BM169" i="2"/>
  <c r="Y169" i="2"/>
  <c r="Z169" i="2" s="1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Z116" i="2" s="1"/>
  <c r="P116" i="2"/>
  <c r="BO115" i="2"/>
  <c r="BM115" i="2"/>
  <c r="Y115" i="2"/>
  <c r="P115" i="2"/>
  <c r="BO114" i="2"/>
  <c r="BM114" i="2"/>
  <c r="Y114" i="2"/>
  <c r="P114" i="2"/>
  <c r="BO113" i="2"/>
  <c r="BM113" i="2"/>
  <c r="Y113" i="2"/>
  <c r="P113" i="2"/>
  <c r="BO112" i="2"/>
  <c r="BM112" i="2"/>
  <c r="Y112" i="2"/>
  <c r="Y118" i="2" s="1"/>
  <c r="P112" i="2"/>
  <c r="X110" i="2"/>
  <c r="X109" i="2"/>
  <c r="BO108" i="2"/>
  <c r="BM108" i="2"/>
  <c r="Y108" i="2"/>
  <c r="BN108" i="2" s="1"/>
  <c r="P108" i="2"/>
  <c r="BO107" i="2"/>
  <c r="BM107" i="2"/>
  <c r="Y107" i="2"/>
  <c r="BP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Y98" i="2" s="1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P79" i="2"/>
  <c r="BO78" i="2"/>
  <c r="BM78" i="2"/>
  <c r="Y78" i="2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P72" i="2"/>
  <c r="X70" i="2"/>
  <c r="X69" i="2"/>
  <c r="BO68" i="2"/>
  <c r="BM68" i="2"/>
  <c r="Y68" i="2"/>
  <c r="BP68" i="2" s="1"/>
  <c r="P68" i="2"/>
  <c r="BO67" i="2"/>
  <c r="BM67" i="2"/>
  <c r="Y67" i="2"/>
  <c r="Z67" i="2" s="1"/>
  <c r="P67" i="2"/>
  <c r="BO66" i="2"/>
  <c r="BM66" i="2"/>
  <c r="Y66" i="2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Z22" i="2" s="1"/>
  <c r="P22" i="2"/>
  <c r="H10" i="2"/>
  <c r="A9" i="2"/>
  <c r="F10" i="2" s="1"/>
  <c r="D7" i="2"/>
  <c r="Q6" i="2"/>
  <c r="P2" i="2"/>
  <c r="Y547" i="2" l="1"/>
  <c r="BP493" i="2"/>
  <c r="BN493" i="2"/>
  <c r="Z493" i="2"/>
  <c r="Z491" i="2"/>
  <c r="Y495" i="2"/>
  <c r="BN481" i="2"/>
  <c r="Z481" i="2"/>
  <c r="BN475" i="2"/>
  <c r="Z475" i="2"/>
  <c r="BN401" i="2"/>
  <c r="Z401" i="2"/>
  <c r="BN395" i="2"/>
  <c r="Z395" i="2"/>
  <c r="BP380" i="2"/>
  <c r="BN380" i="2"/>
  <c r="Z380" i="2"/>
  <c r="BP342" i="2"/>
  <c r="Z342" i="2"/>
  <c r="BP341" i="2"/>
  <c r="BN341" i="2"/>
  <c r="Z341" i="2"/>
  <c r="BN324" i="2"/>
  <c r="BP324" i="2"/>
  <c r="BP256" i="2"/>
  <c r="BN256" i="2"/>
  <c r="Z256" i="2"/>
  <c r="BN251" i="2"/>
  <c r="Z251" i="2"/>
  <c r="Z252" i="2" s="1"/>
  <c r="BP151" i="2"/>
  <c r="BN151" i="2"/>
  <c r="Z151" i="2"/>
  <c r="BN143" i="2"/>
  <c r="Z143" i="2"/>
  <c r="BP133" i="2"/>
  <c r="Z133" i="2"/>
  <c r="Z134" i="2" s="1"/>
  <c r="BP38" i="2"/>
  <c r="Z38" i="2"/>
  <c r="Y32" i="2"/>
  <c r="BP27" i="2"/>
  <c r="BN27" i="2"/>
  <c r="Z27" i="2"/>
  <c r="Y25" i="2"/>
  <c r="BN520" i="2"/>
  <c r="Z520" i="2"/>
  <c r="BP522" i="2"/>
  <c r="Z522" i="2"/>
  <c r="BP505" i="2"/>
  <c r="BN505" i="2"/>
  <c r="Z505" i="2"/>
  <c r="BP506" i="2"/>
  <c r="BN506" i="2"/>
  <c r="Z506" i="2"/>
  <c r="BN444" i="2"/>
  <c r="Z444" i="2"/>
  <c r="BN427" i="2"/>
  <c r="Z427" i="2"/>
  <c r="BP432" i="2"/>
  <c r="BN432" i="2"/>
  <c r="Z432" i="2"/>
  <c r="BN433" i="2"/>
  <c r="BP433" i="2"/>
  <c r="BP420" i="2"/>
  <c r="BN420" i="2"/>
  <c r="Z420" i="2"/>
  <c r="BN372" i="2"/>
  <c r="Z372" i="2"/>
  <c r="BN374" i="2"/>
  <c r="Z374" i="2"/>
  <c r="BP360" i="2"/>
  <c r="BN360" i="2"/>
  <c r="Z360" i="2"/>
  <c r="BP354" i="2"/>
  <c r="BN354" i="2"/>
  <c r="Z354" i="2"/>
  <c r="Z298" i="2"/>
  <c r="Y306" i="2"/>
  <c r="BP299" i="2"/>
  <c r="BN299" i="2"/>
  <c r="Z299" i="2"/>
  <c r="BP269" i="2"/>
  <c r="BN269" i="2"/>
  <c r="Z269" i="2"/>
  <c r="BN273" i="2"/>
  <c r="BP273" i="2"/>
  <c r="BN233" i="2"/>
  <c r="Z233" i="2"/>
  <c r="BP236" i="2"/>
  <c r="BN236" i="2"/>
  <c r="Z236" i="2"/>
  <c r="BP215" i="2"/>
  <c r="BN215" i="2"/>
  <c r="Z215" i="2"/>
  <c r="BP217" i="2"/>
  <c r="BN217" i="2"/>
  <c r="Z217" i="2"/>
  <c r="BN221" i="2"/>
  <c r="Z221" i="2"/>
  <c r="BN223" i="2"/>
  <c r="Z223" i="2"/>
  <c r="BP225" i="2"/>
  <c r="BN225" i="2"/>
  <c r="Z225" i="2"/>
  <c r="BP226" i="2"/>
  <c r="BN226" i="2"/>
  <c r="Z226" i="2"/>
  <c r="BN200" i="2"/>
  <c r="Z200" i="2"/>
  <c r="BP203" i="2"/>
  <c r="BN203" i="2"/>
  <c r="Z203" i="2"/>
  <c r="BP205" i="2"/>
  <c r="BN205" i="2"/>
  <c r="Z205" i="2"/>
  <c r="BP189" i="2"/>
  <c r="BN189" i="2"/>
  <c r="Z189" i="2"/>
  <c r="BP173" i="2"/>
  <c r="BN173" i="2"/>
  <c r="Z173" i="2"/>
  <c r="BN177" i="2"/>
  <c r="Z177" i="2"/>
  <c r="BN179" i="2"/>
  <c r="Z179" i="2"/>
  <c r="BP180" i="2"/>
  <c r="BN180" i="2"/>
  <c r="Z180" i="2"/>
  <c r="BN181" i="2"/>
  <c r="BP181" i="2"/>
  <c r="BP184" i="2"/>
  <c r="BN184" i="2"/>
  <c r="Z184" i="2"/>
  <c r="BN120" i="2"/>
  <c r="Z120" i="2"/>
  <c r="BP113" i="2"/>
  <c r="BN113" i="2"/>
  <c r="Z113" i="2"/>
  <c r="BP114" i="2"/>
  <c r="BN114" i="2"/>
  <c r="Z114" i="2"/>
  <c r="BP115" i="2"/>
  <c r="BN115" i="2"/>
  <c r="Z115" i="2"/>
  <c r="Y109" i="2"/>
  <c r="BP86" i="2"/>
  <c r="Z86" i="2"/>
  <c r="BP78" i="2"/>
  <c r="BN78" i="2"/>
  <c r="Z78" i="2"/>
  <c r="BN79" i="2"/>
  <c r="Z79" i="2"/>
  <c r="BP72" i="2"/>
  <c r="BN72" i="2"/>
  <c r="Z72" i="2"/>
  <c r="BN66" i="2"/>
  <c r="Z66" i="2"/>
  <c r="BP58" i="2"/>
  <c r="BN58" i="2"/>
  <c r="Z58" i="2"/>
  <c r="BP48" i="2"/>
  <c r="BN48" i="2"/>
  <c r="Z48" i="2"/>
  <c r="BP49" i="2"/>
  <c r="BN49" i="2"/>
  <c r="Z49" i="2"/>
  <c r="BN30" i="2"/>
  <c r="BP30" i="2"/>
  <c r="BN55" i="2"/>
  <c r="BN67" i="2"/>
  <c r="BP67" i="2"/>
  <c r="BP88" i="2"/>
  <c r="BP94" i="2"/>
  <c r="BN116" i="2"/>
  <c r="Y124" i="2"/>
  <c r="Y125" i="2"/>
  <c r="Y154" i="2"/>
  <c r="BN163" i="2"/>
  <c r="Y166" i="2"/>
  <c r="BN168" i="2"/>
  <c r="BP174" i="2"/>
  <c r="BN178" i="2"/>
  <c r="BN188" i="2"/>
  <c r="Y191" i="2"/>
  <c r="Y192" i="2"/>
  <c r="Y196" i="2"/>
  <c r="Y195" i="2"/>
  <c r="BP194" i="2"/>
  <c r="BN211" i="2"/>
  <c r="Y213" i="2"/>
  <c r="Z211" i="2"/>
  <c r="Z212" i="2" s="1"/>
  <c r="BP227" i="2"/>
  <c r="BN227" i="2"/>
  <c r="Z227" i="2"/>
  <c r="BN237" i="2"/>
  <c r="BN240" i="2"/>
  <c r="BP240" i="2"/>
  <c r="BP246" i="2"/>
  <c r="BN246" i="2"/>
  <c r="Z246" i="2"/>
  <c r="BN270" i="2"/>
  <c r="BP270" i="2"/>
  <c r="BP279" i="2"/>
  <c r="BN279" i="2"/>
  <c r="Z279" i="2"/>
  <c r="BP285" i="2"/>
  <c r="BN285" i="2"/>
  <c r="Z285" i="2"/>
  <c r="BP286" i="2"/>
  <c r="BN286" i="2"/>
  <c r="Z286" i="2"/>
  <c r="BN287" i="2"/>
  <c r="BP287" i="2"/>
  <c r="BN308" i="2"/>
  <c r="BP308" i="2"/>
  <c r="Y309" i="2"/>
  <c r="Y310" i="2"/>
  <c r="BP312" i="2"/>
  <c r="Y314" i="2"/>
  <c r="Y384" i="2"/>
  <c r="Y383" i="2"/>
  <c r="BN382" i="2"/>
  <c r="Z382" i="2"/>
  <c r="BP382" i="2"/>
  <c r="BP445" i="2"/>
  <c r="BN445" i="2"/>
  <c r="Z445" i="2"/>
  <c r="Y446" i="2"/>
  <c r="Y447" i="2"/>
  <c r="Y452" i="2"/>
  <c r="Y451" i="2"/>
  <c r="BN450" i="2"/>
  <c r="Z450" i="2"/>
  <c r="BP450" i="2"/>
  <c r="BN503" i="2"/>
  <c r="BP503" i="2"/>
  <c r="BN504" i="2"/>
  <c r="BP504" i="2"/>
  <c r="BP518" i="2"/>
  <c r="BN518" i="2"/>
  <c r="Z518" i="2"/>
  <c r="BN523" i="2"/>
  <c r="BP523" i="2"/>
  <c r="Z23" i="2"/>
  <c r="Z24" i="2" s="1"/>
  <c r="Z31" i="2"/>
  <c r="Y42" i="2"/>
  <c r="BN37" i="2"/>
  <c r="BP37" i="2"/>
  <c r="Z40" i="2"/>
  <c r="BN41" i="2"/>
  <c r="Y43" i="2"/>
  <c r="D564" i="2"/>
  <c r="Z56" i="2"/>
  <c r="Z59" i="2"/>
  <c r="BN59" i="2"/>
  <c r="Z61" i="2"/>
  <c r="Z68" i="2"/>
  <c r="Z69" i="2" s="1"/>
  <c r="BN68" i="2"/>
  <c r="Z73" i="2"/>
  <c r="BN73" i="2"/>
  <c r="Z80" i="2"/>
  <c r="Z81" i="2" s="1"/>
  <c r="Z88" i="2"/>
  <c r="Z89" i="2"/>
  <c r="BN89" i="2"/>
  <c r="Z94" i="2"/>
  <c r="BP95" i="2"/>
  <c r="Z103" i="2"/>
  <c r="BN103" i="2"/>
  <c r="Z104" i="2"/>
  <c r="BN104" i="2"/>
  <c r="BN106" i="2"/>
  <c r="Z107" i="2"/>
  <c r="BN107" i="2"/>
  <c r="Z112" i="2"/>
  <c r="BN112" i="2"/>
  <c r="BP112" i="2"/>
  <c r="BP120" i="2"/>
  <c r="BN121" i="2"/>
  <c r="Z122" i="2"/>
  <c r="BN122" i="2"/>
  <c r="Z123" i="2"/>
  <c r="BN123" i="2"/>
  <c r="Z127" i="2"/>
  <c r="Z128" i="2" s="1"/>
  <c r="BN127" i="2"/>
  <c r="Z137" i="2"/>
  <c r="BN137" i="2"/>
  <c r="BN142" i="2"/>
  <c r="Z148" i="2"/>
  <c r="BN148" i="2"/>
  <c r="Z150" i="2"/>
  <c r="BN150" i="2"/>
  <c r="Y171" i="2"/>
  <c r="BP169" i="2"/>
  <c r="Z174" i="2"/>
  <c r="BP175" i="2"/>
  <c r="BP179" i="2"/>
  <c r="Z182" i="2"/>
  <c r="BN182" i="2"/>
  <c r="Z190" i="2"/>
  <c r="BN190" i="2"/>
  <c r="Z194" i="2"/>
  <c r="Z195" i="2" s="1"/>
  <c r="BN194" i="2"/>
  <c r="BP204" i="2"/>
  <c r="BN204" i="2"/>
  <c r="Z204" i="2"/>
  <c r="BP211" i="2"/>
  <c r="Y212" i="2"/>
  <c r="BP224" i="2"/>
  <c r="BN224" i="2"/>
  <c r="Z224" i="2"/>
  <c r="BP234" i="2"/>
  <c r="BN234" i="2"/>
  <c r="Z234" i="2"/>
  <c r="Z262" i="2"/>
  <c r="BP262" i="2"/>
  <c r="BP267" i="2"/>
  <c r="BN267" i="2"/>
  <c r="Z267" i="2"/>
  <c r="BP277" i="2"/>
  <c r="BN277" i="2"/>
  <c r="Z277" i="2"/>
  <c r="BN282" i="2"/>
  <c r="BP300" i="2"/>
  <c r="BN300" i="2"/>
  <c r="Z300" i="2"/>
  <c r="BN338" i="2"/>
  <c r="BP338" i="2"/>
  <c r="BP340" i="2"/>
  <c r="BN340" i="2"/>
  <c r="Z340" i="2"/>
  <c r="BN362" i="2"/>
  <c r="Z362" i="2"/>
  <c r="BP362" i="2"/>
  <c r="BP399" i="2"/>
  <c r="BN399" i="2"/>
  <c r="Z399" i="2"/>
  <c r="Y403" i="2"/>
  <c r="BN407" i="2"/>
  <c r="BP407" i="2"/>
  <c r="Y415" i="2"/>
  <c r="Y414" i="2"/>
  <c r="BP413" i="2"/>
  <c r="BN413" i="2"/>
  <c r="Z413" i="2"/>
  <c r="Y440" i="2"/>
  <c r="Z437" i="2"/>
  <c r="BP437" i="2"/>
  <c r="BN460" i="2"/>
  <c r="Z460" i="2"/>
  <c r="Z461" i="2" s="1"/>
  <c r="Y462" i="2"/>
  <c r="Y461" i="2"/>
  <c r="BP460" i="2"/>
  <c r="BP200" i="2"/>
  <c r="Y230" i="2"/>
  <c r="BP216" i="2"/>
  <c r="BP221" i="2"/>
  <c r="BN235" i="2"/>
  <c r="BP235" i="2"/>
  <c r="BN241" i="2"/>
  <c r="BP251" i="2"/>
  <c r="Y252" i="2"/>
  <c r="Y253" i="2"/>
  <c r="Y259" i="2"/>
  <c r="BN257" i="2"/>
  <c r="BP257" i="2"/>
  <c r="Y258" i="2"/>
  <c r="BN284" i="2"/>
  <c r="BN292" i="2"/>
  <c r="BN298" i="2"/>
  <c r="BP298" i="2"/>
  <c r="Z301" i="2"/>
  <c r="BP301" i="2"/>
  <c r="BN301" i="2"/>
  <c r="BP325" i="2"/>
  <c r="BN325" i="2"/>
  <c r="Z325" i="2"/>
  <c r="BP331" i="2"/>
  <c r="Z331" i="2"/>
  <c r="BP352" i="2"/>
  <c r="BN352" i="2"/>
  <c r="Z352" i="2"/>
  <c r="BN365" i="2"/>
  <c r="BP365" i="2"/>
  <c r="BP370" i="2"/>
  <c r="BN370" i="2"/>
  <c r="Z370" i="2"/>
  <c r="BP386" i="2"/>
  <c r="BN386" i="2"/>
  <c r="Z386" i="2"/>
  <c r="BN392" i="2"/>
  <c r="BP392" i="2"/>
  <c r="BN393" i="2"/>
  <c r="BP393" i="2"/>
  <c r="BN438" i="2"/>
  <c r="BP438" i="2"/>
  <c r="BN455" i="2"/>
  <c r="Z455" i="2"/>
  <c r="BN456" i="2"/>
  <c r="BP456" i="2"/>
  <c r="BN466" i="2"/>
  <c r="BP466" i="2"/>
  <c r="BP473" i="2"/>
  <c r="BN473" i="2"/>
  <c r="Z473" i="2"/>
  <c r="Y509" i="2"/>
  <c r="BN500" i="2"/>
  <c r="Z500" i="2"/>
  <c r="BN507" i="2"/>
  <c r="Z507" i="2"/>
  <c r="BN321" i="2"/>
  <c r="BN323" i="2"/>
  <c r="BP323" i="2"/>
  <c r="Y356" i="2"/>
  <c r="BP372" i="2"/>
  <c r="BP374" i="2"/>
  <c r="BN375" i="2"/>
  <c r="BP375" i="2"/>
  <c r="BN394" i="2"/>
  <c r="BP394" i="2"/>
  <c r="Y402" i="2"/>
  <c r="BP401" i="2"/>
  <c r="BN418" i="2"/>
  <c r="BP418" i="2"/>
  <c r="BP427" i="2"/>
  <c r="BN428" i="2"/>
  <c r="BP428" i="2"/>
  <c r="BN430" i="2"/>
  <c r="BP430" i="2"/>
  <c r="Z446" i="2"/>
  <c r="BN443" i="2"/>
  <c r="BP443" i="2"/>
  <c r="BP475" i="2"/>
  <c r="BN491" i="2"/>
  <c r="BP491" i="2"/>
  <c r="BN513" i="2"/>
  <c r="BP513" i="2"/>
  <c r="BP520" i="2"/>
  <c r="BN537" i="2"/>
  <c r="BP537" i="2"/>
  <c r="Y538" i="2"/>
  <c r="Y539" i="2"/>
  <c r="BN546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Z75" i="2" s="1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Z483" i="2" s="1"/>
  <c r="BP502" i="2"/>
  <c r="BN502" i="2"/>
  <c r="BN519" i="2"/>
  <c r="BN23" i="2"/>
  <c r="BN40" i="2"/>
  <c r="BN61" i="2"/>
  <c r="Y70" i="2"/>
  <c r="BP108" i="2"/>
  <c r="Z108" i="2"/>
  <c r="Z149" i="2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U564" i="2"/>
  <c r="Z426" i="2"/>
  <c r="BN492" i="2"/>
  <c r="Y494" i="2"/>
  <c r="BN499" i="2"/>
  <c r="AC564" i="2"/>
  <c r="Y553" i="2"/>
  <c r="Y552" i="2"/>
  <c r="BP551" i="2"/>
  <c r="BN551" i="2"/>
  <c r="Z28" i="2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Y377" i="2"/>
  <c r="BP381" i="2"/>
  <c r="Z381" i="2"/>
  <c r="BN426" i="2"/>
  <c r="Z477" i="2"/>
  <c r="Y484" i="2"/>
  <c r="BN31" i="2"/>
  <c r="BN38" i="2"/>
  <c r="A10" i="2"/>
  <c r="Z41" i="2"/>
  <c r="Y97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48" i="2" s="1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Z230" i="2" s="1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Z396" i="2" s="1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Z144" i="2" s="1"/>
  <c r="Y144" i="2"/>
  <c r="BN162" i="2"/>
  <c r="Z257" i="2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Z478" i="2" s="1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24" i="2" s="1"/>
  <c r="Z168" i="2"/>
  <c r="Z170" i="2" s="1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Z457" i="2" s="1"/>
  <c r="BP101" i="2"/>
  <c r="Z402" i="2" l="1"/>
  <c r="Z51" i="2"/>
  <c r="Z343" i="2"/>
  <c r="Z414" i="2"/>
  <c r="Z139" i="2"/>
  <c r="Z258" i="2"/>
  <c r="Z467" i="2"/>
  <c r="Z207" i="2"/>
  <c r="Z117" i="2"/>
  <c r="Z185" i="2"/>
  <c r="Z524" i="2"/>
  <c r="Z154" i="2"/>
  <c r="Z305" i="2"/>
  <c r="Z62" i="2"/>
  <c r="Z289" i="2"/>
  <c r="Z242" i="2"/>
  <c r="Z376" i="2"/>
  <c r="Z32" i="2"/>
  <c r="Z514" i="2"/>
  <c r="Z334" i="2"/>
  <c r="Z97" i="2"/>
  <c r="Z508" i="2"/>
  <c r="Z421" i="2"/>
  <c r="Z90" i="2"/>
  <c r="Z547" i="2"/>
  <c r="Z366" i="2"/>
  <c r="Z383" i="2"/>
  <c r="Z408" i="2"/>
  <c r="Z348" i="2"/>
  <c r="Z327" i="2"/>
  <c r="Z294" i="2"/>
  <c r="Z165" i="2"/>
  <c r="Z109" i="2"/>
  <c r="Z42" i="2"/>
  <c r="Z274" i="2"/>
  <c r="Z434" i="2"/>
  <c r="X390" i="2" l="1"/>
  <c r="X554" i="2" s="1"/>
  <c r="X389" i="2"/>
  <c r="X558" i="2" s="1"/>
  <c r="BO388" i="2"/>
  <c r="X556" i="2" s="1"/>
  <c r="BM388" i="2"/>
  <c r="X555" i="2" s="1"/>
  <c r="X557" i="2" s="1"/>
  <c r="Y388" i="2"/>
  <c r="Y389" i="2" l="1"/>
  <c r="Y558" i="2" s="1"/>
  <c r="BP388" i="2"/>
  <c r="Y556" i="2" s="1"/>
  <c r="BN388" i="2"/>
  <c r="Y555" i="2" s="1"/>
  <c r="Z388" i="2"/>
  <c r="Z389" i="2" s="1"/>
  <c r="Z559" i="2" s="1"/>
  <c r="T564" i="2"/>
  <c r="Y390" i="2"/>
  <c r="Y554" i="2" s="1"/>
  <c r="Y557" i="2" l="1"/>
</calcChain>
</file>

<file path=xl/sharedStrings.xml><?xml version="1.0" encoding="utf-8"?>
<sst xmlns="http://schemas.openxmlformats.org/spreadsheetml/2006/main" count="4298" uniqueCount="916">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</sst>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55" sqref="AA55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 t="s">
        <v>915</v>
      </c>
      <c r="I5" s="1004"/>
      <c r="J5" s="1004"/>
      <c r="K5" s="1004"/>
      <c r="L5" s="1004"/>
      <c r="M5" s="1004"/>
      <c r="N5" s="69"/>
      <c r="P5" s="26" t="s">
        <v>4</v>
      </c>
      <c r="Q5" s="1006">
        <v>46322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 t="s">
        <v>891</v>
      </c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Вторник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 t="str">
        <f>IFERROR(VLOOKUP(DeliveryAddress,Table,3,0),1)</f>
        <v>6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0.45833333333333331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179.2</v>
      </c>
      <c r="Y55" s="53">
        <f t="shared" ref="Y55:Y61" si="0">IFERROR(IF(X55="",0,CEILING((X55/$H55),1)*$H55),"")</f>
        <v>179.2</v>
      </c>
      <c r="Z55" s="39">
        <f>IFERROR(IF(Y55=0,"",ROUNDUP(Y55/H55,0)*0.01898),"")</f>
        <v>0.30368000000000001</v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185.76</v>
      </c>
      <c r="BN55" s="75">
        <f t="shared" ref="BN55:BN61" si="2">IFERROR(Y55*I55/H55,"0")</f>
        <v>185.76</v>
      </c>
      <c r="BO55" s="75">
        <f t="shared" ref="BO55:BO61" si="3">IFERROR(1/J55*(X55/H55),"0")</f>
        <v>0.25</v>
      </c>
      <c r="BP55" s="75">
        <f t="shared" ref="BP55:BP61" si="4">IFERROR(1/J55*(Y55/H55),"0")</f>
        <v>0.25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259.2</v>
      </c>
      <c r="Y56" s="53">
        <f t="shared" si="0"/>
        <v>259.20000000000005</v>
      </c>
      <c r="Z56" s="39">
        <f>IFERROR(IF(Y56=0,"",ROUNDUP(Y56/H56,0)*0.01898),"")</f>
        <v>0.45552000000000004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269.03999999999996</v>
      </c>
      <c r="BN56" s="75">
        <f t="shared" si="2"/>
        <v>269.04000000000002</v>
      </c>
      <c r="BO56" s="75">
        <f t="shared" si="3"/>
        <v>0.37499999999999994</v>
      </c>
      <c r="BP56" s="75">
        <f t="shared" si="4"/>
        <v>0.37500000000000006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40</v>
      </c>
      <c r="Y62" s="41">
        <f>IFERROR(Y55/H55,"0")+IFERROR(Y56/H56,"0")+IFERROR(Y57/H57,"0")+IFERROR(Y58/H58,"0")+IFERROR(Y59/H59,"0")+IFERROR(Y60/H60,"0")+IFERROR(Y61/H61,"0")</f>
        <v>40</v>
      </c>
      <c r="Z62" s="41">
        <f>IFERROR(IF(Z55="",0,Z55),"0")+IFERROR(IF(Z56="",0,Z56),"0")+IFERROR(IF(Z57="",0,Z57),"0")+IFERROR(IF(Z58="",0,Z58),"0")+IFERROR(IF(Z59="",0,Z59),"0")+IFERROR(IF(Z60="",0,Z60),"0")+IFERROR(IF(Z61="",0,Z61),"0")</f>
        <v>0.7592000000000001</v>
      </c>
      <c r="AA62" s="64"/>
      <c r="AB62" s="64"/>
      <c r="AC62" s="64"/>
    </row>
    <row r="63" spans="1:68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438.4</v>
      </c>
      <c r="Y63" s="41">
        <f>IFERROR(SUM(Y55:Y61),"0")</f>
        <v>438.40000000000003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259.2</v>
      </c>
      <c r="Y65" s="53">
        <f>IFERROR(IF(X65="",0,CEILING((X65/$H65),1)*$H65),"")</f>
        <v>259.20000000000005</v>
      </c>
      <c r="Z65" s="39">
        <f>IFERROR(IF(Y65=0,"",ROUNDUP(Y65/H65,0)*0.01898),"")</f>
        <v>0.45552000000000004</v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269.03999999999996</v>
      </c>
      <c r="BN65" s="75">
        <f>IFERROR(Y65*I65/H65,"0")</f>
        <v>269.04000000000002</v>
      </c>
      <c r="BO65" s="75">
        <f>IFERROR(1/J65*(X65/H65),"0")</f>
        <v>0.37499999999999994</v>
      </c>
      <c r="BP65" s="75">
        <f>IFERROR(1/J65*(Y65/H65),"0")</f>
        <v>0.37500000000000006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23.999999999999996</v>
      </c>
      <c r="Y69" s="41">
        <f>IFERROR(Y65/H65,"0")+IFERROR(Y66/H66,"0")+IFERROR(Y67/H67,"0")+IFERROR(Y68/H68,"0")</f>
        <v>24.000000000000004</v>
      </c>
      <c r="Z69" s="41">
        <f>IFERROR(IF(Z65="",0,Z65),"0")+IFERROR(IF(Z66="",0,Z66),"0")+IFERROR(IF(Z67="",0,Z67),"0")+IFERROR(IF(Z68="",0,Z68),"0")</f>
        <v>0.45552000000000004</v>
      </c>
      <c r="AA69" s="64"/>
      <c r="AB69" s="64"/>
      <c r="AC69" s="64"/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259.2</v>
      </c>
      <c r="Y70" s="41">
        <f>IFERROR(SUM(Y65:Y68),"0")</f>
        <v>259.20000000000005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259.2</v>
      </c>
      <c r="Y85" s="53">
        <f>IFERROR(IF(X85="",0,CEILING((X85/$H85),1)*$H85),"")</f>
        <v>259.20000000000005</v>
      </c>
      <c r="Z85" s="39">
        <f>IFERROR(IF(Y85=0,"",ROUNDUP(Y85/H85,0)*0.01898),"")</f>
        <v>0.45552000000000004</v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269.03999999999996</v>
      </c>
      <c r="BN85" s="75">
        <f>IFERROR(Y85*I85/H85,"0")</f>
        <v>269.04000000000002</v>
      </c>
      <c r="BO85" s="75">
        <f>IFERROR(1/J85*(X85/H85),"0")</f>
        <v>0.37499999999999994</v>
      </c>
      <c r="BP85" s="75">
        <f>IFERROR(1/J85*(Y85/H85),"0")</f>
        <v>0.37500000000000006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23.999999999999996</v>
      </c>
      <c r="Y90" s="41">
        <f>IFERROR(Y85/H85,"0")+IFERROR(Y86/H86,"0")+IFERROR(Y87/H87,"0")+IFERROR(Y88/H88,"0")+IFERROR(Y89/H89,"0")</f>
        <v>24.000000000000004</v>
      </c>
      <c r="Z90" s="41">
        <f>IFERROR(IF(Z85="",0,Z85),"0")+IFERROR(IF(Z86="",0,Z86),"0")+IFERROR(IF(Z87="",0,Z87),"0")+IFERROR(IF(Z88="",0,Z88),"0")+IFERROR(IF(Z89="",0,Z89),"0")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259.2</v>
      </c>
      <c r="Y91" s="41">
        <f>IFERROR(SUM(Y85:Y89),"0")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16</v>
      </c>
      <c r="Y97" s="41">
        <f>IFERROR(Y93/H93,"0")+IFERROR(Y94/H94,"0")+IFERROR(Y95/H95,"0")+IFERROR(Y96/H96,"0")</f>
        <v>16</v>
      </c>
      <c r="Z97" s="41">
        <f>IFERROR(IF(Z93="",0,Z93),"0")+IFERROR(IF(Z94="",0,Z94),"0")+IFERROR(IF(Z95="",0,Z95),"0")+IFERROR(IF(Z96="",0,Z96),"0")</f>
        <v>0.30368000000000001</v>
      </c>
      <c r="AA97" s="64"/>
      <c r="AB97" s="64"/>
      <c r="AC97" s="64"/>
    </row>
    <row r="98" spans="1:68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129.6</v>
      </c>
      <c r="Y98" s="41">
        <f>IFERROR(SUM(Y93:Y96),"0")</f>
        <v>129.6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604.79999999999995</v>
      </c>
      <c r="Y101" s="53">
        <f t="shared" ref="Y101:Y108" si="5">IFERROR(IF(X101="",0,CEILING((X101/$H101),1)*$H101),"")</f>
        <v>604.80000000000007</v>
      </c>
      <c r="Z101" s="39">
        <f>IFERROR(IF(Y101=0,"",ROUNDUP(Y101/H101,0)*0.01898),"")</f>
        <v>1.06288</v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627.76</v>
      </c>
      <c r="BN101" s="75">
        <f t="shared" ref="BN101:BN108" si="7">IFERROR(Y101*I101/H101,"0")</f>
        <v>627.76</v>
      </c>
      <c r="BO101" s="75">
        <f t="shared" ref="BO101:BO108" si="8">IFERROR(1/J101*(X101/H101),"0")</f>
        <v>0.87499999999999989</v>
      </c>
      <c r="BP101" s="75">
        <f t="shared" ref="BP101:BP108" si="9">IFERROR(1/J101*(Y101/H101),"0")</f>
        <v>0.875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55.999999999999993</v>
      </c>
      <c r="Y109" s="41">
        <f>IFERROR(Y101/H101,"0")+IFERROR(Y102/H102,"0")+IFERROR(Y103/H103,"0")+IFERROR(Y104/H104,"0")+IFERROR(Y105/H105,"0")+IFERROR(Y106/H106,"0")+IFERROR(Y107/H107,"0")+IFERROR(Y108/H108,"0")</f>
        <v>56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1.06288</v>
      </c>
      <c r="AA109" s="64"/>
      <c r="AB109" s="64"/>
      <c r="AC109" s="64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604.79999999999995</v>
      </c>
      <c r="Y110" s="41">
        <f>IFERROR(SUM(Y101:Y108),"0")</f>
        <v>604.80000000000007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129.6</v>
      </c>
      <c r="Y120" s="53">
        <f>IFERROR(IF(X120="",0,CEILING((X120/$H120),1)*$H120),"")</f>
        <v>129.6</v>
      </c>
      <c r="Z120" s="39">
        <f>IFERROR(IF(Y120=0,"",ROUNDUP(Y120/H120,0)*0.01898),"")</f>
        <v>0.30368000000000001</v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137.40799999999999</v>
      </c>
      <c r="BN120" s="75">
        <f>IFERROR(Y120*I120/H120,"0")</f>
        <v>137.40799999999999</v>
      </c>
      <c r="BO120" s="75">
        <f>IFERROR(1/J120*(X120/H120),"0")</f>
        <v>0.25</v>
      </c>
      <c r="BP120" s="75">
        <f>IFERROR(1/J120*(Y120/H120),"0")</f>
        <v>0.25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16</v>
      </c>
      <c r="Y124" s="41">
        <f>IFERROR(Y120/H120,"0")+IFERROR(Y121/H121,"0")+IFERROR(Y122/H122,"0")+IFERROR(Y123/H123,"0")</f>
        <v>16</v>
      </c>
      <c r="Z124" s="41">
        <f>IFERROR(IF(Z120="",0,Z120),"0")+IFERROR(IF(Z121="",0,Z121),"0")+IFERROR(IF(Z122="",0,Z122),"0")+IFERROR(IF(Z123="",0,Z123),"0")</f>
        <v>0.30368000000000001</v>
      </c>
      <c r="AA124" s="64"/>
      <c r="AB124" s="64"/>
      <c r="AC124" s="64"/>
    </row>
    <row r="125" spans="1:68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129.6</v>
      </c>
      <c r="Y125" s="41">
        <f>IFERROR(SUM(Y120:Y123),"0")</f>
        <v>129.6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100.8</v>
      </c>
      <c r="Y217" s="53">
        <f t="shared" si="27"/>
        <v>100.80000000000001</v>
      </c>
      <c r="Z217" s="39">
        <f>IFERROR(IF(Y217=0,"",ROUNDUP(Y217/H217,0)*0.00902),"")</f>
        <v>0.21648000000000001</v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105.35999999999999</v>
      </c>
      <c r="BN217" s="75">
        <f t="shared" si="29"/>
        <v>105.36</v>
      </c>
      <c r="BO217" s="75">
        <f t="shared" si="30"/>
        <v>0.18181818181818182</v>
      </c>
      <c r="BP217" s="75">
        <f t="shared" si="31"/>
        <v>0.18181818181818182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24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24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0.21648000000000001</v>
      </c>
      <c r="AA230" s="64"/>
      <c r="AB230" s="64"/>
      <c r="AC230" s="64"/>
    </row>
    <row r="231" spans="1:68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100.8</v>
      </c>
      <c r="Y231" s="41">
        <f>IFERROR(SUM(Y215:Y229),"0")</f>
        <v>100.80000000000001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129.6</v>
      </c>
      <c r="Y266" s="53">
        <f t="shared" ref="Y266:Y273" si="38">IFERROR(IF(X266="",0,CEILING((X266/$H266),1)*$H266),"")</f>
        <v>129.60000000000002</v>
      </c>
      <c r="Z266" s="39">
        <f>IFERROR(IF(Y266=0,"",ROUNDUP(Y266/H266,0)*0.00902),"")</f>
        <v>0.21648000000000001</v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134.15999999999997</v>
      </c>
      <c r="BN266" s="75">
        <f t="shared" ref="BN266:BN273" si="40">IFERROR(Y266*I266/H266,"0")</f>
        <v>134.16</v>
      </c>
      <c r="BO266" s="75">
        <f t="shared" ref="BO266:BO273" si="41">IFERROR(1/J266*(X266/H266),"0")</f>
        <v>0.1818181818181818</v>
      </c>
      <c r="BP266" s="75">
        <f t="shared" ref="BP266:BP273" si="42">IFERROR(1/J266*(Y266/H266),"0")</f>
        <v>0.18181818181818185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23.999999999999996</v>
      </c>
      <c r="Y274" s="41">
        <f>IFERROR(Y266/H266,"0")+IFERROR(Y267/H267,"0")+IFERROR(Y268/H268,"0")+IFERROR(Y269/H269,"0")+IFERROR(Y270/H270,"0")+IFERROR(Y271/H271,"0")+IFERROR(Y272/H272,"0")+IFERROR(Y273/H273,"0")</f>
        <v>24.000000000000004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0.21648000000000001</v>
      </c>
      <c r="AA274" s="64"/>
      <c r="AB274" s="64"/>
      <c r="AC274" s="64"/>
    </row>
    <row r="275" spans="1:68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129.6</v>
      </c>
      <c r="Y275" s="41">
        <f>IFERROR(SUM(Y266:Y273),"0")</f>
        <v>129.60000000000002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139.19999999999999</v>
      </c>
      <c r="Y279" s="53">
        <f t="shared" si="43"/>
        <v>139.19999999999999</v>
      </c>
      <c r="Z279" s="39">
        <f>IFERROR(IF(Y279=0,"",ROUNDUP(Y279/H279,0)*0.01898),"")</f>
        <v>0.30368000000000001</v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147.10400000000001</v>
      </c>
      <c r="BN279" s="75">
        <f t="shared" si="45"/>
        <v>147.10400000000001</v>
      </c>
      <c r="BO279" s="75">
        <f t="shared" si="46"/>
        <v>0.25</v>
      </c>
      <c r="BP279" s="75">
        <f t="shared" si="47"/>
        <v>0.25</v>
      </c>
    </row>
    <row r="280" spans="1:68" ht="27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57.6</v>
      </c>
      <c r="Y280" s="53">
        <f t="shared" si="43"/>
        <v>57.599999999999994</v>
      </c>
      <c r="Z280" s="39">
        <f>IFERROR(IF(Y280=0,"",ROUNDUP(Y280/H280,0)*0.00651),"")</f>
        <v>0.15623999999999999</v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64.08</v>
      </c>
      <c r="BN280" s="75">
        <f t="shared" si="45"/>
        <v>64.079999999999984</v>
      </c>
      <c r="BO280" s="75">
        <f t="shared" si="46"/>
        <v>0.13186813186813187</v>
      </c>
      <c r="BP280" s="75">
        <f t="shared" si="47"/>
        <v>0.13186813186813187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28.8</v>
      </c>
      <c r="Y283" s="53">
        <f t="shared" si="43"/>
        <v>28.799999999999997</v>
      </c>
      <c r="Z283" s="39">
        <f>IFERROR(IF(Y283=0,"",ROUNDUP(Y283/H283,0)*0.00651),"")</f>
        <v>7.8119999999999995E-2</v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31.824000000000002</v>
      </c>
      <c r="BN283" s="75">
        <f t="shared" si="45"/>
        <v>31.824000000000002</v>
      </c>
      <c r="BO283" s="75">
        <f t="shared" si="46"/>
        <v>6.5934065934065936E-2</v>
      </c>
      <c r="BP283" s="75">
        <f t="shared" si="47"/>
        <v>6.5934065934065936E-2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28.8</v>
      </c>
      <c r="Y285" s="53">
        <f t="shared" si="43"/>
        <v>28.799999999999997</v>
      </c>
      <c r="Z285" s="39">
        <f>IFERROR(IF(Y285=0,"",ROUNDUP(Y285/H285,0)*0.00651),"")</f>
        <v>7.8119999999999995E-2</v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31.824000000000002</v>
      </c>
      <c r="BN285" s="75">
        <f t="shared" si="45"/>
        <v>31.824000000000002</v>
      </c>
      <c r="BO285" s="75">
        <f t="shared" si="46"/>
        <v>6.5934065934065936E-2</v>
      </c>
      <c r="BP285" s="75">
        <f t="shared" si="47"/>
        <v>6.5934065934065936E-2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28.8</v>
      </c>
      <c r="Y287" s="53">
        <f t="shared" si="43"/>
        <v>28.799999999999997</v>
      </c>
      <c r="Z287" s="39">
        <f>IFERROR(IF(Y287=0,"",ROUNDUP(Y287/H287,0)*0.00651),"")</f>
        <v>7.8119999999999995E-2</v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31.896000000000001</v>
      </c>
      <c r="BN287" s="75">
        <f t="shared" si="45"/>
        <v>31.896000000000001</v>
      </c>
      <c r="BO287" s="75">
        <f t="shared" si="46"/>
        <v>6.5934065934065936E-2</v>
      </c>
      <c r="BP287" s="75">
        <f t="shared" si="47"/>
        <v>6.5934065934065936E-2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76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76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0.6942799999999999</v>
      </c>
      <c r="AA289" s="64"/>
      <c r="AB289" s="64"/>
      <c r="AC289" s="64"/>
    </row>
    <row r="290" spans="1:68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283.2</v>
      </c>
      <c r="Y290" s="41">
        <f>IFERROR(SUM(Y277:Y288),"0")</f>
        <v>283.2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201.6</v>
      </c>
      <c r="Y386" s="53">
        <f>IFERROR(IF(X386="",0,CEILING((X386/$H386),1)*$H386),"")</f>
        <v>201.60000000000002</v>
      </c>
      <c r="Z386" s="39">
        <f>IFERROR(IF(Y386=0,"",ROUNDUP(Y386/H386,0)*0.01898),"")</f>
        <v>0.45552000000000004</v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213.45599999999999</v>
      </c>
      <c r="BN386" s="75">
        <f>IFERROR(Y386*I386/H386,"0")</f>
        <v>213.45600000000002</v>
      </c>
      <c r="BO386" s="75">
        <f>IFERROR(1/J386*(X386/H386),"0")</f>
        <v>0.375</v>
      </c>
      <c r="BP386" s="75">
        <f>IFERROR(1/J386*(Y386/H386),"0")</f>
        <v>0.375</v>
      </c>
    </row>
    <row r="387" spans="1:68" ht="27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249.6</v>
      </c>
      <c r="Y387" s="53">
        <f>IFERROR(IF(X387="",0,CEILING((X387/$H387),1)*$H387),"")</f>
        <v>249.6</v>
      </c>
      <c r="Z387" s="39">
        <f>IFERROR(IF(Y387=0,"",ROUNDUP(Y387/H387,0)*0.01898),"")</f>
        <v>0.60736000000000001</v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265.40800000000002</v>
      </c>
      <c r="BN387" s="75">
        <f>IFERROR(Y387*I387/H387,"0")</f>
        <v>265.40800000000002</v>
      </c>
      <c r="BO387" s="75">
        <f>IFERROR(1/J387*(X387/H387),"0")</f>
        <v>0.5</v>
      </c>
      <c r="BP387" s="75">
        <f>IFERROR(1/J387*(Y387/H387),"0")</f>
        <v>0.5</v>
      </c>
    </row>
    <row r="388" spans="1:68" ht="27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67.2</v>
      </c>
      <c r="Y388" s="53">
        <f>IFERROR(IF(X388="",0,CEILING((X388/$H388),1)*$H388),"")</f>
        <v>67.2</v>
      </c>
      <c r="Z388" s="39">
        <f>IFERROR(IF(Y388=0,"",ROUNDUP(Y388/H388,0)*0.01898),"")</f>
        <v>0.15184</v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71.152000000000001</v>
      </c>
      <c r="BN388" s="75">
        <f>IFERROR(Y388*I388/H388,"0")</f>
        <v>71.152000000000001</v>
      </c>
      <c r="BO388" s="75">
        <f>IFERROR(1/J388*(X388/H388),"0")</f>
        <v>0.125</v>
      </c>
      <c r="BP388" s="75">
        <f>IFERROR(1/J388*(Y388/H388),"0")</f>
        <v>0.125</v>
      </c>
    </row>
    <row r="389" spans="1:68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64</v>
      </c>
      <c r="Y389" s="41">
        <f>IFERROR(Y386/H386,"0")+IFERROR(Y387/H387,"0")+IFERROR(Y388/H388,"0")</f>
        <v>64</v>
      </c>
      <c r="Z389" s="41">
        <f>IFERROR(IF(Z386="",0,Z386),"0")+IFERROR(IF(Z387="",0,Z387),"0")+IFERROR(IF(Z388="",0,Z388),"0")</f>
        <v>1.21472</v>
      </c>
      <c r="AA389" s="64"/>
      <c r="AB389" s="64"/>
      <c r="AC389" s="64"/>
    </row>
    <row r="390" spans="1:68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518.4</v>
      </c>
      <c r="Y390" s="41">
        <f>IFERROR(SUM(Y386:Y388),"0")</f>
        <v>518.40000000000009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600</v>
      </c>
      <c r="Y427" s="53">
        <f t="shared" si="68"/>
        <v>600</v>
      </c>
      <c r="Z427" s="39">
        <f>IFERROR(IF(Y427=0,"",ROUNDUP(Y427/H427,0)*0.02175),"")</f>
        <v>0.86999999999999988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618.79999999999995</v>
      </c>
      <c r="BN427" s="75">
        <f t="shared" si="70"/>
        <v>618.79999999999995</v>
      </c>
      <c r="BO427" s="75">
        <f t="shared" si="71"/>
        <v>0.83333333333333326</v>
      </c>
      <c r="BP427" s="75">
        <f t="shared" si="72"/>
        <v>0.83333333333333326</v>
      </c>
    </row>
    <row r="428" spans="1:68" ht="27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120</v>
      </c>
      <c r="Y428" s="53">
        <f t="shared" si="68"/>
        <v>120</v>
      </c>
      <c r="Z428" s="39">
        <f>IFERROR(IF(Y428=0,"",ROUNDUP(Y428/H428,0)*0.02175),"")</f>
        <v>0.17399999999999999</v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123.76</v>
      </c>
      <c r="BN428" s="75">
        <f t="shared" si="70"/>
        <v>123.76</v>
      </c>
      <c r="BO428" s="75">
        <f t="shared" si="71"/>
        <v>0.16666666666666666</v>
      </c>
      <c r="BP428" s="75">
        <f t="shared" si="72"/>
        <v>0.16666666666666666</v>
      </c>
    </row>
    <row r="429" spans="1:68" ht="27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540</v>
      </c>
      <c r="Y429" s="53">
        <f t="shared" si="68"/>
        <v>540</v>
      </c>
      <c r="Z429" s="39">
        <f>IFERROR(IF(Y429=0,"",ROUNDUP(Y429/H429,0)*0.02175),"")</f>
        <v>0.78299999999999992</v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556.92000000000007</v>
      </c>
      <c r="BN429" s="75">
        <f t="shared" si="70"/>
        <v>556.92000000000007</v>
      </c>
      <c r="BO429" s="75">
        <f t="shared" si="71"/>
        <v>0.75</v>
      </c>
      <c r="BP429" s="75">
        <f t="shared" si="72"/>
        <v>0.75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84</v>
      </c>
      <c r="Y434" s="41">
        <f>IFERROR(Y426/H426,"0")+IFERROR(Y427/H427,"0")+IFERROR(Y428/H428,"0")+IFERROR(Y429/H429,"0")+IFERROR(Y430/H430,"0")+IFERROR(Y431/H431,"0")+IFERROR(Y432/H432,"0")+IFERROR(Y433/H433,"0")</f>
        <v>84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1.8269999999999997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1260</v>
      </c>
      <c r="Y435" s="41">
        <f>IFERROR(SUM(Y426:Y433),"0")</f>
        <v>1260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240</v>
      </c>
      <c r="Y437" s="53">
        <f>IFERROR(IF(X437="",0,CEILING((X437/$H437),1)*$H437),"")</f>
        <v>240</v>
      </c>
      <c r="Z437" s="39">
        <f>IFERROR(IF(Y437=0,"",ROUNDUP(Y437/H437,0)*0.02175),"")</f>
        <v>0.34799999999999998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247.52</v>
      </c>
      <c r="BN437" s="75">
        <f>IFERROR(Y437*I437/H437,"0")</f>
        <v>247.52</v>
      </c>
      <c r="BO437" s="75">
        <f>IFERROR(1/J437*(X437/H437),"0")</f>
        <v>0.33333333333333331</v>
      </c>
      <c r="BP437" s="75">
        <f>IFERROR(1/J437*(Y437/H437),"0")</f>
        <v>0.33333333333333331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16</v>
      </c>
      <c r="Y440" s="41">
        <f>IFERROR(Y437/H437,"0")+IFERROR(Y438/H438,"0")+IFERROR(Y439/H439,"0")</f>
        <v>16</v>
      </c>
      <c r="Z440" s="41">
        <f>IFERROR(IF(Z437="",0,Z437),"0")+IFERROR(IF(Z438="",0,Z438),"0")+IFERROR(IF(Z439="",0,Z439),"0")</f>
        <v>0.34799999999999998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240</v>
      </c>
      <c r="Y441" s="41">
        <f>IFERROR(SUM(Y437:Y439),"0")</f>
        <v>240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72</v>
      </c>
      <c r="Y450" s="53">
        <f>IFERROR(IF(X450="",0,CEILING((X450/$H450),1)*$H450),"")</f>
        <v>72</v>
      </c>
      <c r="Z450" s="39">
        <f>IFERROR(IF(Y450=0,"",ROUNDUP(Y450/H450,0)*0.01898),"")</f>
        <v>0.15184</v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75.951999999999998</v>
      </c>
      <c r="BN450" s="75">
        <f>IFERROR(Y450*I450/H450,"0")</f>
        <v>75.951999999999998</v>
      </c>
      <c r="BO450" s="75">
        <f>IFERROR(1/J450*(X450/H450),"0")</f>
        <v>0.125</v>
      </c>
      <c r="BP450" s="75">
        <f>IFERROR(1/J450*(Y450/H450),"0")</f>
        <v>0.125</v>
      </c>
    </row>
    <row r="451" spans="1:68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8</v>
      </c>
      <c r="Y451" s="41">
        <f>IFERROR(Y449/H449,"0")+IFERROR(Y450/H450,"0")</f>
        <v>8</v>
      </c>
      <c r="Z451" s="41">
        <f>IFERROR(IF(Z449="",0,Z449),"0")+IFERROR(IF(Z450="",0,Z450),"0")</f>
        <v>0.15184</v>
      </c>
      <c r="AA451" s="64"/>
      <c r="AB451" s="64"/>
      <c r="AC451" s="64"/>
    </row>
    <row r="452" spans="1:68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72</v>
      </c>
      <c r="Y452" s="41">
        <f>IFERROR(SUM(Y449:Y450),"0")</f>
        <v>72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216</v>
      </c>
      <c r="Y464" s="53">
        <f>IFERROR(IF(X464="",0,CEILING((X464/$H464),1)*$H464),"")</f>
        <v>216</v>
      </c>
      <c r="Z464" s="39">
        <f>IFERROR(IF(Y464=0,"",ROUNDUP(Y464/H464,0)*0.01898),"")</f>
        <v>0.45552000000000004</v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227.85599999999997</v>
      </c>
      <c r="BN464" s="75">
        <f>IFERROR(Y464*I464/H464,"0")</f>
        <v>227.85599999999997</v>
      </c>
      <c r="BO464" s="75">
        <f>IFERROR(1/J464*(X464/H464),"0")</f>
        <v>0.375</v>
      </c>
      <c r="BP464" s="75">
        <f>IFERROR(1/J464*(Y464/H464),"0")</f>
        <v>0.375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24</v>
      </c>
      <c r="Y467" s="41">
        <f>IFERROR(Y464/H464,"0")+IFERROR(Y465/H465,"0")+IFERROR(Y466/H466,"0")</f>
        <v>24</v>
      </c>
      <c r="Z467" s="41">
        <f>IFERROR(IF(Z464="",0,Z464),"0")+IFERROR(IF(Z465="",0,Z465),"0")+IFERROR(IF(Z466="",0,Z466),"0")</f>
        <v>0.45552000000000004</v>
      </c>
      <c r="AA467" s="64"/>
      <c r="AB467" s="64"/>
      <c r="AC467" s="64"/>
    </row>
    <row r="468" spans="1:68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216</v>
      </c>
      <c r="Y468" s="41">
        <f>IFERROR(SUM(Y464:Y466),"0")</f>
        <v>216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211.2</v>
      </c>
      <c r="Y502" s="53">
        <f t="shared" si="78"/>
        <v>211.20000000000002</v>
      </c>
      <c r="Z502" s="39">
        <f t="shared" si="79"/>
        <v>0.47839999999999999</v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225.19999999999996</v>
      </c>
      <c r="BN502" s="75">
        <f t="shared" si="81"/>
        <v>225.2</v>
      </c>
      <c r="BO502" s="75">
        <f t="shared" si="82"/>
        <v>0.38461538461538458</v>
      </c>
      <c r="BP502" s="75">
        <f t="shared" si="83"/>
        <v>0.38461538461538464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211.2</v>
      </c>
      <c r="Y504" s="53">
        <f t="shared" si="78"/>
        <v>211.20000000000002</v>
      </c>
      <c r="Z504" s="39">
        <f t="shared" si="79"/>
        <v>0.47839999999999999</v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225.19999999999996</v>
      </c>
      <c r="BN504" s="75">
        <f t="shared" si="81"/>
        <v>225.2</v>
      </c>
      <c r="BO504" s="75">
        <f t="shared" si="82"/>
        <v>0.38461538461538458</v>
      </c>
      <c r="BP504" s="75">
        <f t="shared" si="83"/>
        <v>0.38461538461538464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79.999999999999986</v>
      </c>
      <c r="Y508" s="41">
        <f>IFERROR(Y499/H499,"0")+IFERROR(Y500/H500,"0")+IFERROR(Y501/H501,"0")+IFERROR(Y502/H502,"0")+IFERROR(Y503/H503,"0")+IFERROR(Y504/H504,"0")+IFERROR(Y505/H505,"0")+IFERROR(Y506/H506,"0")+IFERROR(Y507/H507,"0")</f>
        <v>80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0.95679999999999998</v>
      </c>
      <c r="AA508" s="64"/>
      <c r="AB508" s="64"/>
      <c r="AC508" s="64"/>
    </row>
    <row r="509" spans="1:68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422.4</v>
      </c>
      <c r="Y509" s="41">
        <f>IFERROR(SUM(Y499:Y507),"0")</f>
        <v>422.40000000000003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5063.1999999999989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5063.2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5293.0240000000003</v>
      </c>
      <c r="Y555" s="41">
        <f>IFERROR(SUM(BN22:BN551),"0")</f>
        <v>5293.0240000000003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9</v>
      </c>
      <c r="Y556" s="42">
        <f>ROUNDUP(SUM(BP22:BP551),0)</f>
        <v>9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5518.0240000000003</v>
      </c>
      <c r="Y557" s="41">
        <f>GrossWeightTotalR+PalletQtyTotalR*25</f>
        <v>5518.0240000000003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576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576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9.4215999999999998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697.60000000000014</v>
      </c>
      <c r="F564" s="50">
        <f>IFERROR(Y85*1,"0")+IFERROR(Y86*1,"0")+IFERROR(Y87*1,"0")+IFERROR(Y88*1,"0")+IFERROR(Y89*1,"0")+IFERROR(Y93*1,"0")+IFERROR(Y94*1,"0")+IFERROR(Y95*1,"0")+IFERROR(Y96*1,"0")</f>
        <v>388.80000000000007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734.40000000000009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100.80000000000001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412.8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518.40000000000009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1572</v>
      </c>
      <c r="X564" s="50">
        <f>IFERROR(Y455*1,"0")+IFERROR(Y456*1,"0")+IFERROR(Y460*1,"0")+IFERROR(Y464*1,"0")+IFERROR(Y465*1,"0")+IFERROR(Y466*1,"0")</f>
        <v>216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422.40000000000003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00,80"/>
        <filter val="120,00"/>
        <filter val="129,60"/>
        <filter val="139,20"/>
        <filter val="16,00"/>
        <filter val="179,20"/>
        <filter val="201,60"/>
        <filter val="211,20"/>
        <filter val="216,00"/>
        <filter val="24,00"/>
        <filter val="240,00"/>
        <filter val="249,60"/>
        <filter val="259,20"/>
        <filter val="28,80"/>
        <filter val="283,20"/>
        <filter val="40,00"/>
        <filter val="422,40"/>
        <filter val="438,40"/>
        <filter val="5 063,20"/>
        <filter val="5 293,02"/>
        <filter val="5 518,02"/>
        <filter val="518,40"/>
        <filter val="540,00"/>
        <filter val="56,00"/>
        <filter val="57,60"/>
        <filter val="576,00"/>
        <filter val="600,00"/>
        <filter val="604,80"/>
        <filter val="64,00"/>
        <filter val="67,20"/>
        <filter val="72,00"/>
        <filter val="76,00"/>
        <filter val="8,00"/>
        <filter val="80,00"/>
        <filter val="84,00"/>
        <filter val="9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