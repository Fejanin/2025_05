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A94595-7F98-4DC5-BEC6-7428CFC73D4F}" xr6:coauthVersionLast="47" xr6:coauthVersionMax="47" xr10:uidLastSave="{00000000-0000-0000-0000-000000000000}"/>
  <bookViews>
    <workbookView xWindow="0" yWindow="15" windowWidth="27075" windowHeight="1539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N556" i="1"/>
  <c r="BM556" i="1"/>
  <c r="Y556" i="1"/>
  <c r="BP556" i="1" s="1"/>
  <c r="P556" i="1"/>
  <c r="X554" i="1"/>
  <c r="X553" i="1"/>
  <c r="BO552" i="1"/>
  <c r="BM552" i="1"/>
  <c r="Y552" i="1"/>
  <c r="Y554" i="1" s="1"/>
  <c r="P552" i="1"/>
  <c r="X550" i="1"/>
  <c r="Y549" i="1"/>
  <c r="X549" i="1"/>
  <c r="BO548" i="1"/>
  <c r="BN548" i="1"/>
  <c r="BM548" i="1"/>
  <c r="Y548" i="1"/>
  <c r="Y550" i="1" s="1"/>
  <c r="P548" i="1"/>
  <c r="X546" i="1"/>
  <c r="X545" i="1"/>
  <c r="BO544" i="1"/>
  <c r="BM544" i="1"/>
  <c r="Y544" i="1"/>
  <c r="Y546" i="1" s="1"/>
  <c r="P544" i="1"/>
  <c r="X542" i="1"/>
  <c r="Y541" i="1"/>
  <c r="X541" i="1"/>
  <c r="BO540" i="1"/>
  <c r="BN540" i="1"/>
  <c r="BM540" i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O532" i="1"/>
  <c r="BN532" i="1"/>
  <c r="BM532" i="1"/>
  <c r="Y532" i="1"/>
  <c r="BP532" i="1" s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O528" i="1"/>
  <c r="BN528" i="1"/>
  <c r="BM528" i="1"/>
  <c r="Y528" i="1"/>
  <c r="BP528" i="1" s="1"/>
  <c r="P528" i="1"/>
  <c r="X526" i="1"/>
  <c r="X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Y525" i="1" s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BN514" i="1" s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O487" i="1"/>
  <c r="BN487" i="1"/>
  <c r="BM487" i="1"/>
  <c r="Y487" i="1"/>
  <c r="BP487" i="1" s="1"/>
  <c r="P487" i="1"/>
  <c r="BO486" i="1"/>
  <c r="BM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N477" i="1"/>
  <c r="BM477" i="1"/>
  <c r="Y477" i="1"/>
  <c r="BP477" i="1" s="1"/>
  <c r="P477" i="1"/>
  <c r="X475" i="1"/>
  <c r="Y474" i="1"/>
  <c r="X474" i="1"/>
  <c r="BP473" i="1"/>
  <c r="BO473" i="1"/>
  <c r="BN473" i="1"/>
  <c r="BM473" i="1"/>
  <c r="Z473" i="1"/>
  <c r="Z474" i="1" s="1"/>
  <c r="Y473" i="1"/>
  <c r="Y475" i="1" s="1"/>
  <c r="P473" i="1"/>
  <c r="X471" i="1"/>
  <c r="X470" i="1"/>
  <c r="BO469" i="1"/>
  <c r="BM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BN462" i="1" s="1"/>
  <c r="P462" i="1"/>
  <c r="X460" i="1"/>
  <c r="Y459" i="1"/>
  <c r="X459" i="1"/>
  <c r="BO458" i="1"/>
  <c r="BN458" i="1"/>
  <c r="BM458" i="1"/>
  <c r="Y458" i="1"/>
  <c r="BP458" i="1" s="1"/>
  <c r="P458" i="1"/>
  <c r="BO457" i="1"/>
  <c r="BM457" i="1"/>
  <c r="Y457" i="1"/>
  <c r="P457" i="1"/>
  <c r="BO456" i="1"/>
  <c r="BM456" i="1"/>
  <c r="Y456" i="1"/>
  <c r="P456" i="1"/>
  <c r="X454" i="1"/>
  <c r="X453" i="1"/>
  <c r="BO452" i="1"/>
  <c r="BN452" i="1"/>
  <c r="BM452" i="1"/>
  <c r="Y452" i="1"/>
  <c r="BP452" i="1" s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BN446" i="1" s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N442" i="1"/>
  <c r="BM442" i="1"/>
  <c r="Y442" i="1"/>
  <c r="BP442" i="1" s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Z419" i="1"/>
  <c r="Y419" i="1"/>
  <c r="P419" i="1"/>
  <c r="BO418" i="1"/>
  <c r="BM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BO411" i="1"/>
  <c r="BN411" i="1"/>
  <c r="BM411" i="1"/>
  <c r="Y411" i="1"/>
  <c r="BP411" i="1" s="1"/>
  <c r="P411" i="1"/>
  <c r="X409" i="1"/>
  <c r="X408" i="1"/>
  <c r="BO407" i="1"/>
  <c r="BM407" i="1"/>
  <c r="Y407" i="1"/>
  <c r="P407" i="1"/>
  <c r="BO406" i="1"/>
  <c r="BM406" i="1"/>
  <c r="Y406" i="1"/>
  <c r="P406" i="1"/>
  <c r="BO405" i="1"/>
  <c r="BN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N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O387" i="1"/>
  <c r="BN387" i="1"/>
  <c r="BM387" i="1"/>
  <c r="Y387" i="1"/>
  <c r="BP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N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N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N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N366" i="1"/>
  <c r="BM366" i="1"/>
  <c r="Y366" i="1"/>
  <c r="BP366" i="1" s="1"/>
  <c r="P366" i="1"/>
  <c r="BO365" i="1"/>
  <c r="BM365" i="1"/>
  <c r="Y365" i="1"/>
  <c r="P365" i="1"/>
  <c r="BO364" i="1"/>
  <c r="BM364" i="1"/>
  <c r="Y364" i="1"/>
  <c r="P364" i="1"/>
  <c r="X361" i="1"/>
  <c r="X360" i="1"/>
  <c r="BO359" i="1"/>
  <c r="BM359" i="1"/>
  <c r="Y359" i="1"/>
  <c r="P359" i="1"/>
  <c r="X357" i="1"/>
  <c r="X356" i="1"/>
  <c r="BO355" i="1"/>
  <c r="BM355" i="1"/>
  <c r="Y355" i="1"/>
  <c r="Z355" i="1" s="1"/>
  <c r="Z356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BO324" i="1"/>
  <c r="BM324" i="1"/>
  <c r="Y324" i="1"/>
  <c r="BP324" i="1" s="1"/>
  <c r="P324" i="1"/>
  <c r="BO323" i="1"/>
  <c r="BM323" i="1"/>
  <c r="Y323" i="1"/>
  <c r="P323" i="1"/>
  <c r="X320" i="1"/>
  <c r="X319" i="1"/>
  <c r="BO318" i="1"/>
  <c r="BM318" i="1"/>
  <c r="Y318" i="1"/>
  <c r="P318" i="1"/>
  <c r="BO317" i="1"/>
  <c r="BM317" i="1"/>
  <c r="Z317" i="1"/>
  <c r="Y317" i="1"/>
  <c r="BP317" i="1" s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N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N292" i="1"/>
  <c r="BM292" i="1"/>
  <c r="Z292" i="1"/>
  <c r="Y292" i="1"/>
  <c r="BP292" i="1" s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Y288" i="1" s="1"/>
  <c r="P276" i="1"/>
  <c r="X274" i="1"/>
  <c r="X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O261" i="1"/>
  <c r="BN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BO244" i="1"/>
  <c r="BM244" i="1"/>
  <c r="Y244" i="1"/>
  <c r="BN244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N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N220" i="1"/>
  <c r="BM220" i="1"/>
  <c r="Y220" i="1"/>
  <c r="BP220" i="1" s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O199" i="1"/>
  <c r="BN199" i="1"/>
  <c r="BM199" i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N181" i="1"/>
  <c r="BM181" i="1"/>
  <c r="Y181" i="1"/>
  <c r="BP181" i="1" s="1"/>
  <c r="P181" i="1"/>
  <c r="BO180" i="1"/>
  <c r="BM180" i="1"/>
  <c r="Y180" i="1"/>
  <c r="P180" i="1"/>
  <c r="BO179" i="1"/>
  <c r="BM179" i="1"/>
  <c r="Y179" i="1"/>
  <c r="Z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BO165" i="1"/>
  <c r="BN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BP154" i="1" s="1"/>
  <c r="P154" i="1"/>
  <c r="BO153" i="1"/>
  <c r="BM153" i="1"/>
  <c r="Y153" i="1"/>
  <c r="Y157" i="1" s="1"/>
  <c r="P153" i="1"/>
  <c r="BP152" i="1"/>
  <c r="BO152" i="1"/>
  <c r="BN152" i="1"/>
  <c r="BM152" i="1"/>
  <c r="Z152" i="1"/>
  <c r="Y152" i="1"/>
  <c r="P152" i="1"/>
  <c r="X149" i="1"/>
  <c r="X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O126" i="1"/>
  <c r="BN126" i="1"/>
  <c r="BM126" i="1"/>
  <c r="Y126" i="1"/>
  <c r="BP126" i="1" s="1"/>
  <c r="P126" i="1"/>
  <c r="BO125" i="1"/>
  <c r="BM125" i="1"/>
  <c r="Y125" i="1"/>
  <c r="BP125" i="1" s="1"/>
  <c r="P125" i="1"/>
  <c r="BO124" i="1"/>
  <c r="BM124" i="1"/>
  <c r="Y124" i="1"/>
  <c r="P124" i="1"/>
  <c r="X122" i="1"/>
  <c r="X121" i="1"/>
  <c r="BO120" i="1"/>
  <c r="BN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N116" i="1"/>
  <c r="BM116" i="1"/>
  <c r="Y116" i="1"/>
  <c r="BP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N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N106" i="1"/>
  <c r="BM106" i="1"/>
  <c r="Y106" i="1"/>
  <c r="BP106" i="1" s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N99" i="1"/>
  <c r="BM99" i="1"/>
  <c r="Y99" i="1"/>
  <c r="BP99" i="1" s="1"/>
  <c r="P99" i="1"/>
  <c r="BO98" i="1"/>
  <c r="BM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BN91" i="1" s="1"/>
  <c r="P91" i="1"/>
  <c r="BO90" i="1"/>
  <c r="BM90" i="1"/>
  <c r="Y90" i="1"/>
  <c r="BP90" i="1" s="1"/>
  <c r="P90" i="1"/>
  <c r="BO89" i="1"/>
  <c r="BM89" i="1"/>
  <c r="Y89" i="1"/>
  <c r="Y96" i="1" s="1"/>
  <c r="P89" i="1"/>
  <c r="X86" i="1"/>
  <c r="X85" i="1"/>
  <c r="BP84" i="1"/>
  <c r="BO84" i="1"/>
  <c r="BN84" i="1"/>
  <c r="BM84" i="1"/>
  <c r="Z84" i="1"/>
  <c r="Y84" i="1"/>
  <c r="P84" i="1"/>
  <c r="BO83" i="1"/>
  <c r="BM83" i="1"/>
  <c r="Y83" i="1"/>
  <c r="BP83" i="1" s="1"/>
  <c r="P83" i="1"/>
  <c r="BO82" i="1"/>
  <c r="BM82" i="1"/>
  <c r="Y82" i="1"/>
  <c r="Y86" i="1" s="1"/>
  <c r="P82" i="1"/>
  <c r="X80" i="1"/>
  <c r="X79" i="1"/>
  <c r="BO78" i="1"/>
  <c r="BN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N70" i="1"/>
  <c r="BM70" i="1"/>
  <c r="Y70" i="1"/>
  <c r="BP70" i="1" s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N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N60" i="1"/>
  <c r="BM60" i="1"/>
  <c r="Y60" i="1"/>
  <c r="BP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O53" i="1"/>
  <c r="BN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O45" i="1"/>
  <c r="BM45" i="1"/>
  <c r="Y45" i="1"/>
  <c r="BP45" i="1" s="1"/>
  <c r="P45" i="1"/>
  <c r="BO44" i="1"/>
  <c r="BM44" i="1"/>
  <c r="Y44" i="1"/>
  <c r="BP44" i="1" s="1"/>
  <c r="P44" i="1"/>
  <c r="BO43" i="1"/>
  <c r="BM43" i="1"/>
  <c r="Y43" i="1"/>
  <c r="BN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BM22" i="1"/>
  <c r="X566" i="1" s="1"/>
  <c r="Y22" i="1"/>
  <c r="P22" i="1"/>
  <c r="H10" i="1"/>
  <c r="A9" i="1"/>
  <c r="F10" i="1" s="1"/>
  <c r="D7" i="1"/>
  <c r="Q6" i="1"/>
  <c r="P2" i="1"/>
  <c r="Z91" i="1" l="1"/>
  <c r="BP91" i="1"/>
  <c r="Z136" i="1"/>
  <c r="Z141" i="1"/>
  <c r="BP141" i="1"/>
  <c r="Z185" i="1"/>
  <c r="BP185" i="1"/>
  <c r="Z224" i="1"/>
  <c r="BP224" i="1"/>
  <c r="Z244" i="1"/>
  <c r="BP244" i="1"/>
  <c r="Z276" i="1"/>
  <c r="BP276" i="1"/>
  <c r="Z344" i="1"/>
  <c r="Z432" i="1"/>
  <c r="BP432" i="1"/>
  <c r="Z446" i="1"/>
  <c r="BP446" i="1"/>
  <c r="Z462" i="1"/>
  <c r="BP462" i="1"/>
  <c r="Z514" i="1"/>
  <c r="BP514" i="1"/>
  <c r="Z524" i="1"/>
  <c r="BP524" i="1"/>
  <c r="Z544" i="1"/>
  <c r="Z545" i="1" s="1"/>
  <c r="BP544" i="1"/>
  <c r="Z552" i="1"/>
  <c r="Z553" i="1" s="1"/>
  <c r="BP552" i="1"/>
  <c r="X567" i="1"/>
  <c r="X568" i="1" s="1"/>
  <c r="Z35" i="1"/>
  <c r="Z43" i="1"/>
  <c r="BP43" i="1"/>
  <c r="E575" i="1"/>
  <c r="Z64" i="1"/>
  <c r="BP64" i="1"/>
  <c r="X569" i="1"/>
  <c r="Z29" i="1"/>
  <c r="Z53" i="1"/>
  <c r="Z60" i="1"/>
  <c r="Z70" i="1"/>
  <c r="Z99" i="1"/>
  <c r="Z110" i="1"/>
  <c r="Z120" i="1"/>
  <c r="Y128" i="1"/>
  <c r="Z181" i="1"/>
  <c r="Z199" i="1"/>
  <c r="Z200" i="1" s="1"/>
  <c r="BP199" i="1"/>
  <c r="Z220" i="1"/>
  <c r="Z261" i="1"/>
  <c r="Z366" i="1"/>
  <c r="Z377" i="1"/>
  <c r="Z387" i="1"/>
  <c r="Z405" i="1"/>
  <c r="Z442" i="1"/>
  <c r="Z452" i="1"/>
  <c r="Z477" i="1"/>
  <c r="Z532" i="1"/>
  <c r="B575" i="1"/>
  <c r="X565" i="1"/>
  <c r="BN35" i="1"/>
  <c r="Z78" i="1"/>
  <c r="Z106" i="1"/>
  <c r="Z116" i="1"/>
  <c r="Z126" i="1"/>
  <c r="Z165" i="1"/>
  <c r="Z209" i="1"/>
  <c r="Z232" i="1"/>
  <c r="Y242" i="1"/>
  <c r="Y247" i="1"/>
  <c r="BN276" i="1"/>
  <c r="Z284" i="1"/>
  <c r="Z303" i="1"/>
  <c r="Z326" i="1"/>
  <c r="Z373" i="1"/>
  <c r="Z383" i="1"/>
  <c r="Z393" i="1"/>
  <c r="Z411" i="1"/>
  <c r="Z458" i="1"/>
  <c r="Z487" i="1"/>
  <c r="Z528" i="1"/>
  <c r="Z540" i="1"/>
  <c r="Z541" i="1" s="1"/>
  <c r="BP540" i="1"/>
  <c r="BN544" i="1"/>
  <c r="Y545" i="1"/>
  <c r="Z548" i="1"/>
  <c r="Z549" i="1" s="1"/>
  <c r="BP548" i="1"/>
  <c r="BN552" i="1"/>
  <c r="Y553" i="1"/>
  <c r="Z556" i="1"/>
  <c r="BN29" i="1"/>
  <c r="Z41" i="1"/>
  <c r="BN41" i="1"/>
  <c r="Z45" i="1"/>
  <c r="BN45" i="1"/>
  <c r="Z62" i="1"/>
  <c r="BN62" i="1"/>
  <c r="Z66" i="1"/>
  <c r="BN66" i="1"/>
  <c r="Y74" i="1"/>
  <c r="Z72" i="1"/>
  <c r="BN72" i="1"/>
  <c r="Z82" i="1"/>
  <c r="BN82" i="1"/>
  <c r="BP82" i="1"/>
  <c r="Z89" i="1"/>
  <c r="BN89" i="1"/>
  <c r="BP89" i="1"/>
  <c r="Z93" i="1"/>
  <c r="BN93" i="1"/>
  <c r="Y103" i="1"/>
  <c r="Z101" i="1"/>
  <c r="BN101" i="1"/>
  <c r="Y113" i="1"/>
  <c r="Z108" i="1"/>
  <c r="BN108" i="1"/>
  <c r="Z112" i="1"/>
  <c r="BN112" i="1"/>
  <c r="Y122" i="1"/>
  <c r="Z118" i="1"/>
  <c r="BN118" i="1"/>
  <c r="Z124" i="1"/>
  <c r="BN124" i="1"/>
  <c r="BP124" i="1"/>
  <c r="Y143" i="1"/>
  <c r="Z147" i="1"/>
  <c r="BN147" i="1"/>
  <c r="Z154" i="1"/>
  <c r="BN154" i="1"/>
  <c r="Z167" i="1"/>
  <c r="BN167" i="1"/>
  <c r="Y173" i="1"/>
  <c r="Z177" i="1"/>
  <c r="BN177" i="1"/>
  <c r="BP179" i="1"/>
  <c r="BN179" i="1"/>
  <c r="BP183" i="1"/>
  <c r="BN183" i="1"/>
  <c r="Z183" i="1"/>
  <c r="Z27" i="1"/>
  <c r="BN27" i="1"/>
  <c r="Z51" i="1"/>
  <c r="BN51" i="1"/>
  <c r="Z191" i="1"/>
  <c r="BN191" i="1"/>
  <c r="Z207" i="1"/>
  <c r="BN207" i="1"/>
  <c r="Z211" i="1"/>
  <c r="BN211" i="1"/>
  <c r="Z222" i="1"/>
  <c r="BN222" i="1"/>
  <c r="Z226" i="1"/>
  <c r="BN226" i="1"/>
  <c r="Z230" i="1"/>
  <c r="BN230" i="1"/>
  <c r="Z236" i="1"/>
  <c r="BN236" i="1"/>
  <c r="BP236" i="1"/>
  <c r="Z240" i="1"/>
  <c r="BN240" i="1"/>
  <c r="Y248" i="1"/>
  <c r="Z246" i="1"/>
  <c r="BN246" i="1"/>
  <c r="Z265" i="1"/>
  <c r="BN265" i="1"/>
  <c r="Z268" i="1"/>
  <c r="BN268" i="1"/>
  <c r="Z272" i="1"/>
  <c r="BN272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Z324" i="1"/>
  <c r="BN324" i="1"/>
  <c r="Z328" i="1"/>
  <c r="BN328" i="1"/>
  <c r="Z342" i="1"/>
  <c r="BN342" i="1"/>
  <c r="Z348" i="1"/>
  <c r="BN348" i="1"/>
  <c r="BP348" i="1"/>
  <c r="S575" i="1"/>
  <c r="Y356" i="1"/>
  <c r="BP355" i="1"/>
  <c r="BN355" i="1"/>
  <c r="U575" i="1"/>
  <c r="BP371" i="1"/>
  <c r="BN371" i="1"/>
  <c r="Z371" i="1"/>
  <c r="BP381" i="1"/>
  <c r="BN381" i="1"/>
  <c r="Z381" i="1"/>
  <c r="Y395" i="1"/>
  <c r="BP391" i="1"/>
  <c r="BN391" i="1"/>
  <c r="Z391" i="1"/>
  <c r="BP407" i="1"/>
  <c r="BN407" i="1"/>
  <c r="Z407" i="1"/>
  <c r="BP425" i="1"/>
  <c r="BN425" i="1"/>
  <c r="Z425" i="1"/>
  <c r="BP444" i="1"/>
  <c r="BN444" i="1"/>
  <c r="Z444" i="1"/>
  <c r="Y460" i="1"/>
  <c r="BP456" i="1"/>
  <c r="BN456" i="1"/>
  <c r="Z456" i="1"/>
  <c r="BP479" i="1"/>
  <c r="BN479" i="1"/>
  <c r="Z479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Z250" i="1"/>
  <c r="Z251" i="1" s="1"/>
  <c r="BN250" i="1"/>
  <c r="BP250" i="1"/>
  <c r="Y251" i="1"/>
  <c r="Z255" i="1"/>
  <c r="BN255" i="1"/>
  <c r="BN317" i="1"/>
  <c r="BN344" i="1"/>
  <c r="Y351" i="1"/>
  <c r="Y361" i="1"/>
  <c r="Y360" i="1"/>
  <c r="BP359" i="1"/>
  <c r="BN359" i="1"/>
  <c r="Z359" i="1"/>
  <c r="Z360" i="1" s="1"/>
  <c r="BP364" i="1"/>
  <c r="BN364" i="1"/>
  <c r="Z364" i="1"/>
  <c r="BP375" i="1"/>
  <c r="BN375" i="1"/>
  <c r="Z375" i="1"/>
  <c r="BP385" i="1"/>
  <c r="BN385" i="1"/>
  <c r="Z385" i="1"/>
  <c r="BP399" i="1"/>
  <c r="BN399" i="1"/>
  <c r="Z399" i="1"/>
  <c r="BP413" i="1"/>
  <c r="BN413" i="1"/>
  <c r="Z413" i="1"/>
  <c r="BP417" i="1"/>
  <c r="BN417" i="1"/>
  <c r="Z417" i="1"/>
  <c r="BP440" i="1"/>
  <c r="BN440" i="1"/>
  <c r="Z440" i="1"/>
  <c r="BP450" i="1"/>
  <c r="BN450" i="1"/>
  <c r="Z450" i="1"/>
  <c r="BP469" i="1"/>
  <c r="BN469" i="1"/>
  <c r="Z469" i="1"/>
  <c r="BP489" i="1"/>
  <c r="BN489" i="1"/>
  <c r="Z489" i="1"/>
  <c r="BP516" i="1"/>
  <c r="BN516" i="1"/>
  <c r="Z516" i="1"/>
  <c r="BP530" i="1"/>
  <c r="BN530" i="1"/>
  <c r="Z530" i="1"/>
  <c r="Y415" i="1"/>
  <c r="Y414" i="1"/>
  <c r="Y481" i="1"/>
  <c r="Y480" i="1"/>
  <c r="Y558" i="1"/>
  <c r="AC575" i="1"/>
  <c r="H9" i="1"/>
  <c r="A10" i="1"/>
  <c r="Y24" i="1"/>
  <c r="Y32" i="1"/>
  <c r="Y36" i="1"/>
  <c r="Y46" i="1"/>
  <c r="Y56" i="1"/>
  <c r="Y67" i="1"/>
  <c r="Y75" i="1"/>
  <c r="Y79" i="1"/>
  <c r="Y85" i="1"/>
  <c r="Y102" i="1"/>
  <c r="Y121" i="1"/>
  <c r="Y129" i="1"/>
  <c r="Y133" i="1"/>
  <c r="H575" i="1"/>
  <c r="Y139" i="1"/>
  <c r="Z137" i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60" i="1"/>
  <c r="BP159" i="1"/>
  <c r="BN159" i="1"/>
  <c r="Z159" i="1"/>
  <c r="Z160" i="1" s="1"/>
  <c r="Y161" i="1"/>
  <c r="J575" i="1"/>
  <c r="Y169" i="1"/>
  <c r="BP164" i="1"/>
  <c r="BN164" i="1"/>
  <c r="Z164" i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Q575" i="1"/>
  <c r="Y338" i="1"/>
  <c r="BP343" i="1"/>
  <c r="BN343" i="1"/>
  <c r="Z343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F9" i="1"/>
  <c r="J9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Z102" i="1" s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8" i="1"/>
  <c r="BP136" i="1"/>
  <c r="Y148" i="1"/>
  <c r="BP153" i="1"/>
  <c r="BN153" i="1"/>
  <c r="Z153" i="1"/>
  <c r="Z156" i="1" s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Z241" i="1" s="1"/>
  <c r="Y241" i="1"/>
  <c r="BP245" i="1"/>
  <c r="BN245" i="1"/>
  <c r="Z245" i="1"/>
  <c r="Z247" i="1" s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Z345" i="1" s="1"/>
  <c r="Y345" i="1"/>
  <c r="BP349" i="1"/>
  <c r="BN349" i="1"/>
  <c r="Z349" i="1"/>
  <c r="Z351" i="1" s="1"/>
  <c r="BP372" i="1"/>
  <c r="BN372" i="1"/>
  <c r="Z372" i="1"/>
  <c r="BP376" i="1"/>
  <c r="BN376" i="1"/>
  <c r="Z376" i="1"/>
  <c r="Y389" i="1"/>
  <c r="BP384" i="1"/>
  <c r="BN384" i="1"/>
  <c r="Z384" i="1"/>
  <c r="BP392" i="1"/>
  <c r="BN392" i="1"/>
  <c r="Z392" i="1"/>
  <c r="Z395" i="1" s="1"/>
  <c r="BP400" i="1"/>
  <c r="BN400" i="1"/>
  <c r="Z400" i="1"/>
  <c r="Y409" i="1"/>
  <c r="BP404" i="1"/>
  <c r="BN404" i="1"/>
  <c r="Z404" i="1"/>
  <c r="Z408" i="1" s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78" i="1" l="1"/>
  <c r="Z233" i="1"/>
  <c r="Z128" i="1"/>
  <c r="Z121" i="1"/>
  <c r="Z95" i="1"/>
  <c r="Z74" i="1"/>
  <c r="Z535" i="1"/>
  <c r="Z491" i="1"/>
  <c r="Z304" i="1"/>
  <c r="Z273" i="1"/>
  <c r="Z113" i="1"/>
  <c r="Z55" i="1"/>
  <c r="Z46" i="1"/>
  <c r="Z388" i="1"/>
  <c r="Z319" i="1"/>
  <c r="Z212" i="1"/>
  <c r="Z447" i="1"/>
  <c r="Z427" i="1"/>
  <c r="Z67" i="1"/>
  <c r="Z31" i="1"/>
  <c r="Y567" i="1"/>
  <c r="Z337" i="1"/>
  <c r="Z168" i="1"/>
  <c r="Y565" i="1"/>
  <c r="Z519" i="1"/>
  <c r="Z506" i="1"/>
  <c r="Z330" i="1"/>
  <c r="Z288" i="1"/>
  <c r="Z401" i="1"/>
  <c r="Y569" i="1"/>
  <c r="Y566" i="1"/>
  <c r="Y568" i="1" s="1"/>
  <c r="Z187" i="1"/>
  <c r="Z570" i="1" l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<sst xmlns="http://schemas.openxmlformats.org/spreadsheetml/2006/main" count="2537" uniqueCount="914">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</sst>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935" t="s">
        <v>0</v>
      </c>
      <c r="E1" s="681"/>
      <c r="F1" s="681"/>
      <c r="G1" s="12" t="s">
        <v>1</v>
      </c>
      <c r="H1" s="935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81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884" t="s">
        <v>8</v>
      </c>
      <c r="B5" s="752"/>
      <c r="C5" s="672"/>
      <c r="D5" s="747"/>
      <c r="E5" s="749"/>
      <c r="F5" s="701" t="s">
        <v>9</v>
      </c>
      <c r="G5" s="672"/>
      <c r="H5" s="747" t="s">
        <v>913</v>
      </c>
      <c r="I5" s="748"/>
      <c r="J5" s="748"/>
      <c r="K5" s="748"/>
      <c r="L5" s="748"/>
      <c r="M5" s="749"/>
      <c r="N5" s="58"/>
      <c r="P5" s="24" t="s">
        <v>10</v>
      </c>
      <c r="Q5" s="686">
        <v>46322</v>
      </c>
      <c r="R5" s="687"/>
      <c r="T5" s="847" t="s">
        <v>11</v>
      </c>
      <c r="U5" s="848"/>
      <c r="V5" s="849" t="s">
        <v>12</v>
      </c>
      <c r="W5" s="687"/>
      <c r="AB5" s="51"/>
      <c r="AC5" s="51"/>
      <c r="AD5" s="51"/>
      <c r="AE5" s="51"/>
    </row>
    <row r="6" spans="1:32" s="629" customFormat="1" ht="24" customHeight="1" x14ac:dyDescent="0.2">
      <c r="A6" s="884" t="s">
        <v>13</v>
      </c>
      <c r="B6" s="752"/>
      <c r="C6" s="672"/>
      <c r="D6" s="754" t="s">
        <v>884</v>
      </c>
      <c r="E6" s="755"/>
      <c r="F6" s="755"/>
      <c r="G6" s="755"/>
      <c r="H6" s="755"/>
      <c r="I6" s="755"/>
      <c r="J6" s="755"/>
      <c r="K6" s="755"/>
      <c r="L6" s="755"/>
      <c r="M6" s="687"/>
      <c r="N6" s="59"/>
      <c r="P6" s="24" t="s">
        <v>14</v>
      </c>
      <c r="Q6" s="677" t="str">
        <f>IF(Q5=0," ",CHOOSE(WEEKDAY(Q5,2),"Понедельник","Вторник","Среда","Четверг","Пятница","Суббота","Воскресенье"))</f>
        <v>Вторник</v>
      </c>
      <c r="R6" s="643"/>
      <c r="T6" s="856" t="s">
        <v>15</v>
      </c>
      <c r="U6" s="848"/>
      <c r="V6" s="768" t="s">
        <v>16</v>
      </c>
      <c r="W6" s="769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956" t="str">
        <f>IFERROR(VLOOKUP(DeliveryAddress,Table,3,0),1)</f>
        <v>3</v>
      </c>
      <c r="E7" s="957"/>
      <c r="F7" s="957"/>
      <c r="G7" s="957"/>
      <c r="H7" s="957"/>
      <c r="I7" s="957"/>
      <c r="J7" s="957"/>
      <c r="K7" s="957"/>
      <c r="L7" s="957"/>
      <c r="M7" s="852"/>
      <c r="N7" s="60"/>
      <c r="P7" s="24"/>
      <c r="Q7" s="42"/>
      <c r="R7" s="42"/>
      <c r="T7" s="648"/>
      <c r="U7" s="848"/>
      <c r="V7" s="770"/>
      <c r="W7" s="771"/>
      <c r="AB7" s="51"/>
      <c r="AC7" s="51"/>
      <c r="AD7" s="51"/>
      <c r="AE7" s="51"/>
    </row>
    <row r="8" spans="1:32" s="629" customFormat="1" ht="25.5" customHeight="1" x14ac:dyDescent="0.2">
      <c r="A8" s="639" t="s">
        <v>17</v>
      </c>
      <c r="B8" s="640"/>
      <c r="C8" s="641"/>
      <c r="D8" s="968"/>
      <c r="E8" s="969"/>
      <c r="F8" s="969"/>
      <c r="G8" s="969"/>
      <c r="H8" s="969"/>
      <c r="I8" s="969"/>
      <c r="J8" s="969"/>
      <c r="K8" s="969"/>
      <c r="L8" s="969"/>
      <c r="M8" s="970"/>
      <c r="N8" s="61"/>
      <c r="P8" s="24" t="s">
        <v>18</v>
      </c>
      <c r="Q8" s="851">
        <v>0.41666666666666669</v>
      </c>
      <c r="R8" s="852"/>
      <c r="T8" s="648"/>
      <c r="U8" s="848"/>
      <c r="V8" s="770"/>
      <c r="W8" s="771"/>
      <c r="AB8" s="51"/>
      <c r="AC8" s="51"/>
      <c r="AD8" s="51"/>
      <c r="AE8" s="51"/>
    </row>
    <row r="9" spans="1:32" s="629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17"/>
      <c r="E9" s="718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812" t="str">
        <f>IF(AND($A$9="Тип доверенности/получателя при получении в адресе перегруза:",$D$9="Разовая доверенность"),"Введите ФИО","")</f>
        <v/>
      </c>
      <c r="I9" s="718"/>
      <c r="J9" s="8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8"/>
      <c r="L9" s="718"/>
      <c r="M9" s="718"/>
      <c r="N9" s="627"/>
      <c r="P9" s="26" t="s">
        <v>19</v>
      </c>
      <c r="Q9" s="910"/>
      <c r="R9" s="705"/>
      <c r="T9" s="648"/>
      <c r="U9" s="84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17"/>
      <c r="E10" s="718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787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57"/>
      <c r="R10" s="858"/>
      <c r="U10" s="24" t="s">
        <v>21</v>
      </c>
      <c r="V10" s="1006" t="s">
        <v>22</v>
      </c>
      <c r="W10" s="769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12"/>
      <c r="R11" s="687"/>
      <c r="U11" s="24" t="s">
        <v>25</v>
      </c>
      <c r="V11" s="704" t="s">
        <v>26</v>
      </c>
      <c r="W11" s="705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4" t="s">
        <v>27</v>
      </c>
      <c r="B12" s="752"/>
      <c r="C12" s="752"/>
      <c r="D12" s="752"/>
      <c r="E12" s="752"/>
      <c r="F12" s="752"/>
      <c r="G12" s="752"/>
      <c r="H12" s="752"/>
      <c r="I12" s="752"/>
      <c r="J12" s="752"/>
      <c r="K12" s="752"/>
      <c r="L12" s="752"/>
      <c r="M12" s="672"/>
      <c r="N12" s="62"/>
      <c r="P12" s="24" t="s">
        <v>28</v>
      </c>
      <c r="Q12" s="851"/>
      <c r="R12" s="852"/>
      <c r="S12" s="23"/>
      <c r="U12" s="24"/>
      <c r="V12" s="681"/>
      <c r="W12" s="648"/>
      <c r="AB12" s="51"/>
      <c r="AC12" s="51"/>
      <c r="AD12" s="51"/>
      <c r="AE12" s="51"/>
    </row>
    <row r="13" spans="1:32" s="629" customFormat="1" ht="23.25" customHeight="1" x14ac:dyDescent="0.2">
      <c r="A13" s="824" t="s">
        <v>29</v>
      </c>
      <c r="B13" s="752"/>
      <c r="C13" s="752"/>
      <c r="D13" s="752"/>
      <c r="E13" s="752"/>
      <c r="F13" s="752"/>
      <c r="G13" s="752"/>
      <c r="H13" s="752"/>
      <c r="I13" s="752"/>
      <c r="J13" s="752"/>
      <c r="K13" s="752"/>
      <c r="L13" s="752"/>
      <c r="M13" s="672"/>
      <c r="N13" s="62"/>
      <c r="O13" s="26"/>
      <c r="P13" s="26" t="s">
        <v>30</v>
      </c>
      <c r="Q13" s="704"/>
      <c r="R13" s="70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4" t="s">
        <v>31</v>
      </c>
      <c r="B14" s="752"/>
      <c r="C14" s="752"/>
      <c r="D14" s="752"/>
      <c r="E14" s="752"/>
      <c r="F14" s="752"/>
      <c r="G14" s="752"/>
      <c r="H14" s="752"/>
      <c r="I14" s="752"/>
      <c r="J14" s="752"/>
      <c r="K14" s="752"/>
      <c r="L14" s="752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25" t="s">
        <v>32</v>
      </c>
      <c r="B15" s="752"/>
      <c r="C15" s="752"/>
      <c r="D15" s="752"/>
      <c r="E15" s="752"/>
      <c r="F15" s="752"/>
      <c r="G15" s="752"/>
      <c r="H15" s="752"/>
      <c r="I15" s="752"/>
      <c r="J15" s="752"/>
      <c r="K15" s="752"/>
      <c r="L15" s="752"/>
      <c r="M15" s="672"/>
      <c r="N15" s="63"/>
      <c r="P15" s="903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04"/>
      <c r="Q16" s="904"/>
      <c r="R16" s="904"/>
      <c r="S16" s="904"/>
      <c r="T16" s="90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6" t="s">
        <v>34</v>
      </c>
      <c r="B17" s="656" t="s">
        <v>35</v>
      </c>
      <c r="C17" s="890" t="s">
        <v>36</v>
      </c>
      <c r="D17" s="656" t="s">
        <v>37</v>
      </c>
      <c r="E17" s="657"/>
      <c r="F17" s="656" t="s">
        <v>38</v>
      </c>
      <c r="G17" s="656" t="s">
        <v>39</v>
      </c>
      <c r="H17" s="656" t="s">
        <v>40</v>
      </c>
      <c r="I17" s="656" t="s">
        <v>41</v>
      </c>
      <c r="J17" s="656" t="s">
        <v>42</v>
      </c>
      <c r="K17" s="656" t="s">
        <v>43</v>
      </c>
      <c r="L17" s="656" t="s">
        <v>44</v>
      </c>
      <c r="M17" s="656" t="s">
        <v>45</v>
      </c>
      <c r="N17" s="656" t="s">
        <v>46</v>
      </c>
      <c r="O17" s="656" t="s">
        <v>47</v>
      </c>
      <c r="P17" s="656" t="s">
        <v>48</v>
      </c>
      <c r="Q17" s="920"/>
      <c r="R17" s="920"/>
      <c r="S17" s="920"/>
      <c r="T17" s="657"/>
      <c r="U17" s="671" t="s">
        <v>49</v>
      </c>
      <c r="V17" s="672"/>
      <c r="W17" s="656" t="s">
        <v>50</v>
      </c>
      <c r="X17" s="656" t="s">
        <v>51</v>
      </c>
      <c r="Y17" s="673" t="s">
        <v>52</v>
      </c>
      <c r="Z17" s="778" t="s">
        <v>53</v>
      </c>
      <c r="AA17" s="695" t="s">
        <v>54</v>
      </c>
      <c r="AB17" s="695" t="s">
        <v>55</v>
      </c>
      <c r="AC17" s="695" t="s">
        <v>56</v>
      </c>
      <c r="AD17" s="695" t="s">
        <v>57</v>
      </c>
      <c r="AE17" s="696"/>
      <c r="AF17" s="697"/>
      <c r="AG17" s="66"/>
      <c r="BD17" s="65" t="s">
        <v>58</v>
      </c>
    </row>
    <row r="18" spans="1:68" ht="14.25" customHeight="1" x14ac:dyDescent="0.2">
      <c r="A18" s="664"/>
      <c r="B18" s="664"/>
      <c r="C18" s="664"/>
      <c r="D18" s="658"/>
      <c r="E18" s="659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58"/>
      <c r="Q18" s="921"/>
      <c r="R18" s="921"/>
      <c r="S18" s="921"/>
      <c r="T18" s="659"/>
      <c r="U18" s="67" t="s">
        <v>59</v>
      </c>
      <c r="V18" s="67" t="s">
        <v>60</v>
      </c>
      <c r="W18" s="664"/>
      <c r="X18" s="664"/>
      <c r="Y18" s="674"/>
      <c r="Z18" s="779"/>
      <c r="AA18" s="780"/>
      <c r="AB18" s="780"/>
      <c r="AC18" s="780"/>
      <c r="AD18" s="698"/>
      <c r="AE18" s="699"/>
      <c r="AF18" s="700"/>
      <c r="AG18" s="66"/>
      <c r="BD18" s="65"/>
    </row>
    <row r="19" spans="1:68" ht="27.75" hidden="1" customHeight="1" x14ac:dyDescent="0.2">
      <c r="A19" s="727" t="s">
        <v>61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hidden="1" customHeight="1" x14ac:dyDescent="0.25">
      <c r="A20" s="647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3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2">
        <v>4680115889071</v>
      </c>
      <c r="E22" s="643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0"/>
      <c r="R22" s="650"/>
      <c r="S22" s="650"/>
      <c r="T22" s="65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6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69"/>
      <c r="P23" s="644" t="s">
        <v>69</v>
      </c>
      <c r="Q23" s="640"/>
      <c r="R23" s="640"/>
      <c r="S23" s="640"/>
      <c r="T23" s="640"/>
      <c r="U23" s="640"/>
      <c r="V23" s="641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69"/>
      <c r="P24" s="644" t="s">
        <v>69</v>
      </c>
      <c r="Q24" s="640"/>
      <c r="R24" s="640"/>
      <c r="S24" s="640"/>
      <c r="T24" s="640"/>
      <c r="U24" s="640"/>
      <c r="V24" s="641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53" t="s">
        <v>71</v>
      </c>
      <c r="B25" s="648"/>
      <c r="C25" s="648"/>
      <c r="D25" s="648"/>
      <c r="E25" s="648"/>
      <c r="F25" s="648"/>
      <c r="G25" s="648"/>
      <c r="H25" s="648"/>
      <c r="I25" s="648"/>
      <c r="J25" s="648"/>
      <c r="K25" s="648"/>
      <c r="L25" s="648"/>
      <c r="M25" s="648"/>
      <c r="N25" s="648"/>
      <c r="O25" s="648"/>
      <c r="P25" s="648"/>
      <c r="Q25" s="648"/>
      <c r="R25" s="648"/>
      <c r="S25" s="648"/>
      <c r="T25" s="648"/>
      <c r="U25" s="648"/>
      <c r="V25" s="648"/>
      <c r="W25" s="648"/>
      <c r="X25" s="648"/>
      <c r="Y25" s="648"/>
      <c r="Z25" s="648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2">
        <v>4680115885912</v>
      </c>
      <c r="E26" s="643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0"/>
      <c r="R26" s="650"/>
      <c r="S26" s="650"/>
      <c r="T26" s="65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2">
        <v>4607091388237</v>
      </c>
      <c r="E27" s="643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7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0"/>
      <c r="R27" s="650"/>
      <c r="S27" s="650"/>
      <c r="T27" s="651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2">
        <v>4680115887350</v>
      </c>
      <c r="E28" s="643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94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0"/>
      <c r="R28" s="650"/>
      <c r="S28" s="650"/>
      <c r="T28" s="651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2">
        <v>4680115885905</v>
      </c>
      <c r="E29" s="643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96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0"/>
      <c r="R29" s="650"/>
      <c r="S29" s="650"/>
      <c r="T29" s="651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2">
        <v>4680115887619</v>
      </c>
      <c r="E30" s="643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99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0"/>
      <c r="R30" s="650"/>
      <c r="S30" s="650"/>
      <c r="T30" s="65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6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69"/>
      <c r="P31" s="644" t="s">
        <v>69</v>
      </c>
      <c r="Q31" s="640"/>
      <c r="R31" s="640"/>
      <c r="S31" s="640"/>
      <c r="T31" s="640"/>
      <c r="U31" s="640"/>
      <c r="V31" s="641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69"/>
      <c r="P32" s="644" t="s">
        <v>69</v>
      </c>
      <c r="Q32" s="640"/>
      <c r="R32" s="640"/>
      <c r="S32" s="640"/>
      <c r="T32" s="640"/>
      <c r="U32" s="640"/>
      <c r="V32" s="641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53" t="s">
        <v>89</v>
      </c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8"/>
      <c r="P33" s="648"/>
      <c r="Q33" s="648"/>
      <c r="R33" s="648"/>
      <c r="S33" s="648"/>
      <c r="T33" s="648"/>
      <c r="U33" s="648"/>
      <c r="V33" s="648"/>
      <c r="W33" s="648"/>
      <c r="X33" s="648"/>
      <c r="Y33" s="648"/>
      <c r="Z33" s="648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2">
        <v>4680115889262</v>
      </c>
      <c r="E34" s="643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0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0"/>
      <c r="R34" s="650"/>
      <c r="S34" s="650"/>
      <c r="T34" s="651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2">
        <v>4680115889040</v>
      </c>
      <c r="E35" s="643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741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0"/>
      <c r="R35" s="650"/>
      <c r="S35" s="650"/>
      <c r="T35" s="651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6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69"/>
      <c r="P36" s="644" t="s">
        <v>69</v>
      </c>
      <c r="Q36" s="640"/>
      <c r="R36" s="640"/>
      <c r="S36" s="640"/>
      <c r="T36" s="640"/>
      <c r="U36" s="640"/>
      <c r="V36" s="641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69"/>
      <c r="P37" s="644" t="s">
        <v>69</v>
      </c>
      <c r="Q37" s="640"/>
      <c r="R37" s="640"/>
      <c r="S37" s="640"/>
      <c r="T37" s="640"/>
      <c r="U37" s="640"/>
      <c r="V37" s="641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727" t="s">
        <v>100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hidden="1" customHeight="1" x14ac:dyDescent="0.25">
      <c r="A39" s="647" t="s">
        <v>101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30"/>
      <c r="AB39" s="630"/>
      <c r="AC39" s="630"/>
    </row>
    <row r="40" spans="1:68" ht="14.25" hidden="1" customHeight="1" x14ac:dyDescent="0.25">
      <c r="A40" s="653" t="s">
        <v>71</v>
      </c>
      <c r="B40" s="648"/>
      <c r="C40" s="648"/>
      <c r="D40" s="648"/>
      <c r="E40" s="648"/>
      <c r="F40" s="648"/>
      <c r="G40" s="648"/>
      <c r="H40" s="648"/>
      <c r="I40" s="648"/>
      <c r="J40" s="648"/>
      <c r="K40" s="648"/>
      <c r="L40" s="648"/>
      <c r="M40" s="648"/>
      <c r="N40" s="648"/>
      <c r="O40" s="648"/>
      <c r="P40" s="648"/>
      <c r="Q40" s="648"/>
      <c r="R40" s="648"/>
      <c r="S40" s="648"/>
      <c r="T40" s="648"/>
      <c r="U40" s="648"/>
      <c r="V40" s="648"/>
      <c r="W40" s="648"/>
      <c r="X40" s="648"/>
      <c r="Y40" s="648"/>
      <c r="Z40" s="648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2">
        <v>4680115889354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0"/>
      <c r="R41" s="650"/>
      <c r="S41" s="650"/>
      <c r="T41" s="65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2">
        <v>4680115888463</v>
      </c>
      <c r="E42" s="643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0"/>
      <c r="R42" s="650"/>
      <c r="S42" s="650"/>
      <c r="T42" s="651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2">
        <v>4680115889590</v>
      </c>
      <c r="E43" s="643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5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0"/>
      <c r="R43" s="650"/>
      <c r="S43" s="650"/>
      <c r="T43" s="651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2">
        <v>4680115888272</v>
      </c>
      <c r="E44" s="643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94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0"/>
      <c r="R44" s="650"/>
      <c r="S44" s="650"/>
      <c r="T44" s="651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2">
        <v>4680115888364</v>
      </c>
      <c r="E45" s="643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79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0"/>
      <c r="R45" s="650"/>
      <c r="S45" s="650"/>
      <c r="T45" s="651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6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69"/>
      <c r="P46" s="644" t="s">
        <v>69</v>
      </c>
      <c r="Q46" s="640"/>
      <c r="R46" s="640"/>
      <c r="S46" s="640"/>
      <c r="T46" s="640"/>
      <c r="U46" s="640"/>
      <c r="V46" s="641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69"/>
      <c r="P47" s="644" t="s">
        <v>69</v>
      </c>
      <c r="Q47" s="640"/>
      <c r="R47" s="640"/>
      <c r="S47" s="640"/>
      <c r="T47" s="640"/>
      <c r="U47" s="640"/>
      <c r="V47" s="641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727" t="s">
        <v>117</v>
      </c>
      <c r="B48" s="728"/>
      <c r="C48" s="728"/>
      <c r="D48" s="728"/>
      <c r="E48" s="728"/>
      <c r="F48" s="728"/>
      <c r="G48" s="728"/>
      <c r="H48" s="728"/>
      <c r="I48" s="728"/>
      <c r="J48" s="728"/>
      <c r="K48" s="728"/>
      <c r="L48" s="728"/>
      <c r="M48" s="728"/>
      <c r="N48" s="728"/>
      <c r="O48" s="728"/>
      <c r="P48" s="728"/>
      <c r="Q48" s="728"/>
      <c r="R48" s="728"/>
      <c r="S48" s="728"/>
      <c r="T48" s="728"/>
      <c r="U48" s="728"/>
      <c r="V48" s="728"/>
      <c r="W48" s="728"/>
      <c r="X48" s="728"/>
      <c r="Y48" s="728"/>
      <c r="Z48" s="728"/>
      <c r="AA48" s="48"/>
      <c r="AB48" s="48"/>
      <c r="AC48" s="48"/>
    </row>
    <row r="49" spans="1:68" ht="16.5" hidden="1" customHeight="1" x14ac:dyDescent="0.25">
      <c r="A49" s="647" t="s">
        <v>118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30"/>
      <c r="AB49" s="630"/>
      <c r="AC49" s="630"/>
    </row>
    <row r="50" spans="1:68" ht="14.25" hidden="1" customHeight="1" x14ac:dyDescent="0.25">
      <c r="A50" s="653" t="s">
        <v>119</v>
      </c>
      <c r="B50" s="648"/>
      <c r="C50" s="648"/>
      <c r="D50" s="648"/>
      <c r="E50" s="648"/>
      <c r="F50" s="648"/>
      <c r="G50" s="648"/>
      <c r="H50" s="648"/>
      <c r="I50" s="648"/>
      <c r="J50" s="648"/>
      <c r="K50" s="648"/>
      <c r="L50" s="648"/>
      <c r="M50" s="648"/>
      <c r="N50" s="648"/>
      <c r="O50" s="648"/>
      <c r="P50" s="648"/>
      <c r="Q50" s="648"/>
      <c r="R50" s="648"/>
      <c r="S50" s="648"/>
      <c r="T50" s="648"/>
      <c r="U50" s="648"/>
      <c r="V50" s="648"/>
      <c r="W50" s="648"/>
      <c r="X50" s="648"/>
      <c r="Y50" s="648"/>
      <c r="Z50" s="648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2">
        <v>4607091385670</v>
      </c>
      <c r="E51" s="643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90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0"/>
      <c r="R51" s="650"/>
      <c r="S51" s="650"/>
      <c r="T51" s="651"/>
      <c r="U51" s="34"/>
      <c r="V51" s="34"/>
      <c r="W51" s="35" t="s">
        <v>67</v>
      </c>
      <c r="X51" s="635">
        <v>1159</v>
      </c>
      <c r="Y51" s="636">
        <f>IFERROR(IF(X51="",0,CEILING((X51/$H51),1)*$H51),"")</f>
        <v>1166.4000000000001</v>
      </c>
      <c r="Z51" s="36">
        <f>IFERROR(IF(Y51=0,"",ROUNDUP(Y51/H51,0)*0.01898),"")</f>
        <v>2.0498400000000001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1202.9990740740741</v>
      </c>
      <c r="BN51" s="64">
        <f>IFERROR(Y51*I51/H51,"0")</f>
        <v>1210.6800000000003</v>
      </c>
      <c r="BO51" s="64">
        <f>IFERROR(1/J51*(X51/H51),"0")</f>
        <v>1.6767939814814814</v>
      </c>
      <c r="BP51" s="64">
        <f>IFERROR(1/J51*(Y51/H51),"0")</f>
        <v>1.6875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2">
        <v>4680115887725</v>
      </c>
      <c r="E52" s="643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0"/>
      <c r="R52" s="650"/>
      <c r="S52" s="650"/>
      <c r="T52" s="651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2">
        <v>4607091385687</v>
      </c>
      <c r="E53" s="643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8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0"/>
      <c r="R53" s="650"/>
      <c r="S53" s="650"/>
      <c r="T53" s="651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42">
        <v>4680115882539</v>
      </c>
      <c r="E54" s="643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71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0"/>
      <c r="R54" s="650"/>
      <c r="S54" s="650"/>
      <c r="T54" s="651"/>
      <c r="U54" s="34"/>
      <c r="V54" s="34"/>
      <c r="W54" s="35" t="s">
        <v>67</v>
      </c>
      <c r="X54" s="635">
        <v>0</v>
      </c>
      <c r="Y54" s="63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6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69"/>
      <c r="P55" s="644" t="s">
        <v>69</v>
      </c>
      <c r="Q55" s="640"/>
      <c r="R55" s="640"/>
      <c r="S55" s="640"/>
      <c r="T55" s="640"/>
      <c r="U55" s="640"/>
      <c r="V55" s="641"/>
      <c r="W55" s="37" t="s">
        <v>70</v>
      </c>
      <c r="X55" s="637">
        <f>IFERROR(X51/H51,"0")+IFERROR(X52/H52,"0")+IFERROR(X53/H53,"0")+IFERROR(X54/H54,"0")</f>
        <v>107.31481481481481</v>
      </c>
      <c r="Y55" s="637">
        <f>IFERROR(Y51/H51,"0")+IFERROR(Y52/H52,"0")+IFERROR(Y53/H53,"0")+IFERROR(Y54/H54,"0")</f>
        <v>108</v>
      </c>
      <c r="Z55" s="637">
        <f>IFERROR(IF(Z51="",0,Z51),"0")+IFERROR(IF(Z52="",0,Z52),"0")+IFERROR(IF(Z53="",0,Z53),"0")+IFERROR(IF(Z54="",0,Z54),"0")</f>
        <v>2.0498400000000001</v>
      </c>
      <c r="AA55" s="638"/>
      <c r="AB55" s="638"/>
      <c r="AC55" s="638"/>
    </row>
    <row r="56" spans="1:68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69"/>
      <c r="P56" s="644" t="s">
        <v>69</v>
      </c>
      <c r="Q56" s="640"/>
      <c r="R56" s="640"/>
      <c r="S56" s="640"/>
      <c r="T56" s="640"/>
      <c r="U56" s="640"/>
      <c r="V56" s="641"/>
      <c r="W56" s="37" t="s">
        <v>67</v>
      </c>
      <c r="X56" s="637">
        <f>IFERROR(SUM(X51:X54),"0")</f>
        <v>1159</v>
      </c>
      <c r="Y56" s="637">
        <f>IFERROR(SUM(Y51:Y54),"0")</f>
        <v>1166.4000000000001</v>
      </c>
      <c r="Z56" s="37"/>
      <c r="AA56" s="638"/>
      <c r="AB56" s="638"/>
      <c r="AC56" s="638"/>
    </row>
    <row r="57" spans="1:68" ht="16.5" hidden="1" customHeight="1" x14ac:dyDescent="0.25">
      <c r="A57" s="647" t="s">
        <v>134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30"/>
      <c r="AB57" s="630"/>
      <c r="AC57" s="630"/>
    </row>
    <row r="58" spans="1:68" ht="14.25" hidden="1" customHeight="1" x14ac:dyDescent="0.25">
      <c r="A58" s="653" t="s">
        <v>119</v>
      </c>
      <c r="B58" s="648"/>
      <c r="C58" s="648"/>
      <c r="D58" s="648"/>
      <c r="E58" s="648"/>
      <c r="F58" s="648"/>
      <c r="G58" s="648"/>
      <c r="H58" s="648"/>
      <c r="I58" s="648"/>
      <c r="J58" s="648"/>
      <c r="K58" s="648"/>
      <c r="L58" s="648"/>
      <c r="M58" s="648"/>
      <c r="N58" s="648"/>
      <c r="O58" s="648"/>
      <c r="P58" s="648"/>
      <c r="Q58" s="648"/>
      <c r="R58" s="648"/>
      <c r="S58" s="648"/>
      <c r="T58" s="648"/>
      <c r="U58" s="648"/>
      <c r="V58" s="648"/>
      <c r="W58" s="648"/>
      <c r="X58" s="648"/>
      <c r="Y58" s="648"/>
      <c r="Z58" s="648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2">
        <v>4680115885882</v>
      </c>
      <c r="E59" s="643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0"/>
      <c r="R59" s="650"/>
      <c r="S59" s="650"/>
      <c r="T59" s="651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2">
        <v>4680115881426</v>
      </c>
      <c r="E60" s="643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6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0"/>
      <c r="R60" s="650"/>
      <c r="S60" s="650"/>
      <c r="T60" s="651"/>
      <c r="U60" s="34"/>
      <c r="V60" s="34"/>
      <c r="W60" s="35" t="s">
        <v>67</v>
      </c>
      <c r="X60" s="635">
        <v>338</v>
      </c>
      <c r="Y60" s="636">
        <f t="shared" si="0"/>
        <v>345.6</v>
      </c>
      <c r="Z60" s="36">
        <f>IFERROR(IF(Y60=0,"",ROUNDUP(Y60/H60,0)*0.01898),"")</f>
        <v>0.60736000000000001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350.83148148148149</v>
      </c>
      <c r="BN60" s="64">
        <f t="shared" si="2"/>
        <v>358.72</v>
      </c>
      <c r="BO60" s="64">
        <f t="shared" si="3"/>
        <v>0.48900462962962959</v>
      </c>
      <c r="BP60" s="64">
        <f t="shared" si="4"/>
        <v>0.5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2">
        <v>4680115881426</v>
      </c>
      <c r="E61" s="643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7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0"/>
      <c r="R61" s="650"/>
      <c r="S61" s="650"/>
      <c r="T61" s="65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2">
        <v>4680115880283</v>
      </c>
      <c r="E62" s="643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0"/>
      <c r="R62" s="650"/>
      <c r="S62" s="650"/>
      <c r="T62" s="651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2">
        <v>4680115881525</v>
      </c>
      <c r="E63" s="643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0"/>
      <c r="R63" s="650"/>
      <c r="S63" s="650"/>
      <c r="T63" s="651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2">
        <v>4680115881525</v>
      </c>
      <c r="E64" s="643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71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0"/>
      <c r="R64" s="650"/>
      <c r="S64" s="650"/>
      <c r="T64" s="651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2">
        <v>4680115885899</v>
      </c>
      <c r="E65" s="643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69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0"/>
      <c r="R65" s="650"/>
      <c r="S65" s="650"/>
      <c r="T65" s="651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customHeight="1" x14ac:dyDescent="0.25">
      <c r="A66" s="54" t="s">
        <v>153</v>
      </c>
      <c r="B66" s="54" t="s">
        <v>154</v>
      </c>
      <c r="C66" s="31">
        <v>4301012158</v>
      </c>
      <c r="D66" s="642">
        <v>4680115881419</v>
      </c>
      <c r="E66" s="643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89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0"/>
      <c r="R66" s="650"/>
      <c r="S66" s="650"/>
      <c r="T66" s="651"/>
      <c r="U66" s="34"/>
      <c r="V66" s="34"/>
      <c r="W66" s="35" t="s">
        <v>67</v>
      </c>
      <c r="X66" s="635">
        <v>62</v>
      </c>
      <c r="Y66" s="636">
        <f t="shared" si="0"/>
        <v>63</v>
      </c>
      <c r="Z66" s="36">
        <f>IFERROR(IF(Y66=0,"",ROUNDUP(Y66/H66,0)*0.00902),"")</f>
        <v>0.12628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64.617777777777789</v>
      </c>
      <c r="BN66" s="64">
        <f t="shared" si="2"/>
        <v>65.660000000000011</v>
      </c>
      <c r="BO66" s="64">
        <f t="shared" si="3"/>
        <v>0.10437710437710439</v>
      </c>
      <c r="BP66" s="64">
        <f t="shared" si="4"/>
        <v>0.10606060606060606</v>
      </c>
    </row>
    <row r="67" spans="1:68" x14ac:dyDescent="0.2">
      <c r="A67" s="66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69"/>
      <c r="P67" s="644" t="s">
        <v>69</v>
      </c>
      <c r="Q67" s="640"/>
      <c r="R67" s="640"/>
      <c r="S67" s="640"/>
      <c r="T67" s="640"/>
      <c r="U67" s="640"/>
      <c r="V67" s="641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45.074074074074076</v>
      </c>
      <c r="Y67" s="637">
        <f>IFERROR(Y59/H59,"0")+IFERROR(Y60/H60,"0")+IFERROR(Y61/H61,"0")+IFERROR(Y62/H62,"0")+IFERROR(Y63/H63,"0")+IFERROR(Y64/H64,"0")+IFERROR(Y65/H65,"0")+IFERROR(Y66/H66,"0")</f>
        <v>46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0.73364000000000007</v>
      </c>
      <c r="AA67" s="638"/>
      <c r="AB67" s="638"/>
      <c r="AC67" s="638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69"/>
      <c r="P68" s="644" t="s">
        <v>69</v>
      </c>
      <c r="Q68" s="640"/>
      <c r="R68" s="640"/>
      <c r="S68" s="640"/>
      <c r="T68" s="640"/>
      <c r="U68" s="640"/>
      <c r="V68" s="641"/>
      <c r="W68" s="37" t="s">
        <v>67</v>
      </c>
      <c r="X68" s="637">
        <f>IFERROR(SUM(X59:X66),"0")</f>
        <v>400</v>
      </c>
      <c r="Y68" s="637">
        <f>IFERROR(SUM(Y59:Y66),"0")</f>
        <v>408.6</v>
      </c>
      <c r="Z68" s="37"/>
      <c r="AA68" s="638"/>
      <c r="AB68" s="638"/>
      <c r="AC68" s="638"/>
    </row>
    <row r="69" spans="1:68" ht="14.25" hidden="1" customHeight="1" x14ac:dyDescent="0.25">
      <c r="A69" s="653" t="s">
        <v>155</v>
      </c>
      <c r="B69" s="648"/>
      <c r="C69" s="648"/>
      <c r="D69" s="648"/>
      <c r="E69" s="648"/>
      <c r="F69" s="648"/>
      <c r="G69" s="648"/>
      <c r="H69" s="648"/>
      <c r="I69" s="648"/>
      <c r="J69" s="648"/>
      <c r="K69" s="648"/>
      <c r="L69" s="648"/>
      <c r="M69" s="648"/>
      <c r="N69" s="648"/>
      <c r="O69" s="648"/>
      <c r="P69" s="648"/>
      <c r="Q69" s="648"/>
      <c r="R69" s="648"/>
      <c r="S69" s="648"/>
      <c r="T69" s="648"/>
      <c r="U69" s="648"/>
      <c r="V69" s="648"/>
      <c r="W69" s="648"/>
      <c r="X69" s="648"/>
      <c r="Y69" s="648"/>
      <c r="Z69" s="648"/>
      <c r="AA69" s="631"/>
      <c r="AB69" s="631"/>
      <c r="AC69" s="631"/>
    </row>
    <row r="70" spans="1:68" ht="27" hidden="1" customHeight="1" x14ac:dyDescent="0.25">
      <c r="A70" s="54" t="s">
        <v>156</v>
      </c>
      <c r="B70" s="54" t="s">
        <v>157</v>
      </c>
      <c r="C70" s="31">
        <v>4301020390</v>
      </c>
      <c r="D70" s="642">
        <v>4680115881440</v>
      </c>
      <c r="E70" s="643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69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0"/>
      <c r="R70" s="650"/>
      <c r="S70" s="650"/>
      <c r="T70" s="651"/>
      <c r="U70" s="34"/>
      <c r="V70" s="34"/>
      <c r="W70" s="35" t="s">
        <v>67</v>
      </c>
      <c r="X70" s="635">
        <v>0</v>
      </c>
      <c r="Y70" s="63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2">
        <v>4680115885950</v>
      </c>
      <c r="E71" s="643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6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0"/>
      <c r="R71" s="650"/>
      <c r="S71" s="650"/>
      <c r="T71" s="651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2">
        <v>4680115887688</v>
      </c>
      <c r="E72" s="643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68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0"/>
      <c r="R72" s="650"/>
      <c r="S72" s="650"/>
      <c r="T72" s="651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2">
        <v>4680115881433</v>
      </c>
      <c r="E73" s="643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100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0"/>
      <c r="R73" s="650"/>
      <c r="S73" s="650"/>
      <c r="T73" s="65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6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69"/>
      <c r="P74" s="644" t="s">
        <v>69</v>
      </c>
      <c r="Q74" s="640"/>
      <c r="R74" s="640"/>
      <c r="S74" s="640"/>
      <c r="T74" s="640"/>
      <c r="U74" s="640"/>
      <c r="V74" s="641"/>
      <c r="W74" s="37" t="s">
        <v>70</v>
      </c>
      <c r="X74" s="637">
        <f>IFERROR(X70/H70,"0")+IFERROR(X71/H71,"0")+IFERROR(X72/H72,"0")+IFERROR(X73/H73,"0")</f>
        <v>0</v>
      </c>
      <c r="Y74" s="637">
        <f>IFERROR(Y70/H70,"0")+IFERROR(Y71/H71,"0")+IFERROR(Y72/H72,"0")+IFERROR(Y73/H73,"0")</f>
        <v>0</v>
      </c>
      <c r="Z74" s="637">
        <f>IFERROR(IF(Z70="",0,Z70),"0")+IFERROR(IF(Z71="",0,Z71),"0")+IFERROR(IF(Z72="",0,Z72),"0")+IFERROR(IF(Z73="",0,Z73),"0")</f>
        <v>0</v>
      </c>
      <c r="AA74" s="638"/>
      <c r="AB74" s="638"/>
      <c r="AC74" s="638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69"/>
      <c r="P75" s="644" t="s">
        <v>69</v>
      </c>
      <c r="Q75" s="640"/>
      <c r="R75" s="640"/>
      <c r="S75" s="640"/>
      <c r="T75" s="640"/>
      <c r="U75" s="640"/>
      <c r="V75" s="641"/>
      <c r="W75" s="37" t="s">
        <v>67</v>
      </c>
      <c r="X75" s="637">
        <f>IFERROR(SUM(X70:X73),"0")</f>
        <v>0</v>
      </c>
      <c r="Y75" s="637">
        <f>IFERROR(SUM(Y70:Y73),"0")</f>
        <v>0</v>
      </c>
      <c r="Z75" s="37"/>
      <c r="AA75" s="638"/>
      <c r="AB75" s="638"/>
      <c r="AC75" s="638"/>
    </row>
    <row r="76" spans="1:68" ht="14.25" hidden="1" customHeight="1" x14ac:dyDescent="0.25">
      <c r="A76" s="653" t="s">
        <v>71</v>
      </c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8"/>
      <c r="P76" s="648"/>
      <c r="Q76" s="648"/>
      <c r="R76" s="648"/>
      <c r="S76" s="648"/>
      <c r="T76" s="648"/>
      <c r="U76" s="648"/>
      <c r="V76" s="648"/>
      <c r="W76" s="648"/>
      <c r="X76" s="648"/>
      <c r="Y76" s="648"/>
      <c r="Z76" s="648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2">
        <v>4680115884311</v>
      </c>
      <c r="E77" s="643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2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0"/>
      <c r="R77" s="650"/>
      <c r="S77" s="650"/>
      <c r="T77" s="651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2">
        <v>4680115884403</v>
      </c>
      <c r="E78" s="643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91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0"/>
      <c r="R78" s="650"/>
      <c r="S78" s="650"/>
      <c r="T78" s="65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6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69"/>
      <c r="P79" s="644" t="s">
        <v>69</v>
      </c>
      <c r="Q79" s="640"/>
      <c r="R79" s="640"/>
      <c r="S79" s="640"/>
      <c r="T79" s="640"/>
      <c r="U79" s="640"/>
      <c r="V79" s="641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69"/>
      <c r="P80" s="644" t="s">
        <v>69</v>
      </c>
      <c r="Q80" s="640"/>
      <c r="R80" s="640"/>
      <c r="S80" s="640"/>
      <c r="T80" s="640"/>
      <c r="U80" s="640"/>
      <c r="V80" s="641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53" t="s">
        <v>173</v>
      </c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8"/>
      <c r="P81" s="648"/>
      <c r="Q81" s="648"/>
      <c r="R81" s="648"/>
      <c r="S81" s="648"/>
      <c r="T81" s="648"/>
      <c r="U81" s="648"/>
      <c r="V81" s="648"/>
      <c r="W81" s="648"/>
      <c r="X81" s="648"/>
      <c r="Y81" s="648"/>
      <c r="Z81" s="648"/>
      <c r="AA81" s="631"/>
      <c r="AB81" s="631"/>
      <c r="AC81" s="631"/>
    </row>
    <row r="82" spans="1:68" ht="27" customHeight="1" x14ac:dyDescent="0.25">
      <c r="A82" s="54" t="s">
        <v>174</v>
      </c>
      <c r="B82" s="54" t="s">
        <v>175</v>
      </c>
      <c r="C82" s="31">
        <v>4301060455</v>
      </c>
      <c r="D82" s="642">
        <v>4680115881532</v>
      </c>
      <c r="E82" s="643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70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0"/>
      <c r="R82" s="650"/>
      <c r="S82" s="650"/>
      <c r="T82" s="651"/>
      <c r="U82" s="34"/>
      <c r="V82" s="34"/>
      <c r="W82" s="35" t="s">
        <v>67</v>
      </c>
      <c r="X82" s="635">
        <v>127</v>
      </c>
      <c r="Y82" s="636">
        <f>IFERROR(IF(X82="",0,CEILING((X82/$H82),1)*$H82),"")</f>
        <v>132.6</v>
      </c>
      <c r="Z82" s="36">
        <f>IFERROR(IF(Y82=0,"",ROUNDUP(Y82/H82,0)*0.01898),"")</f>
        <v>0.32266</v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133.67564102564103</v>
      </c>
      <c r="BN82" s="64">
        <f>IFERROR(Y82*I82/H82,"0")</f>
        <v>139.57</v>
      </c>
      <c r="BO82" s="64">
        <f>IFERROR(1/J82*(X82/H82),"0")</f>
        <v>0.25440705128205127</v>
      </c>
      <c r="BP82" s="64">
        <f>IFERROR(1/J82*(Y82/H82),"0")</f>
        <v>0.265625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2">
        <v>4680115881532</v>
      </c>
      <c r="E83" s="643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68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0"/>
      <c r="R83" s="650"/>
      <c r="S83" s="650"/>
      <c r="T83" s="651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2">
        <v>4680115881464</v>
      </c>
      <c r="E84" s="643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77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0"/>
      <c r="R84" s="650"/>
      <c r="S84" s="650"/>
      <c r="T84" s="651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6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69"/>
      <c r="P85" s="644" t="s">
        <v>69</v>
      </c>
      <c r="Q85" s="640"/>
      <c r="R85" s="640"/>
      <c r="S85" s="640"/>
      <c r="T85" s="640"/>
      <c r="U85" s="640"/>
      <c r="V85" s="641"/>
      <c r="W85" s="37" t="s">
        <v>70</v>
      </c>
      <c r="X85" s="637">
        <f>IFERROR(X82/H82,"0")+IFERROR(X83/H83,"0")+IFERROR(X84/H84,"0")</f>
        <v>16.282051282051281</v>
      </c>
      <c r="Y85" s="637">
        <f>IFERROR(Y82/H82,"0")+IFERROR(Y83/H83,"0")+IFERROR(Y84/H84,"0")</f>
        <v>17</v>
      </c>
      <c r="Z85" s="637">
        <f>IFERROR(IF(Z82="",0,Z82),"0")+IFERROR(IF(Z83="",0,Z83),"0")+IFERROR(IF(Z84="",0,Z84),"0")</f>
        <v>0.32266</v>
      </c>
      <c r="AA85" s="638"/>
      <c r="AB85" s="638"/>
      <c r="AC85" s="638"/>
    </row>
    <row r="86" spans="1:68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69"/>
      <c r="P86" s="644" t="s">
        <v>69</v>
      </c>
      <c r="Q86" s="640"/>
      <c r="R86" s="640"/>
      <c r="S86" s="640"/>
      <c r="T86" s="640"/>
      <c r="U86" s="640"/>
      <c r="V86" s="641"/>
      <c r="W86" s="37" t="s">
        <v>67</v>
      </c>
      <c r="X86" s="637">
        <f>IFERROR(SUM(X82:X84),"0")</f>
        <v>127</v>
      </c>
      <c r="Y86" s="637">
        <f>IFERROR(SUM(Y82:Y84),"0")</f>
        <v>132.6</v>
      </c>
      <c r="Z86" s="37"/>
      <c r="AA86" s="638"/>
      <c r="AB86" s="638"/>
      <c r="AC86" s="638"/>
    </row>
    <row r="87" spans="1:68" ht="16.5" hidden="1" customHeight="1" x14ac:dyDescent="0.25">
      <c r="A87" s="647" t="s">
        <v>181</v>
      </c>
      <c r="B87" s="648"/>
      <c r="C87" s="648"/>
      <c r="D87" s="648"/>
      <c r="E87" s="648"/>
      <c r="F87" s="648"/>
      <c r="G87" s="648"/>
      <c r="H87" s="648"/>
      <c r="I87" s="648"/>
      <c r="J87" s="648"/>
      <c r="K87" s="648"/>
      <c r="L87" s="648"/>
      <c r="M87" s="648"/>
      <c r="N87" s="648"/>
      <c r="O87" s="648"/>
      <c r="P87" s="648"/>
      <c r="Q87" s="648"/>
      <c r="R87" s="648"/>
      <c r="S87" s="648"/>
      <c r="T87" s="648"/>
      <c r="U87" s="648"/>
      <c r="V87" s="648"/>
      <c r="W87" s="648"/>
      <c r="X87" s="648"/>
      <c r="Y87" s="648"/>
      <c r="Z87" s="648"/>
      <c r="AA87" s="630"/>
      <c r="AB87" s="630"/>
      <c r="AC87" s="630"/>
    </row>
    <row r="88" spans="1:68" ht="14.25" hidden="1" customHeight="1" x14ac:dyDescent="0.25">
      <c r="A88" s="653" t="s">
        <v>119</v>
      </c>
      <c r="B88" s="648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48"/>
      <c r="R88" s="648"/>
      <c r="S88" s="648"/>
      <c r="T88" s="648"/>
      <c r="U88" s="648"/>
      <c r="V88" s="648"/>
      <c r="W88" s="648"/>
      <c r="X88" s="648"/>
      <c r="Y88" s="648"/>
      <c r="Z88" s="648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42">
        <v>4680115881327</v>
      </c>
      <c r="E89" s="643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4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0"/>
      <c r="R89" s="650"/>
      <c r="S89" s="650"/>
      <c r="T89" s="651"/>
      <c r="U89" s="34"/>
      <c r="V89" s="34"/>
      <c r="W89" s="35" t="s">
        <v>67</v>
      </c>
      <c r="X89" s="635">
        <v>169</v>
      </c>
      <c r="Y89" s="636">
        <f t="shared" ref="Y89:Y94" si="5">IFERROR(IF(X89="",0,CEILING((X89/$H89),1)*$H89),"")</f>
        <v>172.8</v>
      </c>
      <c r="Z89" s="36">
        <f>IFERROR(IF(Y89=0,"",ROUNDUP(Y89/H89,0)*0.01898),"")</f>
        <v>0.30368000000000001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175.41574074074074</v>
      </c>
      <c r="BN89" s="64">
        <f t="shared" ref="BN89:BN94" si="7">IFERROR(Y89*I89/H89,"0")</f>
        <v>179.36</v>
      </c>
      <c r="BO89" s="64">
        <f t="shared" ref="BO89:BO94" si="8">IFERROR(1/J89*(X89/H89),"0")</f>
        <v>0.2445023148148148</v>
      </c>
      <c r="BP89" s="64">
        <f t="shared" ref="BP89:BP94" si="9">IFERROR(1/J89*(Y89/H89),"0")</f>
        <v>0.25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2">
        <v>4680115881327</v>
      </c>
      <c r="E90" s="643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8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0"/>
      <c r="R90" s="650"/>
      <c r="S90" s="650"/>
      <c r="T90" s="65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2">
        <v>4680115887732</v>
      </c>
      <c r="E91" s="643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0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0"/>
      <c r="R91" s="650"/>
      <c r="S91" s="650"/>
      <c r="T91" s="651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2">
        <v>4680115881518</v>
      </c>
      <c r="E92" s="643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9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0"/>
      <c r="R92" s="650"/>
      <c r="S92" s="650"/>
      <c r="T92" s="651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2">
        <v>4680115881518</v>
      </c>
      <c r="E93" s="643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0"/>
      <c r="R93" s="650"/>
      <c r="S93" s="650"/>
      <c r="T93" s="651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2">
        <v>4680115881303</v>
      </c>
      <c r="E94" s="643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96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0"/>
      <c r="R94" s="650"/>
      <c r="S94" s="650"/>
      <c r="T94" s="651"/>
      <c r="U94" s="34"/>
      <c r="V94" s="34"/>
      <c r="W94" s="35" t="s">
        <v>67</v>
      </c>
      <c r="X94" s="635">
        <v>91</v>
      </c>
      <c r="Y94" s="636">
        <f t="shared" si="5"/>
        <v>94.5</v>
      </c>
      <c r="Z94" s="36">
        <f>IFERROR(IF(Y94=0,"",ROUNDUP(Y94/H94,0)*0.00902),"")</f>
        <v>0.18942000000000001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94.842222222222233</v>
      </c>
      <c r="BN94" s="64">
        <f t="shared" si="7"/>
        <v>98.490000000000009</v>
      </c>
      <c r="BO94" s="64">
        <f t="shared" si="8"/>
        <v>0.1531986531986532</v>
      </c>
      <c r="BP94" s="64">
        <f t="shared" si="9"/>
        <v>0.15909090909090909</v>
      </c>
    </row>
    <row r="95" spans="1:68" x14ac:dyDescent="0.2">
      <c r="A95" s="66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69"/>
      <c r="P95" s="644" t="s">
        <v>69</v>
      </c>
      <c r="Q95" s="640"/>
      <c r="R95" s="640"/>
      <c r="S95" s="640"/>
      <c r="T95" s="640"/>
      <c r="U95" s="640"/>
      <c r="V95" s="641"/>
      <c r="W95" s="37" t="s">
        <v>70</v>
      </c>
      <c r="X95" s="637">
        <f>IFERROR(X89/H89,"0")+IFERROR(X90/H90,"0")+IFERROR(X91/H91,"0")+IFERROR(X92/H92,"0")+IFERROR(X93/H93,"0")+IFERROR(X94/H94,"0")</f>
        <v>35.870370370370367</v>
      </c>
      <c r="Y95" s="637">
        <f>IFERROR(Y89/H89,"0")+IFERROR(Y90/H90,"0")+IFERROR(Y91/H91,"0")+IFERROR(Y92/H92,"0")+IFERROR(Y93/H93,"0")+IFERROR(Y94/H94,"0")</f>
        <v>37</v>
      </c>
      <c r="Z95" s="637">
        <f>IFERROR(IF(Z89="",0,Z89),"0")+IFERROR(IF(Z90="",0,Z90),"0")+IFERROR(IF(Z91="",0,Z91),"0")+IFERROR(IF(Z92="",0,Z92),"0")+IFERROR(IF(Z93="",0,Z93),"0")+IFERROR(IF(Z94="",0,Z94),"0")</f>
        <v>0.49309999999999998</v>
      </c>
      <c r="AA95" s="638"/>
      <c r="AB95" s="638"/>
      <c r="AC95" s="638"/>
    </row>
    <row r="96" spans="1:68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69"/>
      <c r="P96" s="644" t="s">
        <v>69</v>
      </c>
      <c r="Q96" s="640"/>
      <c r="R96" s="640"/>
      <c r="S96" s="640"/>
      <c r="T96" s="640"/>
      <c r="U96" s="640"/>
      <c r="V96" s="641"/>
      <c r="W96" s="37" t="s">
        <v>67</v>
      </c>
      <c r="X96" s="637">
        <f>IFERROR(SUM(X89:X94),"0")</f>
        <v>260</v>
      </c>
      <c r="Y96" s="637">
        <f>IFERROR(SUM(Y89:Y94),"0")</f>
        <v>267.3</v>
      </c>
      <c r="Z96" s="37"/>
      <c r="AA96" s="638"/>
      <c r="AB96" s="638"/>
      <c r="AC96" s="638"/>
    </row>
    <row r="97" spans="1:68" ht="14.25" hidden="1" customHeight="1" x14ac:dyDescent="0.25">
      <c r="A97" s="653" t="s">
        <v>71</v>
      </c>
      <c r="B97" s="648"/>
      <c r="C97" s="648"/>
      <c r="D97" s="648"/>
      <c r="E97" s="648"/>
      <c r="F97" s="648"/>
      <c r="G97" s="648"/>
      <c r="H97" s="648"/>
      <c r="I97" s="648"/>
      <c r="J97" s="648"/>
      <c r="K97" s="648"/>
      <c r="L97" s="648"/>
      <c r="M97" s="648"/>
      <c r="N97" s="648"/>
      <c r="O97" s="648"/>
      <c r="P97" s="648"/>
      <c r="Q97" s="648"/>
      <c r="R97" s="648"/>
      <c r="S97" s="648"/>
      <c r="T97" s="648"/>
      <c r="U97" s="648"/>
      <c r="V97" s="648"/>
      <c r="W97" s="648"/>
      <c r="X97" s="648"/>
      <c r="Y97" s="648"/>
      <c r="Z97" s="648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42">
        <v>4607091386967</v>
      </c>
      <c r="E98" s="643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75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0"/>
      <c r="R98" s="650"/>
      <c r="S98" s="650"/>
      <c r="T98" s="651"/>
      <c r="U98" s="34"/>
      <c r="V98" s="34"/>
      <c r="W98" s="35" t="s">
        <v>67</v>
      </c>
      <c r="X98" s="635">
        <v>357</v>
      </c>
      <c r="Y98" s="636">
        <f>IFERROR(IF(X98="",0,CEILING((X98/$H98),1)*$H98),"")</f>
        <v>364.5</v>
      </c>
      <c r="Z98" s="36">
        <f>IFERROR(IF(Y98=0,"",ROUNDUP(Y98/H98,0)*0.01898),"")</f>
        <v>0.85409999999999997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378.77259259259262</v>
      </c>
      <c r="BN98" s="64">
        <f>IFERROR(Y98*I98/H98,"0")</f>
        <v>386.73</v>
      </c>
      <c r="BO98" s="64">
        <f>IFERROR(1/J98*(X98/H98),"0")</f>
        <v>0.68865740740740744</v>
      </c>
      <c r="BP98" s="64">
        <f>IFERROR(1/J98*(Y98/H98),"0")</f>
        <v>0.703125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2">
        <v>4680115884953</v>
      </c>
      <c r="E99" s="643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10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0"/>
      <c r="R99" s="650"/>
      <c r="S99" s="650"/>
      <c r="T99" s="651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42">
        <v>4607091385731</v>
      </c>
      <c r="E100" s="643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96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0"/>
      <c r="R100" s="650"/>
      <c r="S100" s="650"/>
      <c r="T100" s="651"/>
      <c r="U100" s="34"/>
      <c r="V100" s="34"/>
      <c r="W100" s="35" t="s">
        <v>67</v>
      </c>
      <c r="X100" s="635">
        <v>204</v>
      </c>
      <c r="Y100" s="636">
        <f>IFERROR(IF(X100="",0,CEILING((X100/$H100),1)*$H100),"")</f>
        <v>205.20000000000002</v>
      </c>
      <c r="Z100" s="36">
        <f>IFERROR(IF(Y100=0,"",ROUNDUP(Y100/H100,0)*0.00651),"")</f>
        <v>0.49476000000000003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223.03999999999996</v>
      </c>
      <c r="BN100" s="64">
        <f>IFERROR(Y100*I100/H100,"0")</f>
        <v>224.352</v>
      </c>
      <c r="BO100" s="64">
        <f>IFERROR(1/J100*(X100/H100),"0")</f>
        <v>0.41514041514041516</v>
      </c>
      <c r="BP100" s="64">
        <f>IFERROR(1/J100*(Y100/H100),"0")</f>
        <v>0.4175824175824176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2">
        <v>4680115880894</v>
      </c>
      <c r="E101" s="643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73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0"/>
      <c r="R101" s="650"/>
      <c r="S101" s="650"/>
      <c r="T101" s="651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6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69"/>
      <c r="P102" s="644" t="s">
        <v>69</v>
      </c>
      <c r="Q102" s="640"/>
      <c r="R102" s="640"/>
      <c r="S102" s="640"/>
      <c r="T102" s="640"/>
      <c r="U102" s="640"/>
      <c r="V102" s="641"/>
      <c r="W102" s="37" t="s">
        <v>70</v>
      </c>
      <c r="X102" s="637">
        <f>IFERROR(X98/H98,"0")+IFERROR(X99/H99,"0")+IFERROR(X100/H100,"0")+IFERROR(X101/H101,"0")</f>
        <v>119.62962962962963</v>
      </c>
      <c r="Y102" s="637">
        <f>IFERROR(Y98/H98,"0")+IFERROR(Y99/H99,"0")+IFERROR(Y100/H100,"0")+IFERROR(Y101/H101,"0")</f>
        <v>121</v>
      </c>
      <c r="Z102" s="637">
        <f>IFERROR(IF(Z98="",0,Z98),"0")+IFERROR(IF(Z99="",0,Z99),"0")+IFERROR(IF(Z100="",0,Z100),"0")+IFERROR(IF(Z101="",0,Z101),"0")</f>
        <v>1.3488599999999999</v>
      </c>
      <c r="AA102" s="638"/>
      <c r="AB102" s="638"/>
      <c r="AC102" s="638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69"/>
      <c r="P103" s="644" t="s">
        <v>69</v>
      </c>
      <c r="Q103" s="640"/>
      <c r="R103" s="640"/>
      <c r="S103" s="640"/>
      <c r="T103" s="640"/>
      <c r="U103" s="640"/>
      <c r="V103" s="641"/>
      <c r="W103" s="37" t="s">
        <v>67</v>
      </c>
      <c r="X103" s="637">
        <f>IFERROR(SUM(X98:X101),"0")</f>
        <v>561</v>
      </c>
      <c r="Y103" s="637">
        <f>IFERROR(SUM(Y98:Y101),"0")</f>
        <v>569.70000000000005</v>
      </c>
      <c r="Z103" s="37"/>
      <c r="AA103" s="638"/>
      <c r="AB103" s="638"/>
      <c r="AC103" s="638"/>
    </row>
    <row r="104" spans="1:68" ht="16.5" hidden="1" customHeight="1" x14ac:dyDescent="0.25">
      <c r="A104" s="647" t="s">
        <v>205</v>
      </c>
      <c r="B104" s="648"/>
      <c r="C104" s="648"/>
      <c r="D104" s="648"/>
      <c r="E104" s="648"/>
      <c r="F104" s="648"/>
      <c r="G104" s="648"/>
      <c r="H104" s="648"/>
      <c r="I104" s="648"/>
      <c r="J104" s="648"/>
      <c r="K104" s="648"/>
      <c r="L104" s="648"/>
      <c r="M104" s="648"/>
      <c r="N104" s="648"/>
      <c r="O104" s="648"/>
      <c r="P104" s="648"/>
      <c r="Q104" s="648"/>
      <c r="R104" s="648"/>
      <c r="S104" s="648"/>
      <c r="T104" s="648"/>
      <c r="U104" s="648"/>
      <c r="V104" s="648"/>
      <c r="W104" s="648"/>
      <c r="X104" s="648"/>
      <c r="Y104" s="648"/>
      <c r="Z104" s="648"/>
      <c r="AA104" s="630"/>
      <c r="AB104" s="630"/>
      <c r="AC104" s="630"/>
    </row>
    <row r="105" spans="1:68" ht="14.25" hidden="1" customHeight="1" x14ac:dyDescent="0.25">
      <c r="A105" s="653" t="s">
        <v>119</v>
      </c>
      <c r="B105" s="648"/>
      <c r="C105" s="648"/>
      <c r="D105" s="648"/>
      <c r="E105" s="648"/>
      <c r="F105" s="648"/>
      <c r="G105" s="648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  <c r="Y105" s="648"/>
      <c r="Z105" s="648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42">
        <v>4680115882133</v>
      </c>
      <c r="E106" s="643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0"/>
      <c r="R106" s="650"/>
      <c r="S106" s="650"/>
      <c r="T106" s="651"/>
      <c r="U106" s="34"/>
      <c r="V106" s="34"/>
      <c r="W106" s="35" t="s">
        <v>67</v>
      </c>
      <c r="X106" s="635">
        <v>342</v>
      </c>
      <c r="Y106" s="636">
        <f t="shared" ref="Y106:Y112" si="10">IFERROR(IF(X106="",0,CEILING((X106/$H106),1)*$H106),"")</f>
        <v>345.6</v>
      </c>
      <c r="Z106" s="36">
        <f>IFERROR(IF(Y106=0,"",ROUNDUP(Y106/H106,0)*0.01898),"")</f>
        <v>0.60736000000000001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354.98333333333335</v>
      </c>
      <c r="BN106" s="64">
        <f t="shared" ref="BN106:BN112" si="12">IFERROR(Y106*I106/H106,"0")</f>
        <v>358.72</v>
      </c>
      <c r="BO106" s="64">
        <f t="shared" ref="BO106:BO112" si="13">IFERROR(1/J106*(X106/H106),"0")</f>
        <v>0.49479166666666663</v>
      </c>
      <c r="BP106" s="64">
        <f t="shared" ref="BP106:BP112" si="14">IFERROR(1/J106*(Y106/H106),"0")</f>
        <v>0.5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2">
        <v>4680115882133</v>
      </c>
      <c r="E107" s="643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73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0"/>
      <c r="R107" s="650"/>
      <c r="S107" s="650"/>
      <c r="T107" s="65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2">
        <v>4680115887718</v>
      </c>
      <c r="E108" s="643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0"/>
      <c r="R108" s="650"/>
      <c r="S108" s="650"/>
      <c r="T108" s="65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2">
        <v>4680115880269</v>
      </c>
      <c r="E109" s="643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0"/>
      <c r="R109" s="650"/>
      <c r="S109" s="650"/>
      <c r="T109" s="651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2">
        <v>4680115880429</v>
      </c>
      <c r="E110" s="643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73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0"/>
      <c r="R110" s="650"/>
      <c r="S110" s="650"/>
      <c r="T110" s="651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2">
        <v>4680115881457</v>
      </c>
      <c r="E111" s="643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76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2">
        <v>4680115889477</v>
      </c>
      <c r="E112" s="643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6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69"/>
      <c r="P113" s="644" t="s">
        <v>69</v>
      </c>
      <c r="Q113" s="640"/>
      <c r="R113" s="640"/>
      <c r="S113" s="640"/>
      <c r="T113" s="640"/>
      <c r="U113" s="640"/>
      <c r="V113" s="641"/>
      <c r="W113" s="37" t="s">
        <v>70</v>
      </c>
      <c r="X113" s="637">
        <f>IFERROR(X106/H106,"0")+IFERROR(X107/H107,"0")+IFERROR(X108/H108,"0")+IFERROR(X109/H109,"0")+IFERROR(X110/H110,"0")+IFERROR(X111/H111,"0")+IFERROR(X112/H112,"0")</f>
        <v>31.666666666666664</v>
      </c>
      <c r="Y113" s="637">
        <f>IFERROR(Y106/H106,"0")+IFERROR(Y107/H107,"0")+IFERROR(Y108/H108,"0")+IFERROR(Y109/H109,"0")+IFERROR(Y110/H110,"0")+IFERROR(Y111/H111,"0")+IFERROR(Y112/H112,"0")</f>
        <v>32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0.60736000000000001</v>
      </c>
      <c r="AA113" s="638"/>
      <c r="AB113" s="638"/>
      <c r="AC113" s="638"/>
    </row>
    <row r="114" spans="1:68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69"/>
      <c r="P114" s="644" t="s">
        <v>69</v>
      </c>
      <c r="Q114" s="640"/>
      <c r="R114" s="640"/>
      <c r="S114" s="640"/>
      <c r="T114" s="640"/>
      <c r="U114" s="640"/>
      <c r="V114" s="641"/>
      <c r="W114" s="37" t="s">
        <v>67</v>
      </c>
      <c r="X114" s="637">
        <f>IFERROR(SUM(X106:X112),"0")</f>
        <v>342</v>
      </c>
      <c r="Y114" s="637">
        <f>IFERROR(SUM(Y106:Y112),"0")</f>
        <v>345.6</v>
      </c>
      <c r="Z114" s="37"/>
      <c r="AA114" s="638"/>
      <c r="AB114" s="638"/>
      <c r="AC114" s="638"/>
    </row>
    <row r="115" spans="1:68" ht="14.25" hidden="1" customHeight="1" x14ac:dyDescent="0.25">
      <c r="A115" s="653" t="s">
        <v>155</v>
      </c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  <c r="Y115" s="648"/>
      <c r="Z115" s="648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42">
        <v>4680115881488</v>
      </c>
      <c r="E116" s="643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93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2">
        <v>4680115887664</v>
      </c>
      <c r="E117" s="643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9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0"/>
      <c r="R117" s="650"/>
      <c r="S117" s="650"/>
      <c r="T117" s="651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2">
        <v>4680115887664</v>
      </c>
      <c r="E118" s="643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9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0"/>
      <c r="R118" s="650"/>
      <c r="S118" s="650"/>
      <c r="T118" s="651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2">
        <v>4680115882775</v>
      </c>
      <c r="E119" s="643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0"/>
      <c r="R119" s="650"/>
      <c r="S119" s="650"/>
      <c r="T119" s="65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42">
        <v>4680115880658</v>
      </c>
      <c r="E120" s="643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95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0"/>
      <c r="R120" s="650"/>
      <c r="S120" s="650"/>
      <c r="T120" s="651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6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69"/>
      <c r="P121" s="644" t="s">
        <v>69</v>
      </c>
      <c r="Q121" s="640"/>
      <c r="R121" s="640"/>
      <c r="S121" s="640"/>
      <c r="T121" s="640"/>
      <c r="U121" s="640"/>
      <c r="V121" s="641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69"/>
      <c r="P122" s="644" t="s">
        <v>69</v>
      </c>
      <c r="Q122" s="640"/>
      <c r="R122" s="640"/>
      <c r="S122" s="640"/>
      <c r="T122" s="640"/>
      <c r="U122" s="640"/>
      <c r="V122" s="641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53" t="s">
        <v>71</v>
      </c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42">
        <v>4607091385168</v>
      </c>
      <c r="E124" s="643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6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0"/>
      <c r="R124" s="650"/>
      <c r="S124" s="650"/>
      <c r="T124" s="651"/>
      <c r="U124" s="34"/>
      <c r="V124" s="34"/>
      <c r="W124" s="35" t="s">
        <v>67</v>
      </c>
      <c r="X124" s="635">
        <v>707</v>
      </c>
      <c r="Y124" s="636">
        <f>IFERROR(IF(X124="",0,CEILING((X124/$H124),1)*$H124),"")</f>
        <v>712.8</v>
      </c>
      <c r="Z124" s="36">
        <f>IFERROR(IF(Y124=0,"",ROUNDUP(Y124/H124,0)*0.01898),"")</f>
        <v>1.6702399999999999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749.59456790123454</v>
      </c>
      <c r="BN124" s="64">
        <f>IFERROR(Y124*I124/H124,"0")</f>
        <v>755.74399999999991</v>
      </c>
      <c r="BO124" s="64">
        <f>IFERROR(1/J124*(X124/H124),"0")</f>
        <v>1.3638117283950617</v>
      </c>
      <c r="BP124" s="64">
        <f>IFERROR(1/J124*(Y124/H124),"0")</f>
        <v>1.375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2">
        <v>4607091383256</v>
      </c>
      <c r="E125" s="643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78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0"/>
      <c r="R125" s="650"/>
      <c r="S125" s="650"/>
      <c r="T125" s="651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2">
        <v>4607091385748</v>
      </c>
      <c r="E126" s="643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64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0"/>
      <c r="R126" s="650"/>
      <c r="S126" s="650"/>
      <c r="T126" s="651"/>
      <c r="U126" s="34"/>
      <c r="V126" s="34"/>
      <c r="W126" s="35" t="s">
        <v>67</v>
      </c>
      <c r="X126" s="635">
        <v>323</v>
      </c>
      <c r="Y126" s="636">
        <f>IFERROR(IF(X126="",0,CEILING((X126/$H126),1)*$H126),"")</f>
        <v>324</v>
      </c>
      <c r="Z126" s="36">
        <f>IFERROR(IF(Y126=0,"",ROUNDUP(Y126/H126,0)*0.00651),"")</f>
        <v>0.78120000000000001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353.14666666666665</v>
      </c>
      <c r="BN126" s="64">
        <f>IFERROR(Y126*I126/H126,"0")</f>
        <v>354.23999999999995</v>
      </c>
      <c r="BO126" s="64">
        <f>IFERROR(1/J126*(X126/H126),"0")</f>
        <v>0.65730565730565726</v>
      </c>
      <c r="BP126" s="64">
        <f>IFERROR(1/J126*(Y126/H126),"0")</f>
        <v>0.65934065934065933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2">
        <v>4680115884533</v>
      </c>
      <c r="E127" s="643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71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0"/>
      <c r="R127" s="650"/>
      <c r="S127" s="650"/>
      <c r="T127" s="651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6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69"/>
      <c r="P128" s="644" t="s">
        <v>69</v>
      </c>
      <c r="Q128" s="640"/>
      <c r="R128" s="640"/>
      <c r="S128" s="640"/>
      <c r="T128" s="640"/>
      <c r="U128" s="640"/>
      <c r="V128" s="641"/>
      <c r="W128" s="37" t="s">
        <v>70</v>
      </c>
      <c r="X128" s="637">
        <f>IFERROR(X124/H124,"0")+IFERROR(X125/H125,"0")+IFERROR(X126/H126,"0")+IFERROR(X127/H127,"0")</f>
        <v>206.91358024691357</v>
      </c>
      <c r="Y128" s="637">
        <f>IFERROR(Y124/H124,"0")+IFERROR(Y125/H125,"0")+IFERROR(Y126/H126,"0")+IFERROR(Y127/H127,"0")</f>
        <v>208</v>
      </c>
      <c r="Z128" s="637">
        <f>IFERROR(IF(Z124="",0,Z124),"0")+IFERROR(IF(Z125="",0,Z125),"0")+IFERROR(IF(Z126="",0,Z126),"0")+IFERROR(IF(Z127="",0,Z127),"0")</f>
        <v>2.4514399999999998</v>
      </c>
      <c r="AA128" s="638"/>
      <c r="AB128" s="638"/>
      <c r="AC128" s="638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69"/>
      <c r="P129" s="644" t="s">
        <v>69</v>
      </c>
      <c r="Q129" s="640"/>
      <c r="R129" s="640"/>
      <c r="S129" s="640"/>
      <c r="T129" s="640"/>
      <c r="U129" s="640"/>
      <c r="V129" s="641"/>
      <c r="W129" s="37" t="s">
        <v>67</v>
      </c>
      <c r="X129" s="637">
        <f>IFERROR(SUM(X124:X127),"0")</f>
        <v>1030</v>
      </c>
      <c r="Y129" s="637">
        <f>IFERROR(SUM(Y124:Y127),"0")</f>
        <v>1036.8</v>
      </c>
      <c r="Z129" s="37"/>
      <c r="AA129" s="638"/>
      <c r="AB129" s="638"/>
      <c r="AC129" s="638"/>
    </row>
    <row r="130" spans="1:68" ht="14.25" hidden="1" customHeight="1" x14ac:dyDescent="0.25">
      <c r="A130" s="653" t="s">
        <v>173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31"/>
      <c r="AB130" s="631"/>
      <c r="AC130" s="631"/>
    </row>
    <row r="131" spans="1:68" ht="16.5" customHeight="1" x14ac:dyDescent="0.25">
      <c r="A131" s="54" t="s">
        <v>245</v>
      </c>
      <c r="B131" s="54" t="s">
        <v>246</v>
      </c>
      <c r="C131" s="31">
        <v>4301060525</v>
      </c>
      <c r="D131" s="642">
        <v>4680115880238</v>
      </c>
      <c r="E131" s="643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92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0"/>
      <c r="R131" s="650"/>
      <c r="S131" s="650"/>
      <c r="T131" s="651"/>
      <c r="U131" s="34"/>
      <c r="V131" s="34"/>
      <c r="W131" s="35" t="s">
        <v>67</v>
      </c>
      <c r="X131" s="635">
        <v>67</v>
      </c>
      <c r="Y131" s="636">
        <f>IFERROR(IF(X131="",0,CEILING((X131/$H131),1)*$H131),"")</f>
        <v>67.319999999999993</v>
      </c>
      <c r="Z131" s="36">
        <f>IFERROR(IF(Y131=0,"",ROUNDUP(Y131/H131,0)*0.00651),"")</f>
        <v>0.22134000000000001</v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75.730303030303034</v>
      </c>
      <c r="BN131" s="64">
        <f>IFERROR(Y131*I131/H131,"0")</f>
        <v>76.091999999999985</v>
      </c>
      <c r="BO131" s="64">
        <f>IFERROR(1/J131*(X131/H131),"0")</f>
        <v>0.18592518592518595</v>
      </c>
      <c r="BP131" s="64">
        <f>IFERROR(1/J131*(Y131/H131),"0")</f>
        <v>0.18681318681318682</v>
      </c>
    </row>
    <row r="132" spans="1:68" x14ac:dyDescent="0.2">
      <c r="A132" s="66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69"/>
      <c r="P132" s="644" t="s">
        <v>69</v>
      </c>
      <c r="Q132" s="640"/>
      <c r="R132" s="640"/>
      <c r="S132" s="640"/>
      <c r="T132" s="640"/>
      <c r="U132" s="640"/>
      <c r="V132" s="641"/>
      <c r="W132" s="37" t="s">
        <v>70</v>
      </c>
      <c r="X132" s="637">
        <f>IFERROR(X131/H131,"0")</f>
        <v>33.838383838383841</v>
      </c>
      <c r="Y132" s="637">
        <f>IFERROR(Y131/H131,"0")</f>
        <v>34</v>
      </c>
      <c r="Z132" s="637">
        <f>IFERROR(IF(Z131="",0,Z131),"0")</f>
        <v>0.22134000000000001</v>
      </c>
      <c r="AA132" s="638"/>
      <c r="AB132" s="638"/>
      <c r="AC132" s="638"/>
    </row>
    <row r="133" spans="1:68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69"/>
      <c r="P133" s="644" t="s">
        <v>69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IFERROR(SUM(X131:X131),"0")</f>
        <v>67</v>
      </c>
      <c r="Y133" s="637">
        <f>IFERROR(SUM(Y131:Y131),"0")</f>
        <v>67.319999999999993</v>
      </c>
      <c r="Z133" s="37"/>
      <c r="AA133" s="638"/>
      <c r="AB133" s="638"/>
      <c r="AC133" s="638"/>
    </row>
    <row r="134" spans="1:68" ht="16.5" hidden="1" customHeight="1" x14ac:dyDescent="0.25">
      <c r="A134" s="647" t="s">
        <v>248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0"/>
      <c r="AB134" s="630"/>
      <c r="AC134" s="630"/>
    </row>
    <row r="135" spans="1:68" ht="14.25" hidden="1" customHeight="1" x14ac:dyDescent="0.25">
      <c r="A135" s="653" t="s">
        <v>119</v>
      </c>
      <c r="B135" s="648"/>
      <c r="C135" s="648"/>
      <c r="D135" s="648"/>
      <c r="E135" s="648"/>
      <c r="F135" s="648"/>
      <c r="G135" s="648"/>
      <c r="H135" s="648"/>
      <c r="I135" s="648"/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  <c r="Y135" s="648"/>
      <c r="Z135" s="648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2">
        <v>4680115882577</v>
      </c>
      <c r="E136" s="643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6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0"/>
      <c r="R136" s="650"/>
      <c r="S136" s="650"/>
      <c r="T136" s="65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2">
        <v>4680115882577</v>
      </c>
      <c r="E137" s="643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8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0"/>
      <c r="R137" s="650"/>
      <c r="S137" s="650"/>
      <c r="T137" s="651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6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69"/>
      <c r="P138" s="644" t="s">
        <v>69</v>
      </c>
      <c r="Q138" s="640"/>
      <c r="R138" s="640"/>
      <c r="S138" s="640"/>
      <c r="T138" s="640"/>
      <c r="U138" s="640"/>
      <c r="V138" s="641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69"/>
      <c r="P139" s="644" t="s">
        <v>69</v>
      </c>
      <c r="Q139" s="640"/>
      <c r="R139" s="640"/>
      <c r="S139" s="640"/>
      <c r="T139" s="640"/>
      <c r="U139" s="640"/>
      <c r="V139" s="641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53" t="s">
        <v>62</v>
      </c>
      <c r="B140" s="648"/>
      <c r="C140" s="648"/>
      <c r="D140" s="648"/>
      <c r="E140" s="648"/>
      <c r="F140" s="648"/>
      <c r="G140" s="648"/>
      <c r="H140" s="648"/>
      <c r="I140" s="648"/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  <c r="Y140" s="648"/>
      <c r="Z140" s="648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2">
        <v>4680115883444</v>
      </c>
      <c r="E141" s="643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0"/>
      <c r="R141" s="650"/>
      <c r="S141" s="650"/>
      <c r="T141" s="65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2">
        <v>4680115883444</v>
      </c>
      <c r="E142" s="643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91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0"/>
      <c r="R142" s="650"/>
      <c r="S142" s="650"/>
      <c r="T142" s="651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6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69"/>
      <c r="P143" s="644" t="s">
        <v>69</v>
      </c>
      <c r="Q143" s="640"/>
      <c r="R143" s="640"/>
      <c r="S143" s="640"/>
      <c r="T143" s="640"/>
      <c r="U143" s="640"/>
      <c r="V143" s="641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69"/>
      <c r="P144" s="644" t="s">
        <v>69</v>
      </c>
      <c r="Q144" s="640"/>
      <c r="R144" s="640"/>
      <c r="S144" s="640"/>
      <c r="T144" s="640"/>
      <c r="U144" s="640"/>
      <c r="V144" s="641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53" t="s">
        <v>71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2">
        <v>4680115882584</v>
      </c>
      <c r="E146" s="643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7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0"/>
      <c r="R146" s="650"/>
      <c r="S146" s="650"/>
      <c r="T146" s="65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2">
        <v>4680115882584</v>
      </c>
      <c r="E147" s="643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9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0"/>
      <c r="R147" s="650"/>
      <c r="S147" s="650"/>
      <c r="T147" s="65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6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69"/>
      <c r="P148" s="644" t="s">
        <v>69</v>
      </c>
      <c r="Q148" s="640"/>
      <c r="R148" s="640"/>
      <c r="S148" s="640"/>
      <c r="T148" s="640"/>
      <c r="U148" s="640"/>
      <c r="V148" s="641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69"/>
      <c r="P149" s="644" t="s">
        <v>69</v>
      </c>
      <c r="Q149" s="640"/>
      <c r="R149" s="640"/>
      <c r="S149" s="640"/>
      <c r="T149" s="640"/>
      <c r="U149" s="640"/>
      <c r="V149" s="641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7" t="s">
        <v>261</v>
      </c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8"/>
      <c r="P150" s="648"/>
      <c r="Q150" s="648"/>
      <c r="R150" s="648"/>
      <c r="S150" s="648"/>
      <c r="T150" s="648"/>
      <c r="U150" s="648"/>
      <c r="V150" s="648"/>
      <c r="W150" s="648"/>
      <c r="X150" s="648"/>
      <c r="Y150" s="648"/>
      <c r="Z150" s="648"/>
      <c r="AA150" s="630"/>
      <c r="AB150" s="630"/>
      <c r="AC150" s="630"/>
    </row>
    <row r="151" spans="1:68" ht="14.25" hidden="1" customHeight="1" x14ac:dyDescent="0.25">
      <c r="A151" s="653" t="s">
        <v>71</v>
      </c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  <c r="Y151" s="648"/>
      <c r="Z151" s="648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2">
        <v>4680115888203</v>
      </c>
      <c r="E152" s="643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9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0"/>
      <c r="R152" s="650"/>
      <c r="S152" s="650"/>
      <c r="T152" s="651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2">
        <v>4680115888180</v>
      </c>
      <c r="E153" s="643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0"/>
      <c r="R153" s="650"/>
      <c r="S153" s="650"/>
      <c r="T153" s="65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2">
        <v>4680115888197</v>
      </c>
      <c r="E154" s="643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0"/>
      <c r="R154" s="650"/>
      <c r="S154" s="650"/>
      <c r="T154" s="651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2">
        <v>4680115888210</v>
      </c>
      <c r="E155" s="643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100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0"/>
      <c r="R155" s="650"/>
      <c r="S155" s="650"/>
      <c r="T155" s="651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6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69"/>
      <c r="P156" s="644" t="s">
        <v>69</v>
      </c>
      <c r="Q156" s="640"/>
      <c r="R156" s="640"/>
      <c r="S156" s="640"/>
      <c r="T156" s="640"/>
      <c r="U156" s="640"/>
      <c r="V156" s="641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69"/>
      <c r="P157" s="644" t="s">
        <v>69</v>
      </c>
      <c r="Q157" s="640"/>
      <c r="R157" s="640"/>
      <c r="S157" s="640"/>
      <c r="T157" s="640"/>
      <c r="U157" s="640"/>
      <c r="V157" s="641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53" t="s">
        <v>89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2">
        <v>4680115889132</v>
      </c>
      <c r="E159" s="643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0"/>
      <c r="R159" s="650"/>
      <c r="S159" s="650"/>
      <c r="T159" s="65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69"/>
      <c r="P160" s="644" t="s">
        <v>69</v>
      </c>
      <c r="Q160" s="640"/>
      <c r="R160" s="640"/>
      <c r="S160" s="640"/>
      <c r="T160" s="640"/>
      <c r="U160" s="640"/>
      <c r="V160" s="641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69"/>
      <c r="P161" s="644" t="s">
        <v>69</v>
      </c>
      <c r="Q161" s="640"/>
      <c r="R161" s="640"/>
      <c r="S161" s="640"/>
      <c r="T161" s="640"/>
      <c r="U161" s="640"/>
      <c r="V161" s="641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7" t="s">
        <v>117</v>
      </c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8"/>
      <c r="P162" s="648"/>
      <c r="Q162" s="648"/>
      <c r="R162" s="648"/>
      <c r="S162" s="648"/>
      <c r="T162" s="648"/>
      <c r="U162" s="648"/>
      <c r="V162" s="648"/>
      <c r="W162" s="648"/>
      <c r="X162" s="648"/>
      <c r="Y162" s="648"/>
      <c r="Z162" s="648"/>
      <c r="AA162" s="630"/>
      <c r="AB162" s="630"/>
      <c r="AC162" s="630"/>
    </row>
    <row r="163" spans="1:68" ht="14.25" hidden="1" customHeight="1" x14ac:dyDescent="0.25">
      <c r="A163" s="653" t="s">
        <v>119</v>
      </c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8"/>
      <c r="P163" s="648"/>
      <c r="Q163" s="648"/>
      <c r="R163" s="648"/>
      <c r="S163" s="648"/>
      <c r="T163" s="648"/>
      <c r="U163" s="648"/>
      <c r="V163" s="648"/>
      <c r="W163" s="648"/>
      <c r="X163" s="648"/>
      <c r="Y163" s="648"/>
      <c r="Z163" s="648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2">
        <v>4680115887374</v>
      </c>
      <c r="E164" s="643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7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0"/>
      <c r="R164" s="650"/>
      <c r="S164" s="650"/>
      <c r="T164" s="651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2">
        <v>4607091384604</v>
      </c>
      <c r="E165" s="643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9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0"/>
      <c r="R165" s="650"/>
      <c r="S165" s="650"/>
      <c r="T165" s="65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2">
        <v>4607091384604</v>
      </c>
      <c r="E166" s="643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94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0"/>
      <c r="R166" s="650"/>
      <c r="S166" s="650"/>
      <c r="T166" s="65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2">
        <v>4680115888876</v>
      </c>
      <c r="E167" s="643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91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0"/>
      <c r="R167" s="650"/>
      <c r="S167" s="650"/>
      <c r="T167" s="651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6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69"/>
      <c r="P168" s="644" t="s">
        <v>69</v>
      </c>
      <c r="Q168" s="640"/>
      <c r="R168" s="640"/>
      <c r="S168" s="640"/>
      <c r="T168" s="640"/>
      <c r="U168" s="640"/>
      <c r="V168" s="641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69"/>
      <c r="P169" s="644" t="s">
        <v>69</v>
      </c>
      <c r="Q169" s="640"/>
      <c r="R169" s="640"/>
      <c r="S169" s="640"/>
      <c r="T169" s="640"/>
      <c r="U169" s="640"/>
      <c r="V169" s="641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53" t="s">
        <v>155</v>
      </c>
      <c r="B170" s="648"/>
      <c r="C170" s="648"/>
      <c r="D170" s="648"/>
      <c r="E170" s="648"/>
      <c r="F170" s="648"/>
      <c r="G170" s="648"/>
      <c r="H170" s="648"/>
      <c r="I170" s="648"/>
      <c r="J170" s="648"/>
      <c r="K170" s="648"/>
      <c r="L170" s="648"/>
      <c r="M170" s="648"/>
      <c r="N170" s="648"/>
      <c r="O170" s="648"/>
      <c r="P170" s="648"/>
      <c r="Q170" s="648"/>
      <c r="R170" s="648"/>
      <c r="S170" s="648"/>
      <c r="T170" s="648"/>
      <c r="U170" s="648"/>
      <c r="V170" s="648"/>
      <c r="W170" s="648"/>
      <c r="X170" s="648"/>
      <c r="Y170" s="648"/>
      <c r="Z170" s="648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2">
        <v>4680115887695</v>
      </c>
      <c r="E171" s="643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9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0"/>
      <c r="R171" s="650"/>
      <c r="S171" s="650"/>
      <c r="T171" s="651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2">
        <v>4680115889491</v>
      </c>
      <c r="E172" s="643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9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0"/>
      <c r="R172" s="650"/>
      <c r="S172" s="650"/>
      <c r="T172" s="651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6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69"/>
      <c r="P173" s="644" t="s">
        <v>69</v>
      </c>
      <c r="Q173" s="640"/>
      <c r="R173" s="640"/>
      <c r="S173" s="640"/>
      <c r="T173" s="640"/>
      <c r="U173" s="640"/>
      <c r="V173" s="641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69"/>
      <c r="P174" s="644" t="s">
        <v>69</v>
      </c>
      <c r="Q174" s="640"/>
      <c r="R174" s="640"/>
      <c r="S174" s="640"/>
      <c r="T174" s="640"/>
      <c r="U174" s="640"/>
      <c r="V174" s="641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53" t="s">
        <v>62</v>
      </c>
      <c r="B175" s="648"/>
      <c r="C175" s="648"/>
      <c r="D175" s="648"/>
      <c r="E175" s="648"/>
      <c r="F175" s="648"/>
      <c r="G175" s="648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31"/>
      <c r="AB175" s="631"/>
      <c r="AC175" s="631"/>
    </row>
    <row r="176" spans="1:68" ht="27" hidden="1" customHeight="1" x14ac:dyDescent="0.25">
      <c r="A176" s="54" t="s">
        <v>293</v>
      </c>
      <c r="B176" s="54" t="s">
        <v>294</v>
      </c>
      <c r="C176" s="31">
        <v>4301031527</v>
      </c>
      <c r="D176" s="642">
        <v>4680115889613</v>
      </c>
      <c r="E176" s="643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798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0"/>
      <c r="R176" s="650"/>
      <c r="S176" s="650"/>
      <c r="T176" s="651"/>
      <c r="U176" s="34"/>
      <c r="V176" s="34"/>
      <c r="W176" s="35" t="s">
        <v>67</v>
      </c>
      <c r="X176" s="635">
        <v>0</v>
      </c>
      <c r="Y176" s="636">
        <f t="shared" ref="Y176:Y186" si="15">IFERROR(IF(X176="",0,CEILING((X176/$H176),1)*$H176),"")</f>
        <v>0</v>
      </c>
      <c r="Z176" s="36" t="str">
        <f>IFERROR(IF(Y176=0,"",ROUNDUP(Y176/H176,0)*0.01196),"")</f>
        <v/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0</v>
      </c>
      <c r="BN176" s="64">
        <f t="shared" ref="BN176:BN186" si="17">IFERROR(Y176*I176/H176,"0")</f>
        <v>0</v>
      </c>
      <c r="BO176" s="64">
        <f t="shared" ref="BO176:BO186" si="18">IFERROR(1/J176*(X176/H176),"0")</f>
        <v>0</v>
      </c>
      <c r="BP176" s="64">
        <f t="shared" ref="BP176:BP186" si="19"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42">
        <v>4680115887428</v>
      </c>
      <c r="E177" s="643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75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0"/>
      <c r="R177" s="650"/>
      <c r="S177" s="650"/>
      <c r="T177" s="65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2">
        <v>4680115889170</v>
      </c>
      <c r="E178" s="643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0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0"/>
      <c r="R178" s="650"/>
      <c r="S178" s="650"/>
      <c r="T178" s="65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2">
        <v>4680115887398</v>
      </c>
      <c r="E179" s="643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3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0"/>
      <c r="R179" s="650"/>
      <c r="S179" s="650"/>
      <c r="T179" s="65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2">
        <v>4680115887336</v>
      </c>
      <c r="E180" s="643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0"/>
      <c r="R180" s="650"/>
      <c r="S180" s="650"/>
      <c r="T180" s="651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2">
        <v>4680115887787</v>
      </c>
      <c r="E181" s="643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70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0"/>
      <c r="R181" s="650"/>
      <c r="S181" s="650"/>
      <c r="T181" s="651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2">
        <v>4680115887503</v>
      </c>
      <c r="E182" s="643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0"/>
      <c r="R182" s="650"/>
      <c r="S182" s="650"/>
      <c r="T182" s="651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2">
        <v>4680115887763</v>
      </c>
      <c r="E183" s="643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72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0"/>
      <c r="R183" s="650"/>
      <c r="S183" s="650"/>
      <c r="T183" s="651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2">
        <v>4680115887480</v>
      </c>
      <c r="E184" s="643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95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0"/>
      <c r="R184" s="650"/>
      <c r="S184" s="650"/>
      <c r="T184" s="651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2">
        <v>4680115888067</v>
      </c>
      <c r="E185" s="643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0"/>
      <c r="R185" s="650"/>
      <c r="S185" s="650"/>
      <c r="T185" s="651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2">
        <v>4680115887435</v>
      </c>
      <c r="E186" s="643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70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0"/>
      <c r="R186" s="650"/>
      <c r="S186" s="650"/>
      <c r="T186" s="651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hidden="1" x14ac:dyDescent="0.2">
      <c r="A187" s="66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69"/>
      <c r="P187" s="644" t="s">
        <v>69</v>
      </c>
      <c r="Q187" s="640"/>
      <c r="R187" s="640"/>
      <c r="S187" s="640"/>
      <c r="T187" s="640"/>
      <c r="U187" s="640"/>
      <c r="V187" s="641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38"/>
      <c r="AB187" s="638"/>
      <c r="AC187" s="638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69"/>
      <c r="P188" s="644" t="s">
        <v>69</v>
      </c>
      <c r="Q188" s="640"/>
      <c r="R188" s="640"/>
      <c r="S188" s="640"/>
      <c r="T188" s="640"/>
      <c r="U188" s="640"/>
      <c r="V188" s="641"/>
      <c r="W188" s="37" t="s">
        <v>67</v>
      </c>
      <c r="X188" s="637">
        <f>IFERROR(SUM(X176:X186),"0")</f>
        <v>0</v>
      </c>
      <c r="Y188" s="637">
        <f>IFERROR(SUM(Y176:Y186),"0")</f>
        <v>0</v>
      </c>
      <c r="Z188" s="37"/>
      <c r="AA188" s="638"/>
      <c r="AB188" s="638"/>
      <c r="AC188" s="638"/>
    </row>
    <row r="189" spans="1:68" ht="14.25" hidden="1" customHeight="1" x14ac:dyDescent="0.25">
      <c r="A189" s="653" t="s">
        <v>71</v>
      </c>
      <c r="B189" s="648"/>
      <c r="C189" s="648"/>
      <c r="D189" s="648"/>
      <c r="E189" s="648"/>
      <c r="F189" s="648"/>
      <c r="G189" s="648"/>
      <c r="H189" s="648"/>
      <c r="I189" s="648"/>
      <c r="J189" s="648"/>
      <c r="K189" s="648"/>
      <c r="L189" s="648"/>
      <c r="M189" s="648"/>
      <c r="N189" s="648"/>
      <c r="O189" s="648"/>
      <c r="P189" s="648"/>
      <c r="Q189" s="648"/>
      <c r="R189" s="648"/>
      <c r="S189" s="648"/>
      <c r="T189" s="648"/>
      <c r="U189" s="648"/>
      <c r="V189" s="648"/>
      <c r="W189" s="648"/>
      <c r="X189" s="648"/>
      <c r="Y189" s="648"/>
      <c r="Z189" s="648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2">
        <v>4680115888395</v>
      </c>
      <c r="E190" s="643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74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0"/>
      <c r="R190" s="650"/>
      <c r="S190" s="650"/>
      <c r="T190" s="651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2">
        <v>4680115888371</v>
      </c>
      <c r="E191" s="643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7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0"/>
      <c r="R191" s="650"/>
      <c r="S191" s="650"/>
      <c r="T191" s="651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69"/>
      <c r="P192" s="644" t="s">
        <v>69</v>
      </c>
      <c r="Q192" s="640"/>
      <c r="R192" s="640"/>
      <c r="S192" s="640"/>
      <c r="T192" s="640"/>
      <c r="U192" s="640"/>
      <c r="V192" s="641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69"/>
      <c r="P193" s="644" t="s">
        <v>69</v>
      </c>
      <c r="Q193" s="640"/>
      <c r="R193" s="640"/>
      <c r="S193" s="640"/>
      <c r="T193" s="640"/>
      <c r="U193" s="640"/>
      <c r="V193" s="641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53" t="s">
        <v>89</v>
      </c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8"/>
      <c r="P194" s="648"/>
      <c r="Q194" s="648"/>
      <c r="R194" s="648"/>
      <c r="S194" s="648"/>
      <c r="T194" s="648"/>
      <c r="U194" s="648"/>
      <c r="V194" s="648"/>
      <c r="W194" s="648"/>
      <c r="X194" s="648"/>
      <c r="Y194" s="648"/>
      <c r="Z194" s="648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2">
        <v>4680115889026</v>
      </c>
      <c r="E195" s="643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8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0"/>
      <c r="R195" s="650"/>
      <c r="S195" s="650"/>
      <c r="T195" s="651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6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69"/>
      <c r="P196" s="644" t="s">
        <v>69</v>
      </c>
      <c r="Q196" s="640"/>
      <c r="R196" s="640"/>
      <c r="S196" s="640"/>
      <c r="T196" s="640"/>
      <c r="U196" s="640"/>
      <c r="V196" s="641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69"/>
      <c r="P197" s="644" t="s">
        <v>69</v>
      </c>
      <c r="Q197" s="640"/>
      <c r="R197" s="640"/>
      <c r="S197" s="640"/>
      <c r="T197" s="640"/>
      <c r="U197" s="640"/>
      <c r="V197" s="641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53" t="s">
        <v>333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2">
        <v>4680115889033</v>
      </c>
      <c r="E199" s="643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68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0"/>
      <c r="R199" s="650"/>
      <c r="S199" s="650"/>
      <c r="T199" s="651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6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69"/>
      <c r="P200" s="644" t="s">
        <v>69</v>
      </c>
      <c r="Q200" s="640"/>
      <c r="R200" s="640"/>
      <c r="S200" s="640"/>
      <c r="T200" s="640"/>
      <c r="U200" s="640"/>
      <c r="V200" s="641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69"/>
      <c r="P201" s="644" t="s">
        <v>69</v>
      </c>
      <c r="Q201" s="640"/>
      <c r="R201" s="640"/>
      <c r="S201" s="640"/>
      <c r="T201" s="640"/>
      <c r="U201" s="640"/>
      <c r="V201" s="641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727" t="s">
        <v>337</v>
      </c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8"/>
      <c r="P202" s="728"/>
      <c r="Q202" s="728"/>
      <c r="R202" s="728"/>
      <c r="S202" s="728"/>
      <c r="T202" s="728"/>
      <c r="U202" s="728"/>
      <c r="V202" s="728"/>
      <c r="W202" s="728"/>
      <c r="X202" s="728"/>
      <c r="Y202" s="728"/>
      <c r="Z202" s="728"/>
      <c r="AA202" s="48"/>
      <c r="AB202" s="48"/>
      <c r="AC202" s="48"/>
    </row>
    <row r="203" spans="1:68" ht="16.5" hidden="1" customHeight="1" x14ac:dyDescent="0.25">
      <c r="A203" s="647" t="s">
        <v>338</v>
      </c>
      <c r="B203" s="648"/>
      <c r="C203" s="648"/>
      <c r="D203" s="648"/>
      <c r="E203" s="648"/>
      <c r="F203" s="648"/>
      <c r="G203" s="648"/>
      <c r="H203" s="648"/>
      <c r="I203" s="648"/>
      <c r="J203" s="648"/>
      <c r="K203" s="648"/>
      <c r="L203" s="648"/>
      <c r="M203" s="648"/>
      <c r="N203" s="648"/>
      <c r="O203" s="648"/>
      <c r="P203" s="648"/>
      <c r="Q203" s="648"/>
      <c r="R203" s="648"/>
      <c r="S203" s="648"/>
      <c r="T203" s="648"/>
      <c r="U203" s="648"/>
      <c r="V203" s="648"/>
      <c r="W203" s="648"/>
      <c r="X203" s="648"/>
      <c r="Y203" s="648"/>
      <c r="Z203" s="648"/>
      <c r="AA203" s="630"/>
      <c r="AB203" s="630"/>
      <c r="AC203" s="630"/>
    </row>
    <row r="204" spans="1:68" ht="14.25" hidden="1" customHeight="1" x14ac:dyDescent="0.25">
      <c r="A204" s="653" t="s">
        <v>119</v>
      </c>
      <c r="B204" s="648"/>
      <c r="C204" s="648"/>
      <c r="D204" s="648"/>
      <c r="E204" s="648"/>
      <c r="F204" s="648"/>
      <c r="G204" s="648"/>
      <c r="H204" s="648"/>
      <c r="I204" s="648"/>
      <c r="J204" s="648"/>
      <c r="K204" s="648"/>
      <c r="L204" s="648"/>
      <c r="M204" s="648"/>
      <c r="N204" s="648"/>
      <c r="O204" s="648"/>
      <c r="P204" s="648"/>
      <c r="Q204" s="648"/>
      <c r="R204" s="648"/>
      <c r="S204" s="648"/>
      <c r="T204" s="648"/>
      <c r="U204" s="648"/>
      <c r="V204" s="648"/>
      <c r="W204" s="648"/>
      <c r="X204" s="648"/>
      <c r="Y204" s="648"/>
      <c r="Z204" s="648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2">
        <v>4607091383423</v>
      </c>
      <c r="E205" s="643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9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0"/>
      <c r="R205" s="650"/>
      <c r="S205" s="650"/>
      <c r="T205" s="651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2">
        <v>4680115888760</v>
      </c>
      <c r="E206" s="643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0"/>
      <c r="R206" s="650"/>
      <c r="S206" s="650"/>
      <c r="T206" s="651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2">
        <v>4680115888807</v>
      </c>
      <c r="E207" s="643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2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0"/>
      <c r="R207" s="650"/>
      <c r="S207" s="650"/>
      <c r="T207" s="651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2">
        <v>4680115888852</v>
      </c>
      <c r="E208" s="643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0"/>
      <c r="R208" s="650"/>
      <c r="S208" s="650"/>
      <c r="T208" s="651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2">
        <v>4680115886957</v>
      </c>
      <c r="E209" s="643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97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0"/>
      <c r="R209" s="650"/>
      <c r="S209" s="650"/>
      <c r="T209" s="651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2">
        <v>4680115885660</v>
      </c>
      <c r="E210" s="643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6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0"/>
      <c r="R210" s="650"/>
      <c r="S210" s="650"/>
      <c r="T210" s="651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2">
        <v>4680115886773</v>
      </c>
      <c r="E211" s="643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0"/>
      <c r="R211" s="650"/>
      <c r="S211" s="650"/>
      <c r="T211" s="651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6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69"/>
      <c r="P212" s="644" t="s">
        <v>69</v>
      </c>
      <c r="Q212" s="640"/>
      <c r="R212" s="640"/>
      <c r="S212" s="640"/>
      <c r="T212" s="640"/>
      <c r="U212" s="640"/>
      <c r="V212" s="641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69"/>
      <c r="P213" s="644" t="s">
        <v>69</v>
      </c>
      <c r="Q213" s="640"/>
      <c r="R213" s="640"/>
      <c r="S213" s="640"/>
      <c r="T213" s="640"/>
      <c r="U213" s="640"/>
      <c r="V213" s="641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7" t="s">
        <v>359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0"/>
      <c r="AB214" s="630"/>
      <c r="AC214" s="630"/>
    </row>
    <row r="215" spans="1:68" ht="14.25" hidden="1" customHeight="1" x14ac:dyDescent="0.25">
      <c r="A215" s="653" t="s">
        <v>155</v>
      </c>
      <c r="B215" s="648"/>
      <c r="C215" s="648"/>
      <c r="D215" s="648"/>
      <c r="E215" s="648"/>
      <c r="F215" s="648"/>
      <c r="G215" s="648"/>
      <c r="H215" s="648"/>
      <c r="I215" s="648"/>
      <c r="J215" s="648"/>
      <c r="K215" s="648"/>
      <c r="L215" s="648"/>
      <c r="M215" s="648"/>
      <c r="N215" s="648"/>
      <c r="O215" s="648"/>
      <c r="P215" s="648"/>
      <c r="Q215" s="648"/>
      <c r="R215" s="648"/>
      <c r="S215" s="648"/>
      <c r="T215" s="648"/>
      <c r="U215" s="648"/>
      <c r="V215" s="648"/>
      <c r="W215" s="648"/>
      <c r="X215" s="648"/>
      <c r="Y215" s="648"/>
      <c r="Z215" s="648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2">
        <v>4680115886223</v>
      </c>
      <c r="E216" s="643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0"/>
      <c r="R216" s="650"/>
      <c r="S216" s="650"/>
      <c r="T216" s="651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6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69"/>
      <c r="P217" s="644" t="s">
        <v>69</v>
      </c>
      <c r="Q217" s="640"/>
      <c r="R217" s="640"/>
      <c r="S217" s="640"/>
      <c r="T217" s="640"/>
      <c r="U217" s="640"/>
      <c r="V217" s="641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69"/>
      <c r="P218" s="644" t="s">
        <v>69</v>
      </c>
      <c r="Q218" s="640"/>
      <c r="R218" s="640"/>
      <c r="S218" s="640"/>
      <c r="T218" s="640"/>
      <c r="U218" s="640"/>
      <c r="V218" s="641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53" t="s">
        <v>62</v>
      </c>
      <c r="B219" s="648"/>
      <c r="C219" s="648"/>
      <c r="D219" s="648"/>
      <c r="E219" s="648"/>
      <c r="F219" s="648"/>
      <c r="G219" s="648"/>
      <c r="H219" s="648"/>
      <c r="I219" s="648"/>
      <c r="J219" s="648"/>
      <c r="K219" s="648"/>
      <c r="L219" s="648"/>
      <c r="M219" s="648"/>
      <c r="N219" s="648"/>
      <c r="O219" s="648"/>
      <c r="P219" s="648"/>
      <c r="Q219" s="648"/>
      <c r="R219" s="648"/>
      <c r="S219" s="648"/>
      <c r="T219" s="648"/>
      <c r="U219" s="648"/>
      <c r="V219" s="648"/>
      <c r="W219" s="648"/>
      <c r="X219" s="648"/>
      <c r="Y219" s="648"/>
      <c r="Z219" s="648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2">
        <v>4680115880993</v>
      </c>
      <c r="E220" s="643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0"/>
      <c r="R220" s="650"/>
      <c r="S220" s="650"/>
      <c r="T220" s="651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2">
        <v>4680115881761</v>
      </c>
      <c r="E221" s="643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9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0"/>
      <c r="R221" s="650"/>
      <c r="S221" s="650"/>
      <c r="T221" s="65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369</v>
      </c>
      <c r="B222" s="54" t="s">
        <v>370</v>
      </c>
      <c r="C222" s="31">
        <v>4301031532</v>
      </c>
      <c r="D222" s="642">
        <v>4680115881563</v>
      </c>
      <c r="E222" s="643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77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0"/>
      <c r="R222" s="650"/>
      <c r="S222" s="650"/>
      <c r="T222" s="65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IFERROR(IF(Y222=0,"",ROUNDUP(Y222/H222,0)*0.00902),"")</f>
        <v/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2">
        <v>4680115887565</v>
      </c>
      <c r="E223" s="643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9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0"/>
      <c r="R223" s="650"/>
      <c r="S223" s="650"/>
      <c r="T223" s="65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42">
        <v>4680115880986</v>
      </c>
      <c r="E224" s="643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0"/>
      <c r="R224" s="650"/>
      <c r="S224" s="650"/>
      <c r="T224" s="651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2">
        <v>4680115887213</v>
      </c>
      <c r="E225" s="643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75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0"/>
      <c r="R225" s="650"/>
      <c r="S225" s="650"/>
      <c r="T225" s="65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2">
        <v>4680115881785</v>
      </c>
      <c r="E226" s="643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7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0"/>
      <c r="R226" s="650"/>
      <c r="S226" s="650"/>
      <c r="T226" s="65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2">
        <v>4680115888432</v>
      </c>
      <c r="E227" s="643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7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0"/>
      <c r="R227" s="650"/>
      <c r="S227" s="650"/>
      <c r="T227" s="651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42">
        <v>4680115886537</v>
      </c>
      <c r="E228" s="643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69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0"/>
      <c r="R228" s="650"/>
      <c r="S228" s="650"/>
      <c r="T228" s="651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2">
        <v>4680115887596</v>
      </c>
      <c r="E229" s="643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0"/>
      <c r="R229" s="650"/>
      <c r="S229" s="650"/>
      <c r="T229" s="651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2">
        <v>4680115881679</v>
      </c>
      <c r="E230" s="643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9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0"/>
      <c r="R230" s="650"/>
      <c r="S230" s="650"/>
      <c r="T230" s="651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2">
        <v>4680115880191</v>
      </c>
      <c r="E231" s="643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100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2">
        <v>4680115883963</v>
      </c>
      <c r="E232" s="643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hidden="1" x14ac:dyDescent="0.2">
      <c r="A233" s="66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69"/>
      <c r="P233" s="644" t="s">
        <v>69</v>
      </c>
      <c r="Q233" s="640"/>
      <c r="R233" s="640"/>
      <c r="S233" s="640"/>
      <c r="T233" s="640"/>
      <c r="U233" s="640"/>
      <c r="V233" s="641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38"/>
      <c r="AB233" s="638"/>
      <c r="AC233" s="638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69"/>
      <c r="P234" s="644" t="s">
        <v>69</v>
      </c>
      <c r="Q234" s="640"/>
      <c r="R234" s="640"/>
      <c r="S234" s="640"/>
      <c r="T234" s="640"/>
      <c r="U234" s="640"/>
      <c r="V234" s="641"/>
      <c r="W234" s="37" t="s">
        <v>67</v>
      </c>
      <c r="X234" s="637">
        <f>IFERROR(SUM(X220:X232),"0")</f>
        <v>0</v>
      </c>
      <c r="Y234" s="637">
        <f>IFERROR(SUM(Y220:Y232),"0")</f>
        <v>0</v>
      </c>
      <c r="Z234" s="37"/>
      <c r="AA234" s="638"/>
      <c r="AB234" s="638"/>
      <c r="AC234" s="638"/>
    </row>
    <row r="235" spans="1:68" ht="14.25" hidden="1" customHeight="1" x14ac:dyDescent="0.25">
      <c r="A235" s="653" t="s">
        <v>71</v>
      </c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8"/>
      <c r="P235" s="648"/>
      <c r="Q235" s="648"/>
      <c r="R235" s="648"/>
      <c r="S235" s="648"/>
      <c r="T235" s="648"/>
      <c r="U235" s="648"/>
      <c r="V235" s="648"/>
      <c r="W235" s="648"/>
      <c r="X235" s="648"/>
      <c r="Y235" s="648"/>
      <c r="Z235" s="648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2">
        <v>4680115888692</v>
      </c>
      <c r="E236" s="643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95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2">
        <v>4680115888722</v>
      </c>
      <c r="E237" s="643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9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0"/>
      <c r="R237" s="650"/>
      <c r="S237" s="650"/>
      <c r="T237" s="651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2">
        <v>4680115888951</v>
      </c>
      <c r="E238" s="643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0"/>
      <c r="R238" s="650"/>
      <c r="S238" s="650"/>
      <c r="T238" s="65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2">
        <v>4680115888975</v>
      </c>
      <c r="E239" s="643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902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0"/>
      <c r="R239" s="650"/>
      <c r="S239" s="650"/>
      <c r="T239" s="65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2">
        <v>4680115888982</v>
      </c>
      <c r="E240" s="643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94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0"/>
      <c r="R240" s="650"/>
      <c r="S240" s="650"/>
      <c r="T240" s="65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6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69"/>
      <c r="P241" s="644" t="s">
        <v>69</v>
      </c>
      <c r="Q241" s="640"/>
      <c r="R241" s="640"/>
      <c r="S241" s="640"/>
      <c r="T241" s="640"/>
      <c r="U241" s="640"/>
      <c r="V241" s="641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69"/>
      <c r="P242" s="644" t="s">
        <v>69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3" t="s">
        <v>89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2">
        <v>4680115886780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10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0"/>
      <c r="R244" s="650"/>
      <c r="S244" s="650"/>
      <c r="T244" s="65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2">
        <v>4680115886742</v>
      </c>
      <c r="E245" s="643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0"/>
      <c r="R245" s="650"/>
      <c r="S245" s="650"/>
      <c r="T245" s="651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42">
        <v>4680115886766</v>
      </c>
      <c r="E246" s="643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9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0"/>
      <c r="R246" s="650"/>
      <c r="S246" s="650"/>
      <c r="T246" s="651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6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69"/>
      <c r="P247" s="644" t="s">
        <v>69</v>
      </c>
      <c r="Q247" s="640"/>
      <c r="R247" s="640"/>
      <c r="S247" s="640"/>
      <c r="T247" s="640"/>
      <c r="U247" s="640"/>
      <c r="V247" s="641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69"/>
      <c r="P248" s="644" t="s">
        <v>69</v>
      </c>
      <c r="Q248" s="640"/>
      <c r="R248" s="640"/>
      <c r="S248" s="640"/>
      <c r="T248" s="640"/>
      <c r="U248" s="640"/>
      <c r="V248" s="641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53" t="s">
        <v>419</v>
      </c>
      <c r="B249" s="648"/>
      <c r="C249" s="648"/>
      <c r="D249" s="648"/>
      <c r="E249" s="648"/>
      <c r="F249" s="648"/>
      <c r="G249" s="648"/>
      <c r="H249" s="648"/>
      <c r="I249" s="648"/>
      <c r="J249" s="648"/>
      <c r="K249" s="648"/>
      <c r="L249" s="648"/>
      <c r="M249" s="648"/>
      <c r="N249" s="648"/>
      <c r="O249" s="648"/>
      <c r="P249" s="648"/>
      <c r="Q249" s="648"/>
      <c r="R249" s="648"/>
      <c r="S249" s="648"/>
      <c r="T249" s="648"/>
      <c r="U249" s="648"/>
      <c r="V249" s="648"/>
      <c r="W249" s="648"/>
      <c r="X249" s="648"/>
      <c r="Y249" s="648"/>
      <c r="Z249" s="648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2">
        <v>4680115886797</v>
      </c>
      <c r="E250" s="643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9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0"/>
      <c r="R250" s="650"/>
      <c r="S250" s="650"/>
      <c r="T250" s="65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6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69"/>
      <c r="P251" s="644" t="s">
        <v>69</v>
      </c>
      <c r="Q251" s="640"/>
      <c r="R251" s="640"/>
      <c r="S251" s="640"/>
      <c r="T251" s="640"/>
      <c r="U251" s="640"/>
      <c r="V251" s="641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69"/>
      <c r="P252" s="644" t="s">
        <v>69</v>
      </c>
      <c r="Q252" s="640"/>
      <c r="R252" s="640"/>
      <c r="S252" s="640"/>
      <c r="T252" s="640"/>
      <c r="U252" s="640"/>
      <c r="V252" s="641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7" t="s">
        <v>422</v>
      </c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8"/>
      <c r="P253" s="648"/>
      <c r="Q253" s="648"/>
      <c r="R253" s="648"/>
      <c r="S253" s="648"/>
      <c r="T253" s="648"/>
      <c r="U253" s="648"/>
      <c r="V253" s="648"/>
      <c r="W253" s="648"/>
      <c r="X253" s="648"/>
      <c r="Y253" s="648"/>
      <c r="Z253" s="648"/>
      <c r="AA253" s="630"/>
      <c r="AB253" s="630"/>
      <c r="AC253" s="630"/>
    </row>
    <row r="254" spans="1:68" ht="14.25" hidden="1" customHeight="1" x14ac:dyDescent="0.25">
      <c r="A254" s="653" t="s">
        <v>119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2">
        <v>4680115881402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9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0"/>
      <c r="R255" s="650"/>
      <c r="S255" s="650"/>
      <c r="T255" s="65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2">
        <v>4680115881396</v>
      </c>
      <c r="E256" s="643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0"/>
      <c r="R256" s="650"/>
      <c r="S256" s="650"/>
      <c r="T256" s="65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6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69"/>
      <c r="P257" s="644" t="s">
        <v>69</v>
      </c>
      <c r="Q257" s="640"/>
      <c r="R257" s="640"/>
      <c r="S257" s="640"/>
      <c r="T257" s="640"/>
      <c r="U257" s="640"/>
      <c r="V257" s="641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69"/>
      <c r="P258" s="644" t="s">
        <v>69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3" t="s">
        <v>155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2">
        <v>4680115882935</v>
      </c>
      <c r="E260" s="643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0"/>
      <c r="R260" s="650"/>
      <c r="S260" s="650"/>
      <c r="T260" s="651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2">
        <v>4680115880764</v>
      </c>
      <c r="E261" s="643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0"/>
      <c r="R261" s="650"/>
      <c r="S261" s="650"/>
      <c r="T261" s="651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6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69"/>
      <c r="P262" s="644" t="s">
        <v>69</v>
      </c>
      <c r="Q262" s="640"/>
      <c r="R262" s="640"/>
      <c r="S262" s="640"/>
      <c r="T262" s="640"/>
      <c r="U262" s="640"/>
      <c r="V262" s="641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69"/>
      <c r="P263" s="644" t="s">
        <v>69</v>
      </c>
      <c r="Q263" s="640"/>
      <c r="R263" s="640"/>
      <c r="S263" s="640"/>
      <c r="T263" s="640"/>
      <c r="U263" s="640"/>
      <c r="V263" s="641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53" t="s">
        <v>62</v>
      </c>
      <c r="B264" s="648"/>
      <c r="C264" s="648"/>
      <c r="D264" s="648"/>
      <c r="E264" s="648"/>
      <c r="F264" s="648"/>
      <c r="G264" s="648"/>
      <c r="H264" s="648"/>
      <c r="I264" s="648"/>
      <c r="J264" s="648"/>
      <c r="K264" s="648"/>
      <c r="L264" s="648"/>
      <c r="M264" s="648"/>
      <c r="N264" s="648"/>
      <c r="O264" s="648"/>
      <c r="P264" s="648"/>
      <c r="Q264" s="648"/>
      <c r="R264" s="648"/>
      <c r="S264" s="648"/>
      <c r="T264" s="648"/>
      <c r="U264" s="648"/>
      <c r="V264" s="648"/>
      <c r="W264" s="648"/>
      <c r="X264" s="648"/>
      <c r="Y264" s="648"/>
      <c r="Z264" s="648"/>
      <c r="AA264" s="631"/>
      <c r="AB264" s="631"/>
      <c r="AC264" s="631"/>
    </row>
    <row r="265" spans="1:68" ht="27" hidden="1" customHeight="1" x14ac:dyDescent="0.25">
      <c r="A265" s="54" t="s">
        <v>433</v>
      </c>
      <c r="B265" s="54" t="s">
        <v>434</v>
      </c>
      <c r="C265" s="31">
        <v>4301031224</v>
      </c>
      <c r="D265" s="642">
        <v>4680115882683</v>
      </c>
      <c r="E265" s="643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0"/>
      <c r="R265" s="650"/>
      <c r="S265" s="650"/>
      <c r="T265" s="651"/>
      <c r="U265" s="34"/>
      <c r="V265" s="34"/>
      <c r="W265" s="35" t="s">
        <v>67</v>
      </c>
      <c r="X265" s="635">
        <v>0</v>
      </c>
      <c r="Y265" s="636">
        <f t="shared" ref="Y265:Y272" si="31"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0</v>
      </c>
      <c r="BN265" s="64">
        <f t="shared" ref="BN265:BN272" si="33">IFERROR(Y265*I265/H265,"0")</f>
        <v>0</v>
      </c>
      <c r="BO265" s="64">
        <f t="shared" ref="BO265:BO272" si="34">IFERROR(1/J265*(X265/H265),"0")</f>
        <v>0</v>
      </c>
      <c r="BP265" s="64">
        <f t="shared" ref="BP265:BP272" si="35">IFERROR(1/J265*(Y265/H265),"0")</f>
        <v>0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2">
        <v>4680115882690</v>
      </c>
      <c r="E266" s="643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95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0"/>
      <c r="R266" s="650"/>
      <c r="S266" s="650"/>
      <c r="T266" s="65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42">
        <v>4680115882669</v>
      </c>
      <c r="E267" s="643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0"/>
      <c r="R267" s="650"/>
      <c r="S267" s="650"/>
      <c r="T267" s="651"/>
      <c r="U267" s="34"/>
      <c r="V267" s="34"/>
      <c r="W267" s="35" t="s">
        <v>67</v>
      </c>
      <c r="X267" s="635">
        <v>423</v>
      </c>
      <c r="Y267" s="636">
        <f t="shared" si="31"/>
        <v>426.6</v>
      </c>
      <c r="Z267" s="36">
        <f>IFERROR(IF(Y267=0,"",ROUNDUP(Y267/H267,0)*0.00902),"")</f>
        <v>0.71257999999999999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437.88333333333333</v>
      </c>
      <c r="BN267" s="64">
        <f t="shared" si="33"/>
        <v>441.60999999999996</v>
      </c>
      <c r="BO267" s="64">
        <f t="shared" si="34"/>
        <v>0.59343434343434343</v>
      </c>
      <c r="BP267" s="64">
        <f t="shared" si="35"/>
        <v>0.59848484848484851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2">
        <v>4680115882676</v>
      </c>
      <c r="E268" s="643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9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0"/>
      <c r="R268" s="650"/>
      <c r="S268" s="650"/>
      <c r="T268" s="651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42">
        <v>4680115884014</v>
      </c>
      <c r="E269" s="643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76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0"/>
      <c r="R269" s="650"/>
      <c r="S269" s="650"/>
      <c r="T269" s="651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42">
        <v>4680115884007</v>
      </c>
      <c r="E270" s="643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0"/>
      <c r="R270" s="650"/>
      <c r="S270" s="650"/>
      <c r="T270" s="651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2">
        <v>4680115884038</v>
      </c>
      <c r="E271" s="643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96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0"/>
      <c r="R271" s="650"/>
      <c r="S271" s="650"/>
      <c r="T271" s="651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2">
        <v>4680115884021</v>
      </c>
      <c r="E272" s="643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0"/>
      <c r="R272" s="650"/>
      <c r="S272" s="650"/>
      <c r="T272" s="651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6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69"/>
      <c r="P273" s="644" t="s">
        <v>69</v>
      </c>
      <c r="Q273" s="640"/>
      <c r="R273" s="640"/>
      <c r="S273" s="640"/>
      <c r="T273" s="640"/>
      <c r="U273" s="640"/>
      <c r="V273" s="641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78.333333333333329</v>
      </c>
      <c r="Y273" s="637">
        <f>IFERROR(Y265/H265,"0")+IFERROR(Y266/H266,"0")+IFERROR(Y267/H267,"0")+IFERROR(Y268/H268,"0")+IFERROR(Y269/H269,"0")+IFERROR(Y270/H270,"0")+IFERROR(Y271/H271,"0")+IFERROR(Y272/H272,"0")</f>
        <v>79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0.71257999999999999</v>
      </c>
      <c r="AA273" s="638"/>
      <c r="AB273" s="638"/>
      <c r="AC273" s="638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69"/>
      <c r="P274" s="644" t="s">
        <v>69</v>
      </c>
      <c r="Q274" s="640"/>
      <c r="R274" s="640"/>
      <c r="S274" s="640"/>
      <c r="T274" s="640"/>
      <c r="U274" s="640"/>
      <c r="V274" s="641"/>
      <c r="W274" s="37" t="s">
        <v>67</v>
      </c>
      <c r="X274" s="637">
        <f>IFERROR(SUM(X265:X272),"0")</f>
        <v>423</v>
      </c>
      <c r="Y274" s="637">
        <f>IFERROR(SUM(Y265:Y272),"0")</f>
        <v>426.6</v>
      </c>
      <c r="Z274" s="37"/>
      <c r="AA274" s="638"/>
      <c r="AB274" s="638"/>
      <c r="AC274" s="638"/>
    </row>
    <row r="275" spans="1:68" ht="14.25" hidden="1" customHeight="1" x14ac:dyDescent="0.25">
      <c r="A275" s="653" t="s">
        <v>71</v>
      </c>
      <c r="B275" s="648"/>
      <c r="C275" s="648"/>
      <c r="D275" s="648"/>
      <c r="E275" s="648"/>
      <c r="F275" s="648"/>
      <c r="G275" s="648"/>
      <c r="H275" s="648"/>
      <c r="I275" s="648"/>
      <c r="J275" s="648"/>
      <c r="K275" s="648"/>
      <c r="L275" s="648"/>
      <c r="M275" s="648"/>
      <c r="N275" s="648"/>
      <c r="O275" s="648"/>
      <c r="P275" s="648"/>
      <c r="Q275" s="648"/>
      <c r="R275" s="648"/>
      <c r="S275" s="648"/>
      <c r="T275" s="648"/>
      <c r="U275" s="648"/>
      <c r="V275" s="648"/>
      <c r="W275" s="648"/>
      <c r="X275" s="648"/>
      <c r="Y275" s="648"/>
      <c r="Z275" s="648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2">
        <v>4680115889873</v>
      </c>
      <c r="E276" s="643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10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0"/>
      <c r="R276" s="650"/>
      <c r="S276" s="650"/>
      <c r="T276" s="651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42">
        <v>4680115881594</v>
      </c>
      <c r="E277" s="643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0"/>
      <c r="R277" s="650"/>
      <c r="S277" s="650"/>
      <c r="T277" s="651"/>
      <c r="U277" s="34"/>
      <c r="V277" s="34"/>
      <c r="W277" s="35" t="s">
        <v>67</v>
      </c>
      <c r="X277" s="635">
        <v>296</v>
      </c>
      <c r="Y277" s="636">
        <f t="shared" si="36"/>
        <v>299.7</v>
      </c>
      <c r="Z277" s="36">
        <f>IFERROR(IF(Y277=0,"",ROUNDUP(Y277/H277,0)*0.01898),"")</f>
        <v>0.70226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314.05234567901232</v>
      </c>
      <c r="BN277" s="64">
        <f t="shared" si="38"/>
        <v>317.97800000000001</v>
      </c>
      <c r="BO277" s="64">
        <f t="shared" si="39"/>
        <v>0.57098765432098764</v>
      </c>
      <c r="BP277" s="64">
        <f t="shared" si="40"/>
        <v>0.578125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42">
        <v>4680115881617</v>
      </c>
      <c r="E278" s="643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0"/>
      <c r="R278" s="650"/>
      <c r="S278" s="650"/>
      <c r="T278" s="651"/>
      <c r="U278" s="34"/>
      <c r="V278" s="34"/>
      <c r="W278" s="35" t="s">
        <v>67</v>
      </c>
      <c r="X278" s="635">
        <v>212</v>
      </c>
      <c r="Y278" s="636">
        <f t="shared" si="36"/>
        <v>218.7</v>
      </c>
      <c r="Z278" s="36">
        <f>IFERROR(IF(Y278=0,"",ROUNDUP(Y278/H278,0)*0.01898),"")</f>
        <v>0.51246000000000003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224.45827160493829</v>
      </c>
      <c r="BN278" s="64">
        <f t="shared" si="38"/>
        <v>231.55200000000002</v>
      </c>
      <c r="BO278" s="64">
        <f t="shared" si="39"/>
        <v>0.40895061728395066</v>
      </c>
      <c r="BP278" s="64">
        <f t="shared" si="40"/>
        <v>0.421875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2">
        <v>4680115880573</v>
      </c>
      <c r="E279" s="643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7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0"/>
      <c r="R279" s="650"/>
      <c r="S279" s="650"/>
      <c r="T279" s="651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hidden="1" customHeight="1" x14ac:dyDescent="0.25">
      <c r="A280" s="54" t="s">
        <v>465</v>
      </c>
      <c r="B280" s="54" t="s">
        <v>466</v>
      </c>
      <c r="C280" s="31">
        <v>4301051407</v>
      </c>
      <c r="D280" s="642">
        <v>4680115882195</v>
      </c>
      <c r="E280" s="643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8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0"/>
      <c r="R280" s="650"/>
      <c r="S280" s="650"/>
      <c r="T280" s="651"/>
      <c r="U280" s="34"/>
      <c r="V280" s="34"/>
      <c r="W280" s="35" t="s">
        <v>67</v>
      </c>
      <c r="X280" s="635">
        <v>0</v>
      </c>
      <c r="Y280" s="636">
        <f t="shared" si="36"/>
        <v>0</v>
      </c>
      <c r="Z280" s="36" t="str">
        <f>IFERROR(IF(Y280=0,"",ROUNDUP(Y280/H280,0)*0.00651),"")</f>
        <v/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0</v>
      </c>
      <c r="BN280" s="64">
        <f t="shared" si="38"/>
        <v>0</v>
      </c>
      <c r="BO280" s="64">
        <f t="shared" si="39"/>
        <v>0</v>
      </c>
      <c r="BP280" s="64">
        <f t="shared" si="40"/>
        <v>0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2">
        <v>4680115882607</v>
      </c>
      <c r="E281" s="643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9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0"/>
      <c r="R281" s="650"/>
      <c r="S281" s="650"/>
      <c r="T281" s="65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2">
        <v>4680115880092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0"/>
      <c r="R282" s="650"/>
      <c r="S282" s="650"/>
      <c r="T282" s="651"/>
      <c r="U282" s="34"/>
      <c r="V282" s="34"/>
      <c r="W282" s="35" t="s">
        <v>67</v>
      </c>
      <c r="X282" s="635">
        <v>288</v>
      </c>
      <c r="Y282" s="636">
        <f t="shared" si="36"/>
        <v>288</v>
      </c>
      <c r="Z282" s="36">
        <f>IFERROR(IF(Y282=0,"",ROUNDUP(Y282/H282,0)*0.00651),"")</f>
        <v>0.78120000000000001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318.24000000000007</v>
      </c>
      <c r="BN282" s="64">
        <f t="shared" si="38"/>
        <v>318.24000000000007</v>
      </c>
      <c r="BO282" s="64">
        <f t="shared" si="39"/>
        <v>0.65934065934065944</v>
      </c>
      <c r="BP282" s="64">
        <f t="shared" si="40"/>
        <v>0.65934065934065944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2">
        <v>4680115889064</v>
      </c>
      <c r="E283" s="643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6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0"/>
      <c r="R283" s="650"/>
      <c r="S283" s="650"/>
      <c r="T283" s="651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42">
        <v>4680115880221</v>
      </c>
      <c r="E284" s="643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91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0"/>
      <c r="R284" s="650"/>
      <c r="S284" s="650"/>
      <c r="T284" s="651"/>
      <c r="U284" s="34"/>
      <c r="V284" s="34"/>
      <c r="W284" s="35" t="s">
        <v>67</v>
      </c>
      <c r="X284" s="635">
        <v>30</v>
      </c>
      <c r="Y284" s="636">
        <f t="shared" si="36"/>
        <v>31.2</v>
      </c>
      <c r="Z284" s="36">
        <f>IFERROR(IF(Y284=0,"",ROUNDUP(Y284/H284,0)*0.00651),"")</f>
        <v>8.4629999999999997E-2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33.150000000000006</v>
      </c>
      <c r="BN284" s="64">
        <f t="shared" si="38"/>
        <v>34.476000000000006</v>
      </c>
      <c r="BO284" s="64">
        <f t="shared" si="39"/>
        <v>6.8681318681318687E-2</v>
      </c>
      <c r="BP284" s="64">
        <f t="shared" si="40"/>
        <v>7.1428571428571438E-2</v>
      </c>
    </row>
    <row r="285" spans="1:68" ht="27" hidden="1" customHeight="1" x14ac:dyDescent="0.25">
      <c r="A285" s="54" t="s">
        <v>476</v>
      </c>
      <c r="B285" s="54" t="s">
        <v>477</v>
      </c>
      <c r="C285" s="31">
        <v>4301051945</v>
      </c>
      <c r="D285" s="642">
        <v>4680115880504</v>
      </c>
      <c r="E285" s="643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0"/>
      <c r="R285" s="650"/>
      <c r="S285" s="650"/>
      <c r="T285" s="651"/>
      <c r="U285" s="34"/>
      <c r="V285" s="34"/>
      <c r="W285" s="35" t="s">
        <v>67</v>
      </c>
      <c r="X285" s="635">
        <v>0</v>
      </c>
      <c r="Y285" s="636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42">
        <v>4680115882164</v>
      </c>
      <c r="E286" s="643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9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0"/>
      <c r="R286" s="650"/>
      <c r="S286" s="650"/>
      <c r="T286" s="651"/>
      <c r="U286" s="34"/>
      <c r="V286" s="34"/>
      <c r="W286" s="35" t="s">
        <v>67</v>
      </c>
      <c r="X286" s="635">
        <v>59</v>
      </c>
      <c r="Y286" s="636">
        <f t="shared" si="36"/>
        <v>60</v>
      </c>
      <c r="Z286" s="36">
        <f>IFERROR(IF(Y286=0,"",ROUNDUP(Y286/H286,0)*0.00651),"")</f>
        <v>0.16275000000000001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65.342500000000001</v>
      </c>
      <c r="BN286" s="64">
        <f t="shared" si="38"/>
        <v>66.45</v>
      </c>
      <c r="BO286" s="64">
        <f t="shared" si="39"/>
        <v>0.13507326007326009</v>
      </c>
      <c r="BP286" s="64">
        <f t="shared" si="40"/>
        <v>0.13736263736263737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2">
        <v>4680115888340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9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0"/>
      <c r="R287" s="650"/>
      <c r="S287" s="650"/>
      <c r="T287" s="651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6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69"/>
      <c r="P288" s="644" t="s">
        <v>69</v>
      </c>
      <c r="Q288" s="640"/>
      <c r="R288" s="640"/>
      <c r="S288" s="640"/>
      <c r="T288" s="640"/>
      <c r="U288" s="640"/>
      <c r="V288" s="641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219.79938271604939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222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2.2433000000000001</v>
      </c>
      <c r="AA288" s="638"/>
      <c r="AB288" s="638"/>
      <c r="AC288" s="638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69"/>
      <c r="P289" s="644" t="s">
        <v>69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IFERROR(SUM(X276:X287),"0")</f>
        <v>885</v>
      </c>
      <c r="Y289" s="637">
        <f>IFERROR(SUM(Y276:Y287),"0")</f>
        <v>897.6</v>
      </c>
      <c r="Z289" s="37"/>
      <c r="AA289" s="638"/>
      <c r="AB289" s="638"/>
      <c r="AC289" s="638"/>
    </row>
    <row r="290" spans="1:68" ht="14.25" hidden="1" customHeight="1" x14ac:dyDescent="0.25">
      <c r="A290" s="653" t="s">
        <v>173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2">
        <v>4680115880818</v>
      </c>
      <c r="E291" s="643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0"/>
      <c r="R291" s="650"/>
      <c r="S291" s="650"/>
      <c r="T291" s="651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2">
        <v>4680115880801</v>
      </c>
      <c r="E292" s="643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6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0"/>
      <c r="R292" s="650"/>
      <c r="S292" s="650"/>
      <c r="T292" s="651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6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69"/>
      <c r="P293" s="644" t="s">
        <v>69</v>
      </c>
      <c r="Q293" s="640"/>
      <c r="R293" s="640"/>
      <c r="S293" s="640"/>
      <c r="T293" s="640"/>
      <c r="U293" s="640"/>
      <c r="V293" s="641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69"/>
      <c r="P294" s="644" t="s">
        <v>69</v>
      </c>
      <c r="Q294" s="640"/>
      <c r="R294" s="640"/>
      <c r="S294" s="640"/>
      <c r="T294" s="640"/>
      <c r="U294" s="640"/>
      <c r="V294" s="641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7" t="s">
        <v>491</v>
      </c>
      <c r="B295" s="648"/>
      <c r="C295" s="648"/>
      <c r="D295" s="648"/>
      <c r="E295" s="648"/>
      <c r="F295" s="648"/>
      <c r="G295" s="648"/>
      <c r="H295" s="648"/>
      <c r="I295" s="648"/>
      <c r="J295" s="648"/>
      <c r="K295" s="648"/>
      <c r="L295" s="648"/>
      <c r="M295" s="648"/>
      <c r="N295" s="648"/>
      <c r="O295" s="648"/>
      <c r="P295" s="648"/>
      <c r="Q295" s="648"/>
      <c r="R295" s="648"/>
      <c r="S295" s="648"/>
      <c r="T295" s="648"/>
      <c r="U295" s="648"/>
      <c r="V295" s="648"/>
      <c r="W295" s="648"/>
      <c r="X295" s="648"/>
      <c r="Y295" s="648"/>
      <c r="Z295" s="648"/>
      <c r="AA295" s="630"/>
      <c r="AB295" s="630"/>
      <c r="AC295" s="630"/>
    </row>
    <row r="296" spans="1:68" ht="14.25" hidden="1" customHeight="1" x14ac:dyDescent="0.25">
      <c r="A296" s="653" t="s">
        <v>119</v>
      </c>
      <c r="B296" s="648"/>
      <c r="C296" s="648"/>
      <c r="D296" s="648"/>
      <c r="E296" s="648"/>
      <c r="F296" s="648"/>
      <c r="G296" s="648"/>
      <c r="H296" s="648"/>
      <c r="I296" s="648"/>
      <c r="J296" s="648"/>
      <c r="K296" s="648"/>
      <c r="L296" s="648"/>
      <c r="M296" s="648"/>
      <c r="N296" s="648"/>
      <c r="O296" s="648"/>
      <c r="P296" s="648"/>
      <c r="Q296" s="648"/>
      <c r="R296" s="648"/>
      <c r="S296" s="648"/>
      <c r="T296" s="648"/>
      <c r="U296" s="648"/>
      <c r="V296" s="648"/>
      <c r="W296" s="648"/>
      <c r="X296" s="648"/>
      <c r="Y296" s="648"/>
      <c r="Z296" s="648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2">
        <v>4680115884137</v>
      </c>
      <c r="E297" s="643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6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0"/>
      <c r="R297" s="650"/>
      <c r="S297" s="650"/>
      <c r="T297" s="651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2">
        <v>4680115884236</v>
      </c>
      <c r="E298" s="643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71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0"/>
      <c r="R298" s="650"/>
      <c r="S298" s="650"/>
      <c r="T298" s="65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2">
        <v>4680115884175</v>
      </c>
      <c r="E299" s="643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2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0"/>
      <c r="R299" s="650"/>
      <c r="S299" s="650"/>
      <c r="T299" s="651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2">
        <v>4680115884144</v>
      </c>
      <c r="E300" s="643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0"/>
      <c r="R300" s="650"/>
      <c r="S300" s="650"/>
      <c r="T300" s="651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2">
        <v>4680115886551</v>
      </c>
      <c r="E301" s="643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0"/>
      <c r="R301" s="650"/>
      <c r="S301" s="650"/>
      <c r="T301" s="651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2">
        <v>4680115887282</v>
      </c>
      <c r="E302" s="643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10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0"/>
      <c r="R302" s="650"/>
      <c r="S302" s="650"/>
      <c r="T302" s="651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2">
        <v>4680115884205</v>
      </c>
      <c r="E303" s="643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0"/>
      <c r="R303" s="650"/>
      <c r="S303" s="650"/>
      <c r="T303" s="651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6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69"/>
      <c r="P304" s="644" t="s">
        <v>69</v>
      </c>
      <c r="Q304" s="640"/>
      <c r="R304" s="640"/>
      <c r="S304" s="640"/>
      <c r="T304" s="640"/>
      <c r="U304" s="640"/>
      <c r="V304" s="641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69"/>
      <c r="P305" s="644" t="s">
        <v>69</v>
      </c>
      <c r="Q305" s="640"/>
      <c r="R305" s="640"/>
      <c r="S305" s="640"/>
      <c r="T305" s="640"/>
      <c r="U305" s="640"/>
      <c r="V305" s="641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53" t="s">
        <v>155</v>
      </c>
      <c r="B306" s="648"/>
      <c r="C306" s="648"/>
      <c r="D306" s="648"/>
      <c r="E306" s="648"/>
      <c r="F306" s="648"/>
      <c r="G306" s="648"/>
      <c r="H306" s="648"/>
      <c r="I306" s="648"/>
      <c r="J306" s="648"/>
      <c r="K306" s="648"/>
      <c r="L306" s="648"/>
      <c r="M306" s="648"/>
      <c r="N306" s="648"/>
      <c r="O306" s="648"/>
      <c r="P306" s="648"/>
      <c r="Q306" s="648"/>
      <c r="R306" s="648"/>
      <c r="S306" s="648"/>
      <c r="T306" s="648"/>
      <c r="U306" s="648"/>
      <c r="V306" s="648"/>
      <c r="W306" s="648"/>
      <c r="X306" s="648"/>
      <c r="Y306" s="648"/>
      <c r="Z306" s="648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2">
        <v>4680115885981</v>
      </c>
      <c r="E307" s="643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66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0"/>
      <c r="R307" s="650"/>
      <c r="S307" s="650"/>
      <c r="T307" s="651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6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69"/>
      <c r="P308" s="644" t="s">
        <v>69</v>
      </c>
      <c r="Q308" s="640"/>
      <c r="R308" s="640"/>
      <c r="S308" s="640"/>
      <c r="T308" s="640"/>
      <c r="U308" s="640"/>
      <c r="V308" s="641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69"/>
      <c r="P309" s="644" t="s">
        <v>69</v>
      </c>
      <c r="Q309" s="640"/>
      <c r="R309" s="640"/>
      <c r="S309" s="640"/>
      <c r="T309" s="640"/>
      <c r="U309" s="640"/>
      <c r="V309" s="641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53" t="s">
        <v>513</v>
      </c>
      <c r="B310" s="648"/>
      <c r="C310" s="648"/>
      <c r="D310" s="648"/>
      <c r="E310" s="648"/>
      <c r="F310" s="648"/>
      <c r="G310" s="648"/>
      <c r="H310" s="648"/>
      <c r="I310" s="648"/>
      <c r="J310" s="648"/>
      <c r="K310" s="648"/>
      <c r="L310" s="648"/>
      <c r="M310" s="648"/>
      <c r="N310" s="648"/>
      <c r="O310" s="648"/>
      <c r="P310" s="648"/>
      <c r="Q310" s="648"/>
      <c r="R310" s="648"/>
      <c r="S310" s="648"/>
      <c r="T310" s="648"/>
      <c r="U310" s="648"/>
      <c r="V310" s="648"/>
      <c r="W310" s="648"/>
      <c r="X310" s="648"/>
      <c r="Y310" s="648"/>
      <c r="Z310" s="648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2">
        <v>4680115886803</v>
      </c>
      <c r="E311" s="643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0"/>
      <c r="R311" s="650"/>
      <c r="S311" s="650"/>
      <c r="T311" s="65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6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69"/>
      <c r="P312" s="644" t="s">
        <v>69</v>
      </c>
      <c r="Q312" s="640"/>
      <c r="R312" s="640"/>
      <c r="S312" s="640"/>
      <c r="T312" s="640"/>
      <c r="U312" s="640"/>
      <c r="V312" s="641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69"/>
      <c r="P313" s="644" t="s">
        <v>69</v>
      </c>
      <c r="Q313" s="640"/>
      <c r="R313" s="640"/>
      <c r="S313" s="640"/>
      <c r="T313" s="640"/>
      <c r="U313" s="640"/>
      <c r="V313" s="641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53" t="s">
        <v>333</v>
      </c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8"/>
      <c r="P314" s="648"/>
      <c r="Q314" s="648"/>
      <c r="R314" s="648"/>
      <c r="S314" s="648"/>
      <c r="T314" s="648"/>
      <c r="U314" s="648"/>
      <c r="V314" s="648"/>
      <c r="W314" s="648"/>
      <c r="X314" s="648"/>
      <c r="Y314" s="648"/>
      <c r="Z314" s="648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2">
        <v>4680115886681</v>
      </c>
      <c r="E315" s="643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10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0"/>
      <c r="R315" s="650"/>
      <c r="S315" s="650"/>
      <c r="T315" s="651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2">
        <v>4680115886735</v>
      </c>
      <c r="E316" s="643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9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0"/>
      <c r="R316" s="650"/>
      <c r="S316" s="650"/>
      <c r="T316" s="651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2">
        <v>4680115886728</v>
      </c>
      <c r="E317" s="643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0"/>
      <c r="R317" s="650"/>
      <c r="S317" s="650"/>
      <c r="T317" s="651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2">
        <v>4680115886711</v>
      </c>
      <c r="E318" s="643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79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0"/>
      <c r="R318" s="650"/>
      <c r="S318" s="650"/>
      <c r="T318" s="651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6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69"/>
      <c r="P319" s="644" t="s">
        <v>69</v>
      </c>
      <c r="Q319" s="640"/>
      <c r="R319" s="640"/>
      <c r="S319" s="640"/>
      <c r="T319" s="640"/>
      <c r="U319" s="640"/>
      <c r="V319" s="641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69"/>
      <c r="P320" s="644" t="s">
        <v>69</v>
      </c>
      <c r="Q320" s="640"/>
      <c r="R320" s="640"/>
      <c r="S320" s="640"/>
      <c r="T320" s="640"/>
      <c r="U320" s="640"/>
      <c r="V320" s="641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7" t="s">
        <v>526</v>
      </c>
      <c r="B321" s="648"/>
      <c r="C321" s="648"/>
      <c r="D321" s="648"/>
      <c r="E321" s="648"/>
      <c r="F321" s="648"/>
      <c r="G321" s="648"/>
      <c r="H321" s="648"/>
      <c r="I321" s="648"/>
      <c r="J321" s="648"/>
      <c r="K321" s="648"/>
      <c r="L321" s="648"/>
      <c r="M321" s="648"/>
      <c r="N321" s="648"/>
      <c r="O321" s="648"/>
      <c r="P321" s="648"/>
      <c r="Q321" s="648"/>
      <c r="R321" s="648"/>
      <c r="S321" s="648"/>
      <c r="T321" s="648"/>
      <c r="U321" s="648"/>
      <c r="V321" s="648"/>
      <c r="W321" s="648"/>
      <c r="X321" s="648"/>
      <c r="Y321" s="648"/>
      <c r="Z321" s="648"/>
      <c r="AA321" s="630"/>
      <c r="AB321" s="630"/>
      <c r="AC321" s="630"/>
    </row>
    <row r="322" spans="1:68" ht="14.25" hidden="1" customHeight="1" x14ac:dyDescent="0.25">
      <c r="A322" s="653" t="s">
        <v>119</v>
      </c>
      <c r="B322" s="648"/>
      <c r="C322" s="648"/>
      <c r="D322" s="648"/>
      <c r="E322" s="648"/>
      <c r="F322" s="648"/>
      <c r="G322" s="648"/>
      <c r="H322" s="648"/>
      <c r="I322" s="648"/>
      <c r="J322" s="648"/>
      <c r="K322" s="648"/>
      <c r="L322" s="648"/>
      <c r="M322" s="648"/>
      <c r="N322" s="648"/>
      <c r="O322" s="648"/>
      <c r="P322" s="648"/>
      <c r="Q322" s="648"/>
      <c r="R322" s="648"/>
      <c r="S322" s="648"/>
      <c r="T322" s="648"/>
      <c r="U322" s="648"/>
      <c r="V322" s="648"/>
      <c r="W322" s="648"/>
      <c r="X322" s="648"/>
      <c r="Y322" s="648"/>
      <c r="Z322" s="648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2">
        <v>4680115885837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78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0"/>
      <c r="R323" s="650"/>
      <c r="S323" s="650"/>
      <c r="T323" s="651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2">
        <v>4680115887077</v>
      </c>
      <c r="E324" s="643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2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0"/>
      <c r="R324" s="650"/>
      <c r="S324" s="650"/>
      <c r="T324" s="65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2">
        <v>4680115889637</v>
      </c>
      <c r="E325" s="643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0"/>
      <c r="R325" s="650"/>
      <c r="S325" s="650"/>
      <c r="T325" s="65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2">
        <v>4680115887237</v>
      </c>
      <c r="E326" s="643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9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0"/>
      <c r="R326" s="650"/>
      <c r="S326" s="650"/>
      <c r="T326" s="651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2">
        <v>4680115885806</v>
      </c>
      <c r="E327" s="643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0"/>
      <c r="R327" s="650"/>
      <c r="S327" s="650"/>
      <c r="T327" s="651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2">
        <v>4680115885844</v>
      </c>
      <c r="E328" s="643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9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0"/>
      <c r="R328" s="650"/>
      <c r="S328" s="650"/>
      <c r="T328" s="651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2">
        <v>4680115885820</v>
      </c>
      <c r="E329" s="643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9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0"/>
      <c r="R329" s="650"/>
      <c r="S329" s="650"/>
      <c r="T329" s="651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6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69"/>
      <c r="P330" s="644" t="s">
        <v>69</v>
      </c>
      <c r="Q330" s="640"/>
      <c r="R330" s="640"/>
      <c r="S330" s="640"/>
      <c r="T330" s="640"/>
      <c r="U330" s="640"/>
      <c r="V330" s="641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69"/>
      <c r="P331" s="644" t="s">
        <v>69</v>
      </c>
      <c r="Q331" s="640"/>
      <c r="R331" s="640"/>
      <c r="S331" s="640"/>
      <c r="T331" s="640"/>
      <c r="U331" s="640"/>
      <c r="V331" s="641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7" t="s">
        <v>548</v>
      </c>
      <c r="B332" s="648"/>
      <c r="C332" s="648"/>
      <c r="D332" s="648"/>
      <c r="E332" s="648"/>
      <c r="F332" s="648"/>
      <c r="G332" s="648"/>
      <c r="H332" s="648"/>
      <c r="I332" s="648"/>
      <c r="J332" s="648"/>
      <c r="K332" s="648"/>
      <c r="L332" s="648"/>
      <c r="M332" s="648"/>
      <c r="N332" s="648"/>
      <c r="O332" s="648"/>
      <c r="P332" s="648"/>
      <c r="Q332" s="648"/>
      <c r="R332" s="648"/>
      <c r="S332" s="648"/>
      <c r="T332" s="648"/>
      <c r="U332" s="648"/>
      <c r="V332" s="648"/>
      <c r="W332" s="648"/>
      <c r="X332" s="648"/>
      <c r="Y332" s="648"/>
      <c r="Z332" s="648"/>
      <c r="AA332" s="630"/>
      <c r="AB332" s="630"/>
      <c r="AC332" s="630"/>
    </row>
    <row r="333" spans="1:68" ht="14.25" hidden="1" customHeight="1" x14ac:dyDescent="0.25">
      <c r="A333" s="653" t="s">
        <v>71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2">
        <v>4680115886186</v>
      </c>
      <c r="E334" s="643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9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0"/>
      <c r="R334" s="650"/>
      <c r="S334" s="650"/>
      <c r="T334" s="651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552</v>
      </c>
      <c r="B335" s="54" t="s">
        <v>553</v>
      </c>
      <c r="C335" s="31">
        <v>4301051795</v>
      </c>
      <c r="D335" s="642">
        <v>4680115881228</v>
      </c>
      <c r="E335" s="643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0"/>
      <c r="R335" s="650"/>
      <c r="S335" s="650"/>
      <c r="T335" s="651"/>
      <c r="U335" s="34"/>
      <c r="V335" s="34"/>
      <c r="W335" s="35" t="s">
        <v>67</v>
      </c>
      <c r="X335" s="635">
        <v>0</v>
      </c>
      <c r="Y335" s="63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555</v>
      </c>
      <c r="B336" s="54" t="s">
        <v>556</v>
      </c>
      <c r="C336" s="31">
        <v>4301051388</v>
      </c>
      <c r="D336" s="642">
        <v>4680115881211</v>
      </c>
      <c r="E336" s="643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72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0"/>
      <c r="R336" s="650"/>
      <c r="S336" s="650"/>
      <c r="T336" s="651"/>
      <c r="U336" s="34"/>
      <c r="V336" s="34"/>
      <c r="W336" s="35" t="s">
        <v>67</v>
      </c>
      <c r="X336" s="635">
        <v>0</v>
      </c>
      <c r="Y336" s="636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6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69"/>
      <c r="P337" s="644" t="s">
        <v>69</v>
      </c>
      <c r="Q337" s="640"/>
      <c r="R337" s="640"/>
      <c r="S337" s="640"/>
      <c r="T337" s="640"/>
      <c r="U337" s="640"/>
      <c r="V337" s="641"/>
      <c r="W337" s="37" t="s">
        <v>70</v>
      </c>
      <c r="X337" s="637">
        <f>IFERROR(X334/H334,"0")+IFERROR(X335/H335,"0")+IFERROR(X336/H336,"0")</f>
        <v>0</v>
      </c>
      <c r="Y337" s="637">
        <f>IFERROR(Y334/H334,"0")+IFERROR(Y335/H335,"0")+IFERROR(Y336/H336,"0")</f>
        <v>0</v>
      </c>
      <c r="Z337" s="637">
        <f>IFERROR(IF(Z334="",0,Z334),"0")+IFERROR(IF(Z335="",0,Z335),"0")+IFERROR(IF(Z336="",0,Z336),"0")</f>
        <v>0</v>
      </c>
      <c r="AA337" s="638"/>
      <c r="AB337" s="638"/>
      <c r="AC337" s="638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69"/>
      <c r="P338" s="644" t="s">
        <v>69</v>
      </c>
      <c r="Q338" s="640"/>
      <c r="R338" s="640"/>
      <c r="S338" s="640"/>
      <c r="T338" s="640"/>
      <c r="U338" s="640"/>
      <c r="V338" s="641"/>
      <c r="W338" s="37" t="s">
        <v>67</v>
      </c>
      <c r="X338" s="637">
        <f>IFERROR(SUM(X334:X336),"0")</f>
        <v>0</v>
      </c>
      <c r="Y338" s="637">
        <f>IFERROR(SUM(Y334:Y336),"0")</f>
        <v>0</v>
      </c>
      <c r="Z338" s="37"/>
      <c r="AA338" s="638"/>
      <c r="AB338" s="638"/>
      <c r="AC338" s="638"/>
    </row>
    <row r="339" spans="1:68" ht="16.5" hidden="1" customHeight="1" x14ac:dyDescent="0.25">
      <c r="A339" s="647" t="s">
        <v>557</v>
      </c>
      <c r="B339" s="648"/>
      <c r="C339" s="648"/>
      <c r="D339" s="648"/>
      <c r="E339" s="648"/>
      <c r="F339" s="648"/>
      <c r="G339" s="648"/>
      <c r="H339" s="648"/>
      <c r="I339" s="648"/>
      <c r="J339" s="648"/>
      <c r="K339" s="648"/>
      <c r="L339" s="648"/>
      <c r="M339" s="648"/>
      <c r="N339" s="648"/>
      <c r="O339" s="648"/>
      <c r="P339" s="648"/>
      <c r="Q339" s="648"/>
      <c r="R339" s="648"/>
      <c r="S339" s="648"/>
      <c r="T339" s="648"/>
      <c r="U339" s="648"/>
      <c r="V339" s="648"/>
      <c r="W339" s="648"/>
      <c r="X339" s="648"/>
      <c r="Y339" s="648"/>
      <c r="Z339" s="648"/>
      <c r="AA339" s="630"/>
      <c r="AB339" s="630"/>
      <c r="AC339" s="630"/>
    </row>
    <row r="340" spans="1:68" ht="14.25" hidden="1" customHeight="1" x14ac:dyDescent="0.25">
      <c r="A340" s="653" t="s">
        <v>62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2">
        <v>4680115888319</v>
      </c>
      <c r="E341" s="643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73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0"/>
      <c r="R341" s="650"/>
      <c r="S341" s="650"/>
      <c r="T341" s="651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2">
        <v>4680115884700</v>
      </c>
      <c r="E342" s="643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0"/>
      <c r="R342" s="650"/>
      <c r="S342" s="650"/>
      <c r="T342" s="651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2">
        <v>4680115880344</v>
      </c>
      <c r="E343" s="643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0"/>
      <c r="R343" s="650"/>
      <c r="S343" s="650"/>
      <c r="T343" s="651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2">
        <v>4680115886919</v>
      </c>
      <c r="E344" s="643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72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0"/>
      <c r="R344" s="650"/>
      <c r="S344" s="650"/>
      <c r="T344" s="65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69"/>
      <c r="P345" s="644" t="s">
        <v>69</v>
      </c>
      <c r="Q345" s="640"/>
      <c r="R345" s="640"/>
      <c r="S345" s="640"/>
      <c r="T345" s="640"/>
      <c r="U345" s="640"/>
      <c r="V345" s="641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69"/>
      <c r="P346" s="644" t="s">
        <v>69</v>
      </c>
      <c r="Q346" s="640"/>
      <c r="R346" s="640"/>
      <c r="S346" s="640"/>
      <c r="T346" s="640"/>
      <c r="U346" s="640"/>
      <c r="V346" s="641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53" t="s">
        <v>71</v>
      </c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8"/>
      <c r="P347" s="648"/>
      <c r="Q347" s="648"/>
      <c r="R347" s="648"/>
      <c r="S347" s="648"/>
      <c r="T347" s="648"/>
      <c r="U347" s="648"/>
      <c r="V347" s="648"/>
      <c r="W347" s="648"/>
      <c r="X347" s="648"/>
      <c r="Y347" s="648"/>
      <c r="Z347" s="648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2">
        <v>4680115884618</v>
      </c>
      <c r="E348" s="643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78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0"/>
      <c r="R348" s="650"/>
      <c r="S348" s="650"/>
      <c r="T348" s="651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2">
        <v>4680115887114</v>
      </c>
      <c r="E349" s="643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7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0"/>
      <c r="R349" s="650"/>
      <c r="S349" s="650"/>
      <c r="T349" s="651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2">
        <v>4680115887466</v>
      </c>
      <c r="E350" s="643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92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0"/>
      <c r="R350" s="650"/>
      <c r="S350" s="650"/>
      <c r="T350" s="651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6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69"/>
      <c r="P351" s="644" t="s">
        <v>69</v>
      </c>
      <c r="Q351" s="640"/>
      <c r="R351" s="640"/>
      <c r="S351" s="640"/>
      <c r="T351" s="640"/>
      <c r="U351" s="640"/>
      <c r="V351" s="641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69"/>
      <c r="P352" s="644" t="s">
        <v>69</v>
      </c>
      <c r="Q352" s="640"/>
      <c r="R352" s="640"/>
      <c r="S352" s="640"/>
      <c r="T352" s="640"/>
      <c r="U352" s="640"/>
      <c r="V352" s="641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7" t="s">
        <v>579</v>
      </c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8"/>
      <c r="P353" s="648"/>
      <c r="Q353" s="648"/>
      <c r="R353" s="648"/>
      <c r="S353" s="648"/>
      <c r="T353" s="648"/>
      <c r="U353" s="648"/>
      <c r="V353" s="648"/>
      <c r="W353" s="648"/>
      <c r="X353" s="648"/>
      <c r="Y353" s="648"/>
      <c r="Z353" s="648"/>
      <c r="AA353" s="630"/>
      <c r="AB353" s="630"/>
      <c r="AC353" s="630"/>
    </row>
    <row r="354" spans="1:68" ht="14.25" hidden="1" customHeight="1" x14ac:dyDescent="0.25">
      <c r="A354" s="653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2">
        <v>4680115886001</v>
      </c>
      <c r="E355" s="643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73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0"/>
      <c r="R355" s="650"/>
      <c r="S355" s="650"/>
      <c r="T355" s="65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6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69"/>
      <c r="P356" s="644" t="s">
        <v>69</v>
      </c>
      <c r="Q356" s="640"/>
      <c r="R356" s="640"/>
      <c r="S356" s="640"/>
      <c r="T356" s="640"/>
      <c r="U356" s="640"/>
      <c r="V356" s="641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69"/>
      <c r="P357" s="644" t="s">
        <v>69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53" t="s">
        <v>71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2">
        <v>4680115886087</v>
      </c>
      <c r="E359" s="643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76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0"/>
      <c r="R359" s="650"/>
      <c r="S359" s="650"/>
      <c r="T359" s="651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6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69"/>
      <c r="P360" s="644" t="s">
        <v>69</v>
      </c>
      <c r="Q360" s="640"/>
      <c r="R360" s="640"/>
      <c r="S360" s="640"/>
      <c r="T360" s="640"/>
      <c r="U360" s="640"/>
      <c r="V360" s="641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69"/>
      <c r="P361" s="644" t="s">
        <v>69</v>
      </c>
      <c r="Q361" s="640"/>
      <c r="R361" s="640"/>
      <c r="S361" s="640"/>
      <c r="T361" s="640"/>
      <c r="U361" s="640"/>
      <c r="V361" s="641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7" t="s">
        <v>586</v>
      </c>
      <c r="B362" s="648"/>
      <c r="C362" s="648"/>
      <c r="D362" s="648"/>
      <c r="E362" s="648"/>
      <c r="F362" s="648"/>
      <c r="G362" s="648"/>
      <c r="H362" s="648"/>
      <c r="I362" s="648"/>
      <c r="J362" s="648"/>
      <c r="K362" s="648"/>
      <c r="L362" s="648"/>
      <c r="M362" s="648"/>
      <c r="N362" s="648"/>
      <c r="O362" s="648"/>
      <c r="P362" s="648"/>
      <c r="Q362" s="648"/>
      <c r="R362" s="648"/>
      <c r="S362" s="648"/>
      <c r="T362" s="648"/>
      <c r="U362" s="648"/>
      <c r="V362" s="648"/>
      <c r="W362" s="648"/>
      <c r="X362" s="648"/>
      <c r="Y362" s="648"/>
      <c r="Z362" s="648"/>
      <c r="AA362" s="630"/>
      <c r="AB362" s="630"/>
      <c r="AC362" s="630"/>
    </row>
    <row r="363" spans="1:68" ht="14.25" hidden="1" customHeight="1" x14ac:dyDescent="0.25">
      <c r="A363" s="653" t="s">
        <v>119</v>
      </c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8"/>
      <c r="P363" s="648"/>
      <c r="Q363" s="648"/>
      <c r="R363" s="648"/>
      <c r="S363" s="648"/>
      <c r="T363" s="648"/>
      <c r="U363" s="648"/>
      <c r="V363" s="648"/>
      <c r="W363" s="648"/>
      <c r="X363" s="648"/>
      <c r="Y363" s="648"/>
      <c r="Z363" s="648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2">
        <v>4680115887947</v>
      </c>
      <c r="E364" s="643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7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0"/>
      <c r="R364" s="650"/>
      <c r="S364" s="650"/>
      <c r="T364" s="651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2">
        <v>4680115887978</v>
      </c>
      <c r="E365" s="643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73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0"/>
      <c r="R365" s="650"/>
      <c r="S365" s="650"/>
      <c r="T365" s="651"/>
      <c r="U365" s="34"/>
      <c r="V365" s="34"/>
      <c r="W365" s="35" t="s">
        <v>67</v>
      </c>
      <c r="X365" s="635">
        <v>239</v>
      </c>
      <c r="Y365" s="636">
        <f>IFERROR(IF(X365="",0,CEILING((X365/$H365),1)*$H365),"")</f>
        <v>241.79999999999998</v>
      </c>
      <c r="Z365" s="36">
        <f>IFERROR(IF(Y365=0,"",ROUNDUP(Y365/H365,0)*0.01898),"")</f>
        <v>0.58838000000000001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251.56282051282056</v>
      </c>
      <c r="BN365" s="64">
        <f>IFERROR(Y365*I365/H365,"0")</f>
        <v>254.51000000000002</v>
      </c>
      <c r="BO365" s="64">
        <f>IFERROR(1/J365*(X365/H365),"0")</f>
        <v>0.47876602564102566</v>
      </c>
      <c r="BP365" s="64">
        <f>IFERROR(1/J365*(Y365/H365),"0")</f>
        <v>0.484375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2">
        <v>4680115887992</v>
      </c>
      <c r="E366" s="643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10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0"/>
      <c r="R366" s="650"/>
      <c r="S366" s="650"/>
      <c r="T366" s="651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6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69"/>
      <c r="P367" s="644" t="s">
        <v>69</v>
      </c>
      <c r="Q367" s="640"/>
      <c r="R367" s="640"/>
      <c r="S367" s="640"/>
      <c r="T367" s="640"/>
      <c r="U367" s="640"/>
      <c r="V367" s="641"/>
      <c r="W367" s="37" t="s">
        <v>70</v>
      </c>
      <c r="X367" s="637">
        <f>IFERROR(X364/H364,"0")+IFERROR(X365/H365,"0")+IFERROR(X366/H366,"0")</f>
        <v>30.641025641025642</v>
      </c>
      <c r="Y367" s="637">
        <f>IFERROR(Y364/H364,"0")+IFERROR(Y365/H365,"0")+IFERROR(Y366/H366,"0")</f>
        <v>31</v>
      </c>
      <c r="Z367" s="637">
        <f>IFERROR(IF(Z364="",0,Z364),"0")+IFERROR(IF(Z365="",0,Z365),"0")+IFERROR(IF(Z366="",0,Z366),"0")</f>
        <v>0.58838000000000001</v>
      </c>
      <c r="AA367" s="638"/>
      <c r="AB367" s="638"/>
      <c r="AC367" s="638"/>
    </row>
    <row r="368" spans="1:68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69"/>
      <c r="P368" s="644" t="s">
        <v>69</v>
      </c>
      <c r="Q368" s="640"/>
      <c r="R368" s="640"/>
      <c r="S368" s="640"/>
      <c r="T368" s="640"/>
      <c r="U368" s="640"/>
      <c r="V368" s="641"/>
      <c r="W368" s="37" t="s">
        <v>67</v>
      </c>
      <c r="X368" s="637">
        <f>IFERROR(SUM(X364:X366),"0")</f>
        <v>239</v>
      </c>
      <c r="Y368" s="637">
        <f>IFERROR(SUM(Y364:Y366),"0")</f>
        <v>241.79999999999998</v>
      </c>
      <c r="Z368" s="37"/>
      <c r="AA368" s="638"/>
      <c r="AB368" s="638"/>
      <c r="AC368" s="638"/>
    </row>
    <row r="369" spans="1:68" ht="16.5" hidden="1" customHeight="1" x14ac:dyDescent="0.25">
      <c r="A369" s="647" t="s">
        <v>595</v>
      </c>
      <c r="B369" s="648"/>
      <c r="C369" s="648"/>
      <c r="D369" s="648"/>
      <c r="E369" s="648"/>
      <c r="F369" s="648"/>
      <c r="G369" s="648"/>
      <c r="H369" s="648"/>
      <c r="I369" s="648"/>
      <c r="J369" s="648"/>
      <c r="K369" s="648"/>
      <c r="L369" s="648"/>
      <c r="M369" s="648"/>
      <c r="N369" s="648"/>
      <c r="O369" s="648"/>
      <c r="P369" s="648"/>
      <c r="Q369" s="648"/>
      <c r="R369" s="648"/>
      <c r="S369" s="648"/>
      <c r="T369" s="648"/>
      <c r="U369" s="648"/>
      <c r="V369" s="648"/>
      <c r="W369" s="648"/>
      <c r="X369" s="648"/>
      <c r="Y369" s="648"/>
      <c r="Z369" s="648"/>
      <c r="AA369" s="630"/>
      <c r="AB369" s="630"/>
      <c r="AC369" s="630"/>
    </row>
    <row r="370" spans="1:68" ht="14.25" hidden="1" customHeight="1" x14ac:dyDescent="0.25">
      <c r="A370" s="653" t="s">
        <v>119</v>
      </c>
      <c r="B370" s="648"/>
      <c r="C370" s="648"/>
      <c r="D370" s="648"/>
      <c r="E370" s="648"/>
      <c r="F370" s="648"/>
      <c r="G370" s="648"/>
      <c r="H370" s="648"/>
      <c r="I370" s="648"/>
      <c r="J370" s="648"/>
      <c r="K370" s="648"/>
      <c r="L370" s="648"/>
      <c r="M370" s="648"/>
      <c r="N370" s="648"/>
      <c r="O370" s="648"/>
      <c r="P370" s="648"/>
      <c r="Q370" s="648"/>
      <c r="R370" s="648"/>
      <c r="S370" s="648"/>
      <c r="T370" s="648"/>
      <c r="U370" s="648"/>
      <c r="V370" s="648"/>
      <c r="W370" s="648"/>
      <c r="X370" s="648"/>
      <c r="Y370" s="648"/>
      <c r="Z370" s="648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2">
        <v>4680115889293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88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0"/>
      <c r="R371" s="650"/>
      <c r="S371" s="650"/>
      <c r="T371" s="651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2">
        <v>4680115887190</v>
      </c>
      <c r="E372" s="643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0"/>
      <c r="R372" s="650"/>
      <c r="S372" s="650"/>
      <c r="T372" s="651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2">
        <v>4680115889880</v>
      </c>
      <c r="E373" s="643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661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0"/>
      <c r="R373" s="650"/>
      <c r="S373" s="650"/>
      <c r="T373" s="651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2">
        <v>4680115887138</v>
      </c>
      <c r="E374" s="643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0"/>
      <c r="R374" s="650"/>
      <c r="S374" s="650"/>
      <c r="T374" s="651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2">
        <v>4680115885554</v>
      </c>
      <c r="E375" s="643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0"/>
      <c r="R375" s="650"/>
      <c r="S375" s="650"/>
      <c r="T375" s="651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2">
        <v>4680115887220</v>
      </c>
      <c r="E376" s="643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91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0"/>
      <c r="R376" s="650"/>
      <c r="S376" s="650"/>
      <c r="T376" s="651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2">
        <v>4680115885608</v>
      </c>
      <c r="E377" s="643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1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0"/>
      <c r="R377" s="650"/>
      <c r="S377" s="650"/>
      <c r="T377" s="651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6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69"/>
      <c r="P378" s="644" t="s">
        <v>69</v>
      </c>
      <c r="Q378" s="640"/>
      <c r="R378" s="640"/>
      <c r="S378" s="640"/>
      <c r="T378" s="640"/>
      <c r="U378" s="640"/>
      <c r="V378" s="641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69"/>
      <c r="P379" s="644" t="s">
        <v>69</v>
      </c>
      <c r="Q379" s="640"/>
      <c r="R379" s="640"/>
      <c r="S379" s="640"/>
      <c r="T379" s="640"/>
      <c r="U379" s="640"/>
      <c r="V379" s="641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53" t="s">
        <v>62</v>
      </c>
      <c r="B380" s="648"/>
      <c r="C380" s="648"/>
      <c r="D380" s="648"/>
      <c r="E380" s="648"/>
      <c r="F380" s="648"/>
      <c r="G380" s="648"/>
      <c r="H380" s="648"/>
      <c r="I380" s="648"/>
      <c r="J380" s="648"/>
      <c r="K380" s="648"/>
      <c r="L380" s="648"/>
      <c r="M380" s="648"/>
      <c r="N380" s="648"/>
      <c r="O380" s="648"/>
      <c r="P380" s="648"/>
      <c r="Q380" s="648"/>
      <c r="R380" s="648"/>
      <c r="S380" s="648"/>
      <c r="T380" s="648"/>
      <c r="U380" s="648"/>
      <c r="V380" s="648"/>
      <c r="W380" s="648"/>
      <c r="X380" s="648"/>
      <c r="Y380" s="648"/>
      <c r="Z380" s="648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2">
        <v>4607091387193</v>
      </c>
      <c r="E381" s="643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0"/>
      <c r="R381" s="650"/>
      <c r="S381" s="650"/>
      <c r="T381" s="651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2">
        <v>4607091387230</v>
      </c>
      <c r="E382" s="643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0"/>
      <c r="R382" s="650"/>
      <c r="S382" s="650"/>
      <c r="T382" s="651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2">
        <v>4607091387292</v>
      </c>
      <c r="E383" s="643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0"/>
      <c r="R383" s="650"/>
      <c r="S383" s="650"/>
      <c r="T383" s="651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2">
        <v>4607091387285</v>
      </c>
      <c r="E384" s="643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99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0"/>
      <c r="R384" s="650"/>
      <c r="S384" s="650"/>
      <c r="T384" s="651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2">
        <v>4607091389845</v>
      </c>
      <c r="E385" s="643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6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0"/>
      <c r="R385" s="650"/>
      <c r="S385" s="650"/>
      <c r="T385" s="651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2">
        <v>4680115887442</v>
      </c>
      <c r="E386" s="643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98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0"/>
      <c r="R386" s="650"/>
      <c r="S386" s="650"/>
      <c r="T386" s="651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42">
        <v>4607091383836</v>
      </c>
      <c r="E387" s="643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0"/>
      <c r="R387" s="650"/>
      <c r="S387" s="650"/>
      <c r="T387" s="651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6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69"/>
      <c r="P388" s="644" t="s">
        <v>69</v>
      </c>
      <c r="Q388" s="640"/>
      <c r="R388" s="640"/>
      <c r="S388" s="640"/>
      <c r="T388" s="640"/>
      <c r="U388" s="640"/>
      <c r="V388" s="641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69"/>
      <c r="P389" s="644" t="s">
        <v>69</v>
      </c>
      <c r="Q389" s="640"/>
      <c r="R389" s="640"/>
      <c r="S389" s="640"/>
      <c r="T389" s="640"/>
      <c r="U389" s="640"/>
      <c r="V389" s="641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53" t="s">
        <v>71</v>
      </c>
      <c r="B390" s="648"/>
      <c r="C390" s="648"/>
      <c r="D390" s="648"/>
      <c r="E390" s="648"/>
      <c r="F390" s="648"/>
      <c r="G390" s="648"/>
      <c r="H390" s="648"/>
      <c r="I390" s="648"/>
      <c r="J390" s="648"/>
      <c r="K390" s="648"/>
      <c r="L390" s="648"/>
      <c r="M390" s="648"/>
      <c r="N390" s="648"/>
      <c r="O390" s="648"/>
      <c r="P390" s="648"/>
      <c r="Q390" s="648"/>
      <c r="R390" s="648"/>
      <c r="S390" s="648"/>
      <c r="T390" s="648"/>
      <c r="U390" s="648"/>
      <c r="V390" s="648"/>
      <c r="W390" s="648"/>
      <c r="X390" s="648"/>
      <c r="Y390" s="648"/>
      <c r="Z390" s="648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2">
        <v>4607091387766</v>
      </c>
      <c r="E391" s="643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9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0"/>
      <c r="R391" s="650"/>
      <c r="S391" s="650"/>
      <c r="T391" s="651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2">
        <v>4607091387957</v>
      </c>
      <c r="E392" s="643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0"/>
      <c r="R392" s="650"/>
      <c r="S392" s="650"/>
      <c r="T392" s="651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2">
        <v>4607091387964</v>
      </c>
      <c r="E393" s="643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0"/>
      <c r="R393" s="650"/>
      <c r="S393" s="650"/>
      <c r="T393" s="651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2">
        <v>4680115884588</v>
      </c>
      <c r="E394" s="643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9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0"/>
      <c r="R394" s="650"/>
      <c r="S394" s="650"/>
      <c r="T394" s="65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6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69"/>
      <c r="P395" s="644" t="s">
        <v>69</v>
      </c>
      <c r="Q395" s="640"/>
      <c r="R395" s="640"/>
      <c r="S395" s="640"/>
      <c r="T395" s="640"/>
      <c r="U395" s="640"/>
      <c r="V395" s="641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69"/>
      <c r="P396" s="644" t="s">
        <v>69</v>
      </c>
      <c r="Q396" s="640"/>
      <c r="R396" s="640"/>
      <c r="S396" s="640"/>
      <c r="T396" s="640"/>
      <c r="U396" s="640"/>
      <c r="V396" s="641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53" t="s">
        <v>173</v>
      </c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8"/>
      <c r="P397" s="648"/>
      <c r="Q397" s="648"/>
      <c r="R397" s="648"/>
      <c r="S397" s="648"/>
      <c r="T397" s="648"/>
      <c r="U397" s="648"/>
      <c r="V397" s="648"/>
      <c r="W397" s="648"/>
      <c r="X397" s="648"/>
      <c r="Y397" s="648"/>
      <c r="Z397" s="648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42">
        <v>4607091380880</v>
      </c>
      <c r="E398" s="643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0"/>
      <c r="R398" s="650"/>
      <c r="S398" s="650"/>
      <c r="T398" s="651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42">
        <v>4607091384482</v>
      </c>
      <c r="E399" s="643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74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0"/>
      <c r="R399" s="650"/>
      <c r="S399" s="650"/>
      <c r="T399" s="651"/>
      <c r="U399" s="34"/>
      <c r="V399" s="34"/>
      <c r="W399" s="35" t="s">
        <v>67</v>
      </c>
      <c r="X399" s="635">
        <v>212</v>
      </c>
      <c r="Y399" s="636">
        <f>IFERROR(IF(X399="",0,CEILING((X399/$H399),1)*$H399),"")</f>
        <v>218.4</v>
      </c>
      <c r="Z399" s="36">
        <f>IFERROR(IF(Y399=0,"",ROUNDUP(Y399/H399,0)*0.01898),"")</f>
        <v>0.53144000000000002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225.4266666666667</v>
      </c>
      <c r="BN399" s="64">
        <f>IFERROR(Y399*I399/H399,"0")</f>
        <v>232.23200000000003</v>
      </c>
      <c r="BO399" s="64">
        <f>IFERROR(1/J399*(X399/H399),"0")</f>
        <v>0.42467948717948717</v>
      </c>
      <c r="BP399" s="64">
        <f>IFERROR(1/J399*(Y399/H399),"0")</f>
        <v>0.4375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2">
        <v>4607091380897</v>
      </c>
      <c r="E400" s="643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9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0"/>
      <c r="R400" s="650"/>
      <c r="S400" s="650"/>
      <c r="T400" s="65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6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69"/>
      <c r="P401" s="644" t="s">
        <v>69</v>
      </c>
      <c r="Q401" s="640"/>
      <c r="R401" s="640"/>
      <c r="S401" s="640"/>
      <c r="T401" s="640"/>
      <c r="U401" s="640"/>
      <c r="V401" s="641"/>
      <c r="W401" s="37" t="s">
        <v>70</v>
      </c>
      <c r="X401" s="637">
        <f>IFERROR(X398/H398,"0")+IFERROR(X399/H399,"0")+IFERROR(X400/H400,"0")</f>
        <v>27.179487179487179</v>
      </c>
      <c r="Y401" s="637">
        <f>IFERROR(Y398/H398,"0")+IFERROR(Y399/H399,"0")+IFERROR(Y400/H400,"0")</f>
        <v>28</v>
      </c>
      <c r="Z401" s="637">
        <f>IFERROR(IF(Z398="",0,Z398),"0")+IFERROR(IF(Z399="",0,Z399),"0")+IFERROR(IF(Z400="",0,Z400),"0")</f>
        <v>0.53144000000000002</v>
      </c>
      <c r="AA401" s="638"/>
      <c r="AB401" s="638"/>
      <c r="AC401" s="638"/>
    </row>
    <row r="402" spans="1:68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69"/>
      <c r="P402" s="644" t="s">
        <v>69</v>
      </c>
      <c r="Q402" s="640"/>
      <c r="R402" s="640"/>
      <c r="S402" s="640"/>
      <c r="T402" s="640"/>
      <c r="U402" s="640"/>
      <c r="V402" s="641"/>
      <c r="W402" s="37" t="s">
        <v>67</v>
      </c>
      <c r="X402" s="637">
        <f>IFERROR(SUM(X398:X400),"0")</f>
        <v>212</v>
      </c>
      <c r="Y402" s="637">
        <f>IFERROR(SUM(Y398:Y400),"0")</f>
        <v>218.4</v>
      </c>
      <c r="Z402" s="37"/>
      <c r="AA402" s="638"/>
      <c r="AB402" s="638"/>
      <c r="AC402" s="638"/>
    </row>
    <row r="403" spans="1:68" ht="14.25" hidden="1" customHeight="1" x14ac:dyDescent="0.25">
      <c r="A403" s="653" t="s">
        <v>89</v>
      </c>
      <c r="B403" s="648"/>
      <c r="C403" s="648"/>
      <c r="D403" s="648"/>
      <c r="E403" s="648"/>
      <c r="F403" s="648"/>
      <c r="G403" s="648"/>
      <c r="H403" s="648"/>
      <c r="I403" s="648"/>
      <c r="J403" s="648"/>
      <c r="K403" s="648"/>
      <c r="L403" s="648"/>
      <c r="M403" s="648"/>
      <c r="N403" s="648"/>
      <c r="O403" s="648"/>
      <c r="P403" s="648"/>
      <c r="Q403" s="648"/>
      <c r="R403" s="648"/>
      <c r="S403" s="648"/>
      <c r="T403" s="648"/>
      <c r="U403" s="648"/>
      <c r="V403" s="648"/>
      <c r="W403" s="648"/>
      <c r="X403" s="648"/>
      <c r="Y403" s="648"/>
      <c r="Z403" s="648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2">
        <v>4607091388381</v>
      </c>
      <c r="E404" s="643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9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0"/>
      <c r="R404" s="650"/>
      <c r="S404" s="650"/>
      <c r="T404" s="651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2">
        <v>4607091388374</v>
      </c>
      <c r="E405" s="643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9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0"/>
      <c r="R405" s="650"/>
      <c r="S405" s="650"/>
      <c r="T405" s="651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2">
        <v>4607091383102</v>
      </c>
      <c r="E406" s="643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88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0"/>
      <c r="R406" s="650"/>
      <c r="S406" s="650"/>
      <c r="T406" s="651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661</v>
      </c>
      <c r="B407" s="54" t="s">
        <v>662</v>
      </c>
      <c r="C407" s="31">
        <v>4301030233</v>
      </c>
      <c r="D407" s="642">
        <v>4607091388404</v>
      </c>
      <c r="E407" s="643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9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0"/>
      <c r="R407" s="650"/>
      <c r="S407" s="650"/>
      <c r="T407" s="651"/>
      <c r="U407" s="34"/>
      <c r="V407" s="34"/>
      <c r="W407" s="35" t="s">
        <v>67</v>
      </c>
      <c r="X407" s="635">
        <v>22</v>
      </c>
      <c r="Y407" s="636">
        <f>IFERROR(IF(X407="",0,CEILING((X407/$H407),1)*$H407),"")</f>
        <v>22.95</v>
      </c>
      <c r="Z407" s="36">
        <f>IFERROR(IF(Y407=0,"",ROUNDUP(Y407/H407,0)*0.00651),"")</f>
        <v>5.8590000000000003E-2</v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24.847058823529412</v>
      </c>
      <c r="BN407" s="64">
        <f>IFERROR(Y407*I407/H407,"0")</f>
        <v>25.919999999999998</v>
      </c>
      <c r="BO407" s="64">
        <f>IFERROR(1/J407*(X407/H407),"0")</f>
        <v>4.7403576815341533E-2</v>
      </c>
      <c r="BP407" s="64">
        <f>IFERROR(1/J407*(Y407/H407),"0")</f>
        <v>4.9450549450549455E-2</v>
      </c>
    </row>
    <row r="408" spans="1:68" x14ac:dyDescent="0.2">
      <c r="A408" s="66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69"/>
      <c r="P408" s="644" t="s">
        <v>69</v>
      </c>
      <c r="Q408" s="640"/>
      <c r="R408" s="640"/>
      <c r="S408" s="640"/>
      <c r="T408" s="640"/>
      <c r="U408" s="640"/>
      <c r="V408" s="641"/>
      <c r="W408" s="37" t="s">
        <v>70</v>
      </c>
      <c r="X408" s="637">
        <f>IFERROR(X404/H404,"0")+IFERROR(X405/H405,"0")+IFERROR(X406/H406,"0")+IFERROR(X407/H407,"0")</f>
        <v>8.6274509803921582</v>
      </c>
      <c r="Y408" s="637">
        <f>IFERROR(Y404/H404,"0")+IFERROR(Y405/H405,"0")+IFERROR(Y406/H406,"0")+IFERROR(Y407/H407,"0")</f>
        <v>9</v>
      </c>
      <c r="Z408" s="637">
        <f>IFERROR(IF(Z404="",0,Z404),"0")+IFERROR(IF(Z405="",0,Z405),"0")+IFERROR(IF(Z406="",0,Z406),"0")+IFERROR(IF(Z407="",0,Z407),"0")</f>
        <v>5.8590000000000003E-2</v>
      </c>
      <c r="AA408" s="638"/>
      <c r="AB408" s="638"/>
      <c r="AC408" s="638"/>
    </row>
    <row r="409" spans="1:68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69"/>
      <c r="P409" s="644" t="s">
        <v>69</v>
      </c>
      <c r="Q409" s="640"/>
      <c r="R409" s="640"/>
      <c r="S409" s="640"/>
      <c r="T409" s="640"/>
      <c r="U409" s="640"/>
      <c r="V409" s="641"/>
      <c r="W409" s="37" t="s">
        <v>67</v>
      </c>
      <c r="X409" s="637">
        <f>IFERROR(SUM(X404:X407),"0")</f>
        <v>22</v>
      </c>
      <c r="Y409" s="637">
        <f>IFERROR(SUM(Y404:Y407),"0")</f>
        <v>22.95</v>
      </c>
      <c r="Z409" s="37"/>
      <c r="AA409" s="638"/>
      <c r="AB409" s="638"/>
      <c r="AC409" s="638"/>
    </row>
    <row r="410" spans="1:68" ht="14.25" hidden="1" customHeight="1" x14ac:dyDescent="0.25">
      <c r="A410" s="653" t="s">
        <v>663</v>
      </c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8"/>
      <c r="P410" s="648"/>
      <c r="Q410" s="648"/>
      <c r="R410" s="648"/>
      <c r="S410" s="648"/>
      <c r="T410" s="648"/>
      <c r="U410" s="648"/>
      <c r="V410" s="648"/>
      <c r="W410" s="648"/>
      <c r="X410" s="648"/>
      <c r="Y410" s="648"/>
      <c r="Z410" s="648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2">
        <v>4680115881808</v>
      </c>
      <c r="E411" s="643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8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0"/>
      <c r="R411" s="650"/>
      <c r="S411" s="650"/>
      <c r="T411" s="651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2">
        <v>4680115881822</v>
      </c>
      <c r="E412" s="643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0"/>
      <c r="R412" s="650"/>
      <c r="S412" s="650"/>
      <c r="T412" s="651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2">
        <v>4680115880016</v>
      </c>
      <c r="E413" s="643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97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0"/>
      <c r="R413" s="650"/>
      <c r="S413" s="650"/>
      <c r="T413" s="65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69"/>
      <c r="P414" s="644" t="s">
        <v>69</v>
      </c>
      <c r="Q414" s="640"/>
      <c r="R414" s="640"/>
      <c r="S414" s="640"/>
      <c r="T414" s="640"/>
      <c r="U414" s="640"/>
      <c r="V414" s="641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69"/>
      <c r="P415" s="644" t="s">
        <v>69</v>
      </c>
      <c r="Q415" s="640"/>
      <c r="R415" s="640"/>
      <c r="S415" s="640"/>
      <c r="T415" s="640"/>
      <c r="U415" s="640"/>
      <c r="V415" s="641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53" t="s">
        <v>672</v>
      </c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8"/>
      <c r="P416" s="648"/>
      <c r="Q416" s="648"/>
      <c r="R416" s="648"/>
      <c r="S416" s="648"/>
      <c r="T416" s="648"/>
      <c r="U416" s="648"/>
      <c r="V416" s="648"/>
      <c r="W416" s="648"/>
      <c r="X416" s="648"/>
      <c r="Y416" s="648"/>
      <c r="Z416" s="648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2">
        <v>4680115888678</v>
      </c>
      <c r="E417" s="643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0"/>
      <c r="R417" s="650"/>
      <c r="S417" s="650"/>
      <c r="T417" s="651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2">
        <v>4680115888654</v>
      </c>
      <c r="E418" s="643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71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0"/>
      <c r="R418" s="650"/>
      <c r="S418" s="650"/>
      <c r="T418" s="651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2">
        <v>4680115888753</v>
      </c>
      <c r="E419" s="643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0"/>
      <c r="R419" s="650"/>
      <c r="S419" s="650"/>
      <c r="T419" s="651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6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69"/>
      <c r="P420" s="644" t="s">
        <v>69</v>
      </c>
      <c r="Q420" s="640"/>
      <c r="R420" s="640"/>
      <c r="S420" s="640"/>
      <c r="T420" s="640"/>
      <c r="U420" s="640"/>
      <c r="V420" s="641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69"/>
      <c r="P421" s="644" t="s">
        <v>69</v>
      </c>
      <c r="Q421" s="640"/>
      <c r="R421" s="640"/>
      <c r="S421" s="640"/>
      <c r="T421" s="640"/>
      <c r="U421" s="640"/>
      <c r="V421" s="641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7" t="s">
        <v>681</v>
      </c>
      <c r="B422" s="648"/>
      <c r="C422" s="648"/>
      <c r="D422" s="648"/>
      <c r="E422" s="648"/>
      <c r="F422" s="648"/>
      <c r="G422" s="648"/>
      <c r="H422" s="648"/>
      <c r="I422" s="648"/>
      <c r="J422" s="648"/>
      <c r="K422" s="648"/>
      <c r="L422" s="648"/>
      <c r="M422" s="648"/>
      <c r="N422" s="648"/>
      <c r="O422" s="648"/>
      <c r="P422" s="648"/>
      <c r="Q422" s="648"/>
      <c r="R422" s="648"/>
      <c r="S422" s="648"/>
      <c r="T422" s="648"/>
      <c r="U422" s="648"/>
      <c r="V422" s="648"/>
      <c r="W422" s="648"/>
      <c r="X422" s="648"/>
      <c r="Y422" s="648"/>
      <c r="Z422" s="648"/>
      <c r="AA422" s="630"/>
      <c r="AB422" s="630"/>
      <c r="AC422" s="630"/>
    </row>
    <row r="423" spans="1:68" ht="14.25" hidden="1" customHeight="1" x14ac:dyDescent="0.25">
      <c r="A423" s="653" t="s">
        <v>71</v>
      </c>
      <c r="B423" s="648"/>
      <c r="C423" s="648"/>
      <c r="D423" s="648"/>
      <c r="E423" s="648"/>
      <c r="F423" s="648"/>
      <c r="G423" s="648"/>
      <c r="H423" s="648"/>
      <c r="I423" s="648"/>
      <c r="J423" s="648"/>
      <c r="K423" s="648"/>
      <c r="L423" s="648"/>
      <c r="M423" s="648"/>
      <c r="N423" s="648"/>
      <c r="O423" s="648"/>
      <c r="P423" s="648"/>
      <c r="Q423" s="648"/>
      <c r="R423" s="648"/>
      <c r="S423" s="648"/>
      <c r="T423" s="648"/>
      <c r="U423" s="648"/>
      <c r="V423" s="648"/>
      <c r="W423" s="648"/>
      <c r="X423" s="648"/>
      <c r="Y423" s="648"/>
      <c r="Z423" s="648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2">
        <v>4660663720026</v>
      </c>
      <c r="E424" s="643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6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0"/>
      <c r="R424" s="650"/>
      <c r="S424" s="650"/>
      <c r="T424" s="651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2">
        <v>4680115889422</v>
      </c>
      <c r="E425" s="643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5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0"/>
      <c r="R425" s="650"/>
      <c r="S425" s="650"/>
      <c r="T425" s="651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2">
        <v>4680115889972</v>
      </c>
      <c r="E426" s="643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936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0"/>
      <c r="R426" s="650"/>
      <c r="S426" s="650"/>
      <c r="T426" s="651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6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69"/>
      <c r="P427" s="644" t="s">
        <v>69</v>
      </c>
      <c r="Q427" s="640"/>
      <c r="R427" s="640"/>
      <c r="S427" s="640"/>
      <c r="T427" s="640"/>
      <c r="U427" s="640"/>
      <c r="V427" s="641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69"/>
      <c r="P428" s="644" t="s">
        <v>69</v>
      </c>
      <c r="Q428" s="640"/>
      <c r="R428" s="640"/>
      <c r="S428" s="640"/>
      <c r="T428" s="640"/>
      <c r="U428" s="640"/>
      <c r="V428" s="641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7" t="s">
        <v>690</v>
      </c>
      <c r="B429" s="648"/>
      <c r="C429" s="648"/>
      <c r="D429" s="648"/>
      <c r="E429" s="648"/>
      <c r="F429" s="648"/>
      <c r="G429" s="648"/>
      <c r="H429" s="648"/>
      <c r="I429" s="648"/>
      <c r="J429" s="648"/>
      <c r="K429" s="648"/>
      <c r="L429" s="648"/>
      <c r="M429" s="648"/>
      <c r="N429" s="648"/>
      <c r="O429" s="648"/>
      <c r="P429" s="648"/>
      <c r="Q429" s="648"/>
      <c r="R429" s="648"/>
      <c r="S429" s="648"/>
      <c r="T429" s="648"/>
      <c r="U429" s="648"/>
      <c r="V429" s="648"/>
      <c r="W429" s="648"/>
      <c r="X429" s="648"/>
      <c r="Y429" s="648"/>
      <c r="Z429" s="648"/>
      <c r="AA429" s="630"/>
      <c r="AB429" s="630"/>
      <c r="AC429" s="630"/>
    </row>
    <row r="430" spans="1:68" ht="14.25" hidden="1" customHeight="1" x14ac:dyDescent="0.25">
      <c r="A430" s="653" t="s">
        <v>71</v>
      </c>
      <c r="B430" s="648"/>
      <c r="C430" s="648"/>
      <c r="D430" s="648"/>
      <c r="E430" s="648"/>
      <c r="F430" s="648"/>
      <c r="G430" s="648"/>
      <c r="H430" s="648"/>
      <c r="I430" s="648"/>
      <c r="J430" s="648"/>
      <c r="K430" s="648"/>
      <c r="L430" s="648"/>
      <c r="M430" s="648"/>
      <c r="N430" s="648"/>
      <c r="O430" s="648"/>
      <c r="P430" s="648"/>
      <c r="Q430" s="648"/>
      <c r="R430" s="648"/>
      <c r="S430" s="648"/>
      <c r="T430" s="648"/>
      <c r="U430" s="648"/>
      <c r="V430" s="648"/>
      <c r="W430" s="648"/>
      <c r="X430" s="648"/>
      <c r="Y430" s="648"/>
      <c r="Z430" s="648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2">
        <v>4607091387919</v>
      </c>
      <c r="E431" s="643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8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0"/>
      <c r="R431" s="650"/>
      <c r="S431" s="650"/>
      <c r="T431" s="651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customHeight="1" x14ac:dyDescent="0.25">
      <c r="A432" s="54" t="s">
        <v>694</v>
      </c>
      <c r="B432" s="54" t="s">
        <v>695</v>
      </c>
      <c r="C432" s="31">
        <v>4301051461</v>
      </c>
      <c r="D432" s="642">
        <v>4680115883604</v>
      </c>
      <c r="E432" s="643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98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0"/>
      <c r="R432" s="650"/>
      <c r="S432" s="650"/>
      <c r="T432" s="651"/>
      <c r="U432" s="34"/>
      <c r="V432" s="34"/>
      <c r="W432" s="35" t="s">
        <v>67</v>
      </c>
      <c r="X432" s="635">
        <v>44</v>
      </c>
      <c r="Y432" s="636">
        <f>IFERROR(IF(X432="",0,CEILING((X432/$H432),1)*$H432),"")</f>
        <v>44.1</v>
      </c>
      <c r="Z432" s="36">
        <f>IFERROR(IF(Y432=0,"",ROUNDUP(Y432/H432,0)*0.00651),"")</f>
        <v>0.13671</v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49.28</v>
      </c>
      <c r="BN432" s="64">
        <f>IFERROR(Y432*I432/H432,"0")</f>
        <v>49.391999999999996</v>
      </c>
      <c r="BO432" s="64">
        <f>IFERROR(1/J432*(X432/H432),"0")</f>
        <v>0.11512297226582942</v>
      </c>
      <c r="BP432" s="64">
        <f>IFERROR(1/J432*(Y432/H432),"0")</f>
        <v>0.11538461538461539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2">
        <v>4680115883567</v>
      </c>
      <c r="E433" s="643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68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0"/>
      <c r="R433" s="650"/>
      <c r="S433" s="650"/>
      <c r="T433" s="651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6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69"/>
      <c r="P434" s="644" t="s">
        <v>69</v>
      </c>
      <c r="Q434" s="640"/>
      <c r="R434" s="640"/>
      <c r="S434" s="640"/>
      <c r="T434" s="640"/>
      <c r="U434" s="640"/>
      <c r="V434" s="641"/>
      <c r="W434" s="37" t="s">
        <v>70</v>
      </c>
      <c r="X434" s="637">
        <f>IFERROR(X431/H431,"0")+IFERROR(X432/H432,"0")+IFERROR(X433/H433,"0")</f>
        <v>20.952380952380953</v>
      </c>
      <c r="Y434" s="637">
        <f>IFERROR(Y431/H431,"0")+IFERROR(Y432/H432,"0")+IFERROR(Y433/H433,"0")</f>
        <v>21</v>
      </c>
      <c r="Z434" s="637">
        <f>IFERROR(IF(Z431="",0,Z431),"0")+IFERROR(IF(Z432="",0,Z432),"0")+IFERROR(IF(Z433="",0,Z433),"0")</f>
        <v>0.13671</v>
      </c>
      <c r="AA434" s="638"/>
      <c r="AB434" s="638"/>
      <c r="AC434" s="638"/>
    </row>
    <row r="435" spans="1:68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69"/>
      <c r="P435" s="644" t="s">
        <v>69</v>
      </c>
      <c r="Q435" s="640"/>
      <c r="R435" s="640"/>
      <c r="S435" s="640"/>
      <c r="T435" s="640"/>
      <c r="U435" s="640"/>
      <c r="V435" s="641"/>
      <c r="W435" s="37" t="s">
        <v>67</v>
      </c>
      <c r="X435" s="637">
        <f>IFERROR(SUM(X431:X433),"0")</f>
        <v>44</v>
      </c>
      <c r="Y435" s="637">
        <f>IFERROR(SUM(Y431:Y433),"0")</f>
        <v>44.1</v>
      </c>
      <c r="Z435" s="37"/>
      <c r="AA435" s="638"/>
      <c r="AB435" s="638"/>
      <c r="AC435" s="638"/>
    </row>
    <row r="436" spans="1:68" ht="27.75" hidden="1" customHeight="1" x14ac:dyDescent="0.2">
      <c r="A436" s="727" t="s">
        <v>700</v>
      </c>
      <c r="B436" s="728"/>
      <c r="C436" s="728"/>
      <c r="D436" s="728"/>
      <c r="E436" s="728"/>
      <c r="F436" s="728"/>
      <c r="G436" s="728"/>
      <c r="H436" s="728"/>
      <c r="I436" s="728"/>
      <c r="J436" s="728"/>
      <c r="K436" s="728"/>
      <c r="L436" s="728"/>
      <c r="M436" s="728"/>
      <c r="N436" s="728"/>
      <c r="O436" s="728"/>
      <c r="P436" s="728"/>
      <c r="Q436" s="728"/>
      <c r="R436" s="728"/>
      <c r="S436" s="728"/>
      <c r="T436" s="728"/>
      <c r="U436" s="728"/>
      <c r="V436" s="728"/>
      <c r="W436" s="728"/>
      <c r="X436" s="728"/>
      <c r="Y436" s="728"/>
      <c r="Z436" s="728"/>
      <c r="AA436" s="48"/>
      <c r="AB436" s="48"/>
      <c r="AC436" s="48"/>
    </row>
    <row r="437" spans="1:68" ht="16.5" hidden="1" customHeight="1" x14ac:dyDescent="0.25">
      <c r="A437" s="647" t="s">
        <v>701</v>
      </c>
      <c r="B437" s="648"/>
      <c r="C437" s="648"/>
      <c r="D437" s="648"/>
      <c r="E437" s="648"/>
      <c r="F437" s="648"/>
      <c r="G437" s="648"/>
      <c r="H437" s="648"/>
      <c r="I437" s="648"/>
      <c r="J437" s="648"/>
      <c r="K437" s="648"/>
      <c r="L437" s="648"/>
      <c r="M437" s="648"/>
      <c r="N437" s="648"/>
      <c r="O437" s="648"/>
      <c r="P437" s="648"/>
      <c r="Q437" s="648"/>
      <c r="R437" s="648"/>
      <c r="S437" s="648"/>
      <c r="T437" s="648"/>
      <c r="U437" s="648"/>
      <c r="V437" s="648"/>
      <c r="W437" s="648"/>
      <c r="X437" s="648"/>
      <c r="Y437" s="648"/>
      <c r="Z437" s="648"/>
      <c r="AA437" s="630"/>
      <c r="AB437" s="630"/>
      <c r="AC437" s="630"/>
    </row>
    <row r="438" spans="1:68" ht="14.25" hidden="1" customHeight="1" x14ac:dyDescent="0.25">
      <c r="A438" s="653" t="s">
        <v>119</v>
      </c>
      <c r="B438" s="648"/>
      <c r="C438" s="648"/>
      <c r="D438" s="648"/>
      <c r="E438" s="648"/>
      <c r="F438" s="648"/>
      <c r="G438" s="648"/>
      <c r="H438" s="648"/>
      <c r="I438" s="648"/>
      <c r="J438" s="648"/>
      <c r="K438" s="648"/>
      <c r="L438" s="648"/>
      <c r="M438" s="648"/>
      <c r="N438" s="648"/>
      <c r="O438" s="648"/>
      <c r="P438" s="648"/>
      <c r="Q438" s="648"/>
      <c r="R438" s="648"/>
      <c r="S438" s="648"/>
      <c r="T438" s="648"/>
      <c r="U438" s="648"/>
      <c r="V438" s="648"/>
      <c r="W438" s="648"/>
      <c r="X438" s="648"/>
      <c r="Y438" s="648"/>
      <c r="Z438" s="648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42">
        <v>4680115888401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6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0"/>
      <c r="R439" s="650"/>
      <c r="S439" s="650"/>
      <c r="T439" s="651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hidden="1" customHeight="1" x14ac:dyDescent="0.25">
      <c r="A440" s="54" t="s">
        <v>705</v>
      </c>
      <c r="B440" s="54" t="s">
        <v>706</v>
      </c>
      <c r="C440" s="31">
        <v>4301011869</v>
      </c>
      <c r="D440" s="642">
        <v>4680115884847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0"/>
      <c r="R440" s="650"/>
      <c r="S440" s="650"/>
      <c r="T440" s="651"/>
      <c r="U440" s="34"/>
      <c r="V440" s="34"/>
      <c r="W440" s="35" t="s">
        <v>67</v>
      </c>
      <c r="X440" s="635">
        <v>0</v>
      </c>
      <c r="Y440" s="636">
        <f t="shared" si="61"/>
        <v>0</v>
      </c>
      <c r="Z440" s="36" t="str">
        <f>IFERROR(IF(Y440=0,"",ROUNDUP(Y440/H440,0)*0.02175),"")</f>
        <v/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0</v>
      </c>
      <c r="BN440" s="64">
        <f t="shared" si="63"/>
        <v>0</v>
      </c>
      <c r="BO440" s="64">
        <f t="shared" si="64"/>
        <v>0</v>
      </c>
      <c r="BP440" s="64">
        <f t="shared" si="65"/>
        <v>0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2">
        <v>4680115884854</v>
      </c>
      <c r="E441" s="643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1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0"/>
      <c r="R441" s="650"/>
      <c r="S441" s="650"/>
      <c r="T441" s="651"/>
      <c r="U441" s="34"/>
      <c r="V441" s="34"/>
      <c r="W441" s="35" t="s">
        <v>67</v>
      </c>
      <c r="X441" s="635">
        <v>68</v>
      </c>
      <c r="Y441" s="636">
        <f t="shared" si="61"/>
        <v>75</v>
      </c>
      <c r="Z441" s="36">
        <f>IFERROR(IF(Y441=0,"",ROUNDUP(Y441/H441,0)*0.02175),"")</f>
        <v>0.10874999999999999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70.13066666666667</v>
      </c>
      <c r="BN441" s="64">
        <f t="shared" si="63"/>
        <v>77.349999999999994</v>
      </c>
      <c r="BO441" s="64">
        <f t="shared" si="64"/>
        <v>9.4444444444444442E-2</v>
      </c>
      <c r="BP441" s="64">
        <f t="shared" si="65"/>
        <v>0.10416666666666666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42">
        <v>4680115884830</v>
      </c>
      <c r="E442" s="643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8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0"/>
      <c r="R442" s="650"/>
      <c r="S442" s="650"/>
      <c r="T442" s="651"/>
      <c r="U442" s="34"/>
      <c r="V442" s="34"/>
      <c r="W442" s="35" t="s">
        <v>67</v>
      </c>
      <c r="X442" s="635">
        <v>423</v>
      </c>
      <c r="Y442" s="636">
        <f t="shared" si="61"/>
        <v>435</v>
      </c>
      <c r="Z442" s="36">
        <f>IFERROR(IF(Y442=0,"",ROUNDUP(Y442/H442,0)*0.02175),"")</f>
        <v>0.63074999999999992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436.25400000000002</v>
      </c>
      <c r="BN442" s="64">
        <f t="shared" si="63"/>
        <v>448.63000000000005</v>
      </c>
      <c r="BO442" s="64">
        <f t="shared" si="64"/>
        <v>0.58749999999999991</v>
      </c>
      <c r="BP442" s="64">
        <f t="shared" si="65"/>
        <v>0.60416666666666663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2">
        <v>4680115889231</v>
      </c>
      <c r="E443" s="643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97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0"/>
      <c r="R443" s="650"/>
      <c r="S443" s="650"/>
      <c r="T443" s="651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2">
        <v>4680115882638</v>
      </c>
      <c r="E444" s="643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6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0"/>
      <c r="R444" s="650"/>
      <c r="S444" s="650"/>
      <c r="T444" s="651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2">
        <v>4680115884922</v>
      </c>
      <c r="E445" s="643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98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0"/>
      <c r="R445" s="650"/>
      <c r="S445" s="650"/>
      <c r="T445" s="651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2">
        <v>4680115884861</v>
      </c>
      <c r="E446" s="643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0"/>
      <c r="R446" s="650"/>
      <c r="S446" s="650"/>
      <c r="T446" s="651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6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69"/>
      <c r="P447" s="644" t="s">
        <v>69</v>
      </c>
      <c r="Q447" s="640"/>
      <c r="R447" s="640"/>
      <c r="S447" s="640"/>
      <c r="T447" s="640"/>
      <c r="U447" s="640"/>
      <c r="V447" s="641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32.733333333333334</v>
      </c>
      <c r="Y447" s="637">
        <f>IFERROR(Y439/H439,"0")+IFERROR(Y440/H440,"0")+IFERROR(Y441/H441,"0")+IFERROR(Y442/H442,"0")+IFERROR(Y443/H443,"0")+IFERROR(Y444/H444,"0")+IFERROR(Y445/H445,"0")+IFERROR(Y446/H446,"0")</f>
        <v>34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0.73949999999999994</v>
      </c>
      <c r="AA447" s="638"/>
      <c r="AB447" s="638"/>
      <c r="AC447" s="638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69"/>
      <c r="P448" s="644" t="s">
        <v>69</v>
      </c>
      <c r="Q448" s="640"/>
      <c r="R448" s="640"/>
      <c r="S448" s="640"/>
      <c r="T448" s="640"/>
      <c r="U448" s="640"/>
      <c r="V448" s="641"/>
      <c r="W448" s="37" t="s">
        <v>67</v>
      </c>
      <c r="X448" s="637">
        <f>IFERROR(SUM(X439:X446),"0")</f>
        <v>491</v>
      </c>
      <c r="Y448" s="637">
        <f>IFERROR(SUM(Y439:Y446),"0")</f>
        <v>510</v>
      </c>
      <c r="Z448" s="37"/>
      <c r="AA448" s="638"/>
      <c r="AB448" s="638"/>
      <c r="AC448" s="638"/>
    </row>
    <row r="449" spans="1:68" ht="14.25" hidden="1" customHeight="1" x14ac:dyDescent="0.25">
      <c r="A449" s="653" t="s">
        <v>155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42">
        <v>4607091383980</v>
      </c>
      <c r="E450" s="643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0"/>
      <c r="R450" s="650"/>
      <c r="S450" s="650"/>
      <c r="T450" s="651"/>
      <c r="U450" s="34"/>
      <c r="V450" s="34"/>
      <c r="W450" s="35" t="s">
        <v>67</v>
      </c>
      <c r="X450" s="635">
        <v>1058</v>
      </c>
      <c r="Y450" s="636">
        <f>IFERROR(IF(X450="",0,CEILING((X450/$H450),1)*$H450),"")</f>
        <v>1065</v>
      </c>
      <c r="Z450" s="36">
        <f>IFERROR(IF(Y450=0,"",ROUNDUP(Y450/H450,0)*0.02175),"")</f>
        <v>1.5442499999999999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1091.1506666666667</v>
      </c>
      <c r="BN450" s="64">
        <f>IFERROR(Y450*I450/H450,"0")</f>
        <v>1098.3699999999999</v>
      </c>
      <c r="BO450" s="64">
        <f>IFERROR(1/J450*(X450/H450),"0")</f>
        <v>1.4694444444444443</v>
      </c>
      <c r="BP450" s="64">
        <f>IFERROR(1/J450*(Y450/H450),"0")</f>
        <v>1.4791666666666665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42">
        <v>4680115888425</v>
      </c>
      <c r="E451" s="643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0"/>
      <c r="R451" s="650"/>
      <c r="S451" s="650"/>
      <c r="T451" s="651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2">
        <v>4607091384178</v>
      </c>
      <c r="E452" s="643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99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0"/>
      <c r="R452" s="650"/>
      <c r="S452" s="650"/>
      <c r="T452" s="651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6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69"/>
      <c r="P453" s="644" t="s">
        <v>69</v>
      </c>
      <c r="Q453" s="640"/>
      <c r="R453" s="640"/>
      <c r="S453" s="640"/>
      <c r="T453" s="640"/>
      <c r="U453" s="640"/>
      <c r="V453" s="641"/>
      <c r="W453" s="37" t="s">
        <v>70</v>
      </c>
      <c r="X453" s="637">
        <f>IFERROR(X450/H450,"0")+IFERROR(X451/H451,"0")+IFERROR(X452/H452,"0")</f>
        <v>70.533333333333331</v>
      </c>
      <c r="Y453" s="637">
        <f>IFERROR(Y450/H450,"0")+IFERROR(Y451/H451,"0")+IFERROR(Y452/H452,"0")</f>
        <v>71</v>
      </c>
      <c r="Z453" s="637">
        <f>IFERROR(IF(Z450="",0,Z450),"0")+IFERROR(IF(Z451="",0,Z451),"0")+IFERROR(IF(Z452="",0,Z452),"0")</f>
        <v>1.5442499999999999</v>
      </c>
      <c r="AA453" s="638"/>
      <c r="AB453" s="638"/>
      <c r="AC453" s="638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69"/>
      <c r="P454" s="644" t="s">
        <v>69</v>
      </c>
      <c r="Q454" s="640"/>
      <c r="R454" s="640"/>
      <c r="S454" s="640"/>
      <c r="T454" s="640"/>
      <c r="U454" s="640"/>
      <c r="V454" s="641"/>
      <c r="W454" s="37" t="s">
        <v>67</v>
      </c>
      <c r="X454" s="637">
        <f>IFERROR(SUM(X450:X452),"0")</f>
        <v>1058</v>
      </c>
      <c r="Y454" s="637">
        <f>IFERROR(SUM(Y450:Y452),"0")</f>
        <v>1065</v>
      </c>
      <c r="Z454" s="37"/>
      <c r="AA454" s="638"/>
      <c r="AB454" s="638"/>
      <c r="AC454" s="638"/>
    </row>
    <row r="455" spans="1:68" ht="14.25" hidden="1" customHeight="1" x14ac:dyDescent="0.25">
      <c r="A455" s="653" t="s">
        <v>71</v>
      </c>
      <c r="B455" s="648"/>
      <c r="C455" s="648"/>
      <c r="D455" s="648"/>
      <c r="E455" s="648"/>
      <c r="F455" s="648"/>
      <c r="G455" s="648"/>
      <c r="H455" s="648"/>
      <c r="I455" s="648"/>
      <c r="J455" s="648"/>
      <c r="K455" s="648"/>
      <c r="L455" s="648"/>
      <c r="M455" s="648"/>
      <c r="N455" s="648"/>
      <c r="O455" s="648"/>
      <c r="P455" s="648"/>
      <c r="Q455" s="648"/>
      <c r="R455" s="648"/>
      <c r="S455" s="648"/>
      <c r="T455" s="648"/>
      <c r="U455" s="648"/>
      <c r="V455" s="648"/>
      <c r="W455" s="648"/>
      <c r="X455" s="648"/>
      <c r="Y455" s="648"/>
      <c r="Z455" s="648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2">
        <v>4607091383928</v>
      </c>
      <c r="E456" s="643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93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0"/>
      <c r="R456" s="650"/>
      <c r="S456" s="650"/>
      <c r="T456" s="651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42">
        <v>4607091384260</v>
      </c>
      <c r="E457" s="643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9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0"/>
      <c r="R457" s="650"/>
      <c r="S457" s="650"/>
      <c r="T457" s="651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2">
        <v>4680115889538</v>
      </c>
      <c r="E458" s="643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0"/>
      <c r="R458" s="650"/>
      <c r="S458" s="650"/>
      <c r="T458" s="651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6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69"/>
      <c r="P459" s="644" t="s">
        <v>69</v>
      </c>
      <c r="Q459" s="640"/>
      <c r="R459" s="640"/>
      <c r="S459" s="640"/>
      <c r="T459" s="640"/>
      <c r="U459" s="640"/>
      <c r="V459" s="641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69"/>
      <c r="P460" s="644" t="s">
        <v>69</v>
      </c>
      <c r="Q460" s="640"/>
      <c r="R460" s="640"/>
      <c r="S460" s="640"/>
      <c r="T460" s="640"/>
      <c r="U460" s="640"/>
      <c r="V460" s="641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53" t="s">
        <v>173</v>
      </c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8"/>
      <c r="P461" s="648"/>
      <c r="Q461" s="648"/>
      <c r="R461" s="648"/>
      <c r="S461" s="648"/>
      <c r="T461" s="648"/>
      <c r="U461" s="648"/>
      <c r="V461" s="648"/>
      <c r="W461" s="648"/>
      <c r="X461" s="648"/>
      <c r="Y461" s="648"/>
      <c r="Z461" s="648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2">
        <v>4680115889545</v>
      </c>
      <c r="E462" s="643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7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0"/>
      <c r="R462" s="650"/>
      <c r="S462" s="650"/>
      <c r="T462" s="651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2">
        <v>4607091384673</v>
      </c>
      <c r="E463" s="643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73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0"/>
      <c r="R463" s="650"/>
      <c r="S463" s="650"/>
      <c r="T463" s="651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6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69"/>
      <c r="P464" s="644" t="s">
        <v>69</v>
      </c>
      <c r="Q464" s="640"/>
      <c r="R464" s="640"/>
      <c r="S464" s="640"/>
      <c r="T464" s="640"/>
      <c r="U464" s="640"/>
      <c r="V464" s="641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69"/>
      <c r="P465" s="644" t="s">
        <v>69</v>
      </c>
      <c r="Q465" s="640"/>
      <c r="R465" s="640"/>
      <c r="S465" s="640"/>
      <c r="T465" s="640"/>
      <c r="U465" s="640"/>
      <c r="V465" s="641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7" t="s">
        <v>750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30"/>
      <c r="AB466" s="630"/>
      <c r="AC466" s="630"/>
    </row>
    <row r="467" spans="1:68" ht="14.25" hidden="1" customHeight="1" x14ac:dyDescent="0.25">
      <c r="A467" s="653" t="s">
        <v>119</v>
      </c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8"/>
      <c r="P467" s="648"/>
      <c r="Q467" s="648"/>
      <c r="R467" s="648"/>
      <c r="S467" s="648"/>
      <c r="T467" s="648"/>
      <c r="U467" s="648"/>
      <c r="V467" s="648"/>
      <c r="W467" s="648"/>
      <c r="X467" s="648"/>
      <c r="Y467" s="648"/>
      <c r="Z467" s="648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2">
        <v>4680115884885</v>
      </c>
      <c r="E468" s="643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10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0"/>
      <c r="R468" s="650"/>
      <c r="S468" s="650"/>
      <c r="T468" s="651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2">
        <v>4680115884908</v>
      </c>
      <c r="E469" s="643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0"/>
      <c r="R469" s="650"/>
      <c r="S469" s="650"/>
      <c r="T469" s="651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6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69"/>
      <c r="P470" s="644" t="s">
        <v>69</v>
      </c>
      <c r="Q470" s="640"/>
      <c r="R470" s="640"/>
      <c r="S470" s="640"/>
      <c r="T470" s="640"/>
      <c r="U470" s="640"/>
      <c r="V470" s="641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69"/>
      <c r="P471" s="644" t="s">
        <v>69</v>
      </c>
      <c r="Q471" s="640"/>
      <c r="R471" s="640"/>
      <c r="S471" s="640"/>
      <c r="T471" s="640"/>
      <c r="U471" s="640"/>
      <c r="V471" s="641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53" t="s">
        <v>62</v>
      </c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8"/>
      <c r="P472" s="648"/>
      <c r="Q472" s="648"/>
      <c r="R472" s="648"/>
      <c r="S472" s="648"/>
      <c r="T472" s="648"/>
      <c r="U472" s="648"/>
      <c r="V472" s="648"/>
      <c r="W472" s="648"/>
      <c r="X472" s="648"/>
      <c r="Y472" s="648"/>
      <c r="Z472" s="648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2">
        <v>4607091384802</v>
      </c>
      <c r="E473" s="643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94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0"/>
      <c r="R473" s="650"/>
      <c r="S473" s="650"/>
      <c r="T473" s="651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6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69"/>
      <c r="P474" s="644" t="s">
        <v>69</v>
      </c>
      <c r="Q474" s="640"/>
      <c r="R474" s="640"/>
      <c r="S474" s="640"/>
      <c r="T474" s="640"/>
      <c r="U474" s="640"/>
      <c r="V474" s="641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69"/>
      <c r="P475" s="644" t="s">
        <v>69</v>
      </c>
      <c r="Q475" s="640"/>
      <c r="R475" s="640"/>
      <c r="S475" s="640"/>
      <c r="T475" s="640"/>
      <c r="U475" s="640"/>
      <c r="V475" s="641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53" t="s">
        <v>71</v>
      </c>
      <c r="B476" s="648"/>
      <c r="C476" s="648"/>
      <c r="D476" s="648"/>
      <c r="E476" s="648"/>
      <c r="F476" s="648"/>
      <c r="G476" s="648"/>
      <c r="H476" s="648"/>
      <c r="I476" s="648"/>
      <c r="J476" s="648"/>
      <c r="K476" s="648"/>
      <c r="L476" s="648"/>
      <c r="M476" s="648"/>
      <c r="N476" s="648"/>
      <c r="O476" s="648"/>
      <c r="P476" s="648"/>
      <c r="Q476" s="648"/>
      <c r="R476" s="648"/>
      <c r="S476" s="648"/>
      <c r="T476" s="648"/>
      <c r="U476" s="648"/>
      <c r="V476" s="648"/>
      <c r="W476" s="648"/>
      <c r="X476" s="648"/>
      <c r="Y476" s="648"/>
      <c r="Z476" s="648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42">
        <v>4607091384246</v>
      </c>
      <c r="E477" s="643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0"/>
      <c r="R477" s="650"/>
      <c r="S477" s="650"/>
      <c r="T477" s="651"/>
      <c r="U477" s="34"/>
      <c r="V477" s="34"/>
      <c r="W477" s="35" t="s">
        <v>67</v>
      </c>
      <c r="X477" s="635">
        <v>646</v>
      </c>
      <c r="Y477" s="636">
        <f>IFERROR(IF(X477="",0,CEILING((X477/$H477),1)*$H477),"")</f>
        <v>648</v>
      </c>
      <c r="Z477" s="36">
        <f>IFERROR(IF(Y477=0,"",ROUNDUP(Y477/H477,0)*0.01898),"")</f>
        <v>1.36656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681.45822222222216</v>
      </c>
      <c r="BN477" s="64">
        <f>IFERROR(Y477*I477/H477,"0")</f>
        <v>683.56799999999998</v>
      </c>
      <c r="BO477" s="64">
        <f>IFERROR(1/J477*(X477/H477),"0")</f>
        <v>1.1215277777777777</v>
      </c>
      <c r="BP477" s="64">
        <f>IFERROR(1/J477*(Y477/H477),"0")</f>
        <v>1.125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2">
        <v>4607091384253</v>
      </c>
      <c r="E478" s="643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0"/>
      <c r="R478" s="650"/>
      <c r="S478" s="650"/>
      <c r="T478" s="651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2">
        <v>4607091384253</v>
      </c>
      <c r="E479" s="643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9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0"/>
      <c r="R479" s="650"/>
      <c r="S479" s="650"/>
      <c r="T479" s="651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6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69"/>
      <c r="P480" s="644" t="s">
        <v>69</v>
      </c>
      <c r="Q480" s="640"/>
      <c r="R480" s="640"/>
      <c r="S480" s="640"/>
      <c r="T480" s="640"/>
      <c r="U480" s="640"/>
      <c r="V480" s="641"/>
      <c r="W480" s="37" t="s">
        <v>70</v>
      </c>
      <c r="X480" s="637">
        <f>IFERROR(X477/H477,"0")+IFERROR(X478/H478,"0")+IFERROR(X479/H479,"0")</f>
        <v>71.777777777777771</v>
      </c>
      <c r="Y480" s="637">
        <f>IFERROR(Y477/H477,"0")+IFERROR(Y478/H478,"0")+IFERROR(Y479/H479,"0")</f>
        <v>72</v>
      </c>
      <c r="Z480" s="637">
        <f>IFERROR(IF(Z477="",0,Z477),"0")+IFERROR(IF(Z478="",0,Z478),"0")+IFERROR(IF(Z479="",0,Z479),"0")</f>
        <v>1.36656</v>
      </c>
      <c r="AA480" s="638"/>
      <c r="AB480" s="638"/>
      <c r="AC480" s="638"/>
    </row>
    <row r="481" spans="1:68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69"/>
      <c r="P481" s="644" t="s">
        <v>69</v>
      </c>
      <c r="Q481" s="640"/>
      <c r="R481" s="640"/>
      <c r="S481" s="640"/>
      <c r="T481" s="640"/>
      <c r="U481" s="640"/>
      <c r="V481" s="641"/>
      <c r="W481" s="37" t="s">
        <v>67</v>
      </c>
      <c r="X481" s="637">
        <f>IFERROR(SUM(X477:X479),"0")</f>
        <v>646</v>
      </c>
      <c r="Y481" s="637">
        <f>IFERROR(SUM(Y477:Y479),"0")</f>
        <v>648</v>
      </c>
      <c r="Z481" s="37"/>
      <c r="AA481" s="638"/>
      <c r="AB481" s="638"/>
      <c r="AC481" s="638"/>
    </row>
    <row r="482" spans="1:68" ht="27.75" hidden="1" customHeight="1" x14ac:dyDescent="0.2">
      <c r="A482" s="727" t="s">
        <v>766</v>
      </c>
      <c r="B482" s="728"/>
      <c r="C482" s="728"/>
      <c r="D482" s="728"/>
      <c r="E482" s="728"/>
      <c r="F482" s="728"/>
      <c r="G482" s="728"/>
      <c r="H482" s="728"/>
      <c r="I482" s="728"/>
      <c r="J482" s="728"/>
      <c r="K482" s="728"/>
      <c r="L482" s="728"/>
      <c r="M482" s="728"/>
      <c r="N482" s="728"/>
      <c r="O482" s="728"/>
      <c r="P482" s="728"/>
      <c r="Q482" s="728"/>
      <c r="R482" s="728"/>
      <c r="S482" s="728"/>
      <c r="T482" s="728"/>
      <c r="U482" s="728"/>
      <c r="V482" s="728"/>
      <c r="W482" s="728"/>
      <c r="X482" s="728"/>
      <c r="Y482" s="728"/>
      <c r="Z482" s="728"/>
      <c r="AA482" s="48"/>
      <c r="AB482" s="48"/>
      <c r="AC482" s="48"/>
    </row>
    <row r="483" spans="1:68" ht="16.5" hidden="1" customHeight="1" x14ac:dyDescent="0.25">
      <c r="A483" s="647" t="s">
        <v>767</v>
      </c>
      <c r="B483" s="648"/>
      <c r="C483" s="648"/>
      <c r="D483" s="648"/>
      <c r="E483" s="648"/>
      <c r="F483" s="648"/>
      <c r="G483" s="648"/>
      <c r="H483" s="648"/>
      <c r="I483" s="648"/>
      <c r="J483" s="648"/>
      <c r="K483" s="648"/>
      <c r="L483" s="648"/>
      <c r="M483" s="648"/>
      <c r="N483" s="648"/>
      <c r="O483" s="648"/>
      <c r="P483" s="648"/>
      <c r="Q483" s="648"/>
      <c r="R483" s="648"/>
      <c r="S483" s="648"/>
      <c r="T483" s="648"/>
      <c r="U483" s="648"/>
      <c r="V483" s="648"/>
      <c r="W483" s="648"/>
      <c r="X483" s="648"/>
      <c r="Y483" s="648"/>
      <c r="Z483" s="648"/>
      <c r="AA483" s="630"/>
      <c r="AB483" s="630"/>
      <c r="AC483" s="630"/>
    </row>
    <row r="484" spans="1:68" ht="14.25" hidden="1" customHeight="1" x14ac:dyDescent="0.25">
      <c r="A484" s="653" t="s">
        <v>62</v>
      </c>
      <c r="B484" s="648"/>
      <c r="C484" s="648"/>
      <c r="D484" s="648"/>
      <c r="E484" s="648"/>
      <c r="F484" s="648"/>
      <c r="G484" s="648"/>
      <c r="H484" s="648"/>
      <c r="I484" s="648"/>
      <c r="J484" s="648"/>
      <c r="K484" s="648"/>
      <c r="L484" s="648"/>
      <c r="M484" s="648"/>
      <c r="N484" s="648"/>
      <c r="O484" s="648"/>
      <c r="P484" s="648"/>
      <c r="Q484" s="648"/>
      <c r="R484" s="648"/>
      <c r="S484" s="648"/>
      <c r="T484" s="648"/>
      <c r="U484" s="648"/>
      <c r="V484" s="648"/>
      <c r="W484" s="648"/>
      <c r="X484" s="648"/>
      <c r="Y484" s="648"/>
      <c r="Z484" s="648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2">
        <v>4680115886100</v>
      </c>
      <c r="E485" s="643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0"/>
      <c r="R485" s="650"/>
      <c r="S485" s="650"/>
      <c r="T485" s="651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2">
        <v>4680115886124</v>
      </c>
      <c r="E486" s="643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7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0"/>
      <c r="R486" s="650"/>
      <c r="S486" s="650"/>
      <c r="T486" s="651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2">
        <v>4607091384338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7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0"/>
      <c r="R487" s="650"/>
      <c r="S487" s="650"/>
      <c r="T487" s="651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2">
        <v>4680115883161</v>
      </c>
      <c r="E488" s="643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7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0"/>
      <c r="R488" s="650"/>
      <c r="S488" s="650"/>
      <c r="T488" s="651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2">
        <v>4607091389531</v>
      </c>
      <c r="E489" s="643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0"/>
      <c r="R489" s="650"/>
      <c r="S489" s="650"/>
      <c r="T489" s="651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2">
        <v>4607091384345</v>
      </c>
      <c r="E490" s="643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7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0"/>
      <c r="R490" s="650"/>
      <c r="S490" s="650"/>
      <c r="T490" s="651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6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69"/>
      <c r="P491" s="644" t="s">
        <v>69</v>
      </c>
      <c r="Q491" s="640"/>
      <c r="R491" s="640"/>
      <c r="S491" s="640"/>
      <c r="T491" s="640"/>
      <c r="U491" s="640"/>
      <c r="V491" s="641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69"/>
      <c r="P492" s="644" t="s">
        <v>69</v>
      </c>
      <c r="Q492" s="640"/>
      <c r="R492" s="640"/>
      <c r="S492" s="640"/>
      <c r="T492" s="640"/>
      <c r="U492" s="640"/>
      <c r="V492" s="641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53" t="s">
        <v>71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2">
        <v>4607091384352</v>
      </c>
      <c r="E494" s="643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0"/>
      <c r="R494" s="650"/>
      <c r="S494" s="650"/>
      <c r="T494" s="651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6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69"/>
      <c r="P495" s="644" t="s">
        <v>69</v>
      </c>
      <c r="Q495" s="640"/>
      <c r="R495" s="640"/>
      <c r="S495" s="640"/>
      <c r="T495" s="640"/>
      <c r="U495" s="640"/>
      <c r="V495" s="641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69"/>
      <c r="P496" s="644" t="s">
        <v>69</v>
      </c>
      <c r="Q496" s="640"/>
      <c r="R496" s="640"/>
      <c r="S496" s="640"/>
      <c r="T496" s="640"/>
      <c r="U496" s="640"/>
      <c r="V496" s="641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7" t="s">
        <v>787</v>
      </c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8"/>
      <c r="P497" s="648"/>
      <c r="Q497" s="648"/>
      <c r="R497" s="648"/>
      <c r="S497" s="648"/>
      <c r="T497" s="648"/>
      <c r="U497" s="648"/>
      <c r="V497" s="648"/>
      <c r="W497" s="648"/>
      <c r="X497" s="648"/>
      <c r="Y497" s="648"/>
      <c r="Z497" s="648"/>
      <c r="AA497" s="630"/>
      <c r="AB497" s="630"/>
      <c r="AC497" s="630"/>
    </row>
    <row r="498" spans="1:68" ht="14.25" hidden="1" customHeight="1" x14ac:dyDescent="0.25">
      <c r="A498" s="653" t="s">
        <v>155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2">
        <v>4680115885240</v>
      </c>
      <c r="E499" s="643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6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0"/>
      <c r="R499" s="650"/>
      <c r="S499" s="650"/>
      <c r="T499" s="651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6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69"/>
      <c r="P500" s="644" t="s">
        <v>69</v>
      </c>
      <c r="Q500" s="640"/>
      <c r="R500" s="640"/>
      <c r="S500" s="640"/>
      <c r="T500" s="640"/>
      <c r="U500" s="640"/>
      <c r="V500" s="641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69"/>
      <c r="P501" s="644" t="s">
        <v>69</v>
      </c>
      <c r="Q501" s="640"/>
      <c r="R501" s="640"/>
      <c r="S501" s="640"/>
      <c r="T501" s="640"/>
      <c r="U501" s="640"/>
      <c r="V501" s="641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53" t="s">
        <v>62</v>
      </c>
      <c r="B502" s="648"/>
      <c r="C502" s="648"/>
      <c r="D502" s="648"/>
      <c r="E502" s="648"/>
      <c r="F502" s="648"/>
      <c r="G502" s="648"/>
      <c r="H502" s="648"/>
      <c r="I502" s="648"/>
      <c r="J502" s="648"/>
      <c r="K502" s="648"/>
      <c r="L502" s="648"/>
      <c r="M502" s="648"/>
      <c r="N502" s="648"/>
      <c r="O502" s="648"/>
      <c r="P502" s="648"/>
      <c r="Q502" s="648"/>
      <c r="R502" s="648"/>
      <c r="S502" s="648"/>
      <c r="T502" s="648"/>
      <c r="U502" s="648"/>
      <c r="V502" s="648"/>
      <c r="W502" s="648"/>
      <c r="X502" s="648"/>
      <c r="Y502" s="648"/>
      <c r="Z502" s="648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2">
        <v>4680115886094</v>
      </c>
      <c r="E503" s="643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8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0"/>
      <c r="R503" s="650"/>
      <c r="S503" s="650"/>
      <c r="T503" s="651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2">
        <v>4680115880771</v>
      </c>
      <c r="E504" s="643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0"/>
      <c r="R504" s="650"/>
      <c r="S504" s="650"/>
      <c r="T504" s="651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2">
        <v>4607091389500</v>
      </c>
      <c r="E505" s="643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65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0"/>
      <c r="R505" s="650"/>
      <c r="S505" s="650"/>
      <c r="T505" s="651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6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69"/>
      <c r="P506" s="644" t="s">
        <v>69</v>
      </c>
      <c r="Q506" s="640"/>
      <c r="R506" s="640"/>
      <c r="S506" s="640"/>
      <c r="T506" s="640"/>
      <c r="U506" s="640"/>
      <c r="V506" s="641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69"/>
      <c r="P507" s="644" t="s">
        <v>69</v>
      </c>
      <c r="Q507" s="640"/>
      <c r="R507" s="640"/>
      <c r="S507" s="640"/>
      <c r="T507" s="640"/>
      <c r="U507" s="640"/>
      <c r="V507" s="641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727" t="s">
        <v>799</v>
      </c>
      <c r="B508" s="728"/>
      <c r="C508" s="728"/>
      <c r="D508" s="728"/>
      <c r="E508" s="728"/>
      <c r="F508" s="728"/>
      <c r="G508" s="728"/>
      <c r="H508" s="728"/>
      <c r="I508" s="728"/>
      <c r="J508" s="728"/>
      <c r="K508" s="728"/>
      <c r="L508" s="728"/>
      <c r="M508" s="728"/>
      <c r="N508" s="728"/>
      <c r="O508" s="728"/>
      <c r="P508" s="728"/>
      <c r="Q508" s="728"/>
      <c r="R508" s="728"/>
      <c r="S508" s="728"/>
      <c r="T508" s="728"/>
      <c r="U508" s="728"/>
      <c r="V508" s="728"/>
      <c r="W508" s="728"/>
      <c r="X508" s="728"/>
      <c r="Y508" s="728"/>
      <c r="Z508" s="728"/>
      <c r="AA508" s="48"/>
      <c r="AB508" s="48"/>
      <c r="AC508" s="48"/>
    </row>
    <row r="509" spans="1:68" ht="16.5" hidden="1" customHeight="1" x14ac:dyDescent="0.25">
      <c r="A509" s="647" t="s">
        <v>799</v>
      </c>
      <c r="B509" s="648"/>
      <c r="C509" s="648"/>
      <c r="D509" s="648"/>
      <c r="E509" s="648"/>
      <c r="F509" s="648"/>
      <c r="G509" s="648"/>
      <c r="H509" s="648"/>
      <c r="I509" s="648"/>
      <c r="J509" s="648"/>
      <c r="K509" s="648"/>
      <c r="L509" s="648"/>
      <c r="M509" s="648"/>
      <c r="N509" s="648"/>
      <c r="O509" s="648"/>
      <c r="P509" s="648"/>
      <c r="Q509" s="648"/>
      <c r="R509" s="648"/>
      <c r="S509" s="648"/>
      <c r="T509" s="648"/>
      <c r="U509" s="648"/>
      <c r="V509" s="648"/>
      <c r="W509" s="648"/>
      <c r="X509" s="648"/>
      <c r="Y509" s="648"/>
      <c r="Z509" s="648"/>
      <c r="AA509" s="630"/>
      <c r="AB509" s="630"/>
      <c r="AC509" s="630"/>
    </row>
    <row r="510" spans="1:68" ht="14.25" hidden="1" customHeight="1" x14ac:dyDescent="0.25">
      <c r="A510" s="653" t="s">
        <v>119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1"/>
      <c r="AB510" s="631"/>
      <c r="AC510" s="631"/>
    </row>
    <row r="511" spans="1:68" ht="27" customHeight="1" x14ac:dyDescent="0.25">
      <c r="A511" s="54" t="s">
        <v>800</v>
      </c>
      <c r="B511" s="54" t="s">
        <v>801</v>
      </c>
      <c r="C511" s="31">
        <v>4301011769</v>
      </c>
      <c r="D511" s="642">
        <v>4607091389067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0"/>
      <c r="R511" s="650"/>
      <c r="S511" s="650"/>
      <c r="T511" s="651"/>
      <c r="U511" s="34"/>
      <c r="V511" s="34"/>
      <c r="W511" s="35" t="s">
        <v>67</v>
      </c>
      <c r="X511" s="635">
        <v>104</v>
      </c>
      <c r="Y511" s="636">
        <f t="shared" ref="Y511:Y518" si="71">IFERROR(IF(X511="",0,CEILING((X511/$H511),1)*$H511),"")</f>
        <v>105.60000000000001</v>
      </c>
      <c r="Z511" s="36">
        <f>IFERROR(IF(Y511=0,"",ROUNDUP(Y511/H511,0)*0.01196),"")</f>
        <v>0.2392</v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110.89393939393939</v>
      </c>
      <c r="BN511" s="64">
        <f t="shared" ref="BN511:BN518" si="73">IFERROR(Y511*I511/H511,"0")</f>
        <v>112.6</v>
      </c>
      <c r="BO511" s="64">
        <f t="shared" ref="BO511:BO518" si="74">IFERROR(1/J511*(X511/H511),"0")</f>
        <v>0.18939393939393939</v>
      </c>
      <c r="BP511" s="64">
        <f t="shared" ref="BP511:BP518" si="75">IFERROR(1/J511*(Y511/H511),"0")</f>
        <v>0.19230769230769232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2">
        <v>4680115889576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79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0"/>
      <c r="R512" s="650"/>
      <c r="S512" s="650"/>
      <c r="T512" s="651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42">
        <v>4680115885271</v>
      </c>
      <c r="E513" s="643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0"/>
      <c r="R513" s="650"/>
      <c r="S513" s="650"/>
      <c r="T513" s="651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hidden="1" customHeight="1" x14ac:dyDescent="0.25">
      <c r="A514" s="54" t="s">
        <v>808</v>
      </c>
      <c r="B514" s="54" t="s">
        <v>809</v>
      </c>
      <c r="C514" s="31">
        <v>4301011369</v>
      </c>
      <c r="D514" s="642">
        <v>4680115885226</v>
      </c>
      <c r="E514" s="643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0"/>
      <c r="R514" s="650"/>
      <c r="S514" s="650"/>
      <c r="T514" s="651"/>
      <c r="U514" s="34"/>
      <c r="V514" s="34"/>
      <c r="W514" s="35" t="s">
        <v>67</v>
      </c>
      <c r="X514" s="635">
        <v>0</v>
      </c>
      <c r="Y514" s="636">
        <f t="shared" si="71"/>
        <v>0</v>
      </c>
      <c r="Z514" s="36" t="str">
        <f>IFERROR(IF(Y514=0,"",ROUNDUP(Y514/H514,0)*0.01196),"")</f>
        <v/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0</v>
      </c>
      <c r="BN514" s="64">
        <f t="shared" si="73"/>
        <v>0</v>
      </c>
      <c r="BO514" s="64">
        <f t="shared" si="74"/>
        <v>0</v>
      </c>
      <c r="BP514" s="64">
        <f t="shared" si="75"/>
        <v>0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42">
        <v>4607091389104</v>
      </c>
      <c r="E515" s="643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7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0"/>
      <c r="R515" s="650"/>
      <c r="S515" s="650"/>
      <c r="T515" s="651"/>
      <c r="U515" s="34"/>
      <c r="V515" s="34"/>
      <c r="W515" s="35" t="s">
        <v>67</v>
      </c>
      <c r="X515" s="635">
        <v>1058</v>
      </c>
      <c r="Y515" s="636">
        <f t="shared" si="71"/>
        <v>1061.28</v>
      </c>
      <c r="Z515" s="36">
        <f>IFERROR(IF(Y515=0,"",ROUNDUP(Y515/H515,0)*0.01196),"")</f>
        <v>2.4039600000000001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1128.1325757575758</v>
      </c>
      <c r="BN515" s="64">
        <f t="shared" si="73"/>
        <v>1131.6299999999999</v>
      </c>
      <c r="BO515" s="64">
        <f t="shared" si="74"/>
        <v>1.9267191142191142</v>
      </c>
      <c r="BP515" s="64">
        <f t="shared" si="75"/>
        <v>1.9326923076923075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2">
        <v>4680115886391</v>
      </c>
      <c r="E516" s="643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0"/>
      <c r="R516" s="650"/>
      <c r="S516" s="650"/>
      <c r="T516" s="651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customHeight="1" x14ac:dyDescent="0.25">
      <c r="A517" s="54" t="s">
        <v>816</v>
      </c>
      <c r="B517" s="54" t="s">
        <v>817</v>
      </c>
      <c r="C517" s="31">
        <v>4301012048</v>
      </c>
      <c r="D517" s="642">
        <v>4680115880603</v>
      </c>
      <c r="E517" s="643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0"/>
      <c r="R517" s="650"/>
      <c r="S517" s="650"/>
      <c r="T517" s="651"/>
      <c r="U517" s="34"/>
      <c r="V517" s="34"/>
      <c r="W517" s="35" t="s">
        <v>67</v>
      </c>
      <c r="X517" s="635">
        <v>120</v>
      </c>
      <c r="Y517" s="636">
        <f t="shared" si="71"/>
        <v>120</v>
      </c>
      <c r="Z517" s="36">
        <f>IFERROR(IF(Y517=0,"",ROUNDUP(Y517/H517,0)*0.00902),"")</f>
        <v>0.22550000000000001</v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172.75000000000003</v>
      </c>
      <c r="BN517" s="64">
        <f t="shared" si="73"/>
        <v>172.75000000000003</v>
      </c>
      <c r="BO517" s="64">
        <f t="shared" si="74"/>
        <v>0.18939393939393939</v>
      </c>
      <c r="BP517" s="64">
        <f t="shared" si="75"/>
        <v>0.18939393939393939</v>
      </c>
    </row>
    <row r="518" spans="1:68" ht="27" customHeight="1" x14ac:dyDescent="0.25">
      <c r="A518" s="54" t="s">
        <v>818</v>
      </c>
      <c r="B518" s="54" t="s">
        <v>819</v>
      </c>
      <c r="C518" s="31">
        <v>4301012034</v>
      </c>
      <c r="D518" s="642">
        <v>4607091389982</v>
      </c>
      <c r="E518" s="643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9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0"/>
      <c r="R518" s="650"/>
      <c r="S518" s="650"/>
      <c r="T518" s="651"/>
      <c r="U518" s="34"/>
      <c r="V518" s="34"/>
      <c r="W518" s="35" t="s">
        <v>67</v>
      </c>
      <c r="X518" s="635">
        <v>189</v>
      </c>
      <c r="Y518" s="636">
        <f t="shared" si="71"/>
        <v>192</v>
      </c>
      <c r="Z518" s="36">
        <f>IFERROR(IF(Y518=0,"",ROUNDUP(Y518/H518,0)*0.00902),"")</f>
        <v>0.36080000000000001</v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272.08125000000001</v>
      </c>
      <c r="BN518" s="64">
        <f t="shared" si="73"/>
        <v>276.40000000000003</v>
      </c>
      <c r="BO518" s="64">
        <f t="shared" si="74"/>
        <v>0.29829545454545453</v>
      </c>
      <c r="BP518" s="64">
        <f t="shared" si="75"/>
        <v>0.30303030303030304</v>
      </c>
    </row>
    <row r="519" spans="1:68" x14ac:dyDescent="0.2">
      <c r="A519" s="66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69"/>
      <c r="P519" s="644" t="s">
        <v>69</v>
      </c>
      <c r="Q519" s="640"/>
      <c r="R519" s="640"/>
      <c r="S519" s="640"/>
      <c r="T519" s="640"/>
      <c r="U519" s="640"/>
      <c r="V519" s="641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284.45075757575756</v>
      </c>
      <c r="Y519" s="637">
        <f>IFERROR(Y511/H511,"0")+IFERROR(Y512/H512,"0")+IFERROR(Y513/H513,"0")+IFERROR(Y514/H514,"0")+IFERROR(Y515/H515,"0")+IFERROR(Y516/H516,"0")+IFERROR(Y517/H517,"0")+IFERROR(Y518/H518,"0")</f>
        <v>286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3.2294599999999996</v>
      </c>
      <c r="AA519" s="638"/>
      <c r="AB519" s="638"/>
      <c r="AC519" s="638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69"/>
      <c r="P520" s="644" t="s">
        <v>69</v>
      </c>
      <c r="Q520" s="640"/>
      <c r="R520" s="640"/>
      <c r="S520" s="640"/>
      <c r="T520" s="640"/>
      <c r="U520" s="640"/>
      <c r="V520" s="641"/>
      <c r="W520" s="37" t="s">
        <v>67</v>
      </c>
      <c r="X520" s="637">
        <f>IFERROR(SUM(X511:X518),"0")</f>
        <v>1471</v>
      </c>
      <c r="Y520" s="637">
        <f>IFERROR(SUM(Y511:Y518),"0")</f>
        <v>1478.8799999999999</v>
      </c>
      <c r="Z520" s="37"/>
      <c r="AA520" s="638"/>
      <c r="AB520" s="638"/>
      <c r="AC520" s="638"/>
    </row>
    <row r="521" spans="1:68" ht="14.25" hidden="1" customHeight="1" x14ac:dyDescent="0.25">
      <c r="A521" s="653" t="s">
        <v>155</v>
      </c>
      <c r="B521" s="648"/>
      <c r="C521" s="648"/>
      <c r="D521" s="648"/>
      <c r="E521" s="648"/>
      <c r="F521" s="648"/>
      <c r="G521" s="648"/>
      <c r="H521" s="648"/>
      <c r="I521" s="648"/>
      <c r="J521" s="648"/>
      <c r="K521" s="648"/>
      <c r="L521" s="648"/>
      <c r="M521" s="648"/>
      <c r="N521" s="648"/>
      <c r="O521" s="648"/>
      <c r="P521" s="648"/>
      <c r="Q521" s="648"/>
      <c r="R521" s="648"/>
      <c r="S521" s="648"/>
      <c r="T521" s="648"/>
      <c r="U521" s="648"/>
      <c r="V521" s="648"/>
      <c r="W521" s="648"/>
      <c r="X521" s="648"/>
      <c r="Y521" s="648"/>
      <c r="Z521" s="648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42">
        <v>4607091388930</v>
      </c>
      <c r="E522" s="643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95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0"/>
      <c r="R522" s="650"/>
      <c r="S522" s="650"/>
      <c r="T522" s="651"/>
      <c r="U522" s="34"/>
      <c r="V522" s="34"/>
      <c r="W522" s="35" t="s">
        <v>67</v>
      </c>
      <c r="X522" s="635">
        <v>1058</v>
      </c>
      <c r="Y522" s="636">
        <f>IFERROR(IF(X522="",0,CEILING((X522/$H522),1)*$H522),"")</f>
        <v>1061.28</v>
      </c>
      <c r="Z522" s="36">
        <f>IFERROR(IF(Y522=0,"",ROUNDUP(Y522/H522,0)*0.01196),"")</f>
        <v>2.4039600000000001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1128.1325757575758</v>
      </c>
      <c r="BN522" s="64">
        <f>IFERROR(Y522*I522/H522,"0")</f>
        <v>1131.6299999999999</v>
      </c>
      <c r="BO522" s="64">
        <f>IFERROR(1/J522*(X522/H522),"0")</f>
        <v>1.9267191142191142</v>
      </c>
      <c r="BP522" s="64">
        <f>IFERROR(1/J522*(Y522/H522),"0")</f>
        <v>1.9326923076923075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2">
        <v>4680115886407</v>
      </c>
      <c r="E523" s="643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0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0"/>
      <c r="R523" s="650"/>
      <c r="S523" s="650"/>
      <c r="T523" s="651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2">
        <v>4680115880054</v>
      </c>
      <c r="E524" s="643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8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0"/>
      <c r="R524" s="650"/>
      <c r="S524" s="650"/>
      <c r="T524" s="651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6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69"/>
      <c r="P525" s="644" t="s">
        <v>69</v>
      </c>
      <c r="Q525" s="640"/>
      <c r="R525" s="640"/>
      <c r="S525" s="640"/>
      <c r="T525" s="640"/>
      <c r="U525" s="640"/>
      <c r="V525" s="641"/>
      <c r="W525" s="37" t="s">
        <v>70</v>
      </c>
      <c r="X525" s="637">
        <f>IFERROR(X522/H522,"0")+IFERROR(X523/H523,"0")+IFERROR(X524/H524,"0")</f>
        <v>200.37878787878788</v>
      </c>
      <c r="Y525" s="637">
        <f>IFERROR(Y522/H522,"0")+IFERROR(Y523/H523,"0")+IFERROR(Y524/H524,"0")</f>
        <v>200.99999999999997</v>
      </c>
      <c r="Z525" s="637">
        <f>IFERROR(IF(Z522="",0,Z522),"0")+IFERROR(IF(Z523="",0,Z523),"0")+IFERROR(IF(Z524="",0,Z524),"0")</f>
        <v>2.4039600000000001</v>
      </c>
      <c r="AA525" s="638"/>
      <c r="AB525" s="638"/>
      <c r="AC525" s="638"/>
    </row>
    <row r="526" spans="1:68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69"/>
      <c r="P526" s="644" t="s">
        <v>69</v>
      </c>
      <c r="Q526" s="640"/>
      <c r="R526" s="640"/>
      <c r="S526" s="640"/>
      <c r="T526" s="640"/>
      <c r="U526" s="640"/>
      <c r="V526" s="641"/>
      <c r="W526" s="37" t="s">
        <v>67</v>
      </c>
      <c r="X526" s="637">
        <f>IFERROR(SUM(X522:X524),"0")</f>
        <v>1058</v>
      </c>
      <c r="Y526" s="637">
        <f>IFERROR(SUM(Y522:Y524),"0")</f>
        <v>1061.28</v>
      </c>
      <c r="Z526" s="37"/>
      <c r="AA526" s="638"/>
      <c r="AB526" s="638"/>
      <c r="AC526" s="638"/>
    </row>
    <row r="527" spans="1:68" ht="14.25" hidden="1" customHeight="1" x14ac:dyDescent="0.25">
      <c r="A527" s="653" t="s">
        <v>62</v>
      </c>
      <c r="B527" s="648"/>
      <c r="C527" s="648"/>
      <c r="D527" s="648"/>
      <c r="E527" s="648"/>
      <c r="F527" s="648"/>
      <c r="G527" s="648"/>
      <c r="H527" s="648"/>
      <c r="I527" s="648"/>
      <c r="J527" s="648"/>
      <c r="K527" s="648"/>
      <c r="L527" s="648"/>
      <c r="M527" s="648"/>
      <c r="N527" s="648"/>
      <c r="O527" s="648"/>
      <c r="P527" s="648"/>
      <c r="Q527" s="648"/>
      <c r="R527" s="648"/>
      <c r="S527" s="648"/>
      <c r="T527" s="648"/>
      <c r="U527" s="648"/>
      <c r="V527" s="648"/>
      <c r="W527" s="648"/>
      <c r="X527" s="648"/>
      <c r="Y527" s="648"/>
      <c r="Z527" s="648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2">
        <v>4680115883116</v>
      </c>
      <c r="E528" s="643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0"/>
      <c r="R528" s="650"/>
      <c r="S528" s="650"/>
      <c r="T528" s="651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2">
        <v>4680115883093</v>
      </c>
      <c r="E529" s="643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8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0"/>
      <c r="R529" s="650"/>
      <c r="S529" s="650"/>
      <c r="T529" s="651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42">
        <v>4680115883109</v>
      </c>
      <c r="E530" s="643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79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0"/>
      <c r="R530" s="650"/>
      <c r="S530" s="650"/>
      <c r="T530" s="651"/>
      <c r="U530" s="34"/>
      <c r="V530" s="34"/>
      <c r="W530" s="35" t="s">
        <v>67</v>
      </c>
      <c r="X530" s="635">
        <v>724</v>
      </c>
      <c r="Y530" s="636">
        <f t="shared" si="76"/>
        <v>728.64</v>
      </c>
      <c r="Z530" s="36">
        <f>IFERROR(IF(Y530=0,"",ROUNDUP(Y530/H530,0)*0.01196),"")</f>
        <v>1.6504799999999999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771.99242424242414</v>
      </c>
      <c r="BN530" s="64">
        <f t="shared" si="78"/>
        <v>776.93999999999994</v>
      </c>
      <c r="BO530" s="64">
        <f t="shared" si="79"/>
        <v>1.3184731934731935</v>
      </c>
      <c r="BP530" s="64">
        <f t="shared" si="80"/>
        <v>1.3269230769230771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2">
        <v>4680115882072</v>
      </c>
      <c r="E531" s="643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0"/>
      <c r="R531" s="650"/>
      <c r="S531" s="650"/>
      <c r="T531" s="651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2">
        <v>4680115882102</v>
      </c>
      <c r="E532" s="643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0"/>
      <c r="R532" s="650"/>
      <c r="S532" s="650"/>
      <c r="T532" s="651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2">
        <v>4680115882102</v>
      </c>
      <c r="E533" s="643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0"/>
      <c r="R533" s="650"/>
      <c r="S533" s="650"/>
      <c r="T533" s="651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2">
        <v>4680115882096</v>
      </c>
      <c r="E534" s="643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0"/>
      <c r="R534" s="650"/>
      <c r="S534" s="650"/>
      <c r="T534" s="651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6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69"/>
      <c r="P535" s="644" t="s">
        <v>69</v>
      </c>
      <c r="Q535" s="640"/>
      <c r="R535" s="640"/>
      <c r="S535" s="640"/>
      <c r="T535" s="640"/>
      <c r="U535" s="640"/>
      <c r="V535" s="641"/>
      <c r="W535" s="37" t="s">
        <v>70</v>
      </c>
      <c r="X535" s="637">
        <f>IFERROR(X528/H528,"0")+IFERROR(X529/H529,"0")+IFERROR(X530/H530,"0")+IFERROR(X531/H531,"0")+IFERROR(X532/H532,"0")+IFERROR(X533/H533,"0")+IFERROR(X534/H534,"0")</f>
        <v>137.12121212121212</v>
      </c>
      <c r="Y535" s="637">
        <f>IFERROR(Y528/H528,"0")+IFERROR(Y529/H529,"0")+IFERROR(Y530/H530,"0")+IFERROR(Y531/H531,"0")+IFERROR(Y532/H532,"0")+IFERROR(Y533/H533,"0")+IFERROR(Y534/H534,"0")</f>
        <v>138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1.6504799999999999</v>
      </c>
      <c r="AA535" s="638"/>
      <c r="AB535" s="638"/>
      <c r="AC535" s="638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69"/>
      <c r="P536" s="644" t="s">
        <v>69</v>
      </c>
      <c r="Q536" s="640"/>
      <c r="R536" s="640"/>
      <c r="S536" s="640"/>
      <c r="T536" s="640"/>
      <c r="U536" s="640"/>
      <c r="V536" s="641"/>
      <c r="W536" s="37" t="s">
        <v>67</v>
      </c>
      <c r="X536" s="637">
        <f>IFERROR(SUM(X528:X534),"0")</f>
        <v>724</v>
      </c>
      <c r="Y536" s="637">
        <f>IFERROR(SUM(Y528:Y534),"0")</f>
        <v>728.64</v>
      </c>
      <c r="Z536" s="37"/>
      <c r="AA536" s="638"/>
      <c r="AB536" s="638"/>
      <c r="AC536" s="638"/>
    </row>
    <row r="537" spans="1:68" ht="27.75" hidden="1" customHeight="1" x14ac:dyDescent="0.2">
      <c r="A537" s="727" t="s">
        <v>843</v>
      </c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8"/>
      <c r="P537" s="728"/>
      <c r="Q537" s="728"/>
      <c r="R537" s="728"/>
      <c r="S537" s="728"/>
      <c r="T537" s="728"/>
      <c r="U537" s="728"/>
      <c r="V537" s="728"/>
      <c r="W537" s="728"/>
      <c r="X537" s="728"/>
      <c r="Y537" s="728"/>
      <c r="Z537" s="728"/>
      <c r="AA537" s="48"/>
      <c r="AB537" s="48"/>
      <c r="AC537" s="48"/>
    </row>
    <row r="538" spans="1:68" ht="16.5" hidden="1" customHeight="1" x14ac:dyDescent="0.25">
      <c r="A538" s="647" t="s">
        <v>843</v>
      </c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8"/>
      <c r="P538" s="648"/>
      <c r="Q538" s="648"/>
      <c r="R538" s="648"/>
      <c r="S538" s="648"/>
      <c r="T538" s="648"/>
      <c r="U538" s="648"/>
      <c r="V538" s="648"/>
      <c r="W538" s="648"/>
      <c r="X538" s="648"/>
      <c r="Y538" s="648"/>
      <c r="Z538" s="648"/>
      <c r="AA538" s="630"/>
      <c r="AB538" s="630"/>
      <c r="AC538" s="630"/>
    </row>
    <row r="539" spans="1:68" ht="14.25" hidden="1" customHeight="1" x14ac:dyDescent="0.25">
      <c r="A539" s="653" t="s">
        <v>119</v>
      </c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8"/>
      <c r="P539" s="648"/>
      <c r="Q539" s="648"/>
      <c r="R539" s="648"/>
      <c r="S539" s="648"/>
      <c r="T539" s="648"/>
      <c r="U539" s="648"/>
      <c r="V539" s="648"/>
      <c r="W539" s="648"/>
      <c r="X539" s="648"/>
      <c r="Y539" s="648"/>
      <c r="Z539" s="648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2">
        <v>4680115889736</v>
      </c>
      <c r="E540" s="643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1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0"/>
      <c r="R540" s="650"/>
      <c r="S540" s="650"/>
      <c r="T540" s="651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6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69"/>
      <c r="P541" s="644" t="s">
        <v>69</v>
      </c>
      <c r="Q541" s="640"/>
      <c r="R541" s="640"/>
      <c r="S541" s="640"/>
      <c r="T541" s="640"/>
      <c r="U541" s="640"/>
      <c r="V541" s="641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69"/>
      <c r="P542" s="644" t="s">
        <v>69</v>
      </c>
      <c r="Q542" s="640"/>
      <c r="R542" s="640"/>
      <c r="S542" s="640"/>
      <c r="T542" s="640"/>
      <c r="U542" s="640"/>
      <c r="V542" s="641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53" t="s">
        <v>155</v>
      </c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8"/>
      <c r="P543" s="648"/>
      <c r="Q543" s="648"/>
      <c r="R543" s="648"/>
      <c r="S543" s="648"/>
      <c r="T543" s="648"/>
      <c r="U543" s="648"/>
      <c r="V543" s="648"/>
      <c r="W543" s="648"/>
      <c r="X543" s="648"/>
      <c r="Y543" s="648"/>
      <c r="Z543" s="648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2">
        <v>4680115889781</v>
      </c>
      <c r="E544" s="643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0"/>
      <c r="R544" s="650"/>
      <c r="S544" s="650"/>
      <c r="T544" s="651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6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69"/>
      <c r="P545" s="644" t="s">
        <v>69</v>
      </c>
      <c r="Q545" s="640"/>
      <c r="R545" s="640"/>
      <c r="S545" s="640"/>
      <c r="T545" s="640"/>
      <c r="U545" s="640"/>
      <c r="V545" s="641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69"/>
      <c r="P546" s="644" t="s">
        <v>69</v>
      </c>
      <c r="Q546" s="640"/>
      <c r="R546" s="640"/>
      <c r="S546" s="640"/>
      <c r="T546" s="640"/>
      <c r="U546" s="640"/>
      <c r="V546" s="641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53" t="s">
        <v>62</v>
      </c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8"/>
      <c r="P547" s="648"/>
      <c r="Q547" s="648"/>
      <c r="R547" s="648"/>
      <c r="S547" s="648"/>
      <c r="T547" s="648"/>
      <c r="U547" s="648"/>
      <c r="V547" s="648"/>
      <c r="W547" s="648"/>
      <c r="X547" s="648"/>
      <c r="Y547" s="648"/>
      <c r="Z547" s="648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2">
        <v>4680115889774</v>
      </c>
      <c r="E548" s="643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0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0"/>
      <c r="R548" s="650"/>
      <c r="S548" s="650"/>
      <c r="T548" s="651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6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69"/>
      <c r="P549" s="644" t="s">
        <v>69</v>
      </c>
      <c r="Q549" s="640"/>
      <c r="R549" s="640"/>
      <c r="S549" s="640"/>
      <c r="T549" s="640"/>
      <c r="U549" s="640"/>
      <c r="V549" s="641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69"/>
      <c r="P550" s="644" t="s">
        <v>69</v>
      </c>
      <c r="Q550" s="640"/>
      <c r="R550" s="640"/>
      <c r="S550" s="640"/>
      <c r="T550" s="640"/>
      <c r="U550" s="640"/>
      <c r="V550" s="641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53" t="s">
        <v>71</v>
      </c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8"/>
      <c r="P551" s="648"/>
      <c r="Q551" s="648"/>
      <c r="R551" s="648"/>
      <c r="S551" s="648"/>
      <c r="T551" s="648"/>
      <c r="U551" s="648"/>
      <c r="V551" s="648"/>
      <c r="W551" s="648"/>
      <c r="X551" s="648"/>
      <c r="Y551" s="648"/>
      <c r="Z551" s="648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42">
        <v>4680115889811</v>
      </c>
      <c r="E552" s="643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9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0"/>
      <c r="R552" s="650"/>
      <c r="S552" s="650"/>
      <c r="T552" s="651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6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69"/>
      <c r="P553" s="644" t="s">
        <v>69</v>
      </c>
      <c r="Q553" s="640"/>
      <c r="R553" s="640"/>
      <c r="S553" s="640"/>
      <c r="T553" s="640"/>
      <c r="U553" s="640"/>
      <c r="V553" s="641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69"/>
      <c r="P554" s="644" t="s">
        <v>69</v>
      </c>
      <c r="Q554" s="640"/>
      <c r="R554" s="640"/>
      <c r="S554" s="640"/>
      <c r="T554" s="640"/>
      <c r="U554" s="640"/>
      <c r="V554" s="641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53" t="s">
        <v>173</v>
      </c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8"/>
      <c r="P555" s="648"/>
      <c r="Q555" s="648"/>
      <c r="R555" s="648"/>
      <c r="S555" s="648"/>
      <c r="T555" s="648"/>
      <c r="U555" s="648"/>
      <c r="V555" s="648"/>
      <c r="W555" s="648"/>
      <c r="X555" s="648"/>
      <c r="Y555" s="648"/>
      <c r="Z555" s="648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2">
        <v>4680115889804</v>
      </c>
      <c r="E556" s="643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92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0"/>
      <c r="R556" s="650"/>
      <c r="S556" s="650"/>
      <c r="T556" s="651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2">
        <v>4680115889828</v>
      </c>
      <c r="E557" s="643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78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0"/>
      <c r="R557" s="650"/>
      <c r="S557" s="650"/>
      <c r="T557" s="651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6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69"/>
      <c r="P558" s="644" t="s">
        <v>69</v>
      </c>
      <c r="Q558" s="640"/>
      <c r="R558" s="640"/>
      <c r="S558" s="640"/>
      <c r="T558" s="640"/>
      <c r="U558" s="640"/>
      <c r="V558" s="641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69"/>
      <c r="P559" s="644" t="s">
        <v>69</v>
      </c>
      <c r="Q559" s="640"/>
      <c r="R559" s="640"/>
      <c r="S559" s="640"/>
      <c r="T559" s="640"/>
      <c r="U559" s="640"/>
      <c r="V559" s="641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7" t="s">
        <v>861</v>
      </c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8"/>
      <c r="P560" s="648"/>
      <c r="Q560" s="648"/>
      <c r="R560" s="648"/>
      <c r="S560" s="648"/>
      <c r="T560" s="648"/>
      <c r="U560" s="648"/>
      <c r="V560" s="648"/>
      <c r="W560" s="648"/>
      <c r="X560" s="648"/>
      <c r="Y560" s="648"/>
      <c r="Z560" s="648"/>
      <c r="AA560" s="630"/>
      <c r="AB560" s="630"/>
      <c r="AC560" s="630"/>
    </row>
    <row r="561" spans="1:68" ht="14.25" hidden="1" customHeight="1" x14ac:dyDescent="0.25">
      <c r="A561" s="653" t="s">
        <v>155</v>
      </c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8"/>
      <c r="P561" s="648"/>
      <c r="Q561" s="648"/>
      <c r="R561" s="648"/>
      <c r="S561" s="648"/>
      <c r="T561" s="648"/>
      <c r="U561" s="648"/>
      <c r="V561" s="648"/>
      <c r="W561" s="648"/>
      <c r="X561" s="648"/>
      <c r="Y561" s="648"/>
      <c r="Z561" s="648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2">
        <v>4680115889798</v>
      </c>
      <c r="E562" s="643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99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0"/>
      <c r="R562" s="650"/>
      <c r="S562" s="650"/>
      <c r="T562" s="651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6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69"/>
      <c r="P563" s="644" t="s">
        <v>69</v>
      </c>
      <c r="Q563" s="640"/>
      <c r="R563" s="640"/>
      <c r="S563" s="640"/>
      <c r="T563" s="640"/>
      <c r="U563" s="640"/>
      <c r="V563" s="641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69"/>
      <c r="P564" s="644" t="s">
        <v>69</v>
      </c>
      <c r="Q564" s="640"/>
      <c r="R564" s="640"/>
      <c r="S564" s="640"/>
      <c r="T564" s="640"/>
      <c r="U564" s="640"/>
      <c r="V564" s="641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63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48"/>
      <c r="P565" s="751" t="s">
        <v>865</v>
      </c>
      <c r="Q565" s="752"/>
      <c r="R565" s="752"/>
      <c r="S565" s="752"/>
      <c r="T565" s="752"/>
      <c r="U565" s="752"/>
      <c r="V565" s="672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11219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11337.57</v>
      </c>
      <c r="Z565" s="37"/>
      <c r="AA565" s="638"/>
      <c r="AB565" s="638"/>
      <c r="AC565" s="638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48"/>
      <c r="P566" s="751" t="s">
        <v>866</v>
      </c>
      <c r="Q566" s="752"/>
      <c r="R566" s="752"/>
      <c r="S566" s="752"/>
      <c r="T566" s="752"/>
      <c r="U566" s="752"/>
      <c r="V566" s="672"/>
      <c r="W566" s="37" t="s">
        <v>67</v>
      </c>
      <c r="X566" s="637">
        <f>IFERROR(SUM(BM22:BM562),"0")</f>
        <v>11964.868718173437</v>
      </c>
      <c r="Y566" s="637">
        <f>IFERROR(SUM(BN22:BN562),"0")</f>
        <v>12090.585999999998</v>
      </c>
      <c r="Z566" s="37"/>
      <c r="AA566" s="638"/>
      <c r="AB566" s="638"/>
      <c r="AC566" s="638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48"/>
      <c r="P567" s="751" t="s">
        <v>867</v>
      </c>
      <c r="Q567" s="752"/>
      <c r="R567" s="752"/>
      <c r="S567" s="752"/>
      <c r="T567" s="752"/>
      <c r="U567" s="752"/>
      <c r="V567" s="672"/>
      <c r="W567" s="37" t="s">
        <v>868</v>
      </c>
      <c r="X567" s="38">
        <f>ROUNDUP(SUM(BO22:BO562),0)</f>
        <v>20</v>
      </c>
      <c r="Y567" s="38">
        <f>ROUNDUP(SUM(BP22:BP562),0)</f>
        <v>20</v>
      </c>
      <c r="Z567" s="37"/>
      <c r="AA567" s="638"/>
      <c r="AB567" s="638"/>
      <c r="AC567" s="638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848"/>
      <c r="P568" s="751" t="s">
        <v>869</v>
      </c>
      <c r="Q568" s="752"/>
      <c r="R568" s="752"/>
      <c r="S568" s="752"/>
      <c r="T568" s="752"/>
      <c r="U568" s="752"/>
      <c r="V568" s="672"/>
      <c r="W568" s="37" t="s">
        <v>67</v>
      </c>
      <c r="X568" s="637">
        <f>GrossWeightTotal+PalletQtyTotal*25</f>
        <v>12464.868718173437</v>
      </c>
      <c r="Y568" s="637">
        <f>GrossWeightTotalR+PalletQtyTotalR*25</f>
        <v>12590.585999999998</v>
      </c>
      <c r="Z568" s="37"/>
      <c r="AA568" s="638"/>
      <c r="AB568" s="638"/>
      <c r="AC568" s="638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848"/>
      <c r="P569" s="751" t="s">
        <v>870</v>
      </c>
      <c r="Q569" s="752"/>
      <c r="R569" s="752"/>
      <c r="S569" s="752"/>
      <c r="T569" s="752"/>
      <c r="U569" s="752"/>
      <c r="V569" s="672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1779.117833745775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1795</v>
      </c>
      <c r="Z569" s="37"/>
      <c r="AA569" s="638"/>
      <c r="AB569" s="638"/>
      <c r="AC569" s="638"/>
    </row>
    <row r="570" spans="1:68" ht="14.25" hidden="1" customHeight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848"/>
      <c r="P570" s="751" t="s">
        <v>871</v>
      </c>
      <c r="Q570" s="752"/>
      <c r="R570" s="752"/>
      <c r="S570" s="752"/>
      <c r="T570" s="752"/>
      <c r="U570" s="752"/>
      <c r="V570" s="672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23.433450000000001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45" t="s">
        <v>117</v>
      </c>
      <c r="E572" s="665"/>
      <c r="F572" s="665"/>
      <c r="G572" s="665"/>
      <c r="H572" s="665"/>
      <c r="I572" s="665"/>
      <c r="J572" s="666"/>
      <c r="K572" s="645" t="s">
        <v>337</v>
      </c>
      <c r="L572" s="665"/>
      <c r="M572" s="665"/>
      <c r="N572" s="665"/>
      <c r="O572" s="665"/>
      <c r="P572" s="665"/>
      <c r="Q572" s="665"/>
      <c r="R572" s="665"/>
      <c r="S572" s="665"/>
      <c r="T572" s="665"/>
      <c r="U572" s="665"/>
      <c r="V572" s="665"/>
      <c r="W572" s="666"/>
      <c r="X572" s="645" t="s">
        <v>700</v>
      </c>
      <c r="Y572" s="666"/>
      <c r="Z572" s="645" t="s">
        <v>766</v>
      </c>
      <c r="AA572" s="666"/>
      <c r="AB572" s="632" t="s">
        <v>799</v>
      </c>
      <c r="AC572" s="645" t="s">
        <v>843</v>
      </c>
      <c r="AD572" s="666"/>
      <c r="AF572" s="633"/>
    </row>
    <row r="573" spans="1:68" ht="14.25" customHeight="1" thickTop="1" x14ac:dyDescent="0.2">
      <c r="A573" s="802" t="s">
        <v>874</v>
      </c>
      <c r="B573" s="645" t="s">
        <v>61</v>
      </c>
      <c r="C573" s="645" t="s">
        <v>101</v>
      </c>
      <c r="D573" s="645" t="s">
        <v>118</v>
      </c>
      <c r="E573" s="645" t="s">
        <v>134</v>
      </c>
      <c r="F573" s="645" t="s">
        <v>181</v>
      </c>
      <c r="G573" s="645" t="s">
        <v>205</v>
      </c>
      <c r="H573" s="645" t="s">
        <v>248</v>
      </c>
      <c r="I573" s="645" t="s">
        <v>261</v>
      </c>
      <c r="J573" s="645" t="s">
        <v>117</v>
      </c>
      <c r="K573" s="645" t="s">
        <v>338</v>
      </c>
      <c r="L573" s="645" t="s">
        <v>359</v>
      </c>
      <c r="M573" s="645" t="s">
        <v>422</v>
      </c>
      <c r="N573" s="633"/>
      <c r="O573" s="645" t="s">
        <v>491</v>
      </c>
      <c r="P573" s="645" t="s">
        <v>526</v>
      </c>
      <c r="Q573" s="645" t="s">
        <v>548</v>
      </c>
      <c r="R573" s="645" t="s">
        <v>557</v>
      </c>
      <c r="S573" s="645" t="s">
        <v>579</v>
      </c>
      <c r="T573" s="645" t="s">
        <v>586</v>
      </c>
      <c r="U573" s="645" t="s">
        <v>595</v>
      </c>
      <c r="V573" s="645" t="s">
        <v>681</v>
      </c>
      <c r="W573" s="645" t="s">
        <v>690</v>
      </c>
      <c r="X573" s="645" t="s">
        <v>701</v>
      </c>
      <c r="Y573" s="645" t="s">
        <v>750</v>
      </c>
      <c r="Z573" s="645" t="s">
        <v>767</v>
      </c>
      <c r="AA573" s="645" t="s">
        <v>787</v>
      </c>
      <c r="AB573" s="645" t="s">
        <v>799</v>
      </c>
      <c r="AC573" s="645" t="s">
        <v>843</v>
      </c>
      <c r="AD573" s="645" t="s">
        <v>861</v>
      </c>
      <c r="AF573" s="633"/>
    </row>
    <row r="574" spans="1:68" ht="13.5" customHeight="1" thickBot="1" x14ac:dyDescent="0.25">
      <c r="A574" s="803"/>
      <c r="B574" s="646"/>
      <c r="C574" s="646"/>
      <c r="D574" s="646"/>
      <c r="E574" s="646"/>
      <c r="F574" s="646"/>
      <c r="G574" s="646"/>
      <c r="H574" s="646"/>
      <c r="I574" s="646"/>
      <c r="J574" s="646"/>
      <c r="K574" s="646"/>
      <c r="L574" s="646"/>
      <c r="M574" s="646"/>
      <c r="N574" s="633"/>
      <c r="O574" s="646"/>
      <c r="P574" s="646"/>
      <c r="Q574" s="646"/>
      <c r="R574" s="646"/>
      <c r="S574" s="646"/>
      <c r="T574" s="646"/>
      <c r="U574" s="646"/>
      <c r="V574" s="646"/>
      <c r="W574" s="646"/>
      <c r="X574" s="646"/>
      <c r="Y574" s="646"/>
      <c r="Z574" s="646"/>
      <c r="AA574" s="646"/>
      <c r="AB574" s="646"/>
      <c r="AC574" s="646"/>
      <c r="AD574" s="646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1166.4000000000001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541.20000000000005</v>
      </c>
      <c r="F575" s="46">
        <f>IFERROR(Y89*1,"0")+IFERROR(Y90*1,"0")+IFERROR(Y91*1,"0")+IFERROR(Y92*1,"0")+IFERROR(Y93*1,"0")+IFERROR(Y94*1,"0")+IFERROR(Y98*1,"0")+IFERROR(Y99*1,"0")+IFERROR(Y100*1,"0")+IFERROR(Y101*1,"0")</f>
        <v>837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1449.72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1324.2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0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241.79999999999998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241.35</v>
      </c>
      <c r="V575" s="46">
        <f>IFERROR(Y424*1,"0")+IFERROR(Y425*1,"0")+IFERROR(Y426*1,"0")</f>
        <v>0</v>
      </c>
      <c r="W575" s="46">
        <f>IFERROR(Y431*1,"0")+IFERROR(Y432*1,"0")+IFERROR(Y433*1,"0")</f>
        <v>44.1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1575</v>
      </c>
      <c r="Y575" s="46">
        <f>IFERROR(Y468*1,"0")+IFERROR(Y469*1,"0")+IFERROR(Y473*1,"0")+IFERROR(Y477*1,"0")+IFERROR(Y478*1,"0")+IFERROR(Y479*1,"0")</f>
        <v>648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3268.7999999999997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058,00"/>
        <filter val="1 159,00"/>
        <filter val="1 471,00"/>
        <filter val="1 779,12"/>
        <filter val="104,00"/>
        <filter val="107,31"/>
        <filter val="11 219,00"/>
        <filter val="11 964,87"/>
        <filter val="119,63"/>
        <filter val="12 464,87"/>
        <filter val="120,00"/>
        <filter val="127,00"/>
        <filter val="137,12"/>
        <filter val="16,28"/>
        <filter val="169,00"/>
        <filter val="189,00"/>
        <filter val="20"/>
        <filter val="20,95"/>
        <filter val="200,38"/>
        <filter val="204,00"/>
        <filter val="206,91"/>
        <filter val="212,00"/>
        <filter val="219,80"/>
        <filter val="22,00"/>
        <filter val="239,00"/>
        <filter val="260,00"/>
        <filter val="27,18"/>
        <filter val="284,45"/>
        <filter val="288,00"/>
        <filter val="296,00"/>
        <filter val="30,00"/>
        <filter val="30,64"/>
        <filter val="31,67"/>
        <filter val="32,73"/>
        <filter val="323,00"/>
        <filter val="33,84"/>
        <filter val="338,00"/>
        <filter val="342,00"/>
        <filter val="35,87"/>
        <filter val="357,00"/>
        <filter val="400,00"/>
        <filter val="423,00"/>
        <filter val="44,00"/>
        <filter val="45,07"/>
        <filter val="491,00"/>
        <filter val="561,00"/>
        <filter val="59,00"/>
        <filter val="62,00"/>
        <filter val="646,00"/>
        <filter val="67,00"/>
        <filter val="68,00"/>
        <filter val="70,53"/>
        <filter val="707,00"/>
        <filter val="71,78"/>
        <filter val="724,00"/>
        <filter val="78,33"/>
        <filter val="8,63"/>
        <filter val="885,00"/>
        <filter val="91,00"/>
      </filters>
    </filterColumn>
    <filterColumn colId="29" showButton="0"/>
    <filterColumn colId="30" showButton="0"/>
  </autoFilter>
  <mergeCells count="1009"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2026-10-23T12:08:54Z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