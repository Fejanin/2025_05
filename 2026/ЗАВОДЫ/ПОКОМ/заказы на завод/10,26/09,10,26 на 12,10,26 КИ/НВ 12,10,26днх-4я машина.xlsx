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4973013-33F2-49A6-8560-655D49FF20B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X544" i="1"/>
  <c r="BO543" i="1"/>
  <c r="BM543" i="1"/>
  <c r="Y543" i="1"/>
  <c r="P543" i="1"/>
  <c r="X540" i="1"/>
  <c r="X539" i="1"/>
  <c r="BO538" i="1"/>
  <c r="BM538" i="1"/>
  <c r="Y538" i="1"/>
  <c r="P538" i="1"/>
  <c r="BO537" i="1"/>
  <c r="BM537" i="1"/>
  <c r="Y537" i="1"/>
  <c r="Y539" i="1" s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BN514" i="1" s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BO510" i="1"/>
  <c r="BN510" i="1"/>
  <c r="BM510" i="1"/>
  <c r="Y510" i="1"/>
  <c r="BP510" i="1" s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N498" i="1"/>
  <c r="BM498" i="1"/>
  <c r="Y498" i="1"/>
  <c r="BP498" i="1" s="1"/>
  <c r="P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P492" i="1"/>
  <c r="X488" i="1"/>
  <c r="X487" i="1"/>
  <c r="BO486" i="1"/>
  <c r="BM486" i="1"/>
  <c r="Y486" i="1"/>
  <c r="P486" i="1"/>
  <c r="BO485" i="1"/>
  <c r="BM485" i="1"/>
  <c r="Y485" i="1"/>
  <c r="P485" i="1"/>
  <c r="BO484" i="1"/>
  <c r="BN484" i="1"/>
  <c r="BM484" i="1"/>
  <c r="Y484" i="1"/>
  <c r="BP484" i="1" s="1"/>
  <c r="P484" i="1"/>
  <c r="X482" i="1"/>
  <c r="X481" i="1"/>
  <c r="BO480" i="1"/>
  <c r="BM480" i="1"/>
  <c r="Y480" i="1"/>
  <c r="Y482" i="1" s="1"/>
  <c r="P480" i="1"/>
  <c r="X477" i="1"/>
  <c r="Y476" i="1"/>
  <c r="X476" i="1"/>
  <c r="BO475" i="1"/>
  <c r="BN475" i="1"/>
  <c r="BM475" i="1"/>
  <c r="Y475" i="1"/>
  <c r="Y477" i="1" s="1"/>
  <c r="P475" i="1"/>
  <c r="X473" i="1"/>
  <c r="X472" i="1"/>
  <c r="BO471" i="1"/>
  <c r="BM471" i="1"/>
  <c r="Y471" i="1"/>
  <c r="P471" i="1"/>
  <c r="BO470" i="1"/>
  <c r="BM470" i="1"/>
  <c r="Y470" i="1"/>
  <c r="P470" i="1"/>
  <c r="BO469" i="1"/>
  <c r="BN469" i="1"/>
  <c r="BM469" i="1"/>
  <c r="Y469" i="1"/>
  <c r="BP469" i="1" s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BN459" i="1" s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M449" i="1"/>
  <c r="Y449" i="1"/>
  <c r="P449" i="1"/>
  <c r="X446" i="1"/>
  <c r="X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BN432" i="1" s="1"/>
  <c r="P432" i="1"/>
  <c r="BO431" i="1"/>
  <c r="BM431" i="1"/>
  <c r="Y431" i="1"/>
  <c r="P431" i="1"/>
  <c r="X429" i="1"/>
  <c r="X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BN420" i="1" s="1"/>
  <c r="P420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N406" i="1"/>
  <c r="BM406" i="1"/>
  <c r="Y406" i="1"/>
  <c r="BP406" i="1" s="1"/>
  <c r="P406" i="1"/>
  <c r="X403" i="1"/>
  <c r="X402" i="1"/>
  <c r="BP401" i="1"/>
  <c r="BO401" i="1"/>
  <c r="BM401" i="1"/>
  <c r="Z401" i="1"/>
  <c r="Y401" i="1"/>
  <c r="BN401" i="1" s="1"/>
  <c r="P401" i="1"/>
  <c r="BO400" i="1"/>
  <c r="BM400" i="1"/>
  <c r="Y400" i="1"/>
  <c r="P400" i="1"/>
  <c r="BO399" i="1"/>
  <c r="BM399" i="1"/>
  <c r="Y399" i="1"/>
  <c r="Y402" i="1" s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P393" i="1"/>
  <c r="X391" i="1"/>
  <c r="X390" i="1"/>
  <c r="BO389" i="1"/>
  <c r="BN389" i="1"/>
  <c r="BM389" i="1"/>
  <c r="Y389" i="1"/>
  <c r="BP389" i="1" s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BN381" i="1" s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P373" i="1"/>
  <c r="BO373" i="1"/>
  <c r="BM373" i="1"/>
  <c r="Z373" i="1"/>
  <c r="Y373" i="1"/>
  <c r="BN373" i="1" s="1"/>
  <c r="P373" i="1"/>
  <c r="X371" i="1"/>
  <c r="X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P363" i="1"/>
  <c r="BO363" i="1"/>
  <c r="BM363" i="1"/>
  <c r="Z363" i="1"/>
  <c r="Y363" i="1"/>
  <c r="BN363" i="1" s="1"/>
  <c r="P363" i="1"/>
  <c r="X361" i="1"/>
  <c r="X360" i="1"/>
  <c r="BO359" i="1"/>
  <c r="BM359" i="1"/>
  <c r="Y359" i="1"/>
  <c r="P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P353" i="1"/>
  <c r="BO353" i="1"/>
  <c r="BM353" i="1"/>
  <c r="Z353" i="1"/>
  <c r="Y353" i="1"/>
  <c r="BN353" i="1" s="1"/>
  <c r="P353" i="1"/>
  <c r="X350" i="1"/>
  <c r="Y349" i="1"/>
  <c r="X349" i="1"/>
  <c r="BO348" i="1"/>
  <c r="BN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BN341" i="1" s="1"/>
  <c r="P341" i="1"/>
  <c r="BO340" i="1"/>
  <c r="BM340" i="1"/>
  <c r="Y340" i="1"/>
  <c r="P340" i="1"/>
  <c r="BO339" i="1"/>
  <c r="BM339" i="1"/>
  <c r="Y339" i="1"/>
  <c r="P339" i="1"/>
  <c r="X337" i="1"/>
  <c r="X336" i="1"/>
  <c r="BP335" i="1"/>
  <c r="BO335" i="1"/>
  <c r="BM335" i="1"/>
  <c r="Z335" i="1"/>
  <c r="Y335" i="1"/>
  <c r="BN335" i="1" s="1"/>
  <c r="P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P556" i="1" s="1"/>
  <c r="P318" i="1"/>
  <c r="BO317" i="1"/>
  <c r="BN317" i="1"/>
  <c r="BM317" i="1"/>
  <c r="Y317" i="1"/>
  <c r="BP317" i="1" s="1"/>
  <c r="P317" i="1"/>
  <c r="BO316" i="1"/>
  <c r="BM316" i="1"/>
  <c r="Y316" i="1"/>
  <c r="P316" i="1"/>
  <c r="BO315" i="1"/>
  <c r="BM315" i="1"/>
  <c r="Z315" i="1"/>
  <c r="Y315" i="1"/>
  <c r="BN315" i="1" s="1"/>
  <c r="P315" i="1"/>
  <c r="X312" i="1"/>
  <c r="X311" i="1"/>
  <c r="BO310" i="1"/>
  <c r="BM310" i="1"/>
  <c r="Y310" i="1"/>
  <c r="BP310" i="1" s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N296" i="1" s="1"/>
  <c r="P296" i="1"/>
  <c r="BO295" i="1"/>
  <c r="BM295" i="1"/>
  <c r="Y295" i="1"/>
  <c r="P295" i="1"/>
  <c r="BO294" i="1"/>
  <c r="BM294" i="1"/>
  <c r="Y294" i="1"/>
  <c r="BP294" i="1" s="1"/>
  <c r="P294" i="1"/>
  <c r="BO293" i="1"/>
  <c r="BM293" i="1"/>
  <c r="Y293" i="1"/>
  <c r="P293" i="1"/>
  <c r="BO292" i="1"/>
  <c r="BN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M285" i="1"/>
  <c r="Y285" i="1"/>
  <c r="Y287" i="1" s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M277" i="1"/>
  <c r="Z277" i="1"/>
  <c r="Y277" i="1"/>
  <c r="BN277" i="1" s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O273" i="1"/>
  <c r="BM273" i="1"/>
  <c r="Y273" i="1"/>
  <c r="BN273" i="1" s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P264" i="1"/>
  <c r="BO264" i="1"/>
  <c r="BM264" i="1"/>
  <c r="Z264" i="1"/>
  <c r="Y264" i="1"/>
  <c r="BN264" i="1" s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Y260" i="1"/>
  <c r="BN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P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Y251" i="1" s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N239" i="1"/>
  <c r="BM239" i="1"/>
  <c r="Y239" i="1"/>
  <c r="BP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N231" i="1" s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M223" i="1"/>
  <c r="Z223" i="1"/>
  <c r="Y223" i="1"/>
  <c r="BN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N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N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N184" i="1"/>
  <c r="BM184" i="1"/>
  <c r="Y184" i="1"/>
  <c r="BP184" i="1" s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O178" i="1"/>
  <c r="BM178" i="1"/>
  <c r="Y178" i="1"/>
  <c r="BN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N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O166" i="1"/>
  <c r="BM166" i="1"/>
  <c r="Y166" i="1"/>
  <c r="BN166" i="1" s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P160" i="1"/>
  <c r="BO160" i="1"/>
  <c r="BM160" i="1"/>
  <c r="Z160" i="1"/>
  <c r="Y160" i="1"/>
  <c r="BN160" i="1" s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N148" i="1" s="1"/>
  <c r="P148" i="1"/>
  <c r="BO147" i="1"/>
  <c r="BM147" i="1"/>
  <c r="Y147" i="1"/>
  <c r="BP147" i="1" s="1"/>
  <c r="P147" i="1"/>
  <c r="X144" i="1"/>
  <c r="X143" i="1"/>
  <c r="BO142" i="1"/>
  <c r="BM142" i="1"/>
  <c r="Y142" i="1"/>
  <c r="P142" i="1"/>
  <c r="BO141" i="1"/>
  <c r="BM141" i="1"/>
  <c r="Y141" i="1"/>
  <c r="Y143" i="1" s="1"/>
  <c r="P141" i="1"/>
  <c r="X139" i="1"/>
  <c r="X138" i="1"/>
  <c r="BO137" i="1"/>
  <c r="BN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BP131" i="1" s="1"/>
  <c r="P131" i="1"/>
  <c r="X128" i="1"/>
  <c r="X127" i="1"/>
  <c r="BO126" i="1"/>
  <c r="BM126" i="1"/>
  <c r="Y126" i="1"/>
  <c r="Y128" i="1" s="1"/>
  <c r="P126" i="1"/>
  <c r="X124" i="1"/>
  <c r="X123" i="1"/>
  <c r="BO122" i="1"/>
  <c r="BM122" i="1"/>
  <c r="Y122" i="1"/>
  <c r="BN122" i="1" s="1"/>
  <c r="P122" i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Y123" i="1" s="1"/>
  <c r="P119" i="1"/>
  <c r="X117" i="1"/>
  <c r="X116" i="1"/>
  <c r="BO115" i="1"/>
  <c r="BM115" i="1"/>
  <c r="Y115" i="1"/>
  <c r="BP115" i="1" s="1"/>
  <c r="P115" i="1"/>
  <c r="BP114" i="1"/>
  <c r="BO114" i="1"/>
  <c r="BM114" i="1"/>
  <c r="Z114" i="1"/>
  <c r="Y114" i="1"/>
  <c r="BN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Y117" i="1" s="1"/>
  <c r="P111" i="1"/>
  <c r="X109" i="1"/>
  <c r="X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P102" i="1"/>
  <c r="BO102" i="1"/>
  <c r="BM102" i="1"/>
  <c r="Z102" i="1"/>
  <c r="Y102" i="1"/>
  <c r="BN102" i="1" s="1"/>
  <c r="P102" i="1"/>
  <c r="BO101" i="1"/>
  <c r="BM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Y98" i="1" s="1"/>
  <c r="P94" i="1"/>
  <c r="BP93" i="1"/>
  <c r="BO93" i="1"/>
  <c r="BN93" i="1"/>
  <c r="BM93" i="1"/>
  <c r="Z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N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BN78" i="1" s="1"/>
  <c r="P78" i="1"/>
  <c r="BO77" i="1"/>
  <c r="BM77" i="1"/>
  <c r="Y77" i="1"/>
  <c r="P77" i="1"/>
  <c r="X75" i="1"/>
  <c r="X74" i="1"/>
  <c r="BO73" i="1"/>
  <c r="BM73" i="1"/>
  <c r="Y73" i="1"/>
  <c r="P73" i="1"/>
  <c r="BO72" i="1"/>
  <c r="BM72" i="1"/>
  <c r="Y72" i="1"/>
  <c r="Y74" i="1" s="1"/>
  <c r="P72" i="1"/>
  <c r="X70" i="1"/>
  <c r="X69" i="1"/>
  <c r="BO68" i="1"/>
  <c r="BN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N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N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X51" i="1"/>
  <c r="X50" i="1"/>
  <c r="BO49" i="1"/>
  <c r="BM49" i="1"/>
  <c r="Y49" i="1"/>
  <c r="BN49" i="1" s="1"/>
  <c r="P49" i="1"/>
  <c r="BO48" i="1"/>
  <c r="BM48" i="1"/>
  <c r="Y48" i="1"/>
  <c r="BP48" i="1" s="1"/>
  <c r="P48" i="1"/>
  <c r="BO47" i="1"/>
  <c r="BM47" i="1"/>
  <c r="Y47" i="1"/>
  <c r="BP47" i="1" s="1"/>
  <c r="P47" i="1"/>
  <c r="BO46" i="1"/>
  <c r="BM46" i="1"/>
  <c r="Y46" i="1"/>
  <c r="P46" i="1"/>
  <c r="X42" i="1"/>
  <c r="X41" i="1"/>
  <c r="BO40" i="1"/>
  <c r="BM40" i="1"/>
  <c r="Y40" i="1"/>
  <c r="BP40" i="1" s="1"/>
  <c r="P40" i="1"/>
  <c r="BP39" i="1"/>
  <c r="BO39" i="1"/>
  <c r="BM39" i="1"/>
  <c r="Z39" i="1"/>
  <c r="Y39" i="1"/>
  <c r="BN39" i="1" s="1"/>
  <c r="P39" i="1"/>
  <c r="BO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C556" i="1" s="1"/>
  <c r="P36" i="1"/>
  <c r="X32" i="1"/>
  <c r="X31" i="1"/>
  <c r="BO30" i="1"/>
  <c r="BM30" i="1"/>
  <c r="Y30" i="1"/>
  <c r="BP30" i="1" s="1"/>
  <c r="P30" i="1"/>
  <c r="BO29" i="1"/>
  <c r="BN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546" i="1" s="1"/>
  <c r="X23" i="1"/>
  <c r="BO22" i="1"/>
  <c r="BM22" i="1"/>
  <c r="Y22" i="1"/>
  <c r="B556" i="1" s="1"/>
  <c r="P22" i="1"/>
  <c r="H10" i="1"/>
  <c r="A9" i="1"/>
  <c r="A10" i="1" s="1"/>
  <c r="D7" i="1"/>
  <c r="Q6" i="1"/>
  <c r="P2" i="1"/>
  <c r="D556" i="1" l="1"/>
  <c r="BP78" i="1"/>
  <c r="Z148" i="1"/>
  <c r="Z166" i="1"/>
  <c r="Y181" i="1"/>
  <c r="Z178" i="1"/>
  <c r="Z219" i="1"/>
  <c r="BP231" i="1"/>
  <c r="BP260" i="1"/>
  <c r="BP273" i="1"/>
  <c r="BP296" i="1"/>
  <c r="BP341" i="1"/>
  <c r="Z381" i="1"/>
  <c r="BP420" i="1"/>
  <c r="Z432" i="1"/>
  <c r="Z459" i="1"/>
  <c r="BP459" i="1"/>
  <c r="Z480" i="1"/>
  <c r="Z481" i="1" s="1"/>
  <c r="BP480" i="1"/>
  <c r="Z514" i="1"/>
  <c r="BP514" i="1"/>
  <c r="X548" i="1"/>
  <c r="Y32" i="1"/>
  <c r="Z56" i="1"/>
  <c r="Z68" i="1"/>
  <c r="Z87" i="1"/>
  <c r="Z137" i="1"/>
  <c r="Z174" i="1"/>
  <c r="Z184" i="1"/>
  <c r="Z215" i="1"/>
  <c r="Z239" i="1"/>
  <c r="Z292" i="1"/>
  <c r="Z317" i="1"/>
  <c r="Z348" i="1"/>
  <c r="Z389" i="1"/>
  <c r="Z406" i="1"/>
  <c r="Z469" i="1"/>
  <c r="Z510" i="1"/>
  <c r="Z49" i="1"/>
  <c r="BP49" i="1"/>
  <c r="Z60" i="1"/>
  <c r="BP60" i="1"/>
  <c r="Z78" i="1"/>
  <c r="F556" i="1"/>
  <c r="Z122" i="1"/>
  <c r="BP122" i="1"/>
  <c r="BP148" i="1"/>
  <c r="BP166" i="1"/>
  <c r="BP178" i="1"/>
  <c r="BP219" i="1"/>
  <c r="Z231" i="1"/>
  <c r="Z260" i="1"/>
  <c r="Z273" i="1"/>
  <c r="Z296" i="1"/>
  <c r="Z341" i="1"/>
  <c r="BP381" i="1"/>
  <c r="Z420" i="1"/>
  <c r="BP432" i="1"/>
  <c r="Z29" i="1"/>
  <c r="Z475" i="1"/>
  <c r="Z476" i="1" s="1"/>
  <c r="BP475" i="1"/>
  <c r="BN480" i="1"/>
  <c r="Y481" i="1"/>
  <c r="Z484" i="1"/>
  <c r="Z487" i="1" s="1"/>
  <c r="Z498" i="1"/>
  <c r="BP319" i="1"/>
  <c r="BN319" i="1"/>
  <c r="Z319" i="1"/>
  <c r="BP339" i="1"/>
  <c r="BN339" i="1"/>
  <c r="Z339" i="1"/>
  <c r="BP355" i="1"/>
  <c r="BN355" i="1"/>
  <c r="Z355" i="1"/>
  <c r="BP365" i="1"/>
  <c r="BN365" i="1"/>
  <c r="Z365" i="1"/>
  <c r="BP375" i="1"/>
  <c r="BN375" i="1"/>
  <c r="Z375" i="1"/>
  <c r="BP393" i="1"/>
  <c r="BN393" i="1"/>
  <c r="Z393" i="1"/>
  <c r="BP413" i="1"/>
  <c r="BN413" i="1"/>
  <c r="Z413" i="1"/>
  <c r="BP426" i="1"/>
  <c r="BN426" i="1"/>
  <c r="Z426" i="1"/>
  <c r="Y451" i="1"/>
  <c r="BP449" i="1"/>
  <c r="BN449" i="1"/>
  <c r="Z449" i="1"/>
  <c r="BP471" i="1"/>
  <c r="BN471" i="1"/>
  <c r="Z471" i="1"/>
  <c r="BP496" i="1"/>
  <c r="BN496" i="1"/>
  <c r="Z496" i="1"/>
  <c r="BP512" i="1"/>
  <c r="BN512" i="1"/>
  <c r="Z512" i="1"/>
  <c r="X547" i="1"/>
  <c r="X549" i="1" s="1"/>
  <c r="X550" i="1"/>
  <c r="Z27" i="1"/>
  <c r="BN27" i="1"/>
  <c r="Z37" i="1"/>
  <c r="BN37" i="1"/>
  <c r="Z47" i="1"/>
  <c r="BN47" i="1"/>
  <c r="Z54" i="1"/>
  <c r="BN54" i="1"/>
  <c r="Y63" i="1"/>
  <c r="Z58" i="1"/>
  <c r="BN58" i="1"/>
  <c r="Z66" i="1"/>
  <c r="BN66" i="1"/>
  <c r="Z72" i="1"/>
  <c r="BN72" i="1"/>
  <c r="BP72" i="1"/>
  <c r="Y75" i="1"/>
  <c r="Y81" i="1"/>
  <c r="Z85" i="1"/>
  <c r="BN85" i="1"/>
  <c r="Z89" i="1"/>
  <c r="BN89" i="1"/>
  <c r="Y97" i="1"/>
  <c r="Z95" i="1"/>
  <c r="BN95" i="1"/>
  <c r="G556" i="1"/>
  <c r="Z104" i="1"/>
  <c r="BN104" i="1"/>
  <c r="Z112" i="1"/>
  <c r="BN112" i="1"/>
  <c r="Z120" i="1"/>
  <c r="BN120" i="1"/>
  <c r="Z126" i="1"/>
  <c r="Z127" i="1" s="1"/>
  <c r="BN126" i="1"/>
  <c r="BP126" i="1"/>
  <c r="Y127" i="1"/>
  <c r="Z131" i="1"/>
  <c r="BN131" i="1"/>
  <c r="Y134" i="1"/>
  <c r="Z141" i="1"/>
  <c r="BN141" i="1"/>
  <c r="BP141" i="1"/>
  <c r="Y144" i="1"/>
  <c r="Z150" i="1"/>
  <c r="BN150" i="1"/>
  <c r="Z162" i="1"/>
  <c r="BN162" i="1"/>
  <c r="Z172" i="1"/>
  <c r="BN172" i="1"/>
  <c r="Z176" i="1"/>
  <c r="BN176" i="1"/>
  <c r="Z180" i="1"/>
  <c r="BN180" i="1"/>
  <c r="Y186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Y242" i="1"/>
  <c r="Z250" i="1"/>
  <c r="BN250" i="1"/>
  <c r="Z254" i="1"/>
  <c r="BN254" i="1"/>
  <c r="Z262" i="1"/>
  <c r="BN262" i="1"/>
  <c r="Z271" i="1"/>
  <c r="BN271" i="1"/>
  <c r="Z275" i="1"/>
  <c r="BN275" i="1"/>
  <c r="Z279" i="1"/>
  <c r="BN279" i="1"/>
  <c r="Z285" i="1"/>
  <c r="BN285" i="1"/>
  <c r="BP285" i="1"/>
  <c r="Z294" i="1"/>
  <c r="BN294" i="1"/>
  <c r="Z310" i="1"/>
  <c r="BN310" i="1"/>
  <c r="Y321" i="1"/>
  <c r="BP315" i="1"/>
  <c r="BP333" i="1"/>
  <c r="BN333" i="1"/>
  <c r="Z333" i="1"/>
  <c r="BP346" i="1"/>
  <c r="BN346" i="1"/>
  <c r="Z346" i="1"/>
  <c r="BP359" i="1"/>
  <c r="BN359" i="1"/>
  <c r="Z359" i="1"/>
  <c r="BP369" i="1"/>
  <c r="BN369" i="1"/>
  <c r="Z369" i="1"/>
  <c r="BP387" i="1"/>
  <c r="BN387" i="1"/>
  <c r="Z387" i="1"/>
  <c r="Y403" i="1"/>
  <c r="BP399" i="1"/>
  <c r="BN399" i="1"/>
  <c r="Z399" i="1"/>
  <c r="BP422" i="1"/>
  <c r="BN422" i="1"/>
  <c r="Z422" i="1"/>
  <c r="BP438" i="1"/>
  <c r="BN438" i="1"/>
  <c r="Z438" i="1"/>
  <c r="BP467" i="1"/>
  <c r="BN467" i="1"/>
  <c r="Z467" i="1"/>
  <c r="BP486" i="1"/>
  <c r="BN486" i="1"/>
  <c r="Z486" i="1"/>
  <c r="BP492" i="1"/>
  <c r="BN492" i="1"/>
  <c r="Z492" i="1"/>
  <c r="BP504" i="1"/>
  <c r="BN504" i="1"/>
  <c r="Z504" i="1"/>
  <c r="BP538" i="1"/>
  <c r="BN538" i="1"/>
  <c r="Z538" i="1"/>
  <c r="AC556" i="1"/>
  <c r="Y544" i="1"/>
  <c r="BP543" i="1"/>
  <c r="BN543" i="1"/>
  <c r="Z543" i="1"/>
  <c r="Z544" i="1" s="1"/>
  <c r="Y371" i="1"/>
  <c r="Y488" i="1"/>
  <c r="Y487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6" i="1"/>
  <c r="BN36" i="1"/>
  <c r="BP36" i="1"/>
  <c r="Z38" i="1"/>
  <c r="BN38" i="1"/>
  <c r="Z40" i="1"/>
  <c r="BN40" i="1"/>
  <c r="Y41" i="1"/>
  <c r="Z46" i="1"/>
  <c r="BN46" i="1"/>
  <c r="BP46" i="1"/>
  <c r="Z48" i="1"/>
  <c r="BN48" i="1"/>
  <c r="Y51" i="1"/>
  <c r="E556" i="1"/>
  <c r="Z55" i="1"/>
  <c r="BN55" i="1"/>
  <c r="BP55" i="1"/>
  <c r="Z57" i="1"/>
  <c r="BN57" i="1"/>
  <c r="Z59" i="1"/>
  <c r="BN59" i="1"/>
  <c r="Z61" i="1"/>
  <c r="BN61" i="1"/>
  <c r="Y62" i="1"/>
  <c r="Z65" i="1"/>
  <c r="BN65" i="1"/>
  <c r="BP65" i="1"/>
  <c r="Z67" i="1"/>
  <c r="BN67" i="1"/>
  <c r="Y70" i="1"/>
  <c r="Z73" i="1"/>
  <c r="Z74" i="1" s="1"/>
  <c r="BN73" i="1"/>
  <c r="BP73" i="1"/>
  <c r="Z77" i="1"/>
  <c r="BN77" i="1"/>
  <c r="BP77" i="1"/>
  <c r="Z79" i="1"/>
  <c r="BN79" i="1"/>
  <c r="Y80" i="1"/>
  <c r="Z84" i="1"/>
  <c r="BN84" i="1"/>
  <c r="BP84" i="1"/>
  <c r="Z86" i="1"/>
  <c r="BN86" i="1"/>
  <c r="Z88" i="1"/>
  <c r="BN88" i="1"/>
  <c r="Y91" i="1"/>
  <c r="Z94" i="1"/>
  <c r="BN94" i="1"/>
  <c r="BP94" i="1"/>
  <c r="Z96" i="1"/>
  <c r="BN96" i="1"/>
  <c r="Z101" i="1"/>
  <c r="BN101" i="1"/>
  <c r="BP101" i="1"/>
  <c r="Z103" i="1"/>
  <c r="BN103" i="1"/>
  <c r="Z105" i="1"/>
  <c r="BN105" i="1"/>
  <c r="Z107" i="1"/>
  <c r="BN107" i="1"/>
  <c r="Y108" i="1"/>
  <c r="Z111" i="1"/>
  <c r="BN111" i="1"/>
  <c r="BP111" i="1"/>
  <c r="Z113" i="1"/>
  <c r="BN113" i="1"/>
  <c r="Z115" i="1"/>
  <c r="BN115" i="1"/>
  <c r="Y116" i="1"/>
  <c r="Z119" i="1"/>
  <c r="BN119" i="1"/>
  <c r="BP119" i="1"/>
  <c r="Z121" i="1"/>
  <c r="BN121" i="1"/>
  <c r="Y124" i="1"/>
  <c r="H556" i="1"/>
  <c r="Z132" i="1"/>
  <c r="BN132" i="1"/>
  <c r="BP132" i="1"/>
  <c r="Y133" i="1"/>
  <c r="Z136" i="1"/>
  <c r="Z138" i="1" s="1"/>
  <c r="BN136" i="1"/>
  <c r="BP136" i="1"/>
  <c r="Y139" i="1"/>
  <c r="Z142" i="1"/>
  <c r="BN142" i="1"/>
  <c r="BP142" i="1"/>
  <c r="Z147" i="1"/>
  <c r="BN147" i="1"/>
  <c r="Z149" i="1"/>
  <c r="BN149" i="1"/>
  <c r="BP161" i="1"/>
  <c r="BN161" i="1"/>
  <c r="Z161" i="1"/>
  <c r="Y168" i="1"/>
  <c r="BP173" i="1"/>
  <c r="BN173" i="1"/>
  <c r="Z173" i="1"/>
  <c r="BP177" i="1"/>
  <c r="BN177" i="1"/>
  <c r="Z177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5" i="1"/>
  <c r="BP244" i="1"/>
  <c r="BN244" i="1"/>
  <c r="Z244" i="1"/>
  <c r="Z245" i="1" s="1"/>
  <c r="Y246" i="1"/>
  <c r="M556" i="1"/>
  <c r="Y252" i="1"/>
  <c r="BP249" i="1"/>
  <c r="BN249" i="1"/>
  <c r="Z249" i="1"/>
  <c r="Y256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1" i="1" s="1"/>
  <c r="Y311" i="1"/>
  <c r="BP354" i="1"/>
  <c r="BN354" i="1"/>
  <c r="Z354" i="1"/>
  <c r="Y360" i="1"/>
  <c r="BP358" i="1"/>
  <c r="BN358" i="1"/>
  <c r="Z358" i="1"/>
  <c r="BP407" i="1"/>
  <c r="BN407" i="1"/>
  <c r="Z407" i="1"/>
  <c r="Z408" i="1" s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H9" i="1"/>
  <c r="Y24" i="1"/>
  <c r="Y42" i="1"/>
  <c r="Y50" i="1"/>
  <c r="Y90" i="1"/>
  <c r="Y109" i="1"/>
  <c r="I556" i="1"/>
  <c r="Y151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Z342" i="1" s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Y288" i="1"/>
  <c r="O556" i="1"/>
  <c r="Y298" i="1"/>
  <c r="BP291" i="1"/>
  <c r="BN291" i="1"/>
  <c r="Z291" i="1"/>
  <c r="BP295" i="1"/>
  <c r="BN295" i="1"/>
  <c r="Z295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BP334" i="1"/>
  <c r="BN334" i="1"/>
  <c r="Z334" i="1"/>
  <c r="Y343" i="1"/>
  <c r="BP347" i="1"/>
  <c r="BN347" i="1"/>
  <c r="Z347" i="1"/>
  <c r="Z349" i="1" s="1"/>
  <c r="T556" i="1"/>
  <c r="BP356" i="1"/>
  <c r="BN356" i="1"/>
  <c r="Z356" i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BP388" i="1"/>
  <c r="BN388" i="1"/>
  <c r="Z388" i="1"/>
  <c r="Y397" i="1"/>
  <c r="BP400" i="1"/>
  <c r="BN400" i="1"/>
  <c r="Z400" i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BP468" i="1"/>
  <c r="BN468" i="1"/>
  <c r="Z468" i="1"/>
  <c r="W556" i="1"/>
  <c r="Y428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56" i="1"/>
  <c r="Y500" i="1"/>
  <c r="Y545" i="1"/>
  <c r="Z287" i="1" l="1"/>
  <c r="Z461" i="1"/>
  <c r="Z321" i="1"/>
  <c r="Z62" i="1"/>
  <c r="Z383" i="1"/>
  <c r="Z143" i="1"/>
  <c r="Z539" i="1"/>
  <c r="Z402" i="1"/>
  <c r="Z298" i="1"/>
  <c r="Z251" i="1"/>
  <c r="Z500" i="1"/>
  <c r="Z440" i="1"/>
  <c r="Z370" i="1"/>
  <c r="Z360" i="1"/>
  <c r="Z328" i="1"/>
  <c r="Z377" i="1"/>
  <c r="Z241" i="1"/>
  <c r="Z235" i="1"/>
  <c r="Z163" i="1"/>
  <c r="Z133" i="1"/>
  <c r="Z97" i="1"/>
  <c r="Z90" i="1"/>
  <c r="Z80" i="1"/>
  <c r="Z50" i="1"/>
  <c r="Z41" i="1"/>
  <c r="Z31" i="1"/>
  <c r="Z428" i="1"/>
  <c r="Z516" i="1"/>
  <c r="Z390" i="1"/>
  <c r="Z267" i="1"/>
  <c r="Z181" i="1"/>
  <c r="Y546" i="1"/>
  <c r="Z472" i="1"/>
  <c r="Z206" i="1"/>
  <c r="Z151" i="1"/>
  <c r="Z123" i="1"/>
  <c r="Z116" i="1"/>
  <c r="Z108" i="1"/>
  <c r="Z69" i="1"/>
  <c r="Y550" i="1"/>
  <c r="Y547" i="1"/>
  <c r="Z434" i="1"/>
  <c r="Z282" i="1"/>
  <c r="Z336" i="1"/>
  <c r="Z227" i="1"/>
  <c r="Z415" i="1"/>
  <c r="Y548" i="1"/>
  <c r="Z551" i="1" l="1"/>
  <c r="Y549" i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<sst xmlns="http://schemas.openxmlformats.org/spreadsheetml/2006/main" count="2464" uniqueCount="894">
  <si>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</si>
  <si>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</si>
  <si>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</si>
  <si>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</si>
  <si>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</si>
  <si>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</si>
  <si>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</si>
  <si>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</si>
  <si>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</si>
  <si>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</si>
  <si>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</si>
  <si>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</si>
  <si>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</si>
  <si>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</si>
  <si>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</si>
  <si>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</si>
  <si>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</si>
  <si>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</si>
  <si>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</si>
  <si>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</si>
  <si>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</si>
  <si>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</si>
  <si>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</si>
  <si>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</si>
  <si>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</si>
  <si>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</si>
  <si>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</si>
  <si>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</si>
  <si>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</si>
  <si>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</si>
  <si>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</si>
  <si>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</si>
  <si>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</si>
  <si>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</si>
  <si>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</si>
  <si>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</si>
  <si>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</si>
  <si>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</si>
  <si>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</si>
  <si>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</si>
  <si>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</si>
  <si>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</si>
  <si>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</si>
  <si>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</si>
  <si>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</si>
  <si>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</si>
  <si>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</si>
  <si>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</si>
  <si>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</si>
  <si>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</si>
  <si>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</si>
  <si>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</si>
  <si>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</si>
  <si>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</si>
  <si>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</si>
  <si>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</si>
  <si>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</si>
  <si>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</si>
  <si>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</si>
  <si>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</si>
  <si>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</si>
  <si>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</si>
  <si>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</si>
  <si>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</si>
  <si>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</si>
  <si>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</si>
  <si>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</si>
  <si>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</si>
  <si>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</si>
  <si>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</si>
  <si>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</si>
  <si>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</si>
  <si>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</si>
  <si>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</si>
  <si>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</si>
  <si>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</si>
  <si>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</si>
  <si>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</si>
  <si>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</si>
  <si>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</si>
  <si>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</si>
  <si>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</si>
  <si>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</si>
  <si>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</si>
  <si>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</si>
  <si>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</si>
  <si>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</si>
  <si>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</si>
  <si>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</si>
  <si>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</si>
  <si>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</si>
  <si>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</si>
  <si>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</si>
  <si>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</si>
  <si>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</si>
  <si>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</si>
  <si>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</si>
  <si>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</si>
  <si>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</si>
  <si>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</si>
  <si>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</si>
  <si>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</si>
  <si>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</si>
  <si>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</si>
  <si>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</si>
  <si>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</si>
  <si>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</si>
  <si>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</si>
  <si>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</si>
  <si>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</si>
  <si>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</si>
  <si>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</si>
  <si>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</si>
  <si>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</si>
  <si>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</si>
  <si>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</si>
  <si>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</si>
  <si>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</si>
  <si>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</si>
  <si>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</si>
  <si>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</si>
  <si>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</si>
  <si>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</si>
  <si>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</si>
  <si>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</si>
  <si>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</si>
  <si>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</si>
  <si>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</si>
  <si>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</si>
  <si>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</si>
  <si>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</si>
  <si>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</si>
  <si>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</si>
  <si>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</si>
  <si>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</si>
  <si>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</si>
  <si>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</si>
  <si>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</si>
  <si>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</si>
  <si>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</si>
  <si>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</si>
  <si>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</si>
  <si>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</si>
  <si>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</si>
  <si>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</si>
  <si>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</si>
  <si>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</si>
  <si>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</si>
  <si>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</si>
  <si>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</si>
  <si>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</si>
  <si>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</si>
  <si>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</si>
  <si>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</si>
  <si>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</si>
  <si>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</si>
  <si>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</si>
  <si>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</si>
  <si>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</si>
  <si>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</si>
  <si>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</si>
  <si>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</si>
  <si>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</si>
  <si>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</si>
  <si>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</si>
  <si>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</si>
  <si>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</si>
  <si>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</si>
  <si>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</si>
  <si>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</si>
  <si>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</si>
  <si>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</si>
  <si>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</si>
  <si>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</si>
  <si>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</si>
  <si>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</si>
  <si>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</si>
  <si>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</si>
  <si>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</si>
  <si>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</si>
  <si>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</si>
  <si>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</si>
  <si>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</si>
  <si>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</si>
  <si>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</si>
  <si>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</si>
  <si>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</si>
  <si>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</si>
  <si>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</si>
  <si>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</si>
  <si>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</si>
  <si>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</si>
  <si>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</si>
  <si>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</si>
  <si>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</si>
  <si>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</si>
  <si>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</si>
  <si>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</si>
  <si>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</si>
  <si>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</si>
  <si>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</si>
  <si>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</si>
  <si>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</si>
  <si>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</si>
  <si>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</si>
  <si>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</si>
  <si>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</si>
  <si>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</si>
  <si>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</si>
  <si>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</si>
  <si>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</si>
  <si>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</si>
  <si>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</si>
  <si>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</si>
  <si>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</si>
  <si>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</si>
  <si>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</si>
  <si>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</si>
  <si>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</si>
  <si>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</si>
  <si>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</si>
  <si>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</si>
  <si>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</si>
  <si>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</si>
  <si>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</si>
  <si>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</si>
  <si>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</si>
  <si>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</si>
  <si>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</si>
  <si>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</si>
  <si>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</si>
  <si>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</si>
  <si>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</si>
  <si>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</si>
  <si>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</si>
  <si>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</si>
  <si>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</si>
  <si>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</si>
  <si>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</si>
  <si>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</si>
  <si>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</si>
  <si>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</si>
  <si>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</si>
  <si>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</si>
  <si>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</si>
  <si>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</si>
  <si>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</si>
  <si>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</si>
  <si>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</si>
  <si>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</si>
  <si>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</si>
  <si>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</si>
  <si>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</si>
  <si>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</si>
  <si>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</si>
  <si>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</si>
  <si>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</si>
  <si>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</si>
  <si>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</si>
  <si>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</si>
  <si>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</si>
  <si>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</si>
  <si>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</si>
  <si>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</si>
  <si>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</si>
  <si>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</si>
  <si>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</si>
  <si>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</si>
  <si>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</si>
  <si>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</si>
  <si>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</si>
  <si>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</si>
  <si>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</si>
  <si>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</si>
  <si>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</si>
  <si>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</si>
  <si>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</si>
  <si>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</si>
  <si>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</si>
  <si>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</si>
  <si>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</si>
  <si>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</si>
  <si>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</si>
  <si>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</si>
  <si>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</si>
  <si>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</si>
  <si>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</si>
  <si>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</si>
  <si>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</si>
  <si>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</si>
  <si>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</si>
  <si>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</si>
  <si>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</si>
  <si>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</si>
  <si>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</si>
  <si>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</si>
  <si>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</si>
  <si>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</si>
  <si>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</si>
  <si>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</si>
  <si>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</si>
  <si>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</si>
  <si>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</si>
  <si>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</si>
  <si>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</si>
  <si>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</si>
  <si>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</si>
  <si>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</si>
  <si>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</si>
  <si>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</si>
  <si>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</si>
  <si>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</si>
  <si>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</si>
  <si>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</si>
  <si>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</si>
  <si>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</si>
  <si>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</si>
  <si>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</si>
  <si>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</si>
  <si>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</si>
  <si>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</si>
  <si>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</si>
  <si>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</si>
  <si>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</si>
  <si>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</si>
  <si>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</si>
  <si>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</si>
  <si>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</si>
  <si>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</si>
  <si>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</si>
  <si>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</si>
  <si>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</si>
  <si>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</si>
  <si>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</si>
  <si>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</si>
  <si>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</si>
  <si>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</si>
  <si>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</si>
  <si>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</si>
  <si>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</si>
  <si>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</si>
  <si>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</si>
  <si>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</si>
  <si>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</si>
  <si>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</si>
  <si>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</si>
  <si>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</si>
  <si>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</si>
  <si>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</si>
  <si>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</si>
  <si>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</si>
  <si>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</si>
  <si>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</si>
  <si>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</si>
  <si>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</si>
  <si>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</si>
  <si>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</si>
  <si>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</si>
  <si>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</si>
  <si>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</si>
  <si>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</si>
  <si>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</si>
  <si>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</si>
  <si>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</si>
  <si>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</si>
  <si>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</si>
  <si>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</si>
  <si>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</si>
  <si>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</si>
  <si>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</si>
  <si>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</si>
  <si>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</si>
  <si>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</si>
  <si>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</si>
  <si>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</si>
  <si>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</si>
  <si>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</si>
  <si>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</si>
  <si>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</si>
  <si>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</si>
  <si>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</si>
  <si>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</si>
  <si>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</si>
  <si>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</si>
  <si>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</si>
  <si>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</si>
  <si>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</si>
  <si>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</si>
  <si>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</si>
  <si>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</si>
  <si>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</si>
  <si>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</si>
  <si>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</si>
  <si>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</si>
  <si>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</si>
  <si>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</si>
  <si>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</si>
  <si>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</si>
  <si>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</si>
  <si>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</si>
  <si>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</si>
  <si>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</si>
  <si>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</si>
  <si>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</si>
  <si>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</si>
  <si>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</si>
  <si>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</si>
  <si>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</si>
  <si>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</si>
  <si>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</si>
  <si>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</si>
  <si>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</si>
  <si>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</si>
  <si>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</si>
  <si>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</si>
  <si>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</si>
  <si>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</si>
  <si>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</si>
  <si>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</si>
  <si>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</si>
  <si>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</si>
  <si>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</si>
  <si>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</si>
  <si>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</si>
  <si>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</si>
  <si>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</si>
  <si>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</si>
  <si>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</si>
  <si>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</si>
  <si>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</si>
  <si>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</si>
  <si>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</si>
  <si>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</si>
  <si>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</si>
  <si>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</si>
  <si>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</si>
  <si>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</si>
  <si>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</si>
  <si>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</si>
  <si>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</si>
  <si>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</si>
  <si>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</si>
  <si>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</si>
  <si>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</si>
  <si>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</si>
  <si>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</si>
  <si>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</si>
  <si>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</si>
  <si>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</si>
  <si>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</si>
  <si>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</si>
  <si>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</si>
  <si>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</si>
  <si>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</si>
  <si>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</si>
  <si>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</si>
  <si>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</si>
  <si>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</si>
  <si>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</si>
  <si>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</si>
  <si>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</si>
  <si>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</si>
  <si>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</si>
  <si>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</si>
  <si>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</si>
  <si>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</si>
  <si>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</si>
  <si>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</si>
  <si>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</si>
  <si>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</si>
  <si>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</si>
  <si>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</si>
  <si>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</si>
  <si>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</si>
  <si>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</si>
  <si>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</si>
  <si>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</si>
  <si>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</si>
  <si>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</si>
  <si>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</si>
  <si>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</si>
  <si>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</si>
  <si>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</si>
  <si>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</si>
  <si>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</si>
  <si>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</si>
  <si>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</si>
  <si>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</si>
  <si>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</si>
  <si>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</si>
  <si>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</si>
  <si>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</si>
  <si>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</si>
  <si>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</si>
  <si>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</si>
  <si>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</si>
  <si>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</si>
  <si>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</si>
  <si>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</si>
  <si>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</si>
  <si>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</si>
  <si>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</si>
  <si>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</si>
  <si>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</si>
  <si>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</si>
  <si>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</si>
  <si>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</si>
  <si>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</si>
  <si>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</si>
  <si>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</si>
  <si>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</si>
  <si>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</si>
  <si>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</si>
  <si>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</si>
  <si>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</si>
  <si>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</si>
  <si>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</si>
  <si>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</si>
  <si>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</si>
  <si>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</si>
  <si>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</si>
  <si>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</si>
  <si>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</si>
  <si>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</si>
  <si>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</si>
  <si>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</si>
  <si>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</si>
  <si>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</si>
  <si>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</si>
  <si>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</si>
  <si>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</si>
  <si>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</si>
  <si>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</si>
  <si>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</si>
  <si>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</si>
  <si>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</si>
  <si>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</si>
  <si>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</si>
  <si>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</si>
  <si>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</si>
  <si>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</si>
  <si>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</si>
  <si>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</si>
  <si>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</si>
  <si>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</si>
  <si>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</si>
  <si>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</si>
  <si>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</si>
  <si>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</si>
  <si>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</si>
  <si>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</si>
  <si>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</si>
  <si>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</si>
  <si>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</si>
  <si>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</si>
  <si>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</si>
  <si>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</si>
  <si>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</si>
  <si>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</si>
  <si>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</si>
  <si>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</si>
  <si>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</si>
  <si>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</si>
  <si>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</si>
  <si>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</si>
  <si>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</si>
  <si>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</si>
  <si>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</si>
  <si>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</si>
  <si>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</si>
  <si>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</si>
  <si>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</si>
  <si>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</si>
  <si>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</si>
  <si>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</si>
  <si>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</si>
  <si>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</si>
  <si>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</si>
  <si>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</si>
  <si>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</si>
  <si>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</si>
  <si>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</si>
  <si>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</si>
  <si>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</si>
  <si>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</si>
  <si>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</si>
  <si>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</si>
  <si>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</si>
  <si>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</si>
  <si>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</si>
  <si>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</si>
  <si>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</si>
  <si>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</si>
  <si>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</si>
  <si>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</si>
  <si>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</si>
  <si>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</si>
  <si>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</si>
  <si>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</si>
  <si>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</si>
  <si>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</si>
  <si>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</si>
  <si>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</si>
  <si>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</si>
  <si>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</si>
  <si>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</si>
  <si>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</si>
  <si>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</si>
  <si>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</si>
  <si>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</si>
  <si>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</si>
  <si>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</si>
  <si>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</si>
  <si>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</si>
  <si>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</si>
  <si>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</si>
  <si>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</si>
  <si>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</si>
  <si>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</si>
  <si>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</si>
  <si>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</si>
  <si>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</si>
  <si>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</si>
  <si>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</si>
  <si>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</si>
  <si>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</si>
  <si>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</si>
  <si>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</si>
  <si>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</si>
  <si>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</si>
  <si>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</si>
  <si>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</si>
  <si>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</si>
  <si>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</si>
  <si>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</si>
  <si>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</si>
  <si>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</si>
  <si>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</si>
  <si>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</si>
  <si>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</si>
  <si>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</si>
  <si>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</si>
  <si>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</si>
  <si>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</si>
  <si>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</si>
  <si>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</si>
  <si>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</si>
  <si>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</si>
  <si>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</si>
  <si>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</si>
  <si>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</si>
  <si>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</si>
  <si>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</si>
  <si>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</si>
  <si>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</si>
  <si>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</si>
  <si>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</si>
  <si>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</si>
  <si>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</si>
  <si>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</si>
  <si>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</si>
  <si>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</si>
  <si>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</si>
  <si>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</si>
  <si>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</si>
  <si>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</si>
  <si>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</si>
  <si>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</si>
  <si>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</si>
  <si>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</si>
  <si>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</si>
  <si>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</si>
  <si>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</si>
  <si>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</si>
  <si>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</si>
  <si>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</si>
  <si>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</si>
  <si>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</si>
  <si>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</si>
  <si>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</si>
  <si>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</si>
  <si>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</si>
  <si>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</si>
  <si>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</si>
  <si>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</si>
  <si>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</si>
  <si>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</si>
  <si>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</si>
  <si>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</si>
  <si>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</si>
  <si>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</si>
  <si>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</si>
  <si>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</si>
  <si>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</si>
  <si>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</si>
  <si>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</si>
  <si>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</si>
  <si>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</si>
  <si>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</si>
  <si>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</si>
  <si>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</si>
  <si>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</si>
  <si>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</si>
  <si>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</si>
  <si>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</si>
  <si>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</si>
  <si>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</si>
  <si>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</si>
  <si>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</si>
  <si>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</si>
  <si>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</si>
  <si>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</si>
  <si>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</si>
  <si>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</si>
  <si>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</si>
  <si>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</si>
  <si>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</si>
  <si>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</si>
  <si>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</si>
  <si>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</si>
  <si>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</si>
  <si>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</si>
  <si>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</si>
  <si>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</si>
  <si>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</si>
  <si>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</si>
  <si>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</si>
  <si>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</si>
  <si>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</si>
  <si>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</si>
  <si>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</si>
  <si>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</si>
  <si>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</si>
  <si>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</si>
  <si>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</si>
  <si>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</si>
  <si>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</si>
  <si>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</si>
  <si>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</si>
  <si>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</si>
  <si>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</si>
  <si>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</si>
  <si>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</si>
  <si>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</si>
  <si>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</si>
  <si>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</si>
  <si>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</si>
  <si>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</si>
  <si>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</si>
  <si>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</si>
  <si>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</si>
  <si>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</si>
  <si>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</si>
  <si>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</si>
  <si>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</si>
  <si>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</si>
  <si>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</si>
  <si>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</si>
  <si>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</si>
  <si>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</si>
  <si>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</si>
  <si>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</si>
  <si>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</si>
  <si>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</si>
  <si>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</si>
  <si>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</si>
  <si>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</si>
  <si>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</si>
  <si>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</si>
  <si>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</si>
  <si>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</si>
  <si>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</si>
  <si>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</si>
  <si>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</si>
  <si>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</si>
  <si>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</si>
  <si>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</si>
  <si>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</si>
  <si>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</si>
  <si>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</si>
  <si>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</si>
  <si>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</si>
  <si>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</si>
  <si>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</si>
  <si>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</si>
  <si>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</si>
  <si>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</si>
  <si>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</si>
  <si>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</si>
  <si>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</si>
  <si>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</si>
  <si>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</si>
  <si>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</si>
  <si>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</si>
  <si>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</si>
  <si>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</si>
  <si>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</si>
  <si>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</si>
  <si>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</si>
  <si>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</si>
  <si>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</si>
  <si>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</si>
  <si>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</si>
  <si>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</si>
  <si>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</si>
  <si>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</si>
  <si>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</si>
  <si>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</si>
  <si>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</si>
  <si>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</si>
  <si>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</si>
  <si>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</si>
  <si>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</si>
  <si>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</si>
  <si>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</si>
  <si>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</si>
  <si>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</si>
  <si>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</si>
  <si>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</si>
  <si>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</si>
  <si>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</si>
  <si>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</si>
  <si>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</si>
  <si>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</si>
  <si>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</si>
  <si>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</si>
  <si>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</si>
  <si>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</si>
  <si>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</si>
  <si>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</si>
  <si>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</si>
  <si>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</si>
  <si>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</si>
  <si>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</si>
  <si>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</si>
  <si>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</si>
  <si>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</si>
  <si>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</si>
  <si>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</si>
  <si>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</si>
  <si>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</si>
  <si>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</si>
  <si>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</si>
  <si>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</si>
  <si>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</si>
  <si>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</si>
  <si>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</si>
  <si>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</si>
  <si>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</si>
  <si>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</si>
  <si>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</si>
  <si>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</si>
  <si>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</si>
  <si>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</si>
  <si>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</si>
  <si>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</si>
  <si>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</si>
  <si>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</si>
  <si>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</si>
  <si>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</si>
  <si>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</si>
  <si>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</si>
  <si>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</si>
  <si>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</si>
  <si>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</si>
  <si>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</si>
  <si>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</si>
  <si>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</si>
  <si>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</si>
  <si>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</si>
  <si>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</si>
  <si>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</si>
  <si>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</si>
  <si>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</si>
  <si>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</si>
  <si>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</si>
  <si>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</si>
  <si>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</si>
  <si>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</si>
  <si>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</si>
  <si>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</si>
  <si>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</si>
  <si>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</si>
  <si>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</si>
  <si>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</si>
  <si>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</si>
  <si>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</si>
  <si>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</si>
  <si>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</si>
  <si>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</si>
  <si>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</si>
  <si>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</si>
  <si>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</si>
  <si>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30 европалет,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</si>
</sst>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0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6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702" t="s">
        <v>0</v>
      </c>
      <c r="E1" s="664"/>
      <c r="F1" s="664"/>
      <c r="G1" s="12" t="s">
        <v>1</v>
      </c>
      <c r="H1" s="702" t="s">
        <v>2</v>
      </c>
      <c r="I1" s="664"/>
      <c r="J1" s="664"/>
      <c r="K1" s="664"/>
      <c r="L1" s="664"/>
      <c r="M1" s="664"/>
      <c r="N1" s="664"/>
      <c r="O1" s="664"/>
      <c r="P1" s="664"/>
      <c r="Q1" s="664"/>
      <c r="R1" s="663" t="s">
        <v>3</v>
      </c>
      <c r="S1" s="664"/>
      <c r="T1" s="6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6" t="s">
        <v>8</v>
      </c>
      <c r="B5" s="642"/>
      <c r="C5" s="643"/>
      <c r="D5" s="707"/>
      <c r="E5" s="708"/>
      <c r="F5" s="933" t="s">
        <v>9</v>
      </c>
      <c r="G5" s="643"/>
      <c r="H5" s="707" t="s">
        <v>893</v>
      </c>
      <c r="I5" s="865"/>
      <c r="J5" s="865"/>
      <c r="K5" s="865"/>
      <c r="L5" s="865"/>
      <c r="M5" s="708"/>
      <c r="N5" s="58"/>
      <c r="P5" s="24" t="s">
        <v>10</v>
      </c>
      <c r="Q5" s="945">
        <v>46307</v>
      </c>
      <c r="R5" s="729"/>
      <c r="T5" s="790" t="s">
        <v>11</v>
      </c>
      <c r="U5" s="791"/>
      <c r="V5" s="792" t="s">
        <v>12</v>
      </c>
      <c r="W5" s="729"/>
      <c r="AB5" s="51"/>
      <c r="AC5" s="51"/>
      <c r="AD5" s="51"/>
      <c r="AE5" s="51"/>
    </row>
    <row r="6" spans="1:32" s="611" customFormat="1" ht="24" customHeight="1" x14ac:dyDescent="0.2">
      <c r="A6" s="746" t="s">
        <v>13</v>
      </c>
      <c r="B6" s="642"/>
      <c r="C6" s="643"/>
      <c r="D6" s="867" t="s">
        <v>863</v>
      </c>
      <c r="E6" s="868"/>
      <c r="F6" s="868"/>
      <c r="G6" s="868"/>
      <c r="H6" s="868"/>
      <c r="I6" s="868"/>
      <c r="J6" s="868"/>
      <c r="K6" s="868"/>
      <c r="L6" s="868"/>
      <c r="M6" s="729"/>
      <c r="N6" s="59"/>
      <c r="P6" s="24" t="s">
        <v>14</v>
      </c>
      <c r="Q6" s="955" t="str">
        <f>IF(Q5=0," ",CHOOSE(WEEKDAY(Q5,2),"Понедельник","Вторник","Среда","Четверг","Пятница","Суббота","Воскресенье"))</f>
        <v>Понедельник</v>
      </c>
      <c r="R6" s="630"/>
      <c r="T6" s="798" t="s">
        <v>15</v>
      </c>
      <c r="U6" s="791"/>
      <c r="V6" s="849" t="s">
        <v>16</v>
      </c>
      <c r="W6" s="678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87" t="str">
        <f>IFERROR(VLOOKUP(DeliveryAddress,Table,3,0),1)</f>
        <v>5</v>
      </c>
      <c r="E7" s="688"/>
      <c r="F7" s="688"/>
      <c r="G7" s="688"/>
      <c r="H7" s="688"/>
      <c r="I7" s="688"/>
      <c r="J7" s="688"/>
      <c r="K7" s="688"/>
      <c r="L7" s="688"/>
      <c r="M7" s="689"/>
      <c r="N7" s="60"/>
      <c r="P7" s="24"/>
      <c r="Q7" s="42"/>
      <c r="R7" s="42"/>
      <c r="T7" s="632"/>
      <c r="U7" s="791"/>
      <c r="V7" s="850"/>
      <c r="W7" s="851"/>
      <c r="AB7" s="51"/>
      <c r="AC7" s="51"/>
      <c r="AD7" s="51"/>
      <c r="AE7" s="51"/>
    </row>
    <row r="8" spans="1:32" s="611" customFormat="1" ht="25.5" customHeight="1" x14ac:dyDescent="0.2">
      <c r="A8" s="974" t="s">
        <v>17</v>
      </c>
      <c r="B8" s="637"/>
      <c r="C8" s="638"/>
      <c r="D8" s="699"/>
      <c r="E8" s="700"/>
      <c r="F8" s="700"/>
      <c r="G8" s="700"/>
      <c r="H8" s="700"/>
      <c r="I8" s="700"/>
      <c r="J8" s="700"/>
      <c r="K8" s="700"/>
      <c r="L8" s="700"/>
      <c r="M8" s="701"/>
      <c r="N8" s="61"/>
      <c r="P8" s="24" t="s">
        <v>18</v>
      </c>
      <c r="Q8" s="752">
        <v>0.5</v>
      </c>
      <c r="R8" s="689"/>
      <c r="T8" s="632"/>
      <c r="U8" s="791"/>
      <c r="V8" s="850"/>
      <c r="W8" s="851"/>
      <c r="AB8" s="51"/>
      <c r="AC8" s="51"/>
      <c r="AD8" s="51"/>
      <c r="AE8" s="51"/>
    </row>
    <row r="9" spans="1:32" s="611" customFormat="1" ht="39.950000000000003" customHeight="1" x14ac:dyDescent="0.2">
      <c r="A9" s="8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925"/>
      <c r="E9" s="648"/>
      <c r="F9" s="8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09"/>
      <c r="P9" s="26" t="s">
        <v>19</v>
      </c>
      <c r="Q9" s="975"/>
      <c r="R9" s="894"/>
      <c r="T9" s="632"/>
      <c r="U9" s="791"/>
      <c r="V9" s="852"/>
      <c r="W9" s="853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8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925"/>
      <c r="E10" s="648"/>
      <c r="F10" s="8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39" t="str">
        <f>IFERROR(VLOOKUP($D$10,Proxy,2,FALSE),"")</f>
        <v/>
      </c>
      <c r="I10" s="632"/>
      <c r="J10" s="632"/>
      <c r="K10" s="632"/>
      <c r="L10" s="632"/>
      <c r="M10" s="632"/>
      <c r="N10" s="610"/>
      <c r="P10" s="26" t="s">
        <v>20</v>
      </c>
      <c r="Q10" s="967"/>
      <c r="R10" s="968"/>
      <c r="U10" s="24" t="s">
        <v>21</v>
      </c>
      <c r="V10" s="677" t="s">
        <v>22</v>
      </c>
      <c r="W10" s="678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8"/>
      <c r="R11" s="729"/>
      <c r="U11" s="24" t="s">
        <v>25</v>
      </c>
      <c r="V11" s="893" t="s">
        <v>26</v>
      </c>
      <c r="W11" s="894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79" t="s">
        <v>27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28</v>
      </c>
      <c r="Q12" s="752"/>
      <c r="R12" s="689"/>
      <c r="S12" s="23"/>
      <c r="U12" s="24"/>
      <c r="V12" s="664"/>
      <c r="W12" s="632"/>
      <c r="AB12" s="51"/>
      <c r="AC12" s="51"/>
      <c r="AD12" s="51"/>
      <c r="AE12" s="51"/>
    </row>
    <row r="13" spans="1:32" s="611" customFormat="1" ht="23.25" customHeight="1" x14ac:dyDescent="0.2">
      <c r="A13" s="779" t="s">
        <v>29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30</v>
      </c>
      <c r="Q13" s="893"/>
      <c r="R13" s="8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79" t="s">
        <v>31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19" t="s">
        <v>32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787" t="s">
        <v>33</v>
      </c>
      <c r="Q15" s="664"/>
      <c r="R15" s="664"/>
      <c r="S15" s="664"/>
      <c r="T15" s="6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758" t="s">
        <v>36</v>
      </c>
      <c r="D17" s="674" t="s">
        <v>37</v>
      </c>
      <c r="E17" s="739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738"/>
      <c r="R17" s="738"/>
      <c r="S17" s="738"/>
      <c r="T17" s="739"/>
      <c r="U17" s="973" t="s">
        <v>49</v>
      </c>
      <c r="V17" s="643"/>
      <c r="W17" s="674" t="s">
        <v>50</v>
      </c>
      <c r="X17" s="674" t="s">
        <v>51</v>
      </c>
      <c r="Y17" s="971" t="s">
        <v>52</v>
      </c>
      <c r="Z17" s="863" t="s">
        <v>53</v>
      </c>
      <c r="AA17" s="837" t="s">
        <v>54</v>
      </c>
      <c r="AB17" s="837" t="s">
        <v>55</v>
      </c>
      <c r="AC17" s="837" t="s">
        <v>56</v>
      </c>
      <c r="AD17" s="837" t="s">
        <v>57</v>
      </c>
      <c r="AE17" s="928"/>
      <c r="AF17" s="929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740"/>
      <c r="E18" s="742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740"/>
      <c r="Q18" s="741"/>
      <c r="R18" s="741"/>
      <c r="S18" s="741"/>
      <c r="T18" s="742"/>
      <c r="U18" s="67" t="s">
        <v>59</v>
      </c>
      <c r="V18" s="67" t="s">
        <v>60</v>
      </c>
      <c r="W18" s="675"/>
      <c r="X18" s="675"/>
      <c r="Y18" s="972"/>
      <c r="Z18" s="864"/>
      <c r="AA18" s="838"/>
      <c r="AB18" s="838"/>
      <c r="AC18" s="838"/>
      <c r="AD18" s="930"/>
      <c r="AE18" s="931"/>
      <c r="AF18" s="932"/>
      <c r="AG18" s="66"/>
      <c r="BD18" s="65"/>
    </row>
    <row r="19" spans="1:68" ht="27.75" hidden="1" customHeight="1" x14ac:dyDescent="0.2">
      <c r="A19" s="763" t="s">
        <v>61</v>
      </c>
      <c r="B19" s="764"/>
      <c r="C19" s="764"/>
      <c r="D19" s="764"/>
      <c r="E19" s="764"/>
      <c r="F19" s="764"/>
      <c r="G19" s="764"/>
      <c r="H19" s="764"/>
      <c r="I19" s="764"/>
      <c r="J19" s="764"/>
      <c r="K19" s="764"/>
      <c r="L19" s="764"/>
      <c r="M19" s="764"/>
      <c r="N19" s="764"/>
      <c r="O19" s="764"/>
      <c r="P19" s="764"/>
      <c r="Q19" s="764"/>
      <c r="R19" s="764"/>
      <c r="S19" s="764"/>
      <c r="T19" s="764"/>
      <c r="U19" s="764"/>
      <c r="V19" s="764"/>
      <c r="W19" s="764"/>
      <c r="X19" s="764"/>
      <c r="Y19" s="764"/>
      <c r="Z19" s="764"/>
      <c r="AA19" s="48"/>
      <c r="AB19" s="48"/>
      <c r="AC19" s="48"/>
    </row>
    <row r="20" spans="1:68" ht="16.5" hidden="1" customHeight="1" x14ac:dyDescent="0.25">
      <c r="A20" s="654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12"/>
      <c r="AB20" s="612"/>
      <c r="AC20" s="612"/>
    </row>
    <row r="21" spans="1:68" ht="14.25" hidden="1" customHeight="1" x14ac:dyDescent="0.25">
      <c r="A21" s="635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9">
        <v>4680115889071</v>
      </c>
      <c r="E22" s="630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4"/>
      <c r="R22" s="624"/>
      <c r="S22" s="624"/>
      <c r="T22" s="625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1"/>
      <c r="B23" s="632"/>
      <c r="C23" s="632"/>
      <c r="D23" s="632"/>
      <c r="E23" s="632"/>
      <c r="F23" s="632"/>
      <c r="G23" s="632"/>
      <c r="H23" s="632"/>
      <c r="I23" s="632"/>
      <c r="J23" s="632"/>
      <c r="K23" s="632"/>
      <c r="L23" s="632"/>
      <c r="M23" s="632"/>
      <c r="N23" s="632"/>
      <c r="O23" s="633"/>
      <c r="P23" s="636" t="s">
        <v>69</v>
      </c>
      <c r="Q23" s="637"/>
      <c r="R23" s="637"/>
      <c r="S23" s="637"/>
      <c r="T23" s="637"/>
      <c r="U23" s="637"/>
      <c r="V23" s="638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2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36" t="s">
        <v>69</v>
      </c>
      <c r="Q24" s="637"/>
      <c r="R24" s="637"/>
      <c r="S24" s="637"/>
      <c r="T24" s="637"/>
      <c r="U24" s="637"/>
      <c r="V24" s="638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5" t="s">
        <v>71</v>
      </c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2"/>
      <c r="P25" s="632"/>
      <c r="Q25" s="632"/>
      <c r="R25" s="632"/>
      <c r="S25" s="632"/>
      <c r="T25" s="632"/>
      <c r="U25" s="632"/>
      <c r="V25" s="632"/>
      <c r="W25" s="632"/>
      <c r="X25" s="632"/>
      <c r="Y25" s="632"/>
      <c r="Z25" s="632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9">
        <v>4680115885912</v>
      </c>
      <c r="E26" s="630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9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4"/>
      <c r="R26" s="624"/>
      <c r="S26" s="624"/>
      <c r="T26" s="625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9">
        <v>4607091388237</v>
      </c>
      <c r="E27" s="630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96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4"/>
      <c r="R27" s="624"/>
      <c r="S27" s="624"/>
      <c r="T27" s="625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29">
        <v>4680115887350</v>
      </c>
      <c r="E28" s="630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4"/>
      <c r="R28" s="624"/>
      <c r="S28" s="624"/>
      <c r="T28" s="625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9">
        <v>4680115885905</v>
      </c>
      <c r="E29" s="630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4"/>
      <c r="R29" s="624"/>
      <c r="S29" s="624"/>
      <c r="T29" s="625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9">
        <v>4680115887619</v>
      </c>
      <c r="E30" s="630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4"/>
      <c r="R30" s="624"/>
      <c r="S30" s="624"/>
      <c r="T30" s="625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1"/>
      <c r="B31" s="632"/>
      <c r="C31" s="632"/>
      <c r="D31" s="632"/>
      <c r="E31" s="632"/>
      <c r="F31" s="632"/>
      <c r="G31" s="632"/>
      <c r="H31" s="632"/>
      <c r="I31" s="632"/>
      <c r="J31" s="632"/>
      <c r="K31" s="632"/>
      <c r="L31" s="632"/>
      <c r="M31" s="632"/>
      <c r="N31" s="632"/>
      <c r="O31" s="633"/>
      <c r="P31" s="636" t="s">
        <v>69</v>
      </c>
      <c r="Q31" s="637"/>
      <c r="R31" s="637"/>
      <c r="S31" s="637"/>
      <c r="T31" s="637"/>
      <c r="U31" s="637"/>
      <c r="V31" s="638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2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36" t="s">
        <v>69</v>
      </c>
      <c r="Q32" s="637"/>
      <c r="R32" s="637"/>
      <c r="S32" s="637"/>
      <c r="T32" s="637"/>
      <c r="U32" s="637"/>
      <c r="V32" s="638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63" t="s">
        <v>89</v>
      </c>
      <c r="B33" s="764"/>
      <c r="C33" s="764"/>
      <c r="D33" s="764"/>
      <c r="E33" s="764"/>
      <c r="F33" s="764"/>
      <c r="G33" s="764"/>
      <c r="H33" s="764"/>
      <c r="I33" s="764"/>
      <c r="J33" s="764"/>
      <c r="K33" s="764"/>
      <c r="L33" s="764"/>
      <c r="M33" s="764"/>
      <c r="N33" s="764"/>
      <c r="O33" s="764"/>
      <c r="P33" s="764"/>
      <c r="Q33" s="764"/>
      <c r="R33" s="764"/>
      <c r="S33" s="764"/>
      <c r="T33" s="764"/>
      <c r="U33" s="764"/>
      <c r="V33" s="764"/>
      <c r="W33" s="764"/>
      <c r="X33" s="764"/>
      <c r="Y33" s="764"/>
      <c r="Z33" s="764"/>
      <c r="AA33" s="48"/>
      <c r="AB33" s="48"/>
      <c r="AC33" s="48"/>
    </row>
    <row r="34" spans="1:68" ht="16.5" hidden="1" customHeight="1" x14ac:dyDescent="0.25">
      <c r="A34" s="654" t="s">
        <v>90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12"/>
      <c r="AB34" s="612"/>
      <c r="AC34" s="612"/>
    </row>
    <row r="35" spans="1:68" ht="14.25" hidden="1" customHeight="1" x14ac:dyDescent="0.25">
      <c r="A35" s="635" t="s">
        <v>71</v>
      </c>
      <c r="B35" s="632"/>
      <c r="C35" s="632"/>
      <c r="D35" s="632"/>
      <c r="E35" s="632"/>
      <c r="F35" s="632"/>
      <c r="G35" s="632"/>
      <c r="H35" s="632"/>
      <c r="I35" s="632"/>
      <c r="J35" s="632"/>
      <c r="K35" s="632"/>
      <c r="L35" s="632"/>
      <c r="M35" s="632"/>
      <c r="N35" s="632"/>
      <c r="O35" s="632"/>
      <c r="P35" s="632"/>
      <c r="Q35" s="632"/>
      <c r="R35" s="632"/>
      <c r="S35" s="632"/>
      <c r="T35" s="632"/>
      <c r="U35" s="632"/>
      <c r="V35" s="632"/>
      <c r="W35" s="632"/>
      <c r="X35" s="632"/>
      <c r="Y35" s="632"/>
      <c r="Z35" s="632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9">
        <v>4680115889354</v>
      </c>
      <c r="E36" s="630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4"/>
      <c r="R36" s="624"/>
      <c r="S36" s="624"/>
      <c r="T36" s="625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9">
        <v>4680115888463</v>
      </c>
      <c r="E37" s="630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4"/>
      <c r="R37" s="624"/>
      <c r="S37" s="624"/>
      <c r="T37" s="625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9">
        <v>4680115889590</v>
      </c>
      <c r="E38" s="630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4"/>
      <c r="R38" s="624"/>
      <c r="S38" s="624"/>
      <c r="T38" s="625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9">
        <v>4680115888272</v>
      </c>
      <c r="E39" s="630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4"/>
      <c r="R39" s="624"/>
      <c r="S39" s="624"/>
      <c r="T39" s="625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9">
        <v>4680115888364</v>
      </c>
      <c r="E40" s="630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4"/>
      <c r="R40" s="624"/>
      <c r="S40" s="624"/>
      <c r="T40" s="625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1"/>
      <c r="B41" s="632"/>
      <c r="C41" s="632"/>
      <c r="D41" s="632"/>
      <c r="E41" s="632"/>
      <c r="F41" s="632"/>
      <c r="G41" s="632"/>
      <c r="H41" s="632"/>
      <c r="I41" s="632"/>
      <c r="J41" s="632"/>
      <c r="K41" s="632"/>
      <c r="L41" s="632"/>
      <c r="M41" s="632"/>
      <c r="N41" s="632"/>
      <c r="O41" s="633"/>
      <c r="P41" s="636" t="s">
        <v>69</v>
      </c>
      <c r="Q41" s="637"/>
      <c r="R41" s="637"/>
      <c r="S41" s="637"/>
      <c r="T41" s="637"/>
      <c r="U41" s="637"/>
      <c r="V41" s="638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2"/>
      <c r="B42" s="632"/>
      <c r="C42" s="632"/>
      <c r="D42" s="632"/>
      <c r="E42" s="632"/>
      <c r="F42" s="632"/>
      <c r="G42" s="632"/>
      <c r="H42" s="632"/>
      <c r="I42" s="632"/>
      <c r="J42" s="632"/>
      <c r="K42" s="632"/>
      <c r="L42" s="632"/>
      <c r="M42" s="632"/>
      <c r="N42" s="632"/>
      <c r="O42" s="633"/>
      <c r="P42" s="636" t="s">
        <v>69</v>
      </c>
      <c r="Q42" s="637"/>
      <c r="R42" s="637"/>
      <c r="S42" s="637"/>
      <c r="T42" s="637"/>
      <c r="U42" s="637"/>
      <c r="V42" s="638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63" t="s">
        <v>106</v>
      </c>
      <c r="B43" s="764"/>
      <c r="C43" s="764"/>
      <c r="D43" s="764"/>
      <c r="E43" s="764"/>
      <c r="F43" s="764"/>
      <c r="G43" s="764"/>
      <c r="H43" s="764"/>
      <c r="I43" s="764"/>
      <c r="J43" s="764"/>
      <c r="K43" s="764"/>
      <c r="L43" s="764"/>
      <c r="M43" s="764"/>
      <c r="N43" s="764"/>
      <c r="O43" s="764"/>
      <c r="P43" s="764"/>
      <c r="Q43" s="764"/>
      <c r="R43" s="764"/>
      <c r="S43" s="764"/>
      <c r="T43" s="764"/>
      <c r="U43" s="764"/>
      <c r="V43" s="764"/>
      <c r="W43" s="764"/>
      <c r="X43" s="764"/>
      <c r="Y43" s="764"/>
      <c r="Z43" s="764"/>
      <c r="AA43" s="48"/>
      <c r="AB43" s="48"/>
      <c r="AC43" s="48"/>
    </row>
    <row r="44" spans="1:68" ht="16.5" hidden="1" customHeight="1" x14ac:dyDescent="0.25">
      <c r="A44" s="654" t="s">
        <v>107</v>
      </c>
      <c r="B44" s="632"/>
      <c r="C44" s="632"/>
      <c r="D44" s="632"/>
      <c r="E44" s="632"/>
      <c r="F44" s="632"/>
      <c r="G44" s="632"/>
      <c r="H44" s="632"/>
      <c r="I44" s="632"/>
      <c r="J44" s="632"/>
      <c r="K44" s="632"/>
      <c r="L44" s="632"/>
      <c r="M44" s="632"/>
      <c r="N44" s="632"/>
      <c r="O44" s="632"/>
      <c r="P44" s="632"/>
      <c r="Q44" s="632"/>
      <c r="R44" s="632"/>
      <c r="S44" s="632"/>
      <c r="T44" s="632"/>
      <c r="U44" s="632"/>
      <c r="V44" s="632"/>
      <c r="W44" s="632"/>
      <c r="X44" s="632"/>
      <c r="Y44" s="632"/>
      <c r="Z44" s="632"/>
      <c r="AA44" s="612"/>
      <c r="AB44" s="612"/>
      <c r="AC44" s="612"/>
    </row>
    <row r="45" spans="1:68" ht="14.25" hidden="1" customHeight="1" x14ac:dyDescent="0.25">
      <c r="A45" s="635" t="s">
        <v>108</v>
      </c>
      <c r="B45" s="632"/>
      <c r="C45" s="632"/>
      <c r="D45" s="632"/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2"/>
      <c r="T45" s="632"/>
      <c r="U45" s="632"/>
      <c r="V45" s="632"/>
      <c r="W45" s="632"/>
      <c r="X45" s="632"/>
      <c r="Y45" s="632"/>
      <c r="Z45" s="632"/>
      <c r="AA45" s="613"/>
      <c r="AB45" s="613"/>
      <c r="AC45" s="613"/>
    </row>
    <row r="46" spans="1:68" ht="16.5" hidden="1" customHeight="1" x14ac:dyDescent="0.25">
      <c r="A46" s="54" t="s">
        <v>109</v>
      </c>
      <c r="B46" s="54" t="s">
        <v>110</v>
      </c>
      <c r="C46" s="31">
        <v>4301011380</v>
      </c>
      <c r="D46" s="629">
        <v>4607091385670</v>
      </c>
      <c r="E46" s="630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4"/>
      <c r="R46" s="624"/>
      <c r="S46" s="624"/>
      <c r="T46" s="625"/>
      <c r="U46" s="34"/>
      <c r="V46" s="34"/>
      <c r="W46" s="35" t="s">
        <v>67</v>
      </c>
      <c r="X46" s="617">
        <v>0</v>
      </c>
      <c r="Y46" s="618">
        <f>IFERROR(IF(X46="",0,CEILING((X46/$H46),1)*$H46),"")</f>
        <v>0</v>
      </c>
      <c r="Z46" s="36" t="str">
        <f>IFERROR(IF(Y46=0,"",ROUNDUP(Y46/H46,0)*0.01898),"")</f>
        <v/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9">
        <v>4680115887725</v>
      </c>
      <c r="E47" s="630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4"/>
      <c r="R47" s="624"/>
      <c r="S47" s="624"/>
      <c r="T47" s="625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9">
        <v>4607091385687</v>
      </c>
      <c r="E48" s="630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8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4"/>
      <c r="R48" s="624"/>
      <c r="S48" s="624"/>
      <c r="T48" s="625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29">
        <v>4680115882539</v>
      </c>
      <c r="E49" s="630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4"/>
      <c r="R49" s="624"/>
      <c r="S49" s="624"/>
      <c r="T49" s="625"/>
      <c r="U49" s="34"/>
      <c r="V49" s="34"/>
      <c r="W49" s="35" t="s">
        <v>67</v>
      </c>
      <c r="X49" s="617">
        <v>29</v>
      </c>
      <c r="Y49" s="618">
        <f>IFERROR(IF(X49="",0,CEILING((X49/$H49),1)*$H49),"")</f>
        <v>29.6</v>
      </c>
      <c r="Z49" s="36">
        <f>IFERROR(IF(Y49=0,"",ROUNDUP(Y49/H49,0)*0.00902),"")</f>
        <v>7.2160000000000002E-2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30.489189189189187</v>
      </c>
      <c r="BN49" s="64">
        <f>IFERROR(Y49*I49/H49,"0")</f>
        <v>31.12</v>
      </c>
      <c r="BO49" s="64">
        <f>IFERROR(1/J49*(X49/H49),"0")</f>
        <v>5.9377559377559376E-2</v>
      </c>
      <c r="BP49" s="64">
        <f>IFERROR(1/J49*(Y49/H49),"0")</f>
        <v>6.0606060606060608E-2</v>
      </c>
    </row>
    <row r="50" spans="1:68" x14ac:dyDescent="0.2">
      <c r="A50" s="631"/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3"/>
      <c r="P50" s="636" t="s">
        <v>69</v>
      </c>
      <c r="Q50" s="637"/>
      <c r="R50" s="637"/>
      <c r="S50" s="637"/>
      <c r="T50" s="637"/>
      <c r="U50" s="637"/>
      <c r="V50" s="638"/>
      <c r="W50" s="37" t="s">
        <v>70</v>
      </c>
      <c r="X50" s="619">
        <f>IFERROR(X46/H46,"0")+IFERROR(X47/H47,"0")+IFERROR(X48/H48,"0")+IFERROR(X49/H49,"0")</f>
        <v>7.8378378378378377</v>
      </c>
      <c r="Y50" s="619">
        <f>IFERROR(Y46/H46,"0")+IFERROR(Y47/H47,"0")+IFERROR(Y48/H48,"0")+IFERROR(Y49/H49,"0")</f>
        <v>8</v>
      </c>
      <c r="Z50" s="619">
        <f>IFERROR(IF(Z46="",0,Z46),"0")+IFERROR(IF(Z47="",0,Z47),"0")+IFERROR(IF(Z48="",0,Z48),"0")+IFERROR(IF(Z49="",0,Z49),"0")</f>
        <v>7.2160000000000002E-2</v>
      </c>
      <c r="AA50" s="620"/>
      <c r="AB50" s="620"/>
      <c r="AC50" s="620"/>
    </row>
    <row r="51" spans="1:68" x14ac:dyDescent="0.2">
      <c r="A51" s="632"/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3"/>
      <c r="P51" s="636" t="s">
        <v>69</v>
      </c>
      <c r="Q51" s="637"/>
      <c r="R51" s="637"/>
      <c r="S51" s="637"/>
      <c r="T51" s="637"/>
      <c r="U51" s="637"/>
      <c r="V51" s="638"/>
      <c r="W51" s="37" t="s">
        <v>67</v>
      </c>
      <c r="X51" s="619">
        <f>IFERROR(SUM(X46:X49),"0")</f>
        <v>29</v>
      </c>
      <c r="Y51" s="619">
        <f>IFERROR(SUM(Y46:Y49),"0")</f>
        <v>29.6</v>
      </c>
      <c r="Z51" s="37"/>
      <c r="AA51" s="620"/>
      <c r="AB51" s="620"/>
      <c r="AC51" s="620"/>
    </row>
    <row r="52" spans="1:68" ht="16.5" hidden="1" customHeight="1" x14ac:dyDescent="0.25">
      <c r="A52" s="654" t="s">
        <v>123</v>
      </c>
      <c r="B52" s="632"/>
      <c r="C52" s="632"/>
      <c r="D52" s="632"/>
      <c r="E52" s="632"/>
      <c r="F52" s="632"/>
      <c r="G52" s="632"/>
      <c r="H52" s="632"/>
      <c r="I52" s="632"/>
      <c r="J52" s="632"/>
      <c r="K52" s="632"/>
      <c r="L52" s="632"/>
      <c r="M52" s="632"/>
      <c r="N52" s="632"/>
      <c r="O52" s="632"/>
      <c r="P52" s="632"/>
      <c r="Q52" s="632"/>
      <c r="R52" s="632"/>
      <c r="S52" s="632"/>
      <c r="T52" s="632"/>
      <c r="U52" s="632"/>
      <c r="V52" s="632"/>
      <c r="W52" s="632"/>
      <c r="X52" s="632"/>
      <c r="Y52" s="632"/>
      <c r="Z52" s="632"/>
      <c r="AA52" s="612"/>
      <c r="AB52" s="612"/>
      <c r="AC52" s="612"/>
    </row>
    <row r="53" spans="1:68" ht="14.25" hidden="1" customHeight="1" x14ac:dyDescent="0.25">
      <c r="A53" s="635" t="s">
        <v>108</v>
      </c>
      <c r="B53" s="632"/>
      <c r="C53" s="632"/>
      <c r="D53" s="632"/>
      <c r="E53" s="632"/>
      <c r="F53" s="632"/>
      <c r="G53" s="632"/>
      <c r="H53" s="632"/>
      <c r="I53" s="632"/>
      <c r="J53" s="632"/>
      <c r="K53" s="632"/>
      <c r="L53" s="632"/>
      <c r="M53" s="632"/>
      <c r="N53" s="632"/>
      <c r="O53" s="632"/>
      <c r="P53" s="632"/>
      <c r="Q53" s="632"/>
      <c r="R53" s="632"/>
      <c r="S53" s="632"/>
      <c r="T53" s="632"/>
      <c r="U53" s="632"/>
      <c r="V53" s="632"/>
      <c r="W53" s="632"/>
      <c r="X53" s="632"/>
      <c r="Y53" s="632"/>
      <c r="Z53" s="632"/>
      <c r="AA53" s="613"/>
      <c r="AB53" s="613"/>
      <c r="AC53" s="613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29">
        <v>4680115885882</v>
      </c>
      <c r="E54" s="630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4"/>
      <c r="R54" s="624"/>
      <c r="S54" s="624"/>
      <c r="T54" s="625"/>
      <c r="U54" s="34"/>
      <c r="V54" s="34"/>
      <c r="W54" s="35" t="s">
        <v>67</v>
      </c>
      <c r="X54" s="617">
        <v>96</v>
      </c>
      <c r="Y54" s="618">
        <f t="shared" ref="Y54:Y61" si="0">IFERROR(IF(X54="",0,CEILING((X54/$H54),1)*$H54),"")</f>
        <v>100.8</v>
      </c>
      <c r="Z54" s="36">
        <f>IFERROR(IF(Y54=0,"",ROUNDUP(Y54/H54,0)*0.01898),"")</f>
        <v>0.17082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99.51428571428572</v>
      </c>
      <c r="BN54" s="64">
        <f t="shared" ref="BN54:BN61" si="2">IFERROR(Y54*I54/H54,"0")</f>
        <v>104.49000000000001</v>
      </c>
      <c r="BO54" s="64">
        <f t="shared" ref="BO54:BO61" si="3">IFERROR(1/J54*(X54/H54),"0")</f>
        <v>0.13392857142857142</v>
      </c>
      <c r="BP54" s="64">
        <f t="shared" ref="BP54:BP61" si="4">IFERROR(1/J54*(Y54/H54),"0")</f>
        <v>0.140625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29">
        <v>4680115881426</v>
      </c>
      <c r="E55" s="630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4"/>
      <c r="R55" s="624"/>
      <c r="S55" s="624"/>
      <c r="T55" s="625"/>
      <c r="U55" s="34"/>
      <c r="V55" s="34"/>
      <c r="W55" s="35" t="s">
        <v>67</v>
      </c>
      <c r="X55" s="617">
        <v>221</v>
      </c>
      <c r="Y55" s="618">
        <f t="shared" si="0"/>
        <v>226.8</v>
      </c>
      <c r="Z55" s="36">
        <f>IFERROR(IF(Y55=0,"",ROUNDUP(Y55/H55,0)*0.01898),"")</f>
        <v>0.39857999999999999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229.38981481481483</v>
      </c>
      <c r="BN55" s="64">
        <f t="shared" si="2"/>
        <v>235.41000000000003</v>
      </c>
      <c r="BO55" s="64">
        <f t="shared" si="3"/>
        <v>0.31973379629629628</v>
      </c>
      <c r="BP55" s="64">
        <f t="shared" si="4"/>
        <v>0.328125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9">
        <v>4680115881426</v>
      </c>
      <c r="E56" s="630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4"/>
      <c r="R56" s="624"/>
      <c r="S56" s="624"/>
      <c r="T56" s="625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9">
        <v>4680115880283</v>
      </c>
      <c r="E57" s="630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4"/>
      <c r="R57" s="624"/>
      <c r="S57" s="624"/>
      <c r="T57" s="625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4301011806</v>
      </c>
      <c r="D58" s="629">
        <v>4680115881525</v>
      </c>
      <c r="E58" s="630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8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4"/>
      <c r="R58" s="624"/>
      <c r="S58" s="624"/>
      <c r="T58" s="625"/>
      <c r="U58" s="34"/>
      <c r="V58" s="34"/>
      <c r="W58" s="35" t="s">
        <v>67</v>
      </c>
      <c r="X58" s="617">
        <v>4</v>
      </c>
      <c r="Y58" s="618">
        <f t="shared" si="0"/>
        <v>4</v>
      </c>
      <c r="Z58" s="36">
        <f>IFERROR(IF(Y58=0,"",ROUNDUP(Y58/H58,0)*0.00902),"")</f>
        <v>9.0200000000000002E-3</v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4.1900000000000004</v>
      </c>
      <c r="BN58" s="64">
        <f t="shared" si="2"/>
        <v>4.1900000000000004</v>
      </c>
      <c r="BO58" s="64">
        <f t="shared" si="3"/>
        <v>7.575757575757576E-3</v>
      </c>
      <c r="BP58" s="64">
        <f t="shared" si="4"/>
        <v>7.575757575757576E-3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9">
        <v>4680115881525</v>
      </c>
      <c r="E59" s="630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4"/>
      <c r="R59" s="624"/>
      <c r="S59" s="624"/>
      <c r="T59" s="625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9">
        <v>4680115885899</v>
      </c>
      <c r="E60" s="630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8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4"/>
      <c r="R60" s="624"/>
      <c r="S60" s="624"/>
      <c r="T60" s="625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29">
        <v>4680115881419</v>
      </c>
      <c r="E61" s="630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4"/>
      <c r="R61" s="624"/>
      <c r="S61" s="624"/>
      <c r="T61" s="625"/>
      <c r="U61" s="34"/>
      <c r="V61" s="34"/>
      <c r="W61" s="35" t="s">
        <v>67</v>
      </c>
      <c r="X61" s="617">
        <v>80</v>
      </c>
      <c r="Y61" s="618">
        <f t="shared" si="0"/>
        <v>81</v>
      </c>
      <c r="Z61" s="36">
        <f>IFERROR(IF(Y61=0,"",ROUNDUP(Y61/H61,0)*0.00902),"")</f>
        <v>0.16236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83.377777777777794</v>
      </c>
      <c r="BN61" s="64">
        <f t="shared" si="2"/>
        <v>84.420000000000016</v>
      </c>
      <c r="BO61" s="64">
        <f t="shared" si="3"/>
        <v>0.13468013468013468</v>
      </c>
      <c r="BP61" s="64">
        <f t="shared" si="4"/>
        <v>0.13636363636363635</v>
      </c>
    </row>
    <row r="62" spans="1:68" x14ac:dyDescent="0.2">
      <c r="A62" s="631"/>
      <c r="B62" s="632"/>
      <c r="C62" s="632"/>
      <c r="D62" s="632"/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3"/>
      <c r="P62" s="636" t="s">
        <v>69</v>
      </c>
      <c r="Q62" s="637"/>
      <c r="R62" s="637"/>
      <c r="S62" s="637"/>
      <c r="T62" s="637"/>
      <c r="U62" s="637"/>
      <c r="V62" s="638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47.81216931216931</v>
      </c>
      <c r="Y62" s="619">
        <f>IFERROR(Y54/H54,"0")+IFERROR(Y55/H55,"0")+IFERROR(Y56/H56,"0")+IFERROR(Y57/H57,"0")+IFERROR(Y58/H58,"0")+IFERROR(Y59/H59,"0")+IFERROR(Y60/H60,"0")+IFERROR(Y61/H61,"0")</f>
        <v>49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0.74077999999999999</v>
      </c>
      <c r="AA62" s="620"/>
      <c r="AB62" s="620"/>
      <c r="AC62" s="620"/>
    </row>
    <row r="63" spans="1:68" x14ac:dyDescent="0.2">
      <c r="A63" s="632"/>
      <c r="B63" s="632"/>
      <c r="C63" s="632"/>
      <c r="D63" s="632"/>
      <c r="E63" s="632"/>
      <c r="F63" s="632"/>
      <c r="G63" s="632"/>
      <c r="H63" s="632"/>
      <c r="I63" s="632"/>
      <c r="J63" s="632"/>
      <c r="K63" s="632"/>
      <c r="L63" s="632"/>
      <c r="M63" s="632"/>
      <c r="N63" s="632"/>
      <c r="O63" s="633"/>
      <c r="P63" s="636" t="s">
        <v>69</v>
      </c>
      <c r="Q63" s="637"/>
      <c r="R63" s="637"/>
      <c r="S63" s="637"/>
      <c r="T63" s="637"/>
      <c r="U63" s="637"/>
      <c r="V63" s="638"/>
      <c r="W63" s="37" t="s">
        <v>67</v>
      </c>
      <c r="X63" s="619">
        <f>IFERROR(SUM(X54:X61),"0")</f>
        <v>401</v>
      </c>
      <c r="Y63" s="619">
        <f>IFERROR(SUM(Y54:Y61),"0")</f>
        <v>412.6</v>
      </c>
      <c r="Z63" s="37"/>
      <c r="AA63" s="620"/>
      <c r="AB63" s="620"/>
      <c r="AC63" s="620"/>
    </row>
    <row r="64" spans="1:68" ht="14.25" hidden="1" customHeight="1" x14ac:dyDescent="0.25">
      <c r="A64" s="635" t="s">
        <v>143</v>
      </c>
      <c r="B64" s="632"/>
      <c r="C64" s="632"/>
      <c r="D64" s="632"/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  <c r="T64" s="632"/>
      <c r="U64" s="632"/>
      <c r="V64" s="632"/>
      <c r="W64" s="632"/>
      <c r="X64" s="632"/>
      <c r="Y64" s="632"/>
      <c r="Z64" s="632"/>
      <c r="AA64" s="613"/>
      <c r="AB64" s="613"/>
      <c r="AC64" s="613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29">
        <v>4680115881440</v>
      </c>
      <c r="E65" s="630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4"/>
      <c r="R65" s="624"/>
      <c r="S65" s="624"/>
      <c r="T65" s="625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9">
        <v>4680115885950</v>
      </c>
      <c r="E66" s="630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4"/>
      <c r="R66" s="624"/>
      <c r="S66" s="624"/>
      <c r="T66" s="625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9">
        <v>4680115887688</v>
      </c>
      <c r="E67" s="630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4"/>
      <c r="R67" s="624"/>
      <c r="S67" s="624"/>
      <c r="T67" s="625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9">
        <v>4680115881433</v>
      </c>
      <c r="E68" s="630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4"/>
      <c r="R68" s="624"/>
      <c r="S68" s="624"/>
      <c r="T68" s="625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1"/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3"/>
      <c r="P69" s="636" t="s">
        <v>69</v>
      </c>
      <c r="Q69" s="637"/>
      <c r="R69" s="637"/>
      <c r="S69" s="637"/>
      <c r="T69" s="637"/>
      <c r="U69" s="637"/>
      <c r="V69" s="638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2"/>
      <c r="B70" s="632"/>
      <c r="C70" s="632"/>
      <c r="D70" s="632"/>
      <c r="E70" s="632"/>
      <c r="F70" s="632"/>
      <c r="G70" s="632"/>
      <c r="H70" s="632"/>
      <c r="I70" s="632"/>
      <c r="J70" s="632"/>
      <c r="K70" s="632"/>
      <c r="L70" s="632"/>
      <c r="M70" s="632"/>
      <c r="N70" s="632"/>
      <c r="O70" s="633"/>
      <c r="P70" s="636" t="s">
        <v>69</v>
      </c>
      <c r="Q70" s="637"/>
      <c r="R70" s="637"/>
      <c r="S70" s="637"/>
      <c r="T70" s="637"/>
      <c r="U70" s="637"/>
      <c r="V70" s="638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5" t="s">
        <v>71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13"/>
      <c r="AB71" s="613"/>
      <c r="AC71" s="613"/>
    </row>
    <row r="72" spans="1:68" ht="16.5" customHeight="1" x14ac:dyDescent="0.25">
      <c r="A72" s="54" t="s">
        <v>155</v>
      </c>
      <c r="B72" s="54" t="s">
        <v>156</v>
      </c>
      <c r="C72" s="31">
        <v>4301051837</v>
      </c>
      <c r="D72" s="629">
        <v>4680115884311</v>
      </c>
      <c r="E72" s="630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4"/>
      <c r="R72" s="624"/>
      <c r="S72" s="624"/>
      <c r="T72" s="625"/>
      <c r="U72" s="34"/>
      <c r="V72" s="34"/>
      <c r="W72" s="35" t="s">
        <v>67</v>
      </c>
      <c r="X72" s="617">
        <v>28</v>
      </c>
      <c r="Y72" s="618">
        <f>IFERROR(IF(X72="",0,CEILING((X72/$H72),1)*$H72),"")</f>
        <v>28.8</v>
      </c>
      <c r="Z72" s="36">
        <f>IFERROR(IF(Y72=0,"",ROUNDUP(Y72/H72,0)*0.00651),"")</f>
        <v>0.10416</v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31.826666666666664</v>
      </c>
      <c r="BN72" s="64">
        <f>IFERROR(Y72*I72/H72,"0")</f>
        <v>32.735999999999997</v>
      </c>
      <c r="BO72" s="64">
        <f>IFERROR(1/J72*(X72/H72),"0")</f>
        <v>8.5470085470085472E-2</v>
      </c>
      <c r="BP72" s="64">
        <f>IFERROR(1/J72*(Y72/H72),"0")</f>
        <v>8.7912087912087919E-2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9">
        <v>4680115884403</v>
      </c>
      <c r="E73" s="630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4"/>
      <c r="R73" s="624"/>
      <c r="S73" s="624"/>
      <c r="T73" s="625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36" t="s">
        <v>69</v>
      </c>
      <c r="Q74" s="637"/>
      <c r="R74" s="637"/>
      <c r="S74" s="637"/>
      <c r="T74" s="637"/>
      <c r="U74" s="637"/>
      <c r="V74" s="638"/>
      <c r="W74" s="37" t="s">
        <v>70</v>
      </c>
      <c r="X74" s="619">
        <f>IFERROR(X72/H72,"0")+IFERROR(X73/H73,"0")</f>
        <v>15.555555555555555</v>
      </c>
      <c r="Y74" s="619">
        <f>IFERROR(Y72/H72,"0")+IFERROR(Y73/H73,"0")</f>
        <v>16</v>
      </c>
      <c r="Z74" s="619">
        <f>IFERROR(IF(Z72="",0,Z72),"0")+IFERROR(IF(Z73="",0,Z73),"0")</f>
        <v>0.10416</v>
      </c>
      <c r="AA74" s="620"/>
      <c r="AB74" s="620"/>
      <c r="AC74" s="620"/>
    </row>
    <row r="75" spans="1:68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36" t="s">
        <v>69</v>
      </c>
      <c r="Q75" s="637"/>
      <c r="R75" s="637"/>
      <c r="S75" s="637"/>
      <c r="T75" s="637"/>
      <c r="U75" s="637"/>
      <c r="V75" s="638"/>
      <c r="W75" s="37" t="s">
        <v>67</v>
      </c>
      <c r="X75" s="619">
        <f>IFERROR(SUM(X72:X73),"0")</f>
        <v>28</v>
      </c>
      <c r="Y75" s="619">
        <f>IFERROR(SUM(Y72:Y73),"0")</f>
        <v>28.8</v>
      </c>
      <c r="Z75" s="37"/>
      <c r="AA75" s="620"/>
      <c r="AB75" s="620"/>
      <c r="AC75" s="620"/>
    </row>
    <row r="76" spans="1:68" ht="14.25" hidden="1" customHeight="1" x14ac:dyDescent="0.25">
      <c r="A76" s="635" t="s">
        <v>161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13"/>
      <c r="AB76" s="613"/>
      <c r="AC76" s="613"/>
    </row>
    <row r="77" spans="1:68" ht="27" customHeight="1" x14ac:dyDescent="0.25">
      <c r="A77" s="54" t="s">
        <v>162</v>
      </c>
      <c r="B77" s="54" t="s">
        <v>163</v>
      </c>
      <c r="C77" s="31">
        <v>4301060455</v>
      </c>
      <c r="D77" s="629">
        <v>4680115881532</v>
      </c>
      <c r="E77" s="630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4"/>
      <c r="R77" s="624"/>
      <c r="S77" s="624"/>
      <c r="T77" s="625"/>
      <c r="U77" s="34"/>
      <c r="V77" s="34"/>
      <c r="W77" s="35" t="s">
        <v>67</v>
      </c>
      <c r="X77" s="617">
        <v>45</v>
      </c>
      <c r="Y77" s="618">
        <f>IFERROR(IF(X77="",0,CEILING((X77/$H77),1)*$H77),"")</f>
        <v>46.8</v>
      </c>
      <c r="Z77" s="36">
        <f>IFERROR(IF(Y77=0,"",ROUNDUP(Y77/H77,0)*0.01898),"")</f>
        <v>0.11388000000000001</v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47.36538461538462</v>
      </c>
      <c r="BN77" s="64">
        <f>IFERROR(Y77*I77/H77,"0")</f>
        <v>49.260000000000005</v>
      </c>
      <c r="BO77" s="64">
        <f>IFERROR(1/J77*(X77/H77),"0")</f>
        <v>9.0144230769230768E-2</v>
      </c>
      <c r="BP77" s="64">
        <f>IFERROR(1/J77*(Y77/H77),"0")</f>
        <v>9.375E-2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9">
        <v>4680115881532</v>
      </c>
      <c r="E78" s="630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4"/>
      <c r="R78" s="624"/>
      <c r="S78" s="624"/>
      <c r="T78" s="625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9">
        <v>4680115881464</v>
      </c>
      <c r="E79" s="630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4"/>
      <c r="R79" s="624"/>
      <c r="S79" s="624"/>
      <c r="T79" s="625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31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36" t="s">
        <v>69</v>
      </c>
      <c r="Q80" s="637"/>
      <c r="R80" s="637"/>
      <c r="S80" s="637"/>
      <c r="T80" s="637"/>
      <c r="U80" s="637"/>
      <c r="V80" s="638"/>
      <c r="W80" s="37" t="s">
        <v>70</v>
      </c>
      <c r="X80" s="619">
        <f>IFERROR(X77/H77,"0")+IFERROR(X78/H78,"0")+IFERROR(X79/H79,"0")</f>
        <v>5.7692307692307692</v>
      </c>
      <c r="Y80" s="619">
        <f>IFERROR(Y77/H77,"0")+IFERROR(Y78/H78,"0")+IFERROR(Y79/H79,"0")</f>
        <v>6</v>
      </c>
      <c r="Z80" s="619">
        <f>IFERROR(IF(Z77="",0,Z77),"0")+IFERROR(IF(Z78="",0,Z78),"0")+IFERROR(IF(Z79="",0,Z79),"0")</f>
        <v>0.11388000000000001</v>
      </c>
      <c r="AA80" s="620"/>
      <c r="AB80" s="620"/>
      <c r="AC80" s="620"/>
    </row>
    <row r="81" spans="1:68" x14ac:dyDescent="0.2">
      <c r="A81" s="632"/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3"/>
      <c r="P81" s="636" t="s">
        <v>69</v>
      </c>
      <c r="Q81" s="637"/>
      <c r="R81" s="637"/>
      <c r="S81" s="637"/>
      <c r="T81" s="637"/>
      <c r="U81" s="637"/>
      <c r="V81" s="638"/>
      <c r="W81" s="37" t="s">
        <v>67</v>
      </c>
      <c r="X81" s="619">
        <f>IFERROR(SUM(X77:X79),"0")</f>
        <v>45</v>
      </c>
      <c r="Y81" s="619">
        <f>IFERROR(SUM(Y77:Y79),"0")</f>
        <v>46.8</v>
      </c>
      <c r="Z81" s="37"/>
      <c r="AA81" s="620"/>
      <c r="AB81" s="620"/>
      <c r="AC81" s="620"/>
    </row>
    <row r="82" spans="1:68" ht="16.5" hidden="1" customHeight="1" x14ac:dyDescent="0.25">
      <c r="A82" s="654" t="s">
        <v>169</v>
      </c>
      <c r="B82" s="632"/>
      <c r="C82" s="632"/>
      <c r="D82" s="632"/>
      <c r="E82" s="632"/>
      <c r="F82" s="632"/>
      <c r="G82" s="632"/>
      <c r="H82" s="632"/>
      <c r="I82" s="632"/>
      <c r="J82" s="632"/>
      <c r="K82" s="632"/>
      <c r="L82" s="632"/>
      <c r="M82" s="632"/>
      <c r="N82" s="632"/>
      <c r="O82" s="632"/>
      <c r="P82" s="632"/>
      <c r="Q82" s="632"/>
      <c r="R82" s="632"/>
      <c r="S82" s="632"/>
      <c r="T82" s="632"/>
      <c r="U82" s="632"/>
      <c r="V82" s="632"/>
      <c r="W82" s="632"/>
      <c r="X82" s="632"/>
      <c r="Y82" s="632"/>
      <c r="Z82" s="632"/>
      <c r="AA82" s="612"/>
      <c r="AB82" s="612"/>
      <c r="AC82" s="612"/>
    </row>
    <row r="83" spans="1:68" ht="14.25" hidden="1" customHeight="1" x14ac:dyDescent="0.25">
      <c r="A83" s="635" t="s">
        <v>108</v>
      </c>
      <c r="B83" s="632"/>
      <c r="C83" s="632"/>
      <c r="D83" s="632"/>
      <c r="E83" s="632"/>
      <c r="F83" s="632"/>
      <c r="G83" s="632"/>
      <c r="H83" s="632"/>
      <c r="I83" s="632"/>
      <c r="J83" s="632"/>
      <c r="K83" s="632"/>
      <c r="L83" s="632"/>
      <c r="M83" s="632"/>
      <c r="N83" s="632"/>
      <c r="O83" s="632"/>
      <c r="P83" s="632"/>
      <c r="Q83" s="632"/>
      <c r="R83" s="632"/>
      <c r="S83" s="632"/>
      <c r="T83" s="632"/>
      <c r="U83" s="632"/>
      <c r="V83" s="632"/>
      <c r="W83" s="632"/>
      <c r="X83" s="632"/>
      <c r="Y83" s="632"/>
      <c r="Z83" s="632"/>
      <c r="AA83" s="613"/>
      <c r="AB83" s="613"/>
      <c r="AC83" s="613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29">
        <v>4680115881327</v>
      </c>
      <c r="E84" s="630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4"/>
      <c r="R84" s="624"/>
      <c r="S84" s="624"/>
      <c r="T84" s="625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9">
        <v>4680115881327</v>
      </c>
      <c r="E85" s="630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4"/>
      <c r="R85" s="624"/>
      <c r="S85" s="624"/>
      <c r="T85" s="625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4301012392</v>
      </c>
      <c r="D86" s="629">
        <v>4680115887732</v>
      </c>
      <c r="E86" s="630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4"/>
      <c r="R86" s="624"/>
      <c r="S86" s="624"/>
      <c r="T86" s="625"/>
      <c r="U86" s="34"/>
      <c r="V86" s="34"/>
      <c r="W86" s="35" t="s">
        <v>67</v>
      </c>
      <c r="X86" s="617">
        <v>3</v>
      </c>
      <c r="Y86" s="618">
        <f t="shared" si="5"/>
        <v>4.08</v>
      </c>
      <c r="Z86" s="36">
        <f>IFERROR(IF(Y86=0,"",ROUNDUP(Y86/H86,0)*0.00726),"")</f>
        <v>2.1780000000000001E-2</v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3.3970588235294117</v>
      </c>
      <c r="BN86" s="64">
        <f t="shared" si="7"/>
        <v>4.6199999999999992</v>
      </c>
      <c r="BO86" s="64">
        <f t="shared" si="8"/>
        <v>1.1488970588235291E-2</v>
      </c>
      <c r="BP86" s="64">
        <f t="shared" si="9"/>
        <v>1.5625E-2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9">
        <v>4680115881518</v>
      </c>
      <c r="E87" s="630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4"/>
      <c r="R87" s="624"/>
      <c r="S87" s="624"/>
      <c r="T87" s="625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9">
        <v>4680115881518</v>
      </c>
      <c r="E88" s="630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4"/>
      <c r="R88" s="624"/>
      <c r="S88" s="624"/>
      <c r="T88" s="625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29">
        <v>4680115881303</v>
      </c>
      <c r="E89" s="630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4"/>
      <c r="R89" s="624"/>
      <c r="S89" s="624"/>
      <c r="T89" s="625"/>
      <c r="U89" s="34"/>
      <c r="V89" s="34"/>
      <c r="W89" s="35" t="s">
        <v>67</v>
      </c>
      <c r="X89" s="617">
        <v>58</v>
      </c>
      <c r="Y89" s="618">
        <f t="shared" si="5"/>
        <v>58.5</v>
      </c>
      <c r="Z89" s="36">
        <f>IFERROR(IF(Y89=0,"",ROUNDUP(Y89/H89,0)*0.00902),"")</f>
        <v>0.11726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60.448888888888895</v>
      </c>
      <c r="BN89" s="64">
        <f t="shared" si="7"/>
        <v>60.97</v>
      </c>
      <c r="BO89" s="64">
        <f t="shared" si="8"/>
        <v>9.7643097643097643E-2</v>
      </c>
      <c r="BP89" s="64">
        <f t="shared" si="9"/>
        <v>9.8484848484848481E-2</v>
      </c>
    </row>
    <row r="90" spans="1:68" x14ac:dyDescent="0.2">
      <c r="A90" s="631"/>
      <c r="B90" s="632"/>
      <c r="C90" s="632"/>
      <c r="D90" s="632"/>
      <c r="E90" s="632"/>
      <c r="F90" s="632"/>
      <c r="G90" s="632"/>
      <c r="H90" s="632"/>
      <c r="I90" s="632"/>
      <c r="J90" s="632"/>
      <c r="K90" s="632"/>
      <c r="L90" s="632"/>
      <c r="M90" s="632"/>
      <c r="N90" s="632"/>
      <c r="O90" s="633"/>
      <c r="P90" s="636" t="s">
        <v>69</v>
      </c>
      <c r="Q90" s="637"/>
      <c r="R90" s="637"/>
      <c r="S90" s="637"/>
      <c r="T90" s="637"/>
      <c r="U90" s="637"/>
      <c r="V90" s="638"/>
      <c r="W90" s="37" t="s">
        <v>70</v>
      </c>
      <c r="X90" s="619">
        <f>IFERROR(X84/H84,"0")+IFERROR(X85/H85,"0")+IFERROR(X86/H86,"0")+IFERROR(X87/H87,"0")+IFERROR(X88/H88,"0")+IFERROR(X89/H89,"0")</f>
        <v>15.094771241830065</v>
      </c>
      <c r="Y90" s="619">
        <f>IFERROR(Y84/H84,"0")+IFERROR(Y85/H85,"0")+IFERROR(Y86/H86,"0")+IFERROR(Y87/H87,"0")+IFERROR(Y88/H88,"0")+IFERROR(Y89/H89,"0")</f>
        <v>16</v>
      </c>
      <c r="Z90" s="619">
        <f>IFERROR(IF(Z84="",0,Z84),"0")+IFERROR(IF(Z85="",0,Z85),"0")+IFERROR(IF(Z86="",0,Z86),"0")+IFERROR(IF(Z87="",0,Z87),"0")+IFERROR(IF(Z88="",0,Z88),"0")+IFERROR(IF(Z89="",0,Z89),"0")</f>
        <v>0.13904</v>
      </c>
      <c r="AA90" s="620"/>
      <c r="AB90" s="620"/>
      <c r="AC90" s="620"/>
    </row>
    <row r="91" spans="1:68" x14ac:dyDescent="0.2">
      <c r="A91" s="632"/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3"/>
      <c r="P91" s="636" t="s">
        <v>69</v>
      </c>
      <c r="Q91" s="637"/>
      <c r="R91" s="637"/>
      <c r="S91" s="637"/>
      <c r="T91" s="637"/>
      <c r="U91" s="637"/>
      <c r="V91" s="638"/>
      <c r="W91" s="37" t="s">
        <v>67</v>
      </c>
      <c r="X91" s="619">
        <f>IFERROR(SUM(X84:X89),"0")</f>
        <v>61</v>
      </c>
      <c r="Y91" s="619">
        <f>IFERROR(SUM(Y84:Y89),"0")</f>
        <v>62.58</v>
      </c>
      <c r="Z91" s="37"/>
      <c r="AA91" s="620"/>
      <c r="AB91" s="620"/>
      <c r="AC91" s="620"/>
    </row>
    <row r="92" spans="1:68" ht="14.25" hidden="1" customHeight="1" x14ac:dyDescent="0.25">
      <c r="A92" s="635" t="s">
        <v>71</v>
      </c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2"/>
      <c r="P92" s="632"/>
      <c r="Q92" s="632"/>
      <c r="R92" s="632"/>
      <c r="S92" s="632"/>
      <c r="T92" s="632"/>
      <c r="U92" s="632"/>
      <c r="V92" s="632"/>
      <c r="W92" s="632"/>
      <c r="X92" s="632"/>
      <c r="Y92" s="632"/>
      <c r="Z92" s="632"/>
      <c r="AA92" s="613"/>
      <c r="AB92" s="613"/>
      <c r="AC92" s="613"/>
    </row>
    <row r="93" spans="1:68" ht="27" hidden="1" customHeight="1" x14ac:dyDescent="0.25">
      <c r="A93" s="54" t="s">
        <v>182</v>
      </c>
      <c r="B93" s="54" t="s">
        <v>183</v>
      </c>
      <c r="C93" s="31">
        <v>4301052101</v>
      </c>
      <c r="D93" s="629">
        <v>4607091386967</v>
      </c>
      <c r="E93" s="630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4"/>
      <c r="R93" s="624"/>
      <c r="S93" s="624"/>
      <c r="T93" s="625"/>
      <c r="U93" s="34"/>
      <c r="V93" s="34"/>
      <c r="W93" s="35" t="s">
        <v>67</v>
      </c>
      <c r="X93" s="617">
        <v>0</v>
      </c>
      <c r="Y93" s="61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9">
        <v>4680115884953</v>
      </c>
      <c r="E94" s="630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9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4"/>
      <c r="R94" s="624"/>
      <c r="S94" s="624"/>
      <c r="T94" s="625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29">
        <v>4607091385731</v>
      </c>
      <c r="E95" s="630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5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4"/>
      <c r="R95" s="624"/>
      <c r="S95" s="624"/>
      <c r="T95" s="625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9">
        <v>4680115880894</v>
      </c>
      <c r="E96" s="630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4"/>
      <c r="R96" s="624"/>
      <c r="S96" s="624"/>
      <c r="T96" s="625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631"/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3"/>
      <c r="P97" s="636" t="s">
        <v>69</v>
      </c>
      <c r="Q97" s="637"/>
      <c r="R97" s="637"/>
      <c r="S97" s="637"/>
      <c r="T97" s="637"/>
      <c r="U97" s="637"/>
      <c r="V97" s="638"/>
      <c r="W97" s="37" t="s">
        <v>70</v>
      </c>
      <c r="X97" s="619">
        <f>IFERROR(X93/H93,"0")+IFERROR(X94/H94,"0")+IFERROR(X95/H95,"0")+IFERROR(X96/H96,"0")</f>
        <v>0</v>
      </c>
      <c r="Y97" s="619">
        <f>IFERROR(Y93/H93,"0")+IFERROR(Y94/H94,"0")+IFERROR(Y95/H95,"0")+IFERROR(Y96/H96,"0")</f>
        <v>0</v>
      </c>
      <c r="Z97" s="619">
        <f>IFERROR(IF(Z93="",0,Z93),"0")+IFERROR(IF(Z94="",0,Z94),"0")+IFERROR(IF(Z95="",0,Z95),"0")+IFERROR(IF(Z96="",0,Z96),"0")</f>
        <v>0</v>
      </c>
      <c r="AA97" s="620"/>
      <c r="AB97" s="620"/>
      <c r="AC97" s="620"/>
    </row>
    <row r="98" spans="1:68" hidden="1" x14ac:dyDescent="0.2">
      <c r="A98" s="632"/>
      <c r="B98" s="632"/>
      <c r="C98" s="632"/>
      <c r="D98" s="632"/>
      <c r="E98" s="632"/>
      <c r="F98" s="632"/>
      <c r="G98" s="632"/>
      <c r="H98" s="632"/>
      <c r="I98" s="632"/>
      <c r="J98" s="632"/>
      <c r="K98" s="632"/>
      <c r="L98" s="632"/>
      <c r="M98" s="632"/>
      <c r="N98" s="632"/>
      <c r="O98" s="633"/>
      <c r="P98" s="636" t="s">
        <v>69</v>
      </c>
      <c r="Q98" s="637"/>
      <c r="R98" s="637"/>
      <c r="S98" s="637"/>
      <c r="T98" s="637"/>
      <c r="U98" s="637"/>
      <c r="V98" s="638"/>
      <c r="W98" s="37" t="s">
        <v>67</v>
      </c>
      <c r="X98" s="619">
        <f>IFERROR(SUM(X93:X96),"0")</f>
        <v>0</v>
      </c>
      <c r="Y98" s="619">
        <f>IFERROR(SUM(Y93:Y96),"0")</f>
        <v>0</v>
      </c>
      <c r="Z98" s="37"/>
      <c r="AA98" s="620"/>
      <c r="AB98" s="620"/>
      <c r="AC98" s="620"/>
    </row>
    <row r="99" spans="1:68" ht="16.5" hidden="1" customHeight="1" x14ac:dyDescent="0.25">
      <c r="A99" s="654" t="s">
        <v>193</v>
      </c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12"/>
      <c r="AB99" s="612"/>
      <c r="AC99" s="612"/>
    </row>
    <row r="100" spans="1:68" ht="14.25" hidden="1" customHeight="1" x14ac:dyDescent="0.25">
      <c r="A100" s="635" t="s">
        <v>108</v>
      </c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2"/>
      <c r="P100" s="632"/>
      <c r="Q100" s="632"/>
      <c r="R100" s="632"/>
      <c r="S100" s="632"/>
      <c r="T100" s="632"/>
      <c r="U100" s="632"/>
      <c r="V100" s="632"/>
      <c r="W100" s="632"/>
      <c r="X100" s="632"/>
      <c r="Y100" s="632"/>
      <c r="Z100" s="632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9">
        <v>4680115882133</v>
      </c>
      <c r="E101" s="630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4"/>
      <c r="R101" s="624"/>
      <c r="S101" s="624"/>
      <c r="T101" s="625"/>
      <c r="U101" s="34"/>
      <c r="V101" s="34"/>
      <c r="W101" s="35" t="s">
        <v>67</v>
      </c>
      <c r="X101" s="617">
        <v>109</v>
      </c>
      <c r="Y101" s="618">
        <f t="shared" ref="Y101:Y107" si="10">IFERROR(IF(X101="",0,CEILING((X101/$H101),1)*$H101),"")</f>
        <v>118.80000000000001</v>
      </c>
      <c r="Z101" s="36">
        <f>IFERROR(IF(Y101=0,"",ROUNDUP(Y101/H101,0)*0.01898),"")</f>
        <v>0.20877999999999999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113.13796296296296</v>
      </c>
      <c r="BN101" s="64">
        <f t="shared" ref="BN101:BN107" si="12">IFERROR(Y101*I101/H101,"0")</f>
        <v>123.31000000000002</v>
      </c>
      <c r="BO101" s="64">
        <f t="shared" ref="BO101:BO107" si="13">IFERROR(1/J101*(X101/H101),"0")</f>
        <v>0.15769675925925924</v>
      </c>
      <c r="BP101" s="64">
        <f t="shared" ref="BP101:BP107" si="14">IFERROR(1/J101*(Y101/H101),"0")</f>
        <v>0.171875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9">
        <v>4680115882133</v>
      </c>
      <c r="E102" s="630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4"/>
      <c r="R102" s="624"/>
      <c r="S102" s="624"/>
      <c r="T102" s="625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9">
        <v>4680115887718</v>
      </c>
      <c r="E103" s="630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4"/>
      <c r="R103" s="624"/>
      <c r="S103" s="624"/>
      <c r="T103" s="625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9">
        <v>4680115880269</v>
      </c>
      <c r="E104" s="630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7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4"/>
      <c r="R104" s="624"/>
      <c r="S104" s="624"/>
      <c r="T104" s="625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29">
        <v>4680115880429</v>
      </c>
      <c r="E105" s="630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4"/>
      <c r="R105" s="624"/>
      <c r="S105" s="624"/>
      <c r="T105" s="625"/>
      <c r="U105" s="34"/>
      <c r="V105" s="34"/>
      <c r="W105" s="35" t="s">
        <v>67</v>
      </c>
      <c r="X105" s="617">
        <v>257</v>
      </c>
      <c r="Y105" s="618">
        <f t="shared" si="10"/>
        <v>261</v>
      </c>
      <c r="Z105" s="36">
        <f>IFERROR(IF(Y105=0,"",ROUNDUP(Y105/H105,0)*0.00902),"")</f>
        <v>0.52316000000000007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267.85111111111115</v>
      </c>
      <c r="BN105" s="64">
        <f t="shared" si="12"/>
        <v>272.02000000000004</v>
      </c>
      <c r="BO105" s="64">
        <f t="shared" si="13"/>
        <v>0.43265993265993269</v>
      </c>
      <c r="BP105" s="64">
        <f t="shared" si="14"/>
        <v>0.43939393939393939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9">
        <v>4680115881457</v>
      </c>
      <c r="E106" s="630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4"/>
      <c r="R106" s="624"/>
      <c r="S106" s="624"/>
      <c r="T106" s="625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9">
        <v>4680115889477</v>
      </c>
      <c r="E107" s="630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4"/>
      <c r="R107" s="624"/>
      <c r="S107" s="624"/>
      <c r="T107" s="625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1"/>
      <c r="B108" s="632"/>
      <c r="C108" s="632"/>
      <c r="D108" s="632"/>
      <c r="E108" s="632"/>
      <c r="F108" s="632"/>
      <c r="G108" s="632"/>
      <c r="H108" s="632"/>
      <c r="I108" s="632"/>
      <c r="J108" s="632"/>
      <c r="K108" s="632"/>
      <c r="L108" s="632"/>
      <c r="M108" s="632"/>
      <c r="N108" s="632"/>
      <c r="O108" s="633"/>
      <c r="P108" s="636" t="s">
        <v>69</v>
      </c>
      <c r="Q108" s="637"/>
      <c r="R108" s="637"/>
      <c r="S108" s="637"/>
      <c r="T108" s="637"/>
      <c r="U108" s="637"/>
      <c r="V108" s="638"/>
      <c r="W108" s="37" t="s">
        <v>70</v>
      </c>
      <c r="X108" s="619">
        <f>IFERROR(X101/H101,"0")+IFERROR(X102/H102,"0")+IFERROR(X103/H103,"0")+IFERROR(X104/H104,"0")+IFERROR(X105/H105,"0")+IFERROR(X106/H106,"0")+IFERROR(X107/H107,"0")</f>
        <v>67.203703703703709</v>
      </c>
      <c r="Y108" s="619">
        <f>IFERROR(Y101/H101,"0")+IFERROR(Y102/H102,"0")+IFERROR(Y103/H103,"0")+IFERROR(Y104/H104,"0")+IFERROR(Y105/H105,"0")+IFERROR(Y106/H106,"0")+IFERROR(Y107/H107,"0")</f>
        <v>69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0.73194000000000004</v>
      </c>
      <c r="AA108" s="620"/>
      <c r="AB108" s="620"/>
      <c r="AC108" s="620"/>
    </row>
    <row r="109" spans="1:68" x14ac:dyDescent="0.2">
      <c r="A109" s="632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36" t="s">
        <v>69</v>
      </c>
      <c r="Q109" s="637"/>
      <c r="R109" s="637"/>
      <c r="S109" s="637"/>
      <c r="T109" s="637"/>
      <c r="U109" s="637"/>
      <c r="V109" s="638"/>
      <c r="W109" s="37" t="s">
        <v>67</v>
      </c>
      <c r="X109" s="619">
        <f>IFERROR(SUM(X101:X107),"0")</f>
        <v>366</v>
      </c>
      <c r="Y109" s="619">
        <f>IFERROR(SUM(Y101:Y107),"0")</f>
        <v>379.8</v>
      </c>
      <c r="Z109" s="37"/>
      <c r="AA109" s="620"/>
      <c r="AB109" s="620"/>
      <c r="AC109" s="620"/>
    </row>
    <row r="110" spans="1:68" ht="14.25" hidden="1" customHeight="1" x14ac:dyDescent="0.25">
      <c r="A110" s="635" t="s">
        <v>143</v>
      </c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2"/>
      <c r="P110" s="632"/>
      <c r="Q110" s="632"/>
      <c r="R110" s="632"/>
      <c r="S110" s="632"/>
      <c r="T110" s="632"/>
      <c r="U110" s="632"/>
      <c r="V110" s="632"/>
      <c r="W110" s="632"/>
      <c r="X110" s="632"/>
      <c r="Y110" s="632"/>
      <c r="Z110" s="632"/>
      <c r="AA110" s="613"/>
      <c r="AB110" s="613"/>
      <c r="AC110" s="613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29">
        <v>4680115881488</v>
      </c>
      <c r="E111" s="630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4"/>
      <c r="R111" s="624"/>
      <c r="S111" s="624"/>
      <c r="T111" s="625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9">
        <v>4680115887664</v>
      </c>
      <c r="E112" s="630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4"/>
      <c r="R112" s="624"/>
      <c r="S112" s="624"/>
      <c r="T112" s="625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9">
        <v>4680115887664</v>
      </c>
      <c r="E113" s="630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4"/>
      <c r="R113" s="624"/>
      <c r="S113" s="624"/>
      <c r="T113" s="625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9">
        <v>4680115882775</v>
      </c>
      <c r="E114" s="630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4"/>
      <c r="R114" s="624"/>
      <c r="S114" s="624"/>
      <c r="T114" s="625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29">
        <v>4680115880658</v>
      </c>
      <c r="E115" s="630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4"/>
      <c r="R115" s="624"/>
      <c r="S115" s="624"/>
      <c r="T115" s="625"/>
      <c r="U115" s="34"/>
      <c r="V115" s="34"/>
      <c r="W115" s="35" t="s">
        <v>67</v>
      </c>
      <c r="X115" s="617">
        <v>6</v>
      </c>
      <c r="Y115" s="618">
        <f>IFERROR(IF(X115="",0,CEILING((X115/$H115),1)*$H115),"")</f>
        <v>7.1999999999999993</v>
      </c>
      <c r="Z115" s="36">
        <f>IFERROR(IF(Y115=0,"",ROUNDUP(Y115/H115,0)*0.00651),"")</f>
        <v>1.9529999999999999E-2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6.45</v>
      </c>
      <c r="BN115" s="64">
        <f>IFERROR(Y115*I115/H115,"0")</f>
        <v>7.7399999999999993</v>
      </c>
      <c r="BO115" s="64">
        <f>IFERROR(1/J115*(X115/H115),"0")</f>
        <v>1.3736263736263738E-2</v>
      </c>
      <c r="BP115" s="64">
        <f>IFERROR(1/J115*(Y115/H115),"0")</f>
        <v>1.6483516483516484E-2</v>
      </c>
    </row>
    <row r="116" spans="1:68" x14ac:dyDescent="0.2">
      <c r="A116" s="631"/>
      <c r="B116" s="632"/>
      <c r="C116" s="632"/>
      <c r="D116" s="632"/>
      <c r="E116" s="632"/>
      <c r="F116" s="632"/>
      <c r="G116" s="632"/>
      <c r="H116" s="632"/>
      <c r="I116" s="632"/>
      <c r="J116" s="632"/>
      <c r="K116" s="632"/>
      <c r="L116" s="632"/>
      <c r="M116" s="632"/>
      <c r="N116" s="632"/>
      <c r="O116" s="633"/>
      <c r="P116" s="636" t="s">
        <v>69</v>
      </c>
      <c r="Q116" s="637"/>
      <c r="R116" s="637"/>
      <c r="S116" s="637"/>
      <c r="T116" s="637"/>
      <c r="U116" s="637"/>
      <c r="V116" s="638"/>
      <c r="W116" s="37" t="s">
        <v>70</v>
      </c>
      <c r="X116" s="619">
        <f>IFERROR(X111/H111,"0")+IFERROR(X112/H112,"0")+IFERROR(X113/H113,"0")+IFERROR(X114/H114,"0")+IFERROR(X115/H115,"0")</f>
        <v>2.5</v>
      </c>
      <c r="Y116" s="619">
        <f>IFERROR(Y111/H111,"0")+IFERROR(Y112/H112,"0")+IFERROR(Y113/H113,"0")+IFERROR(Y114/H114,"0")+IFERROR(Y115/H115,"0")</f>
        <v>3</v>
      </c>
      <c r="Z116" s="619">
        <f>IFERROR(IF(Z111="",0,Z111),"0")+IFERROR(IF(Z112="",0,Z112),"0")+IFERROR(IF(Z113="",0,Z113),"0")+IFERROR(IF(Z114="",0,Z114),"0")+IFERROR(IF(Z115="",0,Z115),"0")</f>
        <v>1.9529999999999999E-2</v>
      </c>
      <c r="AA116" s="620"/>
      <c r="AB116" s="620"/>
      <c r="AC116" s="620"/>
    </row>
    <row r="117" spans="1:68" x14ac:dyDescent="0.2">
      <c r="A117" s="632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36" t="s">
        <v>69</v>
      </c>
      <c r="Q117" s="637"/>
      <c r="R117" s="637"/>
      <c r="S117" s="637"/>
      <c r="T117" s="637"/>
      <c r="U117" s="637"/>
      <c r="V117" s="638"/>
      <c r="W117" s="37" t="s">
        <v>67</v>
      </c>
      <c r="X117" s="619">
        <f>IFERROR(SUM(X111:X115),"0")</f>
        <v>6</v>
      </c>
      <c r="Y117" s="619">
        <f>IFERROR(SUM(Y111:Y115),"0")</f>
        <v>7.1999999999999993</v>
      </c>
      <c r="Z117" s="37"/>
      <c r="AA117" s="620"/>
      <c r="AB117" s="620"/>
      <c r="AC117" s="620"/>
    </row>
    <row r="118" spans="1:68" ht="14.25" hidden="1" customHeight="1" x14ac:dyDescent="0.25">
      <c r="A118" s="635" t="s">
        <v>71</v>
      </c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2"/>
      <c r="P118" s="632"/>
      <c r="Q118" s="632"/>
      <c r="R118" s="632"/>
      <c r="S118" s="632"/>
      <c r="T118" s="632"/>
      <c r="U118" s="632"/>
      <c r="V118" s="632"/>
      <c r="W118" s="632"/>
      <c r="X118" s="632"/>
      <c r="Y118" s="632"/>
      <c r="Z118" s="632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9">
        <v>4607091385168</v>
      </c>
      <c r="E119" s="630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4"/>
      <c r="R119" s="624"/>
      <c r="S119" s="624"/>
      <c r="T119" s="625"/>
      <c r="U119" s="34"/>
      <c r="V119" s="34"/>
      <c r="W119" s="35" t="s">
        <v>67</v>
      </c>
      <c r="X119" s="617">
        <v>398</v>
      </c>
      <c r="Y119" s="618">
        <f>IFERROR(IF(X119="",0,CEILING((X119/$H119),1)*$H119),"")</f>
        <v>405</v>
      </c>
      <c r="Z119" s="36">
        <f>IFERROR(IF(Y119=0,"",ROUNDUP(Y119/H119,0)*0.01898),"")</f>
        <v>0.94900000000000007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421.9782716049383</v>
      </c>
      <c r="BN119" s="64">
        <f>IFERROR(Y119*I119/H119,"0")</f>
        <v>429.4</v>
      </c>
      <c r="BO119" s="64">
        <f>IFERROR(1/J119*(X119/H119),"0")</f>
        <v>0.76774691358024694</v>
      </c>
      <c r="BP119" s="64">
        <f>IFERROR(1/J119*(Y119/H119),"0")</f>
        <v>0.78125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9">
        <v>4607091383256</v>
      </c>
      <c r="E120" s="630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4"/>
      <c r="R120" s="624"/>
      <c r="S120" s="624"/>
      <c r="T120" s="625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29">
        <v>4607091385748</v>
      </c>
      <c r="E121" s="630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4"/>
      <c r="R121" s="624"/>
      <c r="S121" s="624"/>
      <c r="T121" s="625"/>
      <c r="U121" s="34"/>
      <c r="V121" s="34"/>
      <c r="W121" s="35" t="s">
        <v>67</v>
      </c>
      <c r="X121" s="617">
        <v>715</v>
      </c>
      <c r="Y121" s="618">
        <f>IFERROR(IF(X121="",0,CEILING((X121/$H121),1)*$H121),"")</f>
        <v>715.5</v>
      </c>
      <c r="Z121" s="36">
        <f>IFERROR(IF(Y121=0,"",ROUNDUP(Y121/H121,0)*0.00651),"")</f>
        <v>1.72515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781.73333333333323</v>
      </c>
      <c r="BN121" s="64">
        <f>IFERROR(Y121*I121/H121,"0")</f>
        <v>782.28</v>
      </c>
      <c r="BO121" s="64">
        <f>IFERROR(1/J121*(X121/H121),"0")</f>
        <v>1.4550264550264549</v>
      </c>
      <c r="BP121" s="64">
        <f>IFERROR(1/J121*(Y121/H121),"0")</f>
        <v>1.4560439560439562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9">
        <v>4680115884533</v>
      </c>
      <c r="E122" s="630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4"/>
      <c r="R122" s="624"/>
      <c r="S122" s="624"/>
      <c r="T122" s="625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1"/>
      <c r="B123" s="632"/>
      <c r="C123" s="632"/>
      <c r="D123" s="632"/>
      <c r="E123" s="632"/>
      <c r="F123" s="632"/>
      <c r="G123" s="632"/>
      <c r="H123" s="632"/>
      <c r="I123" s="632"/>
      <c r="J123" s="632"/>
      <c r="K123" s="632"/>
      <c r="L123" s="632"/>
      <c r="M123" s="632"/>
      <c r="N123" s="632"/>
      <c r="O123" s="633"/>
      <c r="P123" s="636" t="s">
        <v>69</v>
      </c>
      <c r="Q123" s="637"/>
      <c r="R123" s="637"/>
      <c r="S123" s="637"/>
      <c r="T123" s="637"/>
      <c r="U123" s="637"/>
      <c r="V123" s="638"/>
      <c r="W123" s="37" t="s">
        <v>70</v>
      </c>
      <c r="X123" s="619">
        <f>IFERROR(X119/H119,"0")+IFERROR(X120/H120,"0")+IFERROR(X121/H121,"0")+IFERROR(X122/H122,"0")</f>
        <v>313.95061728395058</v>
      </c>
      <c r="Y123" s="619">
        <f>IFERROR(Y119/H119,"0")+IFERROR(Y120/H120,"0")+IFERROR(Y121/H121,"0")+IFERROR(Y122/H122,"0")</f>
        <v>315</v>
      </c>
      <c r="Z123" s="619">
        <f>IFERROR(IF(Z119="",0,Z119),"0")+IFERROR(IF(Z120="",0,Z120),"0")+IFERROR(IF(Z121="",0,Z121),"0")+IFERROR(IF(Z122="",0,Z122),"0")</f>
        <v>2.67415</v>
      </c>
      <c r="AA123" s="620"/>
      <c r="AB123" s="620"/>
      <c r="AC123" s="620"/>
    </row>
    <row r="124" spans="1:68" x14ac:dyDescent="0.2">
      <c r="A124" s="632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36" t="s">
        <v>69</v>
      </c>
      <c r="Q124" s="637"/>
      <c r="R124" s="637"/>
      <c r="S124" s="637"/>
      <c r="T124" s="637"/>
      <c r="U124" s="637"/>
      <c r="V124" s="638"/>
      <c r="W124" s="37" t="s">
        <v>67</v>
      </c>
      <c r="X124" s="619">
        <f>IFERROR(SUM(X119:X122),"0")</f>
        <v>1113</v>
      </c>
      <c r="Y124" s="619">
        <f>IFERROR(SUM(Y119:Y122),"0")</f>
        <v>1120.5</v>
      </c>
      <c r="Z124" s="37"/>
      <c r="AA124" s="620"/>
      <c r="AB124" s="620"/>
      <c r="AC124" s="620"/>
    </row>
    <row r="125" spans="1:68" ht="14.25" hidden="1" customHeight="1" x14ac:dyDescent="0.25">
      <c r="A125" s="635" t="s">
        <v>161</v>
      </c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2"/>
      <c r="P125" s="632"/>
      <c r="Q125" s="632"/>
      <c r="R125" s="632"/>
      <c r="S125" s="632"/>
      <c r="T125" s="632"/>
      <c r="U125" s="632"/>
      <c r="V125" s="632"/>
      <c r="W125" s="632"/>
      <c r="X125" s="632"/>
      <c r="Y125" s="632"/>
      <c r="Z125" s="632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29">
        <v>4680115880238</v>
      </c>
      <c r="E126" s="630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4"/>
      <c r="R126" s="624"/>
      <c r="S126" s="624"/>
      <c r="T126" s="625"/>
      <c r="U126" s="34"/>
      <c r="V126" s="34"/>
      <c r="W126" s="35" t="s">
        <v>67</v>
      </c>
      <c r="X126" s="617">
        <v>86</v>
      </c>
      <c r="Y126" s="618">
        <f>IFERROR(IF(X126="",0,CEILING((X126/$H126),1)*$H126),"")</f>
        <v>87.12</v>
      </c>
      <c r="Z126" s="36">
        <f>IFERROR(IF(Y126=0,"",ROUNDUP(Y126/H126,0)*0.00651),"")</f>
        <v>0.28644000000000003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97.206060606060603</v>
      </c>
      <c r="BN126" s="64">
        <f>IFERROR(Y126*I126/H126,"0")</f>
        <v>98.471999999999994</v>
      </c>
      <c r="BO126" s="64">
        <f>IFERROR(1/J126*(X126/H126),"0")</f>
        <v>0.23865023865023866</v>
      </c>
      <c r="BP126" s="64">
        <f>IFERROR(1/J126*(Y126/H126),"0")</f>
        <v>0.24175824175824179</v>
      </c>
    </row>
    <row r="127" spans="1:68" x14ac:dyDescent="0.2">
      <c r="A127" s="631"/>
      <c r="B127" s="632"/>
      <c r="C127" s="632"/>
      <c r="D127" s="632"/>
      <c r="E127" s="632"/>
      <c r="F127" s="632"/>
      <c r="G127" s="632"/>
      <c r="H127" s="632"/>
      <c r="I127" s="632"/>
      <c r="J127" s="632"/>
      <c r="K127" s="632"/>
      <c r="L127" s="632"/>
      <c r="M127" s="632"/>
      <c r="N127" s="632"/>
      <c r="O127" s="633"/>
      <c r="P127" s="636" t="s">
        <v>69</v>
      </c>
      <c r="Q127" s="637"/>
      <c r="R127" s="637"/>
      <c r="S127" s="637"/>
      <c r="T127" s="637"/>
      <c r="U127" s="637"/>
      <c r="V127" s="638"/>
      <c r="W127" s="37" t="s">
        <v>70</v>
      </c>
      <c r="X127" s="619">
        <f>IFERROR(X126/H126,"0")</f>
        <v>43.434343434343432</v>
      </c>
      <c r="Y127" s="619">
        <f>IFERROR(Y126/H126,"0")</f>
        <v>44</v>
      </c>
      <c r="Z127" s="619">
        <f>IFERROR(IF(Z126="",0,Z126),"0")</f>
        <v>0.28644000000000003</v>
      </c>
      <c r="AA127" s="620"/>
      <c r="AB127" s="620"/>
      <c r="AC127" s="620"/>
    </row>
    <row r="128" spans="1:68" x14ac:dyDescent="0.2">
      <c r="A128" s="632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36" t="s">
        <v>69</v>
      </c>
      <c r="Q128" s="637"/>
      <c r="R128" s="637"/>
      <c r="S128" s="637"/>
      <c r="T128" s="637"/>
      <c r="U128" s="637"/>
      <c r="V128" s="638"/>
      <c r="W128" s="37" t="s">
        <v>67</v>
      </c>
      <c r="X128" s="619">
        <f>IFERROR(SUM(X126:X126),"0")</f>
        <v>86</v>
      </c>
      <c r="Y128" s="619">
        <f>IFERROR(SUM(Y126:Y126),"0")</f>
        <v>87.12</v>
      </c>
      <c r="Z128" s="37"/>
      <c r="AA128" s="620"/>
      <c r="AB128" s="620"/>
      <c r="AC128" s="620"/>
    </row>
    <row r="129" spans="1:68" ht="16.5" hidden="1" customHeight="1" x14ac:dyDescent="0.25">
      <c r="A129" s="654" t="s">
        <v>237</v>
      </c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2"/>
      <c r="P129" s="632"/>
      <c r="Q129" s="632"/>
      <c r="R129" s="632"/>
      <c r="S129" s="632"/>
      <c r="T129" s="632"/>
      <c r="U129" s="632"/>
      <c r="V129" s="632"/>
      <c r="W129" s="632"/>
      <c r="X129" s="632"/>
      <c r="Y129" s="632"/>
      <c r="Z129" s="632"/>
      <c r="AA129" s="612"/>
      <c r="AB129" s="612"/>
      <c r="AC129" s="612"/>
    </row>
    <row r="130" spans="1:68" ht="14.25" hidden="1" customHeight="1" x14ac:dyDescent="0.25">
      <c r="A130" s="635" t="s">
        <v>108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13"/>
      <c r="AB130" s="613"/>
      <c r="AC130" s="613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29">
        <v>4680115882577</v>
      </c>
      <c r="E131" s="630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4"/>
      <c r="R131" s="624"/>
      <c r="S131" s="624"/>
      <c r="T131" s="625"/>
      <c r="U131" s="34"/>
      <c r="V131" s="34"/>
      <c r="W131" s="35" t="s">
        <v>67</v>
      </c>
      <c r="X131" s="617">
        <v>12</v>
      </c>
      <c r="Y131" s="618">
        <f>IFERROR(IF(X131="",0,CEILING((X131/$H131),1)*$H131),"")</f>
        <v>12.8</v>
      </c>
      <c r="Z131" s="36">
        <f>IFERROR(IF(Y131=0,"",ROUNDUP(Y131/H131,0)*0.00651),"")</f>
        <v>2.6040000000000001E-2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12.675000000000001</v>
      </c>
      <c r="BN131" s="64">
        <f>IFERROR(Y131*I131/H131,"0")</f>
        <v>13.52</v>
      </c>
      <c r="BO131" s="64">
        <f>IFERROR(1/J131*(X131/H131),"0")</f>
        <v>2.0604395604395608E-2</v>
      </c>
      <c r="BP131" s="64">
        <f>IFERROR(1/J131*(Y131/H131),"0")</f>
        <v>2.197802197802198E-2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9">
        <v>4680115882577</v>
      </c>
      <c r="E132" s="630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4"/>
      <c r="R132" s="624"/>
      <c r="S132" s="624"/>
      <c r="T132" s="625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1"/>
      <c r="B133" s="632"/>
      <c r="C133" s="632"/>
      <c r="D133" s="632"/>
      <c r="E133" s="632"/>
      <c r="F133" s="632"/>
      <c r="G133" s="632"/>
      <c r="H133" s="632"/>
      <c r="I133" s="632"/>
      <c r="J133" s="632"/>
      <c r="K133" s="632"/>
      <c r="L133" s="632"/>
      <c r="M133" s="632"/>
      <c r="N133" s="632"/>
      <c r="O133" s="633"/>
      <c r="P133" s="636" t="s">
        <v>69</v>
      </c>
      <c r="Q133" s="637"/>
      <c r="R133" s="637"/>
      <c r="S133" s="637"/>
      <c r="T133" s="637"/>
      <c r="U133" s="637"/>
      <c r="V133" s="638"/>
      <c r="W133" s="37" t="s">
        <v>70</v>
      </c>
      <c r="X133" s="619">
        <f>IFERROR(X131/H131,"0")+IFERROR(X132/H132,"0")</f>
        <v>3.75</v>
      </c>
      <c r="Y133" s="619">
        <f>IFERROR(Y131/H131,"0")+IFERROR(Y132/H132,"0")</f>
        <v>4</v>
      </c>
      <c r="Z133" s="619">
        <f>IFERROR(IF(Z131="",0,Z131),"0")+IFERROR(IF(Z132="",0,Z132),"0")</f>
        <v>2.6040000000000001E-2</v>
      </c>
      <c r="AA133" s="620"/>
      <c r="AB133" s="620"/>
      <c r="AC133" s="620"/>
    </row>
    <row r="134" spans="1:68" x14ac:dyDescent="0.2">
      <c r="A134" s="632"/>
      <c r="B134" s="632"/>
      <c r="C134" s="632"/>
      <c r="D134" s="632"/>
      <c r="E134" s="632"/>
      <c r="F134" s="632"/>
      <c r="G134" s="632"/>
      <c r="H134" s="632"/>
      <c r="I134" s="632"/>
      <c r="J134" s="632"/>
      <c r="K134" s="632"/>
      <c r="L134" s="632"/>
      <c r="M134" s="632"/>
      <c r="N134" s="632"/>
      <c r="O134" s="633"/>
      <c r="P134" s="636" t="s">
        <v>69</v>
      </c>
      <c r="Q134" s="637"/>
      <c r="R134" s="637"/>
      <c r="S134" s="637"/>
      <c r="T134" s="637"/>
      <c r="U134" s="637"/>
      <c r="V134" s="638"/>
      <c r="W134" s="37" t="s">
        <v>67</v>
      </c>
      <c r="X134" s="619">
        <f>IFERROR(SUM(X131:X132),"0")</f>
        <v>12</v>
      </c>
      <c r="Y134" s="619">
        <f>IFERROR(SUM(Y131:Y132),"0")</f>
        <v>12.8</v>
      </c>
      <c r="Z134" s="37"/>
      <c r="AA134" s="620"/>
      <c r="AB134" s="620"/>
      <c r="AC134" s="620"/>
    </row>
    <row r="135" spans="1:68" ht="14.25" hidden="1" customHeight="1" x14ac:dyDescent="0.25">
      <c r="A135" s="635" t="s">
        <v>62</v>
      </c>
      <c r="B135" s="632"/>
      <c r="C135" s="632"/>
      <c r="D135" s="632"/>
      <c r="E135" s="632"/>
      <c r="F135" s="632"/>
      <c r="G135" s="632"/>
      <c r="H135" s="632"/>
      <c r="I135" s="632"/>
      <c r="J135" s="632"/>
      <c r="K135" s="632"/>
      <c r="L135" s="632"/>
      <c r="M135" s="632"/>
      <c r="N135" s="632"/>
      <c r="O135" s="632"/>
      <c r="P135" s="632"/>
      <c r="Q135" s="632"/>
      <c r="R135" s="632"/>
      <c r="S135" s="632"/>
      <c r="T135" s="632"/>
      <c r="U135" s="632"/>
      <c r="V135" s="632"/>
      <c r="W135" s="632"/>
      <c r="X135" s="632"/>
      <c r="Y135" s="632"/>
      <c r="Z135" s="632"/>
      <c r="AA135" s="613"/>
      <c r="AB135" s="613"/>
      <c r="AC135" s="613"/>
    </row>
    <row r="136" spans="1:68" ht="27" customHeight="1" x14ac:dyDescent="0.25">
      <c r="A136" s="54" t="s">
        <v>243</v>
      </c>
      <c r="B136" s="54" t="s">
        <v>244</v>
      </c>
      <c r="C136" s="31">
        <v>4301031234</v>
      </c>
      <c r="D136" s="629">
        <v>4680115883444</v>
      </c>
      <c r="E136" s="630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4"/>
      <c r="R136" s="624"/>
      <c r="S136" s="624"/>
      <c r="T136" s="625"/>
      <c r="U136" s="34"/>
      <c r="V136" s="34"/>
      <c r="W136" s="35" t="s">
        <v>67</v>
      </c>
      <c r="X136" s="617">
        <v>17</v>
      </c>
      <c r="Y136" s="618">
        <f>IFERROR(IF(X136="",0,CEILING((X136/$H136),1)*$H136),"")</f>
        <v>19.599999999999998</v>
      </c>
      <c r="Z136" s="36">
        <f>IFERROR(IF(Y136=0,"",ROUNDUP(Y136/H136,0)*0.00651),"")</f>
        <v>4.5569999999999999E-2</v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18.627142857142857</v>
      </c>
      <c r="BN136" s="64">
        <f>IFERROR(Y136*I136/H136,"0")</f>
        <v>21.475999999999999</v>
      </c>
      <c r="BO136" s="64">
        <f>IFERROR(1/J136*(X136/H136),"0")</f>
        <v>3.3359497645211934E-2</v>
      </c>
      <c r="BP136" s="64">
        <f>IFERROR(1/J136*(Y136/H136),"0")</f>
        <v>3.8461538461538464E-2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9">
        <v>4680115883444</v>
      </c>
      <c r="E137" s="630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4"/>
      <c r="R137" s="624"/>
      <c r="S137" s="624"/>
      <c r="T137" s="625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31"/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3"/>
      <c r="P138" s="636" t="s">
        <v>69</v>
      </c>
      <c r="Q138" s="637"/>
      <c r="R138" s="637"/>
      <c r="S138" s="637"/>
      <c r="T138" s="637"/>
      <c r="U138" s="637"/>
      <c r="V138" s="638"/>
      <c r="W138" s="37" t="s">
        <v>70</v>
      </c>
      <c r="X138" s="619">
        <f>IFERROR(X136/H136,"0")+IFERROR(X137/H137,"0")</f>
        <v>6.0714285714285721</v>
      </c>
      <c r="Y138" s="619">
        <f>IFERROR(Y136/H136,"0")+IFERROR(Y137/H137,"0")</f>
        <v>7</v>
      </c>
      <c r="Z138" s="619">
        <f>IFERROR(IF(Z136="",0,Z136),"0")+IFERROR(IF(Z137="",0,Z137),"0")</f>
        <v>4.5569999999999999E-2</v>
      </c>
      <c r="AA138" s="620"/>
      <c r="AB138" s="620"/>
      <c r="AC138" s="620"/>
    </row>
    <row r="139" spans="1:68" x14ac:dyDescent="0.2">
      <c r="A139" s="632"/>
      <c r="B139" s="632"/>
      <c r="C139" s="632"/>
      <c r="D139" s="632"/>
      <c r="E139" s="632"/>
      <c r="F139" s="632"/>
      <c r="G139" s="632"/>
      <c r="H139" s="632"/>
      <c r="I139" s="632"/>
      <c r="J139" s="632"/>
      <c r="K139" s="632"/>
      <c r="L139" s="632"/>
      <c r="M139" s="632"/>
      <c r="N139" s="632"/>
      <c r="O139" s="633"/>
      <c r="P139" s="636" t="s">
        <v>69</v>
      </c>
      <c r="Q139" s="637"/>
      <c r="R139" s="637"/>
      <c r="S139" s="637"/>
      <c r="T139" s="637"/>
      <c r="U139" s="637"/>
      <c r="V139" s="638"/>
      <c r="W139" s="37" t="s">
        <v>67</v>
      </c>
      <c r="X139" s="619">
        <f>IFERROR(SUM(X136:X137),"0")</f>
        <v>17</v>
      </c>
      <c r="Y139" s="619">
        <f>IFERROR(SUM(Y136:Y137),"0")</f>
        <v>19.599999999999998</v>
      </c>
      <c r="Z139" s="37"/>
      <c r="AA139" s="620"/>
      <c r="AB139" s="620"/>
      <c r="AC139" s="620"/>
    </row>
    <row r="140" spans="1:68" ht="14.25" hidden="1" customHeight="1" x14ac:dyDescent="0.25">
      <c r="A140" s="635" t="s">
        <v>71</v>
      </c>
      <c r="B140" s="632"/>
      <c r="C140" s="632"/>
      <c r="D140" s="632"/>
      <c r="E140" s="632"/>
      <c r="F140" s="632"/>
      <c r="G140" s="632"/>
      <c r="H140" s="632"/>
      <c r="I140" s="632"/>
      <c r="J140" s="632"/>
      <c r="K140" s="632"/>
      <c r="L140" s="632"/>
      <c r="M140" s="632"/>
      <c r="N140" s="632"/>
      <c r="O140" s="632"/>
      <c r="P140" s="632"/>
      <c r="Q140" s="632"/>
      <c r="R140" s="632"/>
      <c r="S140" s="632"/>
      <c r="T140" s="632"/>
      <c r="U140" s="632"/>
      <c r="V140" s="632"/>
      <c r="W140" s="632"/>
      <c r="X140" s="632"/>
      <c r="Y140" s="632"/>
      <c r="Z140" s="632"/>
      <c r="AA140" s="613"/>
      <c r="AB140" s="613"/>
      <c r="AC140" s="613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29">
        <v>4680115882584</v>
      </c>
      <c r="E141" s="630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4"/>
      <c r="R141" s="624"/>
      <c r="S141" s="624"/>
      <c r="T141" s="625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9">
        <v>4680115882584</v>
      </c>
      <c r="E142" s="630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4"/>
      <c r="R142" s="624"/>
      <c r="S142" s="624"/>
      <c r="T142" s="625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36" t="s">
        <v>69</v>
      </c>
      <c r="Q143" s="637"/>
      <c r="R143" s="637"/>
      <c r="S143" s="637"/>
      <c r="T143" s="637"/>
      <c r="U143" s="637"/>
      <c r="V143" s="638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36" t="s">
        <v>69</v>
      </c>
      <c r="Q144" s="637"/>
      <c r="R144" s="637"/>
      <c r="S144" s="637"/>
      <c r="T144" s="637"/>
      <c r="U144" s="637"/>
      <c r="V144" s="638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54" t="s">
        <v>250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12"/>
      <c r="AB145" s="612"/>
      <c r="AC145" s="612"/>
    </row>
    <row r="146" spans="1:68" ht="14.25" hidden="1" customHeight="1" x14ac:dyDescent="0.25">
      <c r="A146" s="635" t="s">
        <v>71</v>
      </c>
      <c r="B146" s="632"/>
      <c r="C146" s="632"/>
      <c r="D146" s="632"/>
      <c r="E146" s="632"/>
      <c r="F146" s="632"/>
      <c r="G146" s="632"/>
      <c r="H146" s="632"/>
      <c r="I146" s="632"/>
      <c r="J146" s="632"/>
      <c r="K146" s="632"/>
      <c r="L146" s="632"/>
      <c r="M146" s="632"/>
      <c r="N146" s="632"/>
      <c r="O146" s="632"/>
      <c r="P146" s="632"/>
      <c r="Q146" s="632"/>
      <c r="R146" s="632"/>
      <c r="S146" s="632"/>
      <c r="T146" s="632"/>
      <c r="U146" s="632"/>
      <c r="V146" s="632"/>
      <c r="W146" s="632"/>
      <c r="X146" s="632"/>
      <c r="Y146" s="632"/>
      <c r="Z146" s="632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9">
        <v>4680115888203</v>
      </c>
      <c r="E147" s="630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4"/>
      <c r="R147" s="624"/>
      <c r="S147" s="624"/>
      <c r="T147" s="625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9">
        <v>4680115888180</v>
      </c>
      <c r="E148" s="630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4"/>
      <c r="R148" s="624"/>
      <c r="S148" s="624"/>
      <c r="T148" s="625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9">
        <v>4680115888197</v>
      </c>
      <c r="E149" s="630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4"/>
      <c r="R149" s="624"/>
      <c r="S149" s="624"/>
      <c r="T149" s="625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9">
        <v>4680115888210</v>
      </c>
      <c r="E150" s="630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4"/>
      <c r="R150" s="624"/>
      <c r="S150" s="624"/>
      <c r="T150" s="625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1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36" t="s">
        <v>69</v>
      </c>
      <c r="Q151" s="637"/>
      <c r="R151" s="637"/>
      <c r="S151" s="637"/>
      <c r="T151" s="637"/>
      <c r="U151" s="637"/>
      <c r="V151" s="638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2"/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3"/>
      <c r="P152" s="636" t="s">
        <v>69</v>
      </c>
      <c r="Q152" s="637"/>
      <c r="R152" s="637"/>
      <c r="S152" s="637"/>
      <c r="T152" s="637"/>
      <c r="U152" s="637"/>
      <c r="V152" s="638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5" t="s">
        <v>263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9">
        <v>4680115889132</v>
      </c>
      <c r="E154" s="630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4"/>
      <c r="R154" s="624"/>
      <c r="S154" s="624"/>
      <c r="T154" s="625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1"/>
      <c r="B155" s="632"/>
      <c r="C155" s="632"/>
      <c r="D155" s="632"/>
      <c r="E155" s="632"/>
      <c r="F155" s="632"/>
      <c r="G155" s="632"/>
      <c r="H155" s="632"/>
      <c r="I155" s="632"/>
      <c r="J155" s="632"/>
      <c r="K155" s="632"/>
      <c r="L155" s="632"/>
      <c r="M155" s="632"/>
      <c r="N155" s="632"/>
      <c r="O155" s="633"/>
      <c r="P155" s="636" t="s">
        <v>69</v>
      </c>
      <c r="Q155" s="637"/>
      <c r="R155" s="637"/>
      <c r="S155" s="637"/>
      <c r="T155" s="637"/>
      <c r="U155" s="637"/>
      <c r="V155" s="638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2"/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3"/>
      <c r="P156" s="636" t="s">
        <v>69</v>
      </c>
      <c r="Q156" s="637"/>
      <c r="R156" s="637"/>
      <c r="S156" s="637"/>
      <c r="T156" s="637"/>
      <c r="U156" s="637"/>
      <c r="V156" s="638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54" t="s">
        <v>106</v>
      </c>
      <c r="B157" s="632"/>
      <c r="C157" s="632"/>
      <c r="D157" s="632"/>
      <c r="E157" s="632"/>
      <c r="F157" s="632"/>
      <c r="G157" s="632"/>
      <c r="H157" s="632"/>
      <c r="I157" s="632"/>
      <c r="J157" s="632"/>
      <c r="K157" s="632"/>
      <c r="L157" s="632"/>
      <c r="M157" s="632"/>
      <c r="N157" s="632"/>
      <c r="O157" s="632"/>
      <c r="P157" s="632"/>
      <c r="Q157" s="632"/>
      <c r="R157" s="632"/>
      <c r="S157" s="632"/>
      <c r="T157" s="632"/>
      <c r="U157" s="632"/>
      <c r="V157" s="632"/>
      <c r="W157" s="632"/>
      <c r="X157" s="632"/>
      <c r="Y157" s="632"/>
      <c r="Z157" s="632"/>
      <c r="AA157" s="612"/>
      <c r="AB157" s="612"/>
      <c r="AC157" s="612"/>
    </row>
    <row r="158" spans="1:68" ht="14.25" hidden="1" customHeight="1" x14ac:dyDescent="0.25">
      <c r="A158" s="635" t="s">
        <v>108</v>
      </c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2"/>
      <c r="P158" s="632"/>
      <c r="Q158" s="632"/>
      <c r="R158" s="632"/>
      <c r="S158" s="632"/>
      <c r="T158" s="632"/>
      <c r="U158" s="632"/>
      <c r="V158" s="632"/>
      <c r="W158" s="632"/>
      <c r="X158" s="632"/>
      <c r="Y158" s="632"/>
      <c r="Z158" s="632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9">
        <v>4680115887374</v>
      </c>
      <c r="E159" s="630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4"/>
      <c r="R159" s="624"/>
      <c r="S159" s="624"/>
      <c r="T159" s="625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9">
        <v>4607091384604</v>
      </c>
      <c r="E160" s="630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4"/>
      <c r="R160" s="624"/>
      <c r="S160" s="624"/>
      <c r="T160" s="625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9">
        <v>4607091384604</v>
      </c>
      <c r="E161" s="630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1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4"/>
      <c r="R161" s="624"/>
      <c r="S161" s="624"/>
      <c r="T161" s="625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9">
        <v>4680115888876</v>
      </c>
      <c r="E162" s="630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4"/>
      <c r="R162" s="624"/>
      <c r="S162" s="624"/>
      <c r="T162" s="625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1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36" t="s">
        <v>69</v>
      </c>
      <c r="Q163" s="637"/>
      <c r="R163" s="637"/>
      <c r="S163" s="637"/>
      <c r="T163" s="637"/>
      <c r="U163" s="637"/>
      <c r="V163" s="638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2"/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3"/>
      <c r="P164" s="636" t="s">
        <v>69</v>
      </c>
      <c r="Q164" s="637"/>
      <c r="R164" s="637"/>
      <c r="S164" s="637"/>
      <c r="T164" s="637"/>
      <c r="U164" s="637"/>
      <c r="V164" s="638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5" t="s">
        <v>143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9">
        <v>4680115887695</v>
      </c>
      <c r="E166" s="630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4"/>
      <c r="R166" s="624"/>
      <c r="S166" s="624"/>
      <c r="T166" s="625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9">
        <v>4680115889491</v>
      </c>
      <c r="E167" s="630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4"/>
      <c r="R167" s="624"/>
      <c r="S167" s="624"/>
      <c r="T167" s="625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1"/>
      <c r="B168" s="632"/>
      <c r="C168" s="632"/>
      <c r="D168" s="632"/>
      <c r="E168" s="632"/>
      <c r="F168" s="632"/>
      <c r="G168" s="632"/>
      <c r="H168" s="632"/>
      <c r="I168" s="632"/>
      <c r="J168" s="632"/>
      <c r="K168" s="632"/>
      <c r="L168" s="632"/>
      <c r="M168" s="632"/>
      <c r="N168" s="632"/>
      <c r="O168" s="633"/>
      <c r="P168" s="636" t="s">
        <v>69</v>
      </c>
      <c r="Q168" s="637"/>
      <c r="R168" s="637"/>
      <c r="S168" s="637"/>
      <c r="T168" s="637"/>
      <c r="U168" s="637"/>
      <c r="V168" s="638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2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36" t="s">
        <v>69</v>
      </c>
      <c r="Q169" s="637"/>
      <c r="R169" s="637"/>
      <c r="S169" s="637"/>
      <c r="T169" s="637"/>
      <c r="U169" s="637"/>
      <c r="V169" s="638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5" t="s">
        <v>62</v>
      </c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2"/>
      <c r="P170" s="632"/>
      <c r="Q170" s="632"/>
      <c r="R170" s="632"/>
      <c r="S170" s="632"/>
      <c r="T170" s="632"/>
      <c r="U170" s="632"/>
      <c r="V170" s="632"/>
      <c r="W170" s="632"/>
      <c r="X170" s="632"/>
      <c r="Y170" s="632"/>
      <c r="Z170" s="632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29">
        <v>4680115887428</v>
      </c>
      <c r="E171" s="630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4"/>
      <c r="R171" s="624"/>
      <c r="S171" s="624"/>
      <c r="T171" s="625"/>
      <c r="U171" s="34"/>
      <c r="V171" s="34"/>
      <c r="W171" s="35" t="s">
        <v>67</v>
      </c>
      <c r="X171" s="617">
        <v>10</v>
      </c>
      <c r="Y171" s="618">
        <f t="shared" ref="Y171:Y180" si="15">IFERROR(IF(X171="",0,CEILING((X171/$H171),1)*$H171),"")</f>
        <v>10.5</v>
      </c>
      <c r="Z171" s="36">
        <f>IFERROR(IF(Y171=0,"",ROUNDUP(Y171/H171,0)*0.00902),"")</f>
        <v>2.7060000000000001E-2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10.542857142857143</v>
      </c>
      <c r="BN171" s="64">
        <f t="shared" ref="BN171:BN180" si="17">IFERROR(Y171*I171/H171,"0")</f>
        <v>11.069999999999999</v>
      </c>
      <c r="BO171" s="64">
        <f t="shared" ref="BO171:BO180" si="18">IFERROR(1/J171*(X171/H171),"0")</f>
        <v>2.1645021645021648E-2</v>
      </c>
      <c r="BP171" s="64">
        <f t="shared" ref="BP171:BP180" si="19">IFERROR(1/J171*(Y171/H171),"0")</f>
        <v>2.2727272727272728E-2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9">
        <v>4680115889170</v>
      </c>
      <c r="E172" s="630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4"/>
      <c r="R172" s="624"/>
      <c r="S172" s="624"/>
      <c r="T172" s="625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29">
        <v>4680115887398</v>
      </c>
      <c r="E173" s="630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9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4"/>
      <c r="R173" s="624"/>
      <c r="S173" s="624"/>
      <c r="T173" s="625"/>
      <c r="U173" s="34"/>
      <c r="V173" s="34"/>
      <c r="W173" s="35" t="s">
        <v>67</v>
      </c>
      <c r="X173" s="617">
        <v>60</v>
      </c>
      <c r="Y173" s="618">
        <f t="shared" si="15"/>
        <v>63</v>
      </c>
      <c r="Z173" s="36">
        <f>IFERROR(IF(Y173=0,"",ROUNDUP(Y173/H173,0)*0.00902),"")</f>
        <v>0.16236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63.25714285714286</v>
      </c>
      <c r="BN173" s="64">
        <f t="shared" si="17"/>
        <v>66.42</v>
      </c>
      <c r="BO173" s="64">
        <f t="shared" si="18"/>
        <v>0.12987012987012986</v>
      </c>
      <c r="BP173" s="64">
        <f t="shared" si="19"/>
        <v>0.13636363636363635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29">
        <v>4680115887336</v>
      </c>
      <c r="E174" s="630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8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4"/>
      <c r="R174" s="624"/>
      <c r="S174" s="624"/>
      <c r="T174" s="625"/>
      <c r="U174" s="34"/>
      <c r="V174" s="34"/>
      <c r="W174" s="35" t="s">
        <v>67</v>
      </c>
      <c r="X174" s="617">
        <v>386</v>
      </c>
      <c r="Y174" s="618">
        <f t="shared" si="15"/>
        <v>388.5</v>
      </c>
      <c r="Z174" s="36">
        <f>IFERROR(IF(Y174=0,"",ROUNDUP(Y174/H174,0)*0.00902),"")</f>
        <v>1.00122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406.95428571428567</v>
      </c>
      <c r="BN174" s="64">
        <f t="shared" si="17"/>
        <v>409.59000000000003</v>
      </c>
      <c r="BO174" s="64">
        <f t="shared" si="18"/>
        <v>0.83549783549783552</v>
      </c>
      <c r="BP174" s="64">
        <f t="shared" si="19"/>
        <v>0.84090909090909094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9">
        <v>4680115887787</v>
      </c>
      <c r="E175" s="630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4"/>
      <c r="R175" s="624"/>
      <c r="S175" s="624"/>
      <c r="T175" s="625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29">
        <v>4680115887503</v>
      </c>
      <c r="E176" s="630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4"/>
      <c r="R176" s="624"/>
      <c r="S176" s="624"/>
      <c r="T176" s="625"/>
      <c r="U176" s="34"/>
      <c r="V176" s="34"/>
      <c r="W176" s="35" t="s">
        <v>67</v>
      </c>
      <c r="X176" s="617">
        <v>24</v>
      </c>
      <c r="Y176" s="618">
        <f t="shared" si="15"/>
        <v>25.2</v>
      </c>
      <c r="Z176" s="36">
        <f>IFERROR(IF(Y176=0,"",ROUNDUP(Y176/H176,0)*0.00502),"")</f>
        <v>7.5300000000000006E-2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25.428571428571431</v>
      </c>
      <c r="BN176" s="64">
        <f t="shared" si="17"/>
        <v>26.700000000000003</v>
      </c>
      <c r="BO176" s="64">
        <f t="shared" si="18"/>
        <v>6.1050061050061062E-2</v>
      </c>
      <c r="BP176" s="64">
        <f t="shared" si="19"/>
        <v>6.4102564102564111E-2</v>
      </c>
    </row>
    <row r="177" spans="1:68" ht="27" customHeight="1" x14ac:dyDescent="0.25">
      <c r="A177" s="54" t="s">
        <v>303</v>
      </c>
      <c r="B177" s="54" t="s">
        <v>304</v>
      </c>
      <c r="C177" s="31">
        <v>4301031389</v>
      </c>
      <c r="D177" s="629">
        <v>4680115887763</v>
      </c>
      <c r="E177" s="630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4"/>
      <c r="R177" s="624"/>
      <c r="S177" s="624"/>
      <c r="T177" s="625"/>
      <c r="U177" s="34"/>
      <c r="V177" s="34"/>
      <c r="W177" s="35" t="s">
        <v>67</v>
      </c>
      <c r="X177" s="617">
        <v>4</v>
      </c>
      <c r="Y177" s="618">
        <f t="shared" si="15"/>
        <v>4.5</v>
      </c>
      <c r="Z177" s="36">
        <f>IFERROR(IF(Y177=0,"",ROUNDUP(Y177/H177,0)*0.00417),"")</f>
        <v>2.085E-2</v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4.9333333333333336</v>
      </c>
      <c r="BN177" s="64">
        <f t="shared" si="17"/>
        <v>5.55</v>
      </c>
      <c r="BO177" s="64">
        <f t="shared" si="18"/>
        <v>1.3227513227513227E-2</v>
      </c>
      <c r="BP177" s="64">
        <f t="shared" si="19"/>
        <v>1.488095238095238E-2</v>
      </c>
    </row>
    <row r="178" spans="1:68" ht="27" customHeight="1" x14ac:dyDescent="0.25">
      <c r="A178" s="54" t="s">
        <v>306</v>
      </c>
      <c r="B178" s="54" t="s">
        <v>307</v>
      </c>
      <c r="C178" s="31">
        <v>4301031521</v>
      </c>
      <c r="D178" s="629">
        <v>4680115887480</v>
      </c>
      <c r="E178" s="630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4"/>
      <c r="R178" s="624"/>
      <c r="S178" s="624"/>
      <c r="T178" s="625"/>
      <c r="U178" s="34"/>
      <c r="V178" s="34"/>
      <c r="W178" s="35" t="s">
        <v>67</v>
      </c>
      <c r="X178" s="617">
        <v>14</v>
      </c>
      <c r="Y178" s="618">
        <f t="shared" si="15"/>
        <v>15.12</v>
      </c>
      <c r="Z178" s="36">
        <f>IFERROR(IF(Y178=0,"",ROUNDUP(Y178/H178,0)*0.00502),"")</f>
        <v>4.5179999999999998E-2</v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14.833333333333336</v>
      </c>
      <c r="BN178" s="64">
        <f t="shared" si="17"/>
        <v>16.02</v>
      </c>
      <c r="BO178" s="64">
        <f t="shared" si="18"/>
        <v>3.561253561253562E-2</v>
      </c>
      <c r="BP178" s="64">
        <f t="shared" si="19"/>
        <v>3.8461538461538464E-2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9">
        <v>4680115888067</v>
      </c>
      <c r="E179" s="630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4"/>
      <c r="R179" s="624"/>
      <c r="S179" s="624"/>
      <c r="T179" s="625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29">
        <v>4680115887435</v>
      </c>
      <c r="E180" s="630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4"/>
      <c r="R180" s="624"/>
      <c r="S180" s="624"/>
      <c r="T180" s="625"/>
      <c r="U180" s="34"/>
      <c r="V180" s="34"/>
      <c r="W180" s="35" t="s">
        <v>67</v>
      </c>
      <c r="X180" s="617">
        <v>71</v>
      </c>
      <c r="Y180" s="618">
        <f t="shared" si="15"/>
        <v>72.239999999999995</v>
      </c>
      <c r="Z180" s="36">
        <f>IFERROR(IF(Y180=0,"",ROUNDUP(Y180/H180,0)*0.00502),"")</f>
        <v>0.21586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75.226190476190482</v>
      </c>
      <c r="BN180" s="64">
        <f t="shared" si="17"/>
        <v>76.540000000000006</v>
      </c>
      <c r="BO180" s="64">
        <f t="shared" si="18"/>
        <v>0.18060643060643064</v>
      </c>
      <c r="BP180" s="64">
        <f t="shared" si="19"/>
        <v>0.18376068376068377</v>
      </c>
    </row>
    <row r="181" spans="1:68" x14ac:dyDescent="0.2">
      <c r="A181" s="631"/>
      <c r="B181" s="632"/>
      <c r="C181" s="632"/>
      <c r="D181" s="632"/>
      <c r="E181" s="632"/>
      <c r="F181" s="632"/>
      <c r="G181" s="632"/>
      <c r="H181" s="632"/>
      <c r="I181" s="632"/>
      <c r="J181" s="632"/>
      <c r="K181" s="632"/>
      <c r="L181" s="632"/>
      <c r="M181" s="632"/>
      <c r="N181" s="632"/>
      <c r="O181" s="633"/>
      <c r="P181" s="636" t="s">
        <v>69</v>
      </c>
      <c r="Q181" s="637"/>
      <c r="R181" s="637"/>
      <c r="S181" s="637"/>
      <c r="T181" s="637"/>
      <c r="U181" s="637"/>
      <c r="V181" s="638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199.61111111111111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204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1.5478299999999998</v>
      </c>
      <c r="AA181" s="620"/>
      <c r="AB181" s="620"/>
      <c r="AC181" s="620"/>
    </row>
    <row r="182" spans="1:68" x14ac:dyDescent="0.2">
      <c r="A182" s="632"/>
      <c r="B182" s="632"/>
      <c r="C182" s="632"/>
      <c r="D182" s="632"/>
      <c r="E182" s="632"/>
      <c r="F182" s="632"/>
      <c r="G182" s="632"/>
      <c r="H182" s="632"/>
      <c r="I182" s="632"/>
      <c r="J182" s="632"/>
      <c r="K182" s="632"/>
      <c r="L182" s="632"/>
      <c r="M182" s="632"/>
      <c r="N182" s="632"/>
      <c r="O182" s="633"/>
      <c r="P182" s="636" t="s">
        <v>69</v>
      </c>
      <c r="Q182" s="637"/>
      <c r="R182" s="637"/>
      <c r="S182" s="637"/>
      <c r="T182" s="637"/>
      <c r="U182" s="637"/>
      <c r="V182" s="638"/>
      <c r="W182" s="37" t="s">
        <v>67</v>
      </c>
      <c r="X182" s="619">
        <f>IFERROR(SUM(X171:X180),"0")</f>
        <v>569</v>
      </c>
      <c r="Y182" s="619">
        <f>IFERROR(SUM(Y171:Y180),"0")</f>
        <v>579.05999999999995</v>
      </c>
      <c r="Z182" s="37"/>
      <c r="AA182" s="620"/>
      <c r="AB182" s="620"/>
      <c r="AC182" s="620"/>
    </row>
    <row r="183" spans="1:68" ht="14.25" hidden="1" customHeight="1" x14ac:dyDescent="0.25">
      <c r="A183" s="635" t="s">
        <v>71</v>
      </c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9">
        <v>4680115888395</v>
      </c>
      <c r="E184" s="630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4"/>
      <c r="R184" s="624"/>
      <c r="S184" s="624"/>
      <c r="T184" s="625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9">
        <v>4680115888371</v>
      </c>
      <c r="E185" s="630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7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4"/>
      <c r="R185" s="624"/>
      <c r="S185" s="624"/>
      <c r="T185" s="625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1"/>
      <c r="B186" s="632"/>
      <c r="C186" s="632"/>
      <c r="D186" s="632"/>
      <c r="E186" s="632"/>
      <c r="F186" s="632"/>
      <c r="G186" s="632"/>
      <c r="H186" s="632"/>
      <c r="I186" s="632"/>
      <c r="J186" s="632"/>
      <c r="K186" s="632"/>
      <c r="L186" s="632"/>
      <c r="M186" s="632"/>
      <c r="N186" s="632"/>
      <c r="O186" s="633"/>
      <c r="P186" s="636" t="s">
        <v>69</v>
      </c>
      <c r="Q186" s="637"/>
      <c r="R186" s="637"/>
      <c r="S186" s="637"/>
      <c r="T186" s="637"/>
      <c r="U186" s="637"/>
      <c r="V186" s="638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2"/>
      <c r="B187" s="632"/>
      <c r="C187" s="632"/>
      <c r="D187" s="632"/>
      <c r="E187" s="632"/>
      <c r="F187" s="632"/>
      <c r="G187" s="632"/>
      <c r="H187" s="632"/>
      <c r="I187" s="632"/>
      <c r="J187" s="632"/>
      <c r="K187" s="632"/>
      <c r="L187" s="632"/>
      <c r="M187" s="632"/>
      <c r="N187" s="632"/>
      <c r="O187" s="633"/>
      <c r="P187" s="636" t="s">
        <v>69</v>
      </c>
      <c r="Q187" s="637"/>
      <c r="R187" s="637"/>
      <c r="S187" s="637"/>
      <c r="T187" s="637"/>
      <c r="U187" s="637"/>
      <c r="V187" s="638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5" t="s">
        <v>263</v>
      </c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2"/>
      <c r="P188" s="632"/>
      <c r="Q188" s="632"/>
      <c r="R188" s="632"/>
      <c r="S188" s="632"/>
      <c r="T188" s="632"/>
      <c r="U188" s="632"/>
      <c r="V188" s="632"/>
      <c r="W188" s="632"/>
      <c r="X188" s="632"/>
      <c r="Y188" s="632"/>
      <c r="Z188" s="632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9">
        <v>4680115889026</v>
      </c>
      <c r="E189" s="630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80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4"/>
      <c r="R189" s="624"/>
      <c r="S189" s="624"/>
      <c r="T189" s="625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1"/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3"/>
      <c r="P190" s="636" t="s">
        <v>69</v>
      </c>
      <c r="Q190" s="637"/>
      <c r="R190" s="637"/>
      <c r="S190" s="637"/>
      <c r="T190" s="637"/>
      <c r="U190" s="637"/>
      <c r="V190" s="638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2"/>
      <c r="B191" s="632"/>
      <c r="C191" s="632"/>
      <c r="D191" s="632"/>
      <c r="E191" s="632"/>
      <c r="F191" s="632"/>
      <c r="G191" s="632"/>
      <c r="H191" s="632"/>
      <c r="I191" s="632"/>
      <c r="J191" s="632"/>
      <c r="K191" s="632"/>
      <c r="L191" s="632"/>
      <c r="M191" s="632"/>
      <c r="N191" s="632"/>
      <c r="O191" s="633"/>
      <c r="P191" s="636" t="s">
        <v>69</v>
      </c>
      <c r="Q191" s="637"/>
      <c r="R191" s="637"/>
      <c r="S191" s="637"/>
      <c r="T191" s="637"/>
      <c r="U191" s="637"/>
      <c r="V191" s="638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5" t="s">
        <v>323</v>
      </c>
      <c r="B192" s="632"/>
      <c r="C192" s="632"/>
      <c r="D192" s="632"/>
      <c r="E192" s="632"/>
      <c r="F192" s="632"/>
      <c r="G192" s="632"/>
      <c r="H192" s="632"/>
      <c r="I192" s="632"/>
      <c r="J192" s="632"/>
      <c r="K192" s="632"/>
      <c r="L192" s="632"/>
      <c r="M192" s="632"/>
      <c r="N192" s="632"/>
      <c r="O192" s="632"/>
      <c r="P192" s="632"/>
      <c r="Q192" s="632"/>
      <c r="R192" s="632"/>
      <c r="S192" s="632"/>
      <c r="T192" s="632"/>
      <c r="U192" s="632"/>
      <c r="V192" s="632"/>
      <c r="W192" s="632"/>
      <c r="X192" s="632"/>
      <c r="Y192" s="632"/>
      <c r="Z192" s="632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9">
        <v>4680115889033</v>
      </c>
      <c r="E193" s="630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4"/>
      <c r="R193" s="624"/>
      <c r="S193" s="624"/>
      <c r="T193" s="625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36" t="s">
        <v>69</v>
      </c>
      <c r="Q194" s="637"/>
      <c r="R194" s="637"/>
      <c r="S194" s="637"/>
      <c r="T194" s="637"/>
      <c r="U194" s="637"/>
      <c r="V194" s="638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36" t="s">
        <v>69</v>
      </c>
      <c r="Q195" s="637"/>
      <c r="R195" s="637"/>
      <c r="S195" s="637"/>
      <c r="T195" s="637"/>
      <c r="U195" s="637"/>
      <c r="V195" s="638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63" t="s">
        <v>327</v>
      </c>
      <c r="B196" s="764"/>
      <c r="C196" s="764"/>
      <c r="D196" s="764"/>
      <c r="E196" s="764"/>
      <c r="F196" s="764"/>
      <c r="G196" s="764"/>
      <c r="H196" s="764"/>
      <c r="I196" s="764"/>
      <c r="J196" s="764"/>
      <c r="K196" s="764"/>
      <c r="L196" s="764"/>
      <c r="M196" s="764"/>
      <c r="N196" s="764"/>
      <c r="O196" s="764"/>
      <c r="P196" s="764"/>
      <c r="Q196" s="764"/>
      <c r="R196" s="764"/>
      <c r="S196" s="764"/>
      <c r="T196" s="764"/>
      <c r="U196" s="764"/>
      <c r="V196" s="764"/>
      <c r="W196" s="764"/>
      <c r="X196" s="764"/>
      <c r="Y196" s="764"/>
      <c r="Z196" s="764"/>
      <c r="AA196" s="48"/>
      <c r="AB196" s="48"/>
      <c r="AC196" s="48"/>
    </row>
    <row r="197" spans="1:68" ht="16.5" hidden="1" customHeight="1" x14ac:dyDescent="0.25">
      <c r="A197" s="654" t="s">
        <v>328</v>
      </c>
      <c r="B197" s="632"/>
      <c r="C197" s="632"/>
      <c r="D197" s="632"/>
      <c r="E197" s="632"/>
      <c r="F197" s="632"/>
      <c r="G197" s="632"/>
      <c r="H197" s="632"/>
      <c r="I197" s="632"/>
      <c r="J197" s="632"/>
      <c r="K197" s="632"/>
      <c r="L197" s="632"/>
      <c r="M197" s="632"/>
      <c r="N197" s="632"/>
      <c r="O197" s="632"/>
      <c r="P197" s="632"/>
      <c r="Q197" s="632"/>
      <c r="R197" s="632"/>
      <c r="S197" s="632"/>
      <c r="T197" s="632"/>
      <c r="U197" s="632"/>
      <c r="V197" s="632"/>
      <c r="W197" s="632"/>
      <c r="X197" s="632"/>
      <c r="Y197" s="632"/>
      <c r="Z197" s="632"/>
      <c r="AA197" s="612"/>
      <c r="AB197" s="612"/>
      <c r="AC197" s="612"/>
    </row>
    <row r="198" spans="1:68" ht="14.25" hidden="1" customHeight="1" x14ac:dyDescent="0.25">
      <c r="A198" s="635" t="s">
        <v>108</v>
      </c>
      <c r="B198" s="632"/>
      <c r="C198" s="632"/>
      <c r="D198" s="632"/>
      <c r="E198" s="632"/>
      <c r="F198" s="632"/>
      <c r="G198" s="632"/>
      <c r="H198" s="632"/>
      <c r="I198" s="632"/>
      <c r="J198" s="632"/>
      <c r="K198" s="632"/>
      <c r="L198" s="632"/>
      <c r="M198" s="632"/>
      <c r="N198" s="632"/>
      <c r="O198" s="632"/>
      <c r="P198" s="632"/>
      <c r="Q198" s="632"/>
      <c r="R198" s="632"/>
      <c r="S198" s="632"/>
      <c r="T198" s="632"/>
      <c r="U198" s="632"/>
      <c r="V198" s="632"/>
      <c r="W198" s="632"/>
      <c r="X198" s="632"/>
      <c r="Y198" s="632"/>
      <c r="Z198" s="632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9">
        <v>4607091383423</v>
      </c>
      <c r="E199" s="630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4"/>
      <c r="R199" s="624"/>
      <c r="S199" s="624"/>
      <c r="T199" s="625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9">
        <v>4680115888760</v>
      </c>
      <c r="E200" s="630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4"/>
      <c r="R200" s="624"/>
      <c r="S200" s="624"/>
      <c r="T200" s="625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9">
        <v>4680115888807</v>
      </c>
      <c r="E201" s="630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4"/>
      <c r="R201" s="624"/>
      <c r="S201" s="624"/>
      <c r="T201" s="625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9">
        <v>4680115888852</v>
      </c>
      <c r="E202" s="630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4"/>
      <c r="R202" s="624"/>
      <c r="S202" s="624"/>
      <c r="T202" s="625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9">
        <v>4680115886957</v>
      </c>
      <c r="E203" s="630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4"/>
      <c r="R203" s="624"/>
      <c r="S203" s="624"/>
      <c r="T203" s="625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9">
        <v>4680115885660</v>
      </c>
      <c r="E204" s="630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4"/>
      <c r="R204" s="624"/>
      <c r="S204" s="624"/>
      <c r="T204" s="625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9">
        <v>4680115886773</v>
      </c>
      <c r="E205" s="630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3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4"/>
      <c r="R205" s="624"/>
      <c r="S205" s="624"/>
      <c r="T205" s="625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1"/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3"/>
      <c r="P206" s="636" t="s">
        <v>69</v>
      </c>
      <c r="Q206" s="637"/>
      <c r="R206" s="637"/>
      <c r="S206" s="637"/>
      <c r="T206" s="637"/>
      <c r="U206" s="637"/>
      <c r="V206" s="638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2"/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3"/>
      <c r="P207" s="636" t="s">
        <v>69</v>
      </c>
      <c r="Q207" s="637"/>
      <c r="R207" s="637"/>
      <c r="S207" s="637"/>
      <c r="T207" s="637"/>
      <c r="U207" s="637"/>
      <c r="V207" s="638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54" t="s">
        <v>349</v>
      </c>
      <c r="B208" s="632"/>
      <c r="C208" s="632"/>
      <c r="D208" s="632"/>
      <c r="E208" s="632"/>
      <c r="F208" s="632"/>
      <c r="G208" s="632"/>
      <c r="H208" s="632"/>
      <c r="I208" s="632"/>
      <c r="J208" s="632"/>
      <c r="K208" s="632"/>
      <c r="L208" s="632"/>
      <c r="M208" s="632"/>
      <c r="N208" s="632"/>
      <c r="O208" s="632"/>
      <c r="P208" s="632"/>
      <c r="Q208" s="632"/>
      <c r="R208" s="632"/>
      <c r="S208" s="632"/>
      <c r="T208" s="632"/>
      <c r="U208" s="632"/>
      <c r="V208" s="632"/>
      <c r="W208" s="632"/>
      <c r="X208" s="632"/>
      <c r="Y208" s="632"/>
      <c r="Z208" s="632"/>
      <c r="AA208" s="612"/>
      <c r="AB208" s="612"/>
      <c r="AC208" s="612"/>
    </row>
    <row r="209" spans="1:68" ht="14.25" hidden="1" customHeight="1" x14ac:dyDescent="0.25">
      <c r="A209" s="635" t="s">
        <v>143</v>
      </c>
      <c r="B209" s="632"/>
      <c r="C209" s="632"/>
      <c r="D209" s="632"/>
      <c r="E209" s="632"/>
      <c r="F209" s="632"/>
      <c r="G209" s="632"/>
      <c r="H209" s="632"/>
      <c r="I209" s="632"/>
      <c r="J209" s="632"/>
      <c r="K209" s="632"/>
      <c r="L209" s="632"/>
      <c r="M209" s="632"/>
      <c r="N209" s="632"/>
      <c r="O209" s="632"/>
      <c r="P209" s="632"/>
      <c r="Q209" s="632"/>
      <c r="R209" s="632"/>
      <c r="S209" s="632"/>
      <c r="T209" s="632"/>
      <c r="U209" s="632"/>
      <c r="V209" s="632"/>
      <c r="W209" s="632"/>
      <c r="X209" s="632"/>
      <c r="Y209" s="632"/>
      <c r="Z209" s="632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9">
        <v>4680115886223</v>
      </c>
      <c r="E210" s="630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4"/>
      <c r="R210" s="624"/>
      <c r="S210" s="624"/>
      <c r="T210" s="625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1"/>
      <c r="B211" s="632"/>
      <c r="C211" s="632"/>
      <c r="D211" s="632"/>
      <c r="E211" s="632"/>
      <c r="F211" s="632"/>
      <c r="G211" s="632"/>
      <c r="H211" s="632"/>
      <c r="I211" s="632"/>
      <c r="J211" s="632"/>
      <c r="K211" s="632"/>
      <c r="L211" s="632"/>
      <c r="M211" s="632"/>
      <c r="N211" s="632"/>
      <c r="O211" s="633"/>
      <c r="P211" s="636" t="s">
        <v>69</v>
      </c>
      <c r="Q211" s="637"/>
      <c r="R211" s="637"/>
      <c r="S211" s="637"/>
      <c r="T211" s="637"/>
      <c r="U211" s="637"/>
      <c r="V211" s="638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2"/>
      <c r="B212" s="632"/>
      <c r="C212" s="632"/>
      <c r="D212" s="632"/>
      <c r="E212" s="632"/>
      <c r="F212" s="632"/>
      <c r="G212" s="632"/>
      <c r="H212" s="632"/>
      <c r="I212" s="632"/>
      <c r="J212" s="632"/>
      <c r="K212" s="632"/>
      <c r="L212" s="632"/>
      <c r="M212" s="632"/>
      <c r="N212" s="632"/>
      <c r="O212" s="633"/>
      <c r="P212" s="636" t="s">
        <v>69</v>
      </c>
      <c r="Q212" s="637"/>
      <c r="R212" s="637"/>
      <c r="S212" s="637"/>
      <c r="T212" s="637"/>
      <c r="U212" s="637"/>
      <c r="V212" s="638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5" t="s">
        <v>62</v>
      </c>
      <c r="B213" s="632"/>
      <c r="C213" s="632"/>
      <c r="D213" s="632"/>
      <c r="E213" s="632"/>
      <c r="F213" s="632"/>
      <c r="G213" s="632"/>
      <c r="H213" s="632"/>
      <c r="I213" s="632"/>
      <c r="J213" s="632"/>
      <c r="K213" s="632"/>
      <c r="L213" s="632"/>
      <c r="M213" s="632"/>
      <c r="N213" s="632"/>
      <c r="O213" s="632"/>
      <c r="P213" s="632"/>
      <c r="Q213" s="632"/>
      <c r="R213" s="632"/>
      <c r="S213" s="632"/>
      <c r="T213" s="632"/>
      <c r="U213" s="632"/>
      <c r="V213" s="632"/>
      <c r="W213" s="632"/>
      <c r="X213" s="632"/>
      <c r="Y213" s="632"/>
      <c r="Z213" s="632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29">
        <v>4680115880993</v>
      </c>
      <c r="E214" s="630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4"/>
      <c r="R214" s="624"/>
      <c r="S214" s="624"/>
      <c r="T214" s="625"/>
      <c r="U214" s="34"/>
      <c r="V214" s="34"/>
      <c r="W214" s="35" t="s">
        <v>67</v>
      </c>
      <c r="X214" s="617">
        <v>32</v>
      </c>
      <c r="Y214" s="618">
        <f t="shared" ref="Y214:Y226" si="26">IFERROR(IF(X214="",0,CEILING((X214/$H214),1)*$H214),"")</f>
        <v>33.6</v>
      </c>
      <c r="Z214" s="36">
        <f>IFERROR(IF(Y214=0,"",ROUNDUP(Y214/H214,0)*0.00902),"")</f>
        <v>7.2160000000000002E-2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33.904761904761905</v>
      </c>
      <c r="BN214" s="64">
        <f t="shared" ref="BN214:BN226" si="28">IFERROR(Y214*I214/H214,"0")</f>
        <v>35.6</v>
      </c>
      <c r="BO214" s="64">
        <f t="shared" ref="BO214:BO226" si="29">IFERROR(1/J214*(X214/H214),"0")</f>
        <v>5.772005772005772E-2</v>
      </c>
      <c r="BP214" s="64">
        <f t="shared" ref="BP214:BP226" si="30">IFERROR(1/J214*(Y214/H214),"0")</f>
        <v>6.0606060606060608E-2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9">
        <v>4680115881761</v>
      </c>
      <c r="E215" s="630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4"/>
      <c r="R215" s="624"/>
      <c r="S215" s="624"/>
      <c r="T215" s="625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29">
        <v>4680115881563</v>
      </c>
      <c r="E216" s="630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4"/>
      <c r="R216" s="624"/>
      <c r="S216" s="624"/>
      <c r="T216" s="625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9">
        <v>4680115887565</v>
      </c>
      <c r="E217" s="630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0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4"/>
      <c r="R217" s="624"/>
      <c r="S217" s="624"/>
      <c r="T217" s="625"/>
      <c r="U217" s="34"/>
      <c r="V217" s="34"/>
      <c r="W217" s="35" t="s">
        <v>67</v>
      </c>
      <c r="X217" s="617">
        <v>13</v>
      </c>
      <c r="Y217" s="618">
        <f t="shared" si="26"/>
        <v>13.600000000000001</v>
      </c>
      <c r="Z217" s="36">
        <f>IFERROR(IF(Y217=0,"",ROUNDUP(Y217/H217,0)*0.00556),"")</f>
        <v>9.4519999999999993E-2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15.112499999999999</v>
      </c>
      <c r="BN217" s="64">
        <f t="shared" si="28"/>
        <v>15.81</v>
      </c>
      <c r="BO217" s="64">
        <f t="shared" si="29"/>
        <v>6.4484126984126977E-2</v>
      </c>
      <c r="BP217" s="64">
        <f t="shared" si="30"/>
        <v>6.7460317460317457E-2</v>
      </c>
    </row>
    <row r="218" spans="1:68" ht="27" customHeight="1" x14ac:dyDescent="0.25">
      <c r="A218" s="54" t="s">
        <v>365</v>
      </c>
      <c r="B218" s="54" t="s">
        <v>366</v>
      </c>
      <c r="C218" s="31">
        <v>4301031199</v>
      </c>
      <c r="D218" s="629">
        <v>4680115880986</v>
      </c>
      <c r="E218" s="630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6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4"/>
      <c r="R218" s="624"/>
      <c r="S218" s="624"/>
      <c r="T218" s="625"/>
      <c r="U218" s="34"/>
      <c r="V218" s="34"/>
      <c r="W218" s="35" t="s">
        <v>67</v>
      </c>
      <c r="X218" s="617">
        <v>3</v>
      </c>
      <c r="Y218" s="618">
        <f t="shared" si="26"/>
        <v>4.2</v>
      </c>
      <c r="Z218" s="36">
        <f>IFERROR(IF(Y218=0,"",ROUNDUP(Y218/H218,0)*0.00502),"")</f>
        <v>1.004E-2</v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3.1857142857142855</v>
      </c>
      <c r="BN218" s="64">
        <f t="shared" si="28"/>
        <v>4.46</v>
      </c>
      <c r="BO218" s="64">
        <f t="shared" si="29"/>
        <v>6.1050061050061059E-3</v>
      </c>
      <c r="BP218" s="64">
        <f t="shared" si="30"/>
        <v>8.5470085470085479E-3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9">
        <v>4680115887213</v>
      </c>
      <c r="E219" s="630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8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4"/>
      <c r="R219" s="624"/>
      <c r="S219" s="624"/>
      <c r="T219" s="625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9">
        <v>4680115881785</v>
      </c>
      <c r="E220" s="630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4"/>
      <c r="R220" s="624"/>
      <c r="S220" s="624"/>
      <c r="T220" s="625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9">
        <v>4680115888432</v>
      </c>
      <c r="E221" s="630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6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4"/>
      <c r="R221" s="624"/>
      <c r="S221" s="624"/>
      <c r="T221" s="625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29">
        <v>4680115886537</v>
      </c>
      <c r="E222" s="630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5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4"/>
      <c r="R222" s="624"/>
      <c r="S222" s="624"/>
      <c r="T222" s="625"/>
      <c r="U222" s="34"/>
      <c r="V222" s="34"/>
      <c r="W222" s="35" t="s">
        <v>67</v>
      </c>
      <c r="X222" s="617">
        <v>3</v>
      </c>
      <c r="Y222" s="618">
        <f t="shared" si="26"/>
        <v>3.6</v>
      </c>
      <c r="Z222" s="36">
        <f>IFERROR(IF(Y222=0,"",ROUNDUP(Y222/H222,0)*0.00502),"")</f>
        <v>1.004E-2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3.2166666666666668</v>
      </c>
      <c r="BN222" s="64">
        <f t="shared" si="28"/>
        <v>3.8599999999999994</v>
      </c>
      <c r="BO222" s="64">
        <f t="shared" si="29"/>
        <v>7.1225071225071226E-3</v>
      </c>
      <c r="BP222" s="64">
        <f t="shared" si="30"/>
        <v>8.5470085470085479E-3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4301031279</v>
      </c>
      <c r="D223" s="629">
        <v>4680115887596</v>
      </c>
      <c r="E223" s="630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4"/>
      <c r="R223" s="624"/>
      <c r="S223" s="624"/>
      <c r="T223" s="625"/>
      <c r="U223" s="34"/>
      <c r="V223" s="34"/>
      <c r="W223" s="35" t="s">
        <v>67</v>
      </c>
      <c r="X223" s="617">
        <v>0</v>
      </c>
      <c r="Y223" s="618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29">
        <v>4680115881679</v>
      </c>
      <c r="E224" s="630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4"/>
      <c r="R224" s="624"/>
      <c r="S224" s="624"/>
      <c r="T224" s="625"/>
      <c r="U224" s="34"/>
      <c r="V224" s="34"/>
      <c r="W224" s="35" t="s">
        <v>67</v>
      </c>
      <c r="X224" s="617">
        <v>250</v>
      </c>
      <c r="Y224" s="618">
        <f t="shared" si="26"/>
        <v>252</v>
      </c>
      <c r="Z224" s="36">
        <f>IFERROR(IF(Y224=0,"",ROUNDUP(Y224/H224,0)*0.00502),"")</f>
        <v>0.60240000000000005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261.90476190476187</v>
      </c>
      <c r="BN224" s="64">
        <f t="shared" si="28"/>
        <v>264.00000000000006</v>
      </c>
      <c r="BO224" s="64">
        <f t="shared" si="29"/>
        <v>0.50875050875050876</v>
      </c>
      <c r="BP224" s="64">
        <f t="shared" si="30"/>
        <v>0.51282051282051289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9">
        <v>4680115880191</v>
      </c>
      <c r="E225" s="630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6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4"/>
      <c r="R225" s="624"/>
      <c r="S225" s="624"/>
      <c r="T225" s="625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9">
        <v>4680115883963</v>
      </c>
      <c r="E226" s="630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4"/>
      <c r="R226" s="624"/>
      <c r="S226" s="624"/>
      <c r="T226" s="625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1"/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3"/>
      <c r="P227" s="636" t="s">
        <v>69</v>
      </c>
      <c r="Q227" s="637"/>
      <c r="R227" s="637"/>
      <c r="S227" s="637"/>
      <c r="T227" s="637"/>
      <c r="U227" s="637"/>
      <c r="V227" s="638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146.01190476190476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149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0.78916000000000008</v>
      </c>
      <c r="AA227" s="620"/>
      <c r="AB227" s="620"/>
      <c r="AC227" s="620"/>
    </row>
    <row r="228" spans="1:68" x14ac:dyDescent="0.2">
      <c r="A228" s="632"/>
      <c r="B228" s="632"/>
      <c r="C228" s="632"/>
      <c r="D228" s="632"/>
      <c r="E228" s="632"/>
      <c r="F228" s="632"/>
      <c r="G228" s="632"/>
      <c r="H228" s="632"/>
      <c r="I228" s="632"/>
      <c r="J228" s="632"/>
      <c r="K228" s="632"/>
      <c r="L228" s="632"/>
      <c r="M228" s="632"/>
      <c r="N228" s="632"/>
      <c r="O228" s="633"/>
      <c r="P228" s="636" t="s">
        <v>69</v>
      </c>
      <c r="Q228" s="637"/>
      <c r="R228" s="637"/>
      <c r="S228" s="637"/>
      <c r="T228" s="637"/>
      <c r="U228" s="637"/>
      <c r="V228" s="638"/>
      <c r="W228" s="37" t="s">
        <v>67</v>
      </c>
      <c r="X228" s="619">
        <f>IFERROR(SUM(X214:X226),"0")</f>
        <v>301</v>
      </c>
      <c r="Y228" s="619">
        <f>IFERROR(SUM(Y214:Y226),"0")</f>
        <v>307</v>
      </c>
      <c r="Z228" s="37"/>
      <c r="AA228" s="620"/>
      <c r="AB228" s="620"/>
      <c r="AC228" s="620"/>
    </row>
    <row r="229" spans="1:68" ht="14.25" hidden="1" customHeight="1" x14ac:dyDescent="0.25">
      <c r="A229" s="635" t="s">
        <v>71</v>
      </c>
      <c r="B229" s="632"/>
      <c r="C229" s="632"/>
      <c r="D229" s="632"/>
      <c r="E229" s="632"/>
      <c r="F229" s="632"/>
      <c r="G229" s="632"/>
      <c r="H229" s="632"/>
      <c r="I229" s="632"/>
      <c r="J229" s="632"/>
      <c r="K229" s="632"/>
      <c r="L229" s="632"/>
      <c r="M229" s="632"/>
      <c r="N229" s="632"/>
      <c r="O229" s="632"/>
      <c r="P229" s="632"/>
      <c r="Q229" s="632"/>
      <c r="R229" s="632"/>
      <c r="S229" s="632"/>
      <c r="T229" s="632"/>
      <c r="U229" s="632"/>
      <c r="V229" s="632"/>
      <c r="W229" s="632"/>
      <c r="X229" s="632"/>
      <c r="Y229" s="632"/>
      <c r="Z229" s="632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9">
        <v>4680115888692</v>
      </c>
      <c r="E230" s="630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4"/>
      <c r="R230" s="624"/>
      <c r="S230" s="624"/>
      <c r="T230" s="625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9">
        <v>4680115888722</v>
      </c>
      <c r="E231" s="630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4"/>
      <c r="R231" s="624"/>
      <c r="S231" s="624"/>
      <c r="T231" s="625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9">
        <v>4680115888951</v>
      </c>
      <c r="E232" s="630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4"/>
      <c r="R232" s="624"/>
      <c r="S232" s="624"/>
      <c r="T232" s="625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9">
        <v>4680115888975</v>
      </c>
      <c r="E233" s="630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4"/>
      <c r="R233" s="624"/>
      <c r="S233" s="624"/>
      <c r="T233" s="625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9">
        <v>4680115888982</v>
      </c>
      <c r="E234" s="630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8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4"/>
      <c r="R234" s="624"/>
      <c r="S234" s="624"/>
      <c r="T234" s="625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1"/>
      <c r="B235" s="632"/>
      <c r="C235" s="632"/>
      <c r="D235" s="632"/>
      <c r="E235" s="632"/>
      <c r="F235" s="632"/>
      <c r="G235" s="632"/>
      <c r="H235" s="632"/>
      <c r="I235" s="632"/>
      <c r="J235" s="632"/>
      <c r="K235" s="632"/>
      <c r="L235" s="632"/>
      <c r="M235" s="632"/>
      <c r="N235" s="632"/>
      <c r="O235" s="633"/>
      <c r="P235" s="636" t="s">
        <v>69</v>
      </c>
      <c r="Q235" s="637"/>
      <c r="R235" s="637"/>
      <c r="S235" s="637"/>
      <c r="T235" s="637"/>
      <c r="U235" s="637"/>
      <c r="V235" s="638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2"/>
      <c r="B236" s="632"/>
      <c r="C236" s="632"/>
      <c r="D236" s="632"/>
      <c r="E236" s="632"/>
      <c r="F236" s="632"/>
      <c r="G236" s="632"/>
      <c r="H236" s="632"/>
      <c r="I236" s="632"/>
      <c r="J236" s="632"/>
      <c r="K236" s="632"/>
      <c r="L236" s="632"/>
      <c r="M236" s="632"/>
      <c r="N236" s="632"/>
      <c r="O236" s="633"/>
      <c r="P236" s="636" t="s">
        <v>69</v>
      </c>
      <c r="Q236" s="637"/>
      <c r="R236" s="637"/>
      <c r="S236" s="637"/>
      <c r="T236" s="637"/>
      <c r="U236" s="637"/>
      <c r="V236" s="638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5" t="s">
        <v>263</v>
      </c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2"/>
      <c r="P237" s="632"/>
      <c r="Q237" s="632"/>
      <c r="R237" s="632"/>
      <c r="S237" s="632"/>
      <c r="T237" s="632"/>
      <c r="U237" s="632"/>
      <c r="V237" s="632"/>
      <c r="W237" s="632"/>
      <c r="X237" s="632"/>
      <c r="Y237" s="632"/>
      <c r="Z237" s="632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9">
        <v>4680115886780</v>
      </c>
      <c r="E238" s="630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4"/>
      <c r="R238" s="624"/>
      <c r="S238" s="624"/>
      <c r="T238" s="625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29">
        <v>4680115886742</v>
      </c>
      <c r="E239" s="630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64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4"/>
      <c r="R239" s="624"/>
      <c r="S239" s="624"/>
      <c r="T239" s="625"/>
      <c r="U239" s="34"/>
      <c r="V239" s="34"/>
      <c r="W239" s="35" t="s">
        <v>67</v>
      </c>
      <c r="X239" s="617">
        <v>4</v>
      </c>
      <c r="Y239" s="618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4.6031746031746028</v>
      </c>
      <c r="BN239" s="64">
        <f>IFERROR(Y239*I239/H239,"0")</f>
        <v>5.8</v>
      </c>
      <c r="BO239" s="64">
        <f>IFERROR(1/J239*(X239/H239),"0")</f>
        <v>1.469723691945914E-2</v>
      </c>
      <c r="BP239" s="64">
        <f>IFERROR(1/J239*(Y239/H239),"0")</f>
        <v>1.8518518518518517E-2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29">
        <v>4680115886766</v>
      </c>
      <c r="E240" s="630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4"/>
      <c r="R240" s="624"/>
      <c r="S240" s="624"/>
      <c r="T240" s="625"/>
      <c r="U240" s="34"/>
      <c r="V240" s="34"/>
      <c r="W240" s="35" t="s">
        <v>67</v>
      </c>
      <c r="X240" s="617">
        <v>5</v>
      </c>
      <c r="Y240" s="618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5.753968253968254</v>
      </c>
      <c r="BN240" s="64">
        <f>IFERROR(Y240*I240/H240,"0")</f>
        <v>5.8</v>
      </c>
      <c r="BO240" s="64">
        <f>IFERROR(1/J240*(X240/H240),"0")</f>
        <v>1.8371546149323927E-2</v>
      </c>
      <c r="BP240" s="64">
        <f>IFERROR(1/J240*(Y240/H240),"0")</f>
        <v>1.8518518518518517E-2</v>
      </c>
    </row>
    <row r="241" spans="1:68" x14ac:dyDescent="0.2">
      <c r="A241" s="631"/>
      <c r="B241" s="632"/>
      <c r="C241" s="632"/>
      <c r="D241" s="632"/>
      <c r="E241" s="632"/>
      <c r="F241" s="632"/>
      <c r="G241" s="632"/>
      <c r="H241" s="632"/>
      <c r="I241" s="632"/>
      <c r="J241" s="632"/>
      <c r="K241" s="632"/>
      <c r="L241" s="632"/>
      <c r="M241" s="632"/>
      <c r="N241" s="632"/>
      <c r="O241" s="633"/>
      <c r="P241" s="636" t="s">
        <v>69</v>
      </c>
      <c r="Q241" s="637"/>
      <c r="R241" s="637"/>
      <c r="S241" s="637"/>
      <c r="T241" s="637"/>
      <c r="U241" s="637"/>
      <c r="V241" s="638"/>
      <c r="W241" s="37" t="s">
        <v>70</v>
      </c>
      <c r="X241" s="619">
        <f>IFERROR(X238/H238,"0")+IFERROR(X239/H239,"0")+IFERROR(X240/H240,"0")</f>
        <v>7.1428571428571423</v>
      </c>
      <c r="Y241" s="619">
        <f>IFERROR(Y238/H238,"0")+IFERROR(Y239/H239,"0")+IFERROR(Y240/H240,"0")</f>
        <v>8</v>
      </c>
      <c r="Z241" s="619">
        <f>IFERROR(IF(Z238="",0,Z238),"0")+IFERROR(IF(Z239="",0,Z239),"0")+IFERROR(IF(Z240="",0,Z240),"0")</f>
        <v>4.7199999999999999E-2</v>
      </c>
      <c r="AA241" s="620"/>
      <c r="AB241" s="620"/>
      <c r="AC241" s="620"/>
    </row>
    <row r="242" spans="1:68" x14ac:dyDescent="0.2">
      <c r="A242" s="632"/>
      <c r="B242" s="632"/>
      <c r="C242" s="632"/>
      <c r="D242" s="632"/>
      <c r="E242" s="632"/>
      <c r="F242" s="632"/>
      <c r="G242" s="632"/>
      <c r="H242" s="632"/>
      <c r="I242" s="632"/>
      <c r="J242" s="632"/>
      <c r="K242" s="632"/>
      <c r="L242" s="632"/>
      <c r="M242" s="632"/>
      <c r="N242" s="632"/>
      <c r="O242" s="633"/>
      <c r="P242" s="636" t="s">
        <v>69</v>
      </c>
      <c r="Q242" s="637"/>
      <c r="R242" s="637"/>
      <c r="S242" s="637"/>
      <c r="T242" s="637"/>
      <c r="U242" s="637"/>
      <c r="V242" s="638"/>
      <c r="W242" s="37" t="s">
        <v>67</v>
      </c>
      <c r="X242" s="619">
        <f>IFERROR(SUM(X238:X240),"0")</f>
        <v>9</v>
      </c>
      <c r="Y242" s="619">
        <f>IFERROR(SUM(Y238:Y240),"0")</f>
        <v>10.08</v>
      </c>
      <c r="Z242" s="37"/>
      <c r="AA242" s="620"/>
      <c r="AB242" s="620"/>
      <c r="AC242" s="620"/>
    </row>
    <row r="243" spans="1:68" ht="14.25" hidden="1" customHeight="1" x14ac:dyDescent="0.25">
      <c r="A243" s="635" t="s">
        <v>409</v>
      </c>
      <c r="B243" s="632"/>
      <c r="C243" s="632"/>
      <c r="D243" s="632"/>
      <c r="E243" s="632"/>
      <c r="F243" s="632"/>
      <c r="G243" s="632"/>
      <c r="H243" s="632"/>
      <c r="I243" s="632"/>
      <c r="J243" s="632"/>
      <c r="K243" s="632"/>
      <c r="L243" s="632"/>
      <c r="M243" s="632"/>
      <c r="N243" s="632"/>
      <c r="O243" s="632"/>
      <c r="P243" s="632"/>
      <c r="Q243" s="632"/>
      <c r="R243" s="632"/>
      <c r="S243" s="632"/>
      <c r="T243" s="632"/>
      <c r="U243" s="632"/>
      <c r="V243" s="632"/>
      <c r="W243" s="632"/>
      <c r="X243" s="632"/>
      <c r="Y243" s="632"/>
      <c r="Z243" s="632"/>
      <c r="AA243" s="613"/>
      <c r="AB243" s="613"/>
      <c r="AC243" s="613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29">
        <v>4680115886797</v>
      </c>
      <c r="E244" s="630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4"/>
      <c r="R244" s="624"/>
      <c r="S244" s="624"/>
      <c r="T244" s="625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36" t="s">
        <v>69</v>
      </c>
      <c r="Q245" s="637"/>
      <c r="R245" s="637"/>
      <c r="S245" s="637"/>
      <c r="T245" s="637"/>
      <c r="U245" s="637"/>
      <c r="V245" s="638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36" t="s">
        <v>69</v>
      </c>
      <c r="Q246" s="637"/>
      <c r="R246" s="637"/>
      <c r="S246" s="637"/>
      <c r="T246" s="637"/>
      <c r="U246" s="637"/>
      <c r="V246" s="638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54" t="s">
        <v>412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12"/>
      <c r="AB247" s="612"/>
      <c r="AC247" s="612"/>
    </row>
    <row r="248" spans="1:68" ht="14.25" hidden="1" customHeight="1" x14ac:dyDescent="0.25">
      <c r="A248" s="635" t="s">
        <v>108</v>
      </c>
      <c r="B248" s="632"/>
      <c r="C248" s="632"/>
      <c r="D248" s="632"/>
      <c r="E248" s="632"/>
      <c r="F248" s="632"/>
      <c r="G248" s="632"/>
      <c r="H248" s="632"/>
      <c r="I248" s="632"/>
      <c r="J248" s="632"/>
      <c r="K248" s="632"/>
      <c r="L248" s="632"/>
      <c r="M248" s="632"/>
      <c r="N248" s="632"/>
      <c r="O248" s="632"/>
      <c r="P248" s="632"/>
      <c r="Q248" s="632"/>
      <c r="R248" s="632"/>
      <c r="S248" s="632"/>
      <c r="T248" s="632"/>
      <c r="U248" s="632"/>
      <c r="V248" s="632"/>
      <c r="W248" s="632"/>
      <c r="X248" s="632"/>
      <c r="Y248" s="632"/>
      <c r="Z248" s="632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9">
        <v>4680115881402</v>
      </c>
      <c r="E249" s="630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4"/>
      <c r="R249" s="624"/>
      <c r="S249" s="624"/>
      <c r="T249" s="625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9">
        <v>4680115881396</v>
      </c>
      <c r="E250" s="630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4"/>
      <c r="R250" s="624"/>
      <c r="S250" s="624"/>
      <c r="T250" s="625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36" t="s">
        <v>69</v>
      </c>
      <c r="Q251" s="637"/>
      <c r="R251" s="637"/>
      <c r="S251" s="637"/>
      <c r="T251" s="637"/>
      <c r="U251" s="637"/>
      <c r="V251" s="638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36" t="s">
        <v>69</v>
      </c>
      <c r="Q252" s="637"/>
      <c r="R252" s="637"/>
      <c r="S252" s="637"/>
      <c r="T252" s="637"/>
      <c r="U252" s="637"/>
      <c r="V252" s="638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5" t="s">
        <v>143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9">
        <v>4680115882935</v>
      </c>
      <c r="E254" s="630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4"/>
      <c r="R254" s="624"/>
      <c r="S254" s="624"/>
      <c r="T254" s="625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9">
        <v>4680115880764</v>
      </c>
      <c r="E255" s="630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4"/>
      <c r="R255" s="624"/>
      <c r="S255" s="624"/>
      <c r="T255" s="625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1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36" t="s">
        <v>69</v>
      </c>
      <c r="Q256" s="637"/>
      <c r="R256" s="637"/>
      <c r="S256" s="637"/>
      <c r="T256" s="637"/>
      <c r="U256" s="637"/>
      <c r="V256" s="638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2"/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3"/>
      <c r="P257" s="636" t="s">
        <v>69</v>
      </c>
      <c r="Q257" s="637"/>
      <c r="R257" s="637"/>
      <c r="S257" s="637"/>
      <c r="T257" s="637"/>
      <c r="U257" s="637"/>
      <c r="V257" s="638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5" t="s">
        <v>62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9">
        <v>4680115882683</v>
      </c>
      <c r="E259" s="630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4"/>
      <c r="R259" s="624"/>
      <c r="S259" s="624"/>
      <c r="T259" s="625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29">
        <v>4680115882690</v>
      </c>
      <c r="E260" s="630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4"/>
      <c r="R260" s="624"/>
      <c r="S260" s="624"/>
      <c r="T260" s="625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hidden="1" customHeight="1" x14ac:dyDescent="0.25">
      <c r="A261" s="54" t="s">
        <v>429</v>
      </c>
      <c r="B261" s="54" t="s">
        <v>430</v>
      </c>
      <c r="C261" s="31">
        <v>4301031220</v>
      </c>
      <c r="D261" s="629">
        <v>4680115882669</v>
      </c>
      <c r="E261" s="630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4"/>
      <c r="R261" s="624"/>
      <c r="S261" s="624"/>
      <c r="T261" s="625"/>
      <c r="U261" s="34"/>
      <c r="V261" s="34"/>
      <c r="W261" s="35" t="s">
        <v>67</v>
      </c>
      <c r="X261" s="617">
        <v>0</v>
      </c>
      <c r="Y261" s="618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29">
        <v>4680115882676</v>
      </c>
      <c r="E262" s="630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4"/>
      <c r="R262" s="624"/>
      <c r="S262" s="624"/>
      <c r="T262" s="625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29">
        <v>4680115884014</v>
      </c>
      <c r="E263" s="630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4"/>
      <c r="R263" s="624"/>
      <c r="S263" s="624"/>
      <c r="T263" s="625"/>
      <c r="U263" s="34"/>
      <c r="V263" s="34"/>
      <c r="W263" s="35" t="s">
        <v>67</v>
      </c>
      <c r="X263" s="617">
        <v>9</v>
      </c>
      <c r="Y263" s="618">
        <f t="shared" si="31"/>
        <v>9</v>
      </c>
      <c r="Z263" s="36">
        <f>IFERROR(IF(Y263=0,"",ROUNDUP(Y263/H263,0)*0.00502),"")</f>
        <v>2.5100000000000001E-2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9.65</v>
      </c>
      <c r="BN263" s="64">
        <f t="shared" si="33"/>
        <v>9.65</v>
      </c>
      <c r="BO263" s="64">
        <f t="shared" si="34"/>
        <v>2.1367521367521368E-2</v>
      </c>
      <c r="BP263" s="64">
        <f t="shared" si="35"/>
        <v>2.1367521367521368E-2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29">
        <v>4680115884007</v>
      </c>
      <c r="E264" s="630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6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4"/>
      <c r="R264" s="624"/>
      <c r="S264" s="624"/>
      <c r="T264" s="625"/>
      <c r="U264" s="34"/>
      <c r="V264" s="34"/>
      <c r="W264" s="35" t="s">
        <v>67</v>
      </c>
      <c r="X264" s="617">
        <v>6</v>
      </c>
      <c r="Y264" s="618">
        <f t="shared" si="31"/>
        <v>7.2</v>
      </c>
      <c r="Z264" s="36">
        <f>IFERROR(IF(Y264=0,"",ROUNDUP(Y264/H264,0)*0.00502),"")</f>
        <v>2.0080000000000001E-2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6.3333333333333321</v>
      </c>
      <c r="BN264" s="64">
        <f t="shared" si="33"/>
        <v>7.6</v>
      </c>
      <c r="BO264" s="64">
        <f t="shared" si="34"/>
        <v>1.4245014245014245E-2</v>
      </c>
      <c r="BP264" s="64">
        <f t="shared" si="35"/>
        <v>1.7094017094017096E-2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9">
        <v>4680115884038</v>
      </c>
      <c r="E265" s="630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4"/>
      <c r="R265" s="624"/>
      <c r="S265" s="624"/>
      <c r="T265" s="625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29">
        <v>4680115884021</v>
      </c>
      <c r="E266" s="630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4"/>
      <c r="R266" s="624"/>
      <c r="S266" s="624"/>
      <c r="T266" s="625"/>
      <c r="U266" s="34"/>
      <c r="V266" s="34"/>
      <c r="W266" s="35" t="s">
        <v>67</v>
      </c>
      <c r="X266" s="617">
        <v>15</v>
      </c>
      <c r="Y266" s="618">
        <f t="shared" si="31"/>
        <v>16.2</v>
      </c>
      <c r="Z266" s="36">
        <f>IFERROR(IF(Y266=0,"",ROUNDUP(Y266/H266,0)*0.00502),"")</f>
        <v>4.5179999999999998E-2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15.833333333333332</v>
      </c>
      <c r="BN266" s="64">
        <f t="shared" si="33"/>
        <v>17.099999999999998</v>
      </c>
      <c r="BO266" s="64">
        <f t="shared" si="34"/>
        <v>3.561253561253562E-2</v>
      </c>
      <c r="BP266" s="64">
        <f t="shared" si="35"/>
        <v>3.8461538461538464E-2</v>
      </c>
    </row>
    <row r="267" spans="1:68" x14ac:dyDescent="0.2">
      <c r="A267" s="631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36" t="s">
        <v>69</v>
      </c>
      <c r="Q267" s="637"/>
      <c r="R267" s="637"/>
      <c r="S267" s="637"/>
      <c r="T267" s="637"/>
      <c r="U267" s="637"/>
      <c r="V267" s="638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16.666666666666664</v>
      </c>
      <c r="Y267" s="619">
        <f>IFERROR(Y259/H259,"0")+IFERROR(Y260/H260,"0")+IFERROR(Y261/H261,"0")+IFERROR(Y262/H262,"0")+IFERROR(Y263/H263,"0")+IFERROR(Y264/H264,"0")+IFERROR(Y265/H265,"0")+IFERROR(Y266/H266,"0")</f>
        <v>18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9.0359999999999996E-2</v>
      </c>
      <c r="AA267" s="620"/>
      <c r="AB267" s="620"/>
      <c r="AC267" s="620"/>
    </row>
    <row r="268" spans="1:68" x14ac:dyDescent="0.2">
      <c r="A268" s="632"/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3"/>
      <c r="P268" s="636" t="s">
        <v>69</v>
      </c>
      <c r="Q268" s="637"/>
      <c r="R268" s="637"/>
      <c r="S268" s="637"/>
      <c r="T268" s="637"/>
      <c r="U268" s="637"/>
      <c r="V268" s="638"/>
      <c r="W268" s="37" t="s">
        <v>67</v>
      </c>
      <c r="X268" s="619">
        <f>IFERROR(SUM(X259:X266),"0")</f>
        <v>30</v>
      </c>
      <c r="Y268" s="619">
        <f>IFERROR(SUM(Y259:Y266),"0")</f>
        <v>32.4</v>
      </c>
      <c r="Z268" s="37"/>
      <c r="AA268" s="620"/>
      <c r="AB268" s="620"/>
      <c r="AC268" s="620"/>
    </row>
    <row r="269" spans="1:68" ht="14.25" hidden="1" customHeight="1" x14ac:dyDescent="0.25">
      <c r="A269" s="635" t="s">
        <v>71</v>
      </c>
      <c r="B269" s="632"/>
      <c r="C269" s="632"/>
      <c r="D269" s="632"/>
      <c r="E269" s="632"/>
      <c r="F269" s="632"/>
      <c r="G269" s="632"/>
      <c r="H269" s="632"/>
      <c r="I269" s="632"/>
      <c r="J269" s="632"/>
      <c r="K269" s="632"/>
      <c r="L269" s="632"/>
      <c r="M269" s="632"/>
      <c r="N269" s="632"/>
      <c r="O269" s="632"/>
      <c r="P269" s="632"/>
      <c r="Q269" s="632"/>
      <c r="R269" s="632"/>
      <c r="S269" s="632"/>
      <c r="T269" s="632"/>
      <c r="U269" s="632"/>
      <c r="V269" s="632"/>
      <c r="W269" s="632"/>
      <c r="X269" s="632"/>
      <c r="Y269" s="632"/>
      <c r="Z269" s="632"/>
      <c r="AA269" s="613"/>
      <c r="AB269" s="613"/>
      <c r="AC269" s="613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29">
        <v>4680115881594</v>
      </c>
      <c r="E270" s="630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4"/>
      <c r="R270" s="624"/>
      <c r="S270" s="624"/>
      <c r="T270" s="625"/>
      <c r="U270" s="34"/>
      <c r="V270" s="34"/>
      <c r="W270" s="35" t="s">
        <v>67</v>
      </c>
      <c r="X270" s="617">
        <v>61</v>
      </c>
      <c r="Y270" s="618">
        <f t="shared" ref="Y270:Y281" si="36">IFERROR(IF(X270="",0,CEILING((X270/$H270),1)*$H270),"")</f>
        <v>64.8</v>
      </c>
      <c r="Z270" s="36">
        <f>IFERROR(IF(Y270=0,"",ROUNDUP(Y270/H270,0)*0.01898),"")</f>
        <v>0.15184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64.72024691358024</v>
      </c>
      <c r="BN270" s="64">
        <f t="shared" ref="BN270:BN281" si="38">IFERROR(Y270*I270/H270,"0")</f>
        <v>68.751999999999995</v>
      </c>
      <c r="BO270" s="64">
        <f t="shared" ref="BO270:BO281" si="39">IFERROR(1/J270*(X270/H270),"0")</f>
        <v>0.11766975308641976</v>
      </c>
      <c r="BP270" s="64">
        <f t="shared" ref="BP270:BP281" si="40">IFERROR(1/J270*(Y270/H270),"0")</f>
        <v>0.125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29">
        <v>4680115881617</v>
      </c>
      <c r="E271" s="630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4"/>
      <c r="R271" s="624"/>
      <c r="S271" s="624"/>
      <c r="T271" s="625"/>
      <c r="U271" s="34"/>
      <c r="V271" s="34"/>
      <c r="W271" s="35" t="s">
        <v>67</v>
      </c>
      <c r="X271" s="617">
        <v>136</v>
      </c>
      <c r="Y271" s="618">
        <f t="shared" si="36"/>
        <v>137.69999999999999</v>
      </c>
      <c r="Z271" s="36">
        <f>IFERROR(IF(Y271=0,"",ROUNDUP(Y271/H271,0)*0.01898),"")</f>
        <v>0.32266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143.9920987654321</v>
      </c>
      <c r="BN271" s="64">
        <f t="shared" si="38"/>
        <v>145.792</v>
      </c>
      <c r="BO271" s="64">
        <f t="shared" si="39"/>
        <v>0.26234567901234568</v>
      </c>
      <c r="BP271" s="64">
        <f t="shared" si="40"/>
        <v>0.265625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9">
        <v>4680115880573</v>
      </c>
      <c r="E272" s="630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4"/>
      <c r="R272" s="624"/>
      <c r="S272" s="624"/>
      <c r="T272" s="625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29">
        <v>4680115882195</v>
      </c>
      <c r="E273" s="630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4"/>
      <c r="R273" s="624"/>
      <c r="S273" s="624"/>
      <c r="T273" s="625"/>
      <c r="U273" s="34"/>
      <c r="V273" s="34"/>
      <c r="W273" s="35" t="s">
        <v>67</v>
      </c>
      <c r="X273" s="617">
        <v>77</v>
      </c>
      <c r="Y273" s="618">
        <f t="shared" si="36"/>
        <v>79.2</v>
      </c>
      <c r="Z273" s="36">
        <f>IFERROR(IF(Y273=0,"",ROUNDUP(Y273/H273,0)*0.00651),"")</f>
        <v>0.21482999999999999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85.662500000000009</v>
      </c>
      <c r="BN273" s="64">
        <f t="shared" si="38"/>
        <v>88.11</v>
      </c>
      <c r="BO273" s="64">
        <f t="shared" si="39"/>
        <v>0.17628205128205132</v>
      </c>
      <c r="BP273" s="64">
        <f t="shared" si="40"/>
        <v>0.18131868131868134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9">
        <v>4680115882607</v>
      </c>
      <c r="E274" s="630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4"/>
      <c r="R274" s="624"/>
      <c r="S274" s="624"/>
      <c r="T274" s="625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9">
        <v>4680115882607</v>
      </c>
      <c r="E275" s="630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4"/>
      <c r="R275" s="624"/>
      <c r="S275" s="624"/>
      <c r="T275" s="625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9">
        <v>4680115880092</v>
      </c>
      <c r="E276" s="630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4"/>
      <c r="R276" s="624"/>
      <c r="S276" s="624"/>
      <c r="T276" s="625"/>
      <c r="U276" s="34"/>
      <c r="V276" s="34"/>
      <c r="W276" s="35" t="s">
        <v>67</v>
      </c>
      <c r="X276" s="617">
        <v>699</v>
      </c>
      <c r="Y276" s="618">
        <f t="shared" si="36"/>
        <v>700.8</v>
      </c>
      <c r="Z276" s="36">
        <f>IFERROR(IF(Y276=0,"",ROUNDUP(Y276/H276,0)*0.00651),"")</f>
        <v>1.9009199999999999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772.3950000000001</v>
      </c>
      <c r="BN276" s="64">
        <f t="shared" si="38"/>
        <v>774.38400000000001</v>
      </c>
      <c r="BO276" s="64">
        <f t="shared" si="39"/>
        <v>1.6002747252747254</v>
      </c>
      <c r="BP276" s="64">
        <f t="shared" si="40"/>
        <v>1.6043956043956045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9">
        <v>4680115889064</v>
      </c>
      <c r="E277" s="630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7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4"/>
      <c r="R277" s="624"/>
      <c r="S277" s="624"/>
      <c r="T277" s="625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9">
        <v>4680115880221</v>
      </c>
      <c r="E278" s="630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0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4"/>
      <c r="R278" s="624"/>
      <c r="S278" s="624"/>
      <c r="T278" s="625"/>
      <c r="U278" s="34"/>
      <c r="V278" s="34"/>
      <c r="W278" s="35" t="s">
        <v>67</v>
      </c>
      <c r="X278" s="617">
        <v>138</v>
      </c>
      <c r="Y278" s="618">
        <f t="shared" si="36"/>
        <v>139.19999999999999</v>
      </c>
      <c r="Z278" s="36">
        <f>IFERROR(IF(Y278=0,"",ROUNDUP(Y278/H278,0)*0.00651),"")</f>
        <v>0.37758000000000003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152.49</v>
      </c>
      <c r="BN278" s="64">
        <f t="shared" si="38"/>
        <v>153.816</v>
      </c>
      <c r="BO278" s="64">
        <f t="shared" si="39"/>
        <v>0.31593406593406598</v>
      </c>
      <c r="BP278" s="64">
        <f t="shared" si="40"/>
        <v>0.31868131868131871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29">
        <v>4680115880504</v>
      </c>
      <c r="E279" s="630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4"/>
      <c r="R279" s="624"/>
      <c r="S279" s="624"/>
      <c r="T279" s="625"/>
      <c r="U279" s="34"/>
      <c r="V279" s="34"/>
      <c r="W279" s="35" t="s">
        <v>67</v>
      </c>
      <c r="X279" s="617">
        <v>69</v>
      </c>
      <c r="Y279" s="618">
        <f t="shared" si="36"/>
        <v>69.599999999999994</v>
      </c>
      <c r="Z279" s="36">
        <f>IFERROR(IF(Y279=0,"",ROUNDUP(Y279/H279,0)*0.00651),"")</f>
        <v>0.18879000000000001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76.245000000000005</v>
      </c>
      <c r="BN279" s="64">
        <f t="shared" si="38"/>
        <v>76.908000000000001</v>
      </c>
      <c r="BO279" s="64">
        <f t="shared" si="39"/>
        <v>0.15796703296703299</v>
      </c>
      <c r="BP279" s="64">
        <f t="shared" si="40"/>
        <v>0.15934065934065936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9">
        <v>4680115882164</v>
      </c>
      <c r="E280" s="630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4"/>
      <c r="R280" s="624"/>
      <c r="S280" s="624"/>
      <c r="T280" s="625"/>
      <c r="U280" s="34"/>
      <c r="V280" s="34"/>
      <c r="W280" s="35" t="s">
        <v>67</v>
      </c>
      <c r="X280" s="617">
        <v>98</v>
      </c>
      <c r="Y280" s="618">
        <f t="shared" si="36"/>
        <v>98.399999999999991</v>
      </c>
      <c r="Z280" s="36">
        <f>IFERROR(IF(Y280=0,"",ROUNDUP(Y280/H280,0)*0.00651),"")</f>
        <v>0.26690999999999998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108.535</v>
      </c>
      <c r="BN280" s="64">
        <f t="shared" si="38"/>
        <v>108.97799999999999</v>
      </c>
      <c r="BO280" s="64">
        <f t="shared" si="39"/>
        <v>0.22435897435897439</v>
      </c>
      <c r="BP280" s="64">
        <f t="shared" si="40"/>
        <v>0.22527472527472528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9">
        <v>4680115888340</v>
      </c>
      <c r="E281" s="630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4"/>
      <c r="R281" s="624"/>
      <c r="S281" s="624"/>
      <c r="T281" s="625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1"/>
      <c r="B282" s="632"/>
      <c r="C282" s="632"/>
      <c r="D282" s="632"/>
      <c r="E282" s="632"/>
      <c r="F282" s="632"/>
      <c r="G282" s="632"/>
      <c r="H282" s="632"/>
      <c r="I282" s="632"/>
      <c r="J282" s="632"/>
      <c r="K282" s="632"/>
      <c r="L282" s="632"/>
      <c r="M282" s="632"/>
      <c r="N282" s="632"/>
      <c r="O282" s="633"/>
      <c r="P282" s="636" t="s">
        <v>69</v>
      </c>
      <c r="Q282" s="637"/>
      <c r="R282" s="637"/>
      <c r="S282" s="637"/>
      <c r="T282" s="637"/>
      <c r="U282" s="637"/>
      <c r="V282" s="638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474.73765432098764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478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3.4235300000000004</v>
      </c>
      <c r="AA282" s="620"/>
      <c r="AB282" s="620"/>
      <c r="AC282" s="620"/>
    </row>
    <row r="283" spans="1:68" x14ac:dyDescent="0.2">
      <c r="A283" s="632"/>
      <c r="B283" s="632"/>
      <c r="C283" s="632"/>
      <c r="D283" s="632"/>
      <c r="E283" s="632"/>
      <c r="F283" s="632"/>
      <c r="G283" s="632"/>
      <c r="H283" s="632"/>
      <c r="I283" s="632"/>
      <c r="J283" s="632"/>
      <c r="K283" s="632"/>
      <c r="L283" s="632"/>
      <c r="M283" s="632"/>
      <c r="N283" s="632"/>
      <c r="O283" s="633"/>
      <c r="P283" s="636" t="s">
        <v>69</v>
      </c>
      <c r="Q283" s="637"/>
      <c r="R283" s="637"/>
      <c r="S283" s="637"/>
      <c r="T283" s="637"/>
      <c r="U283" s="637"/>
      <c r="V283" s="638"/>
      <c r="W283" s="37" t="s">
        <v>67</v>
      </c>
      <c r="X283" s="619">
        <f>IFERROR(SUM(X270:X281),"0")</f>
        <v>1278</v>
      </c>
      <c r="Y283" s="619">
        <f>IFERROR(SUM(Y270:Y281),"0")</f>
        <v>1289.7</v>
      </c>
      <c r="Z283" s="37"/>
      <c r="AA283" s="620"/>
      <c r="AB283" s="620"/>
      <c r="AC283" s="620"/>
    </row>
    <row r="284" spans="1:68" ht="14.25" hidden="1" customHeight="1" x14ac:dyDescent="0.25">
      <c r="A284" s="635" t="s">
        <v>161</v>
      </c>
      <c r="B284" s="632"/>
      <c r="C284" s="632"/>
      <c r="D284" s="632"/>
      <c r="E284" s="632"/>
      <c r="F284" s="632"/>
      <c r="G284" s="632"/>
      <c r="H284" s="632"/>
      <c r="I284" s="632"/>
      <c r="J284" s="632"/>
      <c r="K284" s="632"/>
      <c r="L284" s="632"/>
      <c r="M284" s="632"/>
      <c r="N284" s="632"/>
      <c r="O284" s="632"/>
      <c r="P284" s="632"/>
      <c r="Q284" s="632"/>
      <c r="R284" s="632"/>
      <c r="S284" s="632"/>
      <c r="T284" s="632"/>
      <c r="U284" s="632"/>
      <c r="V284" s="632"/>
      <c r="W284" s="632"/>
      <c r="X284" s="632"/>
      <c r="Y284" s="632"/>
      <c r="Z284" s="632"/>
      <c r="AA284" s="613"/>
      <c r="AB284" s="613"/>
      <c r="AC284" s="613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29">
        <v>4680115880818</v>
      </c>
      <c r="E285" s="630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4"/>
      <c r="R285" s="624"/>
      <c r="S285" s="624"/>
      <c r="T285" s="625"/>
      <c r="U285" s="34"/>
      <c r="V285" s="34"/>
      <c r="W285" s="35" t="s">
        <v>67</v>
      </c>
      <c r="X285" s="617">
        <v>19</v>
      </c>
      <c r="Y285" s="618">
        <f>IFERROR(IF(X285="",0,CEILING((X285/$H285),1)*$H285),"")</f>
        <v>19.2</v>
      </c>
      <c r="Z285" s="36">
        <f>IFERROR(IF(Y285=0,"",ROUNDUP(Y285/H285,0)*0.00651),"")</f>
        <v>5.2080000000000001E-2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20.995000000000005</v>
      </c>
      <c r="BN285" s="64">
        <f>IFERROR(Y285*I285/H285,"0")</f>
        <v>21.216000000000001</v>
      </c>
      <c r="BO285" s="64">
        <f>IFERROR(1/J285*(X285/H285),"0")</f>
        <v>4.3498168498168503E-2</v>
      </c>
      <c r="BP285" s="64">
        <f>IFERROR(1/J285*(Y285/H285),"0")</f>
        <v>4.3956043956043959E-2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9">
        <v>4680115880801</v>
      </c>
      <c r="E286" s="630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4"/>
      <c r="R286" s="624"/>
      <c r="S286" s="624"/>
      <c r="T286" s="625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31"/>
      <c r="B287" s="632"/>
      <c r="C287" s="632"/>
      <c r="D287" s="632"/>
      <c r="E287" s="632"/>
      <c r="F287" s="632"/>
      <c r="G287" s="632"/>
      <c r="H287" s="632"/>
      <c r="I287" s="632"/>
      <c r="J287" s="632"/>
      <c r="K287" s="632"/>
      <c r="L287" s="632"/>
      <c r="M287" s="632"/>
      <c r="N287" s="632"/>
      <c r="O287" s="633"/>
      <c r="P287" s="636" t="s">
        <v>69</v>
      </c>
      <c r="Q287" s="637"/>
      <c r="R287" s="637"/>
      <c r="S287" s="637"/>
      <c r="T287" s="637"/>
      <c r="U287" s="637"/>
      <c r="V287" s="638"/>
      <c r="W287" s="37" t="s">
        <v>70</v>
      </c>
      <c r="X287" s="619">
        <f>IFERROR(X285/H285,"0")+IFERROR(X286/H286,"0")</f>
        <v>7.916666666666667</v>
      </c>
      <c r="Y287" s="619">
        <f>IFERROR(Y285/H285,"0")+IFERROR(Y286/H286,"0")</f>
        <v>8</v>
      </c>
      <c r="Z287" s="619">
        <f>IFERROR(IF(Z285="",0,Z285),"0")+IFERROR(IF(Z286="",0,Z286),"0")</f>
        <v>5.2080000000000001E-2</v>
      </c>
      <c r="AA287" s="620"/>
      <c r="AB287" s="620"/>
      <c r="AC287" s="620"/>
    </row>
    <row r="288" spans="1:68" x14ac:dyDescent="0.2">
      <c r="A288" s="632"/>
      <c r="B288" s="632"/>
      <c r="C288" s="632"/>
      <c r="D288" s="632"/>
      <c r="E288" s="632"/>
      <c r="F288" s="632"/>
      <c r="G288" s="632"/>
      <c r="H288" s="632"/>
      <c r="I288" s="632"/>
      <c r="J288" s="632"/>
      <c r="K288" s="632"/>
      <c r="L288" s="632"/>
      <c r="M288" s="632"/>
      <c r="N288" s="632"/>
      <c r="O288" s="633"/>
      <c r="P288" s="636" t="s">
        <v>69</v>
      </c>
      <c r="Q288" s="637"/>
      <c r="R288" s="637"/>
      <c r="S288" s="637"/>
      <c r="T288" s="637"/>
      <c r="U288" s="637"/>
      <c r="V288" s="638"/>
      <c r="W288" s="37" t="s">
        <v>67</v>
      </c>
      <c r="X288" s="619">
        <f>IFERROR(SUM(X285:X286),"0")</f>
        <v>19</v>
      </c>
      <c r="Y288" s="619">
        <f>IFERROR(SUM(Y285:Y286),"0")</f>
        <v>19.2</v>
      </c>
      <c r="Z288" s="37"/>
      <c r="AA288" s="620"/>
      <c r="AB288" s="620"/>
      <c r="AC288" s="620"/>
    </row>
    <row r="289" spans="1:68" ht="16.5" hidden="1" customHeight="1" x14ac:dyDescent="0.25">
      <c r="A289" s="654" t="s">
        <v>480</v>
      </c>
      <c r="B289" s="632"/>
      <c r="C289" s="632"/>
      <c r="D289" s="632"/>
      <c r="E289" s="632"/>
      <c r="F289" s="632"/>
      <c r="G289" s="632"/>
      <c r="H289" s="632"/>
      <c r="I289" s="632"/>
      <c r="J289" s="632"/>
      <c r="K289" s="632"/>
      <c r="L289" s="632"/>
      <c r="M289" s="632"/>
      <c r="N289" s="632"/>
      <c r="O289" s="632"/>
      <c r="P289" s="632"/>
      <c r="Q289" s="632"/>
      <c r="R289" s="632"/>
      <c r="S289" s="632"/>
      <c r="T289" s="632"/>
      <c r="U289" s="632"/>
      <c r="V289" s="632"/>
      <c r="W289" s="632"/>
      <c r="X289" s="632"/>
      <c r="Y289" s="632"/>
      <c r="Z289" s="632"/>
      <c r="AA289" s="612"/>
      <c r="AB289" s="612"/>
      <c r="AC289" s="612"/>
    </row>
    <row r="290" spans="1:68" ht="14.25" hidden="1" customHeight="1" x14ac:dyDescent="0.25">
      <c r="A290" s="635" t="s">
        <v>108</v>
      </c>
      <c r="B290" s="632"/>
      <c r="C290" s="632"/>
      <c r="D290" s="632"/>
      <c r="E290" s="632"/>
      <c r="F290" s="632"/>
      <c r="G290" s="632"/>
      <c r="H290" s="632"/>
      <c r="I290" s="632"/>
      <c r="J290" s="632"/>
      <c r="K290" s="632"/>
      <c r="L290" s="632"/>
      <c r="M290" s="632"/>
      <c r="N290" s="632"/>
      <c r="O290" s="632"/>
      <c r="P290" s="632"/>
      <c r="Q290" s="632"/>
      <c r="R290" s="632"/>
      <c r="S290" s="632"/>
      <c r="T290" s="632"/>
      <c r="U290" s="632"/>
      <c r="V290" s="632"/>
      <c r="W290" s="632"/>
      <c r="X290" s="632"/>
      <c r="Y290" s="632"/>
      <c r="Z290" s="632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9">
        <v>4680115884137</v>
      </c>
      <c r="E291" s="630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4"/>
      <c r="R291" s="624"/>
      <c r="S291" s="624"/>
      <c r="T291" s="625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9">
        <v>4680115884236</v>
      </c>
      <c r="E292" s="630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4"/>
      <c r="R292" s="624"/>
      <c r="S292" s="624"/>
      <c r="T292" s="625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9">
        <v>4680115884175</v>
      </c>
      <c r="E293" s="630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4"/>
      <c r="R293" s="624"/>
      <c r="S293" s="624"/>
      <c r="T293" s="625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9">
        <v>4680115884144</v>
      </c>
      <c r="E294" s="630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4"/>
      <c r="R294" s="624"/>
      <c r="S294" s="624"/>
      <c r="T294" s="625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9">
        <v>4680115886551</v>
      </c>
      <c r="E295" s="630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4"/>
      <c r="R295" s="624"/>
      <c r="S295" s="624"/>
      <c r="T295" s="625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9">
        <v>4680115887282</v>
      </c>
      <c r="E296" s="630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4"/>
      <c r="R296" s="624"/>
      <c r="S296" s="624"/>
      <c r="T296" s="625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9">
        <v>4680115884205</v>
      </c>
      <c r="E297" s="630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4"/>
      <c r="R297" s="624"/>
      <c r="S297" s="624"/>
      <c r="T297" s="625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1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36" t="s">
        <v>69</v>
      </c>
      <c r="Q298" s="637"/>
      <c r="R298" s="637"/>
      <c r="S298" s="637"/>
      <c r="T298" s="637"/>
      <c r="U298" s="637"/>
      <c r="V298" s="638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2"/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3"/>
      <c r="P299" s="636" t="s">
        <v>69</v>
      </c>
      <c r="Q299" s="637"/>
      <c r="R299" s="637"/>
      <c r="S299" s="637"/>
      <c r="T299" s="637"/>
      <c r="U299" s="637"/>
      <c r="V299" s="638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5" t="s">
        <v>143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9">
        <v>4680115885981</v>
      </c>
      <c r="E301" s="630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4"/>
      <c r="R301" s="624"/>
      <c r="S301" s="624"/>
      <c r="T301" s="625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1"/>
      <c r="B302" s="632"/>
      <c r="C302" s="632"/>
      <c r="D302" s="632"/>
      <c r="E302" s="632"/>
      <c r="F302" s="632"/>
      <c r="G302" s="632"/>
      <c r="H302" s="632"/>
      <c r="I302" s="632"/>
      <c r="J302" s="632"/>
      <c r="K302" s="632"/>
      <c r="L302" s="632"/>
      <c r="M302" s="632"/>
      <c r="N302" s="632"/>
      <c r="O302" s="633"/>
      <c r="P302" s="636" t="s">
        <v>69</v>
      </c>
      <c r="Q302" s="637"/>
      <c r="R302" s="637"/>
      <c r="S302" s="637"/>
      <c r="T302" s="637"/>
      <c r="U302" s="637"/>
      <c r="V302" s="638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2"/>
      <c r="B303" s="632"/>
      <c r="C303" s="632"/>
      <c r="D303" s="632"/>
      <c r="E303" s="632"/>
      <c r="F303" s="632"/>
      <c r="G303" s="632"/>
      <c r="H303" s="632"/>
      <c r="I303" s="632"/>
      <c r="J303" s="632"/>
      <c r="K303" s="632"/>
      <c r="L303" s="632"/>
      <c r="M303" s="632"/>
      <c r="N303" s="632"/>
      <c r="O303" s="633"/>
      <c r="P303" s="636" t="s">
        <v>69</v>
      </c>
      <c r="Q303" s="637"/>
      <c r="R303" s="637"/>
      <c r="S303" s="637"/>
      <c r="T303" s="637"/>
      <c r="U303" s="637"/>
      <c r="V303" s="638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5" t="s">
        <v>502</v>
      </c>
      <c r="B304" s="632"/>
      <c r="C304" s="632"/>
      <c r="D304" s="632"/>
      <c r="E304" s="632"/>
      <c r="F304" s="632"/>
      <c r="G304" s="632"/>
      <c r="H304" s="632"/>
      <c r="I304" s="632"/>
      <c r="J304" s="632"/>
      <c r="K304" s="632"/>
      <c r="L304" s="632"/>
      <c r="M304" s="632"/>
      <c r="N304" s="632"/>
      <c r="O304" s="632"/>
      <c r="P304" s="632"/>
      <c r="Q304" s="632"/>
      <c r="R304" s="632"/>
      <c r="S304" s="632"/>
      <c r="T304" s="632"/>
      <c r="U304" s="632"/>
      <c r="V304" s="632"/>
      <c r="W304" s="632"/>
      <c r="X304" s="632"/>
      <c r="Y304" s="632"/>
      <c r="Z304" s="632"/>
      <c r="AA304" s="613"/>
      <c r="AB304" s="613"/>
      <c r="AC304" s="613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29">
        <v>4680115886803</v>
      </c>
      <c r="E305" s="630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4"/>
      <c r="R305" s="624"/>
      <c r="S305" s="624"/>
      <c r="T305" s="625"/>
      <c r="U305" s="34"/>
      <c r="V305" s="34"/>
      <c r="W305" s="35" t="s">
        <v>67</v>
      </c>
      <c r="X305" s="617">
        <v>1</v>
      </c>
      <c r="Y305" s="618">
        <f>IFERROR(IF(X305="",0,CEILING((X305/$H305),1)*$H305),"")</f>
        <v>1.8</v>
      </c>
      <c r="Z305" s="36">
        <f>IFERROR(IF(Y305=0,"",ROUNDUP(Y305/H305,0)*0.0059),"")</f>
        <v>5.8999999999999999E-3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1.0972222222222223</v>
      </c>
      <c r="BN305" s="64">
        <f>IFERROR(Y305*I305/H305,"0")</f>
        <v>1.9750000000000001</v>
      </c>
      <c r="BO305" s="64">
        <f>IFERROR(1/J305*(X305/H305),"0")</f>
        <v>2.5720164609053498E-3</v>
      </c>
      <c r="BP305" s="64">
        <f>IFERROR(1/J305*(Y305/H305),"0")</f>
        <v>4.6296296296296294E-3</v>
      </c>
    </row>
    <row r="306" spans="1:68" x14ac:dyDescent="0.2">
      <c r="A306" s="631"/>
      <c r="B306" s="632"/>
      <c r="C306" s="632"/>
      <c r="D306" s="632"/>
      <c r="E306" s="632"/>
      <c r="F306" s="632"/>
      <c r="G306" s="632"/>
      <c r="H306" s="632"/>
      <c r="I306" s="632"/>
      <c r="J306" s="632"/>
      <c r="K306" s="632"/>
      <c r="L306" s="632"/>
      <c r="M306" s="632"/>
      <c r="N306" s="632"/>
      <c r="O306" s="633"/>
      <c r="P306" s="636" t="s">
        <v>69</v>
      </c>
      <c r="Q306" s="637"/>
      <c r="R306" s="637"/>
      <c r="S306" s="637"/>
      <c r="T306" s="637"/>
      <c r="U306" s="637"/>
      <c r="V306" s="638"/>
      <c r="W306" s="37" t="s">
        <v>70</v>
      </c>
      <c r="X306" s="619">
        <f>IFERROR(X305/H305,"0")</f>
        <v>0.55555555555555558</v>
      </c>
      <c r="Y306" s="619">
        <f>IFERROR(Y305/H305,"0")</f>
        <v>1</v>
      </c>
      <c r="Z306" s="619">
        <f>IFERROR(IF(Z305="",0,Z305),"0")</f>
        <v>5.8999999999999999E-3</v>
      </c>
      <c r="AA306" s="620"/>
      <c r="AB306" s="620"/>
      <c r="AC306" s="620"/>
    </row>
    <row r="307" spans="1:68" x14ac:dyDescent="0.2">
      <c r="A307" s="632"/>
      <c r="B307" s="632"/>
      <c r="C307" s="632"/>
      <c r="D307" s="632"/>
      <c r="E307" s="632"/>
      <c r="F307" s="632"/>
      <c r="G307" s="632"/>
      <c r="H307" s="632"/>
      <c r="I307" s="632"/>
      <c r="J307" s="632"/>
      <c r="K307" s="632"/>
      <c r="L307" s="632"/>
      <c r="M307" s="632"/>
      <c r="N307" s="632"/>
      <c r="O307" s="633"/>
      <c r="P307" s="636" t="s">
        <v>69</v>
      </c>
      <c r="Q307" s="637"/>
      <c r="R307" s="637"/>
      <c r="S307" s="637"/>
      <c r="T307" s="637"/>
      <c r="U307" s="637"/>
      <c r="V307" s="638"/>
      <c r="W307" s="37" t="s">
        <v>67</v>
      </c>
      <c r="X307" s="619">
        <f>IFERROR(SUM(X305:X305),"0")</f>
        <v>1</v>
      </c>
      <c r="Y307" s="619">
        <f>IFERROR(SUM(Y305:Y305),"0")</f>
        <v>1.8</v>
      </c>
      <c r="Z307" s="37"/>
      <c r="AA307" s="620"/>
      <c r="AB307" s="620"/>
      <c r="AC307" s="620"/>
    </row>
    <row r="308" spans="1:68" ht="14.25" hidden="1" customHeight="1" x14ac:dyDescent="0.25">
      <c r="A308" s="635" t="s">
        <v>323</v>
      </c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2"/>
      <c r="P308" s="632"/>
      <c r="Q308" s="632"/>
      <c r="R308" s="632"/>
      <c r="S308" s="632"/>
      <c r="T308" s="632"/>
      <c r="U308" s="632"/>
      <c r="V308" s="632"/>
      <c r="W308" s="632"/>
      <c r="X308" s="632"/>
      <c r="Y308" s="632"/>
      <c r="Z308" s="632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9">
        <v>4680115886681</v>
      </c>
      <c r="E309" s="630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4"/>
      <c r="R309" s="624"/>
      <c r="S309" s="624"/>
      <c r="T309" s="625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9">
        <v>4680115886735</v>
      </c>
      <c r="E310" s="630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4"/>
      <c r="R310" s="624"/>
      <c r="S310" s="624"/>
      <c r="T310" s="625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1"/>
      <c r="B311" s="632"/>
      <c r="C311" s="632"/>
      <c r="D311" s="632"/>
      <c r="E311" s="632"/>
      <c r="F311" s="632"/>
      <c r="G311" s="632"/>
      <c r="H311" s="632"/>
      <c r="I311" s="632"/>
      <c r="J311" s="632"/>
      <c r="K311" s="632"/>
      <c r="L311" s="632"/>
      <c r="M311" s="632"/>
      <c r="N311" s="632"/>
      <c r="O311" s="633"/>
      <c r="P311" s="636" t="s">
        <v>69</v>
      </c>
      <c r="Q311" s="637"/>
      <c r="R311" s="637"/>
      <c r="S311" s="637"/>
      <c r="T311" s="637"/>
      <c r="U311" s="637"/>
      <c r="V311" s="638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2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36" t="s">
        <v>69</v>
      </c>
      <c r="Q312" s="637"/>
      <c r="R312" s="637"/>
      <c r="S312" s="637"/>
      <c r="T312" s="637"/>
      <c r="U312" s="637"/>
      <c r="V312" s="638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54" t="s">
        <v>511</v>
      </c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2"/>
      <c r="P313" s="632"/>
      <c r="Q313" s="632"/>
      <c r="R313" s="632"/>
      <c r="S313" s="632"/>
      <c r="T313" s="632"/>
      <c r="U313" s="632"/>
      <c r="V313" s="632"/>
      <c r="W313" s="632"/>
      <c r="X313" s="632"/>
      <c r="Y313" s="632"/>
      <c r="Z313" s="632"/>
      <c r="AA313" s="612"/>
      <c r="AB313" s="612"/>
      <c r="AC313" s="612"/>
    </row>
    <row r="314" spans="1:68" ht="14.25" hidden="1" customHeight="1" x14ac:dyDescent="0.25">
      <c r="A314" s="635" t="s">
        <v>108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9">
        <v>4680115885837</v>
      </c>
      <c r="E315" s="630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4"/>
      <c r="R315" s="624"/>
      <c r="S315" s="624"/>
      <c r="T315" s="625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9">
        <v>4680115889637</v>
      </c>
      <c r="E316" s="630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7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4"/>
      <c r="R316" s="624"/>
      <c r="S316" s="624"/>
      <c r="T316" s="625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9">
        <v>4680115887237</v>
      </c>
      <c r="E317" s="630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4"/>
      <c r="R317" s="624"/>
      <c r="S317" s="624"/>
      <c r="T317" s="625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9">
        <v>4680115885806</v>
      </c>
      <c r="E318" s="630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4"/>
      <c r="R318" s="624"/>
      <c r="S318" s="624"/>
      <c r="T318" s="625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9">
        <v>4680115885844</v>
      </c>
      <c r="E319" s="630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4"/>
      <c r="R319" s="624"/>
      <c r="S319" s="624"/>
      <c r="T319" s="625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9">
        <v>4680115885820</v>
      </c>
      <c r="E320" s="630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4"/>
      <c r="R320" s="624"/>
      <c r="S320" s="624"/>
      <c r="T320" s="625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1"/>
      <c r="B321" s="632"/>
      <c r="C321" s="632"/>
      <c r="D321" s="632"/>
      <c r="E321" s="632"/>
      <c r="F321" s="632"/>
      <c r="G321" s="632"/>
      <c r="H321" s="632"/>
      <c r="I321" s="632"/>
      <c r="J321" s="632"/>
      <c r="K321" s="632"/>
      <c r="L321" s="632"/>
      <c r="M321" s="632"/>
      <c r="N321" s="632"/>
      <c r="O321" s="633"/>
      <c r="P321" s="636" t="s">
        <v>69</v>
      </c>
      <c r="Q321" s="637"/>
      <c r="R321" s="637"/>
      <c r="S321" s="637"/>
      <c r="T321" s="637"/>
      <c r="U321" s="637"/>
      <c r="V321" s="638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2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36" t="s">
        <v>69</v>
      </c>
      <c r="Q322" s="637"/>
      <c r="R322" s="637"/>
      <c r="S322" s="637"/>
      <c r="T322" s="637"/>
      <c r="U322" s="637"/>
      <c r="V322" s="638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54" t="s">
        <v>530</v>
      </c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2"/>
      <c r="P323" s="632"/>
      <c r="Q323" s="632"/>
      <c r="R323" s="632"/>
      <c r="S323" s="632"/>
      <c r="T323" s="632"/>
      <c r="U323" s="632"/>
      <c r="V323" s="632"/>
      <c r="W323" s="632"/>
      <c r="X323" s="632"/>
      <c r="Y323" s="632"/>
      <c r="Z323" s="632"/>
      <c r="AA323" s="612"/>
      <c r="AB323" s="612"/>
      <c r="AC323" s="612"/>
    </row>
    <row r="324" spans="1:68" ht="14.25" hidden="1" customHeight="1" x14ac:dyDescent="0.25">
      <c r="A324" s="635" t="s">
        <v>71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9">
        <v>4680115886186</v>
      </c>
      <c r="E325" s="630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4"/>
      <c r="R325" s="624"/>
      <c r="S325" s="624"/>
      <c r="T325" s="625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29">
        <v>4680115881228</v>
      </c>
      <c r="E326" s="630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4"/>
      <c r="R326" s="624"/>
      <c r="S326" s="624"/>
      <c r="T326" s="625"/>
      <c r="U326" s="34"/>
      <c r="V326" s="34"/>
      <c r="W326" s="35" t="s">
        <v>67</v>
      </c>
      <c r="X326" s="617">
        <v>82</v>
      </c>
      <c r="Y326" s="618">
        <f>IFERROR(IF(X326="",0,CEILING((X326/$H326),1)*$H326),"")</f>
        <v>84</v>
      </c>
      <c r="Z326" s="36">
        <f>IFERROR(IF(Y326=0,"",ROUNDUP(Y326/H326,0)*0.00651),"")</f>
        <v>0.22785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90.61</v>
      </c>
      <c r="BN326" s="64">
        <f>IFERROR(Y326*I326/H326,"0")</f>
        <v>92.820000000000007</v>
      </c>
      <c r="BO326" s="64">
        <f>IFERROR(1/J326*(X326/H326),"0")</f>
        <v>0.18772893772893776</v>
      </c>
      <c r="BP326" s="64">
        <f>IFERROR(1/J326*(Y326/H326),"0")</f>
        <v>0.19230769230769232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29">
        <v>4680115881211</v>
      </c>
      <c r="E327" s="630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4"/>
      <c r="R327" s="624"/>
      <c r="S327" s="624"/>
      <c r="T327" s="625"/>
      <c r="U327" s="34"/>
      <c r="V327" s="34"/>
      <c r="W327" s="35" t="s">
        <v>67</v>
      </c>
      <c r="X327" s="617">
        <v>183</v>
      </c>
      <c r="Y327" s="618">
        <f>IFERROR(IF(X327="",0,CEILING((X327/$H327),1)*$H327),"")</f>
        <v>184.79999999999998</v>
      </c>
      <c r="Z327" s="36">
        <f>IFERROR(IF(Y327=0,"",ROUNDUP(Y327/H327,0)*0.00651),"")</f>
        <v>0.50126999999999999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196.72499999999999</v>
      </c>
      <c r="BN327" s="64">
        <f>IFERROR(Y327*I327/H327,"0")</f>
        <v>198.66</v>
      </c>
      <c r="BO327" s="64">
        <f>IFERROR(1/J327*(X327/H327),"0")</f>
        <v>0.41895604395604397</v>
      </c>
      <c r="BP327" s="64">
        <f>IFERROR(1/J327*(Y327/H327),"0")</f>
        <v>0.42307692307692313</v>
      </c>
    </row>
    <row r="328" spans="1:68" x14ac:dyDescent="0.2">
      <c r="A328" s="631"/>
      <c r="B328" s="632"/>
      <c r="C328" s="632"/>
      <c r="D328" s="632"/>
      <c r="E328" s="632"/>
      <c r="F328" s="632"/>
      <c r="G328" s="632"/>
      <c r="H328" s="632"/>
      <c r="I328" s="632"/>
      <c r="J328" s="632"/>
      <c r="K328" s="632"/>
      <c r="L328" s="632"/>
      <c r="M328" s="632"/>
      <c r="N328" s="632"/>
      <c r="O328" s="633"/>
      <c r="P328" s="636" t="s">
        <v>69</v>
      </c>
      <c r="Q328" s="637"/>
      <c r="R328" s="637"/>
      <c r="S328" s="637"/>
      <c r="T328" s="637"/>
      <c r="U328" s="637"/>
      <c r="V328" s="638"/>
      <c r="W328" s="37" t="s">
        <v>70</v>
      </c>
      <c r="X328" s="619">
        <f>IFERROR(X325/H325,"0")+IFERROR(X326/H326,"0")+IFERROR(X327/H327,"0")</f>
        <v>110.41666666666667</v>
      </c>
      <c r="Y328" s="619">
        <f>IFERROR(Y325/H325,"0")+IFERROR(Y326/H326,"0")+IFERROR(Y327/H327,"0")</f>
        <v>112</v>
      </c>
      <c r="Z328" s="619">
        <f>IFERROR(IF(Z325="",0,Z325),"0")+IFERROR(IF(Z326="",0,Z326),"0")+IFERROR(IF(Z327="",0,Z327),"0")</f>
        <v>0.72911999999999999</v>
      </c>
      <c r="AA328" s="620"/>
      <c r="AB328" s="620"/>
      <c r="AC328" s="620"/>
    </row>
    <row r="329" spans="1:68" x14ac:dyDescent="0.2">
      <c r="A329" s="632"/>
      <c r="B329" s="632"/>
      <c r="C329" s="632"/>
      <c r="D329" s="632"/>
      <c r="E329" s="632"/>
      <c r="F329" s="632"/>
      <c r="G329" s="632"/>
      <c r="H329" s="632"/>
      <c r="I329" s="632"/>
      <c r="J329" s="632"/>
      <c r="K329" s="632"/>
      <c r="L329" s="632"/>
      <c r="M329" s="632"/>
      <c r="N329" s="632"/>
      <c r="O329" s="633"/>
      <c r="P329" s="636" t="s">
        <v>69</v>
      </c>
      <c r="Q329" s="637"/>
      <c r="R329" s="637"/>
      <c r="S329" s="637"/>
      <c r="T329" s="637"/>
      <c r="U329" s="637"/>
      <c r="V329" s="638"/>
      <c r="W329" s="37" t="s">
        <v>67</v>
      </c>
      <c r="X329" s="619">
        <f>IFERROR(SUM(X325:X327),"0")</f>
        <v>265</v>
      </c>
      <c r="Y329" s="619">
        <f>IFERROR(SUM(Y325:Y327),"0")</f>
        <v>268.79999999999995</v>
      </c>
      <c r="Z329" s="37"/>
      <c r="AA329" s="620"/>
      <c r="AB329" s="620"/>
      <c r="AC329" s="620"/>
    </row>
    <row r="330" spans="1:68" ht="16.5" hidden="1" customHeight="1" x14ac:dyDescent="0.25">
      <c r="A330" s="654" t="s">
        <v>539</v>
      </c>
      <c r="B330" s="632"/>
      <c r="C330" s="632"/>
      <c r="D330" s="632"/>
      <c r="E330" s="632"/>
      <c r="F330" s="632"/>
      <c r="G330" s="632"/>
      <c r="H330" s="632"/>
      <c r="I330" s="632"/>
      <c r="J330" s="632"/>
      <c r="K330" s="632"/>
      <c r="L330" s="632"/>
      <c r="M330" s="632"/>
      <c r="N330" s="632"/>
      <c r="O330" s="632"/>
      <c r="P330" s="632"/>
      <c r="Q330" s="632"/>
      <c r="R330" s="632"/>
      <c r="S330" s="632"/>
      <c r="T330" s="632"/>
      <c r="U330" s="632"/>
      <c r="V330" s="632"/>
      <c r="W330" s="632"/>
      <c r="X330" s="632"/>
      <c r="Y330" s="632"/>
      <c r="Z330" s="632"/>
      <c r="AA330" s="612"/>
      <c r="AB330" s="612"/>
      <c r="AC330" s="612"/>
    </row>
    <row r="331" spans="1:68" ht="14.25" hidden="1" customHeight="1" x14ac:dyDescent="0.25">
      <c r="A331" s="635" t="s">
        <v>62</v>
      </c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2"/>
      <c r="P331" s="632"/>
      <c r="Q331" s="632"/>
      <c r="R331" s="632"/>
      <c r="S331" s="632"/>
      <c r="T331" s="632"/>
      <c r="U331" s="632"/>
      <c r="V331" s="632"/>
      <c r="W331" s="632"/>
      <c r="X331" s="632"/>
      <c r="Y331" s="632"/>
      <c r="Z331" s="632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9">
        <v>4680115888319</v>
      </c>
      <c r="E332" s="630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4"/>
      <c r="R332" s="624"/>
      <c r="S332" s="624"/>
      <c r="T332" s="625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9">
        <v>4680115884700</v>
      </c>
      <c r="E333" s="630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4"/>
      <c r="R333" s="624"/>
      <c r="S333" s="624"/>
      <c r="T333" s="625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9">
        <v>4680115880344</v>
      </c>
      <c r="E334" s="630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4"/>
      <c r="R334" s="624"/>
      <c r="S334" s="624"/>
      <c r="T334" s="625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9">
        <v>4680115886919</v>
      </c>
      <c r="E335" s="630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4"/>
      <c r="R335" s="624"/>
      <c r="S335" s="624"/>
      <c r="T335" s="625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1"/>
      <c r="B336" s="632"/>
      <c r="C336" s="632"/>
      <c r="D336" s="632"/>
      <c r="E336" s="632"/>
      <c r="F336" s="632"/>
      <c r="G336" s="632"/>
      <c r="H336" s="632"/>
      <c r="I336" s="632"/>
      <c r="J336" s="632"/>
      <c r="K336" s="632"/>
      <c r="L336" s="632"/>
      <c r="M336" s="632"/>
      <c r="N336" s="632"/>
      <c r="O336" s="633"/>
      <c r="P336" s="636" t="s">
        <v>69</v>
      </c>
      <c r="Q336" s="637"/>
      <c r="R336" s="637"/>
      <c r="S336" s="637"/>
      <c r="T336" s="637"/>
      <c r="U336" s="637"/>
      <c r="V336" s="638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2"/>
      <c r="B337" s="632"/>
      <c r="C337" s="632"/>
      <c r="D337" s="632"/>
      <c r="E337" s="632"/>
      <c r="F337" s="632"/>
      <c r="G337" s="632"/>
      <c r="H337" s="632"/>
      <c r="I337" s="632"/>
      <c r="J337" s="632"/>
      <c r="K337" s="632"/>
      <c r="L337" s="632"/>
      <c r="M337" s="632"/>
      <c r="N337" s="632"/>
      <c r="O337" s="633"/>
      <c r="P337" s="636" t="s">
        <v>69</v>
      </c>
      <c r="Q337" s="637"/>
      <c r="R337" s="637"/>
      <c r="S337" s="637"/>
      <c r="T337" s="637"/>
      <c r="U337" s="637"/>
      <c r="V337" s="638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5" t="s">
        <v>71</v>
      </c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2"/>
      <c r="P338" s="632"/>
      <c r="Q338" s="632"/>
      <c r="R338" s="632"/>
      <c r="S338" s="632"/>
      <c r="T338" s="632"/>
      <c r="U338" s="632"/>
      <c r="V338" s="632"/>
      <c r="W338" s="632"/>
      <c r="X338" s="632"/>
      <c r="Y338" s="632"/>
      <c r="Z338" s="632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9">
        <v>4680115884618</v>
      </c>
      <c r="E339" s="630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4"/>
      <c r="R339" s="624"/>
      <c r="S339" s="624"/>
      <c r="T339" s="625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9">
        <v>4680115887114</v>
      </c>
      <c r="E340" s="630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4"/>
      <c r="R340" s="624"/>
      <c r="S340" s="624"/>
      <c r="T340" s="625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9">
        <v>4680115887466</v>
      </c>
      <c r="E341" s="630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87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4"/>
      <c r="R341" s="624"/>
      <c r="S341" s="624"/>
      <c r="T341" s="625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1"/>
      <c r="B342" s="632"/>
      <c r="C342" s="632"/>
      <c r="D342" s="632"/>
      <c r="E342" s="632"/>
      <c r="F342" s="632"/>
      <c r="G342" s="632"/>
      <c r="H342" s="632"/>
      <c r="I342" s="632"/>
      <c r="J342" s="632"/>
      <c r="K342" s="632"/>
      <c r="L342" s="632"/>
      <c r="M342" s="632"/>
      <c r="N342" s="632"/>
      <c r="O342" s="633"/>
      <c r="P342" s="636" t="s">
        <v>69</v>
      </c>
      <c r="Q342" s="637"/>
      <c r="R342" s="637"/>
      <c r="S342" s="637"/>
      <c r="T342" s="637"/>
      <c r="U342" s="637"/>
      <c r="V342" s="638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2"/>
      <c r="B343" s="632"/>
      <c r="C343" s="632"/>
      <c r="D343" s="632"/>
      <c r="E343" s="632"/>
      <c r="F343" s="632"/>
      <c r="G343" s="632"/>
      <c r="H343" s="632"/>
      <c r="I343" s="632"/>
      <c r="J343" s="632"/>
      <c r="K343" s="632"/>
      <c r="L343" s="632"/>
      <c r="M343" s="632"/>
      <c r="N343" s="632"/>
      <c r="O343" s="633"/>
      <c r="P343" s="636" t="s">
        <v>69</v>
      </c>
      <c r="Q343" s="637"/>
      <c r="R343" s="637"/>
      <c r="S343" s="637"/>
      <c r="T343" s="637"/>
      <c r="U343" s="637"/>
      <c r="V343" s="638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54" t="s">
        <v>561</v>
      </c>
      <c r="B344" s="632"/>
      <c r="C344" s="632"/>
      <c r="D344" s="632"/>
      <c r="E344" s="632"/>
      <c r="F344" s="632"/>
      <c r="G344" s="632"/>
      <c r="H344" s="632"/>
      <c r="I344" s="632"/>
      <c r="J344" s="632"/>
      <c r="K344" s="632"/>
      <c r="L344" s="632"/>
      <c r="M344" s="632"/>
      <c r="N344" s="632"/>
      <c r="O344" s="632"/>
      <c r="P344" s="632"/>
      <c r="Q344" s="632"/>
      <c r="R344" s="632"/>
      <c r="S344" s="632"/>
      <c r="T344" s="632"/>
      <c r="U344" s="632"/>
      <c r="V344" s="632"/>
      <c r="W344" s="632"/>
      <c r="X344" s="632"/>
      <c r="Y344" s="632"/>
      <c r="Z344" s="632"/>
      <c r="AA344" s="612"/>
      <c r="AB344" s="612"/>
      <c r="AC344" s="612"/>
    </row>
    <row r="345" spans="1:68" ht="14.25" hidden="1" customHeight="1" x14ac:dyDescent="0.25">
      <c r="A345" s="635" t="s">
        <v>108</v>
      </c>
      <c r="B345" s="632"/>
      <c r="C345" s="632"/>
      <c r="D345" s="632"/>
      <c r="E345" s="632"/>
      <c r="F345" s="632"/>
      <c r="G345" s="632"/>
      <c r="H345" s="632"/>
      <c r="I345" s="632"/>
      <c r="J345" s="632"/>
      <c r="K345" s="632"/>
      <c r="L345" s="632"/>
      <c r="M345" s="632"/>
      <c r="N345" s="632"/>
      <c r="O345" s="632"/>
      <c r="P345" s="632"/>
      <c r="Q345" s="632"/>
      <c r="R345" s="632"/>
      <c r="S345" s="632"/>
      <c r="T345" s="632"/>
      <c r="U345" s="632"/>
      <c r="V345" s="632"/>
      <c r="W345" s="632"/>
      <c r="X345" s="632"/>
      <c r="Y345" s="632"/>
      <c r="Z345" s="632"/>
      <c r="AA345" s="613"/>
      <c r="AB345" s="613"/>
      <c r="AC345" s="613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29">
        <v>4680115887947</v>
      </c>
      <c r="E346" s="630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4"/>
      <c r="R346" s="624"/>
      <c r="S346" s="624"/>
      <c r="T346" s="625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9">
        <v>4680115887978</v>
      </c>
      <c r="E347" s="630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4"/>
      <c r="R347" s="624"/>
      <c r="S347" s="624"/>
      <c r="T347" s="625"/>
      <c r="U347" s="34"/>
      <c r="V347" s="34"/>
      <c r="W347" s="35" t="s">
        <v>67</v>
      </c>
      <c r="X347" s="617">
        <v>387</v>
      </c>
      <c r="Y347" s="618">
        <f>IFERROR(IF(X347="",0,CEILING((X347/$H347),1)*$H347),"")</f>
        <v>390</v>
      </c>
      <c r="Z347" s="36">
        <f>IFERROR(IF(Y347=0,"",ROUNDUP(Y347/H347,0)*0.01898),"")</f>
        <v>0.94900000000000007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407.34230769230777</v>
      </c>
      <c r="BN347" s="64">
        <f>IFERROR(Y347*I347/H347,"0")</f>
        <v>410.50000000000006</v>
      </c>
      <c r="BO347" s="64">
        <f>IFERROR(1/J347*(X347/H347),"0")</f>
        <v>0.77524038461538458</v>
      </c>
      <c r="BP347" s="64">
        <f>IFERROR(1/J347*(Y347/H347),"0")</f>
        <v>0.78125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29">
        <v>4680115887992</v>
      </c>
      <c r="E348" s="630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4"/>
      <c r="R348" s="624"/>
      <c r="S348" s="624"/>
      <c r="T348" s="625"/>
      <c r="U348" s="34"/>
      <c r="V348" s="34"/>
      <c r="W348" s="35" t="s">
        <v>67</v>
      </c>
      <c r="X348" s="617">
        <v>78</v>
      </c>
      <c r="Y348" s="618">
        <f>IFERROR(IF(X348="",0,CEILING((X348/$H348),1)*$H348),"")</f>
        <v>78</v>
      </c>
      <c r="Z348" s="36">
        <f>IFERROR(IF(Y348=0,"",ROUNDUP(Y348/H348,0)*0.01898),"")</f>
        <v>0.1898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82.100000000000023</v>
      </c>
      <c r="BN348" s="64">
        <f>IFERROR(Y348*I348/H348,"0")</f>
        <v>82.100000000000023</v>
      </c>
      <c r="BO348" s="64">
        <f>IFERROR(1/J348*(X348/H348),"0")</f>
        <v>0.15625</v>
      </c>
      <c r="BP348" s="64">
        <f>IFERROR(1/J348*(Y348/H348),"0")</f>
        <v>0.15625</v>
      </c>
    </row>
    <row r="349" spans="1:68" x14ac:dyDescent="0.2">
      <c r="A349" s="631"/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3"/>
      <c r="P349" s="636" t="s">
        <v>69</v>
      </c>
      <c r="Q349" s="637"/>
      <c r="R349" s="637"/>
      <c r="S349" s="637"/>
      <c r="T349" s="637"/>
      <c r="U349" s="637"/>
      <c r="V349" s="638"/>
      <c r="W349" s="37" t="s">
        <v>70</v>
      </c>
      <c r="X349" s="619">
        <f>IFERROR(X346/H346,"0")+IFERROR(X347/H347,"0")+IFERROR(X348/H348,"0")</f>
        <v>59.615384615384613</v>
      </c>
      <c r="Y349" s="619">
        <f>IFERROR(Y346/H346,"0")+IFERROR(Y347/H347,"0")+IFERROR(Y348/H348,"0")</f>
        <v>60</v>
      </c>
      <c r="Z349" s="619">
        <f>IFERROR(IF(Z346="",0,Z346),"0")+IFERROR(IF(Z347="",0,Z347),"0")+IFERROR(IF(Z348="",0,Z348),"0")</f>
        <v>1.1388</v>
      </c>
      <c r="AA349" s="620"/>
      <c r="AB349" s="620"/>
      <c r="AC349" s="620"/>
    </row>
    <row r="350" spans="1:68" x14ac:dyDescent="0.2">
      <c r="A350" s="632"/>
      <c r="B350" s="632"/>
      <c r="C350" s="632"/>
      <c r="D350" s="632"/>
      <c r="E350" s="632"/>
      <c r="F350" s="632"/>
      <c r="G350" s="632"/>
      <c r="H350" s="632"/>
      <c r="I350" s="632"/>
      <c r="J350" s="632"/>
      <c r="K350" s="632"/>
      <c r="L350" s="632"/>
      <c r="M350" s="632"/>
      <c r="N350" s="632"/>
      <c r="O350" s="633"/>
      <c r="P350" s="636" t="s">
        <v>69</v>
      </c>
      <c r="Q350" s="637"/>
      <c r="R350" s="637"/>
      <c r="S350" s="637"/>
      <c r="T350" s="637"/>
      <c r="U350" s="637"/>
      <c r="V350" s="638"/>
      <c r="W350" s="37" t="s">
        <v>67</v>
      </c>
      <c r="X350" s="619">
        <f>IFERROR(SUM(X346:X348),"0")</f>
        <v>465</v>
      </c>
      <c r="Y350" s="619">
        <f>IFERROR(SUM(Y346:Y348),"0")</f>
        <v>468</v>
      </c>
      <c r="Z350" s="37"/>
      <c r="AA350" s="620"/>
      <c r="AB350" s="620"/>
      <c r="AC350" s="620"/>
    </row>
    <row r="351" spans="1:68" ht="16.5" hidden="1" customHeight="1" x14ac:dyDescent="0.25">
      <c r="A351" s="654" t="s">
        <v>570</v>
      </c>
      <c r="B351" s="632"/>
      <c r="C351" s="632"/>
      <c r="D351" s="632"/>
      <c r="E351" s="632"/>
      <c r="F351" s="632"/>
      <c r="G351" s="632"/>
      <c r="H351" s="632"/>
      <c r="I351" s="632"/>
      <c r="J351" s="632"/>
      <c r="K351" s="632"/>
      <c r="L351" s="632"/>
      <c r="M351" s="632"/>
      <c r="N351" s="632"/>
      <c r="O351" s="632"/>
      <c r="P351" s="632"/>
      <c r="Q351" s="632"/>
      <c r="R351" s="632"/>
      <c r="S351" s="632"/>
      <c r="T351" s="632"/>
      <c r="U351" s="632"/>
      <c r="V351" s="632"/>
      <c r="W351" s="632"/>
      <c r="X351" s="632"/>
      <c r="Y351" s="632"/>
      <c r="Z351" s="632"/>
      <c r="AA351" s="612"/>
      <c r="AB351" s="612"/>
      <c r="AC351" s="612"/>
    </row>
    <row r="352" spans="1:68" ht="14.25" hidden="1" customHeight="1" x14ac:dyDescent="0.25">
      <c r="A352" s="635" t="s">
        <v>108</v>
      </c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2"/>
      <c r="P352" s="632"/>
      <c r="Q352" s="632"/>
      <c r="R352" s="632"/>
      <c r="S352" s="632"/>
      <c r="T352" s="632"/>
      <c r="U352" s="632"/>
      <c r="V352" s="632"/>
      <c r="W352" s="632"/>
      <c r="X352" s="632"/>
      <c r="Y352" s="632"/>
      <c r="Z352" s="632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9">
        <v>4680115889293</v>
      </c>
      <c r="E353" s="630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4"/>
      <c r="R353" s="624"/>
      <c r="S353" s="624"/>
      <c r="T353" s="625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9">
        <v>4680115887190</v>
      </c>
      <c r="E354" s="630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4"/>
      <c r="R354" s="624"/>
      <c r="S354" s="624"/>
      <c r="T354" s="625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9">
        <v>4680115889880</v>
      </c>
      <c r="E355" s="630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4"/>
      <c r="R355" s="624"/>
      <c r="S355" s="624"/>
      <c r="T355" s="625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customHeight="1" x14ac:dyDescent="0.25">
      <c r="A356" s="54" t="s">
        <v>579</v>
      </c>
      <c r="B356" s="54" t="s">
        <v>580</v>
      </c>
      <c r="C356" s="31">
        <v>4301012233</v>
      </c>
      <c r="D356" s="629">
        <v>4680115887138</v>
      </c>
      <c r="E356" s="630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4"/>
      <c r="R356" s="624"/>
      <c r="S356" s="624"/>
      <c r="T356" s="625"/>
      <c r="U356" s="34"/>
      <c r="V356" s="34"/>
      <c r="W356" s="35" t="s">
        <v>67</v>
      </c>
      <c r="X356" s="617">
        <v>8</v>
      </c>
      <c r="Y356" s="618">
        <f t="shared" si="51"/>
        <v>10.8</v>
      </c>
      <c r="Z356" s="36">
        <f>IFERROR(IF(Y356=0,"",ROUNDUP(Y356/H356,0)*0.01898),"")</f>
        <v>1.898E-2</v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8.3037037037037038</v>
      </c>
      <c r="BN356" s="64">
        <f t="shared" si="53"/>
        <v>11.21</v>
      </c>
      <c r="BO356" s="64">
        <f t="shared" si="54"/>
        <v>1.1574074074074073E-2</v>
      </c>
      <c r="BP356" s="64">
        <f t="shared" si="55"/>
        <v>1.5625E-2</v>
      </c>
    </row>
    <row r="357" spans="1:68" ht="27" customHeight="1" x14ac:dyDescent="0.25">
      <c r="A357" s="54" t="s">
        <v>582</v>
      </c>
      <c r="B357" s="54" t="s">
        <v>583</v>
      </c>
      <c r="C357" s="31">
        <v>4301012016</v>
      </c>
      <c r="D357" s="629">
        <v>4680115885554</v>
      </c>
      <c r="E357" s="630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4"/>
      <c r="R357" s="624"/>
      <c r="S357" s="624"/>
      <c r="T357" s="625"/>
      <c r="U357" s="34"/>
      <c r="V357" s="34"/>
      <c r="W357" s="35" t="s">
        <v>67</v>
      </c>
      <c r="X357" s="617">
        <v>14</v>
      </c>
      <c r="Y357" s="618">
        <f t="shared" si="51"/>
        <v>21.6</v>
      </c>
      <c r="Z357" s="36">
        <f>IFERROR(IF(Y357=0,"",ROUNDUP(Y357/H357,0)*0.01898),"")</f>
        <v>3.7960000000000001E-2</v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14.53148148148148</v>
      </c>
      <c r="BN357" s="64">
        <f t="shared" si="53"/>
        <v>22.42</v>
      </c>
      <c r="BO357" s="64">
        <f t="shared" si="54"/>
        <v>2.0254629629629629E-2</v>
      </c>
      <c r="BP357" s="64">
        <f t="shared" si="55"/>
        <v>3.125E-2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9">
        <v>4680115887220</v>
      </c>
      <c r="E358" s="630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4"/>
      <c r="R358" s="624"/>
      <c r="S358" s="624"/>
      <c r="T358" s="625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9">
        <v>4680115885608</v>
      </c>
      <c r="E359" s="630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4"/>
      <c r="R359" s="624"/>
      <c r="S359" s="624"/>
      <c r="T359" s="625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x14ac:dyDescent="0.2">
      <c r="A360" s="631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36" t="s">
        <v>69</v>
      </c>
      <c r="Q360" s="637"/>
      <c r="R360" s="637"/>
      <c r="S360" s="637"/>
      <c r="T360" s="637"/>
      <c r="U360" s="637"/>
      <c r="V360" s="638"/>
      <c r="W360" s="37" t="s">
        <v>70</v>
      </c>
      <c r="X360" s="619">
        <f>IFERROR(X353/H353,"0")+IFERROR(X354/H354,"0")+IFERROR(X355/H355,"0")+IFERROR(X356/H356,"0")+IFERROR(X357/H357,"0")+IFERROR(X358/H358,"0")+IFERROR(X359/H359,"0")</f>
        <v>2.0370370370370372</v>
      </c>
      <c r="Y360" s="619">
        <f>IFERROR(Y353/H353,"0")+IFERROR(Y354/H354,"0")+IFERROR(Y355/H355,"0")+IFERROR(Y356/H356,"0")+IFERROR(Y357/H357,"0")+IFERROR(Y358/H358,"0")+IFERROR(Y359/H359,"0")</f>
        <v>3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5.6940000000000004E-2</v>
      </c>
      <c r="AA360" s="620"/>
      <c r="AB360" s="620"/>
      <c r="AC360" s="620"/>
    </row>
    <row r="361" spans="1:68" x14ac:dyDescent="0.2">
      <c r="A361" s="632"/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3"/>
      <c r="P361" s="636" t="s">
        <v>69</v>
      </c>
      <c r="Q361" s="637"/>
      <c r="R361" s="637"/>
      <c r="S361" s="637"/>
      <c r="T361" s="637"/>
      <c r="U361" s="637"/>
      <c r="V361" s="638"/>
      <c r="W361" s="37" t="s">
        <v>67</v>
      </c>
      <c r="X361" s="619">
        <f>IFERROR(SUM(X353:X359),"0")</f>
        <v>22</v>
      </c>
      <c r="Y361" s="619">
        <f>IFERROR(SUM(Y353:Y359),"0")</f>
        <v>32.400000000000006</v>
      </c>
      <c r="Z361" s="37"/>
      <c r="AA361" s="620"/>
      <c r="AB361" s="620"/>
      <c r="AC361" s="620"/>
    </row>
    <row r="362" spans="1:68" ht="14.25" hidden="1" customHeight="1" x14ac:dyDescent="0.25">
      <c r="A362" s="635" t="s">
        <v>62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9">
        <v>4607091387193</v>
      </c>
      <c r="E363" s="630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4"/>
      <c r="R363" s="624"/>
      <c r="S363" s="624"/>
      <c r="T363" s="625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9">
        <v>4607091387230</v>
      </c>
      <c r="E364" s="630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4"/>
      <c r="R364" s="624"/>
      <c r="S364" s="624"/>
      <c r="T364" s="625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9">
        <v>4607091387292</v>
      </c>
      <c r="E365" s="630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4"/>
      <c r="R365" s="624"/>
      <c r="S365" s="624"/>
      <c r="T365" s="625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9">
        <v>4607091387285</v>
      </c>
      <c r="E366" s="630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4"/>
      <c r="R366" s="624"/>
      <c r="S366" s="624"/>
      <c r="T366" s="625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9">
        <v>4607091389845</v>
      </c>
      <c r="E367" s="630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4"/>
      <c r="R367" s="624"/>
      <c r="S367" s="624"/>
      <c r="T367" s="625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9">
        <v>4680115887442</v>
      </c>
      <c r="E368" s="630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4"/>
      <c r="R368" s="624"/>
      <c r="S368" s="624"/>
      <c r="T368" s="625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29">
        <v>4607091383836</v>
      </c>
      <c r="E369" s="630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4"/>
      <c r="R369" s="624"/>
      <c r="S369" s="624"/>
      <c r="T369" s="625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1"/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3"/>
      <c r="P370" s="636" t="s">
        <v>69</v>
      </c>
      <c r="Q370" s="637"/>
      <c r="R370" s="637"/>
      <c r="S370" s="637"/>
      <c r="T370" s="637"/>
      <c r="U370" s="637"/>
      <c r="V370" s="638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2"/>
      <c r="B371" s="632"/>
      <c r="C371" s="632"/>
      <c r="D371" s="632"/>
      <c r="E371" s="632"/>
      <c r="F371" s="632"/>
      <c r="G371" s="632"/>
      <c r="H371" s="632"/>
      <c r="I371" s="632"/>
      <c r="J371" s="632"/>
      <c r="K371" s="632"/>
      <c r="L371" s="632"/>
      <c r="M371" s="632"/>
      <c r="N371" s="632"/>
      <c r="O371" s="633"/>
      <c r="P371" s="636" t="s">
        <v>69</v>
      </c>
      <c r="Q371" s="637"/>
      <c r="R371" s="637"/>
      <c r="S371" s="637"/>
      <c r="T371" s="637"/>
      <c r="U371" s="637"/>
      <c r="V371" s="638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5" t="s">
        <v>71</v>
      </c>
      <c r="B372" s="632"/>
      <c r="C372" s="632"/>
      <c r="D372" s="632"/>
      <c r="E372" s="632"/>
      <c r="F372" s="632"/>
      <c r="G372" s="632"/>
      <c r="H372" s="632"/>
      <c r="I372" s="632"/>
      <c r="J372" s="632"/>
      <c r="K372" s="632"/>
      <c r="L372" s="632"/>
      <c r="M372" s="632"/>
      <c r="N372" s="632"/>
      <c r="O372" s="632"/>
      <c r="P372" s="632"/>
      <c r="Q372" s="632"/>
      <c r="R372" s="632"/>
      <c r="S372" s="632"/>
      <c r="T372" s="632"/>
      <c r="U372" s="632"/>
      <c r="V372" s="632"/>
      <c r="W372" s="632"/>
      <c r="X372" s="632"/>
      <c r="Y372" s="632"/>
      <c r="Z372" s="632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9">
        <v>4607091387766</v>
      </c>
      <c r="E373" s="630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4"/>
      <c r="R373" s="624"/>
      <c r="S373" s="624"/>
      <c r="T373" s="625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9">
        <v>4607091387957</v>
      </c>
      <c r="E374" s="630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4"/>
      <c r="R374" s="624"/>
      <c r="S374" s="624"/>
      <c r="T374" s="625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9">
        <v>4607091387964</v>
      </c>
      <c r="E375" s="630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4"/>
      <c r="R375" s="624"/>
      <c r="S375" s="624"/>
      <c r="T375" s="625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9">
        <v>4680115884588</v>
      </c>
      <c r="E376" s="630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4"/>
      <c r="R376" s="624"/>
      <c r="S376" s="624"/>
      <c r="T376" s="625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1"/>
      <c r="B377" s="632"/>
      <c r="C377" s="632"/>
      <c r="D377" s="632"/>
      <c r="E377" s="632"/>
      <c r="F377" s="632"/>
      <c r="G377" s="632"/>
      <c r="H377" s="632"/>
      <c r="I377" s="632"/>
      <c r="J377" s="632"/>
      <c r="K377" s="632"/>
      <c r="L377" s="632"/>
      <c r="M377" s="632"/>
      <c r="N377" s="632"/>
      <c r="O377" s="633"/>
      <c r="P377" s="636" t="s">
        <v>69</v>
      </c>
      <c r="Q377" s="637"/>
      <c r="R377" s="637"/>
      <c r="S377" s="637"/>
      <c r="T377" s="637"/>
      <c r="U377" s="637"/>
      <c r="V377" s="638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2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36" t="s">
        <v>69</v>
      </c>
      <c r="Q378" s="637"/>
      <c r="R378" s="637"/>
      <c r="S378" s="637"/>
      <c r="T378" s="637"/>
      <c r="U378" s="637"/>
      <c r="V378" s="638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5" t="s">
        <v>161</v>
      </c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2"/>
      <c r="P379" s="632"/>
      <c r="Q379" s="632"/>
      <c r="R379" s="632"/>
      <c r="S379" s="632"/>
      <c r="T379" s="632"/>
      <c r="U379" s="632"/>
      <c r="V379" s="632"/>
      <c r="W379" s="632"/>
      <c r="X379" s="632"/>
      <c r="Y379" s="632"/>
      <c r="Z379" s="632"/>
      <c r="AA379" s="613"/>
      <c r="AB379" s="613"/>
      <c r="AC379" s="613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29">
        <v>4607091380880</v>
      </c>
      <c r="E380" s="630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4"/>
      <c r="R380" s="624"/>
      <c r="S380" s="624"/>
      <c r="T380" s="625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9">
        <v>4607091384482</v>
      </c>
      <c r="E381" s="630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4"/>
      <c r="R381" s="624"/>
      <c r="S381" s="624"/>
      <c r="T381" s="625"/>
      <c r="U381" s="34"/>
      <c r="V381" s="34"/>
      <c r="W381" s="35" t="s">
        <v>67</v>
      </c>
      <c r="X381" s="617">
        <v>340</v>
      </c>
      <c r="Y381" s="618">
        <f>IFERROR(IF(X381="",0,CEILING((X381/$H381),1)*$H381),"")</f>
        <v>343.2</v>
      </c>
      <c r="Z381" s="36">
        <f>IFERROR(IF(Y381=0,"",ROUNDUP(Y381/H381,0)*0.01898),"")</f>
        <v>0.83511999999999997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361.53333333333336</v>
      </c>
      <c r="BN381" s="64">
        <f>IFERROR(Y381*I381/H381,"0")</f>
        <v>364.93600000000004</v>
      </c>
      <c r="BO381" s="64">
        <f>IFERROR(1/J381*(X381/H381),"0")</f>
        <v>0.68108974358974361</v>
      </c>
      <c r="BP381" s="64">
        <f>IFERROR(1/J381*(Y381/H381),"0")</f>
        <v>0.6875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29">
        <v>4607091380897</v>
      </c>
      <c r="E382" s="630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4"/>
      <c r="R382" s="624"/>
      <c r="S382" s="624"/>
      <c r="T382" s="625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1"/>
      <c r="B383" s="632"/>
      <c r="C383" s="632"/>
      <c r="D383" s="632"/>
      <c r="E383" s="632"/>
      <c r="F383" s="632"/>
      <c r="G383" s="632"/>
      <c r="H383" s="632"/>
      <c r="I383" s="632"/>
      <c r="J383" s="632"/>
      <c r="K383" s="632"/>
      <c r="L383" s="632"/>
      <c r="M383" s="632"/>
      <c r="N383" s="632"/>
      <c r="O383" s="633"/>
      <c r="P383" s="636" t="s">
        <v>69</v>
      </c>
      <c r="Q383" s="637"/>
      <c r="R383" s="637"/>
      <c r="S383" s="637"/>
      <c r="T383" s="637"/>
      <c r="U383" s="637"/>
      <c r="V383" s="638"/>
      <c r="W383" s="37" t="s">
        <v>70</v>
      </c>
      <c r="X383" s="619">
        <f>IFERROR(X380/H380,"0")+IFERROR(X381/H381,"0")+IFERROR(X382/H382,"0")</f>
        <v>43.589743589743591</v>
      </c>
      <c r="Y383" s="619">
        <f>IFERROR(Y380/H380,"0")+IFERROR(Y381/H381,"0")+IFERROR(Y382/H382,"0")</f>
        <v>44</v>
      </c>
      <c r="Z383" s="619">
        <f>IFERROR(IF(Z380="",0,Z380),"0")+IFERROR(IF(Z381="",0,Z381),"0")+IFERROR(IF(Z382="",0,Z382),"0")</f>
        <v>0.83511999999999997</v>
      </c>
      <c r="AA383" s="620"/>
      <c r="AB383" s="620"/>
      <c r="AC383" s="620"/>
    </row>
    <row r="384" spans="1:68" x14ac:dyDescent="0.2">
      <c r="A384" s="632"/>
      <c r="B384" s="632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3"/>
      <c r="P384" s="636" t="s">
        <v>69</v>
      </c>
      <c r="Q384" s="637"/>
      <c r="R384" s="637"/>
      <c r="S384" s="637"/>
      <c r="T384" s="637"/>
      <c r="U384" s="637"/>
      <c r="V384" s="638"/>
      <c r="W384" s="37" t="s">
        <v>67</v>
      </c>
      <c r="X384" s="619">
        <f>IFERROR(SUM(X380:X382),"0")</f>
        <v>340</v>
      </c>
      <c r="Y384" s="619">
        <f>IFERROR(SUM(Y380:Y382),"0")</f>
        <v>343.2</v>
      </c>
      <c r="Z384" s="37"/>
      <c r="AA384" s="620"/>
      <c r="AB384" s="620"/>
      <c r="AC384" s="620"/>
    </row>
    <row r="385" spans="1:68" ht="14.25" hidden="1" customHeight="1" x14ac:dyDescent="0.25">
      <c r="A385" s="635" t="s">
        <v>263</v>
      </c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2"/>
      <c r="P385" s="632"/>
      <c r="Q385" s="632"/>
      <c r="R385" s="632"/>
      <c r="S385" s="632"/>
      <c r="T385" s="632"/>
      <c r="U385" s="632"/>
      <c r="V385" s="632"/>
      <c r="W385" s="632"/>
      <c r="X385" s="632"/>
      <c r="Y385" s="632"/>
      <c r="Z385" s="632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9">
        <v>4607091388381</v>
      </c>
      <c r="E386" s="630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4"/>
      <c r="R386" s="624"/>
      <c r="S386" s="624"/>
      <c r="T386" s="625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29">
        <v>4607091388374</v>
      </c>
      <c r="E387" s="630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9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4"/>
      <c r="R387" s="624"/>
      <c r="S387" s="624"/>
      <c r="T387" s="625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29">
        <v>4607091383102</v>
      </c>
      <c r="E388" s="630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0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4"/>
      <c r="R388" s="624"/>
      <c r="S388" s="624"/>
      <c r="T388" s="625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636</v>
      </c>
      <c r="B389" s="54" t="s">
        <v>637</v>
      </c>
      <c r="C389" s="31">
        <v>4301030233</v>
      </c>
      <c r="D389" s="629">
        <v>4607091388404</v>
      </c>
      <c r="E389" s="630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4"/>
      <c r="R389" s="624"/>
      <c r="S389" s="624"/>
      <c r="T389" s="625"/>
      <c r="U389" s="34"/>
      <c r="V389" s="34"/>
      <c r="W389" s="35" t="s">
        <v>67</v>
      </c>
      <c r="X389" s="617">
        <v>0</v>
      </c>
      <c r="Y389" s="61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31"/>
      <c r="B390" s="632"/>
      <c r="C390" s="632"/>
      <c r="D390" s="632"/>
      <c r="E390" s="632"/>
      <c r="F390" s="632"/>
      <c r="G390" s="632"/>
      <c r="H390" s="632"/>
      <c r="I390" s="632"/>
      <c r="J390" s="632"/>
      <c r="K390" s="632"/>
      <c r="L390" s="632"/>
      <c r="M390" s="632"/>
      <c r="N390" s="632"/>
      <c r="O390" s="633"/>
      <c r="P390" s="636" t="s">
        <v>69</v>
      </c>
      <c r="Q390" s="637"/>
      <c r="R390" s="637"/>
      <c r="S390" s="637"/>
      <c r="T390" s="637"/>
      <c r="U390" s="637"/>
      <c r="V390" s="638"/>
      <c r="W390" s="37" t="s">
        <v>70</v>
      </c>
      <c r="X390" s="619">
        <f>IFERROR(X386/H386,"0")+IFERROR(X387/H387,"0")+IFERROR(X388/H388,"0")+IFERROR(X389/H389,"0")</f>
        <v>0</v>
      </c>
      <c r="Y390" s="619">
        <f>IFERROR(Y386/H386,"0")+IFERROR(Y387/H387,"0")+IFERROR(Y388/H388,"0")+IFERROR(Y389/H389,"0")</f>
        <v>0</v>
      </c>
      <c r="Z390" s="619">
        <f>IFERROR(IF(Z386="",0,Z386),"0")+IFERROR(IF(Z387="",0,Z387),"0")+IFERROR(IF(Z388="",0,Z388),"0")+IFERROR(IF(Z389="",0,Z389),"0")</f>
        <v>0</v>
      </c>
      <c r="AA390" s="620"/>
      <c r="AB390" s="620"/>
      <c r="AC390" s="620"/>
    </row>
    <row r="391" spans="1:68" hidden="1" x14ac:dyDescent="0.2">
      <c r="A391" s="632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36" t="s">
        <v>69</v>
      </c>
      <c r="Q391" s="637"/>
      <c r="R391" s="637"/>
      <c r="S391" s="637"/>
      <c r="T391" s="637"/>
      <c r="U391" s="637"/>
      <c r="V391" s="638"/>
      <c r="W391" s="37" t="s">
        <v>67</v>
      </c>
      <c r="X391" s="619">
        <f>IFERROR(SUM(X386:X389),"0")</f>
        <v>0</v>
      </c>
      <c r="Y391" s="619">
        <f>IFERROR(SUM(Y386:Y389),"0")</f>
        <v>0</v>
      </c>
      <c r="Z391" s="37"/>
      <c r="AA391" s="620"/>
      <c r="AB391" s="620"/>
      <c r="AC391" s="620"/>
    </row>
    <row r="392" spans="1:68" ht="14.25" hidden="1" customHeight="1" x14ac:dyDescent="0.25">
      <c r="A392" s="635" t="s">
        <v>638</v>
      </c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2"/>
      <c r="P392" s="632"/>
      <c r="Q392" s="632"/>
      <c r="R392" s="632"/>
      <c r="S392" s="632"/>
      <c r="T392" s="632"/>
      <c r="U392" s="632"/>
      <c r="V392" s="632"/>
      <c r="W392" s="632"/>
      <c r="X392" s="632"/>
      <c r="Y392" s="632"/>
      <c r="Z392" s="632"/>
      <c r="AA392" s="613"/>
      <c r="AB392" s="613"/>
      <c r="AC392" s="613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9">
        <v>4680115881808</v>
      </c>
      <c r="E393" s="630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4"/>
      <c r="R393" s="624"/>
      <c r="S393" s="624"/>
      <c r="T393" s="625"/>
      <c r="U393" s="34"/>
      <c r="V393" s="34"/>
      <c r="W393" s="35" t="s">
        <v>67</v>
      </c>
      <c r="X393" s="617">
        <v>25</v>
      </c>
      <c r="Y393" s="618">
        <f>IFERROR(IF(X393="",0,CEILING((X393/$H393),1)*$H393),"")</f>
        <v>26</v>
      </c>
      <c r="Z393" s="36">
        <f>IFERROR(IF(Y393=0,"",ROUNDUP(Y393/H393,0)*0.00474),"")</f>
        <v>6.1620000000000001E-2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28.000000000000004</v>
      </c>
      <c r="BN393" s="64">
        <f>IFERROR(Y393*I393/H393,"0")</f>
        <v>29.120000000000005</v>
      </c>
      <c r="BO393" s="64">
        <f>IFERROR(1/J393*(X393/H393),"0")</f>
        <v>5.2521008403361345E-2</v>
      </c>
      <c r="BP393" s="64">
        <f>IFERROR(1/J393*(Y393/H393),"0")</f>
        <v>5.4621848739495799E-2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29">
        <v>4680115881822</v>
      </c>
      <c r="E394" s="630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4"/>
      <c r="R394" s="624"/>
      <c r="S394" s="624"/>
      <c r="T394" s="625"/>
      <c r="U394" s="34"/>
      <c r="V394" s="34"/>
      <c r="W394" s="35" t="s">
        <v>67</v>
      </c>
      <c r="X394" s="617">
        <v>8</v>
      </c>
      <c r="Y394" s="618">
        <f>IFERROR(IF(X394="",0,CEILING((X394/$H394),1)*$H394),"")</f>
        <v>8</v>
      </c>
      <c r="Z394" s="36">
        <f>IFERROR(IF(Y394=0,"",ROUNDUP(Y394/H394,0)*0.00474),"")</f>
        <v>1.8960000000000001E-2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8.9600000000000009</v>
      </c>
      <c r="BN394" s="64">
        <f>IFERROR(Y394*I394/H394,"0")</f>
        <v>8.9600000000000009</v>
      </c>
      <c r="BO394" s="64">
        <f>IFERROR(1/J394*(X394/H394),"0")</f>
        <v>1.680672268907563E-2</v>
      </c>
      <c r="BP394" s="64">
        <f>IFERROR(1/J394*(Y394/H394),"0")</f>
        <v>1.680672268907563E-2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9">
        <v>4680115880016</v>
      </c>
      <c r="E395" s="630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4"/>
      <c r="R395" s="624"/>
      <c r="S395" s="624"/>
      <c r="T395" s="625"/>
      <c r="U395" s="34"/>
      <c r="V395" s="34"/>
      <c r="W395" s="35" t="s">
        <v>67</v>
      </c>
      <c r="X395" s="617">
        <v>20</v>
      </c>
      <c r="Y395" s="618">
        <f>IFERROR(IF(X395="",0,CEILING((X395/$H395),1)*$H395),"")</f>
        <v>20</v>
      </c>
      <c r="Z395" s="36">
        <f>IFERROR(IF(Y395=0,"",ROUNDUP(Y395/H395,0)*0.00474),"")</f>
        <v>4.7400000000000005E-2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22.400000000000002</v>
      </c>
      <c r="BN395" s="64">
        <f>IFERROR(Y395*I395/H395,"0")</f>
        <v>22.400000000000002</v>
      </c>
      <c r="BO395" s="64">
        <f>IFERROR(1/J395*(X395/H395),"0")</f>
        <v>4.2016806722689072E-2</v>
      </c>
      <c r="BP395" s="64">
        <f>IFERROR(1/J395*(Y395/H395),"0")</f>
        <v>4.2016806722689072E-2</v>
      </c>
    </row>
    <row r="396" spans="1:68" x14ac:dyDescent="0.2">
      <c r="A396" s="631"/>
      <c r="B396" s="632"/>
      <c r="C396" s="632"/>
      <c r="D396" s="632"/>
      <c r="E396" s="632"/>
      <c r="F396" s="632"/>
      <c r="G396" s="632"/>
      <c r="H396" s="632"/>
      <c r="I396" s="632"/>
      <c r="J396" s="632"/>
      <c r="K396" s="632"/>
      <c r="L396" s="632"/>
      <c r="M396" s="632"/>
      <c r="N396" s="632"/>
      <c r="O396" s="633"/>
      <c r="P396" s="636" t="s">
        <v>69</v>
      </c>
      <c r="Q396" s="637"/>
      <c r="R396" s="637"/>
      <c r="S396" s="637"/>
      <c r="T396" s="637"/>
      <c r="U396" s="637"/>
      <c r="V396" s="638"/>
      <c r="W396" s="37" t="s">
        <v>70</v>
      </c>
      <c r="X396" s="619">
        <f>IFERROR(X393/H393,"0")+IFERROR(X394/H394,"0")+IFERROR(X395/H395,"0")</f>
        <v>26.5</v>
      </c>
      <c r="Y396" s="619">
        <f>IFERROR(Y393/H393,"0")+IFERROR(Y394/H394,"0")+IFERROR(Y395/H395,"0")</f>
        <v>27</v>
      </c>
      <c r="Z396" s="619">
        <f>IFERROR(IF(Z393="",0,Z393),"0")+IFERROR(IF(Z394="",0,Z394),"0")+IFERROR(IF(Z395="",0,Z395),"0")</f>
        <v>0.12798000000000001</v>
      </c>
      <c r="AA396" s="620"/>
      <c r="AB396" s="620"/>
      <c r="AC396" s="620"/>
    </row>
    <row r="397" spans="1:68" x14ac:dyDescent="0.2">
      <c r="A397" s="632"/>
      <c r="B397" s="632"/>
      <c r="C397" s="632"/>
      <c r="D397" s="632"/>
      <c r="E397" s="632"/>
      <c r="F397" s="632"/>
      <c r="G397" s="632"/>
      <c r="H397" s="632"/>
      <c r="I397" s="632"/>
      <c r="J397" s="632"/>
      <c r="K397" s="632"/>
      <c r="L397" s="632"/>
      <c r="M397" s="632"/>
      <c r="N397" s="632"/>
      <c r="O397" s="633"/>
      <c r="P397" s="636" t="s">
        <v>69</v>
      </c>
      <c r="Q397" s="637"/>
      <c r="R397" s="637"/>
      <c r="S397" s="637"/>
      <c r="T397" s="637"/>
      <c r="U397" s="637"/>
      <c r="V397" s="638"/>
      <c r="W397" s="37" t="s">
        <v>67</v>
      </c>
      <c r="X397" s="619">
        <f>IFERROR(SUM(X393:X395),"0")</f>
        <v>53</v>
      </c>
      <c r="Y397" s="619">
        <f>IFERROR(SUM(Y393:Y395),"0")</f>
        <v>54</v>
      </c>
      <c r="Z397" s="37"/>
      <c r="AA397" s="620"/>
      <c r="AB397" s="620"/>
      <c r="AC397" s="620"/>
    </row>
    <row r="398" spans="1:68" ht="14.25" hidden="1" customHeight="1" x14ac:dyDescent="0.25">
      <c r="A398" s="635" t="s">
        <v>647</v>
      </c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2"/>
      <c r="P398" s="632"/>
      <c r="Q398" s="632"/>
      <c r="R398" s="632"/>
      <c r="S398" s="632"/>
      <c r="T398" s="632"/>
      <c r="U398" s="632"/>
      <c r="V398" s="632"/>
      <c r="W398" s="632"/>
      <c r="X398" s="632"/>
      <c r="Y398" s="632"/>
      <c r="Z398" s="632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9">
        <v>4680115888678</v>
      </c>
      <c r="E399" s="630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4"/>
      <c r="R399" s="624"/>
      <c r="S399" s="624"/>
      <c r="T399" s="625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9">
        <v>4680115888654</v>
      </c>
      <c r="E400" s="630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4"/>
      <c r="R400" s="624"/>
      <c r="S400" s="624"/>
      <c r="T400" s="625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9">
        <v>4680115888753</v>
      </c>
      <c r="E401" s="630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4"/>
      <c r="R401" s="624"/>
      <c r="S401" s="624"/>
      <c r="T401" s="625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1"/>
      <c r="B402" s="632"/>
      <c r="C402" s="632"/>
      <c r="D402" s="632"/>
      <c r="E402" s="632"/>
      <c r="F402" s="632"/>
      <c r="G402" s="632"/>
      <c r="H402" s="632"/>
      <c r="I402" s="632"/>
      <c r="J402" s="632"/>
      <c r="K402" s="632"/>
      <c r="L402" s="632"/>
      <c r="M402" s="632"/>
      <c r="N402" s="632"/>
      <c r="O402" s="633"/>
      <c r="P402" s="636" t="s">
        <v>69</v>
      </c>
      <c r="Q402" s="637"/>
      <c r="R402" s="637"/>
      <c r="S402" s="637"/>
      <c r="T402" s="637"/>
      <c r="U402" s="637"/>
      <c r="V402" s="638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2"/>
      <c r="B403" s="632"/>
      <c r="C403" s="632"/>
      <c r="D403" s="632"/>
      <c r="E403" s="632"/>
      <c r="F403" s="632"/>
      <c r="G403" s="632"/>
      <c r="H403" s="632"/>
      <c r="I403" s="632"/>
      <c r="J403" s="632"/>
      <c r="K403" s="632"/>
      <c r="L403" s="632"/>
      <c r="M403" s="632"/>
      <c r="N403" s="632"/>
      <c r="O403" s="633"/>
      <c r="P403" s="636" t="s">
        <v>69</v>
      </c>
      <c r="Q403" s="637"/>
      <c r="R403" s="637"/>
      <c r="S403" s="637"/>
      <c r="T403" s="637"/>
      <c r="U403" s="637"/>
      <c r="V403" s="638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54" t="s">
        <v>656</v>
      </c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2"/>
      <c r="P404" s="632"/>
      <c r="Q404" s="632"/>
      <c r="R404" s="632"/>
      <c r="S404" s="632"/>
      <c r="T404" s="632"/>
      <c r="U404" s="632"/>
      <c r="V404" s="632"/>
      <c r="W404" s="632"/>
      <c r="X404" s="632"/>
      <c r="Y404" s="632"/>
      <c r="Z404" s="632"/>
      <c r="AA404" s="612"/>
      <c r="AB404" s="612"/>
      <c r="AC404" s="612"/>
    </row>
    <row r="405" spans="1:68" ht="14.25" hidden="1" customHeight="1" x14ac:dyDescent="0.25">
      <c r="A405" s="635" t="s">
        <v>71</v>
      </c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2"/>
      <c r="P405" s="632"/>
      <c r="Q405" s="632"/>
      <c r="R405" s="632"/>
      <c r="S405" s="632"/>
      <c r="T405" s="632"/>
      <c r="U405" s="632"/>
      <c r="V405" s="632"/>
      <c r="W405" s="632"/>
      <c r="X405" s="632"/>
      <c r="Y405" s="632"/>
      <c r="Z405" s="632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9">
        <v>4680115889415</v>
      </c>
      <c r="E406" s="630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4"/>
      <c r="R406" s="624"/>
      <c r="S406" s="624"/>
      <c r="T406" s="625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9">
        <v>4680115889422</v>
      </c>
      <c r="E407" s="630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66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4"/>
      <c r="R407" s="624"/>
      <c r="S407" s="624"/>
      <c r="T407" s="625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1"/>
      <c r="B408" s="632"/>
      <c r="C408" s="632"/>
      <c r="D408" s="632"/>
      <c r="E408" s="632"/>
      <c r="F408" s="632"/>
      <c r="G408" s="632"/>
      <c r="H408" s="632"/>
      <c r="I408" s="632"/>
      <c r="J408" s="632"/>
      <c r="K408" s="632"/>
      <c r="L408" s="632"/>
      <c r="M408" s="632"/>
      <c r="N408" s="632"/>
      <c r="O408" s="633"/>
      <c r="P408" s="636" t="s">
        <v>69</v>
      </c>
      <c r="Q408" s="637"/>
      <c r="R408" s="637"/>
      <c r="S408" s="637"/>
      <c r="T408" s="637"/>
      <c r="U408" s="637"/>
      <c r="V408" s="638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2"/>
      <c r="B409" s="632"/>
      <c r="C409" s="632"/>
      <c r="D409" s="632"/>
      <c r="E409" s="632"/>
      <c r="F409" s="632"/>
      <c r="G409" s="632"/>
      <c r="H409" s="632"/>
      <c r="I409" s="632"/>
      <c r="J409" s="632"/>
      <c r="K409" s="632"/>
      <c r="L409" s="632"/>
      <c r="M409" s="632"/>
      <c r="N409" s="632"/>
      <c r="O409" s="633"/>
      <c r="P409" s="636" t="s">
        <v>69</v>
      </c>
      <c r="Q409" s="637"/>
      <c r="R409" s="637"/>
      <c r="S409" s="637"/>
      <c r="T409" s="637"/>
      <c r="U409" s="637"/>
      <c r="V409" s="638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54" t="s">
        <v>663</v>
      </c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2"/>
      <c r="P410" s="632"/>
      <c r="Q410" s="632"/>
      <c r="R410" s="632"/>
      <c r="S410" s="632"/>
      <c r="T410" s="632"/>
      <c r="U410" s="632"/>
      <c r="V410" s="632"/>
      <c r="W410" s="632"/>
      <c r="X410" s="632"/>
      <c r="Y410" s="632"/>
      <c r="Z410" s="632"/>
      <c r="AA410" s="612"/>
      <c r="AB410" s="612"/>
      <c r="AC410" s="612"/>
    </row>
    <row r="411" spans="1:68" ht="14.25" hidden="1" customHeight="1" x14ac:dyDescent="0.25">
      <c r="A411" s="635" t="s">
        <v>71</v>
      </c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2"/>
      <c r="P411" s="632"/>
      <c r="Q411" s="632"/>
      <c r="R411" s="632"/>
      <c r="S411" s="632"/>
      <c r="T411" s="632"/>
      <c r="U411" s="632"/>
      <c r="V411" s="632"/>
      <c r="W411" s="632"/>
      <c r="X411" s="632"/>
      <c r="Y411" s="632"/>
      <c r="Z411" s="632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9">
        <v>4607091387919</v>
      </c>
      <c r="E412" s="630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4"/>
      <c r="R412" s="624"/>
      <c r="S412" s="624"/>
      <c r="T412" s="625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29">
        <v>4680115883604</v>
      </c>
      <c r="E413" s="630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4"/>
      <c r="R413" s="624"/>
      <c r="S413" s="624"/>
      <c r="T413" s="625"/>
      <c r="U413" s="34"/>
      <c r="V413" s="34"/>
      <c r="W413" s="35" t="s">
        <v>67</v>
      </c>
      <c r="X413" s="617">
        <v>23</v>
      </c>
      <c r="Y413" s="618">
        <f>IFERROR(IF(X413="",0,CEILING((X413/$H413),1)*$H413),"")</f>
        <v>23.1</v>
      </c>
      <c r="Z413" s="36">
        <f>IFERROR(IF(Y413=0,"",ROUNDUP(Y413/H413,0)*0.00651),"")</f>
        <v>7.1610000000000007E-2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25.759999999999998</v>
      </c>
      <c r="BN413" s="64">
        <f>IFERROR(Y413*I413/H413,"0")</f>
        <v>25.872</v>
      </c>
      <c r="BO413" s="64">
        <f>IFERROR(1/J413*(X413/H413),"0")</f>
        <v>6.0177917320774467E-2</v>
      </c>
      <c r="BP413" s="64">
        <f>IFERROR(1/J413*(Y413/H413),"0")</f>
        <v>6.0439560439560447E-2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29">
        <v>4680115883567</v>
      </c>
      <c r="E414" s="630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4"/>
      <c r="R414" s="624"/>
      <c r="S414" s="624"/>
      <c r="T414" s="625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631"/>
      <c r="B415" s="632"/>
      <c r="C415" s="632"/>
      <c r="D415" s="632"/>
      <c r="E415" s="632"/>
      <c r="F415" s="632"/>
      <c r="G415" s="632"/>
      <c r="H415" s="632"/>
      <c r="I415" s="632"/>
      <c r="J415" s="632"/>
      <c r="K415" s="632"/>
      <c r="L415" s="632"/>
      <c r="M415" s="632"/>
      <c r="N415" s="632"/>
      <c r="O415" s="633"/>
      <c r="P415" s="636" t="s">
        <v>69</v>
      </c>
      <c r="Q415" s="637"/>
      <c r="R415" s="637"/>
      <c r="S415" s="637"/>
      <c r="T415" s="637"/>
      <c r="U415" s="637"/>
      <c r="V415" s="638"/>
      <c r="W415" s="37" t="s">
        <v>70</v>
      </c>
      <c r="X415" s="619">
        <f>IFERROR(X412/H412,"0")+IFERROR(X413/H413,"0")+IFERROR(X414/H414,"0")</f>
        <v>10.952380952380953</v>
      </c>
      <c r="Y415" s="619">
        <f>IFERROR(Y412/H412,"0")+IFERROR(Y413/H413,"0")+IFERROR(Y414/H414,"0")</f>
        <v>11</v>
      </c>
      <c r="Z415" s="619">
        <f>IFERROR(IF(Z412="",0,Z412),"0")+IFERROR(IF(Z413="",0,Z413),"0")+IFERROR(IF(Z414="",0,Z414),"0")</f>
        <v>7.1610000000000007E-2</v>
      </c>
      <c r="AA415" s="620"/>
      <c r="AB415" s="620"/>
      <c r="AC415" s="620"/>
    </row>
    <row r="416" spans="1:68" x14ac:dyDescent="0.2">
      <c r="A416" s="632"/>
      <c r="B416" s="632"/>
      <c r="C416" s="632"/>
      <c r="D416" s="632"/>
      <c r="E416" s="632"/>
      <c r="F416" s="632"/>
      <c r="G416" s="632"/>
      <c r="H416" s="632"/>
      <c r="I416" s="632"/>
      <c r="J416" s="632"/>
      <c r="K416" s="632"/>
      <c r="L416" s="632"/>
      <c r="M416" s="632"/>
      <c r="N416" s="632"/>
      <c r="O416" s="633"/>
      <c r="P416" s="636" t="s">
        <v>69</v>
      </c>
      <c r="Q416" s="637"/>
      <c r="R416" s="637"/>
      <c r="S416" s="637"/>
      <c r="T416" s="637"/>
      <c r="U416" s="637"/>
      <c r="V416" s="638"/>
      <c r="W416" s="37" t="s">
        <v>67</v>
      </c>
      <c r="X416" s="619">
        <f>IFERROR(SUM(X412:X414),"0")</f>
        <v>23</v>
      </c>
      <c r="Y416" s="619">
        <f>IFERROR(SUM(Y412:Y414),"0")</f>
        <v>23.1</v>
      </c>
      <c r="Z416" s="37"/>
      <c r="AA416" s="620"/>
      <c r="AB416" s="620"/>
      <c r="AC416" s="620"/>
    </row>
    <row r="417" spans="1:68" ht="27.75" hidden="1" customHeight="1" x14ac:dyDescent="0.2">
      <c r="A417" s="763" t="s">
        <v>673</v>
      </c>
      <c r="B417" s="764"/>
      <c r="C417" s="764"/>
      <c r="D417" s="764"/>
      <c r="E417" s="764"/>
      <c r="F417" s="764"/>
      <c r="G417" s="764"/>
      <c r="H417" s="764"/>
      <c r="I417" s="764"/>
      <c r="J417" s="764"/>
      <c r="K417" s="764"/>
      <c r="L417" s="764"/>
      <c r="M417" s="764"/>
      <c r="N417" s="764"/>
      <c r="O417" s="764"/>
      <c r="P417" s="764"/>
      <c r="Q417" s="764"/>
      <c r="R417" s="764"/>
      <c r="S417" s="764"/>
      <c r="T417" s="764"/>
      <c r="U417" s="764"/>
      <c r="V417" s="764"/>
      <c r="W417" s="764"/>
      <c r="X417" s="764"/>
      <c r="Y417" s="764"/>
      <c r="Z417" s="764"/>
      <c r="AA417" s="48"/>
      <c r="AB417" s="48"/>
      <c r="AC417" s="48"/>
    </row>
    <row r="418" spans="1:68" ht="16.5" hidden="1" customHeight="1" x14ac:dyDescent="0.25">
      <c r="A418" s="654" t="s">
        <v>674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612"/>
      <c r="AB418" s="612"/>
      <c r="AC418" s="612"/>
    </row>
    <row r="419" spans="1:68" ht="14.25" hidden="1" customHeight="1" x14ac:dyDescent="0.25">
      <c r="A419" s="635" t="s">
        <v>108</v>
      </c>
      <c r="B419" s="632"/>
      <c r="C419" s="632"/>
      <c r="D419" s="632"/>
      <c r="E419" s="632"/>
      <c r="F419" s="632"/>
      <c r="G419" s="632"/>
      <c r="H419" s="632"/>
      <c r="I419" s="632"/>
      <c r="J419" s="632"/>
      <c r="K419" s="632"/>
      <c r="L419" s="632"/>
      <c r="M419" s="632"/>
      <c r="N419" s="632"/>
      <c r="O419" s="632"/>
      <c r="P419" s="632"/>
      <c r="Q419" s="632"/>
      <c r="R419" s="632"/>
      <c r="S419" s="632"/>
      <c r="T419" s="632"/>
      <c r="U419" s="632"/>
      <c r="V419" s="632"/>
      <c r="W419" s="632"/>
      <c r="X419" s="632"/>
      <c r="Y419" s="632"/>
      <c r="Z419" s="632"/>
      <c r="AA419" s="613"/>
      <c r="AB419" s="613"/>
      <c r="AC419" s="613"/>
    </row>
    <row r="420" spans="1:68" ht="27" customHeight="1" x14ac:dyDescent="0.25">
      <c r="A420" s="54" t="s">
        <v>675</v>
      </c>
      <c r="B420" s="54" t="s">
        <v>676</v>
      </c>
      <c r="C420" s="31">
        <v>4301012332</v>
      </c>
      <c r="D420" s="629">
        <v>4680115888401</v>
      </c>
      <c r="E420" s="630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4"/>
      <c r="R420" s="624"/>
      <c r="S420" s="624"/>
      <c r="T420" s="625"/>
      <c r="U420" s="34"/>
      <c r="V420" s="34"/>
      <c r="W420" s="35" t="s">
        <v>67</v>
      </c>
      <c r="X420" s="617">
        <v>22</v>
      </c>
      <c r="Y420" s="618">
        <f t="shared" ref="Y420:Y427" si="61">IFERROR(IF(X420="",0,CEILING((X420/$H420),1)*$H420),"")</f>
        <v>30</v>
      </c>
      <c r="Z420" s="36">
        <f>IFERROR(IF(Y420=0,"",ROUNDUP(Y420/H420,0)*0.02175),"")</f>
        <v>4.3499999999999997E-2</v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22.689333333333334</v>
      </c>
      <c r="BN420" s="64">
        <f t="shared" ref="BN420:BN427" si="63">IFERROR(Y420*I420/H420,"0")</f>
        <v>30.94</v>
      </c>
      <c r="BO420" s="64">
        <f t="shared" ref="BO420:BO427" si="64">IFERROR(1/J420*(X420/H420),"0")</f>
        <v>3.0555555555555551E-2</v>
      </c>
      <c r="BP420" s="64">
        <f t="shared" ref="BP420:BP427" si="65">IFERROR(1/J420*(Y420/H420),"0")</f>
        <v>4.1666666666666664E-2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9">
        <v>4680115884847</v>
      </c>
      <c r="E421" s="630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8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4"/>
      <c r="R421" s="624"/>
      <c r="S421" s="624"/>
      <c r="T421" s="625"/>
      <c r="U421" s="34"/>
      <c r="V421" s="34"/>
      <c r="W421" s="35" t="s">
        <v>67</v>
      </c>
      <c r="X421" s="617">
        <v>2578</v>
      </c>
      <c r="Y421" s="618">
        <f t="shared" si="61"/>
        <v>2580</v>
      </c>
      <c r="Z421" s="36">
        <f>IFERROR(IF(Y421=0,"",ROUNDUP(Y421/H421,0)*0.02175),"")</f>
        <v>3.7409999999999997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2658.7773333333334</v>
      </c>
      <c r="BN421" s="64">
        <f t="shared" si="63"/>
        <v>2660.8399999999997</v>
      </c>
      <c r="BO421" s="64">
        <f t="shared" si="64"/>
        <v>3.5805555555555557</v>
      </c>
      <c r="BP421" s="64">
        <f t="shared" si="65"/>
        <v>3.583333333333333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9">
        <v>4680115884854</v>
      </c>
      <c r="E422" s="630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8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4"/>
      <c r="R422" s="624"/>
      <c r="S422" s="624"/>
      <c r="T422" s="625"/>
      <c r="U422" s="34"/>
      <c r="V422" s="34"/>
      <c r="W422" s="35" t="s">
        <v>67</v>
      </c>
      <c r="X422" s="617">
        <v>942</v>
      </c>
      <c r="Y422" s="618">
        <f t="shared" si="61"/>
        <v>945</v>
      </c>
      <c r="Z422" s="36">
        <f>IFERROR(IF(Y422=0,"",ROUNDUP(Y422/H422,0)*0.02175),"")</f>
        <v>1.37025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971.51599999999996</v>
      </c>
      <c r="BN422" s="64">
        <f t="shared" si="63"/>
        <v>974.61000000000013</v>
      </c>
      <c r="BO422" s="64">
        <f t="shared" si="64"/>
        <v>1.3083333333333331</v>
      </c>
      <c r="BP422" s="64">
        <f t="shared" si="65"/>
        <v>1.3125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29">
        <v>4680115884830</v>
      </c>
      <c r="E423" s="630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4"/>
      <c r="R423" s="624"/>
      <c r="S423" s="624"/>
      <c r="T423" s="625"/>
      <c r="U423" s="34"/>
      <c r="V423" s="34"/>
      <c r="W423" s="35" t="s">
        <v>67</v>
      </c>
      <c r="X423" s="617">
        <v>984</v>
      </c>
      <c r="Y423" s="618">
        <f t="shared" si="61"/>
        <v>990</v>
      </c>
      <c r="Z423" s="36">
        <f>IFERROR(IF(Y423=0,"",ROUNDUP(Y423/H423,0)*0.02175),"")</f>
        <v>1.4355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1014.8320000000001</v>
      </c>
      <c r="BN423" s="64">
        <f t="shared" si="63"/>
        <v>1021.0200000000001</v>
      </c>
      <c r="BO423" s="64">
        <f t="shared" si="64"/>
        <v>1.3666666666666665</v>
      </c>
      <c r="BP423" s="64">
        <f t="shared" si="65"/>
        <v>1.375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29">
        <v>4680115889231</v>
      </c>
      <c r="E424" s="630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4"/>
      <c r="R424" s="624"/>
      <c r="S424" s="624"/>
      <c r="T424" s="625"/>
      <c r="U424" s="34"/>
      <c r="V424" s="34"/>
      <c r="W424" s="35" t="s">
        <v>67</v>
      </c>
      <c r="X424" s="617">
        <v>1375</v>
      </c>
      <c r="Y424" s="618">
        <f t="shared" si="61"/>
        <v>1380</v>
      </c>
      <c r="Z424" s="36">
        <f>IFERROR(IF(Y424=0,"",ROUNDUP(Y424/H424,0)*0.02175),"")</f>
        <v>2.0009999999999999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1418.0833333333333</v>
      </c>
      <c r="BN424" s="64">
        <f t="shared" si="63"/>
        <v>1423.2400000000002</v>
      </c>
      <c r="BO424" s="64">
        <f t="shared" si="64"/>
        <v>1.9097222222222223</v>
      </c>
      <c r="BP424" s="64">
        <f t="shared" si="65"/>
        <v>1.9166666666666665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9">
        <v>4680115882638</v>
      </c>
      <c r="E425" s="630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4"/>
      <c r="R425" s="624"/>
      <c r="S425" s="624"/>
      <c r="T425" s="625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9">
        <v>4680115884922</v>
      </c>
      <c r="E426" s="630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4"/>
      <c r="R426" s="624"/>
      <c r="S426" s="624"/>
      <c r="T426" s="625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9">
        <v>4680115884861</v>
      </c>
      <c r="E427" s="630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4"/>
      <c r="R427" s="624"/>
      <c r="S427" s="624"/>
      <c r="T427" s="625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1"/>
      <c r="B428" s="632"/>
      <c r="C428" s="632"/>
      <c r="D428" s="632"/>
      <c r="E428" s="632"/>
      <c r="F428" s="632"/>
      <c r="G428" s="632"/>
      <c r="H428" s="632"/>
      <c r="I428" s="632"/>
      <c r="J428" s="632"/>
      <c r="K428" s="632"/>
      <c r="L428" s="632"/>
      <c r="M428" s="632"/>
      <c r="N428" s="632"/>
      <c r="O428" s="633"/>
      <c r="P428" s="636" t="s">
        <v>69</v>
      </c>
      <c r="Q428" s="637"/>
      <c r="R428" s="637"/>
      <c r="S428" s="637"/>
      <c r="T428" s="637"/>
      <c r="U428" s="637"/>
      <c r="V428" s="638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393.40000000000003</v>
      </c>
      <c r="Y428" s="619">
        <f>IFERROR(Y420/H420,"0")+IFERROR(Y421/H421,"0")+IFERROR(Y422/H422,"0")+IFERROR(Y423/H423,"0")+IFERROR(Y424/H424,"0")+IFERROR(Y425/H425,"0")+IFERROR(Y426/H426,"0")+IFERROR(Y427/H427,"0")</f>
        <v>395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8.5912500000000005</v>
      </c>
      <c r="AA428" s="620"/>
      <c r="AB428" s="620"/>
      <c r="AC428" s="620"/>
    </row>
    <row r="429" spans="1:68" x14ac:dyDescent="0.2">
      <c r="A429" s="632"/>
      <c r="B429" s="632"/>
      <c r="C429" s="632"/>
      <c r="D429" s="632"/>
      <c r="E429" s="632"/>
      <c r="F429" s="632"/>
      <c r="G429" s="632"/>
      <c r="H429" s="632"/>
      <c r="I429" s="632"/>
      <c r="J429" s="632"/>
      <c r="K429" s="632"/>
      <c r="L429" s="632"/>
      <c r="M429" s="632"/>
      <c r="N429" s="632"/>
      <c r="O429" s="633"/>
      <c r="P429" s="636" t="s">
        <v>69</v>
      </c>
      <c r="Q429" s="637"/>
      <c r="R429" s="637"/>
      <c r="S429" s="637"/>
      <c r="T429" s="637"/>
      <c r="U429" s="637"/>
      <c r="V429" s="638"/>
      <c r="W429" s="37" t="s">
        <v>67</v>
      </c>
      <c r="X429" s="619">
        <f>IFERROR(SUM(X420:X427),"0")</f>
        <v>5901</v>
      </c>
      <c r="Y429" s="619">
        <f>IFERROR(SUM(Y420:Y427),"0")</f>
        <v>5925</v>
      </c>
      <c r="Z429" s="37"/>
      <c r="AA429" s="620"/>
      <c r="AB429" s="620"/>
      <c r="AC429" s="620"/>
    </row>
    <row r="430" spans="1:68" ht="14.25" hidden="1" customHeight="1" x14ac:dyDescent="0.25">
      <c r="A430" s="635" t="s">
        <v>143</v>
      </c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2"/>
      <c r="P430" s="632"/>
      <c r="Q430" s="632"/>
      <c r="R430" s="632"/>
      <c r="S430" s="632"/>
      <c r="T430" s="632"/>
      <c r="U430" s="632"/>
      <c r="V430" s="632"/>
      <c r="W430" s="632"/>
      <c r="X430" s="632"/>
      <c r="Y430" s="632"/>
      <c r="Z430" s="632"/>
      <c r="AA430" s="613"/>
      <c r="AB430" s="613"/>
      <c r="AC430" s="613"/>
    </row>
    <row r="431" spans="1:68" ht="27" hidden="1" customHeight="1" x14ac:dyDescent="0.25">
      <c r="A431" s="54" t="s">
        <v>699</v>
      </c>
      <c r="B431" s="54" t="s">
        <v>700</v>
      </c>
      <c r="C431" s="31">
        <v>4301020178</v>
      </c>
      <c r="D431" s="629">
        <v>4607091383980</v>
      </c>
      <c r="E431" s="630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4"/>
      <c r="R431" s="624"/>
      <c r="S431" s="624"/>
      <c r="T431" s="625"/>
      <c r="U431" s="34"/>
      <c r="V431" s="34"/>
      <c r="W431" s="35" t="s">
        <v>67</v>
      </c>
      <c r="X431" s="617">
        <v>0</v>
      </c>
      <c r="Y431" s="618">
        <f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702</v>
      </c>
      <c r="B432" s="54" t="s">
        <v>703</v>
      </c>
      <c r="C432" s="31">
        <v>4301020355</v>
      </c>
      <c r="D432" s="629">
        <v>4680115888425</v>
      </c>
      <c r="E432" s="630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7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4"/>
      <c r="R432" s="624"/>
      <c r="S432" s="624"/>
      <c r="T432" s="625"/>
      <c r="U432" s="34"/>
      <c r="V432" s="34"/>
      <c r="W432" s="35" t="s">
        <v>67</v>
      </c>
      <c r="X432" s="617">
        <v>96</v>
      </c>
      <c r="Y432" s="618">
        <f>IFERROR(IF(X432="",0,CEILING((X432/$H432),1)*$H432),"")</f>
        <v>105</v>
      </c>
      <c r="Z432" s="36">
        <f>IFERROR(IF(Y432=0,"",ROUNDUP(Y432/H432,0)*0.02175),"")</f>
        <v>0.15225</v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99.00800000000001</v>
      </c>
      <c r="BN432" s="64">
        <f>IFERROR(Y432*I432/H432,"0")</f>
        <v>108.29</v>
      </c>
      <c r="BO432" s="64">
        <f>IFERROR(1/J432*(X432/H432),"0")</f>
        <v>0.13333333333333333</v>
      </c>
      <c r="BP432" s="64">
        <f>IFERROR(1/J432*(Y432/H432),"0")</f>
        <v>0.14583333333333331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9">
        <v>4607091384178</v>
      </c>
      <c r="E433" s="630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4"/>
      <c r="R433" s="624"/>
      <c r="S433" s="624"/>
      <c r="T433" s="625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1"/>
      <c r="B434" s="632"/>
      <c r="C434" s="632"/>
      <c r="D434" s="632"/>
      <c r="E434" s="632"/>
      <c r="F434" s="632"/>
      <c r="G434" s="632"/>
      <c r="H434" s="632"/>
      <c r="I434" s="632"/>
      <c r="J434" s="632"/>
      <c r="K434" s="632"/>
      <c r="L434" s="632"/>
      <c r="M434" s="632"/>
      <c r="N434" s="632"/>
      <c r="O434" s="633"/>
      <c r="P434" s="636" t="s">
        <v>69</v>
      </c>
      <c r="Q434" s="637"/>
      <c r="R434" s="637"/>
      <c r="S434" s="637"/>
      <c r="T434" s="637"/>
      <c r="U434" s="637"/>
      <c r="V434" s="638"/>
      <c r="W434" s="37" t="s">
        <v>70</v>
      </c>
      <c r="X434" s="619">
        <f>IFERROR(X431/H431,"0")+IFERROR(X432/H432,"0")+IFERROR(X433/H433,"0")</f>
        <v>6.4</v>
      </c>
      <c r="Y434" s="619">
        <f>IFERROR(Y431/H431,"0")+IFERROR(Y432/H432,"0")+IFERROR(Y433/H433,"0")</f>
        <v>7</v>
      </c>
      <c r="Z434" s="619">
        <f>IFERROR(IF(Z431="",0,Z431),"0")+IFERROR(IF(Z432="",0,Z432),"0")+IFERROR(IF(Z433="",0,Z433),"0")</f>
        <v>0.15225</v>
      </c>
      <c r="AA434" s="620"/>
      <c r="AB434" s="620"/>
      <c r="AC434" s="620"/>
    </row>
    <row r="435" spans="1:68" x14ac:dyDescent="0.2">
      <c r="A435" s="632"/>
      <c r="B435" s="632"/>
      <c r="C435" s="632"/>
      <c r="D435" s="632"/>
      <c r="E435" s="632"/>
      <c r="F435" s="632"/>
      <c r="G435" s="632"/>
      <c r="H435" s="632"/>
      <c r="I435" s="632"/>
      <c r="J435" s="632"/>
      <c r="K435" s="632"/>
      <c r="L435" s="632"/>
      <c r="M435" s="632"/>
      <c r="N435" s="632"/>
      <c r="O435" s="633"/>
      <c r="P435" s="636" t="s">
        <v>69</v>
      </c>
      <c r="Q435" s="637"/>
      <c r="R435" s="637"/>
      <c r="S435" s="637"/>
      <c r="T435" s="637"/>
      <c r="U435" s="637"/>
      <c r="V435" s="638"/>
      <c r="W435" s="37" t="s">
        <v>67</v>
      </c>
      <c r="X435" s="619">
        <f>IFERROR(SUM(X431:X433),"0")</f>
        <v>96</v>
      </c>
      <c r="Y435" s="619">
        <f>IFERROR(SUM(Y431:Y433),"0")</f>
        <v>105</v>
      </c>
      <c r="Z435" s="37"/>
      <c r="AA435" s="620"/>
      <c r="AB435" s="620"/>
      <c r="AC435" s="620"/>
    </row>
    <row r="436" spans="1:68" ht="14.25" hidden="1" customHeight="1" x14ac:dyDescent="0.25">
      <c r="A436" s="635" t="s">
        <v>71</v>
      </c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2"/>
      <c r="P436" s="632"/>
      <c r="Q436" s="632"/>
      <c r="R436" s="632"/>
      <c r="S436" s="632"/>
      <c r="T436" s="632"/>
      <c r="U436" s="632"/>
      <c r="V436" s="632"/>
      <c r="W436" s="632"/>
      <c r="X436" s="632"/>
      <c r="Y436" s="632"/>
      <c r="Z436" s="632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9">
        <v>4607091383928</v>
      </c>
      <c r="E437" s="630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4"/>
      <c r="R437" s="624"/>
      <c r="S437" s="624"/>
      <c r="T437" s="625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9">
        <v>4607091384260</v>
      </c>
      <c r="E438" s="630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4"/>
      <c r="R438" s="624"/>
      <c r="S438" s="624"/>
      <c r="T438" s="625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9">
        <v>4680115889538</v>
      </c>
      <c r="E439" s="630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3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4"/>
      <c r="R439" s="624"/>
      <c r="S439" s="624"/>
      <c r="T439" s="625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1"/>
      <c r="B440" s="632"/>
      <c r="C440" s="632"/>
      <c r="D440" s="632"/>
      <c r="E440" s="632"/>
      <c r="F440" s="632"/>
      <c r="G440" s="632"/>
      <c r="H440" s="632"/>
      <c r="I440" s="632"/>
      <c r="J440" s="632"/>
      <c r="K440" s="632"/>
      <c r="L440" s="632"/>
      <c r="M440" s="632"/>
      <c r="N440" s="632"/>
      <c r="O440" s="633"/>
      <c r="P440" s="636" t="s">
        <v>69</v>
      </c>
      <c r="Q440" s="637"/>
      <c r="R440" s="637"/>
      <c r="S440" s="637"/>
      <c r="T440" s="637"/>
      <c r="U440" s="637"/>
      <c r="V440" s="638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2"/>
      <c r="B441" s="632"/>
      <c r="C441" s="632"/>
      <c r="D441" s="632"/>
      <c r="E441" s="632"/>
      <c r="F441" s="632"/>
      <c r="G441" s="632"/>
      <c r="H441" s="632"/>
      <c r="I441" s="632"/>
      <c r="J441" s="632"/>
      <c r="K441" s="632"/>
      <c r="L441" s="632"/>
      <c r="M441" s="632"/>
      <c r="N441" s="632"/>
      <c r="O441" s="633"/>
      <c r="P441" s="636" t="s">
        <v>69</v>
      </c>
      <c r="Q441" s="637"/>
      <c r="R441" s="637"/>
      <c r="S441" s="637"/>
      <c r="T441" s="637"/>
      <c r="U441" s="637"/>
      <c r="V441" s="638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5" t="s">
        <v>161</v>
      </c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2"/>
      <c r="P442" s="632"/>
      <c r="Q442" s="632"/>
      <c r="R442" s="632"/>
      <c r="S442" s="632"/>
      <c r="T442" s="632"/>
      <c r="U442" s="632"/>
      <c r="V442" s="632"/>
      <c r="W442" s="632"/>
      <c r="X442" s="632"/>
      <c r="Y442" s="632"/>
      <c r="Z442" s="632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9">
        <v>4680115889545</v>
      </c>
      <c r="E443" s="630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4"/>
      <c r="R443" s="624"/>
      <c r="S443" s="624"/>
      <c r="T443" s="625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29">
        <v>4607091384673</v>
      </c>
      <c r="E444" s="630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4"/>
      <c r="R444" s="624"/>
      <c r="S444" s="624"/>
      <c r="T444" s="625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1"/>
      <c r="B445" s="632"/>
      <c r="C445" s="632"/>
      <c r="D445" s="632"/>
      <c r="E445" s="632"/>
      <c r="F445" s="632"/>
      <c r="G445" s="632"/>
      <c r="H445" s="632"/>
      <c r="I445" s="632"/>
      <c r="J445" s="632"/>
      <c r="K445" s="632"/>
      <c r="L445" s="632"/>
      <c r="M445" s="632"/>
      <c r="N445" s="632"/>
      <c r="O445" s="633"/>
      <c r="P445" s="636" t="s">
        <v>69</v>
      </c>
      <c r="Q445" s="637"/>
      <c r="R445" s="637"/>
      <c r="S445" s="637"/>
      <c r="T445" s="637"/>
      <c r="U445" s="637"/>
      <c r="V445" s="638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2"/>
      <c r="B446" s="632"/>
      <c r="C446" s="632"/>
      <c r="D446" s="632"/>
      <c r="E446" s="632"/>
      <c r="F446" s="632"/>
      <c r="G446" s="632"/>
      <c r="H446" s="632"/>
      <c r="I446" s="632"/>
      <c r="J446" s="632"/>
      <c r="K446" s="632"/>
      <c r="L446" s="632"/>
      <c r="M446" s="632"/>
      <c r="N446" s="632"/>
      <c r="O446" s="633"/>
      <c r="P446" s="636" t="s">
        <v>69</v>
      </c>
      <c r="Q446" s="637"/>
      <c r="R446" s="637"/>
      <c r="S446" s="637"/>
      <c r="T446" s="637"/>
      <c r="U446" s="637"/>
      <c r="V446" s="638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54" t="s">
        <v>723</v>
      </c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2"/>
      <c r="P447" s="632"/>
      <c r="Q447" s="632"/>
      <c r="R447" s="632"/>
      <c r="S447" s="632"/>
      <c r="T447" s="632"/>
      <c r="U447" s="632"/>
      <c r="V447" s="632"/>
      <c r="W447" s="632"/>
      <c r="X447" s="632"/>
      <c r="Y447" s="632"/>
      <c r="Z447" s="632"/>
      <c r="AA447" s="612"/>
      <c r="AB447" s="612"/>
      <c r="AC447" s="612"/>
    </row>
    <row r="448" spans="1:68" ht="14.25" hidden="1" customHeight="1" x14ac:dyDescent="0.25">
      <c r="A448" s="635" t="s">
        <v>108</v>
      </c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2"/>
      <c r="P448" s="632"/>
      <c r="Q448" s="632"/>
      <c r="R448" s="632"/>
      <c r="S448" s="632"/>
      <c r="T448" s="632"/>
      <c r="U448" s="632"/>
      <c r="V448" s="632"/>
      <c r="W448" s="632"/>
      <c r="X448" s="632"/>
      <c r="Y448" s="632"/>
      <c r="Z448" s="632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9">
        <v>4680115884885</v>
      </c>
      <c r="E449" s="630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4"/>
      <c r="R449" s="624"/>
      <c r="S449" s="624"/>
      <c r="T449" s="625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9">
        <v>4680115884908</v>
      </c>
      <c r="E450" s="630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4"/>
      <c r="R450" s="624"/>
      <c r="S450" s="624"/>
      <c r="T450" s="625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1"/>
      <c r="B451" s="632"/>
      <c r="C451" s="632"/>
      <c r="D451" s="632"/>
      <c r="E451" s="632"/>
      <c r="F451" s="632"/>
      <c r="G451" s="632"/>
      <c r="H451" s="632"/>
      <c r="I451" s="632"/>
      <c r="J451" s="632"/>
      <c r="K451" s="632"/>
      <c r="L451" s="632"/>
      <c r="M451" s="632"/>
      <c r="N451" s="632"/>
      <c r="O451" s="633"/>
      <c r="P451" s="636" t="s">
        <v>69</v>
      </c>
      <c r="Q451" s="637"/>
      <c r="R451" s="637"/>
      <c r="S451" s="637"/>
      <c r="T451" s="637"/>
      <c r="U451" s="637"/>
      <c r="V451" s="638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2"/>
      <c r="B452" s="632"/>
      <c r="C452" s="632"/>
      <c r="D452" s="632"/>
      <c r="E452" s="632"/>
      <c r="F452" s="632"/>
      <c r="G452" s="632"/>
      <c r="H452" s="632"/>
      <c r="I452" s="632"/>
      <c r="J452" s="632"/>
      <c r="K452" s="632"/>
      <c r="L452" s="632"/>
      <c r="M452" s="632"/>
      <c r="N452" s="632"/>
      <c r="O452" s="633"/>
      <c r="P452" s="636" t="s">
        <v>69</v>
      </c>
      <c r="Q452" s="637"/>
      <c r="R452" s="637"/>
      <c r="S452" s="637"/>
      <c r="T452" s="637"/>
      <c r="U452" s="637"/>
      <c r="V452" s="638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5" t="s">
        <v>62</v>
      </c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2"/>
      <c r="P453" s="632"/>
      <c r="Q453" s="632"/>
      <c r="R453" s="632"/>
      <c r="S453" s="632"/>
      <c r="T453" s="632"/>
      <c r="U453" s="632"/>
      <c r="V453" s="632"/>
      <c r="W453" s="632"/>
      <c r="X453" s="632"/>
      <c r="Y453" s="632"/>
      <c r="Z453" s="632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9">
        <v>4607091384802</v>
      </c>
      <c r="E454" s="630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4"/>
      <c r="R454" s="624"/>
      <c r="S454" s="624"/>
      <c r="T454" s="625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1"/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3"/>
      <c r="P455" s="636" t="s">
        <v>69</v>
      </c>
      <c r="Q455" s="637"/>
      <c r="R455" s="637"/>
      <c r="S455" s="637"/>
      <c r="T455" s="637"/>
      <c r="U455" s="637"/>
      <c r="V455" s="638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2"/>
      <c r="B456" s="632"/>
      <c r="C456" s="632"/>
      <c r="D456" s="632"/>
      <c r="E456" s="632"/>
      <c r="F456" s="632"/>
      <c r="G456" s="632"/>
      <c r="H456" s="632"/>
      <c r="I456" s="632"/>
      <c r="J456" s="632"/>
      <c r="K456" s="632"/>
      <c r="L456" s="632"/>
      <c r="M456" s="632"/>
      <c r="N456" s="632"/>
      <c r="O456" s="633"/>
      <c r="P456" s="636" t="s">
        <v>69</v>
      </c>
      <c r="Q456" s="637"/>
      <c r="R456" s="637"/>
      <c r="S456" s="637"/>
      <c r="T456" s="637"/>
      <c r="U456" s="637"/>
      <c r="V456" s="638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5" t="s">
        <v>71</v>
      </c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2"/>
      <c r="P457" s="632"/>
      <c r="Q457" s="632"/>
      <c r="R457" s="632"/>
      <c r="S457" s="632"/>
      <c r="T457" s="632"/>
      <c r="U457" s="632"/>
      <c r="V457" s="632"/>
      <c r="W457" s="632"/>
      <c r="X457" s="632"/>
      <c r="Y457" s="632"/>
      <c r="Z457" s="632"/>
      <c r="AA457" s="613"/>
      <c r="AB457" s="613"/>
      <c r="AC457" s="613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29">
        <v>4607091384246</v>
      </c>
      <c r="E458" s="630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4"/>
      <c r="R458" s="624"/>
      <c r="S458" s="624"/>
      <c r="T458" s="625"/>
      <c r="U458" s="34"/>
      <c r="V458" s="34"/>
      <c r="W458" s="35" t="s">
        <v>67</v>
      </c>
      <c r="X458" s="617">
        <v>971</v>
      </c>
      <c r="Y458" s="618">
        <f>IFERROR(IF(X458="",0,CEILING((X458/$H458),1)*$H458),"")</f>
        <v>972</v>
      </c>
      <c r="Z458" s="36">
        <f>IFERROR(IF(Y458=0,"",ROUNDUP(Y458/H458,0)*0.01898),"")</f>
        <v>2.0498400000000001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1024.297111111111</v>
      </c>
      <c r="BN458" s="64">
        <f>IFERROR(Y458*I458/H458,"0")</f>
        <v>1025.3519999999999</v>
      </c>
      <c r="BO458" s="64">
        <f>IFERROR(1/J458*(X458/H458),"0")</f>
        <v>1.6857638888888888</v>
      </c>
      <c r="BP458" s="64">
        <f>IFERROR(1/J458*(Y458/H458),"0")</f>
        <v>1.6875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29">
        <v>4607091384253</v>
      </c>
      <c r="E459" s="630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4"/>
      <c r="R459" s="624"/>
      <c r="S459" s="624"/>
      <c r="T459" s="625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9">
        <v>4607091384253</v>
      </c>
      <c r="E460" s="630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4"/>
      <c r="R460" s="624"/>
      <c r="S460" s="624"/>
      <c r="T460" s="625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1"/>
      <c r="B461" s="632"/>
      <c r="C461" s="632"/>
      <c r="D461" s="632"/>
      <c r="E461" s="632"/>
      <c r="F461" s="632"/>
      <c r="G461" s="632"/>
      <c r="H461" s="632"/>
      <c r="I461" s="632"/>
      <c r="J461" s="632"/>
      <c r="K461" s="632"/>
      <c r="L461" s="632"/>
      <c r="M461" s="632"/>
      <c r="N461" s="632"/>
      <c r="O461" s="633"/>
      <c r="P461" s="636" t="s">
        <v>69</v>
      </c>
      <c r="Q461" s="637"/>
      <c r="R461" s="637"/>
      <c r="S461" s="637"/>
      <c r="T461" s="637"/>
      <c r="U461" s="637"/>
      <c r="V461" s="638"/>
      <c r="W461" s="37" t="s">
        <v>70</v>
      </c>
      <c r="X461" s="619">
        <f>IFERROR(X458/H458,"0")+IFERROR(X459/H459,"0")+IFERROR(X460/H460,"0")</f>
        <v>107.88888888888889</v>
      </c>
      <c r="Y461" s="619">
        <f>IFERROR(Y458/H458,"0")+IFERROR(Y459/H459,"0")+IFERROR(Y460/H460,"0")</f>
        <v>108</v>
      </c>
      <c r="Z461" s="619">
        <f>IFERROR(IF(Z458="",0,Z458),"0")+IFERROR(IF(Z459="",0,Z459),"0")+IFERROR(IF(Z460="",0,Z460),"0")</f>
        <v>2.0498400000000001</v>
      </c>
      <c r="AA461" s="620"/>
      <c r="AB461" s="620"/>
      <c r="AC461" s="620"/>
    </row>
    <row r="462" spans="1:68" x14ac:dyDescent="0.2">
      <c r="A462" s="632"/>
      <c r="B462" s="632"/>
      <c r="C462" s="632"/>
      <c r="D462" s="632"/>
      <c r="E462" s="632"/>
      <c r="F462" s="632"/>
      <c r="G462" s="632"/>
      <c r="H462" s="632"/>
      <c r="I462" s="632"/>
      <c r="J462" s="632"/>
      <c r="K462" s="632"/>
      <c r="L462" s="632"/>
      <c r="M462" s="632"/>
      <c r="N462" s="632"/>
      <c r="O462" s="633"/>
      <c r="P462" s="636" t="s">
        <v>69</v>
      </c>
      <c r="Q462" s="637"/>
      <c r="R462" s="637"/>
      <c r="S462" s="637"/>
      <c r="T462" s="637"/>
      <c r="U462" s="637"/>
      <c r="V462" s="638"/>
      <c r="W462" s="37" t="s">
        <v>67</v>
      </c>
      <c r="X462" s="619">
        <f>IFERROR(SUM(X458:X460),"0")</f>
        <v>971</v>
      </c>
      <c r="Y462" s="619">
        <f>IFERROR(SUM(Y458:Y460),"0")</f>
        <v>972</v>
      </c>
      <c r="Z462" s="37"/>
      <c r="AA462" s="620"/>
      <c r="AB462" s="620"/>
      <c r="AC462" s="620"/>
    </row>
    <row r="463" spans="1:68" ht="27.75" hidden="1" customHeight="1" x14ac:dyDescent="0.2">
      <c r="A463" s="763" t="s">
        <v>739</v>
      </c>
      <c r="B463" s="764"/>
      <c r="C463" s="764"/>
      <c r="D463" s="764"/>
      <c r="E463" s="764"/>
      <c r="F463" s="764"/>
      <c r="G463" s="764"/>
      <c r="H463" s="764"/>
      <c r="I463" s="764"/>
      <c r="J463" s="764"/>
      <c r="K463" s="764"/>
      <c r="L463" s="764"/>
      <c r="M463" s="764"/>
      <c r="N463" s="764"/>
      <c r="O463" s="764"/>
      <c r="P463" s="764"/>
      <c r="Q463" s="764"/>
      <c r="R463" s="764"/>
      <c r="S463" s="764"/>
      <c r="T463" s="764"/>
      <c r="U463" s="764"/>
      <c r="V463" s="764"/>
      <c r="W463" s="764"/>
      <c r="X463" s="764"/>
      <c r="Y463" s="764"/>
      <c r="Z463" s="764"/>
      <c r="AA463" s="48"/>
      <c r="AB463" s="48"/>
      <c r="AC463" s="48"/>
    </row>
    <row r="464" spans="1:68" ht="16.5" hidden="1" customHeight="1" x14ac:dyDescent="0.25">
      <c r="A464" s="654" t="s">
        <v>740</v>
      </c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2"/>
      <c r="P464" s="632"/>
      <c r="Q464" s="632"/>
      <c r="R464" s="632"/>
      <c r="S464" s="632"/>
      <c r="T464" s="632"/>
      <c r="U464" s="632"/>
      <c r="V464" s="632"/>
      <c r="W464" s="632"/>
      <c r="X464" s="632"/>
      <c r="Y464" s="632"/>
      <c r="Z464" s="632"/>
      <c r="AA464" s="612"/>
      <c r="AB464" s="612"/>
      <c r="AC464" s="612"/>
    </row>
    <row r="465" spans="1:68" ht="14.25" hidden="1" customHeight="1" x14ac:dyDescent="0.25">
      <c r="A465" s="635" t="s">
        <v>62</v>
      </c>
      <c r="B465" s="632"/>
      <c r="C465" s="632"/>
      <c r="D465" s="632"/>
      <c r="E465" s="632"/>
      <c r="F465" s="632"/>
      <c r="G465" s="632"/>
      <c r="H465" s="632"/>
      <c r="I465" s="632"/>
      <c r="J465" s="632"/>
      <c r="K465" s="632"/>
      <c r="L465" s="632"/>
      <c r="M465" s="632"/>
      <c r="N465" s="632"/>
      <c r="O465" s="632"/>
      <c r="P465" s="632"/>
      <c r="Q465" s="632"/>
      <c r="R465" s="632"/>
      <c r="S465" s="632"/>
      <c r="T465" s="632"/>
      <c r="U465" s="632"/>
      <c r="V465" s="632"/>
      <c r="W465" s="632"/>
      <c r="X465" s="632"/>
      <c r="Y465" s="632"/>
      <c r="Z465" s="632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9">
        <v>4680115886100</v>
      </c>
      <c r="E466" s="630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6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4"/>
      <c r="R466" s="624"/>
      <c r="S466" s="624"/>
      <c r="T466" s="625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9">
        <v>4680115886124</v>
      </c>
      <c r="E467" s="630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4"/>
      <c r="R467" s="624"/>
      <c r="S467" s="624"/>
      <c r="T467" s="625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9">
        <v>4607091384338</v>
      </c>
      <c r="E468" s="630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8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4"/>
      <c r="R468" s="624"/>
      <c r="S468" s="624"/>
      <c r="T468" s="625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9">
        <v>4680115883161</v>
      </c>
      <c r="E469" s="630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4"/>
      <c r="R469" s="624"/>
      <c r="S469" s="624"/>
      <c r="T469" s="625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9">
        <v>4607091389531</v>
      </c>
      <c r="E470" s="630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4"/>
      <c r="R470" s="624"/>
      <c r="S470" s="624"/>
      <c r="T470" s="625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9">
        <v>4607091384345</v>
      </c>
      <c r="E471" s="630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4"/>
      <c r="R471" s="624"/>
      <c r="S471" s="624"/>
      <c r="T471" s="625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1"/>
      <c r="B472" s="632"/>
      <c r="C472" s="632"/>
      <c r="D472" s="632"/>
      <c r="E472" s="632"/>
      <c r="F472" s="632"/>
      <c r="G472" s="632"/>
      <c r="H472" s="632"/>
      <c r="I472" s="632"/>
      <c r="J472" s="632"/>
      <c r="K472" s="632"/>
      <c r="L472" s="632"/>
      <c r="M472" s="632"/>
      <c r="N472" s="632"/>
      <c r="O472" s="633"/>
      <c r="P472" s="636" t="s">
        <v>69</v>
      </c>
      <c r="Q472" s="637"/>
      <c r="R472" s="637"/>
      <c r="S472" s="637"/>
      <c r="T472" s="637"/>
      <c r="U472" s="637"/>
      <c r="V472" s="638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2"/>
      <c r="B473" s="632"/>
      <c r="C473" s="632"/>
      <c r="D473" s="632"/>
      <c r="E473" s="632"/>
      <c r="F473" s="632"/>
      <c r="G473" s="632"/>
      <c r="H473" s="632"/>
      <c r="I473" s="632"/>
      <c r="J473" s="632"/>
      <c r="K473" s="632"/>
      <c r="L473" s="632"/>
      <c r="M473" s="632"/>
      <c r="N473" s="632"/>
      <c r="O473" s="633"/>
      <c r="P473" s="636" t="s">
        <v>69</v>
      </c>
      <c r="Q473" s="637"/>
      <c r="R473" s="637"/>
      <c r="S473" s="637"/>
      <c r="T473" s="637"/>
      <c r="U473" s="637"/>
      <c r="V473" s="638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5" t="s">
        <v>71</v>
      </c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2"/>
      <c r="P474" s="632"/>
      <c r="Q474" s="632"/>
      <c r="R474" s="632"/>
      <c r="S474" s="632"/>
      <c r="T474" s="632"/>
      <c r="U474" s="632"/>
      <c r="V474" s="632"/>
      <c r="W474" s="632"/>
      <c r="X474" s="632"/>
      <c r="Y474" s="632"/>
      <c r="Z474" s="632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9">
        <v>4607091384352</v>
      </c>
      <c r="E475" s="630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4"/>
      <c r="R475" s="624"/>
      <c r="S475" s="624"/>
      <c r="T475" s="625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1"/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3"/>
      <c r="P476" s="636" t="s">
        <v>69</v>
      </c>
      <c r="Q476" s="637"/>
      <c r="R476" s="637"/>
      <c r="S476" s="637"/>
      <c r="T476" s="637"/>
      <c r="U476" s="637"/>
      <c r="V476" s="638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2"/>
      <c r="B477" s="632"/>
      <c r="C477" s="632"/>
      <c r="D477" s="632"/>
      <c r="E477" s="632"/>
      <c r="F477" s="632"/>
      <c r="G477" s="632"/>
      <c r="H477" s="632"/>
      <c r="I477" s="632"/>
      <c r="J477" s="632"/>
      <c r="K477" s="632"/>
      <c r="L477" s="632"/>
      <c r="M477" s="632"/>
      <c r="N477" s="632"/>
      <c r="O477" s="633"/>
      <c r="P477" s="636" t="s">
        <v>69</v>
      </c>
      <c r="Q477" s="637"/>
      <c r="R477" s="637"/>
      <c r="S477" s="637"/>
      <c r="T477" s="637"/>
      <c r="U477" s="637"/>
      <c r="V477" s="638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54" t="s">
        <v>760</v>
      </c>
      <c r="B478" s="632"/>
      <c r="C478" s="632"/>
      <c r="D478" s="632"/>
      <c r="E478" s="632"/>
      <c r="F478" s="632"/>
      <c r="G478" s="632"/>
      <c r="H478" s="632"/>
      <c r="I478" s="632"/>
      <c r="J478" s="632"/>
      <c r="K478" s="632"/>
      <c r="L478" s="632"/>
      <c r="M478" s="632"/>
      <c r="N478" s="632"/>
      <c r="O478" s="632"/>
      <c r="P478" s="632"/>
      <c r="Q478" s="632"/>
      <c r="R478" s="632"/>
      <c r="S478" s="632"/>
      <c r="T478" s="632"/>
      <c r="U478" s="632"/>
      <c r="V478" s="632"/>
      <c r="W478" s="632"/>
      <c r="X478" s="632"/>
      <c r="Y478" s="632"/>
      <c r="Z478" s="632"/>
      <c r="AA478" s="612"/>
      <c r="AB478" s="612"/>
      <c r="AC478" s="612"/>
    </row>
    <row r="479" spans="1:68" ht="14.25" hidden="1" customHeight="1" x14ac:dyDescent="0.25">
      <c r="A479" s="635" t="s">
        <v>143</v>
      </c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2"/>
      <c r="P479" s="632"/>
      <c r="Q479" s="632"/>
      <c r="R479" s="632"/>
      <c r="S479" s="632"/>
      <c r="T479" s="632"/>
      <c r="U479" s="632"/>
      <c r="V479" s="632"/>
      <c r="W479" s="632"/>
      <c r="X479" s="632"/>
      <c r="Y479" s="632"/>
      <c r="Z479" s="632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9">
        <v>4680115885240</v>
      </c>
      <c r="E480" s="630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4"/>
      <c r="R480" s="624"/>
      <c r="S480" s="624"/>
      <c r="T480" s="625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1"/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3"/>
      <c r="P481" s="636" t="s">
        <v>69</v>
      </c>
      <c r="Q481" s="637"/>
      <c r="R481" s="637"/>
      <c r="S481" s="637"/>
      <c r="T481" s="637"/>
      <c r="U481" s="637"/>
      <c r="V481" s="638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2"/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3"/>
      <c r="P482" s="636" t="s">
        <v>69</v>
      </c>
      <c r="Q482" s="637"/>
      <c r="R482" s="637"/>
      <c r="S482" s="637"/>
      <c r="T482" s="637"/>
      <c r="U482" s="637"/>
      <c r="V482" s="638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5" t="s">
        <v>62</v>
      </c>
      <c r="B483" s="632"/>
      <c r="C483" s="632"/>
      <c r="D483" s="632"/>
      <c r="E483" s="632"/>
      <c r="F483" s="632"/>
      <c r="G483" s="632"/>
      <c r="H483" s="632"/>
      <c r="I483" s="632"/>
      <c r="J483" s="632"/>
      <c r="K483" s="632"/>
      <c r="L483" s="632"/>
      <c r="M483" s="632"/>
      <c r="N483" s="632"/>
      <c r="O483" s="632"/>
      <c r="P483" s="632"/>
      <c r="Q483" s="632"/>
      <c r="R483" s="632"/>
      <c r="S483" s="632"/>
      <c r="T483" s="632"/>
      <c r="U483" s="632"/>
      <c r="V483" s="632"/>
      <c r="W483" s="632"/>
      <c r="X483" s="632"/>
      <c r="Y483" s="632"/>
      <c r="Z483" s="632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9">
        <v>4680115886094</v>
      </c>
      <c r="E484" s="630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4"/>
      <c r="R484" s="624"/>
      <c r="S484" s="624"/>
      <c r="T484" s="625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9">
        <v>4680115880771</v>
      </c>
      <c r="E485" s="630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4"/>
      <c r="R485" s="624"/>
      <c r="S485" s="624"/>
      <c r="T485" s="625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9">
        <v>4607091389500</v>
      </c>
      <c r="E486" s="630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4"/>
      <c r="R486" s="624"/>
      <c r="S486" s="624"/>
      <c r="T486" s="625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1"/>
      <c r="B487" s="632"/>
      <c r="C487" s="632"/>
      <c r="D487" s="632"/>
      <c r="E487" s="632"/>
      <c r="F487" s="632"/>
      <c r="G487" s="632"/>
      <c r="H487" s="632"/>
      <c r="I487" s="632"/>
      <c r="J487" s="632"/>
      <c r="K487" s="632"/>
      <c r="L487" s="632"/>
      <c r="M487" s="632"/>
      <c r="N487" s="632"/>
      <c r="O487" s="633"/>
      <c r="P487" s="636" t="s">
        <v>69</v>
      </c>
      <c r="Q487" s="637"/>
      <c r="R487" s="637"/>
      <c r="S487" s="637"/>
      <c r="T487" s="637"/>
      <c r="U487" s="637"/>
      <c r="V487" s="638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2"/>
      <c r="B488" s="632"/>
      <c r="C488" s="632"/>
      <c r="D488" s="632"/>
      <c r="E488" s="632"/>
      <c r="F488" s="632"/>
      <c r="G488" s="632"/>
      <c r="H488" s="632"/>
      <c r="I488" s="632"/>
      <c r="J488" s="632"/>
      <c r="K488" s="632"/>
      <c r="L488" s="632"/>
      <c r="M488" s="632"/>
      <c r="N488" s="632"/>
      <c r="O488" s="633"/>
      <c r="P488" s="636" t="s">
        <v>69</v>
      </c>
      <c r="Q488" s="637"/>
      <c r="R488" s="637"/>
      <c r="S488" s="637"/>
      <c r="T488" s="637"/>
      <c r="U488" s="637"/>
      <c r="V488" s="638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63" t="s">
        <v>772</v>
      </c>
      <c r="B489" s="764"/>
      <c r="C489" s="764"/>
      <c r="D489" s="764"/>
      <c r="E489" s="764"/>
      <c r="F489" s="764"/>
      <c r="G489" s="764"/>
      <c r="H489" s="764"/>
      <c r="I489" s="764"/>
      <c r="J489" s="764"/>
      <c r="K489" s="764"/>
      <c r="L489" s="764"/>
      <c r="M489" s="764"/>
      <c r="N489" s="764"/>
      <c r="O489" s="764"/>
      <c r="P489" s="764"/>
      <c r="Q489" s="764"/>
      <c r="R489" s="764"/>
      <c r="S489" s="764"/>
      <c r="T489" s="764"/>
      <c r="U489" s="764"/>
      <c r="V489" s="764"/>
      <c r="W489" s="764"/>
      <c r="X489" s="764"/>
      <c r="Y489" s="764"/>
      <c r="Z489" s="764"/>
      <c r="AA489" s="48"/>
      <c r="AB489" s="48"/>
      <c r="AC489" s="48"/>
    </row>
    <row r="490" spans="1:68" ht="16.5" hidden="1" customHeight="1" x14ac:dyDescent="0.25">
      <c r="A490" s="654" t="s">
        <v>772</v>
      </c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2"/>
      <c r="P490" s="632"/>
      <c r="Q490" s="632"/>
      <c r="R490" s="632"/>
      <c r="S490" s="632"/>
      <c r="T490" s="632"/>
      <c r="U490" s="632"/>
      <c r="V490" s="632"/>
      <c r="W490" s="632"/>
      <c r="X490" s="632"/>
      <c r="Y490" s="632"/>
      <c r="Z490" s="632"/>
      <c r="AA490" s="612"/>
      <c r="AB490" s="612"/>
      <c r="AC490" s="612"/>
    </row>
    <row r="491" spans="1:68" ht="14.25" hidden="1" customHeight="1" x14ac:dyDescent="0.25">
      <c r="A491" s="635" t="s">
        <v>108</v>
      </c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2"/>
      <c r="P491" s="632"/>
      <c r="Q491" s="632"/>
      <c r="R491" s="632"/>
      <c r="S491" s="632"/>
      <c r="T491" s="632"/>
      <c r="U491" s="632"/>
      <c r="V491" s="632"/>
      <c r="W491" s="632"/>
      <c r="X491" s="632"/>
      <c r="Y491" s="632"/>
      <c r="Z491" s="632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29">
        <v>4607091389067</v>
      </c>
      <c r="E492" s="630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4"/>
      <c r="R492" s="624"/>
      <c r="S492" s="624"/>
      <c r="T492" s="625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9">
        <v>4680115889576</v>
      </c>
      <c r="E493" s="630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4"/>
      <c r="R493" s="624"/>
      <c r="S493" s="624"/>
      <c r="T493" s="625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9">
        <v>4680115885271</v>
      </c>
      <c r="E494" s="630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4"/>
      <c r="R494" s="624"/>
      <c r="S494" s="624"/>
      <c r="T494" s="625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9">
        <v>4680115885226</v>
      </c>
      <c r="E495" s="630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4"/>
      <c r="R495" s="624"/>
      <c r="S495" s="624"/>
      <c r="T495" s="625"/>
      <c r="U495" s="34"/>
      <c r="V495" s="34"/>
      <c r="W495" s="35" t="s">
        <v>67</v>
      </c>
      <c r="X495" s="617">
        <v>1611</v>
      </c>
      <c r="Y495" s="618">
        <f t="shared" si="71"/>
        <v>1615.68</v>
      </c>
      <c r="Z495" s="36">
        <f>IFERROR(IF(Y495=0,"",ROUNDUP(Y495/H495,0)*0.01196),"")</f>
        <v>3.6597599999999999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1717.7897727272727</v>
      </c>
      <c r="BN495" s="64">
        <f t="shared" si="73"/>
        <v>1722.7800000000002</v>
      </c>
      <c r="BO495" s="64">
        <f t="shared" si="74"/>
        <v>2.9337849650349654</v>
      </c>
      <c r="BP495" s="64">
        <f t="shared" si="75"/>
        <v>2.9423076923076925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9">
        <v>4607091389104</v>
      </c>
      <c r="E496" s="630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4"/>
      <c r="R496" s="624"/>
      <c r="S496" s="624"/>
      <c r="T496" s="625"/>
      <c r="U496" s="34"/>
      <c r="V496" s="34"/>
      <c r="W496" s="35" t="s">
        <v>67</v>
      </c>
      <c r="X496" s="617">
        <v>2063</v>
      </c>
      <c r="Y496" s="618">
        <f t="shared" si="71"/>
        <v>2064.48</v>
      </c>
      <c r="Z496" s="36">
        <f>IFERROR(IF(Y496=0,"",ROUNDUP(Y496/H496,0)*0.01196),"")</f>
        <v>4.6763599999999999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2199.751893939394</v>
      </c>
      <c r="BN496" s="64">
        <f t="shared" si="73"/>
        <v>2201.33</v>
      </c>
      <c r="BO496" s="64">
        <f t="shared" si="74"/>
        <v>3.7569201631701632</v>
      </c>
      <c r="BP496" s="64">
        <f t="shared" si="75"/>
        <v>3.759615384615385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9">
        <v>4680115886391</v>
      </c>
      <c r="E497" s="630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4"/>
      <c r="R497" s="624"/>
      <c r="S497" s="624"/>
      <c r="T497" s="625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9">
        <v>4680115880603</v>
      </c>
      <c r="E498" s="630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4"/>
      <c r="R498" s="624"/>
      <c r="S498" s="624"/>
      <c r="T498" s="625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customHeight="1" x14ac:dyDescent="0.25">
      <c r="A499" s="54" t="s">
        <v>791</v>
      </c>
      <c r="B499" s="54" t="s">
        <v>792</v>
      </c>
      <c r="C499" s="31">
        <v>4301012034</v>
      </c>
      <c r="D499" s="629">
        <v>4607091389982</v>
      </c>
      <c r="E499" s="630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4"/>
      <c r="R499" s="624"/>
      <c r="S499" s="624"/>
      <c r="T499" s="625"/>
      <c r="U499" s="34"/>
      <c r="V499" s="34"/>
      <c r="W499" s="35" t="s">
        <v>67</v>
      </c>
      <c r="X499" s="617">
        <v>58</v>
      </c>
      <c r="Y499" s="618">
        <f t="shared" si="71"/>
        <v>62.4</v>
      </c>
      <c r="Z499" s="36">
        <f>IFERROR(IF(Y499=0,"",ROUNDUP(Y499/H499,0)*0.00902),"")</f>
        <v>0.11726</v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83.495833333333337</v>
      </c>
      <c r="BN499" s="64">
        <f t="shared" si="73"/>
        <v>89.830000000000013</v>
      </c>
      <c r="BO499" s="64">
        <f t="shared" si="74"/>
        <v>9.1540404040404047E-2</v>
      </c>
      <c r="BP499" s="64">
        <f t="shared" si="75"/>
        <v>9.8484848484848481E-2</v>
      </c>
    </row>
    <row r="500" spans="1:68" x14ac:dyDescent="0.2">
      <c r="A500" s="631"/>
      <c r="B500" s="632"/>
      <c r="C500" s="632"/>
      <c r="D500" s="632"/>
      <c r="E500" s="632"/>
      <c r="F500" s="632"/>
      <c r="G500" s="632"/>
      <c r="H500" s="632"/>
      <c r="I500" s="632"/>
      <c r="J500" s="632"/>
      <c r="K500" s="632"/>
      <c r="L500" s="632"/>
      <c r="M500" s="632"/>
      <c r="N500" s="632"/>
      <c r="O500" s="633"/>
      <c r="P500" s="636" t="s">
        <v>69</v>
      </c>
      <c r="Q500" s="637"/>
      <c r="R500" s="637"/>
      <c r="S500" s="637"/>
      <c r="T500" s="637"/>
      <c r="U500" s="637"/>
      <c r="V500" s="638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707.91666666666663</v>
      </c>
      <c r="Y500" s="619">
        <f>IFERROR(Y492/H492,"0")+IFERROR(Y493/H493,"0")+IFERROR(Y494/H494,"0")+IFERROR(Y495/H495,"0")+IFERROR(Y496/H496,"0")+IFERROR(Y497/H497,"0")+IFERROR(Y498/H498,"0")+IFERROR(Y499/H499,"0")</f>
        <v>710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8.4533799999999992</v>
      </c>
      <c r="AA500" s="620"/>
      <c r="AB500" s="620"/>
      <c r="AC500" s="620"/>
    </row>
    <row r="501" spans="1:68" x14ac:dyDescent="0.2">
      <c r="A501" s="632"/>
      <c r="B501" s="632"/>
      <c r="C501" s="632"/>
      <c r="D501" s="632"/>
      <c r="E501" s="632"/>
      <c r="F501" s="632"/>
      <c r="G501" s="632"/>
      <c r="H501" s="632"/>
      <c r="I501" s="632"/>
      <c r="J501" s="632"/>
      <c r="K501" s="632"/>
      <c r="L501" s="632"/>
      <c r="M501" s="632"/>
      <c r="N501" s="632"/>
      <c r="O501" s="633"/>
      <c r="P501" s="636" t="s">
        <v>69</v>
      </c>
      <c r="Q501" s="637"/>
      <c r="R501" s="637"/>
      <c r="S501" s="637"/>
      <c r="T501" s="637"/>
      <c r="U501" s="637"/>
      <c r="V501" s="638"/>
      <c r="W501" s="37" t="s">
        <v>67</v>
      </c>
      <c r="X501" s="619">
        <f>IFERROR(SUM(X492:X499),"0")</f>
        <v>3732</v>
      </c>
      <c r="Y501" s="619">
        <f>IFERROR(SUM(Y492:Y499),"0")</f>
        <v>3742.56</v>
      </c>
      <c r="Z501" s="37"/>
      <c r="AA501" s="620"/>
      <c r="AB501" s="620"/>
      <c r="AC501" s="620"/>
    </row>
    <row r="502" spans="1:68" ht="14.25" hidden="1" customHeight="1" x14ac:dyDescent="0.25">
      <c r="A502" s="635" t="s">
        <v>143</v>
      </c>
      <c r="B502" s="632"/>
      <c r="C502" s="632"/>
      <c r="D502" s="632"/>
      <c r="E502" s="632"/>
      <c r="F502" s="632"/>
      <c r="G502" s="632"/>
      <c r="H502" s="632"/>
      <c r="I502" s="632"/>
      <c r="J502" s="632"/>
      <c r="K502" s="632"/>
      <c r="L502" s="632"/>
      <c r="M502" s="632"/>
      <c r="N502" s="632"/>
      <c r="O502" s="632"/>
      <c r="P502" s="632"/>
      <c r="Q502" s="632"/>
      <c r="R502" s="632"/>
      <c r="S502" s="632"/>
      <c r="T502" s="632"/>
      <c r="U502" s="632"/>
      <c r="V502" s="632"/>
      <c r="W502" s="632"/>
      <c r="X502" s="632"/>
      <c r="Y502" s="632"/>
      <c r="Z502" s="632"/>
      <c r="AA502" s="613"/>
      <c r="AB502" s="613"/>
      <c r="AC502" s="613"/>
    </row>
    <row r="503" spans="1:68" ht="16.5" hidden="1" customHeight="1" x14ac:dyDescent="0.25">
      <c r="A503" s="54" t="s">
        <v>793</v>
      </c>
      <c r="B503" s="54" t="s">
        <v>794</v>
      </c>
      <c r="C503" s="31">
        <v>4301020334</v>
      </c>
      <c r="D503" s="629">
        <v>4607091388930</v>
      </c>
      <c r="E503" s="630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4"/>
      <c r="R503" s="624"/>
      <c r="S503" s="624"/>
      <c r="T503" s="625"/>
      <c r="U503" s="34"/>
      <c r="V503" s="34"/>
      <c r="W503" s="35" t="s">
        <v>67</v>
      </c>
      <c r="X503" s="617">
        <v>0</v>
      </c>
      <c r="Y503" s="618">
        <f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9">
        <v>4680115886407</v>
      </c>
      <c r="E504" s="630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4"/>
      <c r="R504" s="624"/>
      <c r="S504" s="624"/>
      <c r="T504" s="625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29">
        <v>4680115880054</v>
      </c>
      <c r="E505" s="630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4"/>
      <c r="R505" s="624"/>
      <c r="S505" s="624"/>
      <c r="T505" s="625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31"/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3"/>
      <c r="P506" s="636" t="s">
        <v>69</v>
      </c>
      <c r="Q506" s="637"/>
      <c r="R506" s="637"/>
      <c r="S506" s="637"/>
      <c r="T506" s="637"/>
      <c r="U506" s="637"/>
      <c r="V506" s="638"/>
      <c r="W506" s="37" t="s">
        <v>70</v>
      </c>
      <c r="X506" s="619">
        <f>IFERROR(X503/H503,"0")+IFERROR(X504/H504,"0")+IFERROR(X505/H505,"0")</f>
        <v>0</v>
      </c>
      <c r="Y506" s="619">
        <f>IFERROR(Y503/H503,"0")+IFERROR(Y504/H504,"0")+IFERROR(Y505/H505,"0")</f>
        <v>0</v>
      </c>
      <c r="Z506" s="619">
        <f>IFERROR(IF(Z503="",0,Z503),"0")+IFERROR(IF(Z504="",0,Z504),"0")+IFERROR(IF(Z505="",0,Z505),"0")</f>
        <v>0</v>
      </c>
      <c r="AA506" s="620"/>
      <c r="AB506" s="620"/>
      <c r="AC506" s="620"/>
    </row>
    <row r="507" spans="1:68" hidden="1" x14ac:dyDescent="0.2">
      <c r="A507" s="632"/>
      <c r="B507" s="632"/>
      <c r="C507" s="632"/>
      <c r="D507" s="632"/>
      <c r="E507" s="632"/>
      <c r="F507" s="632"/>
      <c r="G507" s="632"/>
      <c r="H507" s="632"/>
      <c r="I507" s="632"/>
      <c r="J507" s="632"/>
      <c r="K507" s="632"/>
      <c r="L507" s="632"/>
      <c r="M507" s="632"/>
      <c r="N507" s="632"/>
      <c r="O507" s="633"/>
      <c r="P507" s="636" t="s">
        <v>69</v>
      </c>
      <c r="Q507" s="637"/>
      <c r="R507" s="637"/>
      <c r="S507" s="637"/>
      <c r="T507" s="637"/>
      <c r="U507" s="637"/>
      <c r="V507" s="638"/>
      <c r="W507" s="37" t="s">
        <v>67</v>
      </c>
      <c r="X507" s="619">
        <f>IFERROR(SUM(X503:X505),"0")</f>
        <v>0</v>
      </c>
      <c r="Y507" s="619">
        <f>IFERROR(SUM(Y503:Y505),"0")</f>
        <v>0</v>
      </c>
      <c r="Z507" s="37"/>
      <c r="AA507" s="620"/>
      <c r="AB507" s="620"/>
      <c r="AC507" s="620"/>
    </row>
    <row r="508" spans="1:68" ht="14.25" hidden="1" customHeight="1" x14ac:dyDescent="0.25">
      <c r="A508" s="635" t="s">
        <v>62</v>
      </c>
      <c r="B508" s="632"/>
      <c r="C508" s="632"/>
      <c r="D508" s="632"/>
      <c r="E508" s="632"/>
      <c r="F508" s="632"/>
      <c r="G508" s="632"/>
      <c r="H508" s="632"/>
      <c r="I508" s="632"/>
      <c r="J508" s="632"/>
      <c r="K508" s="632"/>
      <c r="L508" s="632"/>
      <c r="M508" s="632"/>
      <c r="N508" s="632"/>
      <c r="O508" s="632"/>
      <c r="P508" s="632"/>
      <c r="Q508" s="632"/>
      <c r="R508" s="632"/>
      <c r="S508" s="632"/>
      <c r="T508" s="632"/>
      <c r="U508" s="632"/>
      <c r="V508" s="632"/>
      <c r="W508" s="632"/>
      <c r="X508" s="632"/>
      <c r="Y508" s="632"/>
      <c r="Z508" s="632"/>
      <c r="AA508" s="613"/>
      <c r="AB508" s="613"/>
      <c r="AC508" s="613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9">
        <v>4680115883116</v>
      </c>
      <c r="E509" s="630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4"/>
      <c r="R509" s="624"/>
      <c r="S509" s="624"/>
      <c r="T509" s="625"/>
      <c r="U509" s="34"/>
      <c r="V509" s="34"/>
      <c r="W509" s="35" t="s">
        <v>67</v>
      </c>
      <c r="X509" s="617">
        <v>150</v>
      </c>
      <c r="Y509" s="618">
        <f t="shared" ref="Y509:Y515" si="76">IFERROR(IF(X509="",0,CEILING((X509/$H509),1)*$H509),"")</f>
        <v>153.12</v>
      </c>
      <c r="Z509" s="36">
        <f>IFERROR(IF(Y509=0,"",ROUNDUP(Y509/H509,0)*0.01196),"")</f>
        <v>0.34683999999999998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159.94318181818181</v>
      </c>
      <c r="BN509" s="64">
        <f t="shared" ref="BN509:BN515" si="78">IFERROR(Y509*I509/H509,"0")</f>
        <v>163.26999999999998</v>
      </c>
      <c r="BO509" s="64">
        <f t="shared" ref="BO509:BO515" si="79">IFERROR(1/J509*(X509/H509),"0")</f>
        <v>0.27316433566433568</v>
      </c>
      <c r="BP509" s="64">
        <f t="shared" ref="BP509:BP515" si="80">IFERROR(1/J509*(Y509/H509),"0")</f>
        <v>0.27884615384615385</v>
      </c>
    </row>
    <row r="510" spans="1:68" ht="27" hidden="1" customHeight="1" x14ac:dyDescent="0.25">
      <c r="A510" s="54" t="s">
        <v>803</v>
      </c>
      <c r="B510" s="54" t="s">
        <v>804</v>
      </c>
      <c r="C510" s="31">
        <v>4301031350</v>
      </c>
      <c r="D510" s="629">
        <v>4680115883093</v>
      </c>
      <c r="E510" s="630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4"/>
      <c r="R510" s="624"/>
      <c r="S510" s="624"/>
      <c r="T510" s="625"/>
      <c r="U510" s="34"/>
      <c r="V510" s="34"/>
      <c r="W510" s="35" t="s">
        <v>67</v>
      </c>
      <c r="X510" s="617">
        <v>0</v>
      </c>
      <c r="Y510" s="618">
        <f t="shared" si="76"/>
        <v>0</v>
      </c>
      <c r="Z510" s="36" t="str">
        <f>IFERROR(IF(Y510=0,"",ROUNDUP(Y510/H510,0)*0.01196),"")</f>
        <v/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9">
        <v>4680115883109</v>
      </c>
      <c r="E511" s="630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4"/>
      <c r="R511" s="624"/>
      <c r="S511" s="624"/>
      <c r="T511" s="625"/>
      <c r="U511" s="34"/>
      <c r="V511" s="34"/>
      <c r="W511" s="35" t="s">
        <v>67</v>
      </c>
      <c r="X511" s="617">
        <v>187</v>
      </c>
      <c r="Y511" s="618">
        <f t="shared" si="76"/>
        <v>190.08</v>
      </c>
      <c r="Z511" s="36">
        <f>IFERROR(IF(Y511=0,"",ROUNDUP(Y511/H511,0)*0.01196),"")</f>
        <v>0.43056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199.39583333333331</v>
      </c>
      <c r="BN511" s="64">
        <f t="shared" si="78"/>
        <v>202.67999999999998</v>
      </c>
      <c r="BO511" s="64">
        <f t="shared" si="79"/>
        <v>0.34054487179487181</v>
      </c>
      <c r="BP511" s="64">
        <f t="shared" si="80"/>
        <v>0.34615384615384615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9">
        <v>4680115882072</v>
      </c>
      <c r="E512" s="630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4"/>
      <c r="R512" s="624"/>
      <c r="S512" s="624"/>
      <c r="T512" s="625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9">
        <v>4680115882102</v>
      </c>
      <c r="E513" s="630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4"/>
      <c r="R513" s="624"/>
      <c r="S513" s="624"/>
      <c r="T513" s="625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9">
        <v>4680115882102</v>
      </c>
      <c r="E514" s="630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4"/>
      <c r="R514" s="624"/>
      <c r="S514" s="624"/>
      <c r="T514" s="625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9">
        <v>4680115882096</v>
      </c>
      <c r="E515" s="630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1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4"/>
      <c r="R515" s="624"/>
      <c r="S515" s="624"/>
      <c r="T515" s="625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1"/>
      <c r="B516" s="632"/>
      <c r="C516" s="632"/>
      <c r="D516" s="632"/>
      <c r="E516" s="632"/>
      <c r="F516" s="632"/>
      <c r="G516" s="632"/>
      <c r="H516" s="632"/>
      <c r="I516" s="632"/>
      <c r="J516" s="632"/>
      <c r="K516" s="632"/>
      <c r="L516" s="632"/>
      <c r="M516" s="632"/>
      <c r="N516" s="632"/>
      <c r="O516" s="633"/>
      <c r="P516" s="636" t="s">
        <v>69</v>
      </c>
      <c r="Q516" s="637"/>
      <c r="R516" s="637"/>
      <c r="S516" s="637"/>
      <c r="T516" s="637"/>
      <c r="U516" s="637"/>
      <c r="V516" s="638"/>
      <c r="W516" s="37" t="s">
        <v>70</v>
      </c>
      <c r="X516" s="619">
        <f>IFERROR(X509/H509,"0")+IFERROR(X510/H510,"0")+IFERROR(X511/H511,"0")+IFERROR(X512/H512,"0")+IFERROR(X513/H513,"0")+IFERROR(X514/H514,"0")+IFERROR(X515/H515,"0")</f>
        <v>63.825757575757571</v>
      </c>
      <c r="Y516" s="619">
        <f>IFERROR(Y509/H509,"0")+IFERROR(Y510/H510,"0")+IFERROR(Y511/H511,"0")+IFERROR(Y512/H512,"0")+IFERROR(Y513/H513,"0")+IFERROR(Y514/H514,"0")+IFERROR(Y515/H515,"0")</f>
        <v>65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0.77739999999999998</v>
      </c>
      <c r="AA516" s="620"/>
      <c r="AB516" s="620"/>
      <c r="AC516" s="620"/>
    </row>
    <row r="517" spans="1:68" x14ac:dyDescent="0.2">
      <c r="A517" s="632"/>
      <c r="B517" s="632"/>
      <c r="C517" s="632"/>
      <c r="D517" s="632"/>
      <c r="E517" s="632"/>
      <c r="F517" s="632"/>
      <c r="G517" s="632"/>
      <c r="H517" s="632"/>
      <c r="I517" s="632"/>
      <c r="J517" s="632"/>
      <c r="K517" s="632"/>
      <c r="L517" s="632"/>
      <c r="M517" s="632"/>
      <c r="N517" s="632"/>
      <c r="O517" s="633"/>
      <c r="P517" s="636" t="s">
        <v>69</v>
      </c>
      <c r="Q517" s="637"/>
      <c r="R517" s="637"/>
      <c r="S517" s="637"/>
      <c r="T517" s="637"/>
      <c r="U517" s="637"/>
      <c r="V517" s="638"/>
      <c r="W517" s="37" t="s">
        <v>67</v>
      </c>
      <c r="X517" s="619">
        <f>IFERROR(SUM(X509:X515),"0")</f>
        <v>337</v>
      </c>
      <c r="Y517" s="619">
        <f>IFERROR(SUM(Y509:Y515),"0")</f>
        <v>343.20000000000005</v>
      </c>
      <c r="Z517" s="37"/>
      <c r="AA517" s="620"/>
      <c r="AB517" s="620"/>
      <c r="AC517" s="620"/>
    </row>
    <row r="518" spans="1:68" ht="27.75" hidden="1" customHeight="1" x14ac:dyDescent="0.2">
      <c r="A518" s="763" t="s">
        <v>816</v>
      </c>
      <c r="B518" s="764"/>
      <c r="C518" s="764"/>
      <c r="D518" s="764"/>
      <c r="E518" s="764"/>
      <c r="F518" s="764"/>
      <c r="G518" s="764"/>
      <c r="H518" s="764"/>
      <c r="I518" s="764"/>
      <c r="J518" s="764"/>
      <c r="K518" s="764"/>
      <c r="L518" s="764"/>
      <c r="M518" s="764"/>
      <c r="N518" s="764"/>
      <c r="O518" s="764"/>
      <c r="P518" s="764"/>
      <c r="Q518" s="764"/>
      <c r="R518" s="764"/>
      <c r="S518" s="764"/>
      <c r="T518" s="764"/>
      <c r="U518" s="764"/>
      <c r="V518" s="764"/>
      <c r="W518" s="764"/>
      <c r="X518" s="764"/>
      <c r="Y518" s="764"/>
      <c r="Z518" s="764"/>
      <c r="AA518" s="48"/>
      <c r="AB518" s="48"/>
      <c r="AC518" s="48"/>
    </row>
    <row r="519" spans="1:68" ht="16.5" hidden="1" customHeight="1" x14ac:dyDescent="0.25">
      <c r="A519" s="654" t="s">
        <v>816</v>
      </c>
      <c r="B519" s="632"/>
      <c r="C519" s="632"/>
      <c r="D519" s="632"/>
      <c r="E519" s="632"/>
      <c r="F519" s="632"/>
      <c r="G519" s="632"/>
      <c r="H519" s="632"/>
      <c r="I519" s="632"/>
      <c r="J519" s="632"/>
      <c r="K519" s="632"/>
      <c r="L519" s="632"/>
      <c r="M519" s="632"/>
      <c r="N519" s="632"/>
      <c r="O519" s="632"/>
      <c r="P519" s="632"/>
      <c r="Q519" s="632"/>
      <c r="R519" s="632"/>
      <c r="S519" s="632"/>
      <c r="T519" s="632"/>
      <c r="U519" s="632"/>
      <c r="V519" s="632"/>
      <c r="W519" s="632"/>
      <c r="X519" s="632"/>
      <c r="Y519" s="632"/>
      <c r="Z519" s="632"/>
      <c r="AA519" s="612"/>
      <c r="AB519" s="612"/>
      <c r="AC519" s="612"/>
    </row>
    <row r="520" spans="1:68" ht="14.25" hidden="1" customHeight="1" x14ac:dyDescent="0.25">
      <c r="A520" s="635" t="s">
        <v>108</v>
      </c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2"/>
      <c r="P520" s="632"/>
      <c r="Q520" s="632"/>
      <c r="R520" s="632"/>
      <c r="S520" s="632"/>
      <c r="T520" s="632"/>
      <c r="U520" s="632"/>
      <c r="V520" s="632"/>
      <c r="W520" s="632"/>
      <c r="X520" s="632"/>
      <c r="Y520" s="632"/>
      <c r="Z520" s="632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9">
        <v>4680115889736</v>
      </c>
      <c r="E521" s="630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9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4"/>
      <c r="R521" s="624"/>
      <c r="S521" s="624"/>
      <c r="T521" s="625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1"/>
      <c r="B522" s="632"/>
      <c r="C522" s="632"/>
      <c r="D522" s="632"/>
      <c r="E522" s="632"/>
      <c r="F522" s="632"/>
      <c r="G522" s="632"/>
      <c r="H522" s="632"/>
      <c r="I522" s="632"/>
      <c r="J522" s="632"/>
      <c r="K522" s="632"/>
      <c r="L522" s="632"/>
      <c r="M522" s="632"/>
      <c r="N522" s="632"/>
      <c r="O522" s="633"/>
      <c r="P522" s="636" t="s">
        <v>69</v>
      </c>
      <c r="Q522" s="637"/>
      <c r="R522" s="637"/>
      <c r="S522" s="637"/>
      <c r="T522" s="637"/>
      <c r="U522" s="637"/>
      <c r="V522" s="638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2"/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3"/>
      <c r="P523" s="636" t="s">
        <v>69</v>
      </c>
      <c r="Q523" s="637"/>
      <c r="R523" s="637"/>
      <c r="S523" s="637"/>
      <c r="T523" s="637"/>
      <c r="U523" s="637"/>
      <c r="V523" s="638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5" t="s">
        <v>143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9">
        <v>4680115889781</v>
      </c>
      <c r="E525" s="630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4"/>
      <c r="R525" s="624"/>
      <c r="S525" s="624"/>
      <c r="T525" s="625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36" t="s">
        <v>69</v>
      </c>
      <c r="Q526" s="637"/>
      <c r="R526" s="637"/>
      <c r="S526" s="637"/>
      <c r="T526" s="637"/>
      <c r="U526" s="637"/>
      <c r="V526" s="638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36" t="s">
        <v>69</v>
      </c>
      <c r="Q527" s="637"/>
      <c r="R527" s="637"/>
      <c r="S527" s="637"/>
      <c r="T527" s="637"/>
      <c r="U527" s="637"/>
      <c r="V527" s="638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5" t="s">
        <v>62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9">
        <v>4680115889774</v>
      </c>
      <c r="E529" s="630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4"/>
      <c r="R529" s="624"/>
      <c r="S529" s="624"/>
      <c r="T529" s="625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36" t="s">
        <v>69</v>
      </c>
      <c r="Q530" s="637"/>
      <c r="R530" s="637"/>
      <c r="S530" s="637"/>
      <c r="T530" s="637"/>
      <c r="U530" s="637"/>
      <c r="V530" s="638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36" t="s">
        <v>69</v>
      </c>
      <c r="Q531" s="637"/>
      <c r="R531" s="637"/>
      <c r="S531" s="637"/>
      <c r="T531" s="637"/>
      <c r="U531" s="637"/>
      <c r="V531" s="638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5" t="s">
        <v>71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9">
        <v>4680115889811</v>
      </c>
      <c r="E533" s="630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4"/>
      <c r="R533" s="624"/>
      <c r="S533" s="624"/>
      <c r="T533" s="625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36" t="s">
        <v>69</v>
      </c>
      <c r="Q534" s="637"/>
      <c r="R534" s="637"/>
      <c r="S534" s="637"/>
      <c r="T534" s="637"/>
      <c r="U534" s="637"/>
      <c r="V534" s="638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36" t="s">
        <v>69</v>
      </c>
      <c r="Q535" s="637"/>
      <c r="R535" s="637"/>
      <c r="S535" s="637"/>
      <c r="T535" s="637"/>
      <c r="U535" s="637"/>
      <c r="V535" s="638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5" t="s">
        <v>161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9">
        <v>4680115889804</v>
      </c>
      <c r="E537" s="630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4"/>
      <c r="R537" s="624"/>
      <c r="S537" s="624"/>
      <c r="T537" s="625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9">
        <v>4680115889828</v>
      </c>
      <c r="E538" s="630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4"/>
      <c r="R538" s="624"/>
      <c r="S538" s="624"/>
      <c r="T538" s="625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1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36" t="s">
        <v>69</v>
      </c>
      <c r="Q539" s="637"/>
      <c r="R539" s="637"/>
      <c r="S539" s="637"/>
      <c r="T539" s="637"/>
      <c r="U539" s="637"/>
      <c r="V539" s="638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2"/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3"/>
      <c r="P540" s="636" t="s">
        <v>69</v>
      </c>
      <c r="Q540" s="637"/>
      <c r="R540" s="637"/>
      <c r="S540" s="637"/>
      <c r="T540" s="637"/>
      <c r="U540" s="637"/>
      <c r="V540" s="638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54" t="s">
        <v>834</v>
      </c>
      <c r="B541" s="632"/>
      <c r="C541" s="632"/>
      <c r="D541" s="632"/>
      <c r="E541" s="632"/>
      <c r="F541" s="632"/>
      <c r="G541" s="632"/>
      <c r="H541" s="632"/>
      <c r="I541" s="632"/>
      <c r="J541" s="632"/>
      <c r="K541" s="632"/>
      <c r="L541" s="632"/>
      <c r="M541" s="632"/>
      <c r="N541" s="632"/>
      <c r="O541" s="632"/>
      <c r="P541" s="632"/>
      <c r="Q541" s="632"/>
      <c r="R541" s="632"/>
      <c r="S541" s="632"/>
      <c r="T541" s="632"/>
      <c r="U541" s="632"/>
      <c r="V541" s="632"/>
      <c r="W541" s="632"/>
      <c r="X541" s="632"/>
      <c r="Y541" s="632"/>
      <c r="Z541" s="632"/>
      <c r="AA541" s="612"/>
      <c r="AB541" s="612"/>
      <c r="AC541" s="612"/>
    </row>
    <row r="542" spans="1:68" ht="14.25" hidden="1" customHeight="1" x14ac:dyDescent="0.25">
      <c r="A542" s="635" t="s">
        <v>143</v>
      </c>
      <c r="B542" s="632"/>
      <c r="C542" s="632"/>
      <c r="D542" s="632"/>
      <c r="E542" s="632"/>
      <c r="F542" s="632"/>
      <c r="G542" s="632"/>
      <c r="H542" s="632"/>
      <c r="I542" s="632"/>
      <c r="J542" s="632"/>
      <c r="K542" s="632"/>
      <c r="L542" s="632"/>
      <c r="M542" s="632"/>
      <c r="N542" s="632"/>
      <c r="O542" s="632"/>
      <c r="P542" s="632"/>
      <c r="Q542" s="632"/>
      <c r="R542" s="632"/>
      <c r="S542" s="632"/>
      <c r="T542" s="632"/>
      <c r="U542" s="632"/>
      <c r="V542" s="632"/>
      <c r="W542" s="632"/>
      <c r="X542" s="632"/>
      <c r="Y542" s="632"/>
      <c r="Z542" s="632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9">
        <v>4680115889798</v>
      </c>
      <c r="E543" s="630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4"/>
      <c r="R543" s="624"/>
      <c r="S543" s="624"/>
      <c r="T543" s="625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1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36" t="s">
        <v>69</v>
      </c>
      <c r="Q544" s="637"/>
      <c r="R544" s="637"/>
      <c r="S544" s="637"/>
      <c r="T544" s="637"/>
      <c r="U544" s="637"/>
      <c r="V544" s="638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2"/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3"/>
      <c r="P545" s="636" t="s">
        <v>69</v>
      </c>
      <c r="Q545" s="637"/>
      <c r="R545" s="637"/>
      <c r="S545" s="637"/>
      <c r="T545" s="637"/>
      <c r="U545" s="637"/>
      <c r="V545" s="638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05"/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791"/>
      <c r="P546" s="641" t="s">
        <v>838</v>
      </c>
      <c r="Q546" s="642"/>
      <c r="R546" s="642"/>
      <c r="S546" s="642"/>
      <c r="T546" s="642"/>
      <c r="U546" s="642"/>
      <c r="V546" s="643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16576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16723.899999999998</v>
      </c>
      <c r="Z546" s="37"/>
      <c r="AA546" s="620"/>
      <c r="AB546" s="620"/>
      <c r="AC546" s="620"/>
    </row>
    <row r="547" spans="1:32" x14ac:dyDescent="0.2">
      <c r="A547" s="632"/>
      <c r="B547" s="632"/>
      <c r="C547" s="632"/>
      <c r="D547" s="632"/>
      <c r="E547" s="632"/>
      <c r="F547" s="632"/>
      <c r="G547" s="632"/>
      <c r="H547" s="632"/>
      <c r="I547" s="632"/>
      <c r="J547" s="632"/>
      <c r="K547" s="632"/>
      <c r="L547" s="632"/>
      <c r="M547" s="632"/>
      <c r="N547" s="632"/>
      <c r="O547" s="791"/>
      <c r="P547" s="641" t="s">
        <v>839</v>
      </c>
      <c r="Q547" s="642"/>
      <c r="R547" s="642"/>
      <c r="S547" s="642"/>
      <c r="T547" s="642"/>
      <c r="U547" s="642"/>
      <c r="V547" s="643"/>
      <c r="W547" s="37" t="s">
        <v>67</v>
      </c>
      <c r="X547" s="619">
        <f>IFERROR(SUM(BM22:BM543),"0")</f>
        <v>17512.309397912202</v>
      </c>
      <c r="Y547" s="619">
        <f>IFERROR(SUM(BN22:BN543),"0")</f>
        <v>17670.115000000005</v>
      </c>
      <c r="Z547" s="37"/>
      <c r="AA547" s="620"/>
      <c r="AB547" s="620"/>
      <c r="AC547" s="620"/>
    </row>
    <row r="548" spans="1:32" x14ac:dyDescent="0.2">
      <c r="A548" s="632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791"/>
      <c r="P548" s="641" t="s">
        <v>840</v>
      </c>
      <c r="Q548" s="642"/>
      <c r="R548" s="642"/>
      <c r="S548" s="642"/>
      <c r="T548" s="642"/>
      <c r="U548" s="642"/>
      <c r="V548" s="643"/>
      <c r="W548" s="37" t="s">
        <v>841</v>
      </c>
      <c r="X548" s="38">
        <f>ROUNDUP(SUM(BO22:BO543),0)</f>
        <v>29</v>
      </c>
      <c r="Y548" s="38">
        <f>ROUNDUP(SUM(BP22:BP543),0)</f>
        <v>30</v>
      </c>
      <c r="Z548" s="37"/>
      <c r="AA548" s="620"/>
      <c r="AB548" s="620"/>
      <c r="AC548" s="620"/>
    </row>
    <row r="549" spans="1:32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791"/>
      <c r="P549" s="641" t="s">
        <v>842</v>
      </c>
      <c r="Q549" s="642"/>
      <c r="R549" s="642"/>
      <c r="S549" s="642"/>
      <c r="T549" s="642"/>
      <c r="U549" s="642"/>
      <c r="V549" s="643"/>
      <c r="W549" s="37" t="s">
        <v>67</v>
      </c>
      <c r="X549" s="619">
        <f>GrossWeightTotal+PalletQtyTotal*25</f>
        <v>18237.309397912202</v>
      </c>
      <c r="Y549" s="619">
        <f>GrossWeightTotalR+PalletQtyTotalR*25</f>
        <v>18420.115000000005</v>
      </c>
      <c r="Z549" s="37"/>
      <c r="AA549" s="620"/>
      <c r="AB549" s="620"/>
      <c r="AC549" s="620"/>
    </row>
    <row r="550" spans="1:32" x14ac:dyDescent="0.2">
      <c r="A550" s="632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91"/>
      <c r="P550" s="641" t="s">
        <v>843</v>
      </c>
      <c r="Q550" s="642"/>
      <c r="R550" s="642"/>
      <c r="S550" s="642"/>
      <c r="T550" s="642"/>
      <c r="U550" s="642"/>
      <c r="V550" s="643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2914.1645999283251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2945</v>
      </c>
      <c r="Z550" s="37"/>
      <c r="AA550" s="620"/>
      <c r="AB550" s="620"/>
      <c r="AC550" s="620"/>
    </row>
    <row r="551" spans="1:32" ht="14.25" hidden="1" customHeight="1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91"/>
      <c r="P551" s="641" t="s">
        <v>844</v>
      </c>
      <c r="Q551" s="642"/>
      <c r="R551" s="642"/>
      <c r="S551" s="642"/>
      <c r="T551" s="642"/>
      <c r="U551" s="642"/>
      <c r="V551" s="643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33.893439999999998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1" t="s">
        <v>106</v>
      </c>
      <c r="E553" s="815"/>
      <c r="F553" s="815"/>
      <c r="G553" s="815"/>
      <c r="H553" s="815"/>
      <c r="I553" s="815"/>
      <c r="J553" s="622"/>
      <c r="K553" s="621" t="s">
        <v>327</v>
      </c>
      <c r="L553" s="815"/>
      <c r="M553" s="815"/>
      <c r="N553" s="815"/>
      <c r="O553" s="815"/>
      <c r="P553" s="815"/>
      <c r="Q553" s="815"/>
      <c r="R553" s="815"/>
      <c r="S553" s="815"/>
      <c r="T553" s="815"/>
      <c r="U553" s="815"/>
      <c r="V553" s="622"/>
      <c r="W553" s="621" t="s">
        <v>673</v>
      </c>
      <c r="X553" s="622"/>
      <c r="Y553" s="621" t="s">
        <v>739</v>
      </c>
      <c r="Z553" s="622"/>
      <c r="AA553" s="614" t="s">
        <v>772</v>
      </c>
      <c r="AB553" s="621" t="s">
        <v>816</v>
      </c>
      <c r="AC553" s="622"/>
      <c r="AF553" s="615"/>
    </row>
    <row r="554" spans="1:32" ht="14.25" customHeight="1" thickTop="1" x14ac:dyDescent="0.2">
      <c r="A554" s="915" t="s">
        <v>847</v>
      </c>
      <c r="B554" s="621" t="s">
        <v>61</v>
      </c>
      <c r="C554" s="621" t="s">
        <v>90</v>
      </c>
      <c r="D554" s="621" t="s">
        <v>107</v>
      </c>
      <c r="E554" s="621" t="s">
        <v>123</v>
      </c>
      <c r="F554" s="621" t="s">
        <v>169</v>
      </c>
      <c r="G554" s="621" t="s">
        <v>193</v>
      </c>
      <c r="H554" s="621" t="s">
        <v>237</v>
      </c>
      <c r="I554" s="621" t="s">
        <v>250</v>
      </c>
      <c r="J554" s="621" t="s">
        <v>106</v>
      </c>
      <c r="K554" s="621" t="s">
        <v>328</v>
      </c>
      <c r="L554" s="621" t="s">
        <v>349</v>
      </c>
      <c r="M554" s="621" t="s">
        <v>412</v>
      </c>
      <c r="N554" s="615"/>
      <c r="O554" s="621" t="s">
        <v>480</v>
      </c>
      <c r="P554" s="621" t="s">
        <v>511</v>
      </c>
      <c r="Q554" s="621" t="s">
        <v>530</v>
      </c>
      <c r="R554" s="621" t="s">
        <v>539</v>
      </c>
      <c r="S554" s="621" t="s">
        <v>561</v>
      </c>
      <c r="T554" s="621" t="s">
        <v>570</v>
      </c>
      <c r="U554" s="621" t="s">
        <v>656</v>
      </c>
      <c r="V554" s="621" t="s">
        <v>663</v>
      </c>
      <c r="W554" s="621" t="s">
        <v>674</v>
      </c>
      <c r="X554" s="621" t="s">
        <v>723</v>
      </c>
      <c r="Y554" s="621" t="s">
        <v>740</v>
      </c>
      <c r="Z554" s="621" t="s">
        <v>760</v>
      </c>
      <c r="AA554" s="621" t="s">
        <v>772</v>
      </c>
      <c r="AB554" s="621" t="s">
        <v>816</v>
      </c>
      <c r="AC554" s="621" t="s">
        <v>834</v>
      </c>
      <c r="AF554" s="615"/>
    </row>
    <row r="555" spans="1:32" ht="13.5" customHeight="1" thickBot="1" x14ac:dyDescent="0.25">
      <c r="A555" s="91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15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56"/>
      <c r="AB555" s="656"/>
      <c r="AC555" s="656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29.6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488.20000000000005</v>
      </c>
      <c r="F556" s="46">
        <f>IFERROR(Y84*1,"0")+IFERROR(Y85*1,"0")+IFERROR(Y86*1,"0")+IFERROR(Y87*1,"0")+IFERROR(Y88*1,"0")+IFERROR(Y89*1,"0")+IFERROR(Y93*1,"0")+IFERROR(Y94*1,"0")+IFERROR(Y95*1,"0")+IFERROR(Y96*1,"0")</f>
        <v>62.58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1594.62</v>
      </c>
      <c r="H556" s="46">
        <f>IFERROR(Y131*1,"0")+IFERROR(Y132*1,"0")+IFERROR(Y136*1,"0")+IFERROR(Y137*1,"0")+IFERROR(Y141*1,"0")+IFERROR(Y142*1,"0")</f>
        <v>32.4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579.05999999999995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317.08000000000004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1341.3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1.8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268.79999999999995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468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429.6</v>
      </c>
      <c r="U556" s="46">
        <f>IFERROR(Y406*1,"0")+IFERROR(Y407*1,"0")</f>
        <v>0</v>
      </c>
      <c r="V556" s="46">
        <f>IFERROR(Y412*1,"0")+IFERROR(Y413*1,"0")+IFERROR(Y414*1,"0")</f>
        <v>23.1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6030</v>
      </c>
      <c r="X556" s="46">
        <f>IFERROR(Y449*1,"0")+IFERROR(Y450*1,"0")+IFERROR(Y454*1,"0")+IFERROR(Y458*1,"0")+IFERROR(Y459*1,"0")+IFERROR(Y460*1,"0")</f>
        <v>972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4085.7599999999998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113,00"/>
        <filter val="1 278,00"/>
        <filter val="1 375,00"/>
        <filter val="1 611,00"/>
        <filter val="1,00"/>
        <filter val="10,00"/>
        <filter val="10,95"/>
        <filter val="107,89"/>
        <filter val="109,00"/>
        <filter val="110,42"/>
        <filter val="12,00"/>
        <filter val="13,00"/>
        <filter val="136,00"/>
        <filter val="138,00"/>
        <filter val="14,00"/>
        <filter val="146,01"/>
        <filter val="15,00"/>
        <filter val="15,09"/>
        <filter val="15,56"/>
        <filter val="150,00"/>
        <filter val="16 576,00"/>
        <filter val="16,67"/>
        <filter val="17 512,31"/>
        <filter val="17,00"/>
        <filter val="18 237,31"/>
        <filter val="183,00"/>
        <filter val="187,00"/>
        <filter val="19,00"/>
        <filter val="199,61"/>
        <filter val="2 063,00"/>
        <filter val="2 578,00"/>
        <filter val="2 914,16"/>
        <filter val="2,04"/>
        <filter val="2,50"/>
        <filter val="20,00"/>
        <filter val="22,00"/>
        <filter val="221,00"/>
        <filter val="23,00"/>
        <filter val="24,00"/>
        <filter val="25,00"/>
        <filter val="250,00"/>
        <filter val="257,00"/>
        <filter val="26,50"/>
        <filter val="265,00"/>
        <filter val="28,00"/>
        <filter val="29"/>
        <filter val="29,00"/>
        <filter val="3 732,00"/>
        <filter val="3,00"/>
        <filter val="3,75"/>
        <filter val="30,00"/>
        <filter val="301,00"/>
        <filter val="313,95"/>
        <filter val="32,00"/>
        <filter val="337,00"/>
        <filter val="340,00"/>
        <filter val="366,00"/>
        <filter val="386,00"/>
        <filter val="387,00"/>
        <filter val="393,40"/>
        <filter val="398,00"/>
        <filter val="4,00"/>
        <filter val="401,00"/>
        <filter val="43,43"/>
        <filter val="43,59"/>
        <filter val="45,00"/>
        <filter val="465,00"/>
        <filter val="47,81"/>
        <filter val="474,74"/>
        <filter val="5 901,00"/>
        <filter val="5,00"/>
        <filter val="5,77"/>
        <filter val="53,00"/>
        <filter val="569,00"/>
        <filter val="58,00"/>
        <filter val="59,62"/>
        <filter val="6,00"/>
        <filter val="6,07"/>
        <filter val="6,40"/>
        <filter val="60,00"/>
        <filter val="61,00"/>
        <filter val="63,83"/>
        <filter val="67,20"/>
        <filter val="69,00"/>
        <filter val="699,00"/>
        <filter val="7,14"/>
        <filter val="7,84"/>
        <filter val="7,92"/>
        <filter val="707,92"/>
        <filter val="71,00"/>
        <filter val="715,00"/>
        <filter val="77,00"/>
        <filter val="78,00"/>
        <filter val="8,00"/>
        <filter val="80,00"/>
        <filter val="82,00"/>
        <filter val="86,00"/>
        <filter val="9,00"/>
        <filter val="942,00"/>
        <filter val="96,00"/>
        <filter val="971,00"/>
        <filter val="98,00"/>
        <filter val="984,00"/>
      </filters>
    </filterColumn>
    <filterColumn colId="29" showButton="0"/>
    <filterColumn colId="30" showButton="0"/>
  </autoFilter>
  <mergeCells count="977"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J9:M9"/>
    <mergeCell ref="A12:M12"/>
    <mergeCell ref="A19:Z19"/>
    <mergeCell ref="A41:O42"/>
    <mergeCell ref="D38:E38"/>
    <mergeCell ref="A44:Z44"/>
    <mergeCell ref="D39:E39"/>
    <mergeCell ref="Q9:R9"/>
    <mergeCell ref="D9:E9"/>
    <mergeCell ref="F9:G9"/>
    <mergeCell ref="I17:I18"/>
    <mergeCell ref="A34:Z34"/>
    <mergeCell ref="X17:X18"/>
    <mergeCell ref="D95:E95"/>
    <mergeCell ref="P74:V74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A418:Z418"/>
    <mergeCell ref="D112:E112"/>
    <mergeCell ref="H17:H18"/>
    <mergeCell ref="P26:T26"/>
    <mergeCell ref="P27:T27"/>
    <mergeCell ref="Q10:R10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Y17:Y18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P261:T261"/>
    <mergeCell ref="A146:Z146"/>
    <mergeCell ref="P461:V461"/>
    <mergeCell ref="A143:O144"/>
    <mergeCell ref="P511:T511"/>
    <mergeCell ref="P507:V507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325:T325"/>
    <mergeCell ref="P154:T154"/>
    <mergeCell ref="D504:E504"/>
    <mergeCell ref="P241:V241"/>
    <mergeCell ref="A442:Z442"/>
    <mergeCell ref="D185:E185"/>
    <mergeCell ref="P296:T296"/>
    <mergeCell ref="P356:T356"/>
    <mergeCell ref="D277:E277"/>
    <mergeCell ref="P256:V256"/>
    <mergeCell ref="P80:V80"/>
    <mergeCell ref="P151:V151"/>
    <mergeCell ref="P87:T87"/>
    <mergeCell ref="D201:E201"/>
    <mergeCell ref="D335:E335"/>
    <mergeCell ref="D68:E68"/>
    <mergeCell ref="A440:O441"/>
    <mergeCell ref="A411:Z411"/>
    <mergeCell ref="P310:T310"/>
    <mergeCell ref="P272:T272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P245:V245"/>
    <mergeCell ref="D395:E395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353:T353"/>
    <mergeCell ref="P440:V440"/>
    <mergeCell ref="P132:T132"/>
    <mergeCell ref="P75:V75"/>
    <mergeCell ref="P342:V342"/>
    <mergeCell ref="D141:E141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A135:Z135"/>
    <mergeCell ref="P267:V267"/>
    <mergeCell ref="A331:Z331"/>
    <mergeCell ref="D255:E255"/>
    <mergeCell ref="P131:T131"/>
    <mergeCell ref="D375:E375"/>
    <mergeCell ref="D369:E369"/>
    <mergeCell ref="P423:T423"/>
    <mergeCell ref="P223:T223"/>
    <mergeCell ref="D160:E160"/>
    <mergeCell ref="P139:V139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P495:T495"/>
    <mergeCell ref="P17:T18"/>
    <mergeCell ref="P250:T250"/>
    <mergeCell ref="P492:T492"/>
    <mergeCell ref="P286:T286"/>
    <mergeCell ref="D400:E400"/>
    <mergeCell ref="D77:E77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D422:E422"/>
    <mergeCell ref="P360:V360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  <mergeCell ref="P516:V51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