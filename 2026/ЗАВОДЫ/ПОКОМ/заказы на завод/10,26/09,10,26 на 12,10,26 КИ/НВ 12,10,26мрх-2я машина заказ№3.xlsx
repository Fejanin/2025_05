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97C31E1-D64E-4027-9B46-60139C71DC7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P543" i="1"/>
  <c r="BO543" i="1"/>
  <c r="BM543" i="1"/>
  <c r="Z543" i="1"/>
  <c r="Z544" i="1" s="1"/>
  <c r="Y543" i="1"/>
  <c r="AC556" i="1" s="1"/>
  <c r="P543" i="1"/>
  <c r="X540" i="1"/>
  <c r="Y539" i="1"/>
  <c r="X539" i="1"/>
  <c r="BO538" i="1"/>
  <c r="BN538" i="1"/>
  <c r="BM538" i="1"/>
  <c r="Y538" i="1"/>
  <c r="BP538" i="1" s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Y487" i="1"/>
  <c r="X487" i="1"/>
  <c r="BO486" i="1"/>
  <c r="BN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M471" i="1"/>
  <c r="Y471" i="1"/>
  <c r="BN471" i="1" s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O467" i="1"/>
  <c r="BN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BN449" i="1" s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N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N426" i="1"/>
  <c r="BM426" i="1"/>
  <c r="Y426" i="1"/>
  <c r="BP426" i="1" s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O413" i="1"/>
  <c r="BN413" i="1"/>
  <c r="BM413" i="1"/>
  <c r="Y413" i="1"/>
  <c r="BP413" i="1" s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N393" i="1"/>
  <c r="BM393" i="1"/>
  <c r="Y393" i="1"/>
  <c r="BP393" i="1" s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N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N375" i="1"/>
  <c r="BM375" i="1"/>
  <c r="Y375" i="1"/>
  <c r="BP375" i="1" s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N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O365" i="1"/>
  <c r="BN365" i="1"/>
  <c r="BM365" i="1"/>
  <c r="Y365" i="1"/>
  <c r="BP365" i="1" s="1"/>
  <c r="P365" i="1"/>
  <c r="BO364" i="1"/>
  <c r="BM364" i="1"/>
  <c r="Y364" i="1"/>
  <c r="P364" i="1"/>
  <c r="BO363" i="1"/>
  <c r="BM363" i="1"/>
  <c r="Y363" i="1"/>
  <c r="P363" i="1"/>
  <c r="X361" i="1"/>
  <c r="X360" i="1"/>
  <c r="BO359" i="1"/>
  <c r="BN359" i="1"/>
  <c r="BM359" i="1"/>
  <c r="Y359" i="1"/>
  <c r="BP359" i="1" s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N346" i="1"/>
  <c r="BM346" i="1"/>
  <c r="Y346" i="1"/>
  <c r="BP346" i="1" s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BN339" i="1" s="1"/>
  <c r="P339" i="1"/>
  <c r="X337" i="1"/>
  <c r="X336" i="1"/>
  <c r="BO335" i="1"/>
  <c r="BM335" i="1"/>
  <c r="Y335" i="1"/>
  <c r="P335" i="1"/>
  <c r="BO334" i="1"/>
  <c r="BM334" i="1"/>
  <c r="Y334" i="1"/>
  <c r="P334" i="1"/>
  <c r="BP333" i="1"/>
  <c r="BO333" i="1"/>
  <c r="BM333" i="1"/>
  <c r="Z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N319" i="1" s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N315" i="1"/>
  <c r="BM315" i="1"/>
  <c r="Y315" i="1"/>
  <c r="BP315" i="1" s="1"/>
  <c r="P315" i="1"/>
  <c r="X312" i="1"/>
  <c r="X311" i="1"/>
  <c r="BO310" i="1"/>
  <c r="BM310" i="1"/>
  <c r="Y310" i="1"/>
  <c r="BP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N296" i="1"/>
  <c r="BM296" i="1"/>
  <c r="Y296" i="1"/>
  <c r="BP296" i="1" s="1"/>
  <c r="P296" i="1"/>
  <c r="BO295" i="1"/>
  <c r="BM295" i="1"/>
  <c r="Y295" i="1"/>
  <c r="P295" i="1"/>
  <c r="BO294" i="1"/>
  <c r="BM294" i="1"/>
  <c r="Y294" i="1"/>
  <c r="BP294" i="1" s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BN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N277" i="1"/>
  <c r="BM277" i="1"/>
  <c r="Y277" i="1"/>
  <c r="BP277" i="1" s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N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N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Y256" i="1" s="1"/>
  <c r="P254" i="1"/>
  <c r="X252" i="1"/>
  <c r="X251" i="1"/>
  <c r="BP250" i="1"/>
  <c r="BO250" i="1"/>
  <c r="BM250" i="1"/>
  <c r="Z250" i="1"/>
  <c r="Y250" i="1"/>
  <c r="BN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N233" i="1"/>
  <c r="BM233" i="1"/>
  <c r="Z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N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M217" i="1"/>
  <c r="Z217" i="1"/>
  <c r="Y217" i="1"/>
  <c r="BN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N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P184" i="1" s="1"/>
  <c r="P184" i="1"/>
  <c r="X182" i="1"/>
  <c r="X181" i="1"/>
  <c r="BO180" i="1"/>
  <c r="BN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N172" i="1" s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Y168" i="1" s="1"/>
  <c r="P166" i="1"/>
  <c r="X164" i="1"/>
  <c r="X163" i="1"/>
  <c r="BO162" i="1"/>
  <c r="BN162" i="1"/>
  <c r="BM162" i="1"/>
  <c r="Y162" i="1"/>
  <c r="BP162" i="1" s="1"/>
  <c r="P162" i="1"/>
  <c r="BO161" i="1"/>
  <c r="BM161" i="1"/>
  <c r="Y161" i="1"/>
  <c r="P161" i="1"/>
  <c r="BO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N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BP147" i="1" s="1"/>
  <c r="P147" i="1"/>
  <c r="X144" i="1"/>
  <c r="X143" i="1"/>
  <c r="BO142" i="1"/>
  <c r="BN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N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N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P111" i="1"/>
  <c r="X109" i="1"/>
  <c r="X108" i="1"/>
  <c r="BO107" i="1"/>
  <c r="BN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N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X98" i="1"/>
  <c r="X97" i="1"/>
  <c r="BO96" i="1"/>
  <c r="BN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98" i="1" s="1"/>
  <c r="P93" i="1"/>
  <c r="X91" i="1"/>
  <c r="X90" i="1"/>
  <c r="BO89" i="1"/>
  <c r="BM89" i="1"/>
  <c r="Y89" i="1"/>
  <c r="BP89" i="1" s="1"/>
  <c r="P89" i="1"/>
  <c r="BO88" i="1"/>
  <c r="BM88" i="1"/>
  <c r="Y88" i="1"/>
  <c r="BN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N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N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N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N48" i="1" s="1"/>
  <c r="P48" i="1"/>
  <c r="BO47" i="1"/>
  <c r="BM47" i="1"/>
  <c r="Y47" i="1"/>
  <c r="BP47" i="1" s="1"/>
  <c r="P47" i="1"/>
  <c r="BO46" i="1"/>
  <c r="BM46" i="1"/>
  <c r="Y46" i="1"/>
  <c r="BP46" i="1" s="1"/>
  <c r="P46" i="1"/>
  <c r="X42" i="1"/>
  <c r="X41" i="1"/>
  <c r="BP40" i="1"/>
  <c r="BO40" i="1"/>
  <c r="BM40" i="1"/>
  <c r="Z40" i="1"/>
  <c r="Y40" i="1"/>
  <c r="BN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N36" i="1" s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M28" i="1"/>
  <c r="Z28" i="1"/>
  <c r="Y28" i="1"/>
  <c r="BN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23" i="1"/>
  <c r="X550" i="1" s="1"/>
  <c r="BO22" i="1"/>
  <c r="BM22" i="1"/>
  <c r="Y22" i="1"/>
  <c r="Y23" i="1" s="1"/>
  <c r="P22" i="1"/>
  <c r="H10" i="1"/>
  <c r="A9" i="1"/>
  <c r="A10" i="1" s="1"/>
  <c r="D7" i="1"/>
  <c r="Q6" i="1"/>
  <c r="P2" i="1"/>
  <c r="F9" i="1" l="1"/>
  <c r="J9" i="1"/>
  <c r="X546" i="1"/>
  <c r="Z36" i="1"/>
  <c r="BP36" i="1"/>
  <c r="Z48" i="1"/>
  <c r="BP48" i="1"/>
  <c r="E556" i="1"/>
  <c r="Z61" i="1"/>
  <c r="BP61" i="1"/>
  <c r="Y69" i="1"/>
  <c r="Z77" i="1"/>
  <c r="BP77" i="1"/>
  <c r="Z88" i="1"/>
  <c r="BP88" i="1"/>
  <c r="Z172" i="1"/>
  <c r="BP172" i="1"/>
  <c r="Z204" i="1"/>
  <c r="BP204" i="1"/>
  <c r="Z281" i="1"/>
  <c r="BP281" i="1"/>
  <c r="Z319" i="1"/>
  <c r="BP319" i="1"/>
  <c r="Z339" i="1"/>
  <c r="BP339" i="1"/>
  <c r="Z449" i="1"/>
  <c r="BP449" i="1"/>
  <c r="Z471" i="1"/>
  <c r="BP471" i="1"/>
  <c r="Z512" i="1"/>
  <c r="BP512" i="1"/>
  <c r="F10" i="1"/>
  <c r="Z57" i="1"/>
  <c r="Z67" i="1"/>
  <c r="Z84" i="1"/>
  <c r="Z96" i="1"/>
  <c r="Z107" i="1"/>
  <c r="Y117" i="1"/>
  <c r="Z142" i="1"/>
  <c r="Z162" i="1"/>
  <c r="Z200" i="1"/>
  <c r="Z225" i="1"/>
  <c r="Z264" i="1"/>
  <c r="Z277" i="1"/>
  <c r="Z315" i="1"/>
  <c r="Z346" i="1"/>
  <c r="Z359" i="1"/>
  <c r="Z369" i="1"/>
  <c r="Z387" i="1"/>
  <c r="Z438" i="1"/>
  <c r="Z467" i="1"/>
  <c r="Z486" i="1"/>
  <c r="Z538" i="1"/>
  <c r="BN543" i="1"/>
  <c r="Y544" i="1"/>
  <c r="Z103" i="1"/>
  <c r="Z113" i="1"/>
  <c r="Z132" i="1"/>
  <c r="Z149" i="1"/>
  <c r="Z180" i="1"/>
  <c r="Z273" i="1"/>
  <c r="Z296" i="1"/>
  <c r="Z365" i="1"/>
  <c r="Z375" i="1"/>
  <c r="Z393" i="1"/>
  <c r="Z413" i="1"/>
  <c r="Z426" i="1"/>
  <c r="Z496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BP494" i="1"/>
  <c r="BN494" i="1"/>
  <c r="Z494" i="1"/>
  <c r="BP510" i="1"/>
  <c r="BN510" i="1"/>
  <c r="Z510" i="1"/>
  <c r="Z22" i="1"/>
  <c r="Z23" i="1" s="1"/>
  <c r="BN22" i="1"/>
  <c r="BP22" i="1"/>
  <c r="Z26" i="1"/>
  <c r="BN26" i="1"/>
  <c r="BP26" i="1"/>
  <c r="Z30" i="1"/>
  <c r="BN30" i="1"/>
  <c r="Z38" i="1"/>
  <c r="BN38" i="1"/>
  <c r="Z46" i="1"/>
  <c r="BN46" i="1"/>
  <c r="Z55" i="1"/>
  <c r="BN55" i="1"/>
  <c r="Z59" i="1"/>
  <c r="BN59" i="1"/>
  <c r="Z65" i="1"/>
  <c r="BN65" i="1"/>
  <c r="BP65" i="1"/>
  <c r="Z73" i="1"/>
  <c r="BN73" i="1"/>
  <c r="Y81" i="1"/>
  <c r="Z79" i="1"/>
  <c r="BN79" i="1"/>
  <c r="Z86" i="1"/>
  <c r="BN86" i="1"/>
  <c r="Z94" i="1"/>
  <c r="BN94" i="1"/>
  <c r="Z101" i="1"/>
  <c r="BN101" i="1"/>
  <c r="Z105" i="1"/>
  <c r="BN105" i="1"/>
  <c r="Z111" i="1"/>
  <c r="BN111" i="1"/>
  <c r="BP111" i="1"/>
  <c r="Z115" i="1"/>
  <c r="BN115" i="1"/>
  <c r="Y123" i="1"/>
  <c r="Z121" i="1"/>
  <c r="BN121" i="1"/>
  <c r="H556" i="1"/>
  <c r="Z136" i="1"/>
  <c r="BN136" i="1"/>
  <c r="BP136" i="1"/>
  <c r="Z147" i="1"/>
  <c r="BN147" i="1"/>
  <c r="Z160" i="1"/>
  <c r="BN160" i="1"/>
  <c r="Z166" i="1"/>
  <c r="BN166" i="1"/>
  <c r="BP166" i="1"/>
  <c r="Z174" i="1"/>
  <c r="BN174" i="1"/>
  <c r="Z178" i="1"/>
  <c r="BN178" i="1"/>
  <c r="Z184" i="1"/>
  <c r="BN184" i="1"/>
  <c r="Z202" i="1"/>
  <c r="BN202" i="1"/>
  <c r="Z215" i="1"/>
  <c r="BN215" i="1"/>
  <c r="Z219" i="1"/>
  <c r="BN219" i="1"/>
  <c r="Z223" i="1"/>
  <c r="BN223" i="1"/>
  <c r="Z231" i="1"/>
  <c r="BN231" i="1"/>
  <c r="Z239" i="1"/>
  <c r="BN239" i="1"/>
  <c r="Z254" i="1"/>
  <c r="BN254" i="1"/>
  <c r="BP254" i="1"/>
  <c r="Z262" i="1"/>
  <c r="BN262" i="1"/>
  <c r="Z271" i="1"/>
  <c r="BN271" i="1"/>
  <c r="Z275" i="1"/>
  <c r="BN275" i="1"/>
  <c r="Z279" i="1"/>
  <c r="BN279" i="1"/>
  <c r="Z285" i="1"/>
  <c r="BN285" i="1"/>
  <c r="BP285" i="1"/>
  <c r="Z294" i="1"/>
  <c r="BN294" i="1"/>
  <c r="Z310" i="1"/>
  <c r="BN310" i="1"/>
  <c r="Y321" i="1"/>
  <c r="P556" i="1"/>
  <c r="Z317" i="1"/>
  <c r="BN317" i="1"/>
  <c r="Z326" i="1"/>
  <c r="BN326" i="1"/>
  <c r="BP341" i="1"/>
  <c r="BN341" i="1"/>
  <c r="Z341" i="1"/>
  <c r="Y349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Z251" i="1" s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Z80" i="1" s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Z328" i="1" s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Z440" i="1" s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56" i="1"/>
  <c r="Y500" i="1"/>
  <c r="Y545" i="1"/>
  <c r="Z539" i="1" l="1"/>
  <c r="Z360" i="1"/>
  <c r="Z287" i="1"/>
  <c r="Z168" i="1"/>
  <c r="Z487" i="1"/>
  <c r="Z500" i="1"/>
  <c r="Z383" i="1"/>
  <c r="Z370" i="1"/>
  <c r="Z396" i="1"/>
  <c r="Z377" i="1"/>
  <c r="Z151" i="1"/>
  <c r="Z123" i="1"/>
  <c r="Z116" i="1"/>
  <c r="Z90" i="1"/>
  <c r="Z69" i="1"/>
  <c r="Y548" i="1"/>
  <c r="Z31" i="1"/>
  <c r="Y550" i="1"/>
  <c r="Z461" i="1"/>
  <c r="Z402" i="1"/>
  <c r="Z321" i="1"/>
  <c r="Z298" i="1"/>
  <c r="Z256" i="1"/>
  <c r="Z241" i="1"/>
  <c r="Z138" i="1"/>
  <c r="Z108" i="1"/>
  <c r="Z97" i="1"/>
  <c r="Z50" i="1"/>
  <c r="Z41" i="1"/>
  <c r="Y547" i="1"/>
  <c r="Y549" i="1" s="1"/>
  <c r="X549" i="1"/>
  <c r="Z434" i="1"/>
  <c r="Z282" i="1"/>
  <c r="Z336" i="1"/>
  <c r="Z62" i="1"/>
  <c r="Z472" i="1"/>
  <c r="Z206" i="1"/>
  <c r="Z428" i="1"/>
  <c r="Z516" i="1"/>
  <c r="Z390" i="1"/>
  <c r="Z267" i="1"/>
  <c r="Z235" i="1"/>
  <c r="Z227" i="1"/>
  <c r="Z181" i="1"/>
  <c r="Y546" i="1"/>
  <c r="Z415" i="1"/>
  <c r="Z551" i="1" l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<sst xmlns="http://schemas.openxmlformats.org/spreadsheetml/2006/main" count="2464" uniqueCount="894">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</sst>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46307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872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Понедельник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8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0.41666666666666669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5</v>
      </c>
      <c r="Y28" s="618">
        <f>IFERROR(IF(X28="",0,CEILING((X28/$H28),1)*$H28),"")</f>
        <v>5.4</v>
      </c>
      <c r="Z28" s="36">
        <f>IFERROR(IF(Y28=0,"",ROUNDUP(Y28/H28,0)*0.00651),"")</f>
        <v>1.9529999999999999E-2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8.8333333333333339</v>
      </c>
      <c r="BN28" s="64">
        <f>IFERROR(Y28*I28/H28,"0")</f>
        <v>9.5400000000000009</v>
      </c>
      <c r="BO28" s="64">
        <f>IFERROR(1/J28*(X28/H28),"0")</f>
        <v>1.5262515262515264E-2</v>
      </c>
      <c r="BP28" s="64">
        <f>IFERROR(1/J28*(Y28/H28),"0")</f>
        <v>1.6483516483516484E-2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2.7777777777777777</v>
      </c>
      <c r="Y31" s="619">
        <f>IFERROR(Y26/H26,"0")+IFERROR(Y27/H27,"0")+IFERROR(Y28/H28,"0")+IFERROR(Y29/H29,"0")+IFERROR(Y30/H30,"0")</f>
        <v>3</v>
      </c>
      <c r="Z31" s="619">
        <f>IFERROR(IF(Z26="",0,Z26),"0")+IFERROR(IF(Z27="",0,Z27),"0")+IFERROR(IF(Z28="",0,Z28),"0")+IFERROR(IF(Z29="",0,Z29),"0")+IFERROR(IF(Z30="",0,Z30),"0")</f>
        <v>1.9529999999999999E-2</v>
      </c>
      <c r="AA31" s="620"/>
      <c r="AB31" s="620"/>
      <c r="AC31" s="620"/>
    </row>
    <row r="32" spans="1:68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5</v>
      </c>
      <c r="Y32" s="619">
        <f>IFERROR(SUM(Y26:Y30),"0")</f>
        <v>5.4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idden="1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0</v>
      </c>
      <c r="Y50" s="619">
        <f>IFERROR(Y46/H46,"0")+IFERROR(Y47/H47,"0")+IFERROR(Y48/H48,"0")+IFERROR(Y49/H49,"0")</f>
        <v>0</v>
      </c>
      <c r="Z50" s="619">
        <f>IFERROR(IF(Z46="",0,Z46),"0")+IFERROR(IF(Z47="",0,Z47),"0")+IFERROR(IF(Z48="",0,Z48),"0")+IFERROR(IF(Z49="",0,Z49),"0")</f>
        <v>0</v>
      </c>
      <c r="AA50" s="620"/>
      <c r="AB50" s="620"/>
      <c r="AC50" s="620"/>
    </row>
    <row r="51" spans="1:68" hidden="1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0</v>
      </c>
      <c r="Y51" s="619">
        <f>IFERROR(SUM(Y46:Y49),"0")</f>
        <v>0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14</v>
      </c>
      <c r="Y54" s="618">
        <f t="shared" ref="Y54:Y61" si="0">IFERROR(IF(X54="",0,CEILING((X54/$H54),1)*$H54),"")</f>
        <v>22.4</v>
      </c>
      <c r="Z54" s="36">
        <f>IFERROR(IF(Y54=0,"",ROUNDUP(Y54/H54,0)*0.01898),"")</f>
        <v>3.7960000000000001E-2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14.512500000000001</v>
      </c>
      <c r="BN54" s="64">
        <f t="shared" ref="BN54:BN61" si="2">IFERROR(Y54*I54/H54,"0")</f>
        <v>23.22</v>
      </c>
      <c r="BO54" s="64">
        <f t="shared" ref="BO54:BO61" si="3">IFERROR(1/J54*(X54/H54),"0")</f>
        <v>1.953125E-2</v>
      </c>
      <c r="BP54" s="64">
        <f t="shared" ref="BP54:BP61" si="4">IFERROR(1/J54*(Y54/H54),"0")</f>
        <v>3.125E-2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100</v>
      </c>
      <c r="Y55" s="618">
        <f t="shared" si="0"/>
        <v>108</v>
      </c>
      <c r="Z55" s="36">
        <f>IFERROR(IF(Y55=0,"",ROUNDUP(Y55/H55,0)*0.01898),"")</f>
        <v>0.1898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103.79629629629629</v>
      </c>
      <c r="BN55" s="64">
        <f t="shared" si="2"/>
        <v>112.1</v>
      </c>
      <c r="BO55" s="64">
        <f t="shared" si="3"/>
        <v>0.14467592592592593</v>
      </c>
      <c r="BP55" s="64">
        <f t="shared" si="4"/>
        <v>0.15625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21</v>
      </c>
      <c r="Y61" s="618">
        <f t="shared" si="0"/>
        <v>22.5</v>
      </c>
      <c r="Z61" s="36">
        <f>IFERROR(IF(Y61=0,"",ROUNDUP(Y61/H61,0)*0.00902),"")</f>
        <v>4.5100000000000001E-2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21.88666666666667</v>
      </c>
      <c r="BN61" s="64">
        <f t="shared" si="2"/>
        <v>23.450000000000003</v>
      </c>
      <c r="BO61" s="64">
        <f t="shared" si="3"/>
        <v>3.5353535353535359E-2</v>
      </c>
      <c r="BP61" s="64">
        <f t="shared" si="4"/>
        <v>3.787878787878788E-2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15.175925925925927</v>
      </c>
      <c r="Y62" s="619">
        <f>IFERROR(Y54/H54,"0")+IFERROR(Y55/H55,"0")+IFERROR(Y56/H56,"0")+IFERROR(Y57/H57,"0")+IFERROR(Y58/H58,"0")+IFERROR(Y59/H59,"0")+IFERROR(Y60/H60,"0")+IFERROR(Y61/H61,"0")</f>
        <v>17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0.27285999999999999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135</v>
      </c>
      <c r="Y63" s="619">
        <f>IFERROR(SUM(Y54:Y61),"0")</f>
        <v>152.9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57</v>
      </c>
      <c r="Y65" s="618">
        <f>IFERROR(IF(X65="",0,CEILING((X65/$H65),1)*$H65),"")</f>
        <v>64.800000000000011</v>
      </c>
      <c r="Z65" s="36">
        <f>IFERROR(IF(Y65=0,"",ROUNDUP(Y65/H65,0)*0.01898),"")</f>
        <v>0.11388000000000001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59.163888888888884</v>
      </c>
      <c r="BN65" s="64">
        <f>IFERROR(Y65*I65/H65,"0")</f>
        <v>67.260000000000005</v>
      </c>
      <c r="BO65" s="64">
        <f>IFERROR(1/J65*(X65/H65),"0")</f>
        <v>8.2465277777777776E-2</v>
      </c>
      <c r="BP65" s="64">
        <f>IFERROR(1/J65*(Y65/H65),"0")</f>
        <v>9.3750000000000014E-2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5.2777777777777777</v>
      </c>
      <c r="Y69" s="619">
        <f>IFERROR(Y65/H65,"0")+IFERROR(Y66/H66,"0")+IFERROR(Y67/H67,"0")+IFERROR(Y68/H68,"0")</f>
        <v>6.0000000000000009</v>
      </c>
      <c r="Z69" s="619">
        <f>IFERROR(IF(Z65="",0,Z65),"0")+IFERROR(IF(Z66="",0,Z66),"0")+IFERROR(IF(Z67="",0,Z67),"0")+IFERROR(IF(Z68="",0,Z68),"0")</f>
        <v>0.11388000000000001</v>
      </c>
      <c r="AA69" s="620"/>
      <c r="AB69" s="620"/>
      <c r="AC69" s="620"/>
    </row>
    <row r="70" spans="1:68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57</v>
      </c>
      <c r="Y70" s="619">
        <f>IFERROR(SUM(Y65:Y68),"0")</f>
        <v>64.800000000000011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50</v>
      </c>
      <c r="Y84" s="618">
        <f t="shared" ref="Y84:Y89" si="5">IFERROR(IF(X84="",0,CEILING((X84/$H84),1)*$H84),"")</f>
        <v>54</v>
      </c>
      <c r="Z84" s="36">
        <f>IFERROR(IF(Y84=0,"",ROUNDUP(Y84/H84,0)*0.01898),"")</f>
        <v>9.4899999999999998E-2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51.898148148148145</v>
      </c>
      <c r="BN84" s="64">
        <f t="shared" ref="BN84:BN89" si="7">IFERROR(Y84*I84/H84,"0")</f>
        <v>56.05</v>
      </c>
      <c r="BO84" s="64">
        <f t="shared" ref="BO84:BO89" si="8">IFERROR(1/J84*(X84/H84),"0")</f>
        <v>7.2337962962962965E-2</v>
      </c>
      <c r="BP84" s="64">
        <f t="shared" ref="BP84:BP89" si="9">IFERROR(1/J84*(Y84/H84),"0")</f>
        <v>7.8125E-2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90</v>
      </c>
      <c r="Y89" s="618">
        <f t="shared" si="5"/>
        <v>90</v>
      </c>
      <c r="Z89" s="36">
        <f>IFERROR(IF(Y89=0,"",ROUNDUP(Y89/H89,0)*0.00902),"")</f>
        <v>0.1804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93.800000000000011</v>
      </c>
      <c r="BN89" s="64">
        <f t="shared" si="7"/>
        <v>93.800000000000011</v>
      </c>
      <c r="BO89" s="64">
        <f t="shared" si="8"/>
        <v>0.15151515151515152</v>
      </c>
      <c r="BP89" s="64">
        <f t="shared" si="9"/>
        <v>0.15151515151515152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24.62962962962963</v>
      </c>
      <c r="Y90" s="619">
        <f>IFERROR(Y84/H84,"0")+IFERROR(Y85/H85,"0")+IFERROR(Y86/H86,"0")+IFERROR(Y87/H87,"0")+IFERROR(Y88/H88,"0")+IFERROR(Y89/H89,"0")</f>
        <v>25</v>
      </c>
      <c r="Z90" s="619">
        <f>IFERROR(IF(Z84="",0,Z84),"0")+IFERROR(IF(Z85="",0,Z85),"0")+IFERROR(IF(Z86="",0,Z86),"0")+IFERROR(IF(Z87="",0,Z87),"0")+IFERROR(IF(Z88="",0,Z88),"0")+IFERROR(IF(Z89="",0,Z89),"0")</f>
        <v>0.27529999999999999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140</v>
      </c>
      <c r="Y91" s="619">
        <f>IFERROR(SUM(Y84:Y89),"0")</f>
        <v>144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280</v>
      </c>
      <c r="Y95" s="618">
        <f>IFERROR(IF(X95="",0,CEILING((X95/$H95),1)*$H95),"")</f>
        <v>280.8</v>
      </c>
      <c r="Z95" s="36">
        <f>IFERROR(IF(Y95=0,"",ROUNDUP(Y95/H95,0)*0.00651),"")</f>
        <v>0.67703999999999998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306.13333333333327</v>
      </c>
      <c r="BN95" s="64">
        <f>IFERROR(Y95*I95/H95,"0")</f>
        <v>307.00799999999998</v>
      </c>
      <c r="BO95" s="64">
        <f>IFERROR(1/J95*(X95/H95),"0")</f>
        <v>0.56980056980056981</v>
      </c>
      <c r="BP95" s="64">
        <f>IFERROR(1/J95*(Y95/H95),"0")</f>
        <v>0.57142857142857151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103.7037037037037</v>
      </c>
      <c r="Y97" s="619">
        <f>IFERROR(Y93/H93,"0")+IFERROR(Y94/H94,"0")+IFERROR(Y95/H95,"0")+IFERROR(Y96/H96,"0")</f>
        <v>104</v>
      </c>
      <c r="Z97" s="619">
        <f>IFERROR(IF(Z93="",0,Z93),"0")+IFERROR(IF(Z94="",0,Z94),"0")+IFERROR(IF(Z95="",0,Z95),"0")+IFERROR(IF(Z96="",0,Z96),"0")</f>
        <v>0.67703999999999998</v>
      </c>
      <c r="AA97" s="620"/>
      <c r="AB97" s="620"/>
      <c r="AC97" s="620"/>
    </row>
    <row r="98" spans="1:68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280</v>
      </c>
      <c r="Y98" s="619">
        <f>IFERROR(SUM(Y93:Y96),"0")</f>
        <v>280.8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100</v>
      </c>
      <c r="Y101" s="618">
        <f t="shared" ref="Y101:Y107" si="10">IFERROR(IF(X101="",0,CEILING((X101/$H101),1)*$H101),"")</f>
        <v>108</v>
      </c>
      <c r="Z101" s="36">
        <f>IFERROR(IF(Y101=0,"",ROUNDUP(Y101/H101,0)*0.01898),"")</f>
        <v>0.1898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103.79629629629629</v>
      </c>
      <c r="BN101" s="64">
        <f t="shared" ref="BN101:BN107" si="12">IFERROR(Y101*I101/H101,"0")</f>
        <v>112.1</v>
      </c>
      <c r="BO101" s="64">
        <f t="shared" ref="BO101:BO107" si="13">IFERROR(1/J101*(X101/H101),"0")</f>
        <v>0.14467592592592593</v>
      </c>
      <c r="BP101" s="64">
        <f t="shared" ref="BP101:BP107" si="14">IFERROR(1/J101*(Y101/H101),"0")</f>
        <v>0.15625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68</v>
      </c>
      <c r="Y105" s="618">
        <f t="shared" si="10"/>
        <v>72</v>
      </c>
      <c r="Z105" s="36">
        <f>IFERROR(IF(Y105=0,"",ROUNDUP(Y105/H105,0)*0.00902),"")</f>
        <v>0.14432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70.871111111111119</v>
      </c>
      <c r="BN105" s="64">
        <f t="shared" si="12"/>
        <v>75.040000000000006</v>
      </c>
      <c r="BO105" s="64">
        <f t="shared" si="13"/>
        <v>0.11447811447811448</v>
      </c>
      <c r="BP105" s="64">
        <f t="shared" si="14"/>
        <v>0.12121212121212122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24.37037037037037</v>
      </c>
      <c r="Y108" s="619">
        <f>IFERROR(Y101/H101,"0")+IFERROR(Y102/H102,"0")+IFERROR(Y103/H103,"0")+IFERROR(Y104/H104,"0")+IFERROR(Y105/H105,"0")+IFERROR(Y106/H106,"0")+IFERROR(Y107/H107,"0")</f>
        <v>26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0.33411999999999997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168</v>
      </c>
      <c r="Y109" s="619">
        <f>IFERROR(SUM(Y101:Y107),"0")</f>
        <v>180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0</v>
      </c>
      <c r="Y116" s="619">
        <f>IFERROR(Y111/H111,"0")+IFERROR(Y112/H112,"0")+IFERROR(Y113/H113,"0")+IFERROR(Y114/H114,"0")+IFERROR(Y115/H115,"0")</f>
        <v>0</v>
      </c>
      <c r="Z116" s="619">
        <f>IFERROR(IF(Z111="",0,Z111),"0")+IFERROR(IF(Z112="",0,Z112),"0")+IFERROR(IF(Z113="",0,Z113),"0")+IFERROR(IF(Z114="",0,Z114),"0")+IFERROR(IF(Z115="",0,Z115),"0")</f>
        <v>0</v>
      </c>
      <c r="AA116" s="620"/>
      <c r="AB116" s="620"/>
      <c r="AC116" s="620"/>
    </row>
    <row r="117" spans="1:68" hidden="1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0</v>
      </c>
      <c r="Y117" s="619">
        <f>IFERROR(SUM(Y111:Y115),"0")</f>
        <v>0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hidden="1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0</v>
      </c>
      <c r="Y119" s="618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157</v>
      </c>
      <c r="Y121" s="618">
        <f>IFERROR(IF(X121="",0,CEILING((X121/$H121),1)*$H121),"")</f>
        <v>159.30000000000001</v>
      </c>
      <c r="Z121" s="36">
        <f>IFERROR(IF(Y121=0,"",ROUNDUP(Y121/H121,0)*0.00651),"")</f>
        <v>0.38408999999999999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171.65333333333331</v>
      </c>
      <c r="BN121" s="64">
        <f>IFERROR(Y121*I121/H121,"0")</f>
        <v>174.16799999999998</v>
      </c>
      <c r="BO121" s="64">
        <f>IFERROR(1/J121*(X121/H121),"0")</f>
        <v>0.31949531949531951</v>
      </c>
      <c r="BP121" s="64">
        <f>IFERROR(1/J121*(Y121/H121),"0")</f>
        <v>0.32417582417582419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58.148148148148145</v>
      </c>
      <c r="Y123" s="619">
        <f>IFERROR(Y119/H119,"0")+IFERROR(Y120/H120,"0")+IFERROR(Y121/H121,"0")+IFERROR(Y122/H122,"0")</f>
        <v>59</v>
      </c>
      <c r="Z123" s="619">
        <f>IFERROR(IF(Z119="",0,Z119),"0")+IFERROR(IF(Z120="",0,Z120),"0")+IFERROR(IF(Z121="",0,Z121),"0")+IFERROR(IF(Z122="",0,Z122),"0")</f>
        <v>0.38408999999999999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157</v>
      </c>
      <c r="Y124" s="619">
        <f>IFERROR(SUM(Y119:Y122),"0")</f>
        <v>159.30000000000001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8</v>
      </c>
      <c r="Y126" s="618">
        <f>IFERROR(IF(X126="",0,CEILING((X126/$H126),1)*$H126),"")</f>
        <v>9.9</v>
      </c>
      <c r="Z126" s="36">
        <f>IFERROR(IF(Y126=0,"",ROUNDUP(Y126/H126,0)*0.00651),"")</f>
        <v>3.2550000000000003E-2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9.0424242424242429</v>
      </c>
      <c r="BN126" s="64">
        <f>IFERROR(Y126*I126/H126,"0")</f>
        <v>11.190000000000001</v>
      </c>
      <c r="BO126" s="64">
        <f>IFERROR(1/J126*(X126/H126),"0")</f>
        <v>2.2200022200022203E-2</v>
      </c>
      <c r="BP126" s="64">
        <f>IFERROR(1/J126*(Y126/H126),"0")</f>
        <v>2.7472527472527476E-2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4.0404040404040407</v>
      </c>
      <c r="Y127" s="619">
        <f>IFERROR(Y126/H126,"0")</f>
        <v>5</v>
      </c>
      <c r="Z127" s="619">
        <f>IFERROR(IF(Z126="",0,Z126),"0")</f>
        <v>3.2550000000000003E-2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8</v>
      </c>
      <c r="Y128" s="619">
        <f>IFERROR(SUM(Y126:Y126),"0")</f>
        <v>9.9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4</v>
      </c>
      <c r="Y131" s="618">
        <f>IFERROR(IF(X131="",0,CEILING((X131/$H131),1)*$H131),"")</f>
        <v>6.4</v>
      </c>
      <c r="Z131" s="36">
        <f>IFERROR(IF(Y131=0,"",ROUNDUP(Y131/H131,0)*0.00651),"")</f>
        <v>1.302E-2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4.2249999999999996</v>
      </c>
      <c r="BN131" s="64">
        <f>IFERROR(Y131*I131/H131,"0")</f>
        <v>6.76</v>
      </c>
      <c r="BO131" s="64">
        <f>IFERROR(1/J131*(X131/H131),"0")</f>
        <v>6.8681318681318689E-3</v>
      </c>
      <c r="BP131" s="64">
        <f>IFERROR(1/J131*(Y131/H131),"0")</f>
        <v>1.098901098901099E-2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1.25</v>
      </c>
      <c r="Y133" s="619">
        <f>IFERROR(Y131/H131,"0")+IFERROR(Y132/H132,"0")</f>
        <v>2</v>
      </c>
      <c r="Z133" s="619">
        <f>IFERROR(IF(Z131="",0,Z131),"0")+IFERROR(IF(Z132="",0,Z132),"0")</f>
        <v>1.302E-2</v>
      </c>
      <c r="AA133" s="620"/>
      <c r="AB133" s="620"/>
      <c r="AC133" s="620"/>
    </row>
    <row r="134" spans="1:68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4</v>
      </c>
      <c r="Y134" s="619">
        <f>IFERROR(SUM(Y131:Y132),"0")</f>
        <v>6.4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6</v>
      </c>
      <c r="Y136" s="618">
        <f>IFERROR(IF(X136="",0,CEILING((X136/$H136),1)*$H136),"")</f>
        <v>8.3999999999999986</v>
      </c>
      <c r="Z136" s="36">
        <f>IFERROR(IF(Y136=0,"",ROUNDUP(Y136/H136,0)*0.00651),"")</f>
        <v>1.9529999999999999E-2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6.5742857142857147</v>
      </c>
      <c r="BN136" s="64">
        <f>IFERROR(Y136*I136/H136,"0")</f>
        <v>9.2039999999999988</v>
      </c>
      <c r="BO136" s="64">
        <f>IFERROR(1/J136*(X136/H136),"0")</f>
        <v>1.1773940345368918E-2</v>
      </c>
      <c r="BP136" s="64">
        <f>IFERROR(1/J136*(Y136/H136),"0")</f>
        <v>1.6483516483516484E-2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2.1428571428571428</v>
      </c>
      <c r="Y138" s="619">
        <f>IFERROR(Y136/H136,"0")+IFERROR(Y137/H137,"0")</f>
        <v>2.9999999999999996</v>
      </c>
      <c r="Z138" s="619">
        <f>IFERROR(IF(Z136="",0,Z136),"0")+IFERROR(IF(Z137="",0,Z137),"0")</f>
        <v>1.9529999999999999E-2</v>
      </c>
      <c r="AA138" s="620"/>
      <c r="AB138" s="620"/>
      <c r="AC138" s="620"/>
    </row>
    <row r="139" spans="1:68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6</v>
      </c>
      <c r="Y139" s="619">
        <f>IFERROR(SUM(Y136:Y137),"0")</f>
        <v>8.3999999999999986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80</v>
      </c>
      <c r="Y171" s="618">
        <f t="shared" ref="Y171:Y180" si="15">IFERROR(IF(X171="",0,CEILING((X171/$H171),1)*$H171),"")</f>
        <v>80.5</v>
      </c>
      <c r="Z171" s="36">
        <f>IFERROR(IF(Y171=0,"",ROUNDUP(Y171/H171,0)*0.00902),"")</f>
        <v>0.20746000000000001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84.342857142857142</v>
      </c>
      <c r="BN171" s="64">
        <f t="shared" ref="BN171:BN180" si="17">IFERROR(Y171*I171/H171,"0")</f>
        <v>84.87</v>
      </c>
      <c r="BO171" s="64">
        <f t="shared" ref="BO171:BO180" si="18">IFERROR(1/J171*(X171/H171),"0")</f>
        <v>0.17316017316017318</v>
      </c>
      <c r="BP171" s="64">
        <f t="shared" ref="BP171:BP180" si="19">IFERROR(1/J171*(Y171/H171),"0")</f>
        <v>0.17424242424242425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60</v>
      </c>
      <c r="Y173" s="618">
        <f t="shared" si="15"/>
        <v>63</v>
      </c>
      <c r="Z173" s="36">
        <f>IFERROR(IF(Y173=0,"",ROUNDUP(Y173/H173,0)*0.00902),"")</f>
        <v>0.16236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63.25714285714286</v>
      </c>
      <c r="BN173" s="64">
        <f t="shared" si="17"/>
        <v>66.42</v>
      </c>
      <c r="BO173" s="64">
        <f t="shared" si="18"/>
        <v>0.12987012987012986</v>
      </c>
      <c r="BP173" s="64">
        <f t="shared" si="19"/>
        <v>0.13636363636363635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40</v>
      </c>
      <c r="Y174" s="618">
        <f t="shared" si="15"/>
        <v>42</v>
      </c>
      <c r="Z174" s="36">
        <f>IFERROR(IF(Y174=0,"",ROUNDUP(Y174/H174,0)*0.00902),"")</f>
        <v>0.10824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42.171428571428571</v>
      </c>
      <c r="BN174" s="64">
        <f t="shared" si="17"/>
        <v>44.279999999999994</v>
      </c>
      <c r="BO174" s="64">
        <f t="shared" si="18"/>
        <v>8.658008658008659E-2</v>
      </c>
      <c r="BP174" s="64">
        <f t="shared" si="19"/>
        <v>9.0909090909090912E-2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3</v>
      </c>
      <c r="Y175" s="618">
        <f t="shared" si="15"/>
        <v>3.6</v>
      </c>
      <c r="Z175" s="36">
        <f>IFERROR(IF(Y175=0,"",ROUNDUP(Y175/H175,0)*0.00726),"")</f>
        <v>2.904E-2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3.7</v>
      </c>
      <c r="BN175" s="64">
        <f t="shared" si="17"/>
        <v>4.4400000000000004</v>
      </c>
      <c r="BO175" s="64">
        <f t="shared" si="18"/>
        <v>1.7361111111111108E-2</v>
      </c>
      <c r="BP175" s="64">
        <f t="shared" si="19"/>
        <v>2.0833333333333332E-2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22</v>
      </c>
      <c r="Y176" s="618">
        <f t="shared" si="15"/>
        <v>23.52</v>
      </c>
      <c r="Z176" s="36">
        <f>IFERROR(IF(Y176=0,"",ROUNDUP(Y176/H176,0)*0.00502),"")</f>
        <v>7.0280000000000009E-2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23.309523809523814</v>
      </c>
      <c r="BN176" s="64">
        <f t="shared" si="17"/>
        <v>24.92</v>
      </c>
      <c r="BO176" s="64">
        <f t="shared" si="18"/>
        <v>5.596255596255597E-2</v>
      </c>
      <c r="BP176" s="64">
        <f t="shared" si="19"/>
        <v>5.9829059829059839E-2</v>
      </c>
    </row>
    <row r="177" spans="1:68" ht="27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2</v>
      </c>
      <c r="Y177" s="618">
        <f t="shared" si="15"/>
        <v>2.7</v>
      </c>
      <c r="Z177" s="36">
        <f>IFERROR(IF(Y177=0,"",ROUNDUP(Y177/H177,0)*0.00417),"")</f>
        <v>1.251E-2</v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2.4666666666666668</v>
      </c>
      <c r="BN177" s="64">
        <f t="shared" si="17"/>
        <v>3.33</v>
      </c>
      <c r="BO177" s="64">
        <f t="shared" si="18"/>
        <v>6.6137566137566134E-3</v>
      </c>
      <c r="BP177" s="64">
        <f t="shared" si="19"/>
        <v>8.9285714285714281E-3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1</v>
      </c>
      <c r="Y179" s="618">
        <f t="shared" si="15"/>
        <v>1.8</v>
      </c>
      <c r="Z179" s="36">
        <f>IFERROR(IF(Y179=0,"",ROUNDUP(Y179/H179,0)*0.00417),"")</f>
        <v>8.3400000000000002E-3</v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1.1111111111111112</v>
      </c>
      <c r="BN179" s="64">
        <f t="shared" si="17"/>
        <v>2</v>
      </c>
      <c r="BO179" s="64">
        <f t="shared" si="18"/>
        <v>3.3068783068783067E-3</v>
      </c>
      <c r="BP179" s="64">
        <f t="shared" si="19"/>
        <v>5.9523809523809521E-3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14</v>
      </c>
      <c r="Y180" s="618">
        <f t="shared" si="15"/>
        <v>15.12</v>
      </c>
      <c r="Z180" s="36">
        <f>IFERROR(IF(Y180=0,"",ROUNDUP(Y180/H180,0)*0.00502),"")</f>
        <v>4.5179999999999998E-2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14.833333333333336</v>
      </c>
      <c r="BN180" s="64">
        <f t="shared" si="17"/>
        <v>16.02</v>
      </c>
      <c r="BO180" s="64">
        <f t="shared" si="18"/>
        <v>3.561253561253562E-2</v>
      </c>
      <c r="BP180" s="64">
        <f t="shared" si="19"/>
        <v>3.8461538461538464E-2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79.523809523809533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85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0.64341000000000004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222</v>
      </c>
      <c r="Y182" s="619">
        <f>IFERROR(SUM(Y171:Y180),"0")</f>
        <v>232.24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50</v>
      </c>
      <c r="Y214" s="618">
        <f t="shared" ref="Y214:Y226" si="26">IFERROR(IF(X214="",0,CEILING((X214/$H214),1)*$H214),"")</f>
        <v>50.400000000000006</v>
      </c>
      <c r="Z214" s="36">
        <f>IFERROR(IF(Y214=0,"",ROUNDUP(Y214/H214,0)*0.00902),"")</f>
        <v>0.10824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52.976190476190474</v>
      </c>
      <c r="BN214" s="64">
        <f t="shared" ref="BN214:BN226" si="28">IFERROR(Y214*I214/H214,"0")</f>
        <v>53.400000000000006</v>
      </c>
      <c r="BO214" s="64">
        <f t="shared" ref="BO214:BO226" si="29">IFERROR(1/J214*(X214/H214),"0")</f>
        <v>9.0187590187590191E-2</v>
      </c>
      <c r="BP214" s="64">
        <f t="shared" ref="BP214:BP226" si="30">IFERROR(1/J214*(Y214/H214),"0")</f>
        <v>9.0909090909090912E-2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0</v>
      </c>
      <c r="Y217" s="618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35</v>
      </c>
      <c r="Y218" s="618">
        <f t="shared" si="26"/>
        <v>35.700000000000003</v>
      </c>
      <c r="Z218" s="36">
        <f>IFERROR(IF(Y218=0,"",ROUNDUP(Y218/H218,0)*0.00502),"")</f>
        <v>8.5339999999999999E-2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37.166666666666664</v>
      </c>
      <c r="BN218" s="64">
        <f t="shared" si="28"/>
        <v>37.910000000000004</v>
      </c>
      <c r="BO218" s="64">
        <f t="shared" si="29"/>
        <v>7.1225071225071226E-2</v>
      </c>
      <c r="BP218" s="64">
        <f t="shared" si="30"/>
        <v>7.2649572649572655E-2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24</v>
      </c>
      <c r="Y222" s="618">
        <f t="shared" si="26"/>
        <v>25.2</v>
      </c>
      <c r="Z222" s="36">
        <f>IFERROR(IF(Y222=0,"",ROUNDUP(Y222/H222,0)*0.00502),"")</f>
        <v>7.0280000000000009E-2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25.733333333333334</v>
      </c>
      <c r="BN222" s="64">
        <f t="shared" si="28"/>
        <v>27.019999999999996</v>
      </c>
      <c r="BO222" s="64">
        <f t="shared" si="29"/>
        <v>5.6980056980056981E-2</v>
      </c>
      <c r="BP222" s="64">
        <f t="shared" si="30"/>
        <v>5.9829059829059839E-2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6</v>
      </c>
      <c r="Y223" s="618">
        <f t="shared" si="26"/>
        <v>6.4</v>
      </c>
      <c r="Z223" s="36">
        <f>IFERROR(IF(Y223=0,"",ROUNDUP(Y223/H223,0)*0.00417),"")</f>
        <v>3.3360000000000001E-2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7.5750000000000002</v>
      </c>
      <c r="BN223" s="64">
        <f t="shared" si="28"/>
        <v>8.08</v>
      </c>
      <c r="BO223" s="64">
        <f t="shared" si="29"/>
        <v>2.2321428571428568E-2</v>
      </c>
      <c r="BP223" s="64">
        <f t="shared" si="30"/>
        <v>2.3809523809523808E-2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35</v>
      </c>
      <c r="Y224" s="618">
        <f t="shared" si="26"/>
        <v>35.700000000000003</v>
      </c>
      <c r="Z224" s="36">
        <f>IFERROR(IF(Y224=0,"",ROUNDUP(Y224/H224,0)*0.00502),"")</f>
        <v>8.5339999999999999E-2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36.666666666666664</v>
      </c>
      <c r="BN224" s="64">
        <f t="shared" si="28"/>
        <v>37.4</v>
      </c>
      <c r="BO224" s="64">
        <f t="shared" si="29"/>
        <v>7.1225071225071226E-2</v>
      </c>
      <c r="BP224" s="64">
        <f t="shared" si="30"/>
        <v>7.2649572649572655E-2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66.071428571428555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68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0.38256000000000001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150</v>
      </c>
      <c r="Y228" s="619">
        <f>IFERROR(SUM(Y214:Y226),"0")</f>
        <v>153.40000000000003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4</v>
      </c>
      <c r="Y239" s="618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4</v>
      </c>
      <c r="Y240" s="61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6.3492063492063489</v>
      </c>
      <c r="Y241" s="619">
        <f>IFERROR(Y238/H238,"0")+IFERROR(Y239/H239,"0")+IFERROR(Y240/H240,"0")</f>
        <v>8</v>
      </c>
      <c r="Z241" s="619">
        <f>IFERROR(IF(Z238="",0,Z238),"0")+IFERROR(IF(Z239="",0,Z239),"0")+IFERROR(IF(Z240="",0,Z240),"0")</f>
        <v>4.7199999999999999E-2</v>
      </c>
      <c r="AA241" s="620"/>
      <c r="AB241" s="620"/>
      <c r="AC241" s="620"/>
    </row>
    <row r="242" spans="1:68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8</v>
      </c>
      <c r="Y242" s="619">
        <f>IFERROR(SUM(Y238:Y240),"0")</f>
        <v>10.08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4</v>
      </c>
      <c r="Y244" s="618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3.1746031746031744</v>
      </c>
      <c r="Y245" s="619">
        <f>IFERROR(Y244/H244,"0")</f>
        <v>4</v>
      </c>
      <c r="Z245" s="619">
        <f>IFERROR(IF(Z244="",0,Z244),"0")</f>
        <v>2.3599999999999999E-2</v>
      </c>
      <c r="AA245" s="620"/>
      <c r="AB245" s="620"/>
      <c r="AC245" s="620"/>
    </row>
    <row r="246" spans="1:68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4</v>
      </c>
      <c r="Y246" s="619">
        <f>IFERROR(SUM(Y244:Y244),"0")</f>
        <v>5.04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100</v>
      </c>
      <c r="Y261" s="618">
        <f t="shared" si="31"/>
        <v>102.60000000000001</v>
      </c>
      <c r="Z261" s="36">
        <f>IFERROR(IF(Y261=0,"",ROUNDUP(Y261/H261,0)*0.00902),"")</f>
        <v>0.17138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103.5185185185185</v>
      </c>
      <c r="BN261" s="64">
        <f t="shared" si="33"/>
        <v>106.21</v>
      </c>
      <c r="BO261" s="64">
        <f t="shared" si="34"/>
        <v>0.14029180695847362</v>
      </c>
      <c r="BP261" s="64">
        <f t="shared" si="35"/>
        <v>0.14393939393939395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60</v>
      </c>
      <c r="Y262" s="618">
        <f t="shared" si="31"/>
        <v>64.800000000000011</v>
      </c>
      <c r="Z262" s="36">
        <f>IFERROR(IF(Y262=0,"",ROUNDUP(Y262/H262,0)*0.00902),"")</f>
        <v>0.10824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62.1111111111111</v>
      </c>
      <c r="BN262" s="64">
        <f t="shared" si="33"/>
        <v>67.08</v>
      </c>
      <c r="BO262" s="64">
        <f t="shared" si="34"/>
        <v>8.4175084175084181E-2</v>
      </c>
      <c r="BP262" s="64">
        <f t="shared" si="35"/>
        <v>9.0909090909090925E-2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24</v>
      </c>
      <c r="Y263" s="618">
        <f t="shared" si="31"/>
        <v>25.2</v>
      </c>
      <c r="Z263" s="36">
        <f>IFERROR(IF(Y263=0,"",ROUNDUP(Y263/H263,0)*0.00502),"")</f>
        <v>7.0280000000000009E-2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25.733333333333334</v>
      </c>
      <c r="BN263" s="64">
        <f t="shared" si="33"/>
        <v>27.019999999999996</v>
      </c>
      <c r="BO263" s="64">
        <f t="shared" si="34"/>
        <v>5.6980056980056981E-2</v>
      </c>
      <c r="BP263" s="64">
        <f t="shared" si="35"/>
        <v>5.9829059829059839E-2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24</v>
      </c>
      <c r="Y264" s="618">
        <f t="shared" si="31"/>
        <v>25.2</v>
      </c>
      <c r="Z264" s="36">
        <f>IFERROR(IF(Y264=0,"",ROUNDUP(Y264/H264,0)*0.00502),"")</f>
        <v>7.0280000000000009E-2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25.333333333333329</v>
      </c>
      <c r="BN264" s="64">
        <f t="shared" si="33"/>
        <v>26.599999999999998</v>
      </c>
      <c r="BO264" s="64">
        <f t="shared" si="34"/>
        <v>5.6980056980056981E-2</v>
      </c>
      <c r="BP264" s="64">
        <f t="shared" si="35"/>
        <v>5.9829059829059839E-2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15</v>
      </c>
      <c r="Y266" s="618">
        <f t="shared" si="31"/>
        <v>16.2</v>
      </c>
      <c r="Z266" s="36">
        <f>IFERROR(IF(Y266=0,"",ROUNDUP(Y266/H266,0)*0.00502),"")</f>
        <v>4.5179999999999998E-2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15.833333333333332</v>
      </c>
      <c r="BN266" s="64">
        <f t="shared" si="33"/>
        <v>17.099999999999998</v>
      </c>
      <c r="BO266" s="64">
        <f t="shared" si="34"/>
        <v>3.561253561253562E-2</v>
      </c>
      <c r="BP266" s="64">
        <f t="shared" si="35"/>
        <v>3.8461538461538464E-2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64.629629629629619</v>
      </c>
      <c r="Y267" s="619">
        <f>IFERROR(Y259/H259,"0")+IFERROR(Y260/H260,"0")+IFERROR(Y261/H261,"0")+IFERROR(Y262/H262,"0")+IFERROR(Y263/H263,"0")+IFERROR(Y264/H264,"0")+IFERROR(Y265/H265,"0")+IFERROR(Y266/H266,"0")</f>
        <v>68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0.46536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223</v>
      </c>
      <c r="Y268" s="619">
        <f>IFERROR(SUM(Y259:Y266),"0")</f>
        <v>234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49</v>
      </c>
      <c r="Y273" s="618">
        <f t="shared" si="36"/>
        <v>50.4</v>
      </c>
      <c r="Z273" s="36">
        <f>IFERROR(IF(Y273=0,"",ROUNDUP(Y273/H273,0)*0.00651),"")</f>
        <v>0.13671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54.512499999999996</v>
      </c>
      <c r="BN273" s="64">
        <f t="shared" si="38"/>
        <v>56.069999999999993</v>
      </c>
      <c r="BO273" s="64">
        <f t="shared" si="39"/>
        <v>0.1121794871794872</v>
      </c>
      <c r="BP273" s="64">
        <f t="shared" si="40"/>
        <v>0.11538461538461539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169</v>
      </c>
      <c r="Y276" s="618">
        <f t="shared" si="36"/>
        <v>170.4</v>
      </c>
      <c r="Z276" s="36">
        <f>IFERROR(IF(Y276=0,"",ROUNDUP(Y276/H276,0)*0.00651),"")</f>
        <v>0.46221000000000001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186.74500000000003</v>
      </c>
      <c r="BN276" s="64">
        <f t="shared" si="38"/>
        <v>188.29200000000003</v>
      </c>
      <c r="BO276" s="64">
        <f t="shared" si="39"/>
        <v>0.38690476190476197</v>
      </c>
      <c r="BP276" s="64">
        <f t="shared" si="40"/>
        <v>0.39010989010989017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22</v>
      </c>
      <c r="Y278" s="618">
        <f t="shared" si="36"/>
        <v>24</v>
      </c>
      <c r="Z278" s="36">
        <f>IFERROR(IF(Y278=0,"",ROUNDUP(Y278/H278,0)*0.00651),"")</f>
        <v>6.5100000000000005E-2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24.310000000000002</v>
      </c>
      <c r="BN278" s="64">
        <f t="shared" si="38"/>
        <v>26.520000000000003</v>
      </c>
      <c r="BO278" s="64">
        <f t="shared" si="39"/>
        <v>5.0366300366300375E-2</v>
      </c>
      <c r="BP278" s="64">
        <f t="shared" si="40"/>
        <v>5.4945054945054951E-2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26</v>
      </c>
      <c r="Y279" s="618">
        <f t="shared" si="36"/>
        <v>26.4</v>
      </c>
      <c r="Z279" s="36">
        <f>IFERROR(IF(Y279=0,"",ROUNDUP(Y279/H279,0)*0.00651),"")</f>
        <v>7.1610000000000007E-2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28.73</v>
      </c>
      <c r="BN279" s="64">
        <f t="shared" si="38"/>
        <v>29.172000000000001</v>
      </c>
      <c r="BO279" s="64">
        <f t="shared" si="39"/>
        <v>5.9523809523809534E-2</v>
      </c>
      <c r="BP279" s="64">
        <f t="shared" si="40"/>
        <v>6.0439560439560447E-2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59</v>
      </c>
      <c r="Y280" s="618">
        <f t="shared" si="36"/>
        <v>60</v>
      </c>
      <c r="Z280" s="36">
        <f>IFERROR(IF(Y280=0,"",ROUNDUP(Y280/H280,0)*0.00651),"")</f>
        <v>0.16275000000000001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65.342500000000001</v>
      </c>
      <c r="BN280" s="64">
        <f t="shared" si="38"/>
        <v>66.45</v>
      </c>
      <c r="BO280" s="64">
        <f t="shared" si="39"/>
        <v>0.13507326007326009</v>
      </c>
      <c r="BP280" s="64">
        <f t="shared" si="40"/>
        <v>0.13736263736263737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135.41666666666669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138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0.89837999999999996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325</v>
      </c>
      <c r="Y283" s="619">
        <f>IFERROR(SUM(Y270:Y281),"0")</f>
        <v>331.2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7</v>
      </c>
      <c r="Y305" s="618">
        <f>IFERROR(IF(X305="",0,CEILING((X305/$H305),1)*$H305),"")</f>
        <v>7.2</v>
      </c>
      <c r="Z305" s="36">
        <f>IFERROR(IF(Y305=0,"",ROUNDUP(Y305/H305,0)*0.0059),"")</f>
        <v>2.3599999999999999E-2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7.6805555555555562</v>
      </c>
      <c r="BN305" s="64">
        <f>IFERROR(Y305*I305/H305,"0")</f>
        <v>7.9</v>
      </c>
      <c r="BO305" s="64">
        <f>IFERROR(1/J305*(X305/H305),"0")</f>
        <v>1.8004115226337446E-2</v>
      </c>
      <c r="BP305" s="64">
        <f>IFERROR(1/J305*(Y305/H305),"0")</f>
        <v>1.8518518518518517E-2</v>
      </c>
    </row>
    <row r="306" spans="1:68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3.8888888888888888</v>
      </c>
      <c r="Y306" s="619">
        <f>IFERROR(Y305/H305,"0")</f>
        <v>4</v>
      </c>
      <c r="Z306" s="619">
        <f>IFERROR(IF(Z305="",0,Z305),"0")</f>
        <v>2.3599999999999999E-2</v>
      </c>
      <c r="AA306" s="620"/>
      <c r="AB306" s="620"/>
      <c r="AC306" s="620"/>
    </row>
    <row r="307" spans="1:68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7</v>
      </c>
      <c r="Y307" s="619">
        <f>IFERROR(SUM(Y305:Y305),"0")</f>
        <v>7.2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29</v>
      </c>
      <c r="Y326" s="618">
        <f>IFERROR(IF(X326="",0,CEILING((X326/$H326),1)*$H326),"")</f>
        <v>31.2</v>
      </c>
      <c r="Z326" s="36">
        <f>IFERROR(IF(Y326=0,"",ROUNDUP(Y326/H326,0)*0.00651),"")</f>
        <v>8.4629999999999997E-2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32.045000000000002</v>
      </c>
      <c r="BN326" s="64">
        <f>IFERROR(Y326*I326/H326,"0")</f>
        <v>34.476000000000006</v>
      </c>
      <c r="BO326" s="64">
        <f>IFERROR(1/J326*(X326/H326),"0")</f>
        <v>6.6391941391941406E-2</v>
      </c>
      <c r="BP326" s="64">
        <f>IFERROR(1/J326*(Y326/H326),"0")</f>
        <v>7.1428571428571438E-2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128</v>
      </c>
      <c r="Y327" s="618">
        <f>IFERROR(IF(X327="",0,CEILING((X327/$H327),1)*$H327),"")</f>
        <v>129.6</v>
      </c>
      <c r="Z327" s="36">
        <f>IFERROR(IF(Y327=0,"",ROUNDUP(Y327/H327,0)*0.00651),"")</f>
        <v>0.35154000000000002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137.60000000000002</v>
      </c>
      <c r="BN327" s="64">
        <f>IFERROR(Y327*I327/H327,"0")</f>
        <v>139.32</v>
      </c>
      <c r="BO327" s="64">
        <f>IFERROR(1/J327*(X327/H327),"0")</f>
        <v>0.29304029304029305</v>
      </c>
      <c r="BP327" s="64">
        <f>IFERROR(1/J327*(Y327/H327),"0")</f>
        <v>0.2967032967032967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65.416666666666671</v>
      </c>
      <c r="Y328" s="619">
        <f>IFERROR(Y325/H325,"0")+IFERROR(Y326/H326,"0")+IFERROR(Y327/H327,"0")</f>
        <v>67</v>
      </c>
      <c r="Z328" s="619">
        <f>IFERROR(IF(Z325="",0,Z325),"0")+IFERROR(IF(Z326="",0,Z326),"0")+IFERROR(IF(Z327="",0,Z327),"0")</f>
        <v>0.43617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157</v>
      </c>
      <c r="Y329" s="619">
        <f>IFERROR(SUM(Y325:Y327),"0")</f>
        <v>160.79999999999998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0</v>
      </c>
      <c r="Y347" s="618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6</v>
      </c>
      <c r="Y348" s="618">
        <f>IFERROR(IF(X348="",0,CEILING((X348/$H348),1)*$H348),"")</f>
        <v>7.8</v>
      </c>
      <c r="Z348" s="36">
        <f>IFERROR(IF(Y348=0,"",ROUNDUP(Y348/H348,0)*0.01898),"")</f>
        <v>1.898E-2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6.315384615384616</v>
      </c>
      <c r="BN348" s="64">
        <f>IFERROR(Y348*I348/H348,"0")</f>
        <v>8.2100000000000009</v>
      </c>
      <c r="BO348" s="64">
        <f>IFERROR(1/J348*(X348/H348),"0")</f>
        <v>1.201923076923077E-2</v>
      </c>
      <c r="BP348" s="64">
        <f>IFERROR(1/J348*(Y348/H348),"0")</f>
        <v>1.5625E-2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0.76923076923076927</v>
      </c>
      <c r="Y349" s="619">
        <f>IFERROR(Y346/H346,"0")+IFERROR(Y347/H347,"0")+IFERROR(Y348/H348,"0")</f>
        <v>1</v>
      </c>
      <c r="Z349" s="619">
        <f>IFERROR(IF(Z346="",0,Z346),"0")+IFERROR(IF(Z347="",0,Z347),"0")+IFERROR(IF(Z348="",0,Z348),"0")</f>
        <v>1.898E-2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6</v>
      </c>
      <c r="Y350" s="619">
        <f>IFERROR(SUM(Y346:Y348),"0")</f>
        <v>7.8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200</v>
      </c>
      <c r="Y381" s="618">
        <f>IFERROR(IF(X381="",0,CEILING((X381/$H381),1)*$H381),"")</f>
        <v>202.79999999999998</v>
      </c>
      <c r="Z381" s="36">
        <f>IFERROR(IF(Y381=0,"",ROUNDUP(Y381/H381,0)*0.01898),"")</f>
        <v>0.49348000000000003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212.66666666666669</v>
      </c>
      <c r="BN381" s="64">
        <f>IFERROR(Y381*I381/H381,"0")</f>
        <v>215.64399999999998</v>
      </c>
      <c r="BO381" s="64">
        <f>IFERROR(1/J381*(X381/H381),"0")</f>
        <v>0.40064102564102566</v>
      </c>
      <c r="BP381" s="64">
        <f>IFERROR(1/J381*(Y381/H381),"0")</f>
        <v>0.40625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25.641025641025642</v>
      </c>
      <c r="Y383" s="619">
        <f>IFERROR(Y380/H380,"0")+IFERROR(Y381/H381,"0")+IFERROR(Y382/H382,"0")</f>
        <v>26</v>
      </c>
      <c r="Z383" s="619">
        <f>IFERROR(IF(Z380="",0,Z380),"0")+IFERROR(IF(Z381="",0,Z381),"0")+IFERROR(IF(Z382="",0,Z382),"0")</f>
        <v>0.49348000000000003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200</v>
      </c>
      <c r="Y384" s="619">
        <f>IFERROR(SUM(Y380:Y382),"0")</f>
        <v>202.79999999999998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15</v>
      </c>
      <c r="Y388" s="618">
        <f>IFERROR(IF(X388="",0,CEILING((X388/$H388),1)*$H388),"")</f>
        <v>15.299999999999999</v>
      </c>
      <c r="Z388" s="36">
        <f>IFERROR(IF(Y388=0,"",ROUNDUP(Y388/H388,0)*0.00651),"")</f>
        <v>3.9059999999999997E-2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17.382352941176475</v>
      </c>
      <c r="BN388" s="64">
        <f>IFERROR(Y388*I388/H388,"0")</f>
        <v>17.73</v>
      </c>
      <c r="BO388" s="64">
        <f>IFERROR(1/J388*(X388/H388),"0")</f>
        <v>3.2320620555914677E-2</v>
      </c>
      <c r="BP388" s="64">
        <f>IFERROR(1/J388*(Y388/H388),"0")</f>
        <v>3.2967032967032968E-2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8</v>
      </c>
      <c r="Y389" s="618">
        <f>IFERROR(IF(X389="",0,CEILING((X389/$H389),1)*$H389),"")</f>
        <v>10.199999999999999</v>
      </c>
      <c r="Z389" s="36">
        <f>IFERROR(IF(Y389=0,"",ROUNDUP(Y389/H389,0)*0.00651),"")</f>
        <v>2.6040000000000001E-2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9.0352941176470587</v>
      </c>
      <c r="BN389" s="64">
        <f>IFERROR(Y389*I389/H389,"0")</f>
        <v>11.52</v>
      </c>
      <c r="BO389" s="64">
        <f>IFERROR(1/J389*(X389/H389),"0")</f>
        <v>1.7237664296487831E-2</v>
      </c>
      <c r="BP389" s="64">
        <f>IFERROR(1/J389*(Y389/H389),"0")</f>
        <v>2.197802197802198E-2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9.0196078431372548</v>
      </c>
      <c r="Y390" s="619">
        <f>IFERROR(Y386/H386,"0")+IFERROR(Y387/H387,"0")+IFERROR(Y388/H388,"0")+IFERROR(Y389/H389,"0")</f>
        <v>10</v>
      </c>
      <c r="Z390" s="619">
        <f>IFERROR(IF(Z386="",0,Z386),"0")+IFERROR(IF(Z387="",0,Z387),"0")+IFERROR(IF(Z388="",0,Z388),"0")+IFERROR(IF(Z389="",0,Z389),"0")</f>
        <v>6.5099999999999991E-2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23</v>
      </c>
      <c r="Y391" s="619">
        <f>IFERROR(SUM(Y386:Y389),"0")</f>
        <v>25.5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0</v>
      </c>
      <c r="Y395" s="618">
        <f>IFERROR(IF(X395="",0,CEILING((X395/$H395),1)*$H395),"")</f>
        <v>0</v>
      </c>
      <c r="Z395" s="36" t="str">
        <f>IFERROR(IF(Y395=0,"",ROUNDUP(Y395/H395,0)*0.00474),"")</f>
        <v/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0</v>
      </c>
      <c r="Y396" s="619">
        <f>IFERROR(Y393/H393,"0")+IFERROR(Y394/H394,"0")+IFERROR(Y395/H395,"0")</f>
        <v>0</v>
      </c>
      <c r="Z396" s="619">
        <f>IFERROR(IF(Z393="",0,Z393),"0")+IFERROR(IF(Z394="",0,Z394),"0")+IFERROR(IF(Z395="",0,Z395),"0")</f>
        <v>0</v>
      </c>
      <c r="AA396" s="620"/>
      <c r="AB396" s="620"/>
      <c r="AC396" s="620"/>
    </row>
    <row r="397" spans="1:68" hidden="1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0</v>
      </c>
      <c r="Y397" s="619">
        <f>IFERROR(SUM(Y393:Y395),"0")</f>
        <v>0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7</v>
      </c>
      <c r="Y413" s="618">
        <f>IFERROR(IF(X413="",0,CEILING((X413/$H413),1)*$H413),"")</f>
        <v>8.4</v>
      </c>
      <c r="Z413" s="36">
        <f>IFERROR(IF(Y413=0,"",ROUNDUP(Y413/H413,0)*0.00651),"")</f>
        <v>2.6040000000000001E-2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7.839999999999999</v>
      </c>
      <c r="BN413" s="64">
        <f>IFERROR(Y413*I413/H413,"0")</f>
        <v>9.4079999999999995</v>
      </c>
      <c r="BO413" s="64">
        <f>IFERROR(1/J413*(X413/H413),"0")</f>
        <v>1.8315018315018316E-2</v>
      </c>
      <c r="BP413" s="64">
        <f>IFERROR(1/J413*(Y413/H413),"0")</f>
        <v>2.197802197802198E-2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7</v>
      </c>
      <c r="Y414" s="618">
        <f>IFERROR(IF(X414="",0,CEILING((X414/$H414),1)*$H414),"")</f>
        <v>8.4</v>
      </c>
      <c r="Z414" s="36">
        <f>IFERROR(IF(Y414=0,"",ROUNDUP(Y414/H414,0)*0.00651),"")</f>
        <v>2.6040000000000001E-2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7.7999999999999989</v>
      </c>
      <c r="BN414" s="64">
        <f>IFERROR(Y414*I414/H414,"0")</f>
        <v>9.36</v>
      </c>
      <c r="BO414" s="64">
        <f>IFERROR(1/J414*(X414/H414),"0")</f>
        <v>1.8315018315018316E-2</v>
      </c>
      <c r="BP414" s="64">
        <f>IFERROR(1/J414*(Y414/H414),"0")</f>
        <v>2.197802197802198E-2</v>
      </c>
    </row>
    <row r="415" spans="1:68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6.6666666666666661</v>
      </c>
      <c r="Y415" s="619">
        <f>IFERROR(Y412/H412,"0")+IFERROR(Y413/H413,"0")+IFERROR(Y414/H414,"0")</f>
        <v>8</v>
      </c>
      <c r="Z415" s="619">
        <f>IFERROR(IF(Z412="",0,Z412),"0")+IFERROR(IF(Z413="",0,Z413),"0")+IFERROR(IF(Z414="",0,Z414),"0")</f>
        <v>5.2080000000000001E-2</v>
      </c>
      <c r="AA415" s="620"/>
      <c r="AB415" s="620"/>
      <c r="AC415" s="620"/>
    </row>
    <row r="416" spans="1:68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14</v>
      </c>
      <c r="Y416" s="619">
        <f>IFERROR(SUM(Y412:Y414),"0")</f>
        <v>16.8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655</v>
      </c>
      <c r="Y421" s="618">
        <f t="shared" si="61"/>
        <v>660</v>
      </c>
      <c r="Z421" s="36">
        <f>IFERROR(IF(Y421=0,"",ROUNDUP(Y421/H421,0)*0.02175),"")</f>
        <v>0.95699999999999996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675.52333333333331</v>
      </c>
      <c r="BN421" s="64">
        <f t="shared" si="63"/>
        <v>680.68000000000006</v>
      </c>
      <c r="BO421" s="64">
        <f t="shared" si="64"/>
        <v>0.9097222222222221</v>
      </c>
      <c r="BP421" s="64">
        <f t="shared" si="65"/>
        <v>0.91666666666666663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57</v>
      </c>
      <c r="Y422" s="618">
        <f t="shared" si="61"/>
        <v>60</v>
      </c>
      <c r="Z422" s="36">
        <f>IFERROR(IF(Y422=0,"",ROUNDUP(Y422/H422,0)*0.02175),"")</f>
        <v>8.6999999999999994E-2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58.786000000000008</v>
      </c>
      <c r="BN422" s="64">
        <f t="shared" si="63"/>
        <v>61.88</v>
      </c>
      <c r="BO422" s="64">
        <f t="shared" si="64"/>
        <v>7.9166666666666663E-2</v>
      </c>
      <c r="BP422" s="64">
        <f t="shared" si="65"/>
        <v>8.3333333333333329E-2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168</v>
      </c>
      <c r="Y423" s="618">
        <f t="shared" si="61"/>
        <v>180</v>
      </c>
      <c r="Z423" s="36">
        <f>IFERROR(IF(Y423=0,"",ROUNDUP(Y423/H423,0)*0.02175),"")</f>
        <v>0.26100000000000001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173.26400000000001</v>
      </c>
      <c r="BN423" s="64">
        <f t="shared" si="63"/>
        <v>185.64</v>
      </c>
      <c r="BO423" s="64">
        <f t="shared" si="64"/>
        <v>0.23333333333333331</v>
      </c>
      <c r="BP423" s="64">
        <f t="shared" si="65"/>
        <v>0.25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58.666666666666657</v>
      </c>
      <c r="Y428" s="619">
        <f>IFERROR(Y420/H420,"0")+IFERROR(Y421/H421,"0")+IFERROR(Y422/H422,"0")+IFERROR(Y423/H423,"0")+IFERROR(Y424/H424,"0")+IFERROR(Y425/H425,"0")+IFERROR(Y426/H426,"0")+IFERROR(Y427/H427,"0")</f>
        <v>60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1.3050000000000002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880</v>
      </c>
      <c r="Y429" s="619">
        <f>IFERROR(SUM(Y420:Y427),"0")</f>
        <v>900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370</v>
      </c>
      <c r="Y431" s="618">
        <f>IFERROR(IF(X431="",0,CEILING((X431/$H431),1)*$H431),"")</f>
        <v>375</v>
      </c>
      <c r="Z431" s="36">
        <f>IFERROR(IF(Y431=0,"",ROUNDUP(Y431/H431,0)*0.02175),"")</f>
        <v>0.54374999999999996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381.59333333333336</v>
      </c>
      <c r="BN431" s="64">
        <f>IFERROR(Y431*I431/H431,"0")</f>
        <v>386.75</v>
      </c>
      <c r="BO431" s="64">
        <f>IFERROR(1/J431*(X431/H431),"0")</f>
        <v>0.51388888888888884</v>
      </c>
      <c r="BP431" s="64">
        <f>IFERROR(1/J431*(Y431/H431),"0")</f>
        <v>0.52083333333333326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24.666666666666668</v>
      </c>
      <c r="Y434" s="619">
        <f>IFERROR(Y431/H431,"0")+IFERROR(Y432/H432,"0")+IFERROR(Y433/H433,"0")</f>
        <v>25</v>
      </c>
      <c r="Z434" s="619">
        <f>IFERROR(IF(Z431="",0,Z431),"0")+IFERROR(IF(Z432="",0,Z432),"0")+IFERROR(IF(Z433="",0,Z433),"0")</f>
        <v>0.54374999999999996</v>
      </c>
      <c r="AA434" s="620"/>
      <c r="AB434" s="620"/>
      <c r="AC434" s="620"/>
    </row>
    <row r="435" spans="1:68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370</v>
      </c>
      <c r="Y435" s="619">
        <f>IFERROR(SUM(Y431:Y433),"0")</f>
        <v>375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18</v>
      </c>
      <c r="Y459" s="618">
        <f>IFERROR(IF(X459="",0,CEILING((X459/$H459),1)*$H459),"")</f>
        <v>19.2</v>
      </c>
      <c r="Z459" s="36">
        <f>IFERROR(IF(Y459=0,"",ROUNDUP(Y459/H459,0)*0.00651),"")</f>
        <v>5.2080000000000001E-2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19.980000000000004</v>
      </c>
      <c r="BN459" s="64">
        <f>IFERROR(Y459*I459/H459,"0")</f>
        <v>21.312000000000001</v>
      </c>
      <c r="BO459" s="64">
        <f>IFERROR(1/J459*(X459/H459),"0")</f>
        <v>4.1208791208791215E-2</v>
      </c>
      <c r="BP459" s="64">
        <f>IFERROR(1/J459*(Y459/H459),"0")</f>
        <v>4.3956043956043959E-2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7.5</v>
      </c>
      <c r="Y461" s="619">
        <f>IFERROR(Y458/H458,"0")+IFERROR(Y459/H459,"0")+IFERROR(Y460/H460,"0")</f>
        <v>8</v>
      </c>
      <c r="Z461" s="619">
        <f>IFERROR(IF(Z458="",0,Z458),"0")+IFERROR(IF(Z459="",0,Z459),"0")+IFERROR(IF(Z460="",0,Z460),"0")</f>
        <v>5.2080000000000001E-2</v>
      </c>
      <c r="AA461" s="620"/>
      <c r="AB461" s="620"/>
      <c r="AC461" s="620"/>
    </row>
    <row r="462" spans="1:68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18</v>
      </c>
      <c r="Y462" s="619">
        <f>IFERROR(SUM(Y458:Y460),"0")</f>
        <v>19.2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14</v>
      </c>
      <c r="Y495" s="618">
        <f t="shared" si="71"/>
        <v>15.84</v>
      </c>
      <c r="Z495" s="36">
        <f>IFERROR(IF(Y495=0,"",ROUNDUP(Y495/H495,0)*0.01196),"")</f>
        <v>3.5880000000000002E-2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14.928030303030301</v>
      </c>
      <c r="BN495" s="64">
        <f t="shared" si="73"/>
        <v>16.889999999999997</v>
      </c>
      <c r="BO495" s="64">
        <f t="shared" si="74"/>
        <v>2.5495337995337996E-2</v>
      </c>
      <c r="BP495" s="64">
        <f t="shared" si="75"/>
        <v>2.8846153846153848E-2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48</v>
      </c>
      <c r="Y496" s="618">
        <f t="shared" si="71"/>
        <v>52.800000000000004</v>
      </c>
      <c r="Z496" s="36">
        <f>IFERROR(IF(Y496=0,"",ROUNDUP(Y496/H496,0)*0.01196),"")</f>
        <v>0.1196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51.18181818181818</v>
      </c>
      <c r="BN496" s="64">
        <f t="shared" si="73"/>
        <v>56.3</v>
      </c>
      <c r="BO496" s="64">
        <f t="shared" si="74"/>
        <v>8.7412587412587409E-2</v>
      </c>
      <c r="BP496" s="64">
        <f t="shared" si="75"/>
        <v>9.6153846153846159E-2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44</v>
      </c>
      <c r="Y498" s="618">
        <f t="shared" si="71"/>
        <v>48</v>
      </c>
      <c r="Z498" s="36">
        <f>IFERROR(IF(Y498=0,"",ROUNDUP(Y498/H498,0)*0.00902),"")</f>
        <v>9.0200000000000002E-2</v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63.341666666666676</v>
      </c>
      <c r="BN498" s="64">
        <f t="shared" si="73"/>
        <v>69.100000000000009</v>
      </c>
      <c r="BO498" s="64">
        <f t="shared" si="74"/>
        <v>6.9444444444444461E-2</v>
      </c>
      <c r="BP498" s="64">
        <f t="shared" si="75"/>
        <v>7.575757575757576E-2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126</v>
      </c>
      <c r="Y499" s="618">
        <f t="shared" si="71"/>
        <v>129.6</v>
      </c>
      <c r="Z499" s="36">
        <f>IFERROR(IF(Y499=0,"",ROUNDUP(Y499/H499,0)*0.00902),"")</f>
        <v>0.24354000000000001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181.38749999999999</v>
      </c>
      <c r="BN499" s="64">
        <f t="shared" si="73"/>
        <v>186.57</v>
      </c>
      <c r="BO499" s="64">
        <f t="shared" si="74"/>
        <v>0.19886363636363638</v>
      </c>
      <c r="BP499" s="64">
        <f t="shared" si="75"/>
        <v>0.20454545454545456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47.159090909090907</v>
      </c>
      <c r="Y500" s="619">
        <f>IFERROR(Y492/H492,"0")+IFERROR(Y493/H493,"0")+IFERROR(Y494/H494,"0")+IFERROR(Y495/H495,"0")+IFERROR(Y496/H496,"0")+IFERROR(Y497/H497,"0")+IFERROR(Y498/H498,"0")+IFERROR(Y499/H499,"0")</f>
        <v>50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0.48921999999999999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232</v>
      </c>
      <c r="Y501" s="619">
        <f>IFERROR(SUM(Y492:Y499),"0")</f>
        <v>246.24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hidden="1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0</v>
      </c>
      <c r="Y503" s="618">
        <f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0</v>
      </c>
      <c r="Y506" s="619">
        <f>IFERROR(Y503/H503,"0")+IFERROR(Y504/H504,"0")+IFERROR(Y505/H505,"0")</f>
        <v>0</v>
      </c>
      <c r="Z506" s="619">
        <f>IFERROR(IF(Z503="",0,Z503),"0")+IFERROR(IF(Z504="",0,Z504),"0")+IFERROR(IF(Z505="",0,Z505),"0")</f>
        <v>0</v>
      </c>
      <c r="AA506" s="620"/>
      <c r="AB506" s="620"/>
      <c r="AC506" s="620"/>
    </row>
    <row r="507" spans="1:68" hidden="1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0</v>
      </c>
      <c r="Y507" s="619">
        <f>IFERROR(SUM(Y503:Y505),"0")</f>
        <v>0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56</v>
      </c>
      <c r="Y509" s="618">
        <f t="shared" ref="Y509:Y515" si="76">IFERROR(IF(X509="",0,CEILING((X509/$H509),1)*$H509),"")</f>
        <v>58.080000000000005</v>
      </c>
      <c r="Z509" s="36">
        <f>IFERROR(IF(Y509=0,"",ROUNDUP(Y509/H509,0)*0.01196),"")</f>
        <v>0.13156000000000001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59.712121212121204</v>
      </c>
      <c r="BN509" s="64">
        <f t="shared" ref="BN509:BN515" si="78">IFERROR(Y509*I509/H509,"0")</f>
        <v>61.93</v>
      </c>
      <c r="BO509" s="64">
        <f t="shared" ref="BO509:BO515" si="79">IFERROR(1/J509*(X509/H509),"0")</f>
        <v>0.10198135198135198</v>
      </c>
      <c r="BP509" s="64">
        <f t="shared" ref="BP509:BP515" si="80">IFERROR(1/J509*(Y509/H509),"0")</f>
        <v>0.10576923076923078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36</v>
      </c>
      <c r="Y511" s="618">
        <f t="shared" si="76"/>
        <v>36.96</v>
      </c>
      <c r="Z511" s="36">
        <f>IFERROR(IF(Y511=0,"",ROUNDUP(Y511/H511,0)*0.01196),"")</f>
        <v>8.3720000000000003E-2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38.386363636363633</v>
      </c>
      <c r="BN511" s="64">
        <f t="shared" si="78"/>
        <v>39.409999999999997</v>
      </c>
      <c r="BO511" s="64">
        <f t="shared" si="79"/>
        <v>6.555944055944056E-2</v>
      </c>
      <c r="BP511" s="64">
        <f t="shared" si="80"/>
        <v>6.7307692307692318E-2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17.424242424242422</v>
      </c>
      <c r="Y516" s="619">
        <f>IFERROR(Y509/H509,"0")+IFERROR(Y510/H510,"0")+IFERROR(Y511/H511,"0")+IFERROR(Y512/H512,"0")+IFERROR(Y513/H513,"0")+IFERROR(Y514/H514,"0")+IFERROR(Y515/H515,"0")</f>
        <v>18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0.21528000000000003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92</v>
      </c>
      <c r="Y517" s="619">
        <f>IFERROR(SUM(Y509:Y515),"0")</f>
        <v>95.04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3891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4034.2400000000007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4183.9251120012896</v>
      </c>
      <c r="Y547" s="619">
        <f>IFERROR(SUM(BN22:BN543),"0")</f>
        <v>4338.924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7</v>
      </c>
      <c r="Y548" s="38">
        <f>ROUNDUP(SUM(BP22:BP543),0)</f>
        <v>8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4358.9251120012896</v>
      </c>
      <c r="Y549" s="619">
        <f>GrossWeightTotalR+PalletQtyTotalR*25</f>
        <v>4538.924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863.5006915742207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898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8.2971700000000013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5.4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0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217.70000000000002</v>
      </c>
      <c r="F556" s="46">
        <f>IFERROR(Y84*1,"0")+IFERROR(Y85*1,"0")+IFERROR(Y86*1,"0")+IFERROR(Y87*1,"0")+IFERROR(Y88*1,"0")+IFERROR(Y89*1,"0")+IFERROR(Y93*1,"0")+IFERROR(Y94*1,"0")+IFERROR(Y95*1,"0")+IFERROR(Y96*1,"0")</f>
        <v>424.8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349.2</v>
      </c>
      <c r="H556" s="46">
        <f>IFERROR(Y131*1,"0")+IFERROR(Y132*1,"0")+IFERROR(Y136*1,"0")+IFERROR(Y137*1,"0")+IFERROR(Y141*1,"0")+IFERROR(Y142*1,"0")</f>
        <v>14.799999999999999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232.24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168.52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565.19999999999993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7.2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160.79999999999998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7.8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228.29999999999998</v>
      </c>
      <c r="U556" s="46">
        <f>IFERROR(Y406*1,"0")+IFERROR(Y407*1,"0")</f>
        <v>0</v>
      </c>
      <c r="V556" s="46">
        <f>IFERROR(Y412*1,"0")+IFERROR(Y413*1,"0")+IFERROR(Y414*1,"0")</f>
        <v>16.8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1275</v>
      </c>
      <c r="X556" s="46">
        <f>IFERROR(Y449*1,"0")+IFERROR(Y450*1,"0")+IFERROR(Y454*1,"0")+IFERROR(Y458*1,"0")+IFERROR(Y459*1,"0")+IFERROR(Y460*1,"0")</f>
        <v>19.2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341.28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7"/>
        <filter val="1,00"/>
        <filter val="1,25"/>
        <filter val="100,00"/>
        <filter val="103,70"/>
        <filter val="126,00"/>
        <filter val="128,00"/>
        <filter val="135,00"/>
        <filter val="135,42"/>
        <filter val="14,00"/>
        <filter val="140,00"/>
        <filter val="15,00"/>
        <filter val="15,18"/>
        <filter val="150,00"/>
        <filter val="157,00"/>
        <filter val="168,00"/>
        <filter val="169,00"/>
        <filter val="17,42"/>
        <filter val="18,00"/>
        <filter val="2,00"/>
        <filter val="2,14"/>
        <filter val="2,78"/>
        <filter val="200,00"/>
        <filter val="21,00"/>
        <filter val="22,00"/>
        <filter val="222,00"/>
        <filter val="223,00"/>
        <filter val="23,00"/>
        <filter val="232,00"/>
        <filter val="24,00"/>
        <filter val="24,37"/>
        <filter val="24,63"/>
        <filter val="24,67"/>
        <filter val="25,64"/>
        <filter val="26,00"/>
        <filter val="280,00"/>
        <filter val="29,00"/>
        <filter val="3 891,00"/>
        <filter val="3,00"/>
        <filter val="3,17"/>
        <filter val="3,89"/>
        <filter val="325,00"/>
        <filter val="35,00"/>
        <filter val="36,00"/>
        <filter val="370,00"/>
        <filter val="4 183,93"/>
        <filter val="4 358,93"/>
        <filter val="4,00"/>
        <filter val="4,04"/>
        <filter val="40,00"/>
        <filter val="44,00"/>
        <filter val="47,16"/>
        <filter val="48,00"/>
        <filter val="49,00"/>
        <filter val="5,00"/>
        <filter val="5,28"/>
        <filter val="50,00"/>
        <filter val="56,00"/>
        <filter val="57,00"/>
        <filter val="58,15"/>
        <filter val="58,67"/>
        <filter val="59,00"/>
        <filter val="6,00"/>
        <filter val="6,35"/>
        <filter val="6,67"/>
        <filter val="60,00"/>
        <filter val="64,63"/>
        <filter val="65,42"/>
        <filter val="655,00"/>
        <filter val="66,07"/>
        <filter val="68,00"/>
        <filter val="7"/>
        <filter val="7,00"/>
        <filter val="7,50"/>
        <filter val="79,52"/>
        <filter val="8,00"/>
        <filter val="80,00"/>
        <filter val="863,50"/>
        <filter val="880,00"/>
        <filter val="9,02"/>
        <filter val="90,00"/>
        <filter val="92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