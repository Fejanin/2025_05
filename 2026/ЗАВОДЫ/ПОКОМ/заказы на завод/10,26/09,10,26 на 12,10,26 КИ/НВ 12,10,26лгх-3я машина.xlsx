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93D95E9-EB48-4375-8622-6C59ED434DF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P543" i="1"/>
  <c r="BO543" i="1"/>
  <c r="BM543" i="1"/>
  <c r="Z543" i="1"/>
  <c r="Z544" i="1" s="1"/>
  <c r="Y543" i="1"/>
  <c r="AC556" i="1" s="1"/>
  <c r="P543" i="1"/>
  <c r="X540" i="1"/>
  <c r="Y539" i="1"/>
  <c r="X539" i="1"/>
  <c r="BO538" i="1"/>
  <c r="BN538" i="1"/>
  <c r="BM538" i="1"/>
  <c r="Y538" i="1"/>
  <c r="BP538" i="1" s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O496" i="1"/>
  <c r="BN496" i="1"/>
  <c r="BM496" i="1"/>
  <c r="Y496" i="1"/>
  <c r="BP496" i="1" s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O486" i="1"/>
  <c r="BN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N471" i="1"/>
  <c r="BM471" i="1"/>
  <c r="Y471" i="1"/>
  <c r="BP471" i="1" s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O467" i="1"/>
  <c r="BN467" i="1"/>
  <c r="BM467" i="1"/>
  <c r="Y467" i="1"/>
  <c r="BP467" i="1" s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N449" i="1"/>
  <c r="BM449" i="1"/>
  <c r="Y449" i="1"/>
  <c r="BP449" i="1" s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N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BN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BN399" i="1" s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N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N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O359" i="1"/>
  <c r="BN359" i="1"/>
  <c r="BM359" i="1"/>
  <c r="Y359" i="1"/>
  <c r="BP359" i="1" s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N346" i="1"/>
  <c r="BM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BO339" i="1"/>
  <c r="BN339" i="1"/>
  <c r="BM339" i="1"/>
  <c r="Y339" i="1"/>
  <c r="BP339" i="1" s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N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N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2" i="1"/>
  <c r="X311" i="1"/>
  <c r="BO310" i="1"/>
  <c r="BM310" i="1"/>
  <c r="Y310" i="1"/>
  <c r="BN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N285" i="1"/>
  <c r="BM285" i="1"/>
  <c r="Y285" i="1"/>
  <c r="BP285" i="1" s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N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N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N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N254" i="1"/>
  <c r="BM254" i="1"/>
  <c r="Y254" i="1"/>
  <c r="BP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N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N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N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M178" i="1"/>
  <c r="Z178" i="1"/>
  <c r="Y178" i="1"/>
  <c r="BN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N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M166" i="1"/>
  <c r="Z166" i="1"/>
  <c r="Y166" i="1"/>
  <c r="BN166" i="1" s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O160" i="1"/>
  <c r="BN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M147" i="1"/>
  <c r="Z147" i="1"/>
  <c r="Y147" i="1"/>
  <c r="BN147" i="1" s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BN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O115" i="1"/>
  <c r="BN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M111" i="1"/>
  <c r="Z111" i="1"/>
  <c r="Y111" i="1"/>
  <c r="BN111" i="1" s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N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N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N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N79" i="1" s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P73" i="1"/>
  <c r="BO73" i="1"/>
  <c r="BM73" i="1"/>
  <c r="Z73" i="1"/>
  <c r="Y73" i="1"/>
  <c r="BN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N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O46" i="1"/>
  <c r="BN46" i="1"/>
  <c r="BM46" i="1"/>
  <c r="Y46" i="1"/>
  <c r="BP46" i="1" s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N26" i="1" s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BP26" i="1" l="1"/>
  <c r="Z38" i="1"/>
  <c r="BP79" i="1"/>
  <c r="Z215" i="1"/>
  <c r="BP215" i="1"/>
  <c r="Z239" i="1"/>
  <c r="BP239" i="1"/>
  <c r="Z310" i="1"/>
  <c r="BP310" i="1"/>
  <c r="Y321" i="1"/>
  <c r="Z399" i="1"/>
  <c r="BP399" i="1"/>
  <c r="Z422" i="1"/>
  <c r="BP422" i="1"/>
  <c r="Z512" i="1"/>
  <c r="BP512" i="1"/>
  <c r="F9" i="1"/>
  <c r="Z26" i="1"/>
  <c r="BP38" i="1"/>
  <c r="Z79" i="1"/>
  <c r="Z136" i="1"/>
  <c r="BP136" i="1"/>
  <c r="Z174" i="1"/>
  <c r="BP174" i="1"/>
  <c r="Z184" i="1"/>
  <c r="BP184" i="1"/>
  <c r="J9" i="1"/>
  <c r="Z46" i="1"/>
  <c r="Z59" i="1"/>
  <c r="Z86" i="1"/>
  <c r="H556" i="1"/>
  <c r="Z202" i="1"/>
  <c r="Z254" i="1"/>
  <c r="Z279" i="1"/>
  <c r="Z317" i="1"/>
  <c r="Z339" i="1"/>
  <c r="Y349" i="1"/>
  <c r="Z449" i="1"/>
  <c r="Z471" i="1"/>
  <c r="Z538" i="1"/>
  <c r="BN543" i="1"/>
  <c r="Y544" i="1"/>
  <c r="F10" i="1"/>
  <c r="Z94" i="1"/>
  <c r="Z105" i="1"/>
  <c r="Z115" i="1"/>
  <c r="Z160" i="1"/>
  <c r="Z223" i="1"/>
  <c r="Z262" i="1"/>
  <c r="Z275" i="1"/>
  <c r="Z285" i="1"/>
  <c r="Z326" i="1"/>
  <c r="Z346" i="1"/>
  <c r="BP346" i="1"/>
  <c r="Z359" i="1"/>
  <c r="Z369" i="1"/>
  <c r="Z387" i="1"/>
  <c r="Z438" i="1"/>
  <c r="Z467" i="1"/>
  <c r="Z486" i="1"/>
  <c r="Z496" i="1"/>
  <c r="BP341" i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6" i="1"/>
  <c r="Y252" i="1"/>
  <c r="BP249" i="1"/>
  <c r="BN249" i="1"/>
  <c r="Z249" i="1"/>
  <c r="Z251" i="1" s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Z138" i="1" s="1"/>
  <c r="BN137" i="1"/>
  <c r="Z141" i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Z342" i="1"/>
  <c r="BP340" i="1"/>
  <c r="BN340" i="1"/>
  <c r="Z340" i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Z298" i="1" s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Z349" i="1"/>
  <c r="BP347" i="1"/>
  <c r="BN347" i="1"/>
  <c r="Z347" i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Z434" i="1" s="1"/>
  <c r="Y435" i="1"/>
  <c r="BP439" i="1"/>
  <c r="BN439" i="1"/>
  <c r="Z439" i="1"/>
  <c r="Y441" i="1"/>
  <c r="Y446" i="1"/>
  <c r="BP443" i="1"/>
  <c r="BN443" i="1"/>
  <c r="Z443" i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Z487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445" i="1" l="1"/>
  <c r="Z461" i="1"/>
  <c r="Z321" i="1"/>
  <c r="Z143" i="1"/>
  <c r="Z80" i="1"/>
  <c r="Z311" i="1"/>
  <c r="Z500" i="1"/>
  <c r="Z163" i="1"/>
  <c r="Z108" i="1"/>
  <c r="Z50" i="1"/>
  <c r="Z41" i="1"/>
  <c r="Y547" i="1"/>
  <c r="Y549" i="1" s="1"/>
  <c r="Z383" i="1"/>
  <c r="Z370" i="1"/>
  <c r="Z328" i="1"/>
  <c r="Z377" i="1"/>
  <c r="Z151" i="1"/>
  <c r="Z123" i="1"/>
  <c r="Z116" i="1"/>
  <c r="Z90" i="1"/>
  <c r="Z69" i="1"/>
  <c r="Y548" i="1"/>
  <c r="Z62" i="1"/>
  <c r="Z31" i="1"/>
  <c r="Z360" i="1"/>
  <c r="Y550" i="1"/>
  <c r="Z282" i="1"/>
  <c r="Z336" i="1"/>
  <c r="Z472" i="1"/>
  <c r="Z206" i="1"/>
  <c r="Z440" i="1"/>
  <c r="Z428" i="1"/>
  <c r="Z516" i="1"/>
  <c r="Z390" i="1"/>
  <c r="Z267" i="1"/>
  <c r="Z235" i="1"/>
  <c r="Z227" i="1"/>
  <c r="Z181" i="1"/>
  <c r="Z97" i="1"/>
  <c r="Y546" i="1"/>
  <c r="X549" i="1"/>
  <c r="Z415" i="1"/>
  <c r="Z551" i="1" l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<sst xmlns="http://schemas.openxmlformats.org/spreadsheetml/2006/main" count="2464" uniqueCount="894">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</sst>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46307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866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Понедельник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6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0.45833333333333331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14</v>
      </c>
      <c r="Y28" s="618">
        <f>IFERROR(IF(X28="",0,CEILING((X28/$H28),1)*$H28),"")</f>
        <v>14.4</v>
      </c>
      <c r="Z28" s="36">
        <f>IFERROR(IF(Y28=0,"",ROUNDUP(Y28/H28,0)*0.00651),"")</f>
        <v>5.2080000000000001E-2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24.733333333333334</v>
      </c>
      <c r="BN28" s="64">
        <f>IFERROR(Y28*I28/H28,"0")</f>
        <v>25.44</v>
      </c>
      <c r="BO28" s="64">
        <f>IFERROR(1/J28*(X28/H28),"0")</f>
        <v>4.2735042735042736E-2</v>
      </c>
      <c r="BP28" s="64">
        <f>IFERROR(1/J28*(Y28/H28),"0")</f>
        <v>4.3956043956043959E-2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7.7777777777777777</v>
      </c>
      <c r="Y31" s="619">
        <f>IFERROR(Y26/H26,"0")+IFERROR(Y27/H27,"0")+IFERROR(Y28/H28,"0")+IFERROR(Y29/H29,"0")+IFERROR(Y30/H30,"0")</f>
        <v>8</v>
      </c>
      <c r="Z31" s="619">
        <f>IFERROR(IF(Z26="",0,Z26),"0")+IFERROR(IF(Z27="",0,Z27),"0")+IFERROR(IF(Z28="",0,Z28),"0")+IFERROR(IF(Z29="",0,Z29),"0")+IFERROR(IF(Z30="",0,Z30),"0")</f>
        <v>5.2080000000000001E-2</v>
      </c>
      <c r="AA31" s="620"/>
      <c r="AB31" s="620"/>
      <c r="AC31" s="620"/>
    </row>
    <row r="32" spans="1:68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14</v>
      </c>
      <c r="Y32" s="619">
        <f>IFERROR(SUM(Y26:Y30),"0")</f>
        <v>14.4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991</v>
      </c>
      <c r="Y46" s="618">
        <f>IFERROR(IF(X46="",0,CEILING((X46/$H46),1)*$H46),"")</f>
        <v>993.6</v>
      </c>
      <c r="Z46" s="36">
        <f>IFERROR(IF(Y46=0,"",ROUNDUP(Y46/H46,0)*0.01898),"")</f>
        <v>1.7461599999999999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1028.6212962962964</v>
      </c>
      <c r="BN46" s="64">
        <f>IFERROR(Y46*I46/H46,"0")</f>
        <v>1031.32</v>
      </c>
      <c r="BO46" s="64">
        <f>IFERROR(1/J46*(X46/H46),"0")</f>
        <v>1.4337384259259258</v>
      </c>
      <c r="BP46" s="64">
        <f>IFERROR(1/J46*(Y46/H46),"0")</f>
        <v>1.4375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49</v>
      </c>
      <c r="Y49" s="618">
        <f>IFERROR(IF(X49="",0,CEILING((X49/$H49),1)*$H49),"")</f>
        <v>51.800000000000004</v>
      </c>
      <c r="Z49" s="36">
        <f>IFERROR(IF(Y49=0,"",ROUNDUP(Y49/H49,0)*0.00902),"")</f>
        <v>0.12628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51.516216216216215</v>
      </c>
      <c r="BN49" s="64">
        <f>IFERROR(Y49*I49/H49,"0")</f>
        <v>54.46</v>
      </c>
      <c r="BO49" s="64">
        <f>IFERROR(1/J49*(X49/H49),"0")</f>
        <v>0.10032760032760032</v>
      </c>
      <c r="BP49" s="64">
        <f>IFERROR(1/J49*(Y49/H49),"0")</f>
        <v>0.10606060606060606</v>
      </c>
    </row>
    <row r="50" spans="1:68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105.00250250250249</v>
      </c>
      <c r="Y50" s="619">
        <f>IFERROR(Y46/H46,"0")+IFERROR(Y47/H47,"0")+IFERROR(Y48/H48,"0")+IFERROR(Y49/H49,"0")</f>
        <v>106</v>
      </c>
      <c r="Z50" s="619">
        <f>IFERROR(IF(Z46="",0,Z46),"0")+IFERROR(IF(Z47="",0,Z47),"0")+IFERROR(IF(Z48="",0,Z48),"0")+IFERROR(IF(Z49="",0,Z49),"0")</f>
        <v>1.8724399999999999</v>
      </c>
      <c r="AA50" s="620"/>
      <c r="AB50" s="620"/>
      <c r="AC50" s="620"/>
    </row>
    <row r="51" spans="1:68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1040</v>
      </c>
      <c r="Y51" s="619">
        <f>IFERROR(SUM(Y46:Y49),"0")</f>
        <v>1045.4000000000001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46</v>
      </c>
      <c r="Y54" s="618">
        <f t="shared" ref="Y54:Y61" si="0">IFERROR(IF(X54="",0,CEILING((X54/$H54),1)*$H54),"")</f>
        <v>56</v>
      </c>
      <c r="Z54" s="36">
        <f>IFERROR(IF(Y54=0,"",ROUNDUP(Y54/H54,0)*0.01898),"")</f>
        <v>9.4899999999999998E-2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47.683928571428567</v>
      </c>
      <c r="BN54" s="64">
        <f t="shared" ref="BN54:BN61" si="2">IFERROR(Y54*I54/H54,"0")</f>
        <v>58.050000000000004</v>
      </c>
      <c r="BO54" s="64">
        <f t="shared" ref="BO54:BO61" si="3">IFERROR(1/J54*(X54/H54),"0")</f>
        <v>6.4174107142857151E-2</v>
      </c>
      <c r="BP54" s="64">
        <f t="shared" ref="BP54:BP61" si="4">IFERROR(1/J54*(Y54/H54),"0")</f>
        <v>7.8125E-2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440</v>
      </c>
      <c r="Y55" s="618">
        <f t="shared" si="0"/>
        <v>442.8</v>
      </c>
      <c r="Z55" s="36">
        <f>IFERROR(IF(Y55=0,"",ROUNDUP(Y55/H55,0)*0.01898),"")</f>
        <v>0.77817999999999998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456.70370370370375</v>
      </c>
      <c r="BN55" s="64">
        <f t="shared" si="2"/>
        <v>459.61</v>
      </c>
      <c r="BO55" s="64">
        <f t="shared" si="3"/>
        <v>0.63657407407407407</v>
      </c>
      <c r="BP55" s="64">
        <f t="shared" si="4"/>
        <v>0.640625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44.847883597883595</v>
      </c>
      <c r="Y62" s="619">
        <f>IFERROR(Y54/H54,"0")+IFERROR(Y55/H55,"0")+IFERROR(Y56/H56,"0")+IFERROR(Y57/H57,"0")+IFERROR(Y58/H58,"0")+IFERROR(Y59/H59,"0")+IFERROR(Y60/H60,"0")+IFERROR(Y61/H61,"0")</f>
        <v>46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0.87307999999999997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486</v>
      </c>
      <c r="Y63" s="619">
        <f>IFERROR(SUM(Y54:Y61),"0")</f>
        <v>498.8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282</v>
      </c>
      <c r="Y65" s="618">
        <f>IFERROR(IF(X65="",0,CEILING((X65/$H65),1)*$H65),"")</f>
        <v>291.60000000000002</v>
      </c>
      <c r="Z65" s="36">
        <f>IFERROR(IF(Y65=0,"",ROUNDUP(Y65/H65,0)*0.01898),"")</f>
        <v>0.51246000000000003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292.70555555555558</v>
      </c>
      <c r="BN65" s="64">
        <f>IFERROR(Y65*I65/H65,"0")</f>
        <v>302.67000000000007</v>
      </c>
      <c r="BO65" s="64">
        <f>IFERROR(1/J65*(X65/H65),"0")</f>
        <v>0.4079861111111111</v>
      </c>
      <c r="BP65" s="64">
        <f>IFERROR(1/J65*(Y65/H65),"0")</f>
        <v>0.421875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26.111111111111111</v>
      </c>
      <c r="Y69" s="619">
        <f>IFERROR(Y65/H65,"0")+IFERROR(Y66/H66,"0")+IFERROR(Y67/H67,"0")+IFERROR(Y68/H68,"0")</f>
        <v>27</v>
      </c>
      <c r="Z69" s="619">
        <f>IFERROR(IF(Z65="",0,Z65),"0")+IFERROR(IF(Z66="",0,Z66),"0")+IFERROR(IF(Z67="",0,Z67),"0")+IFERROR(IF(Z68="",0,Z68),"0")</f>
        <v>0.51246000000000003</v>
      </c>
      <c r="AA69" s="620"/>
      <c r="AB69" s="620"/>
      <c r="AC69" s="620"/>
    </row>
    <row r="70" spans="1:68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282</v>
      </c>
      <c r="Y70" s="619">
        <f>IFERROR(SUM(Y65:Y68),"0")</f>
        <v>291.60000000000002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35</v>
      </c>
      <c r="Y77" s="618">
        <f>IFERROR(IF(X77="",0,CEILING((X77/$H77),1)*$H77),"")</f>
        <v>39</v>
      </c>
      <c r="Z77" s="36">
        <f>IFERROR(IF(Y77=0,"",ROUNDUP(Y77/H77,0)*0.01898),"")</f>
        <v>9.4899999999999998E-2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36.839743589743591</v>
      </c>
      <c r="BN77" s="64">
        <f>IFERROR(Y77*I77/H77,"0")</f>
        <v>41.050000000000011</v>
      </c>
      <c r="BO77" s="64">
        <f>IFERROR(1/J77*(X77/H77),"0")</f>
        <v>7.0112179487179488E-2</v>
      </c>
      <c r="BP77" s="64">
        <f>IFERROR(1/J77*(Y77/H77),"0")</f>
        <v>7.8125E-2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4.4871794871794872</v>
      </c>
      <c r="Y80" s="619">
        <f>IFERROR(Y77/H77,"0")+IFERROR(Y78/H78,"0")+IFERROR(Y79/H79,"0")</f>
        <v>5</v>
      </c>
      <c r="Z80" s="619">
        <f>IFERROR(IF(Z77="",0,Z77),"0")+IFERROR(IF(Z78="",0,Z78),"0")+IFERROR(IF(Z79="",0,Z79),"0")</f>
        <v>9.4899999999999998E-2</v>
      </c>
      <c r="AA80" s="620"/>
      <c r="AB80" s="620"/>
      <c r="AC80" s="620"/>
    </row>
    <row r="81" spans="1:68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35</v>
      </c>
      <c r="Y81" s="619">
        <f>IFERROR(SUM(Y77:Y79),"0")</f>
        <v>39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367</v>
      </c>
      <c r="Y84" s="618">
        <f t="shared" ref="Y84:Y89" si="5">IFERROR(IF(X84="",0,CEILING((X84/$H84),1)*$H84),"")</f>
        <v>367.20000000000005</v>
      </c>
      <c r="Z84" s="36">
        <f>IFERROR(IF(Y84=0,"",ROUNDUP(Y84/H84,0)*0.01898),"")</f>
        <v>0.64532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380.93240740740742</v>
      </c>
      <c r="BN84" s="64">
        <f t="shared" ref="BN84:BN89" si="7">IFERROR(Y84*I84/H84,"0")</f>
        <v>381.14000000000004</v>
      </c>
      <c r="BO84" s="64">
        <f t="shared" ref="BO84:BO89" si="8">IFERROR(1/J84*(X84/H84),"0")</f>
        <v>0.53096064814814814</v>
      </c>
      <c r="BP84" s="64">
        <f t="shared" ref="BP84:BP89" si="9">IFERROR(1/J84*(Y84/H84),"0")</f>
        <v>0.53125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78</v>
      </c>
      <c r="Y89" s="618">
        <f t="shared" si="5"/>
        <v>81</v>
      </c>
      <c r="Z89" s="36">
        <f>IFERROR(IF(Y89=0,"",ROUNDUP(Y89/H89,0)*0.00902),"")</f>
        <v>0.16236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81.293333333333351</v>
      </c>
      <c r="BN89" s="64">
        <f t="shared" si="7"/>
        <v>84.420000000000016</v>
      </c>
      <c r="BO89" s="64">
        <f t="shared" si="8"/>
        <v>0.1313131313131313</v>
      </c>
      <c r="BP89" s="64">
        <f t="shared" si="9"/>
        <v>0.13636363636363635</v>
      </c>
    </row>
    <row r="90" spans="1:68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51.31481481481481</v>
      </c>
      <c r="Y90" s="619">
        <f>IFERROR(Y84/H84,"0")+IFERROR(Y85/H85,"0")+IFERROR(Y86/H86,"0")+IFERROR(Y87/H87,"0")+IFERROR(Y88/H88,"0")+IFERROR(Y89/H89,"0")</f>
        <v>52</v>
      </c>
      <c r="Z90" s="619">
        <f>IFERROR(IF(Z84="",0,Z84),"0")+IFERROR(IF(Z85="",0,Z85),"0")+IFERROR(IF(Z86="",0,Z86),"0")+IFERROR(IF(Z87="",0,Z87),"0")+IFERROR(IF(Z88="",0,Z88),"0")+IFERROR(IF(Z89="",0,Z89),"0")</f>
        <v>0.80767999999999995</v>
      </c>
      <c r="AA90" s="620"/>
      <c r="AB90" s="620"/>
      <c r="AC90" s="620"/>
    </row>
    <row r="91" spans="1:68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445</v>
      </c>
      <c r="Y91" s="619">
        <f>IFERROR(SUM(Y84:Y89),"0")</f>
        <v>448.20000000000005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396</v>
      </c>
      <c r="Y93" s="618">
        <f>IFERROR(IF(X93="",0,CEILING((X93/$H93),1)*$H93),"")</f>
        <v>396.9</v>
      </c>
      <c r="Z93" s="36">
        <f>IFERROR(IF(Y93=0,"",ROUNDUP(Y93/H93,0)*0.01898),"")</f>
        <v>0.93002000000000007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420.15111111111111</v>
      </c>
      <c r="BN93" s="64">
        <f>IFERROR(Y93*I93/H93,"0")</f>
        <v>421.10599999999994</v>
      </c>
      <c r="BO93" s="64">
        <f>IFERROR(1/J93*(X93/H93),"0")</f>
        <v>0.76388888888888895</v>
      </c>
      <c r="BP93" s="64">
        <f>IFERROR(1/J93*(Y93/H93),"0")</f>
        <v>0.765625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79</v>
      </c>
      <c r="Y95" s="618">
        <f>IFERROR(IF(X95="",0,CEILING((X95/$H95),1)*$H95),"")</f>
        <v>81</v>
      </c>
      <c r="Z95" s="36">
        <f>IFERROR(IF(Y95=0,"",ROUNDUP(Y95/H95,0)*0.00651),"")</f>
        <v>0.1953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86.373333333333321</v>
      </c>
      <c r="BN95" s="64">
        <f>IFERROR(Y95*I95/H95,"0")</f>
        <v>88.559999999999988</v>
      </c>
      <c r="BO95" s="64">
        <f>IFERROR(1/J95*(X95/H95),"0")</f>
        <v>0.16076516076516076</v>
      </c>
      <c r="BP95" s="64">
        <f>IFERROR(1/J95*(Y95/H95),"0")</f>
        <v>0.16483516483516483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78.148148148148152</v>
      </c>
      <c r="Y97" s="619">
        <f>IFERROR(Y93/H93,"0")+IFERROR(Y94/H94,"0")+IFERROR(Y95/H95,"0")+IFERROR(Y96/H96,"0")</f>
        <v>79</v>
      </c>
      <c r="Z97" s="619">
        <f>IFERROR(IF(Z93="",0,Z93),"0")+IFERROR(IF(Z94="",0,Z94),"0")+IFERROR(IF(Z95="",0,Z95),"0")+IFERROR(IF(Z96="",0,Z96),"0")</f>
        <v>1.1253200000000001</v>
      </c>
      <c r="AA97" s="620"/>
      <c r="AB97" s="620"/>
      <c r="AC97" s="620"/>
    </row>
    <row r="98" spans="1:68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475</v>
      </c>
      <c r="Y98" s="619">
        <f>IFERROR(SUM(Y93:Y96),"0")</f>
        <v>477.9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446</v>
      </c>
      <c r="Y101" s="618">
        <f t="shared" ref="Y101:Y107" si="10">IFERROR(IF(X101="",0,CEILING((X101/$H101),1)*$H101),"")</f>
        <v>453.6</v>
      </c>
      <c r="Z101" s="36">
        <f>IFERROR(IF(Y101=0,"",ROUNDUP(Y101/H101,0)*0.01898),"")</f>
        <v>0.79715999999999998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462.93148148148151</v>
      </c>
      <c r="BN101" s="64">
        <f t="shared" ref="BN101:BN107" si="12">IFERROR(Y101*I101/H101,"0")</f>
        <v>470.82000000000005</v>
      </c>
      <c r="BO101" s="64">
        <f t="shared" ref="BO101:BO107" si="13">IFERROR(1/J101*(X101/H101),"0")</f>
        <v>0.64525462962962954</v>
      </c>
      <c r="BP101" s="64">
        <f t="shared" ref="BP101:BP107" si="14">IFERROR(1/J101*(Y101/H101),"0")</f>
        <v>0.65625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4</v>
      </c>
      <c r="Y105" s="618">
        <f t="shared" si="10"/>
        <v>4.5</v>
      </c>
      <c r="Z105" s="36">
        <f>IFERROR(IF(Y105=0,"",ROUNDUP(Y105/H105,0)*0.00902),"")</f>
        <v>9.0200000000000002E-3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4.1688888888888895</v>
      </c>
      <c r="BN105" s="64">
        <f t="shared" si="12"/>
        <v>4.6900000000000004</v>
      </c>
      <c r="BO105" s="64">
        <f t="shared" si="13"/>
        <v>6.7340067340067337E-3</v>
      </c>
      <c r="BP105" s="64">
        <f t="shared" si="14"/>
        <v>7.575757575757576E-3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42.185185185185176</v>
      </c>
      <c r="Y108" s="619">
        <f>IFERROR(Y101/H101,"0")+IFERROR(Y102/H102,"0")+IFERROR(Y103/H103,"0")+IFERROR(Y104/H104,"0")+IFERROR(Y105/H105,"0")+IFERROR(Y106/H106,"0")+IFERROR(Y107/H107,"0")</f>
        <v>43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0.80618000000000001</v>
      </c>
      <c r="AA108" s="620"/>
      <c r="AB108" s="620"/>
      <c r="AC108" s="620"/>
    </row>
    <row r="109" spans="1:68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450</v>
      </c>
      <c r="Y109" s="619">
        <f>IFERROR(SUM(Y101:Y107),"0")</f>
        <v>458.1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77</v>
      </c>
      <c r="Y111" s="618">
        <f>IFERROR(IF(X111="",0,CEILING((X111/$H111),1)*$H111),"")</f>
        <v>86.4</v>
      </c>
      <c r="Z111" s="36">
        <f>IFERROR(IF(Y111=0,"",ROUNDUP(Y111/H111,0)*0.01898),"")</f>
        <v>0.15184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79.923148148148144</v>
      </c>
      <c r="BN111" s="64">
        <f>IFERROR(Y111*I111/H111,"0")</f>
        <v>89.68</v>
      </c>
      <c r="BO111" s="64">
        <f>IFERROR(1/J111*(X111/H111),"0")</f>
        <v>0.11140046296296295</v>
      </c>
      <c r="BP111" s="64">
        <f>IFERROR(1/J111*(Y111/H111),"0")</f>
        <v>0.125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30</v>
      </c>
      <c r="Y115" s="618">
        <f>IFERROR(IF(X115="",0,CEILING((X115/$H115),1)*$H115),"")</f>
        <v>31.2</v>
      </c>
      <c r="Z115" s="36">
        <f>IFERROR(IF(Y115=0,"",ROUNDUP(Y115/H115,0)*0.00651),"")</f>
        <v>8.4629999999999997E-2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32.250000000000007</v>
      </c>
      <c r="BN115" s="64">
        <f>IFERROR(Y115*I115/H115,"0")</f>
        <v>33.54</v>
      </c>
      <c r="BO115" s="64">
        <f>IFERROR(1/J115*(X115/H115),"0")</f>
        <v>6.8681318681318687E-2</v>
      </c>
      <c r="BP115" s="64">
        <f>IFERROR(1/J115*(Y115/H115),"0")</f>
        <v>7.1428571428571438E-2</v>
      </c>
    </row>
    <row r="116" spans="1:68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19.62962962962963</v>
      </c>
      <c r="Y116" s="619">
        <f>IFERROR(Y111/H111,"0")+IFERROR(Y112/H112,"0")+IFERROR(Y113/H113,"0")+IFERROR(Y114/H114,"0")+IFERROR(Y115/H115,"0")</f>
        <v>21</v>
      </c>
      <c r="Z116" s="619">
        <f>IFERROR(IF(Z111="",0,Z111),"0")+IFERROR(IF(Z112="",0,Z112),"0")+IFERROR(IF(Z113="",0,Z113),"0")+IFERROR(IF(Z114="",0,Z114),"0")+IFERROR(IF(Z115="",0,Z115),"0")</f>
        <v>0.23647000000000001</v>
      </c>
      <c r="AA116" s="620"/>
      <c r="AB116" s="620"/>
      <c r="AC116" s="620"/>
    </row>
    <row r="117" spans="1:68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107</v>
      </c>
      <c r="Y117" s="619">
        <f>IFERROR(SUM(Y111:Y115),"0")</f>
        <v>117.60000000000001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347</v>
      </c>
      <c r="Y119" s="618">
        <f>IFERROR(IF(X119="",0,CEILING((X119/$H119),1)*$H119),"")</f>
        <v>348.3</v>
      </c>
      <c r="Z119" s="36">
        <f>IFERROR(IF(Y119=0,"",ROUNDUP(Y119/H119,0)*0.01898),"")</f>
        <v>0.81613999999999998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367.90567901234567</v>
      </c>
      <c r="BN119" s="64">
        <f>IFERROR(Y119*I119/H119,"0")</f>
        <v>369.28399999999999</v>
      </c>
      <c r="BO119" s="64">
        <f>IFERROR(1/J119*(X119/H119),"0")</f>
        <v>0.66936728395061729</v>
      </c>
      <c r="BP119" s="64">
        <f>IFERROR(1/J119*(Y119/H119),"0")</f>
        <v>0.671875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112</v>
      </c>
      <c r="Y121" s="618">
        <f>IFERROR(IF(X121="",0,CEILING((X121/$H121),1)*$H121),"")</f>
        <v>113.4</v>
      </c>
      <c r="Z121" s="36">
        <f>IFERROR(IF(Y121=0,"",ROUNDUP(Y121/H121,0)*0.00651),"")</f>
        <v>0.27342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122.45333333333333</v>
      </c>
      <c r="BN121" s="64">
        <f>IFERROR(Y121*I121/H121,"0")</f>
        <v>123.98399999999999</v>
      </c>
      <c r="BO121" s="64">
        <f>IFERROR(1/J121*(X121/H121),"0")</f>
        <v>0.22792022792022792</v>
      </c>
      <c r="BP121" s="64">
        <f>IFERROR(1/J121*(Y121/H121),"0")</f>
        <v>0.23076923076923078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84.320987654320987</v>
      </c>
      <c r="Y123" s="619">
        <f>IFERROR(Y119/H119,"0")+IFERROR(Y120/H120,"0")+IFERROR(Y121/H121,"0")+IFERROR(Y122/H122,"0")</f>
        <v>85</v>
      </c>
      <c r="Z123" s="619">
        <f>IFERROR(IF(Z119="",0,Z119),"0")+IFERROR(IF(Z120="",0,Z120),"0")+IFERROR(IF(Z121="",0,Z121),"0")+IFERROR(IF(Z122="",0,Z122),"0")</f>
        <v>1.0895600000000001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459</v>
      </c>
      <c r="Y124" s="619">
        <f>IFERROR(SUM(Y119:Y122),"0")</f>
        <v>461.70000000000005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14</v>
      </c>
      <c r="Y126" s="618">
        <f>IFERROR(IF(X126="",0,CEILING((X126/$H126),1)*$H126),"")</f>
        <v>15.84</v>
      </c>
      <c r="Z126" s="36">
        <f>IFERROR(IF(Y126=0,"",ROUNDUP(Y126/H126,0)*0.00651),"")</f>
        <v>5.2080000000000001E-2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15.824242424242424</v>
      </c>
      <c r="BN126" s="64">
        <f>IFERROR(Y126*I126/H126,"0")</f>
        <v>17.904</v>
      </c>
      <c r="BO126" s="64">
        <f>IFERROR(1/J126*(X126/H126),"0")</f>
        <v>3.8850038850038855E-2</v>
      </c>
      <c r="BP126" s="64">
        <f>IFERROR(1/J126*(Y126/H126),"0")</f>
        <v>4.3956043956043959E-2</v>
      </c>
    </row>
    <row r="127" spans="1:68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7.0707070707070709</v>
      </c>
      <c r="Y127" s="619">
        <f>IFERROR(Y126/H126,"0")</f>
        <v>8</v>
      </c>
      <c r="Z127" s="619">
        <f>IFERROR(IF(Z126="",0,Z126),"0")</f>
        <v>5.2080000000000001E-2</v>
      </c>
      <c r="AA127" s="620"/>
      <c r="AB127" s="620"/>
      <c r="AC127" s="620"/>
    </row>
    <row r="128" spans="1:68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14</v>
      </c>
      <c r="Y128" s="619">
        <f>IFERROR(SUM(Y126:Y126),"0")</f>
        <v>15.84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20</v>
      </c>
      <c r="Y131" s="618">
        <f>IFERROR(IF(X131="",0,CEILING((X131/$H131),1)*$H131),"")</f>
        <v>22.400000000000002</v>
      </c>
      <c r="Z131" s="36">
        <f>IFERROR(IF(Y131=0,"",ROUNDUP(Y131/H131,0)*0.00651),"")</f>
        <v>4.5569999999999999E-2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21.124999999999996</v>
      </c>
      <c r="BN131" s="64">
        <f>IFERROR(Y131*I131/H131,"0")</f>
        <v>23.66</v>
      </c>
      <c r="BO131" s="64">
        <f>IFERROR(1/J131*(X131/H131),"0")</f>
        <v>3.4340659340659344E-2</v>
      </c>
      <c r="BP131" s="64">
        <f>IFERROR(1/J131*(Y131/H131),"0")</f>
        <v>3.8461538461538464E-2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6.25</v>
      </c>
      <c r="Y133" s="619">
        <f>IFERROR(Y131/H131,"0")+IFERROR(Y132/H132,"0")</f>
        <v>7</v>
      </c>
      <c r="Z133" s="619">
        <f>IFERROR(IF(Z131="",0,Z131),"0")+IFERROR(IF(Z132="",0,Z132),"0")</f>
        <v>4.5569999999999999E-2</v>
      </c>
      <c r="AA133" s="620"/>
      <c r="AB133" s="620"/>
      <c r="AC133" s="620"/>
    </row>
    <row r="134" spans="1:68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20</v>
      </c>
      <c r="Y134" s="619">
        <f>IFERROR(SUM(Y131:Y132),"0")</f>
        <v>22.400000000000002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22</v>
      </c>
      <c r="Y136" s="618">
        <f>IFERROR(IF(X136="",0,CEILING((X136/$H136),1)*$H136),"")</f>
        <v>22.4</v>
      </c>
      <c r="Z136" s="36">
        <f>IFERROR(IF(Y136=0,"",ROUNDUP(Y136/H136,0)*0.00651),"")</f>
        <v>5.2080000000000001E-2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24.105714285714285</v>
      </c>
      <c r="BN136" s="64">
        <f>IFERROR(Y136*I136/H136,"0")</f>
        <v>24.543999999999997</v>
      </c>
      <c r="BO136" s="64">
        <f>IFERROR(1/J136*(X136/H136),"0")</f>
        <v>4.3171114599686033E-2</v>
      </c>
      <c r="BP136" s="64">
        <f>IFERROR(1/J136*(Y136/H136),"0")</f>
        <v>4.3956043956043959E-2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7.8571428571428577</v>
      </c>
      <c r="Y138" s="619">
        <f>IFERROR(Y136/H136,"0")+IFERROR(Y137/H137,"0")</f>
        <v>8</v>
      </c>
      <c r="Z138" s="619">
        <f>IFERROR(IF(Z136="",0,Z136),"0")+IFERROR(IF(Z137="",0,Z137),"0")</f>
        <v>5.2080000000000001E-2</v>
      </c>
      <c r="AA138" s="620"/>
      <c r="AB138" s="620"/>
      <c r="AC138" s="620"/>
    </row>
    <row r="139" spans="1:68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22</v>
      </c>
      <c r="Y139" s="619">
        <f>IFERROR(SUM(Y136:Y137),"0")</f>
        <v>22.4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31</v>
      </c>
      <c r="Y141" s="618">
        <f>IFERROR(IF(X141="",0,CEILING((X141/$H141),1)*$H141),"")</f>
        <v>31.68</v>
      </c>
      <c r="Z141" s="36">
        <f>IFERROR(IF(Y141=0,"",ROUNDUP(Y141/H141,0)*0.00651),"")</f>
        <v>7.8119999999999995E-2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34.146969696969691</v>
      </c>
      <c r="BN141" s="64">
        <f>IFERROR(Y141*I141/H141,"0")</f>
        <v>34.896000000000001</v>
      </c>
      <c r="BO141" s="64">
        <f>IFERROR(1/J141*(X141/H141),"0")</f>
        <v>6.4518814518814527E-2</v>
      </c>
      <c r="BP141" s="64">
        <f>IFERROR(1/J141*(Y141/H141),"0")</f>
        <v>6.5934065934065936E-2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11.742424242424242</v>
      </c>
      <c r="Y143" s="619">
        <f>IFERROR(Y141/H141,"0")+IFERROR(Y142/H142,"0")</f>
        <v>12</v>
      </c>
      <c r="Z143" s="619">
        <f>IFERROR(IF(Z141="",0,Z141),"0")+IFERROR(IF(Z142="",0,Z142),"0")</f>
        <v>7.8119999999999995E-2</v>
      </c>
      <c r="AA143" s="620"/>
      <c r="AB143" s="620"/>
      <c r="AC143" s="62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31</v>
      </c>
      <c r="Y144" s="619">
        <f>IFERROR(SUM(Y141:Y142),"0")</f>
        <v>31.68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87</v>
      </c>
      <c r="Y171" s="618">
        <f t="shared" ref="Y171:Y180" si="15">IFERROR(IF(X171="",0,CEILING((X171/$H171),1)*$H171),"")</f>
        <v>87.5</v>
      </c>
      <c r="Z171" s="36">
        <f>IFERROR(IF(Y171=0,"",ROUNDUP(Y171/H171,0)*0.00902),"")</f>
        <v>0.22550000000000001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91.722857142857137</v>
      </c>
      <c r="BN171" s="64">
        <f t="shared" ref="BN171:BN180" si="17">IFERROR(Y171*I171/H171,"0")</f>
        <v>92.25</v>
      </c>
      <c r="BO171" s="64">
        <f t="shared" ref="BO171:BO180" si="18">IFERROR(1/J171*(X171/H171),"0")</f>
        <v>0.18831168831168832</v>
      </c>
      <c r="BP171" s="64">
        <f t="shared" ref="BP171:BP180" si="19">IFERROR(1/J171*(Y171/H171),"0")</f>
        <v>0.18939393939393939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522</v>
      </c>
      <c r="Y174" s="618">
        <f t="shared" si="15"/>
        <v>525</v>
      </c>
      <c r="Z174" s="36">
        <f>IFERROR(IF(Y174=0,"",ROUNDUP(Y174/H174,0)*0.00902),"")</f>
        <v>1.353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550.33714285714291</v>
      </c>
      <c r="BN174" s="64">
        <f t="shared" si="17"/>
        <v>553.5</v>
      </c>
      <c r="BO174" s="64">
        <f t="shared" si="18"/>
        <v>1.1298701298701299</v>
      </c>
      <c r="BP174" s="64">
        <f t="shared" si="19"/>
        <v>1.1363636363636365</v>
      </c>
    </row>
    <row r="175" spans="1:68" ht="16.5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7</v>
      </c>
      <c r="Y175" s="618">
        <f t="shared" si="15"/>
        <v>7.2</v>
      </c>
      <c r="Z175" s="36">
        <f>IFERROR(IF(Y175=0,"",ROUNDUP(Y175/H175,0)*0.00726),"")</f>
        <v>5.808E-2</v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8.6333333333333329</v>
      </c>
      <c r="BN175" s="64">
        <f t="shared" si="17"/>
        <v>8.8800000000000008</v>
      </c>
      <c r="BO175" s="64">
        <f t="shared" si="18"/>
        <v>4.0509259259259259E-2</v>
      </c>
      <c r="BP175" s="64">
        <f t="shared" si="19"/>
        <v>4.1666666666666664E-2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22</v>
      </c>
      <c r="Y176" s="618">
        <f t="shared" si="15"/>
        <v>23.52</v>
      </c>
      <c r="Z176" s="36">
        <f>IFERROR(IF(Y176=0,"",ROUNDUP(Y176/H176,0)*0.00502),"")</f>
        <v>7.0280000000000009E-2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23.309523809523814</v>
      </c>
      <c r="BN176" s="64">
        <f t="shared" si="17"/>
        <v>24.92</v>
      </c>
      <c r="BO176" s="64">
        <f t="shared" si="18"/>
        <v>5.596255596255597E-2</v>
      </c>
      <c r="BP176" s="64">
        <f t="shared" si="19"/>
        <v>5.9829059829059839E-2</v>
      </c>
    </row>
    <row r="177" spans="1:68" ht="27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8</v>
      </c>
      <c r="Y177" s="618">
        <f t="shared" si="15"/>
        <v>8.1</v>
      </c>
      <c r="Z177" s="36">
        <f>IFERROR(IF(Y177=0,"",ROUNDUP(Y177/H177,0)*0.00417),"")</f>
        <v>3.7530000000000001E-2</v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9.8666666666666671</v>
      </c>
      <c r="BN177" s="64">
        <f t="shared" si="17"/>
        <v>9.99</v>
      </c>
      <c r="BO177" s="64">
        <f t="shared" si="18"/>
        <v>2.6455026455026454E-2</v>
      </c>
      <c r="BP177" s="64">
        <f t="shared" si="19"/>
        <v>2.6785714285714284E-2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203.76190476190476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206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1.7443899999999999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646</v>
      </c>
      <c r="Y182" s="619">
        <f>IFERROR(SUM(Y171:Y180),"0")</f>
        <v>651.32000000000005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61</v>
      </c>
      <c r="Y214" s="618">
        <f t="shared" ref="Y214:Y226" si="26">IFERROR(IF(X214="",0,CEILING((X214/$H214),1)*$H214),"")</f>
        <v>63</v>
      </c>
      <c r="Z214" s="36">
        <f>IFERROR(IF(Y214=0,"",ROUNDUP(Y214/H214,0)*0.00902),"")</f>
        <v>0.1353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64.63095238095238</v>
      </c>
      <c r="BN214" s="64">
        <f t="shared" ref="BN214:BN226" si="28">IFERROR(Y214*I214/H214,"0")</f>
        <v>66.75</v>
      </c>
      <c r="BO214" s="64">
        <f t="shared" ref="BO214:BO226" si="29">IFERROR(1/J214*(X214/H214),"0")</f>
        <v>0.11002886002886003</v>
      </c>
      <c r="BP214" s="64">
        <f t="shared" ref="BP214:BP226" si="30">IFERROR(1/J214*(Y214/H214),"0")</f>
        <v>0.11363636363636365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69</v>
      </c>
      <c r="Y216" s="618">
        <f t="shared" si="26"/>
        <v>71.400000000000006</v>
      </c>
      <c r="Z216" s="36">
        <f>IFERROR(IF(Y216=0,"",ROUNDUP(Y216/H216,0)*0.00902),"")</f>
        <v>0.15334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72.121428571428567</v>
      </c>
      <c r="BN216" s="64">
        <f t="shared" si="28"/>
        <v>74.63000000000001</v>
      </c>
      <c r="BO216" s="64">
        <f t="shared" si="29"/>
        <v>0.12445887445887445</v>
      </c>
      <c r="BP216" s="64">
        <f t="shared" si="30"/>
        <v>0.12878787878787878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12</v>
      </c>
      <c r="Y217" s="618">
        <f t="shared" si="26"/>
        <v>12</v>
      </c>
      <c r="Z217" s="36">
        <f>IFERROR(IF(Y217=0,"",ROUNDUP(Y217/H217,0)*0.00556),"")</f>
        <v>8.3400000000000002E-2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13.95</v>
      </c>
      <c r="BN217" s="64">
        <f t="shared" si="28"/>
        <v>13.95</v>
      </c>
      <c r="BO217" s="64">
        <f t="shared" si="29"/>
        <v>5.9523809523809521E-2</v>
      </c>
      <c r="BP217" s="64">
        <f t="shared" si="30"/>
        <v>5.9523809523809521E-2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18</v>
      </c>
      <c r="Y218" s="618">
        <f t="shared" si="26"/>
        <v>18.900000000000002</v>
      </c>
      <c r="Z218" s="36">
        <f>IFERROR(IF(Y218=0,"",ROUNDUP(Y218/H218,0)*0.00502),"")</f>
        <v>4.5179999999999998E-2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19.114285714285714</v>
      </c>
      <c r="BN218" s="64">
        <f t="shared" si="28"/>
        <v>20.07</v>
      </c>
      <c r="BO218" s="64">
        <f t="shared" si="29"/>
        <v>3.6630036630036632E-2</v>
      </c>
      <c r="BP218" s="64">
        <f t="shared" si="30"/>
        <v>3.8461538461538464E-2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10</v>
      </c>
      <c r="Y223" s="618">
        <f t="shared" si="26"/>
        <v>10.4</v>
      </c>
      <c r="Z223" s="36">
        <f>IFERROR(IF(Y223=0,"",ROUNDUP(Y223/H223,0)*0.00417),"")</f>
        <v>5.4210000000000001E-2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12.624999999999998</v>
      </c>
      <c r="BN223" s="64">
        <f t="shared" si="28"/>
        <v>13.13</v>
      </c>
      <c r="BO223" s="64">
        <f t="shared" si="29"/>
        <v>3.7202380952380952E-2</v>
      </c>
      <c r="BP223" s="64">
        <f t="shared" si="30"/>
        <v>3.8690476190476192E-2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67.023809523809518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69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0.47143000000000002</v>
      </c>
      <c r="AA227" s="620"/>
      <c r="AB227" s="620"/>
      <c r="AC227" s="620"/>
    </row>
    <row r="228" spans="1:68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170</v>
      </c>
      <c r="Y228" s="619">
        <f>IFERROR(SUM(Y214:Y226),"0")</f>
        <v>175.70000000000002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3</v>
      </c>
      <c r="Y244" s="618">
        <f>IFERROR(IF(X244="",0,CEILING((X244/$H244),1)*$H244),"")</f>
        <v>3.7800000000000002</v>
      </c>
      <c r="Z244" s="36">
        <f>IFERROR(IF(Y244=0,"",ROUNDUP(Y244/H244,0)*0.0059),"")</f>
        <v>1.77E-2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3.4523809523809521</v>
      </c>
      <c r="BN244" s="64">
        <f>IFERROR(Y244*I244/H244,"0")</f>
        <v>4.3499999999999996</v>
      </c>
      <c r="BO244" s="64">
        <f>IFERROR(1/J244*(X244/H244),"0")</f>
        <v>1.1022927689594356E-2</v>
      </c>
      <c r="BP244" s="64">
        <f>IFERROR(1/J244*(Y244/H244),"0")</f>
        <v>1.3888888888888888E-2</v>
      </c>
    </row>
    <row r="245" spans="1:68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2.3809523809523809</v>
      </c>
      <c r="Y245" s="619">
        <f>IFERROR(Y244/H244,"0")</f>
        <v>3</v>
      </c>
      <c r="Z245" s="619">
        <f>IFERROR(IF(Z244="",0,Z244),"0")</f>
        <v>1.77E-2</v>
      </c>
      <c r="AA245" s="620"/>
      <c r="AB245" s="620"/>
      <c r="AC245" s="620"/>
    </row>
    <row r="246" spans="1:68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3</v>
      </c>
      <c r="Y246" s="619">
        <f>IFERROR(SUM(Y244:Y244),"0")</f>
        <v>3.7800000000000002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107</v>
      </c>
      <c r="Y260" s="618">
        <f t="shared" si="31"/>
        <v>108</v>
      </c>
      <c r="Z260" s="36">
        <f>IFERROR(IF(Y260=0,"",ROUNDUP(Y260/H260,0)*0.00902),"")</f>
        <v>0.1804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110.76481481481481</v>
      </c>
      <c r="BN260" s="64">
        <f t="shared" si="33"/>
        <v>111.8</v>
      </c>
      <c r="BO260" s="64">
        <f t="shared" si="34"/>
        <v>0.15011223344556676</v>
      </c>
      <c r="BP260" s="64">
        <f t="shared" si="35"/>
        <v>0.15151515151515152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12</v>
      </c>
      <c r="Y262" s="618">
        <f t="shared" si="31"/>
        <v>16.200000000000003</v>
      </c>
      <c r="Z262" s="36">
        <f>IFERROR(IF(Y262=0,"",ROUNDUP(Y262/H262,0)*0.00902),"")</f>
        <v>2.7060000000000001E-2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12.422222222222221</v>
      </c>
      <c r="BN262" s="64">
        <f t="shared" si="33"/>
        <v>16.77</v>
      </c>
      <c r="BO262" s="64">
        <f t="shared" si="34"/>
        <v>1.6835016835016831E-2</v>
      </c>
      <c r="BP262" s="64">
        <f t="shared" si="35"/>
        <v>2.2727272727272731E-2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22.037037037037035</v>
      </c>
      <c r="Y267" s="619">
        <f>IFERROR(Y259/H259,"0")+IFERROR(Y260/H260,"0")+IFERROR(Y261/H261,"0")+IFERROR(Y262/H262,"0")+IFERROR(Y263/H263,"0")+IFERROR(Y264/H264,"0")+IFERROR(Y265/H265,"0")+IFERROR(Y266/H266,"0")</f>
        <v>23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0.20746000000000001</v>
      </c>
      <c r="AA267" s="620"/>
      <c r="AB267" s="620"/>
      <c r="AC267" s="620"/>
    </row>
    <row r="268" spans="1:68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119</v>
      </c>
      <c r="Y268" s="619">
        <f>IFERROR(SUM(Y259:Y266),"0")</f>
        <v>124.2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171</v>
      </c>
      <c r="Y270" s="618">
        <f t="shared" ref="Y270:Y281" si="36">IFERROR(IF(X270="",0,CEILING((X270/$H270),1)*$H270),"")</f>
        <v>178.2</v>
      </c>
      <c r="Z270" s="36">
        <f>IFERROR(IF(Y270=0,"",ROUNDUP(Y270/H270,0)*0.01898),"")</f>
        <v>0.41755999999999999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181.42888888888888</v>
      </c>
      <c r="BN270" s="64">
        <f t="shared" ref="BN270:BN281" si="38">IFERROR(Y270*I270/H270,"0")</f>
        <v>189.06799999999998</v>
      </c>
      <c r="BO270" s="64">
        <f t="shared" ref="BO270:BO281" si="39">IFERROR(1/J270*(X270/H270),"0")</f>
        <v>0.3298611111111111</v>
      </c>
      <c r="BP270" s="64">
        <f t="shared" ref="BP270:BP281" si="40">IFERROR(1/J270*(Y270/H270),"0")</f>
        <v>0.34375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5</v>
      </c>
      <c r="Y272" s="618">
        <f t="shared" si="36"/>
        <v>8.6999999999999993</v>
      </c>
      <c r="Z272" s="36">
        <f>IFERROR(IF(Y272=0,"",ROUNDUP(Y272/H272,0)*0.01898),"")</f>
        <v>1.898E-2</v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5.2839080459770127</v>
      </c>
      <c r="BN272" s="64">
        <f t="shared" si="38"/>
        <v>9.1940000000000008</v>
      </c>
      <c r="BO272" s="64">
        <f t="shared" si="39"/>
        <v>8.9798850574712655E-3</v>
      </c>
      <c r="BP272" s="64">
        <f t="shared" si="40"/>
        <v>1.5625E-2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130</v>
      </c>
      <c r="Y273" s="618">
        <f t="shared" si="36"/>
        <v>132</v>
      </c>
      <c r="Z273" s="36">
        <f>IFERROR(IF(Y273=0,"",ROUNDUP(Y273/H273,0)*0.00651),"")</f>
        <v>0.35805000000000003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144.625</v>
      </c>
      <c r="BN273" s="64">
        <f t="shared" si="38"/>
        <v>146.85</v>
      </c>
      <c r="BO273" s="64">
        <f t="shared" si="39"/>
        <v>0.29761904761904767</v>
      </c>
      <c r="BP273" s="64">
        <f t="shared" si="40"/>
        <v>0.30219780219780223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715</v>
      </c>
      <c r="Y276" s="618">
        <f t="shared" si="36"/>
        <v>715.19999999999993</v>
      </c>
      <c r="Z276" s="36">
        <f>IFERROR(IF(Y276=0,"",ROUNDUP(Y276/H276,0)*0.00651),"")</f>
        <v>1.93998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790.07500000000005</v>
      </c>
      <c r="BN276" s="64">
        <f t="shared" si="38"/>
        <v>790.29600000000005</v>
      </c>
      <c r="BO276" s="64">
        <f t="shared" si="39"/>
        <v>1.6369047619047621</v>
      </c>
      <c r="BP276" s="64">
        <f t="shared" si="40"/>
        <v>1.6373626373626375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89</v>
      </c>
      <c r="Y278" s="618">
        <f t="shared" si="36"/>
        <v>91.2</v>
      </c>
      <c r="Z278" s="36">
        <f>IFERROR(IF(Y278=0,"",ROUNDUP(Y278/H278,0)*0.00651),"")</f>
        <v>0.24738000000000002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98.345000000000013</v>
      </c>
      <c r="BN278" s="64">
        <f t="shared" si="38"/>
        <v>100.77600000000001</v>
      </c>
      <c r="BO278" s="64">
        <f t="shared" si="39"/>
        <v>0.20375457875457878</v>
      </c>
      <c r="BP278" s="64">
        <f t="shared" si="40"/>
        <v>0.2087912087912088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137</v>
      </c>
      <c r="Y279" s="618">
        <f t="shared" si="36"/>
        <v>139.19999999999999</v>
      </c>
      <c r="Z279" s="36">
        <f>IFERROR(IF(Y279=0,"",ROUNDUP(Y279/H279,0)*0.00651),"")</f>
        <v>0.37758000000000003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151.38500000000002</v>
      </c>
      <c r="BN279" s="64">
        <f t="shared" si="38"/>
        <v>153.816</v>
      </c>
      <c r="BO279" s="64">
        <f t="shared" si="39"/>
        <v>0.3136446886446887</v>
      </c>
      <c r="BP279" s="64">
        <f t="shared" si="40"/>
        <v>0.31868131868131871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82</v>
      </c>
      <c r="Y280" s="618">
        <f t="shared" si="36"/>
        <v>84</v>
      </c>
      <c r="Z280" s="36">
        <f>IFERROR(IF(Y280=0,"",ROUNDUP(Y280/H280,0)*0.00651),"")</f>
        <v>0.22785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90.814999999999998</v>
      </c>
      <c r="BN280" s="64">
        <f t="shared" si="38"/>
        <v>93.03</v>
      </c>
      <c r="BO280" s="64">
        <f t="shared" si="39"/>
        <v>0.18772893772893776</v>
      </c>
      <c r="BP280" s="64">
        <f t="shared" si="40"/>
        <v>0.19230769230769232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502.10249042145591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507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3.5873800000000005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1329</v>
      </c>
      <c r="Y283" s="619">
        <f>IFERROR(SUM(Y270:Y281),"0")</f>
        <v>1348.5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4</v>
      </c>
      <c r="Y285" s="618">
        <f>IFERROR(IF(X285="",0,CEILING((X285/$H285),1)*$H285),"")</f>
        <v>4.8</v>
      </c>
      <c r="Z285" s="36">
        <f>IFERROR(IF(Y285=0,"",ROUNDUP(Y285/H285,0)*0.00651),"")</f>
        <v>1.302E-2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4.4200000000000008</v>
      </c>
      <c r="BN285" s="64">
        <f>IFERROR(Y285*I285/H285,"0")</f>
        <v>5.3040000000000003</v>
      </c>
      <c r="BO285" s="64">
        <f>IFERROR(1/J285*(X285/H285),"0")</f>
        <v>9.1575091575091579E-3</v>
      </c>
      <c r="BP285" s="64">
        <f>IFERROR(1/J285*(Y285/H285),"0")</f>
        <v>1.098901098901099E-2</v>
      </c>
    </row>
    <row r="286" spans="1:68" ht="27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20</v>
      </c>
      <c r="Y286" s="618">
        <f>IFERROR(IF(X286="",0,CEILING((X286/$H286),1)*$H286),"")</f>
        <v>21.599999999999998</v>
      </c>
      <c r="Z286" s="36">
        <f>IFERROR(IF(Y286=0,"",ROUNDUP(Y286/H286,0)*0.00651),"")</f>
        <v>5.8590000000000003E-2</v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22.100000000000005</v>
      </c>
      <c r="BN286" s="64">
        <f>IFERROR(Y286*I286/H286,"0")</f>
        <v>23.868000000000002</v>
      </c>
      <c r="BO286" s="64">
        <f>IFERROR(1/J286*(X286/H286),"0")</f>
        <v>4.5787545787545791E-2</v>
      </c>
      <c r="BP286" s="64">
        <f>IFERROR(1/J286*(Y286/H286),"0")</f>
        <v>4.9450549450549455E-2</v>
      </c>
    </row>
    <row r="287" spans="1:68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10</v>
      </c>
      <c r="Y287" s="619">
        <f>IFERROR(Y285/H285,"0")+IFERROR(Y286/H286,"0")</f>
        <v>11</v>
      </c>
      <c r="Z287" s="619">
        <f>IFERROR(IF(Z285="",0,Z285),"0")+IFERROR(IF(Z286="",0,Z286),"0")</f>
        <v>7.1610000000000007E-2</v>
      </c>
      <c r="AA287" s="620"/>
      <c r="AB287" s="620"/>
      <c r="AC287" s="620"/>
    </row>
    <row r="288" spans="1:68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24</v>
      </c>
      <c r="Y288" s="619">
        <f>IFERROR(SUM(Y285:Y286),"0")</f>
        <v>26.4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35</v>
      </c>
      <c r="Y297" s="618">
        <f t="shared" si="41"/>
        <v>36</v>
      </c>
      <c r="Z297" s="36">
        <f>IFERROR(IF(Y297=0,"",ROUNDUP(Y297/H297,0)*0.00902),"")</f>
        <v>8.1180000000000002E-2</v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36.662500000000001</v>
      </c>
      <c r="BN297" s="64">
        <f t="shared" si="43"/>
        <v>37.71</v>
      </c>
      <c r="BO297" s="64">
        <f t="shared" si="44"/>
        <v>6.6287878787878785E-2</v>
      </c>
      <c r="BP297" s="64">
        <f t="shared" si="45"/>
        <v>6.8181818181818177E-2</v>
      </c>
    </row>
    <row r="298" spans="1:68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8.75</v>
      </c>
      <c r="Y298" s="619">
        <f>IFERROR(Y291/H291,"0")+IFERROR(Y292/H292,"0")+IFERROR(Y293/H293,"0")+IFERROR(Y294/H294,"0")+IFERROR(Y295/H295,"0")+IFERROR(Y296/H296,"0")+IFERROR(Y297/H297,"0")</f>
        <v>9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8.1180000000000002E-2</v>
      </c>
      <c r="AA298" s="620"/>
      <c r="AB298" s="620"/>
      <c r="AC298" s="620"/>
    </row>
    <row r="299" spans="1:68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35</v>
      </c>
      <c r="Y299" s="619">
        <f>IFERROR(SUM(Y291:Y297),"0")</f>
        <v>36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2</v>
      </c>
      <c r="Y305" s="618">
        <f>IFERROR(IF(X305="",0,CEILING((X305/$H305),1)*$H305),"")</f>
        <v>3.6</v>
      </c>
      <c r="Z305" s="36">
        <f>IFERROR(IF(Y305=0,"",ROUNDUP(Y305/H305,0)*0.0059),"")</f>
        <v>1.18E-2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2.1944444444444446</v>
      </c>
      <c r="BN305" s="64">
        <f>IFERROR(Y305*I305/H305,"0")</f>
        <v>3.95</v>
      </c>
      <c r="BO305" s="64">
        <f>IFERROR(1/J305*(X305/H305),"0")</f>
        <v>5.1440329218106996E-3</v>
      </c>
      <c r="BP305" s="64">
        <f>IFERROR(1/J305*(Y305/H305),"0")</f>
        <v>9.2592592592592587E-3</v>
      </c>
    </row>
    <row r="306" spans="1:68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1.1111111111111112</v>
      </c>
      <c r="Y306" s="619">
        <f>IFERROR(Y305/H305,"0")</f>
        <v>2</v>
      </c>
      <c r="Z306" s="619">
        <f>IFERROR(IF(Z305="",0,Z305),"0")</f>
        <v>1.18E-2</v>
      </c>
      <c r="AA306" s="620"/>
      <c r="AB306" s="620"/>
      <c r="AC306" s="620"/>
    </row>
    <row r="307" spans="1:68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2</v>
      </c>
      <c r="Y307" s="619">
        <f>IFERROR(SUM(Y305:Y305),"0")</f>
        <v>3.6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58</v>
      </c>
      <c r="Y326" s="618">
        <f>IFERROR(IF(X326="",0,CEILING((X326/$H326),1)*$H326),"")</f>
        <v>60</v>
      </c>
      <c r="Z326" s="36">
        <f>IFERROR(IF(Y326=0,"",ROUNDUP(Y326/H326,0)*0.00651),"")</f>
        <v>0.16275000000000001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64.09</v>
      </c>
      <c r="BN326" s="64">
        <f>IFERROR(Y326*I326/H326,"0")</f>
        <v>66.300000000000011</v>
      </c>
      <c r="BO326" s="64">
        <f>IFERROR(1/J326*(X326/H326),"0")</f>
        <v>0.13278388278388281</v>
      </c>
      <c r="BP326" s="64">
        <f>IFERROR(1/J326*(Y326/H326),"0")</f>
        <v>0.13736263736263737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75</v>
      </c>
      <c r="Y327" s="618">
        <f>IFERROR(IF(X327="",0,CEILING((X327/$H327),1)*$H327),"")</f>
        <v>76.8</v>
      </c>
      <c r="Z327" s="36">
        <f>IFERROR(IF(Y327=0,"",ROUNDUP(Y327/H327,0)*0.00651),"")</f>
        <v>0.20832000000000001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80.625</v>
      </c>
      <c r="BN327" s="64">
        <f>IFERROR(Y327*I327/H327,"0")</f>
        <v>82.56</v>
      </c>
      <c r="BO327" s="64">
        <f>IFERROR(1/J327*(X327/H327),"0")</f>
        <v>0.1717032967032967</v>
      </c>
      <c r="BP327" s="64">
        <f>IFERROR(1/J327*(Y327/H327),"0")</f>
        <v>0.17582417582417584</v>
      </c>
    </row>
    <row r="328" spans="1:68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55.416666666666671</v>
      </c>
      <c r="Y328" s="619">
        <f>IFERROR(Y325/H325,"0")+IFERROR(Y326/H326,"0")+IFERROR(Y327/H327,"0")</f>
        <v>57</v>
      </c>
      <c r="Z328" s="619">
        <f>IFERROR(IF(Z325="",0,Z325),"0")+IFERROR(IF(Z326="",0,Z326),"0")+IFERROR(IF(Z327="",0,Z327),"0")</f>
        <v>0.37107000000000001</v>
      </c>
      <c r="AA328" s="620"/>
      <c r="AB328" s="620"/>
      <c r="AC328" s="620"/>
    </row>
    <row r="329" spans="1:68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133</v>
      </c>
      <c r="Y329" s="619">
        <f>IFERROR(SUM(Y325:Y327),"0")</f>
        <v>136.80000000000001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233</v>
      </c>
      <c r="Y346" s="618">
        <f>IFERROR(IF(X346="",0,CEILING((X346/$H346),1)*$H346),"")</f>
        <v>234</v>
      </c>
      <c r="Z346" s="36">
        <f>IFERROR(IF(Y346=0,"",ROUNDUP(Y346/H346,0)*0.01898),"")</f>
        <v>0.56940000000000002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245.24743589743593</v>
      </c>
      <c r="BN346" s="64">
        <f>IFERROR(Y346*I346/H346,"0")</f>
        <v>246.3</v>
      </c>
      <c r="BO346" s="64">
        <f>IFERROR(1/J346*(X346/H346),"0")</f>
        <v>0.46674679487179488</v>
      </c>
      <c r="BP346" s="64">
        <f>IFERROR(1/J346*(Y346/H346),"0")</f>
        <v>0.46875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320</v>
      </c>
      <c r="Y347" s="618">
        <f>IFERROR(IF(X347="",0,CEILING((X347/$H347),1)*$H347),"")</f>
        <v>327.59999999999997</v>
      </c>
      <c r="Z347" s="36">
        <f>IFERROR(IF(Y347=0,"",ROUNDUP(Y347/H347,0)*0.01898),"")</f>
        <v>0.79715999999999998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336.82051282051287</v>
      </c>
      <c r="BN347" s="64">
        <f>IFERROR(Y347*I347/H347,"0")</f>
        <v>344.82</v>
      </c>
      <c r="BO347" s="64">
        <f>IFERROR(1/J347*(X347/H347),"0")</f>
        <v>0.64102564102564108</v>
      </c>
      <c r="BP347" s="64">
        <f>IFERROR(1/J347*(Y347/H347),"0")</f>
        <v>0.65625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95</v>
      </c>
      <c r="Y348" s="618">
        <f>IFERROR(IF(X348="",0,CEILING((X348/$H348),1)*$H348),"")</f>
        <v>101.39999999999999</v>
      </c>
      <c r="Z348" s="36">
        <f>IFERROR(IF(Y348=0,"",ROUNDUP(Y348/H348,0)*0.01898),"")</f>
        <v>0.24674000000000001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99.993589743589752</v>
      </c>
      <c r="BN348" s="64">
        <f>IFERROR(Y348*I348/H348,"0")</f>
        <v>106.73</v>
      </c>
      <c r="BO348" s="64">
        <f>IFERROR(1/J348*(X348/H348),"0")</f>
        <v>0.1903044871794872</v>
      </c>
      <c r="BP348" s="64">
        <f>IFERROR(1/J348*(Y348/H348),"0")</f>
        <v>0.203125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83.07692307692308</v>
      </c>
      <c r="Y349" s="619">
        <f>IFERROR(Y346/H346,"0")+IFERROR(Y347/H347,"0")+IFERROR(Y348/H348,"0")</f>
        <v>85</v>
      </c>
      <c r="Z349" s="619">
        <f>IFERROR(IF(Z346="",0,Z346),"0")+IFERROR(IF(Z347="",0,Z347),"0")+IFERROR(IF(Z348="",0,Z348),"0")</f>
        <v>1.6133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648</v>
      </c>
      <c r="Y350" s="619">
        <f>IFERROR(SUM(Y346:Y348),"0")</f>
        <v>662.99999999999989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11</v>
      </c>
      <c r="Y357" s="618">
        <f t="shared" si="51"/>
        <v>21.6</v>
      </c>
      <c r="Z357" s="36">
        <f>IFERROR(IF(Y357=0,"",ROUNDUP(Y357/H357,0)*0.01898),"")</f>
        <v>3.7960000000000001E-2</v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11.417592592592593</v>
      </c>
      <c r="BN357" s="64">
        <f t="shared" si="53"/>
        <v>22.42</v>
      </c>
      <c r="BO357" s="64">
        <f t="shared" si="54"/>
        <v>1.591435185185185E-2</v>
      </c>
      <c r="BP357" s="64">
        <f t="shared" si="55"/>
        <v>3.125E-2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1.0185185185185184</v>
      </c>
      <c r="Y360" s="619">
        <f>IFERROR(Y353/H353,"0")+IFERROR(Y354/H354,"0")+IFERROR(Y355/H355,"0")+IFERROR(Y356/H356,"0")+IFERROR(Y357/H357,"0")+IFERROR(Y358/H358,"0")+IFERROR(Y359/H359,"0")</f>
        <v>2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3.7960000000000001E-2</v>
      </c>
      <c r="AA360" s="620"/>
      <c r="AB360" s="620"/>
      <c r="AC360" s="620"/>
    </row>
    <row r="361" spans="1:68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11</v>
      </c>
      <c r="Y361" s="619">
        <f>IFERROR(SUM(Y353:Y359),"0")</f>
        <v>21.6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3</v>
      </c>
      <c r="Y369" s="618">
        <f t="shared" si="56"/>
        <v>3.6</v>
      </c>
      <c r="Z369" s="36">
        <f>IFERROR(IF(Y369=0,"",ROUNDUP(Y369/H369,0)*0.00651),"")</f>
        <v>1.302E-2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3.38</v>
      </c>
      <c r="BN369" s="64">
        <f t="shared" si="58"/>
        <v>4.056</v>
      </c>
      <c r="BO369" s="64">
        <f t="shared" si="59"/>
        <v>9.1575091575091579E-3</v>
      </c>
      <c r="BP369" s="64">
        <f t="shared" si="60"/>
        <v>1.098901098901099E-2</v>
      </c>
    </row>
    <row r="370" spans="1:68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1.6666666666666665</v>
      </c>
      <c r="Y370" s="619">
        <f>IFERROR(Y363/H363,"0")+IFERROR(Y364/H364,"0")+IFERROR(Y365/H365,"0")+IFERROR(Y366/H366,"0")+IFERROR(Y367/H367,"0")+IFERROR(Y368/H368,"0")+IFERROR(Y369/H369,"0")</f>
        <v>2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1.302E-2</v>
      </c>
      <c r="AA370" s="620"/>
      <c r="AB370" s="620"/>
      <c r="AC370" s="620"/>
    </row>
    <row r="371" spans="1:68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3</v>
      </c>
      <c r="Y371" s="619">
        <f>IFERROR(SUM(Y363:Y369),"0")</f>
        <v>3.6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89</v>
      </c>
      <c r="Y380" s="618">
        <f>IFERROR(IF(X380="",0,CEILING((X380/$H380),1)*$H380),"")</f>
        <v>92.4</v>
      </c>
      <c r="Z380" s="36">
        <f>IFERROR(IF(Y380=0,"",ROUNDUP(Y380/H380,0)*0.01898),"")</f>
        <v>0.20877999999999999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94.234047619047615</v>
      </c>
      <c r="BN380" s="64">
        <f>IFERROR(Y380*I380/H380,"0")</f>
        <v>97.834000000000003</v>
      </c>
      <c r="BO380" s="64">
        <f>IFERROR(1/J380*(X380/H380),"0")</f>
        <v>0.16555059523809523</v>
      </c>
      <c r="BP380" s="64">
        <f>IFERROR(1/J380*(Y380/H380),"0")</f>
        <v>0.171875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430</v>
      </c>
      <c r="Y381" s="618">
        <f>IFERROR(IF(X381="",0,CEILING((X381/$H381),1)*$H381),"")</f>
        <v>436.8</v>
      </c>
      <c r="Z381" s="36">
        <f>IFERROR(IF(Y381=0,"",ROUNDUP(Y381/H381,0)*0.01898),"")</f>
        <v>1.06288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457.23333333333335</v>
      </c>
      <c r="BN381" s="64">
        <f>IFERROR(Y381*I381/H381,"0")</f>
        <v>464.46400000000006</v>
      </c>
      <c r="BO381" s="64">
        <f>IFERROR(1/J381*(X381/H381),"0")</f>
        <v>0.86137820512820518</v>
      </c>
      <c r="BP381" s="64">
        <f>IFERROR(1/J381*(Y381/H381),"0")</f>
        <v>0.875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87</v>
      </c>
      <c r="Y382" s="618">
        <f>IFERROR(IF(X382="",0,CEILING((X382/$H382),1)*$H382),"")</f>
        <v>92.4</v>
      </c>
      <c r="Z382" s="36">
        <f>IFERROR(IF(Y382=0,"",ROUNDUP(Y382/H382,0)*0.01898),"")</f>
        <v>0.20877999999999999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92.116428571428571</v>
      </c>
      <c r="BN382" s="64">
        <f>IFERROR(Y382*I382/H382,"0")</f>
        <v>97.834000000000003</v>
      </c>
      <c r="BO382" s="64">
        <f>IFERROR(1/J382*(X382/H382),"0")</f>
        <v>0.16183035714285712</v>
      </c>
      <c r="BP382" s="64">
        <f>IFERROR(1/J382*(Y382/H382),"0")</f>
        <v>0.171875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76.080586080586087</v>
      </c>
      <c r="Y383" s="619">
        <f>IFERROR(Y380/H380,"0")+IFERROR(Y381/H381,"0")+IFERROR(Y382/H382,"0")</f>
        <v>78</v>
      </c>
      <c r="Z383" s="619">
        <f>IFERROR(IF(Z380="",0,Z380),"0")+IFERROR(IF(Z381="",0,Z381),"0")+IFERROR(IF(Z382="",0,Z382),"0")</f>
        <v>1.48044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606</v>
      </c>
      <c r="Y384" s="619">
        <f>IFERROR(SUM(Y380:Y382),"0")</f>
        <v>621.6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10</v>
      </c>
      <c r="Y387" s="618">
        <f>IFERROR(IF(X387="",0,CEILING((X387/$H387),1)*$H387),"")</f>
        <v>12.16</v>
      </c>
      <c r="Z387" s="36">
        <f>IFERROR(IF(Y387=0,"",ROUNDUP(Y387/H387,0)*0.00902),"")</f>
        <v>3.6080000000000001E-2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10.756578947368421</v>
      </c>
      <c r="BN387" s="64">
        <f>IFERROR(Y387*I387/H387,"0")</f>
        <v>13.079999999999998</v>
      </c>
      <c r="BO387" s="64">
        <f>IFERROR(1/J387*(X387/H387),"0")</f>
        <v>2.4920255183413079E-2</v>
      </c>
      <c r="BP387" s="64">
        <f>IFERROR(1/J387*(Y387/H387),"0")</f>
        <v>3.0303030303030304E-2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7</v>
      </c>
      <c r="Y388" s="618">
        <f>IFERROR(IF(X388="",0,CEILING((X388/$H388),1)*$H388),"")</f>
        <v>7.6499999999999995</v>
      </c>
      <c r="Z388" s="36">
        <f>IFERROR(IF(Y388=0,"",ROUNDUP(Y388/H388,0)*0.00651),"")</f>
        <v>1.9529999999999999E-2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8.1117647058823543</v>
      </c>
      <c r="BN388" s="64">
        <f>IFERROR(Y388*I388/H388,"0")</f>
        <v>8.8650000000000002</v>
      </c>
      <c r="BO388" s="64">
        <f>IFERROR(1/J388*(X388/H388),"0")</f>
        <v>1.508295625942685E-2</v>
      </c>
      <c r="BP388" s="64">
        <f>IFERROR(1/J388*(Y388/H388),"0")</f>
        <v>1.6483516483516484E-2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18</v>
      </c>
      <c r="Y389" s="618">
        <f>IFERROR(IF(X389="",0,CEILING((X389/$H389),1)*$H389),"")</f>
        <v>20.399999999999999</v>
      </c>
      <c r="Z389" s="36">
        <f>IFERROR(IF(Y389=0,"",ROUNDUP(Y389/H389,0)*0.00651),"")</f>
        <v>5.2080000000000001E-2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20.329411764705881</v>
      </c>
      <c r="BN389" s="64">
        <f>IFERROR(Y389*I389/H389,"0")</f>
        <v>23.04</v>
      </c>
      <c r="BO389" s="64">
        <f>IFERROR(1/J389*(X389/H389),"0")</f>
        <v>3.8784744667097616E-2</v>
      </c>
      <c r="BP389" s="64">
        <f>IFERROR(1/J389*(Y389/H389),"0")</f>
        <v>4.3956043956043959E-2</v>
      </c>
    </row>
    <row r="390" spans="1:68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13.093395252837979</v>
      </c>
      <c r="Y390" s="619">
        <f>IFERROR(Y386/H386,"0")+IFERROR(Y387/H387,"0")+IFERROR(Y388/H388,"0")+IFERROR(Y389/H389,"0")</f>
        <v>15</v>
      </c>
      <c r="Z390" s="619">
        <f>IFERROR(IF(Z386="",0,Z386),"0")+IFERROR(IF(Z387="",0,Z387),"0")+IFERROR(IF(Z388="",0,Z388),"0")+IFERROR(IF(Z389="",0,Z389),"0")</f>
        <v>0.10769000000000001</v>
      </c>
      <c r="AA390" s="620"/>
      <c r="AB390" s="620"/>
      <c r="AC390" s="620"/>
    </row>
    <row r="391" spans="1:68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35</v>
      </c>
      <c r="Y391" s="619">
        <f>IFERROR(SUM(Y386:Y389),"0")</f>
        <v>40.209999999999994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22</v>
      </c>
      <c r="Y393" s="618">
        <f>IFERROR(IF(X393="",0,CEILING((X393/$H393),1)*$H393),"")</f>
        <v>22</v>
      </c>
      <c r="Z393" s="36">
        <f>IFERROR(IF(Y393=0,"",ROUNDUP(Y393/H393,0)*0.00474),"")</f>
        <v>5.2140000000000006E-2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24.64</v>
      </c>
      <c r="BN393" s="64">
        <f>IFERROR(Y393*I393/H393,"0")</f>
        <v>24.64</v>
      </c>
      <c r="BO393" s="64">
        <f>IFERROR(1/J393*(X393/H393),"0")</f>
        <v>4.6218487394957979E-2</v>
      </c>
      <c r="BP393" s="64">
        <f>IFERROR(1/J393*(Y393/H393),"0")</f>
        <v>4.6218487394957979E-2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7</v>
      </c>
      <c r="Y394" s="618">
        <f>IFERROR(IF(X394="",0,CEILING((X394/$H394),1)*$H394),"")</f>
        <v>8</v>
      </c>
      <c r="Z394" s="36">
        <f>IFERROR(IF(Y394=0,"",ROUNDUP(Y394/H394,0)*0.00474),"")</f>
        <v>1.8960000000000001E-2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7.8400000000000007</v>
      </c>
      <c r="BN394" s="64">
        <f>IFERROR(Y394*I394/H394,"0")</f>
        <v>8.9600000000000009</v>
      </c>
      <c r="BO394" s="64">
        <f>IFERROR(1/J394*(X394/H394),"0")</f>
        <v>1.4705882352941176E-2</v>
      </c>
      <c r="BP394" s="64">
        <f>IFERROR(1/J394*(Y394/H394),"0")</f>
        <v>1.680672268907563E-2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18</v>
      </c>
      <c r="Y395" s="618">
        <f>IFERROR(IF(X395="",0,CEILING((X395/$H395),1)*$H395),"")</f>
        <v>18</v>
      </c>
      <c r="Z395" s="36">
        <f>IFERROR(IF(Y395=0,"",ROUNDUP(Y395/H395,0)*0.00474),"")</f>
        <v>4.2660000000000003E-2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20.160000000000004</v>
      </c>
      <c r="BN395" s="64">
        <f>IFERROR(Y395*I395/H395,"0")</f>
        <v>20.160000000000004</v>
      </c>
      <c r="BO395" s="64">
        <f>IFERROR(1/J395*(X395/H395),"0")</f>
        <v>3.7815126050420166E-2</v>
      </c>
      <c r="BP395" s="64">
        <f>IFERROR(1/J395*(Y395/H395),"0")</f>
        <v>3.7815126050420166E-2</v>
      </c>
    </row>
    <row r="396" spans="1:68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23.5</v>
      </c>
      <c r="Y396" s="619">
        <f>IFERROR(Y393/H393,"0")+IFERROR(Y394/H394,"0")+IFERROR(Y395/H395,"0")</f>
        <v>24</v>
      </c>
      <c r="Z396" s="619">
        <f>IFERROR(IF(Z393="",0,Z393),"0")+IFERROR(IF(Z394="",0,Z394),"0")+IFERROR(IF(Z395="",0,Z395),"0")</f>
        <v>0.11376000000000001</v>
      </c>
      <c r="AA396" s="620"/>
      <c r="AB396" s="620"/>
      <c r="AC396" s="620"/>
    </row>
    <row r="397" spans="1:68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47</v>
      </c>
      <c r="Y397" s="619">
        <f>IFERROR(SUM(Y393:Y395),"0")</f>
        <v>48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4</v>
      </c>
      <c r="Y414" s="618">
        <f>IFERROR(IF(X414="",0,CEILING((X414/$H414),1)*$H414),"")</f>
        <v>4.2</v>
      </c>
      <c r="Z414" s="36">
        <f>IFERROR(IF(Y414=0,"",ROUNDUP(Y414/H414,0)*0.00651),"")</f>
        <v>1.302E-2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4.4571428571428564</v>
      </c>
      <c r="BN414" s="64">
        <f>IFERROR(Y414*I414/H414,"0")</f>
        <v>4.68</v>
      </c>
      <c r="BO414" s="64">
        <f>IFERROR(1/J414*(X414/H414),"0")</f>
        <v>1.0465724751439037E-2</v>
      </c>
      <c r="BP414" s="64">
        <f>IFERROR(1/J414*(Y414/H414),"0")</f>
        <v>1.098901098901099E-2</v>
      </c>
    </row>
    <row r="415" spans="1:68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1.9047619047619047</v>
      </c>
      <c r="Y415" s="619">
        <f>IFERROR(Y412/H412,"0")+IFERROR(Y413/H413,"0")+IFERROR(Y414/H414,"0")</f>
        <v>2</v>
      </c>
      <c r="Z415" s="619">
        <f>IFERROR(IF(Z412="",0,Z412),"0")+IFERROR(IF(Z413="",0,Z413),"0")+IFERROR(IF(Z414="",0,Z414),"0")</f>
        <v>1.302E-2</v>
      </c>
      <c r="AA415" s="620"/>
      <c r="AB415" s="620"/>
      <c r="AC415" s="620"/>
    </row>
    <row r="416" spans="1:68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4</v>
      </c>
      <c r="Y416" s="619">
        <f>IFERROR(SUM(Y412:Y414),"0")</f>
        <v>4.2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1665</v>
      </c>
      <c r="Y421" s="618">
        <f t="shared" si="61"/>
        <v>1665</v>
      </c>
      <c r="Z421" s="36">
        <f>IFERROR(IF(Y421=0,"",ROUNDUP(Y421/H421,0)*0.02175),"")</f>
        <v>2.41425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1717.1699999999998</v>
      </c>
      <c r="BN421" s="64">
        <f t="shared" si="63"/>
        <v>1717.1699999999998</v>
      </c>
      <c r="BO421" s="64">
        <f t="shared" si="64"/>
        <v>2.3125</v>
      </c>
      <c r="BP421" s="64">
        <f t="shared" si="65"/>
        <v>2.3125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1296</v>
      </c>
      <c r="Y422" s="618">
        <f t="shared" si="61"/>
        <v>1305</v>
      </c>
      <c r="Z422" s="36">
        <f>IFERROR(IF(Y422=0,"",ROUNDUP(Y422/H422,0)*0.02175),"")</f>
        <v>1.8922499999999998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1336.6080000000002</v>
      </c>
      <c r="BN422" s="64">
        <f t="shared" si="63"/>
        <v>1345.89</v>
      </c>
      <c r="BO422" s="64">
        <f t="shared" si="64"/>
        <v>1.8</v>
      </c>
      <c r="BP422" s="64">
        <f t="shared" si="65"/>
        <v>1.8125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403</v>
      </c>
      <c r="Y423" s="618">
        <f t="shared" si="61"/>
        <v>405</v>
      </c>
      <c r="Z423" s="36">
        <f>IFERROR(IF(Y423=0,"",ROUNDUP(Y423/H423,0)*0.02175),"")</f>
        <v>0.58724999999999994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415.6273333333333</v>
      </c>
      <c r="BN423" s="64">
        <f t="shared" si="63"/>
        <v>417.69</v>
      </c>
      <c r="BO423" s="64">
        <f t="shared" si="64"/>
        <v>0.55972222222222223</v>
      </c>
      <c r="BP423" s="64">
        <f t="shared" si="65"/>
        <v>0.5625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1089</v>
      </c>
      <c r="Y424" s="618">
        <f t="shared" si="61"/>
        <v>1095</v>
      </c>
      <c r="Z424" s="36">
        <f>IFERROR(IF(Y424=0,"",ROUNDUP(Y424/H424,0)*0.02175),"")</f>
        <v>1.58775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1123.1220000000001</v>
      </c>
      <c r="BN424" s="64">
        <f t="shared" si="63"/>
        <v>1129.3100000000002</v>
      </c>
      <c r="BO424" s="64">
        <f t="shared" si="64"/>
        <v>1.5124999999999997</v>
      </c>
      <c r="BP424" s="64">
        <f t="shared" si="65"/>
        <v>1.5208333333333333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296.86666666666667</v>
      </c>
      <c r="Y428" s="619">
        <f>IFERROR(Y420/H420,"0")+IFERROR(Y421/H421,"0")+IFERROR(Y422/H422,"0")+IFERROR(Y423/H423,"0")+IFERROR(Y424/H424,"0")+IFERROR(Y425/H425,"0")+IFERROR(Y426/H426,"0")+IFERROR(Y427/H427,"0")</f>
        <v>298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6.4814999999999996</v>
      </c>
      <c r="AA428" s="620"/>
      <c r="AB428" s="620"/>
      <c r="AC428" s="620"/>
    </row>
    <row r="429" spans="1:68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4453</v>
      </c>
      <c r="Y429" s="619">
        <f>IFERROR(SUM(Y420:Y427),"0")</f>
        <v>4470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2230</v>
      </c>
      <c r="Y431" s="618">
        <f>IFERROR(IF(X431="",0,CEILING((X431/$H431),1)*$H431),"")</f>
        <v>2235</v>
      </c>
      <c r="Z431" s="36">
        <f>IFERROR(IF(Y431=0,"",ROUNDUP(Y431/H431,0)*0.02175),"")</f>
        <v>3.2407499999999998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2299.8733333333334</v>
      </c>
      <c r="BN431" s="64">
        <f>IFERROR(Y431*I431/H431,"0")</f>
        <v>2305.0300000000002</v>
      </c>
      <c r="BO431" s="64">
        <f>IFERROR(1/J431*(X431/H431),"0")</f>
        <v>3.0972222222222219</v>
      </c>
      <c r="BP431" s="64">
        <f>IFERROR(1/J431*(Y431/H431),"0")</f>
        <v>3.1041666666666665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148.66666666666666</v>
      </c>
      <c r="Y434" s="619">
        <f>IFERROR(Y431/H431,"0")+IFERROR(Y432/H432,"0")+IFERROR(Y433/H433,"0")</f>
        <v>149</v>
      </c>
      <c r="Z434" s="619">
        <f>IFERROR(IF(Z431="",0,Z431),"0")+IFERROR(IF(Z432="",0,Z432),"0")+IFERROR(IF(Z433="",0,Z433),"0")</f>
        <v>3.2407499999999998</v>
      </c>
      <c r="AA434" s="620"/>
      <c r="AB434" s="620"/>
      <c r="AC434" s="620"/>
    </row>
    <row r="435" spans="1:68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2230</v>
      </c>
      <c r="Y435" s="619">
        <f>IFERROR(SUM(Y431:Y433),"0")</f>
        <v>2235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98</v>
      </c>
      <c r="Y444" s="618">
        <f>IFERROR(IF(X444="",0,CEILING((X444/$H444),1)*$H444),"")</f>
        <v>99</v>
      </c>
      <c r="Z444" s="36">
        <f>IFERROR(IF(Y444=0,"",ROUNDUP(Y444/H444,0)*0.01898),"")</f>
        <v>0.20877999999999999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103.37911111111111</v>
      </c>
      <c r="BN444" s="64">
        <f>IFERROR(Y444*I444/H444,"0")</f>
        <v>104.434</v>
      </c>
      <c r="BO444" s="64">
        <f>IFERROR(1/J444*(X444/H444),"0")</f>
        <v>0.1701388888888889</v>
      </c>
      <c r="BP444" s="64">
        <f>IFERROR(1/J444*(Y444/H444),"0")</f>
        <v>0.171875</v>
      </c>
    </row>
    <row r="445" spans="1:68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10.888888888888889</v>
      </c>
      <c r="Y445" s="619">
        <f>IFERROR(Y443/H443,"0")+IFERROR(Y444/H444,"0")</f>
        <v>11</v>
      </c>
      <c r="Z445" s="619">
        <f>IFERROR(IF(Z443="",0,Z443),"0")+IFERROR(IF(Z444="",0,Z444),"0")</f>
        <v>0.20877999999999999</v>
      </c>
      <c r="AA445" s="620"/>
      <c r="AB445" s="620"/>
      <c r="AC445" s="620"/>
    </row>
    <row r="446" spans="1:68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98</v>
      </c>
      <c r="Y446" s="619">
        <f>IFERROR(SUM(Y443:Y444),"0")</f>
        <v>99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704</v>
      </c>
      <c r="Y458" s="618">
        <f>IFERROR(IF(X458="",0,CEILING((X458/$H458),1)*$H458),"")</f>
        <v>711</v>
      </c>
      <c r="Z458" s="36">
        <f>IFERROR(IF(Y458=0,"",ROUNDUP(Y458/H458,0)*0.01898),"")</f>
        <v>1.49942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742.64177777777775</v>
      </c>
      <c r="BN458" s="64">
        <f>IFERROR(Y458*I458/H458,"0")</f>
        <v>750.02599999999995</v>
      </c>
      <c r="BO458" s="64">
        <f>IFERROR(1/J458*(X458/H458),"0")</f>
        <v>1.2222222222222223</v>
      </c>
      <c r="BP458" s="64">
        <f>IFERROR(1/J458*(Y458/H458),"0")</f>
        <v>1.234375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3</v>
      </c>
      <c r="Y459" s="618">
        <f>IFERROR(IF(X459="",0,CEILING((X459/$H459),1)*$H459),"")</f>
        <v>4.8</v>
      </c>
      <c r="Z459" s="36">
        <f>IFERROR(IF(Y459=0,"",ROUNDUP(Y459/H459,0)*0.00651),"")</f>
        <v>1.302E-2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3.3300000000000005</v>
      </c>
      <c r="BN459" s="64">
        <f>IFERROR(Y459*I459/H459,"0")</f>
        <v>5.3280000000000003</v>
      </c>
      <c r="BO459" s="64">
        <f>IFERROR(1/J459*(X459/H459),"0")</f>
        <v>6.8681318681318689E-3</v>
      </c>
      <c r="BP459" s="64">
        <f>IFERROR(1/J459*(Y459/H459),"0")</f>
        <v>1.098901098901099E-2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79.472222222222229</v>
      </c>
      <c r="Y461" s="619">
        <f>IFERROR(Y458/H458,"0")+IFERROR(Y459/H459,"0")+IFERROR(Y460/H460,"0")</f>
        <v>81</v>
      </c>
      <c r="Z461" s="619">
        <f>IFERROR(IF(Z458="",0,Z458),"0")+IFERROR(IF(Z459="",0,Z459),"0")+IFERROR(IF(Z460="",0,Z460),"0")</f>
        <v>1.51244</v>
      </c>
      <c r="AA461" s="620"/>
      <c r="AB461" s="620"/>
      <c r="AC461" s="620"/>
    </row>
    <row r="462" spans="1:68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707</v>
      </c>
      <c r="Y462" s="619">
        <f>IFERROR(SUM(Y458:Y460),"0")</f>
        <v>715.8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41</v>
      </c>
      <c r="Y492" s="618">
        <f t="shared" ref="Y492:Y499" si="71">IFERROR(IF(X492="",0,CEILING((X492/$H492),1)*$H492),"")</f>
        <v>42.24</v>
      </c>
      <c r="Z492" s="36">
        <f>IFERROR(IF(Y492=0,"",ROUNDUP(Y492/H492,0)*0.01196),"")</f>
        <v>9.5680000000000001E-2</v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43.717803030303024</v>
      </c>
      <c r="BN492" s="64">
        <f t="shared" ref="BN492:BN499" si="73">IFERROR(Y492*I492/H492,"0")</f>
        <v>45.04</v>
      </c>
      <c r="BO492" s="64">
        <f t="shared" ref="BO492:BO499" si="74">IFERROR(1/J492*(X492/H492),"0")</f>
        <v>7.4664918414918416E-2</v>
      </c>
      <c r="BP492" s="64">
        <f t="shared" ref="BP492:BP499" si="75">IFERROR(1/J492*(Y492/H492),"0")</f>
        <v>7.6923076923076927E-2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28</v>
      </c>
      <c r="Y494" s="618">
        <f t="shared" si="71"/>
        <v>31.68</v>
      </c>
      <c r="Z494" s="36">
        <f>IFERROR(IF(Y494=0,"",ROUNDUP(Y494/H494,0)*0.01196),"")</f>
        <v>7.1760000000000004E-2</v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29.856060606060602</v>
      </c>
      <c r="BN494" s="64">
        <f t="shared" si="73"/>
        <v>33.779999999999994</v>
      </c>
      <c r="BO494" s="64">
        <f t="shared" si="74"/>
        <v>5.0990675990675992E-2</v>
      </c>
      <c r="BP494" s="64">
        <f t="shared" si="75"/>
        <v>5.7692307692307696E-2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445</v>
      </c>
      <c r="Y495" s="618">
        <f t="shared" si="71"/>
        <v>448.8</v>
      </c>
      <c r="Z495" s="36">
        <f>IFERROR(IF(Y495=0,"",ROUNDUP(Y495/H495,0)*0.01196),"")</f>
        <v>1.0165999999999999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474.49810606060601</v>
      </c>
      <c r="BN495" s="64">
        <f t="shared" si="73"/>
        <v>478.55</v>
      </c>
      <c r="BO495" s="64">
        <f t="shared" si="74"/>
        <v>0.81038752913752921</v>
      </c>
      <c r="BP495" s="64">
        <f t="shared" si="75"/>
        <v>0.8173076923076924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648</v>
      </c>
      <c r="Y496" s="618">
        <f t="shared" si="71"/>
        <v>649.44000000000005</v>
      </c>
      <c r="Z496" s="36">
        <f>IFERROR(IF(Y496=0,"",ROUNDUP(Y496/H496,0)*0.01196),"")</f>
        <v>1.4710799999999999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690.95454545454538</v>
      </c>
      <c r="BN496" s="64">
        <f t="shared" si="73"/>
        <v>692.49</v>
      </c>
      <c r="BO496" s="64">
        <f t="shared" si="74"/>
        <v>1.18006993006993</v>
      </c>
      <c r="BP496" s="64">
        <f t="shared" si="75"/>
        <v>1.1826923076923077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55</v>
      </c>
      <c r="Y498" s="618">
        <f t="shared" si="71"/>
        <v>57.599999999999994</v>
      </c>
      <c r="Z498" s="36">
        <f>IFERROR(IF(Y498=0,"",ROUNDUP(Y498/H498,0)*0.00902),"")</f>
        <v>0.10824</v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79.177083333333343</v>
      </c>
      <c r="BN498" s="64">
        <f t="shared" si="73"/>
        <v>82.92</v>
      </c>
      <c r="BO498" s="64">
        <f t="shared" si="74"/>
        <v>8.6805555555555566E-2</v>
      </c>
      <c r="BP498" s="64">
        <f t="shared" si="75"/>
        <v>9.0909090909090912E-2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15</v>
      </c>
      <c r="Y499" s="618">
        <f t="shared" si="71"/>
        <v>19.2</v>
      </c>
      <c r="Z499" s="36">
        <f>IFERROR(IF(Y499=0,"",ROUNDUP(Y499/H499,0)*0.00902),"")</f>
        <v>3.6080000000000001E-2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21.593750000000004</v>
      </c>
      <c r="BN499" s="64">
        <f t="shared" si="73"/>
        <v>27.64</v>
      </c>
      <c r="BO499" s="64">
        <f t="shared" si="74"/>
        <v>2.3674242424242424E-2</v>
      </c>
      <c r="BP499" s="64">
        <f t="shared" si="75"/>
        <v>3.0303030303030304E-2</v>
      </c>
    </row>
    <row r="500" spans="1:68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234.65909090909091</v>
      </c>
      <c r="Y500" s="619">
        <f>IFERROR(Y492/H492,"0")+IFERROR(Y493/H493,"0")+IFERROR(Y494/H494,"0")+IFERROR(Y495/H495,"0")+IFERROR(Y496/H496,"0")+IFERROR(Y497/H497,"0")+IFERROR(Y498/H498,"0")+IFERROR(Y499/H499,"0")</f>
        <v>238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2.7994400000000002</v>
      </c>
      <c r="AA500" s="620"/>
      <c r="AB500" s="620"/>
      <c r="AC500" s="620"/>
    </row>
    <row r="501" spans="1:68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1232</v>
      </c>
      <c r="Y501" s="619">
        <f>IFERROR(SUM(Y492:Y499),"0")</f>
        <v>1248.96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496</v>
      </c>
      <c r="Y503" s="618">
        <f>IFERROR(IF(X503="",0,CEILING((X503/$H503),1)*$H503),"")</f>
        <v>496.32000000000005</v>
      </c>
      <c r="Z503" s="36">
        <f>IFERROR(IF(Y503=0,"",ROUNDUP(Y503/H503,0)*0.01196),"")</f>
        <v>1.1242399999999999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528.87878787878788</v>
      </c>
      <c r="BN503" s="64">
        <f>IFERROR(Y503*I503/H503,"0")</f>
        <v>529.22</v>
      </c>
      <c r="BO503" s="64">
        <f>IFERROR(1/J503*(X503/H503),"0")</f>
        <v>0.90326340326340326</v>
      </c>
      <c r="BP503" s="64">
        <f>IFERROR(1/J503*(Y503/H503),"0")</f>
        <v>0.90384615384615385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7</v>
      </c>
      <c r="Y505" s="618">
        <f>IFERROR(IF(X505="",0,CEILING((X505/$H505),1)*$H505),"")</f>
        <v>9.6</v>
      </c>
      <c r="Z505" s="36">
        <f>IFERROR(IF(Y505=0,"",ROUNDUP(Y505/H505,0)*0.00902),"")</f>
        <v>1.804E-2</v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10.077083333333334</v>
      </c>
      <c r="BN505" s="64">
        <f>IFERROR(Y505*I505/H505,"0")</f>
        <v>13.82</v>
      </c>
      <c r="BO505" s="64">
        <f>IFERROR(1/J505*(X505/H505),"0")</f>
        <v>1.10479797979798E-2</v>
      </c>
      <c r="BP505" s="64">
        <f>IFERROR(1/J505*(Y505/H505),"0")</f>
        <v>1.5151515151515152E-2</v>
      </c>
    </row>
    <row r="506" spans="1:68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95.397727272727266</v>
      </c>
      <c r="Y506" s="619">
        <f>IFERROR(Y503/H503,"0")+IFERROR(Y504/H504,"0")+IFERROR(Y505/H505,"0")</f>
        <v>96</v>
      </c>
      <c r="Z506" s="619">
        <f>IFERROR(IF(Z503="",0,Z503),"0")+IFERROR(IF(Z504="",0,Z504),"0")+IFERROR(IF(Z505="",0,Z505),"0")</f>
        <v>1.14228</v>
      </c>
      <c r="AA506" s="620"/>
      <c r="AB506" s="620"/>
      <c r="AC506" s="620"/>
    </row>
    <row r="507" spans="1:68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503</v>
      </c>
      <c r="Y507" s="619">
        <f>IFERROR(SUM(Y503:Y505),"0")</f>
        <v>505.92000000000007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62</v>
      </c>
      <c r="Y509" s="618">
        <f t="shared" ref="Y509:Y515" si="76">IFERROR(IF(X509="",0,CEILING((X509/$H509),1)*$H509),"")</f>
        <v>63.36</v>
      </c>
      <c r="Z509" s="36">
        <f>IFERROR(IF(Y509=0,"",ROUNDUP(Y509/H509,0)*0.01196),"")</f>
        <v>0.14352000000000001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66.109848484848484</v>
      </c>
      <c r="BN509" s="64">
        <f t="shared" ref="BN509:BN515" si="78">IFERROR(Y509*I509/H509,"0")</f>
        <v>67.559999999999988</v>
      </c>
      <c r="BO509" s="64">
        <f t="shared" ref="BO509:BO515" si="79">IFERROR(1/J509*(X509/H509),"0")</f>
        <v>0.11290792540792541</v>
      </c>
      <c r="BP509" s="64">
        <f t="shared" ref="BP509:BP515" si="80">IFERROR(1/J509*(Y509/H509),"0")</f>
        <v>0.11538461538461539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238</v>
      </c>
      <c r="Y510" s="618">
        <f t="shared" si="76"/>
        <v>242.88000000000002</v>
      </c>
      <c r="Z510" s="36">
        <f>IFERROR(IF(Y510=0,"",ROUNDUP(Y510/H510,0)*0.01196),"")</f>
        <v>0.55015999999999998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253.77651515151516</v>
      </c>
      <c r="BN510" s="64">
        <f t="shared" si="78"/>
        <v>258.98</v>
      </c>
      <c r="BO510" s="64">
        <f t="shared" si="79"/>
        <v>0.43342074592074592</v>
      </c>
      <c r="BP510" s="64">
        <f t="shared" si="80"/>
        <v>0.44230769230769235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372</v>
      </c>
      <c r="Y511" s="618">
        <f t="shared" si="76"/>
        <v>374.88</v>
      </c>
      <c r="Z511" s="36">
        <f>IFERROR(IF(Y511=0,"",ROUNDUP(Y511/H511,0)*0.01196),"")</f>
        <v>0.84916000000000003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396.65909090909093</v>
      </c>
      <c r="BN511" s="64">
        <f t="shared" si="78"/>
        <v>399.72999999999996</v>
      </c>
      <c r="BO511" s="64">
        <f t="shared" si="79"/>
        <v>0.6774475524475525</v>
      </c>
      <c r="BP511" s="64">
        <f t="shared" si="80"/>
        <v>0.68269230769230771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3</v>
      </c>
      <c r="Y515" s="618">
        <f t="shared" si="76"/>
        <v>4.8</v>
      </c>
      <c r="Z515" s="36">
        <f>IFERROR(IF(Y515=0,"",ROUNDUP(Y515/H515,0)*0.00902),"")</f>
        <v>9.0200000000000002E-3</v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4.1687500000000002</v>
      </c>
      <c r="BN515" s="64">
        <f t="shared" si="78"/>
        <v>6.67</v>
      </c>
      <c r="BO515" s="64">
        <f t="shared" si="79"/>
        <v>4.734848484848485E-3</v>
      </c>
      <c r="BP515" s="64">
        <f t="shared" si="80"/>
        <v>7.575757575757576E-3</v>
      </c>
    </row>
    <row r="516" spans="1:68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127.89772727272727</v>
      </c>
      <c r="Y516" s="619">
        <f>IFERROR(Y509/H509,"0")+IFERROR(Y510/H510,"0")+IFERROR(Y511/H511,"0")+IFERROR(Y512/H512,"0")+IFERROR(Y513/H513,"0")+IFERROR(Y514/H514,"0")+IFERROR(Y515/H515,"0")</f>
        <v>130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1.55186</v>
      </c>
      <c r="AA516" s="620"/>
      <c r="AB516" s="620"/>
      <c r="AC516" s="620"/>
    </row>
    <row r="517" spans="1:68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675</v>
      </c>
      <c r="Y517" s="619">
        <f>IFERROR(SUM(Y509:Y515),"0")</f>
        <v>685.92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17593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17814.129999999997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18515.345588218526</v>
      </c>
      <c r="Y547" s="619">
        <f>IFERROR(SUM(BN22:BN543),"0")</f>
        <v>18753.701000000001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30</v>
      </c>
      <c r="Y548" s="38">
        <f>ROUNDUP(SUM(BP22:BP543),0)</f>
        <v>30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19265.345588218526</v>
      </c>
      <c r="Y549" s="619">
        <f>GrossWeightTotalR+PalletQtyTotalR*25</f>
        <v>19503.701000000001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2563.5193073810497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2605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34.578279999999999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14.4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1045.4000000000001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829.40000000000009</v>
      </c>
      <c r="F556" s="46">
        <f>IFERROR(Y84*1,"0")+IFERROR(Y85*1,"0")+IFERROR(Y86*1,"0")+IFERROR(Y87*1,"0")+IFERROR(Y88*1,"0")+IFERROR(Y89*1,"0")+IFERROR(Y93*1,"0")+IFERROR(Y94*1,"0")+IFERROR(Y95*1,"0")+IFERROR(Y96*1,"0")</f>
        <v>926.1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1053.24</v>
      </c>
      <c r="H556" s="46">
        <f>IFERROR(Y131*1,"0")+IFERROR(Y132*1,"0")+IFERROR(Y136*1,"0")+IFERROR(Y137*1,"0")+IFERROR(Y141*1,"0")+IFERROR(Y142*1,"0")</f>
        <v>76.47999999999999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651.32000000000005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179.48000000000002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1499.1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39.6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136.80000000000001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662.99999999999989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735.00999999999988</v>
      </c>
      <c r="U556" s="46">
        <f>IFERROR(Y406*1,"0")+IFERROR(Y407*1,"0")</f>
        <v>0</v>
      </c>
      <c r="V556" s="46">
        <f>IFERROR(Y412*1,"0")+IFERROR(Y413*1,"0")+IFERROR(Y414*1,"0")</f>
        <v>4.2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6804</v>
      </c>
      <c r="X556" s="46">
        <f>IFERROR(Y449*1,"0")+IFERROR(Y450*1,"0")+IFERROR(Y454*1,"0")+IFERROR(Y458*1,"0")+IFERROR(Y459*1,"0")+IFERROR(Y460*1,"0")</f>
        <v>715.8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2440.8000000000002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0,00"/>
        <filter val="1 089,00"/>
        <filter val="1 232,00"/>
        <filter val="1 296,00"/>
        <filter val="1 329,00"/>
        <filter val="1 665,00"/>
        <filter val="1,02"/>
        <filter val="1,11"/>
        <filter val="1,67"/>
        <filter val="1,90"/>
        <filter val="10,00"/>
        <filter val="10,89"/>
        <filter val="105,00"/>
        <filter val="107,00"/>
        <filter val="11,00"/>
        <filter val="11,74"/>
        <filter val="112,00"/>
        <filter val="119,00"/>
        <filter val="12,00"/>
        <filter val="127,90"/>
        <filter val="13,09"/>
        <filter val="130,00"/>
        <filter val="133,00"/>
        <filter val="137,00"/>
        <filter val="14,00"/>
        <filter val="148,67"/>
        <filter val="15,00"/>
        <filter val="17 593,00"/>
        <filter val="170,00"/>
        <filter val="171,00"/>
        <filter val="18 515,35"/>
        <filter val="18,00"/>
        <filter val="19 265,35"/>
        <filter val="19,63"/>
        <filter val="2 230,00"/>
        <filter val="2 563,52"/>
        <filter val="2,00"/>
        <filter val="2,38"/>
        <filter val="20,00"/>
        <filter val="203,76"/>
        <filter val="22,00"/>
        <filter val="22,04"/>
        <filter val="23,50"/>
        <filter val="233,00"/>
        <filter val="234,66"/>
        <filter val="238,00"/>
        <filter val="24,00"/>
        <filter val="26,11"/>
        <filter val="28,00"/>
        <filter val="282,00"/>
        <filter val="296,87"/>
        <filter val="3,00"/>
        <filter val="30"/>
        <filter val="30,00"/>
        <filter val="31,00"/>
        <filter val="320,00"/>
        <filter val="347,00"/>
        <filter val="35,00"/>
        <filter val="367,00"/>
        <filter val="372,00"/>
        <filter val="396,00"/>
        <filter val="4 453,00"/>
        <filter val="4,00"/>
        <filter val="4,49"/>
        <filter val="403,00"/>
        <filter val="41,00"/>
        <filter val="42,19"/>
        <filter val="430,00"/>
        <filter val="44,85"/>
        <filter val="440,00"/>
        <filter val="445,00"/>
        <filter val="446,00"/>
        <filter val="450,00"/>
        <filter val="459,00"/>
        <filter val="46,00"/>
        <filter val="47,00"/>
        <filter val="475,00"/>
        <filter val="486,00"/>
        <filter val="49,00"/>
        <filter val="496,00"/>
        <filter val="5,00"/>
        <filter val="502,10"/>
        <filter val="503,00"/>
        <filter val="51,31"/>
        <filter val="522,00"/>
        <filter val="55,00"/>
        <filter val="55,42"/>
        <filter val="58,00"/>
        <filter val="6,25"/>
        <filter val="606,00"/>
        <filter val="61,00"/>
        <filter val="62,00"/>
        <filter val="646,00"/>
        <filter val="648,00"/>
        <filter val="67,02"/>
        <filter val="675,00"/>
        <filter val="69,00"/>
        <filter val="7,00"/>
        <filter val="7,07"/>
        <filter val="7,78"/>
        <filter val="7,86"/>
        <filter val="704,00"/>
        <filter val="707,00"/>
        <filter val="715,00"/>
        <filter val="75,00"/>
        <filter val="76,08"/>
        <filter val="77,00"/>
        <filter val="78,00"/>
        <filter val="78,15"/>
        <filter val="79,00"/>
        <filter val="79,47"/>
        <filter val="8,00"/>
        <filter val="8,75"/>
        <filter val="82,00"/>
        <filter val="83,08"/>
        <filter val="84,32"/>
        <filter val="87,00"/>
        <filter val="89,00"/>
        <filter val="95,00"/>
        <filter val="95,40"/>
        <filter val="98,00"/>
        <filter val="991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